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/>
  </bookViews>
  <sheets>
    <sheet name="Compiled" sheetId="12" r:id="rId1"/>
    <sheet name="773K_173MPa_512g" sheetId="2" r:id="rId2"/>
    <sheet name="773K_52MPa_512g" sheetId="3" r:id="rId3"/>
    <sheet name="773K_87MPa_512g" sheetId="4" r:id="rId4"/>
    <sheet name="773K_121MPa_512g" sheetId="5" r:id="rId5"/>
    <sheet name="Exp_773K_173MPa" sheetId="8" r:id="rId6"/>
    <sheet name="Exp_773K_87MPa" sheetId="9" r:id="rId7"/>
    <sheet name="Exp_773K_52MPa" sheetId="10" r:id="rId8"/>
    <sheet name="Exp_773K_121MPa" sheetId="11" r:id="rId9"/>
    <sheet name="props" sheetId="13" r:id="rId10"/>
  </sheets>
  <calcPr calcId="144525"/>
</workbook>
</file>

<file path=xl/sharedStrings.xml><?xml version="1.0" encoding="utf-8"?>
<sst xmlns="http://schemas.openxmlformats.org/spreadsheetml/2006/main" count="272" uniqueCount="71">
  <si>
    <t>Stress</t>
  </si>
  <si>
    <t>Exp</t>
  </si>
  <si>
    <t>Sim</t>
  </si>
  <si>
    <t>Ratio</t>
  </si>
  <si>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</si>
  <si>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</si>
  <si>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</si>
  <si>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</si>
  <si>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</si>
  <si>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</si>
  <si>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</si>
  <si>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</si>
  <si>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</si>
  <si>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</si>
  <si>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</si>
  <si>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</si>
  <si>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</si>
  <si>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</si>
  <si>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</si>
  <si>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</si>
  <si>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</si>
  <si>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</si>
  <si>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</si>
  <si>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</si>
  <si>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</si>
  <si>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</si>
  <si>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</si>
  <si>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</si>
  <si>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</si>
  <si>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</si>
  <si>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</si>
  <si>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</si>
  <si>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</si>
  <si>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</si>
  <si>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</si>
  <si>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</si>
  <si>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</si>
  <si>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</si>
  <si>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</si>
  <si>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</si>
  <si>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</si>
  <si>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</si>
  <si>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</si>
  <si>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</si>
  <si>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</si>
  <si>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</si>
  <si>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</si>
  <si>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</si>
  <si>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</si>
  <si>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</si>
  <si>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</si>
  <si>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</si>
  <si>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</si>
  <si>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</si>
  <si>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</si>
  <si>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</si>
  <si>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</si>
  <si>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</si>
  <si>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</si>
  <si>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</si>
  <si>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</si>
  <si>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</si>
  <si>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</si>
  <si>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</si>
  <si>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</si>
  <si>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</si>
  <si>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</si>
  <si>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Time (Hours)</t>
  </si>
  <si>
    <t>Time (Seconds)</t>
  </si>
  <si>
    <t>Creep Strain</t>
  </si>
  <si>
    <t>CreepStrain Rate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</si>
</sst>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11" fontId="0" fillId="0" borderId="0" xfId="0" applyNumberFormat="1" applyAlignment="1"/>
    <xf numFmtId="2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'773K_173MPa_512g'!$A$2:$A$1309</c:f>
              <c:numCache>
                <c:formatCode>General</c:formatCode>
                <c:ptCount val="1308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188.81865970967</c:v>
                </c:pt>
                <c:pt idx="5">
                  <c:v>1759.9964179654</c:v>
                </c:pt>
                <c:pt idx="6">
                  <c:v>17599.964179654</c:v>
                </c:pt>
                <c:pt idx="7">
                  <c:v>141611.39263116</c:v>
                </c:pt>
                <c:pt idx="8">
                  <c:v>278087.68254097</c:v>
                </c:pt>
                <c:pt idx="9">
                  <c:v>658130.16457266</c:v>
                </c:pt>
                <c:pt idx="10">
                  <c:v>930613.71510992</c:v>
                </c:pt>
                <c:pt idx="11">
                  <c:v>1216670.9216977</c:v>
                </c:pt>
                <c:pt idx="12">
                  <c:v>1538786.5567749</c:v>
                </c:pt>
                <c:pt idx="13">
                  <c:v>1978765.227934</c:v>
                </c:pt>
                <c:pt idx="14">
                  <c:v>2352101.7619443</c:v>
                </c:pt>
                <c:pt idx="15">
                  <c:v>2843218.410181</c:v>
                </c:pt>
                <c:pt idx="16">
                  <c:v>3208397.2623138</c:v>
                </c:pt>
                <c:pt idx="17">
                  <c:v>3762634.4230366</c:v>
                </c:pt>
                <c:pt idx="18">
                  <c:v>4174612.9274697</c:v>
                </c:pt>
                <c:pt idx="19">
                  <c:v>4730390.7339481</c:v>
                </c:pt>
                <c:pt idx="20">
                  <c:v>4670825.3090899</c:v>
                </c:pt>
                <c:pt idx="21">
                  <c:v>5240752.1936195</c:v>
                </c:pt>
                <c:pt idx="22">
                  <c:v>5880220.6756646</c:v>
                </c:pt>
                <c:pt idx="23">
                  <c:v>6597716.1134636</c:v>
                </c:pt>
                <c:pt idx="24">
                  <c:v>7402759.2355516</c:v>
                </c:pt>
                <c:pt idx="25">
                  <c:v>8306032.4750432</c:v>
                </c:pt>
                <c:pt idx="26">
                  <c:v>9319521.7190299</c:v>
                </c:pt>
                <c:pt idx="27">
                  <c:v>10456675.35402</c:v>
                </c:pt>
                <c:pt idx="28">
                  <c:v>11732582.717854</c:v>
                </c:pt>
                <c:pt idx="29">
                  <c:v>13164174.326057</c:v>
                </c:pt>
                <c:pt idx="30">
                  <c:v>14770446.529484</c:v>
                </c:pt>
                <c:pt idx="31">
                  <c:v>16572713.584362</c:v>
                </c:pt>
                <c:pt idx="32">
                  <c:v>17333083.909976</c:v>
                </c:pt>
                <c:pt idx="33">
                  <c:v>18126931.013515</c:v>
                </c:pt>
                <c:pt idx="34">
                  <c:v>18978998.548169</c:v>
                </c:pt>
                <c:pt idx="35">
                  <c:v>19882602.912476</c:v>
                </c:pt>
                <c:pt idx="36">
                  <c:v>20602719.861412</c:v>
                </c:pt>
                <c:pt idx="37">
                  <c:v>21399597.402281</c:v>
                </c:pt>
                <c:pt idx="38">
                  <c:v>22174657.531864</c:v>
                </c:pt>
                <c:pt idx="39">
                  <c:v>22977789.133688</c:v>
                </c:pt>
                <c:pt idx="40">
                  <c:v>23810008.912813</c:v>
                </c:pt>
                <c:pt idx="41">
                  <c:v>24672370.39777</c:v>
                </c:pt>
                <c:pt idx="42">
                  <c:v>25565965.274259</c:v>
                </c:pt>
                <c:pt idx="43">
                  <c:v>26491924.767135</c:v>
                </c:pt>
                <c:pt idx="44">
                  <c:v>27451421.072459</c:v>
                </c:pt>
                <c:pt idx="45">
                  <c:v>28341905.18287</c:v>
                </c:pt>
                <c:pt idx="46">
                  <c:v>29011778.242895</c:v>
                </c:pt>
                <c:pt idx="47">
                  <c:v>29523455.407941</c:v>
                </c:pt>
                <c:pt idx="48">
                  <c:v>30437062.472293</c:v>
                </c:pt>
                <c:pt idx="49">
                  <c:v>31282071.406593</c:v>
                </c:pt>
                <c:pt idx="50">
                  <c:v>32017603.167967</c:v>
                </c:pt>
                <c:pt idx="51">
                  <c:v>32785456.552745</c:v>
                </c:pt>
                <c:pt idx="52">
                  <c:v>33602457.501861</c:v>
                </c:pt>
                <c:pt idx="53">
                  <c:v>34502641.947957</c:v>
                </c:pt>
                <c:pt idx="54">
                  <c:v>35555249.931762</c:v>
                </c:pt>
                <c:pt idx="55">
                  <c:v>36395613.482414</c:v>
                </c:pt>
                <c:pt idx="56">
                  <c:v>37277372.070286</c:v>
                </c:pt>
                <c:pt idx="57">
                  <c:v>38224525.310148</c:v>
                </c:pt>
                <c:pt idx="58">
                  <c:v>39285733.678264</c:v>
                </c:pt>
                <c:pt idx="59">
                  <c:v>40026801.574605</c:v>
                </c:pt>
                <c:pt idx="60">
                  <c:v>40730606.81645</c:v>
                </c:pt>
                <c:pt idx="61">
                  <c:v>41723692.638015</c:v>
                </c:pt>
                <c:pt idx="62">
                  <c:v>42994765.276954</c:v>
                </c:pt>
                <c:pt idx="63">
                  <c:v>43714664.934295</c:v>
                </c:pt>
                <c:pt idx="64">
                  <c:v>44685842.430538</c:v>
                </c:pt>
                <c:pt idx="65">
                  <c:v>45746235.707276</c:v>
                </c:pt>
                <c:pt idx="66">
                  <c:v>46604051.452426</c:v>
                </c:pt>
                <c:pt idx="67">
                  <c:v>47418734.183866</c:v>
                </c:pt>
                <c:pt idx="68">
                  <c:v>48568270.762403</c:v>
                </c:pt>
                <c:pt idx="69">
                  <c:v>49341109.678137</c:v>
                </c:pt>
              </c:numCache>
            </c:numRef>
          </c:xVal>
          <c:yVal>
            <c:numRef>
              <c:f>'773K_173MPa_512g'!$BN$2:$BN$1309</c:f>
              <c:numCache>
                <c:formatCode>General</c:formatCode>
                <c:ptCount val="1308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40533"/>
        <c:axId val="345369220"/>
      </c:scatterChart>
      <c:valAx>
        <c:axId val="5835405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369220"/>
        <c:crosses val="autoZero"/>
        <c:crossBetween val="midCat"/>
      </c:valAx>
      <c:valAx>
        <c:axId val="345369220"/>
        <c:scaling>
          <c:orientation val="minMax"/>
          <c:max val="1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5405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'773K_173MPa_512g'!$B$1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'773K_173MPa_512g'!$A$2:$A$353</c:f>
              <c:numCache>
                <c:formatCode>General</c:formatCode>
                <c:ptCount val="352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188.81865970967</c:v>
                </c:pt>
                <c:pt idx="5">
                  <c:v>1759.9964179654</c:v>
                </c:pt>
                <c:pt idx="6">
                  <c:v>17599.964179654</c:v>
                </c:pt>
                <c:pt idx="7">
                  <c:v>141611.39263116</c:v>
                </c:pt>
                <c:pt idx="8">
                  <c:v>278087.68254097</c:v>
                </c:pt>
                <c:pt idx="9">
                  <c:v>658130.16457266</c:v>
                </c:pt>
                <c:pt idx="10">
                  <c:v>930613.71510992</c:v>
                </c:pt>
                <c:pt idx="11">
                  <c:v>1216670.9216977</c:v>
                </c:pt>
                <c:pt idx="12">
                  <c:v>1538786.5567749</c:v>
                </c:pt>
                <c:pt idx="13">
                  <c:v>1978765.227934</c:v>
                </c:pt>
                <c:pt idx="14">
                  <c:v>2352101.7619443</c:v>
                </c:pt>
                <c:pt idx="15">
                  <c:v>2843218.410181</c:v>
                </c:pt>
                <c:pt idx="16">
                  <c:v>3208397.2623138</c:v>
                </c:pt>
                <c:pt idx="17">
                  <c:v>3762634.4230366</c:v>
                </c:pt>
                <c:pt idx="18">
                  <c:v>4174612.9274697</c:v>
                </c:pt>
                <c:pt idx="19">
                  <c:v>4730390.7339481</c:v>
                </c:pt>
                <c:pt idx="20">
                  <c:v>4670825.3090899</c:v>
                </c:pt>
                <c:pt idx="21">
                  <c:v>5240752.1936195</c:v>
                </c:pt>
                <c:pt idx="22">
                  <c:v>5880220.6756646</c:v>
                </c:pt>
                <c:pt idx="23">
                  <c:v>6597716.1134636</c:v>
                </c:pt>
                <c:pt idx="24">
                  <c:v>7402759.2355516</c:v>
                </c:pt>
                <c:pt idx="25">
                  <c:v>8306032.4750432</c:v>
                </c:pt>
                <c:pt idx="26">
                  <c:v>9319521.7190299</c:v>
                </c:pt>
                <c:pt idx="27">
                  <c:v>10456675.35402</c:v>
                </c:pt>
                <c:pt idx="28">
                  <c:v>11732582.717854</c:v>
                </c:pt>
                <c:pt idx="29">
                  <c:v>13164174.326057</c:v>
                </c:pt>
                <c:pt idx="30">
                  <c:v>14770446.529484</c:v>
                </c:pt>
                <c:pt idx="31">
                  <c:v>16572713.584362</c:v>
                </c:pt>
                <c:pt idx="32">
                  <c:v>17333083.909976</c:v>
                </c:pt>
                <c:pt idx="33">
                  <c:v>18126931.013515</c:v>
                </c:pt>
                <c:pt idx="34">
                  <c:v>18978998.548169</c:v>
                </c:pt>
                <c:pt idx="35">
                  <c:v>19882602.912476</c:v>
                </c:pt>
                <c:pt idx="36">
                  <c:v>20602719.861412</c:v>
                </c:pt>
                <c:pt idx="37">
                  <c:v>21399597.402281</c:v>
                </c:pt>
                <c:pt idx="38">
                  <c:v>22174657.531864</c:v>
                </c:pt>
                <c:pt idx="39">
                  <c:v>22977789.133688</c:v>
                </c:pt>
                <c:pt idx="40">
                  <c:v>23810008.912813</c:v>
                </c:pt>
                <c:pt idx="41">
                  <c:v>24672370.39777</c:v>
                </c:pt>
                <c:pt idx="42">
                  <c:v>25565965.274259</c:v>
                </c:pt>
                <c:pt idx="43">
                  <c:v>26491924.767135</c:v>
                </c:pt>
                <c:pt idx="44">
                  <c:v>27451421.072459</c:v>
                </c:pt>
                <c:pt idx="45">
                  <c:v>28341905.18287</c:v>
                </c:pt>
                <c:pt idx="46">
                  <c:v>29011778.242895</c:v>
                </c:pt>
                <c:pt idx="47">
                  <c:v>29523455.407941</c:v>
                </c:pt>
                <c:pt idx="48">
                  <c:v>30437062.472293</c:v>
                </c:pt>
                <c:pt idx="49">
                  <c:v>31282071.406593</c:v>
                </c:pt>
                <c:pt idx="50">
                  <c:v>32017603.167967</c:v>
                </c:pt>
                <c:pt idx="51">
                  <c:v>32785456.552745</c:v>
                </c:pt>
                <c:pt idx="52">
                  <c:v>33602457.501861</c:v>
                </c:pt>
                <c:pt idx="53">
                  <c:v>34502641.947957</c:v>
                </c:pt>
                <c:pt idx="54">
                  <c:v>35555249.931762</c:v>
                </c:pt>
                <c:pt idx="55">
                  <c:v>36395613.482414</c:v>
                </c:pt>
                <c:pt idx="56">
                  <c:v>37277372.070286</c:v>
                </c:pt>
                <c:pt idx="57">
                  <c:v>38224525.310148</c:v>
                </c:pt>
                <c:pt idx="58">
                  <c:v>39285733.678264</c:v>
                </c:pt>
                <c:pt idx="59">
                  <c:v>40026801.574605</c:v>
                </c:pt>
                <c:pt idx="60">
                  <c:v>40730606.81645</c:v>
                </c:pt>
                <c:pt idx="61">
                  <c:v>41723692.638015</c:v>
                </c:pt>
                <c:pt idx="62">
                  <c:v>42994765.276954</c:v>
                </c:pt>
                <c:pt idx="63">
                  <c:v>43714664.934295</c:v>
                </c:pt>
                <c:pt idx="64">
                  <c:v>44685842.430538</c:v>
                </c:pt>
                <c:pt idx="65">
                  <c:v>45746235.707276</c:v>
                </c:pt>
                <c:pt idx="66">
                  <c:v>46604051.452426</c:v>
                </c:pt>
                <c:pt idx="67">
                  <c:v>47418734.183866</c:v>
                </c:pt>
                <c:pt idx="68">
                  <c:v>48568270.762403</c:v>
                </c:pt>
                <c:pt idx="69">
                  <c:v>49341109.678137</c:v>
                </c:pt>
              </c:numCache>
            </c:numRef>
          </c:xVal>
          <c:yVal>
            <c:numRef>
              <c:f>'773K_173MPa_512g'!$B$2:$B$353</c:f>
              <c:numCache>
                <c:formatCode>General</c:formatCode>
                <c:ptCount val="352"/>
                <c:pt idx="0">
                  <c:v>0</c:v>
                </c:pt>
                <c:pt idx="1" c:formatCode="0.00E+00">
                  <c:v>1.2994712687815e-14</c:v>
                </c:pt>
                <c:pt idx="2" c:formatCode="0.00E+00">
                  <c:v>1.3232886429339e-12</c:v>
                </c:pt>
                <c:pt idx="3" c:formatCode="0.00E+00">
                  <c:v>1.3458363712201e-10</c:v>
                </c:pt>
                <c:pt idx="4" c:formatCode="0.00E+00">
                  <c:v>1.3021239671099e-7</c:v>
                </c:pt>
                <c:pt idx="5" c:formatCode="0.00E+00">
                  <c:v>3.0213758841243e-6</c:v>
                </c:pt>
                <c:pt idx="6" c:formatCode="0.00E+00">
                  <c:v>1.8117638712041e-5</c:v>
                </c:pt>
                <c:pt idx="7" c:formatCode="0.00E+00">
                  <c:v>7.6707477746134e-5</c:v>
                </c:pt>
                <c:pt idx="8">
                  <c:v>0.00011977352907833</c:v>
                </c:pt>
                <c:pt idx="9">
                  <c:v>0.00021224891273307</c:v>
                </c:pt>
                <c:pt idx="10">
                  <c:v>0.00026728787664135</c:v>
                </c:pt>
                <c:pt idx="11">
                  <c:v>0.00031994951536917</c:v>
                </c:pt>
                <c:pt idx="12">
                  <c:v>0.00037504868849052</c:v>
                </c:pt>
                <c:pt idx="13">
                  <c:v>0.00044546399220063</c:v>
                </c:pt>
                <c:pt idx="14">
                  <c:v>0.00050199330492885</c:v>
                </c:pt>
                <c:pt idx="15">
                  <c:v>0.00057315940202568</c:v>
                </c:pt>
                <c:pt idx="16">
                  <c:v>0.00062416181707255</c:v>
                </c:pt>
                <c:pt idx="17">
                  <c:v>0.00069934496619216</c:v>
                </c:pt>
                <c:pt idx="18">
                  <c:v>0.00075373710889179</c:v>
                </c:pt>
                <c:pt idx="19">
                  <c:v>0.00082557887465011</c:v>
                </c:pt>
                <c:pt idx="20">
                  <c:v>0.00081790289970436</c:v>
                </c:pt>
                <c:pt idx="21">
                  <c:v>0.00089016473638082</c:v>
                </c:pt>
                <c:pt idx="22">
                  <c:v>0.00096976445497279</c:v>
                </c:pt>
                <c:pt idx="23">
                  <c:v>0.0010575866462942</c:v>
                </c:pt>
                <c:pt idx="24">
                  <c:v>0.0011546392762972</c:v>
                </c:pt>
                <c:pt idx="25">
                  <c:v>0.0012620732939862</c:v>
                </c:pt>
                <c:pt idx="26">
                  <c:v>0.0013812058872023</c:v>
                </c:pt>
                <c:pt idx="27">
                  <c:v>0.0015135462625177</c:v>
                </c:pt>
                <c:pt idx="28">
                  <c:v>0.0016608246571945</c:v>
                </c:pt>
                <c:pt idx="29">
                  <c:v>0.0018250294773368</c:v>
                </c:pt>
                <c:pt idx="30">
                  <c:v>0.0020084358670908</c:v>
                </c:pt>
                <c:pt idx="31">
                  <c:v>0.0022136559243272</c:v>
                </c:pt>
                <c:pt idx="32">
                  <c:v>0.0023001477678628</c:v>
                </c:pt>
                <c:pt idx="33">
                  <c:v>0.0023904303292161</c:v>
                </c:pt>
                <c:pt idx="34">
                  <c:v>0.0024873450076507</c:v>
                </c:pt>
                <c:pt idx="35">
                  <c:v>0.0025901596607112</c:v>
                </c:pt>
                <c:pt idx="36">
                  <c:v>0.0026721407619871</c:v>
                </c:pt>
                <c:pt idx="37">
                  <c:v>0.0027629197367599</c:v>
                </c:pt>
                <c:pt idx="38">
                  <c:v>0.0028512848836508</c:v>
                </c:pt>
                <c:pt idx="39">
                  <c:v>0.0029429350279748</c:v>
                </c:pt>
                <c:pt idx="40">
                  <c:v>0.0030380053938469</c:v>
                </c:pt>
                <c:pt idx="41">
                  <c:v>0.0031366365966649</c:v>
                </c:pt>
                <c:pt idx="42">
                  <c:v>0.0032389752882469</c:v>
                </c:pt>
                <c:pt idx="43">
                  <c:v>0.0033451741384504</c:v>
                </c:pt>
                <c:pt idx="44">
                  <c:v>0.0034553920140044</c:v>
                </c:pt>
                <c:pt idx="45">
                  <c:v>0.0035578468944462</c:v>
                </c:pt>
                <c:pt idx="46">
                  <c:v>0.0036350282284131</c:v>
                </c:pt>
                <c:pt idx="47">
                  <c:v>0.0036940479309383</c:v>
                </c:pt>
                <c:pt idx="48">
                  <c:v>0.0037995596047284</c:v>
                </c:pt>
                <c:pt idx="49">
                  <c:v>0.0038973107542164</c:v>
                </c:pt>
                <c:pt idx="50">
                  <c:v>0.0039825236399024</c:v>
                </c:pt>
                <c:pt idx="51">
                  <c:v>0.0040716080911283</c:v>
                </c:pt>
                <c:pt idx="52">
                  <c:v>0.0041665376871303</c:v>
                </c:pt>
                <c:pt idx="53">
                  <c:v>0.0042713044463832</c:v>
                </c:pt>
                <c:pt idx="54">
                  <c:v>0.0043940376589065</c:v>
                </c:pt>
                <c:pt idx="55">
                  <c:v>0.0044922037873347</c:v>
                </c:pt>
                <c:pt idx="56">
                  <c:v>0.004595376689058</c:v>
                </c:pt>
                <c:pt idx="57">
                  <c:v>0.0047063963407501</c:v>
                </c:pt>
                <c:pt idx="58">
                  <c:v>0.0048310231531739</c:v>
                </c:pt>
                <c:pt idx="59">
                  <c:v>0.0049182056378818</c:v>
                </c:pt>
                <c:pt idx="60">
                  <c:v>0.0050011199936194</c:v>
                </c:pt>
                <c:pt idx="61">
                  <c:v>0.0051182983043348</c:v>
                </c:pt>
                <c:pt idx="62">
                  <c:v>0.0052685891406873</c:v>
                </c:pt>
                <c:pt idx="63">
                  <c:v>0.0053538740837533</c:v>
                </c:pt>
                <c:pt idx="64">
                  <c:v>0.005469104920223</c:v>
                </c:pt>
                <c:pt idx="65">
                  <c:v>0.0055951549611067</c:v>
                </c:pt>
                <c:pt idx="66">
                  <c:v>0.0056973031567219</c:v>
                </c:pt>
                <c:pt idx="67">
                  <c:v>0.0057944637904971</c:v>
                </c:pt>
                <c:pt idx="68">
                  <c:v>0.0059317956746805</c:v>
                </c:pt>
                <c:pt idx="69">
                  <c:v>0.006024283134012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30560"/>
        <c:axId val="635431872"/>
      </c:scatterChart>
      <c:valAx>
        <c:axId val="6354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431872"/>
        <c:crosses val="autoZero"/>
        <c:crossBetween val="midCat"/>
      </c:valAx>
      <c:valAx>
        <c:axId val="6354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43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Exp_773K_173MPa!$B$2:$B$6</c:f>
              <c:numCache>
                <c:formatCode>0.00E+00</c:formatCode>
                <c:ptCount val="5"/>
                <c:pt idx="0">
                  <c:v>3180016.42848</c:v>
                </c:pt>
                <c:pt idx="1">
                  <c:v>27525263.7996</c:v>
                </c:pt>
                <c:pt idx="2">
                  <c:v>37858421.628</c:v>
                </c:pt>
                <c:pt idx="3">
                  <c:v>50431390.704</c:v>
                </c:pt>
                <c:pt idx="4">
                  <c:v>61710819.516</c:v>
                </c:pt>
              </c:numCache>
            </c:numRef>
          </c:xVal>
          <c:yVal>
            <c:numRef>
              <c:f>Exp_773K_173MPa!$C$2:$C$6</c:f>
              <c:numCache>
                <c:formatCode>0.00E+00</c:formatCode>
                <c:ptCount val="5"/>
                <c:pt idx="0">
                  <c:v>0.006841656</c:v>
                </c:pt>
                <c:pt idx="1">
                  <c:v>0.008317993</c:v>
                </c:pt>
                <c:pt idx="2">
                  <c:v>0.008089998</c:v>
                </c:pt>
                <c:pt idx="3">
                  <c:v>0.008376861</c:v>
                </c:pt>
                <c:pt idx="4">
                  <c:v>0.009354873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Exp_773K_87MPa!$B$2:$B$6</c:f>
              <c:numCache>
                <c:formatCode>0.00E+00</c:formatCode>
                <c:ptCount val="5"/>
                <c:pt idx="0">
                  <c:v>2665936.5192</c:v>
                </c:pt>
                <c:pt idx="1">
                  <c:v>25817729.9436</c:v>
                </c:pt>
                <c:pt idx="2">
                  <c:v>36872722.692</c:v>
                </c:pt>
                <c:pt idx="3">
                  <c:v>51726447.468</c:v>
                </c:pt>
                <c:pt idx="4">
                  <c:v>61771477.932</c:v>
                </c:pt>
              </c:numCache>
            </c:numRef>
          </c:xVal>
          <c:yVal>
            <c:numRef>
              <c:f>Exp_773K_87MPa!$C$2:$C$6</c:f>
              <c:numCache>
                <c:formatCode>0.00E+00</c:formatCode>
                <c:ptCount val="5"/>
                <c:pt idx="0">
                  <c:v>0.002051855</c:v>
                </c:pt>
                <c:pt idx="1">
                  <c:v>0.002231513</c:v>
                </c:pt>
                <c:pt idx="2">
                  <c:v>0.002667074</c:v>
                </c:pt>
                <c:pt idx="3">
                  <c:v>0.002655595</c:v>
                </c:pt>
                <c:pt idx="4">
                  <c:v>0.00315013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Exp_773K_52MPa!$B$2:$B$6</c:f>
              <c:numCache>
                <c:formatCode>0.00E+00</c:formatCode>
                <c:ptCount val="5"/>
                <c:pt idx="0">
                  <c:v>3703195.098</c:v>
                </c:pt>
                <c:pt idx="1">
                  <c:v>26612354.9376</c:v>
                </c:pt>
                <c:pt idx="2">
                  <c:v>37914530.652</c:v>
                </c:pt>
                <c:pt idx="3">
                  <c:v>51768908.352</c:v>
                </c:pt>
                <c:pt idx="4">
                  <c:v>61067840.508</c:v>
                </c:pt>
              </c:numCache>
            </c:numRef>
          </c:xVal>
          <c:yVal>
            <c:numRef>
              <c:f>Exp_773K_52MPa!$C$2:$C$6</c:f>
              <c:numCache>
                <c:formatCode>General</c:formatCode>
                <c:ptCount val="5"/>
                <c:pt idx="0">
                  <c:v>0.001450747</c:v>
                </c:pt>
                <c:pt idx="1">
                  <c:v>0.001449378</c:v>
                </c:pt>
                <c:pt idx="2">
                  <c:v>0.00197561</c:v>
                </c:pt>
                <c:pt idx="3">
                  <c:v>0.001812275</c:v>
                </c:pt>
                <c:pt idx="4">
                  <c:v>0.00212515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Exp_773K_121MPa!$B$2:$B$6</c:f>
              <c:numCache>
                <c:formatCode>0.00E+00</c:formatCode>
                <c:ptCount val="5"/>
                <c:pt idx="0">
                  <c:v>1842498.78876</c:v>
                </c:pt>
                <c:pt idx="1">
                  <c:v>25241475.1788</c:v>
                </c:pt>
                <c:pt idx="2">
                  <c:v>37265485.788</c:v>
                </c:pt>
                <c:pt idx="3">
                  <c:v>50855999.508</c:v>
                </c:pt>
                <c:pt idx="4">
                  <c:v>60658396.344</c:v>
                </c:pt>
              </c:numCache>
            </c:numRef>
          </c:xVal>
          <c:yVal>
            <c:numRef>
              <c:f>Exp_773K_121MPa!$C$2:$C$6</c:f>
              <c:numCache>
                <c:formatCode>General</c:formatCode>
                <c:ptCount val="5"/>
                <c:pt idx="0">
                  <c:v>0.003406243</c:v>
                </c:pt>
                <c:pt idx="1">
                  <c:v>0.003676573</c:v>
                </c:pt>
                <c:pt idx="2">
                  <c:v>0.004866362</c:v>
                </c:pt>
                <c:pt idx="3">
                  <c:v>0.004943659</c:v>
                </c:pt>
                <c:pt idx="4">
                  <c:v>0.005257166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104775</xdr:colOff>
      <xdr:row>96</xdr:row>
      <xdr:rowOff>127000</xdr:rowOff>
    </xdr:from>
    <xdr:to>
      <xdr:col>67</xdr:col>
      <xdr:colOff>399415</xdr:colOff>
      <xdr:row>120</xdr:row>
      <xdr:rowOff>41275</xdr:rowOff>
    </xdr:to>
    <xdr:graphicFrame>
      <xdr:nvGraphicFramePr>
        <xdr:cNvPr id="3" name="Chart 2"/>
        <xdr:cNvGraphicFramePr/>
      </xdr:nvGraphicFramePr>
      <xdr:xfrm>
        <a:off x="49496345" y="18415000"/>
        <a:ext cx="8543290" cy="448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441325</xdr:colOff>
      <xdr:row>176</xdr:row>
      <xdr:rowOff>155575</xdr:rowOff>
    </xdr:from>
    <xdr:to>
      <xdr:col>26</xdr:col>
      <xdr:colOff>85725</xdr:colOff>
      <xdr:row>191</xdr:row>
      <xdr:rowOff>136525</xdr:rowOff>
    </xdr:to>
    <xdr:graphicFrame>
      <xdr:nvGraphicFramePr>
        <xdr:cNvPr id="2" name="Chart 1"/>
        <xdr:cNvGraphicFramePr/>
      </xdr:nvGraphicFramePr>
      <xdr:xfrm>
        <a:off x="16254095" y="33683575"/>
        <a:ext cx="636016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165100</xdr:rowOff>
    </xdr:to>
    <xdr:graphicFrame>
      <xdr:nvGraphicFramePr>
        <xdr:cNvPr id="6" name="Chart 5"/>
        <xdr:cNvGraphicFramePr/>
      </xdr:nvGraphicFramePr>
      <xdr:xfrm>
        <a:off x="8042910" y="7239000"/>
        <a:ext cx="6305550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165100</xdr:rowOff>
    </xdr:to>
    <xdr:graphicFrame>
      <xdr:nvGraphicFramePr>
        <xdr:cNvPr id="2" name="Chart 1"/>
        <xdr:cNvGraphicFramePr/>
      </xdr:nvGraphicFramePr>
      <xdr:xfrm>
        <a:off x="8042910" y="7239000"/>
        <a:ext cx="6305550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165100</xdr:rowOff>
    </xdr:to>
    <xdr:graphicFrame>
      <xdr:nvGraphicFramePr>
        <xdr:cNvPr id="2" name="Chart 1"/>
        <xdr:cNvGraphicFramePr/>
      </xdr:nvGraphicFramePr>
      <xdr:xfrm>
        <a:off x="7715250" y="4572000"/>
        <a:ext cx="6305550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165100</xdr:rowOff>
    </xdr:to>
    <xdr:graphicFrame>
      <xdr:nvGraphicFramePr>
        <xdr:cNvPr id="2" name="Chart 1"/>
        <xdr:cNvGraphicFramePr/>
      </xdr:nvGraphicFramePr>
      <xdr:xfrm>
        <a:off x="7715250" y="4572000"/>
        <a:ext cx="6305550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4" sqref="C4"/>
    </sheetView>
  </sheetViews>
  <sheetFormatPr defaultColWidth="9" defaultRowHeight="15" outlineLevelRow="4" outlineLevelCol="3"/>
  <cols>
    <col min="3" max="3" width="11.8133333333333" style="1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173</v>
      </c>
      <c r="B2" s="1">
        <f>(Exp_773K_173MPa!C6-Exp_773K_173MPa!C2)/(Exp_773K_173MPa!B6-Exp_773K_173MPa!B2)</f>
        <v>4.29383652269735e-11</v>
      </c>
      <c r="C2" s="1">
        <f>('773K_173MPa_512g'!B71-'773K_173MPa_512g'!B62)/('773K_173MPa_512g'!A71-'773K_173MPa_512g'!A62)</f>
        <v>1.18827338754538e-10</v>
      </c>
      <c r="D2" s="9">
        <f>C2/B2</f>
        <v>2.76739317219957</v>
      </c>
    </row>
    <row r="3" spans="1:4">
      <c r="A3">
        <v>121</v>
      </c>
      <c r="B3" s="1">
        <f>(Exp_773K_121MPa!C6-Exp_773K_121MPa!C2)/(Exp_773K_121MPa!B6-Exp_773K_121MPa!B2)</f>
        <v>3.14697739375925e-11</v>
      </c>
      <c r="C3" s="1">
        <f>('773K_121MPa_512g'!B35-'773K_121MPa_512g'!B25)/('773K_121MPa_512g'!A35-'773K_121MPa_512g'!A25)</f>
        <v>2.09869923877728e-11</v>
      </c>
      <c r="D3" s="9">
        <f t="shared" ref="D3:D5" si="0">C3/B3</f>
        <v>0.666893649423475</v>
      </c>
    </row>
    <row r="4" spans="1:4">
      <c r="A4">
        <v>87</v>
      </c>
      <c r="B4" s="1">
        <f>(Exp_773K_87MPa!C6-Exp_773K_87MPa!C2)/(Exp_773K_87MPa!B6-Exp_773K_87MPa!B2)</f>
        <v>1.85815910614797e-11</v>
      </c>
      <c r="C4" s="1">
        <f>('773K_87MPa_512g'!B35-'773K_87MPa_512g'!B25)/('773K_87MPa_512g'!A35-'773K_87MPa_512g'!A25)</f>
        <v>1.43191500371376e-11</v>
      </c>
      <c r="D4" s="9">
        <f t="shared" si="0"/>
        <v>0.770609469865133</v>
      </c>
    </row>
    <row r="5" spans="1:4">
      <c r="A5">
        <v>52</v>
      </c>
      <c r="B5" s="1">
        <f>(Exp_773K_52MPa!C6-Exp_773K_52MPa!C2)/(Exp_773K_52MPa!B6-Exp_773K_52MPa!B2)</f>
        <v>1.17564223604952e-11</v>
      </c>
      <c r="C5" s="1">
        <f>('773K_52MPa_512g'!B35-'773K_52MPa_512g'!B25)/('773K_52MPa_512g'!A35-'773K_52MPa_512g'!A25)</f>
        <v>8.4597495048918e-12</v>
      </c>
      <c r="D5" s="9">
        <f t="shared" si="0"/>
        <v>0.719585367511028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53"/>
  <sheetViews>
    <sheetView topLeftCell="A49" workbookViewId="0">
      <selection activeCell="C1" sqref="C1:C6"/>
    </sheetView>
  </sheetViews>
  <sheetFormatPr defaultColWidth="8.81333333333333" defaultRowHeight="15"/>
  <cols>
    <col min="1" max="1" width="8.81333333333333" style="1"/>
    <col min="2" max="3" width="12.5"/>
    <col min="66" max="71" width="12.4533333333333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1.2994712687815e-14</v>
      </c>
      <c r="C3" s="6">
        <f>(BF3-BF2)/(A3-A2)</f>
        <v>5.59829276207607e-6</v>
      </c>
      <c r="D3" s="5">
        <v>4.6266832757e-15</v>
      </c>
      <c r="E3" s="5">
        <v>4.7017770575509e-15</v>
      </c>
      <c r="F3" s="5">
        <v>4.7017770575509e-15</v>
      </c>
      <c r="G3" s="5">
        <v>4.7017770575509e-15</v>
      </c>
      <c r="H3" s="5">
        <v>4.6266832757e-15</v>
      </c>
      <c r="I3" s="5">
        <v>4.6266832757e-15</v>
      </c>
      <c r="J3" s="5">
        <v>4.6266832757e-15</v>
      </c>
      <c r="K3" s="5">
        <v>4.6404470410523e-15</v>
      </c>
      <c r="L3" s="5">
        <v>4.6404470410523e-15</v>
      </c>
      <c r="M3" s="5">
        <v>4.6404470410523e-15</v>
      </c>
      <c r="N3" s="5">
        <v>4.7369816014469e-15</v>
      </c>
      <c r="O3" s="5">
        <v>4.6266832757e-15</v>
      </c>
      <c r="P3" s="5">
        <v>4.7369816014469e-15</v>
      </c>
      <c r="Q3" s="5">
        <v>4.7369816014469e-15</v>
      </c>
      <c r="R3" s="5">
        <v>4.7017770575509e-15</v>
      </c>
      <c r="S3" s="5">
        <v>4.7017770575509e-15</v>
      </c>
      <c r="T3" s="5">
        <v>4.7017770575509e-15</v>
      </c>
      <c r="U3" s="5">
        <v>4.6266832757e-15</v>
      </c>
      <c r="V3" s="5">
        <v>4.6404470410523e-15</v>
      </c>
      <c r="W3" s="5">
        <v>4.6404470410523e-15</v>
      </c>
      <c r="X3" s="5">
        <v>4.6404470410523e-15</v>
      </c>
      <c r="Y3" s="5">
        <v>4.7369816014469e-15</v>
      </c>
      <c r="Z3" s="5">
        <v>4.7369816014469e-15</v>
      </c>
      <c r="AA3" s="5">
        <v>4.7369816014469e-15</v>
      </c>
      <c r="AB3" s="3">
        <v>1</v>
      </c>
      <c r="AC3" s="3">
        <v>0.99999999999966</v>
      </c>
      <c r="AD3" s="5">
        <v>2.1745800216996e-6</v>
      </c>
      <c r="AE3" s="5">
        <v>1.8305980026021e-29</v>
      </c>
      <c r="AF3" s="5">
        <v>-3.5581300681744e-29</v>
      </c>
      <c r="AG3" s="5">
        <v>9.5901821992671e-29</v>
      </c>
      <c r="AH3" s="5">
        <v>-1.2308770158449e-28</v>
      </c>
      <c r="AI3" s="5">
        <v>3.2853144563902e-30</v>
      </c>
      <c r="AJ3" s="5">
        <v>-9.879566699064e-30</v>
      </c>
      <c r="AK3" s="5">
        <v>2.0770795947756e-30</v>
      </c>
      <c r="AL3" s="5">
        <v>4.4762151480413e-29</v>
      </c>
      <c r="AM3" s="5">
        <v>-3.9444532514143e-29</v>
      </c>
      <c r="AN3" s="5">
        <v>-4.0164096611839e-29</v>
      </c>
      <c r="AO3" s="5">
        <v>3.3254347371633e-29</v>
      </c>
      <c r="AP3" s="5">
        <v>-1.5501883043984e-29</v>
      </c>
      <c r="AQ3" s="5">
        <v>8.8164175494929e-29</v>
      </c>
      <c r="AR3" s="5">
        <v>-1.4593661178916e-28</v>
      </c>
      <c r="AS3" s="5">
        <v>5.8006559187804e-29</v>
      </c>
      <c r="AT3" s="5">
        <v>3.5607540897626e-29</v>
      </c>
      <c r="AU3" s="5">
        <v>-1.1793006531201e-28</v>
      </c>
      <c r="AV3" s="5">
        <v>1.6666737235842e-29</v>
      </c>
      <c r="AW3" s="5">
        <v>-2.4374185221203e-29</v>
      </c>
      <c r="AX3" s="5">
        <v>5.1195042153765e-29</v>
      </c>
      <c r="AY3" s="5">
        <v>-3.3134763119965e-29</v>
      </c>
      <c r="AZ3" s="5">
        <v>2.9499687652094e-29</v>
      </c>
      <c r="BA3" s="5">
        <v>1.1119589422264e-28</v>
      </c>
      <c r="BB3" s="5">
        <v>-1.0612162990816e-28</v>
      </c>
      <c r="BC3" s="3">
        <v>15999999.999981</v>
      </c>
      <c r="BD3" s="3">
        <v>3999999.999998</v>
      </c>
      <c r="BE3" s="5">
        <v>-1.042858824645e-6</v>
      </c>
      <c r="BF3" s="5">
        <v>2.2234410035848e-6</v>
      </c>
      <c r="BG3" s="5">
        <v>6.1472233850374e-7</v>
      </c>
      <c r="BH3" s="5">
        <v>-1.7927402972027e-8</v>
      </c>
      <c r="BI3" s="3">
        <v>0.52894059348729</v>
      </c>
      <c r="BJ3" s="3">
        <v>0.26447034535091</v>
      </c>
      <c r="BK3" s="3">
        <v>0.48285069006155</v>
      </c>
      <c r="BL3" s="4"/>
      <c r="BM3" s="7"/>
    </row>
    <row r="4" spans="1:65">
      <c r="A4" s="3">
        <v>3.9716411736214</v>
      </c>
      <c r="B4" s="5">
        <v>1.3232886429339e-12</v>
      </c>
      <c r="C4" s="6">
        <f>(BF4-BF3)/(A4-A3)</f>
        <v>5.59751208130233e-6</v>
      </c>
      <c r="D4" s="5">
        <v>4.636112424346e-14</v>
      </c>
      <c r="E4" s="5">
        <v>4.7112420576987e-14</v>
      </c>
      <c r="F4" s="5">
        <v>4.7112420576987e-14</v>
      </c>
      <c r="G4" s="5">
        <v>4.7112420576987e-14</v>
      </c>
      <c r="H4" s="5">
        <v>4.636112424346e-14</v>
      </c>
      <c r="I4" s="5">
        <v>4.636112424346e-14</v>
      </c>
      <c r="J4" s="5">
        <v>4.636112424346e-14</v>
      </c>
      <c r="K4" s="5">
        <v>4.6498196760155e-14</v>
      </c>
      <c r="L4" s="5">
        <v>4.6498196760155e-14</v>
      </c>
      <c r="M4" s="5">
        <v>4.6498196760155e-14</v>
      </c>
      <c r="N4" s="5">
        <v>4.7469076507e-14</v>
      </c>
      <c r="O4" s="5">
        <v>4.636112424346e-14</v>
      </c>
      <c r="P4" s="5">
        <v>4.7469076507e-14</v>
      </c>
      <c r="Q4" s="5">
        <v>4.7469076507e-14</v>
      </c>
      <c r="R4" s="5">
        <v>4.7112420576987e-14</v>
      </c>
      <c r="S4" s="5">
        <v>4.7112420576987e-14</v>
      </c>
      <c r="T4" s="5">
        <v>4.7112420576987e-14</v>
      </c>
      <c r="U4" s="5">
        <v>4.636112424346e-14</v>
      </c>
      <c r="V4" s="5">
        <v>4.6498196760155e-14</v>
      </c>
      <c r="W4" s="5">
        <v>4.6498196760155e-14</v>
      </c>
      <c r="X4" s="5">
        <v>4.6498196760155e-14</v>
      </c>
      <c r="Y4" s="5">
        <v>4.7469076507e-14</v>
      </c>
      <c r="Z4" s="5">
        <v>4.7469076507e-14</v>
      </c>
      <c r="AA4" s="5">
        <v>4.7469076507e-14</v>
      </c>
      <c r="AB4" s="3">
        <v>1</v>
      </c>
      <c r="AC4" s="3">
        <v>0.99999999999799</v>
      </c>
      <c r="AD4" s="5">
        <v>2.174384579492e-5</v>
      </c>
      <c r="AE4" s="5">
        <v>2.026500297794e-28</v>
      </c>
      <c r="AF4" s="5">
        <v>5.3704050198864e-27</v>
      </c>
      <c r="AG4" s="5">
        <v>8.472691988275e-27</v>
      </c>
      <c r="AH4" s="5">
        <v>-4.1718356689568e-27</v>
      </c>
      <c r="AI4" s="5">
        <v>8.5801025421204e-28</v>
      </c>
      <c r="AJ4" s="5">
        <v>-1.2130508076705e-27</v>
      </c>
      <c r="AK4" s="5">
        <v>-8.6612950698962e-28</v>
      </c>
      <c r="AL4" s="5">
        <v>3.9585701362108e-27</v>
      </c>
      <c r="AM4" s="5">
        <v>-1.3939358708072e-27</v>
      </c>
      <c r="AN4" s="5">
        <v>1.1759616841031e-27</v>
      </c>
      <c r="AO4" s="5">
        <v>1.4697510639581e-27</v>
      </c>
      <c r="AP4" s="5">
        <v>-1.6063480548794e-27</v>
      </c>
      <c r="AQ4" s="5">
        <v>3.6533214855151e-27</v>
      </c>
      <c r="AR4" s="5">
        <v>-7.5165176435075e-27</v>
      </c>
      <c r="AS4" s="5">
        <v>2.9725915784049e-27</v>
      </c>
      <c r="AT4" s="5">
        <v>6.9255257900294e-27</v>
      </c>
      <c r="AU4" s="5">
        <v>-5.2919693223836e-27</v>
      </c>
      <c r="AV4" s="5">
        <v>1.3042638417364e-27</v>
      </c>
      <c r="AW4" s="5">
        <v>3.9079068299635e-27</v>
      </c>
      <c r="AX4" s="5">
        <v>8.9103917758556e-27</v>
      </c>
      <c r="AY4" s="5">
        <v>3.8813570928812e-27</v>
      </c>
      <c r="AZ4" s="5">
        <v>-1.3640726243631e-27</v>
      </c>
      <c r="BA4" s="5">
        <v>2.213634145206e-27</v>
      </c>
      <c r="BB4" s="5">
        <v>-9.2795798734347e-27</v>
      </c>
      <c r="BC4" s="3">
        <v>15999999.998742</v>
      </c>
      <c r="BD4" s="3">
        <v>3999999.9997927</v>
      </c>
      <c r="BE4" s="5">
        <v>-1.0428366703662e-5</v>
      </c>
      <c r="BF4" s="5">
        <v>2.2231619510334e-5</v>
      </c>
      <c r="BG4" s="5">
        <v>6.147407636823e-6</v>
      </c>
      <c r="BH4" s="5">
        <v>-1.7928124121877e-6</v>
      </c>
      <c r="BI4" s="3">
        <v>5.2893995512076</v>
      </c>
      <c r="BJ4" s="3">
        <v>2.6447046360397</v>
      </c>
      <c r="BK4" s="3">
        <v>4.8284657780433</v>
      </c>
      <c r="BL4" s="4"/>
      <c r="BM4" s="7"/>
    </row>
    <row r="5" spans="1:65">
      <c r="A5" s="3">
        <v>39.716411736214</v>
      </c>
      <c r="B5" s="5">
        <v>1.3458363712201e-10</v>
      </c>
      <c r="C5" s="6">
        <f>(BF5-BF4)/(A5-A4)</f>
        <v>5.58979832485611e-6</v>
      </c>
      <c r="D5" s="5">
        <v>4.7329589240903e-13</v>
      </c>
      <c r="E5" s="5">
        <v>4.8083021581337e-13</v>
      </c>
      <c r="F5" s="5">
        <v>4.8083021581337e-13</v>
      </c>
      <c r="G5" s="5">
        <v>4.8083021581337e-13</v>
      </c>
      <c r="H5" s="5">
        <v>4.7329589240903e-13</v>
      </c>
      <c r="I5" s="5">
        <v>4.7329589240903e-13</v>
      </c>
      <c r="J5" s="5">
        <v>4.7329589240903e-13</v>
      </c>
      <c r="K5" s="5">
        <v>4.746089526904e-13</v>
      </c>
      <c r="L5" s="5">
        <v>4.746089526904e-13</v>
      </c>
      <c r="M5" s="5">
        <v>4.746089526904e-13</v>
      </c>
      <c r="N5" s="5">
        <v>4.8488987191952e-13</v>
      </c>
      <c r="O5" s="5">
        <v>4.7329589240903e-13</v>
      </c>
      <c r="P5" s="5">
        <v>4.8488987191952e-13</v>
      </c>
      <c r="Q5" s="5">
        <v>4.8488987191952e-13</v>
      </c>
      <c r="R5" s="5">
        <v>4.8083021581337e-13</v>
      </c>
      <c r="S5" s="5">
        <v>4.8083021581337e-13</v>
      </c>
      <c r="T5" s="5">
        <v>4.8083021581337e-13</v>
      </c>
      <c r="U5" s="5">
        <v>4.7329589240903e-13</v>
      </c>
      <c r="V5" s="5">
        <v>4.746089526904e-13</v>
      </c>
      <c r="W5" s="5">
        <v>4.746089526904e-13</v>
      </c>
      <c r="X5" s="5">
        <v>4.746089526904e-13</v>
      </c>
      <c r="Y5" s="5">
        <v>4.8488987191952e-13</v>
      </c>
      <c r="Z5" s="5">
        <v>4.8488987191952e-13</v>
      </c>
      <c r="AA5" s="5">
        <v>4.8488987191952e-13</v>
      </c>
      <c r="AB5" s="3">
        <v>0.99999999999992</v>
      </c>
      <c r="AC5" s="3">
        <v>0.99999982205745</v>
      </c>
      <c r="AD5" s="3">
        <v>0.00021724337660528</v>
      </c>
      <c r="AE5" s="5">
        <v>1.6904599615895e-21</v>
      </c>
      <c r="AF5" s="5">
        <v>-7.0858049992706e-21</v>
      </c>
      <c r="AG5" s="5">
        <v>6.3453774399198e-20</v>
      </c>
      <c r="AH5" s="5">
        <v>-2.8137832266292e-21</v>
      </c>
      <c r="AI5" s="5">
        <v>-3.8845322639668e-22</v>
      </c>
      <c r="AJ5" s="5">
        <v>-3.1611909679513e-22</v>
      </c>
      <c r="AK5" s="5">
        <v>-6.7707246435613e-22</v>
      </c>
      <c r="AL5" s="5">
        <v>8.8557027647636e-21</v>
      </c>
      <c r="AM5" s="5">
        <v>-2.7291303430102e-21</v>
      </c>
      <c r="AN5" s="5">
        <v>1.2235939360865e-21</v>
      </c>
      <c r="AO5" s="5">
        <v>-2.8297231496076e-21</v>
      </c>
      <c r="AP5" s="5">
        <v>-2.5646517984046e-21</v>
      </c>
      <c r="AQ5" s="5">
        <v>-1.0981398329066e-21</v>
      </c>
      <c r="AR5" s="5">
        <v>-1.1398941238332e-20</v>
      </c>
      <c r="AS5" s="5">
        <v>2.5423358575635e-20</v>
      </c>
      <c r="AT5" s="5">
        <v>7.2791637545796e-22</v>
      </c>
      <c r="AU5" s="5">
        <v>-9.1705942389899e-21</v>
      </c>
      <c r="AV5" s="5">
        <v>6.8700192217933e-21</v>
      </c>
      <c r="AW5" s="5">
        <v>1.0183787906972e-20</v>
      </c>
      <c r="AX5" s="5">
        <v>2.228638861501e-20</v>
      </c>
      <c r="AY5" s="5">
        <v>1.5216644721368e-21</v>
      </c>
      <c r="AZ5" s="5">
        <v>6.8218168005081e-22</v>
      </c>
      <c r="BA5" s="5">
        <v>5.049044932016e-21</v>
      </c>
      <c r="BB5" s="5">
        <v>-1.2929112194247e-20</v>
      </c>
      <c r="BC5" s="3">
        <v>15999999.919666</v>
      </c>
      <c r="BD5" s="3">
        <v>3999999.9789479</v>
      </c>
      <c r="BE5" s="3">
        <v>-0.00010426154910202</v>
      </c>
      <c r="BF5" s="3">
        <v>0.00022203767812348</v>
      </c>
      <c r="BG5" s="5">
        <v>6.1492413747987e-5</v>
      </c>
      <c r="BH5" s="3">
        <v>-0.00017933874688452</v>
      </c>
      <c r="BI5" s="3">
        <v>52.893354377353</v>
      </c>
      <c r="BJ5" s="3">
        <v>26.447162948242</v>
      </c>
      <c r="BK5" s="3">
        <v>48.280551840189</v>
      </c>
      <c r="BL5" s="4"/>
      <c r="BM5" s="7"/>
    </row>
    <row r="6" spans="1:65">
      <c r="A6" s="3">
        <v>188.81865970967</v>
      </c>
      <c r="B6" s="5">
        <v>1.3021239671099e-7</v>
      </c>
      <c r="C6" s="6">
        <f>(BF6-BF5)/(A6-A5)</f>
        <v>4.11003061404873e-6</v>
      </c>
      <c r="D6" s="5">
        <v>2.457165807097e-12</v>
      </c>
      <c r="E6" s="5">
        <v>2.4930549867135e-12</v>
      </c>
      <c r="F6" s="5">
        <v>2.4933017695247e-12</v>
      </c>
      <c r="G6" s="5">
        <v>2.4931326293327e-12</v>
      </c>
      <c r="H6" s="5">
        <v>2.4571642477782e-12</v>
      </c>
      <c r="I6" s="5">
        <v>2.4571615136034e-12</v>
      </c>
      <c r="J6" s="5">
        <v>2.457163234741e-12</v>
      </c>
      <c r="K6" s="5">
        <v>2.461929535011e-12</v>
      </c>
      <c r="L6" s="5">
        <v>2.461930593252e-12</v>
      </c>
      <c r="M6" s="5">
        <v>2.4619341686735e-12</v>
      </c>
      <c r="N6" s="5">
        <v>2.52371145336e-12</v>
      </c>
      <c r="O6" s="5">
        <v>2.45716376304e-12</v>
      </c>
      <c r="P6" s="5">
        <v>2.5237117853614e-12</v>
      </c>
      <c r="Q6" s="5">
        <v>2.5237102599189e-12</v>
      </c>
      <c r="R6" s="5">
        <v>2.4931147030061e-12</v>
      </c>
      <c r="S6" s="5">
        <v>2.4930518629778e-12</v>
      </c>
      <c r="T6" s="5">
        <v>2.493059452218e-12</v>
      </c>
      <c r="U6" s="5">
        <v>2.4571893007518e-12</v>
      </c>
      <c r="V6" s="5">
        <v>2.4619430521781e-12</v>
      </c>
      <c r="W6" s="5">
        <v>2.4619357438942e-12</v>
      </c>
      <c r="X6" s="5">
        <v>2.4619410243183e-12</v>
      </c>
      <c r="Y6" s="5">
        <v>2.5237284653865e-12</v>
      </c>
      <c r="Z6" s="5">
        <v>2.5237188124006e-12</v>
      </c>
      <c r="AA6" s="5">
        <v>2.5237186383827e-12</v>
      </c>
      <c r="AB6" s="3">
        <v>0.93717523523894</v>
      </c>
      <c r="AC6" s="3">
        <v>0.24393664754083</v>
      </c>
      <c r="AD6" s="3">
        <v>0.00081786206596242</v>
      </c>
      <c r="AE6" s="5">
        <v>1.8228648052478e-11</v>
      </c>
      <c r="AF6" s="5">
        <v>-8.4637738002465e-11</v>
      </c>
      <c r="AG6" s="5">
        <v>1.5164515738167e-9</v>
      </c>
      <c r="AH6" s="5">
        <v>2.4121841704423e-10</v>
      </c>
      <c r="AI6" s="5">
        <v>-7.1655659254847e-12</v>
      </c>
      <c r="AJ6" s="5">
        <v>1.0187018983238e-12</v>
      </c>
      <c r="AK6" s="5">
        <v>-4.9660033852051e-12</v>
      </c>
      <c r="AL6" s="5">
        <v>2.3331598379561e-11</v>
      </c>
      <c r="AM6" s="5">
        <v>-1.7794463258412e-11</v>
      </c>
      <c r="AN6" s="5">
        <v>2.1892685534444e-11</v>
      </c>
      <c r="AO6" s="5">
        <v>-1.5537850107874e-11</v>
      </c>
      <c r="AP6" s="5">
        <v>-5.7871617324409e-12</v>
      </c>
      <c r="AQ6" s="5">
        <v>-4.2064391463224e-11</v>
      </c>
      <c r="AR6" s="5">
        <v>-3.8556371651141e-11</v>
      </c>
      <c r="AS6" s="5">
        <v>4.2355010676183e-10</v>
      </c>
      <c r="AT6" s="5">
        <v>-3.7935225833498e-11</v>
      </c>
      <c r="AU6" s="5">
        <v>-4.9141630347292e-11</v>
      </c>
      <c r="AV6" s="5">
        <v>1.4885015103382e-11</v>
      </c>
      <c r="AW6" s="5">
        <v>6.4694022292604e-11</v>
      </c>
      <c r="AX6" s="5">
        <v>8.9285247696797e-11</v>
      </c>
      <c r="AY6" s="5">
        <v>-1.77927843274e-11</v>
      </c>
      <c r="AZ6" s="5">
        <v>-2.7942310904034e-11</v>
      </c>
      <c r="BA6" s="5">
        <v>6.3922321155081e-11</v>
      </c>
      <c r="BB6" s="5">
        <v>-4.4184575205148e-11</v>
      </c>
      <c r="BC6" s="3">
        <v>16000000.82347</v>
      </c>
      <c r="BD6" s="3">
        <v>4000072.5332861</v>
      </c>
      <c r="BE6" s="3">
        <v>-0.00039359156622188</v>
      </c>
      <c r="BF6" s="3">
        <v>0.00083485248191787</v>
      </c>
      <c r="BG6" s="3">
        <v>0.00023244947791947</v>
      </c>
      <c r="BH6" s="3">
        <v>-0.0025819789707306</v>
      </c>
      <c r="BI6" s="3">
        <v>199.75903554695</v>
      </c>
      <c r="BJ6" s="3">
        <v>99.886340251163</v>
      </c>
      <c r="BK6" s="3">
        <v>182.29087841474</v>
      </c>
      <c r="BL6" s="4"/>
      <c r="BM6" s="7"/>
    </row>
    <row r="7" spans="1:65">
      <c r="A7" s="3">
        <v>1759.9964179654</v>
      </c>
      <c r="B7" s="5">
        <v>3.0213758841243e-6</v>
      </c>
      <c r="C7" s="6">
        <f t="shared" ref="C7:C38" si="0">(BF7-BF6)/(A7-A6)</f>
        <v>1.60504891335123e-9</v>
      </c>
      <c r="D7" s="5">
        <v>2.45779465503e-12</v>
      </c>
      <c r="E7" s="5">
        <v>2.4941297995112e-12</v>
      </c>
      <c r="F7" s="5">
        <v>2.4968132317504e-12</v>
      </c>
      <c r="G7" s="5">
        <v>2.4955767522119e-12</v>
      </c>
      <c r="H7" s="5">
        <v>2.4576821757155e-12</v>
      </c>
      <c r="I7" s="5">
        <v>2.4575466207027e-12</v>
      </c>
      <c r="J7" s="5">
        <v>2.4575994807432e-12</v>
      </c>
      <c r="K7" s="5">
        <v>2.4617751246982e-12</v>
      </c>
      <c r="L7" s="5">
        <v>2.4618730844506e-12</v>
      </c>
      <c r="M7" s="5">
        <v>2.4619626071464e-12</v>
      </c>
      <c r="N7" s="5">
        <v>2.5236156844229e-12</v>
      </c>
      <c r="O7" s="5">
        <v>2.4577136948263e-12</v>
      </c>
      <c r="P7" s="5">
        <v>2.523494151878e-12</v>
      </c>
      <c r="Q7" s="5">
        <v>2.5234817430334e-12</v>
      </c>
      <c r="R7" s="5">
        <v>2.4945687032463e-12</v>
      </c>
      <c r="S7" s="5">
        <v>2.4936284563774e-12</v>
      </c>
      <c r="T7" s="5">
        <v>2.4937786257435e-12</v>
      </c>
      <c r="U7" s="5">
        <v>2.4590507084176e-12</v>
      </c>
      <c r="V7" s="5">
        <v>2.4625238978321e-12</v>
      </c>
      <c r="W7" s="5">
        <v>2.4622470706956e-12</v>
      </c>
      <c r="X7" s="5">
        <v>2.4624720589837e-12</v>
      </c>
      <c r="Y7" s="5">
        <v>2.5242669778954e-12</v>
      </c>
      <c r="Z7" s="5">
        <v>2.5240924868388e-12</v>
      </c>
      <c r="AA7" s="5">
        <v>2.5240354867038e-12</v>
      </c>
      <c r="AB7" s="3">
        <v>1.0041305229283</v>
      </c>
      <c r="AC7" s="3">
        <v>0.24124535663007</v>
      </c>
      <c r="AD7" s="3">
        <v>0.00082095536733789</v>
      </c>
      <c r="AE7" s="5">
        <v>5.7861345068368e-12</v>
      </c>
      <c r="AF7" s="5">
        <v>-3.4565455553051e-11</v>
      </c>
      <c r="AG7" s="5">
        <v>7.3423782961145e-11</v>
      </c>
      <c r="AH7" s="5">
        <v>-5.8524310103034e-11</v>
      </c>
      <c r="AI7" s="5">
        <v>2.3305151492166e-13</v>
      </c>
      <c r="AJ7" s="5">
        <v>-7.2933779272248e-13</v>
      </c>
      <c r="AK7" s="5">
        <v>-3.1291904862545e-12</v>
      </c>
      <c r="AL7" s="5">
        <v>1.5778810007947e-11</v>
      </c>
      <c r="AM7" s="5">
        <v>-9.330897725624e-12</v>
      </c>
      <c r="AN7" s="5">
        <v>3.5274937996031e-12</v>
      </c>
      <c r="AO7" s="5">
        <v>-1.3033662056802e-11</v>
      </c>
      <c r="AP7" s="5">
        <v>-5.2592636032592e-12</v>
      </c>
      <c r="AQ7" s="5">
        <v>-7.5001485362067e-12</v>
      </c>
      <c r="AR7" s="5">
        <v>-1.8580992392229e-11</v>
      </c>
      <c r="AS7" s="5">
        <v>1.9093693260034e-11</v>
      </c>
      <c r="AT7" s="5">
        <v>7.9694588450557e-13</v>
      </c>
      <c r="AU7" s="5">
        <v>-9.4679632266025e-12</v>
      </c>
      <c r="AV7" s="5">
        <v>3.9301550493952e-11</v>
      </c>
      <c r="AW7" s="5">
        <v>3.5383224428586e-11</v>
      </c>
      <c r="AX7" s="5">
        <v>6.0148785881951e-11</v>
      </c>
      <c r="AY7" s="5">
        <v>-7.9732708636633e-12</v>
      </c>
      <c r="AZ7" s="5">
        <v>1.1124079426168e-11</v>
      </c>
      <c r="BA7" s="5">
        <v>2.9626140860094e-11</v>
      </c>
      <c r="BB7" s="5">
        <v>-2.0938401705877e-11</v>
      </c>
      <c r="BC7" s="3">
        <v>15999920.137447</v>
      </c>
      <c r="BD7" s="3">
        <v>4001737.1969153</v>
      </c>
      <c r="BE7" s="3">
        <v>-0.00039604646068317</v>
      </c>
      <c r="BF7" s="3">
        <v>0.00083737429907144</v>
      </c>
      <c r="BG7" s="3">
        <v>0.00023247006229351</v>
      </c>
      <c r="BH7" s="3">
        <v>-0.0026224651306656</v>
      </c>
      <c r="BI7" s="3">
        <v>199.75837310403</v>
      </c>
      <c r="BJ7" s="3">
        <v>99.886331777997</v>
      </c>
      <c r="BK7" s="3">
        <v>182.29953491801</v>
      </c>
      <c r="BL7" s="4"/>
      <c r="BM7" s="7"/>
    </row>
    <row r="8" spans="1:65">
      <c r="A8" s="3">
        <v>17599.964179654</v>
      </c>
      <c r="B8" s="5">
        <v>1.8117638712041e-5</v>
      </c>
      <c r="C8" s="6">
        <f t="shared" si="0"/>
        <v>7.92348278029703e-10</v>
      </c>
      <c r="D8" s="5">
        <v>2.4617137906528e-12</v>
      </c>
      <c r="E8" s="5">
        <v>2.4993426002656e-12</v>
      </c>
      <c r="F8" s="5">
        <v>2.5070462200391e-12</v>
      </c>
      <c r="G8" s="5">
        <v>2.5052119952373e-12</v>
      </c>
      <c r="H8" s="5">
        <v>2.4608802933216e-12</v>
      </c>
      <c r="I8" s="5">
        <v>2.4603402258037e-12</v>
      </c>
      <c r="J8" s="5">
        <v>2.4601757038915e-12</v>
      </c>
      <c r="K8" s="5">
        <v>2.4623165103265e-12</v>
      </c>
      <c r="L8" s="5">
        <v>2.4634566967304e-12</v>
      </c>
      <c r="M8" s="5">
        <v>2.4629991535158e-12</v>
      </c>
      <c r="N8" s="5">
        <v>2.525378388912e-12</v>
      </c>
      <c r="O8" s="5">
        <v>2.4616833800981e-12</v>
      </c>
      <c r="P8" s="5">
        <v>2.524034103986e-12</v>
      </c>
      <c r="Q8" s="5">
        <v>2.5241229695108e-12</v>
      </c>
      <c r="R8" s="5">
        <v>2.4995616097843e-12</v>
      </c>
      <c r="S8" s="5">
        <v>2.4962083209014e-12</v>
      </c>
      <c r="T8" s="5">
        <v>2.4967743147742e-12</v>
      </c>
      <c r="U8" s="5">
        <v>2.4699979365544e-12</v>
      </c>
      <c r="V8" s="5">
        <v>2.4668852390801e-12</v>
      </c>
      <c r="W8" s="5">
        <v>2.4663421268072e-12</v>
      </c>
      <c r="X8" s="5">
        <v>2.4667641517976e-12</v>
      </c>
      <c r="Y8" s="5">
        <v>2.5280132611551e-12</v>
      </c>
      <c r="Z8" s="5">
        <v>2.5283573863396e-12</v>
      </c>
      <c r="AA8" s="5">
        <v>2.5283601785835e-12</v>
      </c>
      <c r="AB8" s="3">
        <v>0.99927812852314</v>
      </c>
      <c r="AC8" s="3">
        <v>0.22871199433402</v>
      </c>
      <c r="AD8" s="3">
        <v>0.00083591823311066</v>
      </c>
      <c r="AE8" s="5">
        <v>7.5125153625103e-13</v>
      </c>
      <c r="AF8" s="5">
        <v>-8.0822473170492e-12</v>
      </c>
      <c r="AG8" s="5">
        <v>8.7383265856472e-12</v>
      </c>
      <c r="AH8" s="5">
        <v>-1.7443000261429e-11</v>
      </c>
      <c r="AI8" s="5">
        <v>-1.4020282637083e-12</v>
      </c>
      <c r="AJ8" s="5">
        <v>-1.3973409249605e-12</v>
      </c>
      <c r="AK8" s="5">
        <v>-8.7045082871911e-13</v>
      </c>
      <c r="AL8" s="5">
        <v>6.7269320842552e-12</v>
      </c>
      <c r="AM8" s="5">
        <v>-1.5644623418765e-12</v>
      </c>
      <c r="AN8" s="5">
        <v>5.2705768421791e-14</v>
      </c>
      <c r="AO8" s="5">
        <v>-7.2155897120889e-12</v>
      </c>
      <c r="AP8" s="5">
        <v>-2.747009051149e-12</v>
      </c>
      <c r="AQ8" s="5">
        <v>-1.1949641901106e-12</v>
      </c>
      <c r="AR8" s="5">
        <v>-1.0251531346858e-11</v>
      </c>
      <c r="AS8" s="5">
        <v>3.7411800521942e-12</v>
      </c>
      <c r="AT8" s="5">
        <v>3.6987336696045e-12</v>
      </c>
      <c r="AU8" s="5">
        <v>-1.7132263578334e-12</v>
      </c>
      <c r="AV8" s="5">
        <v>1.109161327713e-11</v>
      </c>
      <c r="AW8" s="5">
        <v>1.7092094310795e-11</v>
      </c>
      <c r="AX8" s="5">
        <v>2.6375863326184e-11</v>
      </c>
      <c r="AY8" s="5">
        <v>-1.3412876361459e-13</v>
      </c>
      <c r="AZ8" s="5">
        <v>3.6484579332328e-12</v>
      </c>
      <c r="BA8" s="5">
        <v>2.9299583123587e-12</v>
      </c>
      <c r="BB8" s="5">
        <v>-1.4943783754004e-11</v>
      </c>
      <c r="BC8" s="3">
        <v>15998845.276052</v>
      </c>
      <c r="BD8" s="3">
        <v>4010502.8414792</v>
      </c>
      <c r="BE8" s="3">
        <v>-0.00040800321766602</v>
      </c>
      <c r="BF8" s="3">
        <v>0.00084992507025146</v>
      </c>
      <c r="BG8" s="3">
        <v>0.0002328023862646</v>
      </c>
      <c r="BH8" s="3">
        <v>-0.0027696526460326</v>
      </c>
      <c r="BI8" s="3">
        <v>199.75726626819</v>
      </c>
      <c r="BJ8" s="3">
        <v>99.886374544043</v>
      </c>
      <c r="BK8" s="3">
        <v>182.35443673406</v>
      </c>
      <c r="BL8" s="4"/>
      <c r="BM8" s="7"/>
    </row>
    <row r="9" spans="1:65">
      <c r="A9" s="3">
        <v>141611.39263116</v>
      </c>
      <c r="B9" s="5">
        <v>7.6707477746134e-5</v>
      </c>
      <c r="C9" s="6">
        <f t="shared" si="0"/>
        <v>3.90146924817577e-10</v>
      </c>
      <c r="D9" s="5">
        <v>2.4815537530945e-12</v>
      </c>
      <c r="E9" s="5">
        <v>2.5227357461807e-12</v>
      </c>
      <c r="F9" s="5">
        <v>2.5450372383093e-12</v>
      </c>
      <c r="G9" s="5">
        <v>2.540183349736e-12</v>
      </c>
      <c r="H9" s="5">
        <v>2.4749426543834e-12</v>
      </c>
      <c r="I9" s="5">
        <v>2.4761983931245e-12</v>
      </c>
      <c r="J9" s="5">
        <v>2.4714704322786e-12</v>
      </c>
      <c r="K9" s="5">
        <v>2.468930001085e-12</v>
      </c>
      <c r="L9" s="5">
        <v>2.4773694112157e-12</v>
      </c>
      <c r="M9" s="5">
        <v>2.4704821756335e-12</v>
      </c>
      <c r="N9" s="5">
        <v>2.542268567139e-12</v>
      </c>
      <c r="O9" s="5">
        <v>2.4823246119776e-12</v>
      </c>
      <c r="P9" s="5">
        <v>2.5339069532106e-12</v>
      </c>
      <c r="Q9" s="5">
        <v>2.5342291378543e-12</v>
      </c>
      <c r="R9" s="5">
        <v>2.5216501656323e-12</v>
      </c>
      <c r="S9" s="5">
        <v>2.5071696428263e-12</v>
      </c>
      <c r="T9" s="5">
        <v>2.5101882088175e-12</v>
      </c>
      <c r="U9" s="5">
        <v>2.5175856644818e-12</v>
      </c>
      <c r="V9" s="5">
        <v>2.490746192034e-12</v>
      </c>
      <c r="W9" s="5">
        <v>2.4915116963679e-12</v>
      </c>
      <c r="X9" s="5">
        <v>2.489428021992e-12</v>
      </c>
      <c r="Y9" s="5">
        <v>2.5516927960449e-12</v>
      </c>
      <c r="Z9" s="5">
        <v>2.5532518923654e-12</v>
      </c>
      <c r="AA9" s="5">
        <v>2.559196873427e-12</v>
      </c>
      <c r="AB9" s="3">
        <v>0.98873337216441</v>
      </c>
      <c r="AC9" s="3">
        <v>0.19361441471644</v>
      </c>
      <c r="AD9" s="3">
        <v>0.00089161650375671</v>
      </c>
      <c r="AE9" s="5">
        <v>-8.1621334445649e-13</v>
      </c>
      <c r="AF9" s="5">
        <v>3.2032077924913e-13</v>
      </c>
      <c r="AG9" s="5">
        <v>1.8188242198309e-12</v>
      </c>
      <c r="AH9" s="5">
        <v>-4.4639287964998e-12</v>
      </c>
      <c r="AI9" s="5">
        <v>-1.4634321287612e-12</v>
      </c>
      <c r="AJ9" s="5">
        <v>-3.6284789142615e-13</v>
      </c>
      <c r="AK9" s="5">
        <v>1.7283597973766e-14</v>
      </c>
      <c r="AL9" s="5">
        <v>1.5318809390263e-12</v>
      </c>
      <c r="AM9" s="5">
        <v>1.2490242410481e-12</v>
      </c>
      <c r="AN9" s="5">
        <v>3.1258732274218e-13</v>
      </c>
      <c r="AO9" s="5">
        <v>-8.3513715380393e-13</v>
      </c>
      <c r="AP9" s="5">
        <v>-9.5533190728266e-13</v>
      </c>
      <c r="AQ9" s="5">
        <v>5.3306787065542e-13</v>
      </c>
      <c r="AR9" s="5">
        <v>-4.5366064652425e-12</v>
      </c>
      <c r="AS9" s="5">
        <v>3.8200165735021e-13</v>
      </c>
      <c r="AT9" s="5">
        <v>2.437899017876e-12</v>
      </c>
      <c r="AU9" s="5">
        <v>2.819751202885e-13</v>
      </c>
      <c r="AV9" s="5">
        <v>-9.0266642261787e-13</v>
      </c>
      <c r="AW9" s="5">
        <v>5.7592244531526e-12</v>
      </c>
      <c r="AX9" s="5">
        <v>7.601500179552e-12</v>
      </c>
      <c r="AY9" s="5">
        <v>2.736246466856e-12</v>
      </c>
      <c r="AZ9" s="5">
        <v>-5.1359866232774e-13</v>
      </c>
      <c r="BA9" s="5">
        <v>-3.1939727672817e-12</v>
      </c>
      <c r="BB9" s="5">
        <v>-7.4168616661803e-12</v>
      </c>
      <c r="BC9" s="3">
        <v>15991549.824111</v>
      </c>
      <c r="BD9" s="3">
        <v>4044689.9246953</v>
      </c>
      <c r="BE9" s="3">
        <v>-0.00045161254927566</v>
      </c>
      <c r="BF9" s="3">
        <v>0.00089830774770405</v>
      </c>
      <c r="BG9" s="3">
        <v>0.00023541178045696</v>
      </c>
      <c r="BH9" s="3">
        <v>-0.0028984828820462</v>
      </c>
      <c r="BI9" s="3">
        <v>199.75434322592</v>
      </c>
      <c r="BJ9" s="3">
        <v>99.886400568849</v>
      </c>
      <c r="BK9" s="3">
        <v>182.55043797134</v>
      </c>
      <c r="BL9" s="4"/>
      <c r="BM9" s="7"/>
    </row>
    <row r="10" spans="1:65">
      <c r="A10" s="3">
        <v>278087.68254097</v>
      </c>
      <c r="B10" s="3">
        <v>0.00011977352907833</v>
      </c>
      <c r="C10" s="6">
        <f t="shared" si="0"/>
        <v>2.65386513547337e-10</v>
      </c>
      <c r="D10" s="5">
        <v>2.4958839041883e-12</v>
      </c>
      <c r="E10" s="5">
        <v>2.5396108410502e-12</v>
      </c>
      <c r="F10" s="5">
        <v>2.5698314074403e-12</v>
      </c>
      <c r="G10" s="5">
        <v>2.5620826887037e-12</v>
      </c>
      <c r="H10" s="5">
        <v>2.4838064460944e-12</v>
      </c>
      <c r="I10" s="5">
        <v>2.4882491733966e-12</v>
      </c>
      <c r="J10" s="5">
        <v>2.4786238145342e-12</v>
      </c>
      <c r="K10" s="5">
        <v>2.4750888209081e-12</v>
      </c>
      <c r="L10" s="5">
        <v>2.4897556806213e-12</v>
      </c>
      <c r="M10" s="5">
        <v>2.4770461810739e-12</v>
      </c>
      <c r="N10" s="5">
        <v>2.5563992250056e-12</v>
      </c>
      <c r="O10" s="5">
        <v>2.4965421962255e-12</v>
      </c>
      <c r="P10" s="5">
        <v>2.5427558365511e-12</v>
      </c>
      <c r="Q10" s="5">
        <v>2.54333862168e-12</v>
      </c>
      <c r="R10" s="5">
        <v>2.5382456453138e-12</v>
      </c>
      <c r="S10" s="5">
        <v>2.5145581504862e-12</v>
      </c>
      <c r="T10" s="5">
        <v>2.5200120422121e-12</v>
      </c>
      <c r="U10" s="5">
        <v>2.5469912538575e-12</v>
      </c>
      <c r="V10" s="5">
        <v>2.5089359383709e-12</v>
      </c>
      <c r="W10" s="5">
        <v>2.5109012373467e-12</v>
      </c>
      <c r="X10" s="5">
        <v>2.5056477725165e-12</v>
      </c>
      <c r="Y10" s="5">
        <v>2.5704184905347e-12</v>
      </c>
      <c r="Z10" s="5">
        <v>2.5711082733179e-12</v>
      </c>
      <c r="AA10" s="5">
        <v>2.5831744245041e-12</v>
      </c>
      <c r="AB10" s="3">
        <v>1.0049809547286</v>
      </c>
      <c r="AC10" s="3">
        <v>0.18231113976215</v>
      </c>
      <c r="AD10" s="3">
        <v>0.0009323039962816</v>
      </c>
      <c r="AE10" s="5">
        <v>-9.9144856790098e-13</v>
      </c>
      <c r="AF10" s="5">
        <v>8.2691340165734e-13</v>
      </c>
      <c r="AG10" s="5">
        <v>1.5346653614452e-12</v>
      </c>
      <c r="AH10" s="5">
        <v>-2.9881649871264e-12</v>
      </c>
      <c r="AI10" s="5">
        <v>-1.2136883419113e-12</v>
      </c>
      <c r="AJ10" s="5">
        <v>-2.7775703073729e-13</v>
      </c>
      <c r="AK10" s="5">
        <v>-1.0281904061865e-13</v>
      </c>
      <c r="AL10" s="5">
        <v>8.8443381870714e-13</v>
      </c>
      <c r="AM10" s="5">
        <v>1.2219617517899e-12</v>
      </c>
      <c r="AN10" s="5">
        <v>3.1614845771962e-13</v>
      </c>
      <c r="AO10" s="5">
        <v>1.149024415285e-13</v>
      </c>
      <c r="AP10" s="5">
        <v>-7.7056078878033e-13</v>
      </c>
      <c r="AQ10" s="5">
        <v>4.899420946524e-13</v>
      </c>
      <c r="AR10" s="5">
        <v>-3.3645389481945e-12</v>
      </c>
      <c r="AS10" s="5">
        <v>2.9143564132413e-13</v>
      </c>
      <c r="AT10" s="5">
        <v>1.8672046117181e-12</v>
      </c>
      <c r="AU10" s="5">
        <v>4.3578595722554e-13</v>
      </c>
      <c r="AV10" s="5">
        <v>-1.0986479344874e-12</v>
      </c>
      <c r="AW10" s="5">
        <v>4.3636169680553e-12</v>
      </c>
      <c r="AX10" s="5">
        <v>5.2771463323608e-12</v>
      </c>
      <c r="AY10" s="5">
        <v>2.9872278478472e-12</v>
      </c>
      <c r="AZ10" s="5">
        <v>-8.0623406661928e-13</v>
      </c>
      <c r="BA10" s="5">
        <v>-3.1400321758797e-12</v>
      </c>
      <c r="BB10" s="5">
        <v>-5.3865489726442e-12</v>
      </c>
      <c r="BC10" s="3">
        <v>15984582.725277</v>
      </c>
      <c r="BD10" s="3">
        <v>4069881.7880546</v>
      </c>
      <c r="BE10" s="3">
        <v>-0.0004824907891965</v>
      </c>
      <c r="BF10" s="3">
        <v>0.00093452671446509</v>
      </c>
      <c r="BG10" s="3">
        <v>0.00023828057403123</v>
      </c>
      <c r="BH10" s="3">
        <v>-0.0029836210099367</v>
      </c>
      <c r="BI10" s="3">
        <v>199.75272681757</v>
      </c>
      <c r="BJ10" s="3">
        <v>99.886527529725</v>
      </c>
      <c r="BK10" s="3">
        <v>182.67169102663</v>
      </c>
      <c r="BL10" s="4"/>
      <c r="BM10" s="7"/>
    </row>
    <row r="11" spans="1:65">
      <c r="A11" s="3">
        <v>658130.16457266</v>
      </c>
      <c r="B11" s="3">
        <v>0.00021224891273307</v>
      </c>
      <c r="C11" s="6">
        <f t="shared" si="0"/>
        <v>2.10247663032701e-10</v>
      </c>
      <c r="D11" s="5">
        <v>2.528069579527e-12</v>
      </c>
      <c r="E11" s="5">
        <v>2.5772615188841e-12</v>
      </c>
      <c r="F11" s="5">
        <v>2.6223052946718e-12</v>
      </c>
      <c r="G11" s="5">
        <v>2.6074831125328e-12</v>
      </c>
      <c r="H11" s="5">
        <v>2.5025718978337e-12</v>
      </c>
      <c r="I11" s="5">
        <v>2.515631765189e-12</v>
      </c>
      <c r="J11" s="5">
        <v>2.4936877270199e-12</v>
      </c>
      <c r="K11" s="5">
        <v>2.4900914775593e-12</v>
      </c>
      <c r="L11" s="5">
        <v>2.5197626025108e-12</v>
      </c>
      <c r="M11" s="5">
        <v>2.4928978776271e-12</v>
      </c>
      <c r="N11" s="5">
        <v>2.5882858022235e-12</v>
      </c>
      <c r="O11" s="5">
        <v>2.5269905472819e-12</v>
      </c>
      <c r="P11" s="5">
        <v>2.5627448709041e-12</v>
      </c>
      <c r="Q11" s="5">
        <v>2.564530909103e-12</v>
      </c>
      <c r="R11" s="5">
        <v>2.5760842569199e-12</v>
      </c>
      <c r="S11" s="5">
        <v>2.5303716592456e-12</v>
      </c>
      <c r="T11" s="5">
        <v>2.5423540944208e-12</v>
      </c>
      <c r="U11" s="5">
        <v>2.6056941873391e-12</v>
      </c>
      <c r="V11" s="5">
        <v>2.5499594138285e-12</v>
      </c>
      <c r="W11" s="5">
        <v>2.5542712172158e-12</v>
      </c>
      <c r="X11" s="5">
        <v>2.540367247312e-12</v>
      </c>
      <c r="Y11" s="5">
        <v>2.6122226494943e-12</v>
      </c>
      <c r="Z11" s="5">
        <v>2.6088577838838e-12</v>
      </c>
      <c r="AA11" s="5">
        <v>2.6345502638365e-12</v>
      </c>
      <c r="AB11" s="3">
        <v>1.0138211671704</v>
      </c>
      <c r="AC11" s="3">
        <v>0.1743075643945</v>
      </c>
      <c r="AD11" s="3">
        <v>0.0010205311933149</v>
      </c>
      <c r="AE11" s="5">
        <v>-7.6109549684584e-13</v>
      </c>
      <c r="AF11" s="5">
        <v>1.0943431551846e-12</v>
      </c>
      <c r="AG11" s="5">
        <v>1.375744744942e-12</v>
      </c>
      <c r="AH11" s="5">
        <v>-1.7551132396397e-12</v>
      </c>
      <c r="AI11" s="5">
        <v>-9.2167203174049e-13</v>
      </c>
      <c r="AJ11" s="5">
        <v>-3.8271633046536e-13</v>
      </c>
      <c r="AK11" s="5">
        <v>-2.7441123310743e-13</v>
      </c>
      <c r="AL11" s="5">
        <v>4.0541347310942e-13</v>
      </c>
      <c r="AM11" s="5">
        <v>8.9265073344567e-13</v>
      </c>
      <c r="AN11" s="5">
        <v>1.7332793372424e-13</v>
      </c>
      <c r="AO11" s="5">
        <v>5.8894564780614e-13</v>
      </c>
      <c r="AP11" s="5">
        <v>-5.4560535469444e-13</v>
      </c>
      <c r="AQ11" s="5">
        <v>2.895842779685e-13</v>
      </c>
      <c r="AR11" s="5">
        <v>-2.2068871245929e-12</v>
      </c>
      <c r="AS11" s="5">
        <v>3.0025617409957e-13</v>
      </c>
      <c r="AT11" s="5">
        <v>1.2540935773733e-12</v>
      </c>
      <c r="AU11" s="5">
        <v>4.9844375801621e-13</v>
      </c>
      <c r="AV11" s="5">
        <v>-7.9409137505385e-13</v>
      </c>
      <c r="AW11" s="5">
        <v>2.9881074361647e-12</v>
      </c>
      <c r="AX11" s="5">
        <v>3.494205436823e-12</v>
      </c>
      <c r="AY11" s="5">
        <v>2.6206335781682e-12</v>
      </c>
      <c r="AZ11" s="5">
        <v>-9.441422270376e-13</v>
      </c>
      <c r="BA11" s="5">
        <v>-2.5081278874397e-12</v>
      </c>
      <c r="BB11" s="5">
        <v>-3.2426857496589e-12</v>
      </c>
      <c r="BC11" s="3">
        <v>15967208.341972</v>
      </c>
      <c r="BD11" s="3">
        <v>4124038.1920499</v>
      </c>
      <c r="BE11" s="3">
        <v>-0.00054721051293415</v>
      </c>
      <c r="BF11" s="3">
        <v>0.0010144297581654</v>
      </c>
      <c r="BG11" s="3">
        <v>0.00024619390376784</v>
      </c>
      <c r="BH11" s="3">
        <v>-0.0034766949886957</v>
      </c>
      <c r="BI11" s="3">
        <v>199.7484298437</v>
      </c>
      <c r="BJ11" s="3">
        <v>99.88623931132</v>
      </c>
      <c r="BK11" s="3">
        <v>182.8887034753</v>
      </c>
      <c r="BL11" s="4"/>
      <c r="BM11" s="7"/>
    </row>
    <row r="12" spans="1:65">
      <c r="A12" s="3">
        <v>930613.71510992</v>
      </c>
      <c r="B12" s="3">
        <v>0.00026728787664135</v>
      </c>
      <c r="C12" s="6">
        <f t="shared" si="0"/>
        <v>1.79416174478447e-10</v>
      </c>
      <c r="D12" s="5">
        <v>2.5476662801181e-12</v>
      </c>
      <c r="E12" s="5">
        <v>2.5998284596207e-12</v>
      </c>
      <c r="F12" s="5">
        <v>2.6527178605339e-12</v>
      </c>
      <c r="G12" s="5">
        <v>2.6334454982267e-12</v>
      </c>
      <c r="H12" s="5">
        <v>2.5137950717811e-12</v>
      </c>
      <c r="I12" s="5">
        <v>2.5322393783831e-12</v>
      </c>
      <c r="J12" s="5">
        <v>2.5025200708848e-12</v>
      </c>
      <c r="K12" s="5">
        <v>2.4995847266426e-12</v>
      </c>
      <c r="L12" s="5">
        <v>2.5387260391904e-12</v>
      </c>
      <c r="M12" s="5">
        <v>2.502800997027e-12</v>
      </c>
      <c r="N12" s="5">
        <v>2.6074021697459e-12</v>
      </c>
      <c r="O12" s="5">
        <v>2.5449443114317e-12</v>
      </c>
      <c r="P12" s="5">
        <v>2.5746151600594e-12</v>
      </c>
      <c r="Q12" s="5">
        <v>2.5774852618407e-12</v>
      </c>
      <c r="R12" s="5">
        <v>2.5989585996111e-12</v>
      </c>
      <c r="S12" s="5">
        <v>2.5395089951627e-12</v>
      </c>
      <c r="T12" s="5">
        <v>2.5559985212621e-12</v>
      </c>
      <c r="U12" s="5">
        <v>2.6384289765969e-12</v>
      </c>
      <c r="V12" s="5">
        <v>2.5746974283301e-12</v>
      </c>
      <c r="W12" s="5">
        <v>2.58013851254e-12</v>
      </c>
      <c r="X12" s="5">
        <v>2.5604784743803e-12</v>
      </c>
      <c r="Y12" s="5">
        <v>2.6370443382728e-12</v>
      </c>
      <c r="Z12" s="5">
        <v>2.6306016000456e-12</v>
      </c>
      <c r="AA12" s="5">
        <v>2.6639128879048e-12</v>
      </c>
      <c r="AB12" s="3">
        <v>1.0017293093577</v>
      </c>
      <c r="AC12" s="3">
        <v>0.17506489415716</v>
      </c>
      <c r="AD12" s="3">
        <v>0.0010737227456052</v>
      </c>
      <c r="AE12" s="5">
        <v>-5.6490672578821e-13</v>
      </c>
      <c r="AF12" s="5">
        <v>1.1819743667592e-12</v>
      </c>
      <c r="AG12" s="5">
        <v>1.3434403916147e-12</v>
      </c>
      <c r="AH12" s="5">
        <v>-1.4118981138904e-12</v>
      </c>
      <c r="AI12" s="5">
        <v>-8.3743271108695e-13</v>
      </c>
      <c r="AJ12" s="5">
        <v>-4.3618852958778e-13</v>
      </c>
      <c r="AK12" s="5">
        <v>-3.0971380320601e-13</v>
      </c>
      <c r="AL12" s="5">
        <v>2.9848299513085e-13</v>
      </c>
      <c r="AM12" s="5">
        <v>7.7830693291426e-13</v>
      </c>
      <c r="AN12" s="5">
        <v>8.4163019267233e-14</v>
      </c>
      <c r="AO12" s="5">
        <v>6.405306781529e-13</v>
      </c>
      <c r="AP12" s="5">
        <v>-4.4833951105486e-13</v>
      </c>
      <c r="AQ12" s="5">
        <v>2.2302903286404e-13</v>
      </c>
      <c r="AR12" s="5">
        <v>-1.8726869283882e-12</v>
      </c>
      <c r="AS12" s="5">
        <v>2.8428524336122e-13</v>
      </c>
      <c r="AT12" s="5">
        <v>1.0708643355582e-12</v>
      </c>
      <c r="AU12" s="5">
        <v>4.8320441503737e-13</v>
      </c>
      <c r="AV12" s="5">
        <v>-6.7755723781312e-13</v>
      </c>
      <c r="AW12" s="5">
        <v>2.5273684522573e-12</v>
      </c>
      <c r="AX12" s="5">
        <v>3.021530459104e-12</v>
      </c>
      <c r="AY12" s="5">
        <v>2.3224349267658e-12</v>
      </c>
      <c r="AZ12" s="5">
        <v>-9.6926180924353e-13</v>
      </c>
      <c r="BA12" s="5">
        <v>-2.1792927967727e-12</v>
      </c>
      <c r="BB12" s="5">
        <v>-2.6049610511377e-12</v>
      </c>
      <c r="BC12" s="3">
        <v>15955738.420164</v>
      </c>
      <c r="BD12" s="3">
        <v>4156270.7359435</v>
      </c>
      <c r="BE12" s="3">
        <v>-0.0005849899739876</v>
      </c>
      <c r="BF12" s="3">
        <v>0.0010633177144111</v>
      </c>
      <c r="BG12" s="3">
        <v>0.000251825911459</v>
      </c>
      <c r="BH12" s="3">
        <v>-0.0036278868464797</v>
      </c>
      <c r="BI12" s="3">
        <v>199.74617545445</v>
      </c>
      <c r="BJ12" s="3">
        <v>99.8863999609</v>
      </c>
      <c r="BK12" s="3">
        <v>182.99184883639</v>
      </c>
      <c r="BL12" s="4"/>
      <c r="BM12" s="7"/>
    </row>
    <row r="13" spans="1:65">
      <c r="A13" s="3">
        <v>1216670.9216977</v>
      </c>
      <c r="B13" s="3">
        <v>0.00031994951536917</v>
      </c>
      <c r="C13" s="6">
        <f t="shared" si="0"/>
        <v>1.66223390464414e-10</v>
      </c>
      <c r="D13" s="5">
        <v>2.5664080049386e-12</v>
      </c>
      <c r="E13" s="5">
        <v>2.6211553413047e-12</v>
      </c>
      <c r="F13" s="5">
        <v>2.6810566304257e-12</v>
      </c>
      <c r="G13" s="5">
        <v>2.6575080425834e-12</v>
      </c>
      <c r="H13" s="5">
        <v>2.5245531856462e-12</v>
      </c>
      <c r="I13" s="5">
        <v>2.5480289008858e-12</v>
      </c>
      <c r="J13" s="5">
        <v>2.5108276343773e-12</v>
      </c>
      <c r="K13" s="5">
        <v>2.5088010049972e-12</v>
      </c>
      <c r="L13" s="5">
        <v>2.5570857615647e-12</v>
      </c>
      <c r="M13" s="5">
        <v>2.5122802320109e-12</v>
      </c>
      <c r="N13" s="5">
        <v>2.6255230035458e-12</v>
      </c>
      <c r="O13" s="5">
        <v>2.5618989079752e-12</v>
      </c>
      <c r="P13" s="5">
        <v>2.5857991466219e-12</v>
      </c>
      <c r="Q13" s="5">
        <v>2.5898837134032e-12</v>
      </c>
      <c r="R13" s="5">
        <v>2.6206340227674e-12</v>
      </c>
      <c r="S13" s="5">
        <v>2.5479562489754e-12</v>
      </c>
      <c r="T13" s="5">
        <v>2.5690392248851e-12</v>
      </c>
      <c r="U13" s="5">
        <v>2.6684831679234e-12</v>
      </c>
      <c r="V13" s="5">
        <v>2.5981123759159e-12</v>
      </c>
      <c r="W13" s="5">
        <v>2.6045297521693e-12</v>
      </c>
      <c r="X13" s="5">
        <v>2.5792261318657e-12</v>
      </c>
      <c r="Y13" s="5">
        <v>2.6603875880463e-12</v>
      </c>
      <c r="Z13" s="5">
        <v>2.6508649355975e-12</v>
      </c>
      <c r="AA13" s="5">
        <v>2.6910023896332e-12</v>
      </c>
      <c r="AB13" s="3">
        <v>1.0009412442314</v>
      </c>
      <c r="AC13" s="3">
        <v>0.17753111291992</v>
      </c>
      <c r="AD13" s="3">
        <v>0.0011250401555106</v>
      </c>
      <c r="AE13" s="5">
        <v>-4.0234117532984e-13</v>
      </c>
      <c r="AF13" s="5">
        <v>1.241649070231e-12</v>
      </c>
      <c r="AG13" s="5">
        <v>1.3299281126232e-12</v>
      </c>
      <c r="AH13" s="5">
        <v>-1.1926533401682e-12</v>
      </c>
      <c r="AI13" s="5">
        <v>-7.8416150122228e-13</v>
      </c>
      <c r="AJ13" s="5">
        <v>-4.6841229689365e-13</v>
      </c>
      <c r="AK13" s="5">
        <v>-3.2653636074867e-13</v>
      </c>
      <c r="AL13" s="5">
        <v>2.3877628836667e-13</v>
      </c>
      <c r="AM13" s="5">
        <v>7.1624879779088e-13</v>
      </c>
      <c r="AN13" s="5">
        <v>1.4157577852085e-14</v>
      </c>
      <c r="AO13" s="5">
        <v>6.5069887617861e-13</v>
      </c>
      <c r="AP13" s="5">
        <v>-3.7166629765834e-13</v>
      </c>
      <c r="AQ13" s="5">
        <v>1.8775783132585e-13</v>
      </c>
      <c r="AR13" s="5">
        <v>-1.664964139086e-12</v>
      </c>
      <c r="AS13" s="5">
        <v>2.7400150398877e-13</v>
      </c>
      <c r="AT13" s="5">
        <v>9.4954400557391e-13</v>
      </c>
      <c r="AU13" s="5">
        <v>4.5538822944789e-13</v>
      </c>
      <c r="AV13" s="5">
        <v>-6.0321861658772e-13</v>
      </c>
      <c r="AW13" s="5">
        <v>2.2066949102804e-12</v>
      </c>
      <c r="AX13" s="5">
        <v>2.7065993000951e-12</v>
      </c>
      <c r="AY13" s="5">
        <v>2.0730982078881e-12</v>
      </c>
      <c r="AZ13" s="5">
        <v>-9.8351793662854e-13</v>
      </c>
      <c r="BA13" s="5">
        <v>-1.9295060514371e-12</v>
      </c>
      <c r="BB13" s="5">
        <v>-2.1964342727759e-12</v>
      </c>
      <c r="BC13" s="3">
        <v>15944210.682176</v>
      </c>
      <c r="BD13" s="3">
        <v>4187068.502184</v>
      </c>
      <c r="BE13" s="3">
        <v>-0.00062073490369354</v>
      </c>
      <c r="BF13" s="3">
        <v>0.0011108671131569</v>
      </c>
      <c r="BG13" s="3">
        <v>0.0002577268640571</v>
      </c>
      <c r="BH13" s="3">
        <v>-0.0038603742506951</v>
      </c>
      <c r="BI13" s="3">
        <v>199.74354899568</v>
      </c>
      <c r="BJ13" s="3">
        <v>99.886082531113</v>
      </c>
      <c r="BK13" s="3">
        <v>183.07653361032</v>
      </c>
      <c r="BL13" s="4"/>
      <c r="BM13" s="7"/>
    </row>
    <row r="14" spans="1:65">
      <c r="A14" s="3">
        <v>1538786.5567749</v>
      </c>
      <c r="B14" s="3">
        <v>0.00037504868849052</v>
      </c>
      <c r="C14" s="6">
        <f t="shared" si="0"/>
        <v>1.56660284703677e-10</v>
      </c>
      <c r="D14" s="5">
        <v>2.5855269040137e-12</v>
      </c>
      <c r="E14" s="5">
        <v>2.6426842216898e-12</v>
      </c>
      <c r="F14" s="5">
        <v>2.7093853099855e-12</v>
      </c>
      <c r="G14" s="5">
        <v>2.6814637676985e-12</v>
      </c>
      <c r="H14" s="5">
        <v>2.5355918351931e-12</v>
      </c>
      <c r="I14" s="5">
        <v>2.5640418122431e-12</v>
      </c>
      <c r="J14" s="5">
        <v>2.5191937501626e-12</v>
      </c>
      <c r="K14" s="5">
        <v>2.5183144921015e-12</v>
      </c>
      <c r="L14" s="5">
        <v>2.5759546697658e-12</v>
      </c>
      <c r="M14" s="5">
        <v>2.5219123857302e-12</v>
      </c>
      <c r="N14" s="5">
        <v>2.6438557382875e-12</v>
      </c>
      <c r="O14" s="5">
        <v>2.5790340640459e-12</v>
      </c>
      <c r="P14" s="5">
        <v>2.5970569131529e-12</v>
      </c>
      <c r="Q14" s="5">
        <v>2.6025183742931e-12</v>
      </c>
      <c r="R14" s="5">
        <v>2.6425675463129e-12</v>
      </c>
      <c r="S14" s="5">
        <v>2.5563305949204e-12</v>
      </c>
      <c r="T14" s="5">
        <v>2.582345782122e-12</v>
      </c>
      <c r="U14" s="5">
        <v>2.6982112330153e-12</v>
      </c>
      <c r="V14" s="5">
        <v>2.6217446542969e-12</v>
      </c>
      <c r="W14" s="5">
        <v>2.629131989281e-12</v>
      </c>
      <c r="X14" s="5">
        <v>2.5979796677109e-12</v>
      </c>
      <c r="Y14" s="5">
        <v>2.6838184862404e-12</v>
      </c>
      <c r="Z14" s="5">
        <v>2.6711284105529e-12</v>
      </c>
      <c r="AA14" s="5">
        <v>2.7178227835873e-12</v>
      </c>
      <c r="AB14" s="3">
        <v>0.99928227379534</v>
      </c>
      <c r="AC14" s="3">
        <v>0.1810234636484</v>
      </c>
      <c r="AD14" s="3">
        <v>0.0011791245835876</v>
      </c>
      <c r="AE14" s="5">
        <v>-2.6939698493886e-13</v>
      </c>
      <c r="AF14" s="5">
        <v>1.2821618241053e-12</v>
      </c>
      <c r="AG14" s="5">
        <v>1.3270089473775e-12</v>
      </c>
      <c r="AH14" s="5">
        <v>-1.0389806168983e-12</v>
      </c>
      <c r="AI14" s="5">
        <v>-7.4784941036812e-13</v>
      </c>
      <c r="AJ14" s="5">
        <v>-4.8968305549017e-13</v>
      </c>
      <c r="AK14" s="5">
        <v>-3.3830334005406e-13</v>
      </c>
      <c r="AL14" s="5">
        <v>1.9808292328678e-13</v>
      </c>
      <c r="AM14" s="5">
        <v>6.7392147654057e-13</v>
      </c>
      <c r="AN14" s="5">
        <v>-3.7305275704966e-14</v>
      </c>
      <c r="AO14" s="5">
        <v>6.4450524764648e-13</v>
      </c>
      <c r="AP14" s="5">
        <v>-3.0847043110364e-13</v>
      </c>
      <c r="AQ14" s="5">
        <v>1.6921578361411e-13</v>
      </c>
      <c r="AR14" s="5">
        <v>-1.5170456996909e-12</v>
      </c>
      <c r="AS14" s="5">
        <v>2.7696204324344e-13</v>
      </c>
      <c r="AT14" s="5">
        <v>8.576433456204e-13</v>
      </c>
      <c r="AU14" s="5">
        <v>4.2135881958342e-13</v>
      </c>
      <c r="AV14" s="5">
        <v>-5.507443854741e-13</v>
      </c>
      <c r="AW14" s="5">
        <v>1.9511913889794e-12</v>
      </c>
      <c r="AX14" s="5">
        <v>2.4574893671085e-12</v>
      </c>
      <c r="AY14" s="5">
        <v>1.861519258683e-12</v>
      </c>
      <c r="AZ14" s="5">
        <v>-9.9573956968354e-13</v>
      </c>
      <c r="BA14" s="5">
        <v>-1.7309976712015e-12</v>
      </c>
      <c r="BB14" s="5">
        <v>-1.9023913734774e-12</v>
      </c>
      <c r="BC14" s="3">
        <v>15931686.632097</v>
      </c>
      <c r="BD14" s="3">
        <v>4219219.5662769</v>
      </c>
      <c r="BE14" s="3">
        <v>-0.00065776005927422</v>
      </c>
      <c r="BF14" s="3">
        <v>0.0011613298402556</v>
      </c>
      <c r="BG14" s="3">
        <v>0.00026437722875297</v>
      </c>
      <c r="BH14" s="3">
        <v>-0.0041515343986603</v>
      </c>
      <c r="BI14" s="3">
        <v>199.74113483308</v>
      </c>
      <c r="BJ14" s="3">
        <v>99.886101020089</v>
      </c>
      <c r="BK14" s="3">
        <v>183.15321608336</v>
      </c>
      <c r="BL14" s="4"/>
      <c r="BM14" s="7"/>
    </row>
    <row r="15" spans="1:65">
      <c r="A15" s="3">
        <v>1978765.227934</v>
      </c>
      <c r="B15" s="3">
        <v>0.00044546399220063</v>
      </c>
      <c r="C15" s="6">
        <f t="shared" si="0"/>
        <v>1.48584199356474e-10</v>
      </c>
      <c r="D15" s="5">
        <v>2.6090926943411e-12</v>
      </c>
      <c r="E15" s="5">
        <v>2.6689066178292e-12</v>
      </c>
      <c r="F15" s="5">
        <v>2.7436279844323e-12</v>
      </c>
      <c r="G15" s="5">
        <v>2.710310039178e-12</v>
      </c>
      <c r="H15" s="5">
        <v>2.549317397716e-12</v>
      </c>
      <c r="I15" s="5">
        <v>2.5836692260806e-12</v>
      </c>
      <c r="J15" s="5">
        <v>2.529402959539e-12</v>
      </c>
      <c r="K15" s="5">
        <v>2.5301655765947e-12</v>
      </c>
      <c r="L15" s="5">
        <v>2.5993109436452e-12</v>
      </c>
      <c r="M15" s="5">
        <v>2.5337027197321e-12</v>
      </c>
      <c r="N15" s="5">
        <v>2.6662521030536e-12</v>
      </c>
      <c r="O15" s="5">
        <v>2.5999736131093e-12</v>
      </c>
      <c r="P15" s="5">
        <v>2.6107649577831e-12</v>
      </c>
      <c r="Q15" s="5">
        <v>2.6180681042329e-12</v>
      </c>
      <c r="R15" s="5">
        <v>2.6693543971876e-12</v>
      </c>
      <c r="S15" s="5">
        <v>2.5663738328727e-12</v>
      </c>
      <c r="T15" s="5">
        <v>2.5987430471444e-12</v>
      </c>
      <c r="U15" s="5">
        <v>2.7338560422021e-12</v>
      </c>
      <c r="V15" s="5">
        <v>2.6505147849032e-12</v>
      </c>
      <c r="W15" s="5">
        <v>2.6591140582531e-12</v>
      </c>
      <c r="X15" s="5">
        <v>2.6206753118519e-12</v>
      </c>
      <c r="Y15" s="5">
        <v>2.7121870902536e-12</v>
      </c>
      <c r="Z15" s="5">
        <v>2.6956626894396e-12</v>
      </c>
      <c r="AA15" s="5">
        <v>2.749954540557e-12</v>
      </c>
      <c r="AB15" s="3">
        <v>0.99969141225266</v>
      </c>
      <c r="AC15" s="3">
        <v>0.18602878983446</v>
      </c>
      <c r="AD15" s="3">
        <v>0.001248716179714</v>
      </c>
      <c r="AE15" s="5">
        <v>-1.3820513275728e-13</v>
      </c>
      <c r="AF15" s="5">
        <v>1.3115923977493e-12</v>
      </c>
      <c r="AG15" s="5">
        <v>1.3332598142771e-12</v>
      </c>
      <c r="AH15" s="5">
        <v>-9.0754436547367e-13</v>
      </c>
      <c r="AI15" s="5">
        <v>-7.1774689516512e-13</v>
      </c>
      <c r="AJ15" s="5">
        <v>-5.1001699363319e-13</v>
      </c>
      <c r="AK15" s="5">
        <v>-3.5179501325468e-13</v>
      </c>
      <c r="AL15" s="5">
        <v>1.607225606947e-13</v>
      </c>
      <c r="AM15" s="5">
        <v>6.2988684356829e-13</v>
      </c>
      <c r="AN15" s="5">
        <v>-7.9292727819535e-14</v>
      </c>
      <c r="AO15" s="5">
        <v>6.2514078378229e-13</v>
      </c>
      <c r="AP15" s="5">
        <v>-2.4617710815105e-13</v>
      </c>
      <c r="AQ15" s="5">
        <v>1.5981948716472e-13</v>
      </c>
      <c r="AR15" s="5">
        <v>-1.3844254783873e-12</v>
      </c>
      <c r="AS15" s="5">
        <v>2.9220470402745e-13</v>
      </c>
      <c r="AT15" s="5">
        <v>7.7189899929829e-13</v>
      </c>
      <c r="AU15" s="5">
        <v>3.7953036646334e-13</v>
      </c>
      <c r="AV15" s="5">
        <v>-4.9729550596444e-13</v>
      </c>
      <c r="AW15" s="5">
        <v>1.709518255485e-12</v>
      </c>
      <c r="AX15" s="5">
        <v>2.2178481917742e-12</v>
      </c>
      <c r="AY15" s="5">
        <v>1.657665412371e-12</v>
      </c>
      <c r="AZ15" s="5">
        <v>-1.0077734385841e-12</v>
      </c>
      <c r="BA15" s="5">
        <v>-1.5470292410793e-12</v>
      </c>
      <c r="BB15" s="5">
        <v>-1.6379315601138e-12</v>
      </c>
      <c r="BC15" s="3">
        <v>15915149.813387</v>
      </c>
      <c r="BD15" s="3">
        <v>4260164.1530536</v>
      </c>
      <c r="BE15" s="3">
        <v>-0.00070457387236564</v>
      </c>
      <c r="BF15" s="3">
        <v>0.0012267037188437</v>
      </c>
      <c r="BG15" s="3">
        <v>0.00027348456520774</v>
      </c>
      <c r="BH15" s="3">
        <v>-0.0044274973774277</v>
      </c>
      <c r="BI15" s="3">
        <v>199.73799982597</v>
      </c>
      <c r="BJ15" s="3">
        <v>99.886036644291</v>
      </c>
      <c r="BK15" s="3">
        <v>183.23663447603</v>
      </c>
      <c r="BL15" s="4"/>
      <c r="BM15" s="7"/>
    </row>
    <row r="16" spans="1:65">
      <c r="A16" s="3">
        <v>2352101.7619443</v>
      </c>
      <c r="B16" s="3">
        <v>0.00050199330492885</v>
      </c>
      <c r="C16" s="6">
        <f t="shared" si="0"/>
        <v>1.42267975991427e-10</v>
      </c>
      <c r="D16" s="5">
        <v>2.6330964957137e-12</v>
      </c>
      <c r="E16" s="5">
        <v>2.6952851339718e-12</v>
      </c>
      <c r="F16" s="5">
        <v>2.7778766534408e-12</v>
      </c>
      <c r="G16" s="5">
        <v>2.7390435969707e-12</v>
      </c>
      <c r="H16" s="5">
        <v>2.5634428557816e-12</v>
      </c>
      <c r="I16" s="5">
        <v>2.6035535968691e-12</v>
      </c>
      <c r="J16" s="5">
        <v>2.5397086995416e-12</v>
      </c>
      <c r="K16" s="5">
        <v>2.5423286021653e-12</v>
      </c>
      <c r="L16" s="5">
        <v>2.6231363556982e-12</v>
      </c>
      <c r="M16" s="5">
        <v>2.5455714875375e-12</v>
      </c>
      <c r="N16" s="5">
        <v>2.688837702854e-12</v>
      </c>
      <c r="O16" s="5">
        <v>2.6211163881661e-12</v>
      </c>
      <c r="P16" s="5">
        <v>2.6245471619184e-12</v>
      </c>
      <c r="Q16" s="5">
        <v>2.6338582715376e-12</v>
      </c>
      <c r="R16" s="5">
        <v>2.696382816088e-12</v>
      </c>
      <c r="S16" s="5">
        <v>2.5763432468114e-12</v>
      </c>
      <c r="T16" s="5">
        <v>2.6154480146908e-12</v>
      </c>
      <c r="U16" s="5">
        <v>2.7692654165057e-12</v>
      </c>
      <c r="V16" s="5">
        <v>2.6794041562821e-12</v>
      </c>
      <c r="W16" s="5">
        <v>2.6892959205141e-12</v>
      </c>
      <c r="X16" s="5">
        <v>2.6433713338372e-12</v>
      </c>
      <c r="Y16" s="5">
        <v>2.7405253066157e-12</v>
      </c>
      <c r="Z16" s="5">
        <v>2.7202311091729e-12</v>
      </c>
      <c r="AA16" s="5">
        <v>2.781787936804e-12</v>
      </c>
      <c r="AB16" s="3">
        <v>1.0001365995614</v>
      </c>
      <c r="AC16" s="3">
        <v>0.19147881303335</v>
      </c>
      <c r="AD16" s="3">
        <v>0.0013049077962434</v>
      </c>
      <c r="AE16" s="5">
        <v>-3.0682460172992e-14</v>
      </c>
      <c r="AF16" s="5">
        <v>1.3223040502531e-12</v>
      </c>
      <c r="AG16" s="5">
        <v>1.3394749543312e-12</v>
      </c>
      <c r="AH16" s="5">
        <v>-8.1664162621559e-13</v>
      </c>
      <c r="AI16" s="5">
        <v>-6.9687692137377e-13</v>
      </c>
      <c r="AJ16" s="5">
        <v>-5.2776477381209e-13</v>
      </c>
      <c r="AK16" s="5">
        <v>-3.6463057496462e-13</v>
      </c>
      <c r="AL16" s="5">
        <v>1.2933579759573e-13</v>
      </c>
      <c r="AM16" s="5">
        <v>5.871521825188e-13</v>
      </c>
      <c r="AN16" s="5">
        <v>-1.0763594292357e-13</v>
      </c>
      <c r="AO16" s="5">
        <v>5.9681213262843e-13</v>
      </c>
      <c r="AP16" s="5">
        <v>-1.9903245582138e-13</v>
      </c>
      <c r="AQ16" s="5">
        <v>1.5890638261556e-13</v>
      </c>
      <c r="AR16" s="5">
        <v>-1.2857453755445e-12</v>
      </c>
      <c r="AS16" s="5">
        <v>3.1168418640992e-13</v>
      </c>
      <c r="AT16" s="5">
        <v>7.049698035777e-13</v>
      </c>
      <c r="AU16" s="5">
        <v>3.4002940368352e-13</v>
      </c>
      <c r="AV16" s="5">
        <v>-4.5121427656023e-13</v>
      </c>
      <c r="AW16" s="5">
        <v>1.5224812824753e-12</v>
      </c>
      <c r="AX16" s="5">
        <v>2.0275711365502e-12</v>
      </c>
      <c r="AY16" s="5">
        <v>1.4984487273038e-12</v>
      </c>
      <c r="AZ16" s="5">
        <v>-1.0176042360918e-12</v>
      </c>
      <c r="BA16" s="5">
        <v>-1.4121391845903e-12</v>
      </c>
      <c r="BB16" s="5">
        <v>-1.4384387660235e-12</v>
      </c>
      <c r="BC16" s="3">
        <v>15901525.752672</v>
      </c>
      <c r="BD16" s="3">
        <v>4292892.6034345</v>
      </c>
      <c r="BE16" s="3">
        <v>-0.00074176899019102</v>
      </c>
      <c r="BF16" s="3">
        <v>0.001279817551901</v>
      </c>
      <c r="BG16" s="3">
        <v>0.00028124069458047</v>
      </c>
      <c r="BH16" s="3">
        <v>-0.0045259076386995</v>
      </c>
      <c r="BI16" s="3">
        <v>199.73598341904</v>
      </c>
      <c r="BJ16" s="3">
        <v>99.886666774271</v>
      </c>
      <c r="BK16" s="3">
        <v>183.2937552276</v>
      </c>
      <c r="BL16" s="4"/>
      <c r="BM16" s="7"/>
    </row>
    <row r="17" spans="1:65">
      <c r="A17" s="3">
        <v>2843218.410181</v>
      </c>
      <c r="B17" s="3">
        <v>0.00057315940202568</v>
      </c>
      <c r="C17" s="6">
        <f t="shared" si="0"/>
        <v>1.37473553140394e-10</v>
      </c>
      <c r="D17" s="5">
        <v>2.6584274030737e-12</v>
      </c>
      <c r="E17" s="5">
        <v>2.72282037421e-12</v>
      </c>
      <c r="F17" s="5">
        <v>2.8134840576558e-12</v>
      </c>
      <c r="G17" s="5">
        <v>2.7688018085278e-12</v>
      </c>
      <c r="H17" s="5">
        <v>2.578491624227e-12</v>
      </c>
      <c r="I17" s="5">
        <v>2.6244359989954e-12</v>
      </c>
      <c r="J17" s="5">
        <v>2.5504946519537e-12</v>
      </c>
      <c r="K17" s="5">
        <v>2.5552632548627e-12</v>
      </c>
      <c r="L17" s="5">
        <v>2.6483119999144e-12</v>
      </c>
      <c r="M17" s="5">
        <v>2.5579618262614e-12</v>
      </c>
      <c r="N17" s="5">
        <v>2.7124896661957e-12</v>
      </c>
      <c r="O17" s="5">
        <v>2.6432381770051e-12</v>
      </c>
      <c r="P17" s="5">
        <v>2.6389632294836e-12</v>
      </c>
      <c r="Q17" s="5">
        <v>2.650501694178e-12</v>
      </c>
      <c r="R17" s="5">
        <v>2.7246822961436e-12</v>
      </c>
      <c r="S17" s="5">
        <v>2.5866472808769e-12</v>
      </c>
      <c r="T17" s="5">
        <v>2.6331024707703e-12</v>
      </c>
      <c r="U17" s="5">
        <v>2.8058682993333e-12</v>
      </c>
      <c r="V17" s="5">
        <v>2.7095145518261e-12</v>
      </c>
      <c r="W17" s="5">
        <v>2.7208471782891e-12</v>
      </c>
      <c r="X17" s="5">
        <v>2.6669690974298e-12</v>
      </c>
      <c r="Y17" s="5">
        <v>2.7699427210239e-12</v>
      </c>
      <c r="Z17" s="5">
        <v>2.7458284846563e-12</v>
      </c>
      <c r="AA17" s="5">
        <v>2.8146233778815e-12</v>
      </c>
      <c r="AB17" s="3">
        <v>0.99952279930656</v>
      </c>
      <c r="AC17" s="3">
        <v>0.1972820174824</v>
      </c>
      <c r="AD17" s="3">
        <v>0.0013759547885356</v>
      </c>
      <c r="AE17" s="5">
        <v>6.5213714062194e-14</v>
      </c>
      <c r="AF17" s="5">
        <v>1.3205608460485e-12</v>
      </c>
      <c r="AG17" s="5">
        <v>1.3427930502945e-12</v>
      </c>
      <c r="AH17" s="5">
        <v>-7.4942578574568e-13</v>
      </c>
      <c r="AI17" s="5">
        <v>-6.8097096812004e-13</v>
      </c>
      <c r="AJ17" s="5">
        <v>-5.4626584438871e-13</v>
      </c>
      <c r="AK17" s="5">
        <v>-3.7657981850727e-13</v>
      </c>
      <c r="AL17" s="5">
        <v>9.9858420663621e-14</v>
      </c>
      <c r="AM17" s="5">
        <v>5.4567750164197e-13</v>
      </c>
      <c r="AN17" s="5">
        <v>-1.313146925761e-13</v>
      </c>
      <c r="AO17" s="5">
        <v>5.6352206507504e-13</v>
      </c>
      <c r="AP17" s="5">
        <v>-1.637208353691e-13</v>
      </c>
      <c r="AQ17" s="5">
        <v>1.6313539523617e-13</v>
      </c>
      <c r="AR17" s="5">
        <v>-1.2086099128184e-12</v>
      </c>
      <c r="AS17" s="5">
        <v>3.300831770674e-13</v>
      </c>
      <c r="AT17" s="5">
        <v>6.4908932407983e-13</v>
      </c>
      <c r="AU17" s="5">
        <v>3.0338636843654e-13</v>
      </c>
      <c r="AV17" s="5">
        <v>-4.0756890515468e-13</v>
      </c>
      <c r="AW17" s="5">
        <v>1.3766045112525e-12</v>
      </c>
      <c r="AX17" s="5">
        <v>1.8735319869243e-12</v>
      </c>
      <c r="AY17" s="5">
        <v>1.3700521443976e-12</v>
      </c>
      <c r="AZ17" s="5">
        <v>-1.0233398670957e-12</v>
      </c>
      <c r="BA17" s="5">
        <v>-1.3081880084531e-12</v>
      </c>
      <c r="BB17" s="5">
        <v>-1.2751687617976e-12</v>
      </c>
      <c r="BC17" s="3">
        <v>15884042.90215</v>
      </c>
      <c r="BD17" s="3">
        <v>4333891.3927135</v>
      </c>
      <c r="BE17" s="3">
        <v>-0.0007881352360844</v>
      </c>
      <c r="BF17" s="3">
        <v>0.0013473331025405</v>
      </c>
      <c r="BG17" s="3">
        <v>0.00029148350239948</v>
      </c>
      <c r="BH17" s="3">
        <v>-0.0047076702347261</v>
      </c>
      <c r="BI17" s="3">
        <v>199.7324217936</v>
      </c>
      <c r="BJ17" s="3">
        <v>99.885906953918</v>
      </c>
      <c r="BK17" s="3">
        <v>183.35480891046</v>
      </c>
      <c r="BL17" s="4"/>
      <c r="BM17" s="7"/>
    </row>
    <row r="18" spans="1:65">
      <c r="A18" s="3">
        <v>3208397.2623138</v>
      </c>
      <c r="B18" s="3">
        <v>0.00062416181707255</v>
      </c>
      <c r="C18" s="6">
        <f t="shared" si="0"/>
        <v>1.33631746150661e-10</v>
      </c>
      <c r="D18" s="5">
        <v>2.6752959987649e-12</v>
      </c>
      <c r="E18" s="5">
        <v>2.7409944523782e-12</v>
      </c>
      <c r="F18" s="5">
        <v>2.8369306250375e-12</v>
      </c>
      <c r="G18" s="5">
        <v>2.7883224060671e-12</v>
      </c>
      <c r="H18" s="5">
        <v>2.5885899413772e-12</v>
      </c>
      <c r="I18" s="5">
        <v>2.6382898289182e-12</v>
      </c>
      <c r="J18" s="5">
        <v>2.557624386135e-12</v>
      </c>
      <c r="K18" s="5">
        <v>2.5639076103402e-12</v>
      </c>
      <c r="L18" s="5">
        <v>2.6650750194118e-12</v>
      </c>
      <c r="M18" s="5">
        <v>2.5661098176502e-12</v>
      </c>
      <c r="N18" s="5">
        <v>2.7281464098971e-12</v>
      </c>
      <c r="O18" s="5">
        <v>2.6578607946757e-12</v>
      </c>
      <c r="P18" s="5">
        <v>2.6484888939484e-12</v>
      </c>
      <c r="Q18" s="5">
        <v>2.6615648417894e-12</v>
      </c>
      <c r="R18" s="5">
        <v>2.7434120325975e-12</v>
      </c>
      <c r="S18" s="5">
        <v>2.5933895818673e-12</v>
      </c>
      <c r="T18" s="5">
        <v>2.6448667442036e-12</v>
      </c>
      <c r="U18" s="5">
        <v>2.8298791352491e-12</v>
      </c>
      <c r="V18" s="5">
        <v>2.7293436164363e-12</v>
      </c>
      <c r="W18" s="5">
        <v>2.7416914216886e-12</v>
      </c>
      <c r="X18" s="5">
        <v>2.6824894806138e-12</v>
      </c>
      <c r="Y18" s="5">
        <v>2.7892740225031e-12</v>
      </c>
      <c r="Z18" s="5">
        <v>2.7627131600262e-12</v>
      </c>
      <c r="AA18" s="5">
        <v>2.8360975076065e-12</v>
      </c>
      <c r="AB18" s="3">
        <v>0.99980458387301</v>
      </c>
      <c r="AC18" s="3">
        <v>0.20108543631369</v>
      </c>
      <c r="AD18" s="3">
        <v>0.0014270570704628</v>
      </c>
      <c r="AE18" s="5">
        <v>1.1621092482521e-13</v>
      </c>
      <c r="AF18" s="5">
        <v>1.3114733415617e-12</v>
      </c>
      <c r="AG18" s="5">
        <v>1.3349387397423e-12</v>
      </c>
      <c r="AH18" s="5">
        <v>-7.1898324276176e-13</v>
      </c>
      <c r="AI18" s="5">
        <v>-6.7501997497193e-13</v>
      </c>
      <c r="AJ18" s="5">
        <v>-5.5780179930341e-13</v>
      </c>
      <c r="AK18" s="5">
        <v>-3.8408587647145e-13</v>
      </c>
      <c r="AL18" s="5">
        <v>8.0353728694302e-14</v>
      </c>
      <c r="AM18" s="5">
        <v>5.1921417421399e-13</v>
      </c>
      <c r="AN18" s="5">
        <v>-1.4481491494736e-13</v>
      </c>
      <c r="AO18" s="5">
        <v>5.3820277029344e-13</v>
      </c>
      <c r="AP18" s="5">
        <v>-1.4797073026688e-13</v>
      </c>
      <c r="AQ18" s="5">
        <v>1.6624825924159e-13</v>
      </c>
      <c r="AR18" s="5">
        <v>-1.171211443477e-12</v>
      </c>
      <c r="AS18" s="5">
        <v>3.3751925954986e-13</v>
      </c>
      <c r="AT18" s="5">
        <v>6.1703446581982e-13</v>
      </c>
      <c r="AU18" s="5">
        <v>2.8097102725106e-13</v>
      </c>
      <c r="AV18" s="5">
        <v>-3.8647882110987e-13</v>
      </c>
      <c r="AW18" s="5">
        <v>1.293454118859e-12</v>
      </c>
      <c r="AX18" s="5">
        <v>1.7857838871521e-12</v>
      </c>
      <c r="AY18" s="5">
        <v>1.2989373286468e-12</v>
      </c>
      <c r="AZ18" s="5">
        <v>-1.0267537283647e-12</v>
      </c>
      <c r="BA18" s="5">
        <v>-1.2572053702391e-12</v>
      </c>
      <c r="BB18" s="5">
        <v>-1.1910620242056e-12</v>
      </c>
      <c r="BC18" s="3">
        <v>15871325.135172</v>
      </c>
      <c r="BD18" s="3">
        <v>4363117.8744081</v>
      </c>
      <c r="BE18" s="3">
        <v>-0.0008210562510378</v>
      </c>
      <c r="BF18" s="3">
        <v>0.0013961325902083</v>
      </c>
      <c r="BG18" s="3">
        <v>0.00029913574612754</v>
      </c>
      <c r="BH18" s="3">
        <v>-0.0050161066811283</v>
      </c>
      <c r="BI18" s="3">
        <v>199.73032134254</v>
      </c>
      <c r="BJ18" s="3">
        <v>99.885942304924</v>
      </c>
      <c r="BK18" s="3">
        <v>183.39274713204</v>
      </c>
      <c r="BL18" s="4"/>
      <c r="BM18" s="7"/>
    </row>
    <row r="19" spans="1:65">
      <c r="A19" s="3">
        <v>3762634.4230366</v>
      </c>
      <c r="B19" s="3">
        <v>0.00069934496619216</v>
      </c>
      <c r="C19" s="6">
        <f t="shared" si="0"/>
        <v>1.30665593164405e-10</v>
      </c>
      <c r="D19" s="5">
        <v>2.6983909182171e-12</v>
      </c>
      <c r="E19" s="5">
        <v>2.7657062585314e-12</v>
      </c>
      <c r="F19" s="5">
        <v>2.8687492752727e-12</v>
      </c>
      <c r="G19" s="5">
        <v>2.8147429767074e-12</v>
      </c>
      <c r="H19" s="5">
        <v>2.6025130603164e-12</v>
      </c>
      <c r="I19" s="5">
        <v>2.657208561531e-12</v>
      </c>
      <c r="J19" s="5">
        <v>2.5673557343103e-12</v>
      </c>
      <c r="K19" s="5">
        <v>2.575779270445e-12</v>
      </c>
      <c r="L19" s="5">
        <v>2.6880051632288e-12</v>
      </c>
      <c r="M19" s="5">
        <v>2.5771577666222e-12</v>
      </c>
      <c r="N19" s="5">
        <v>2.7494969244597e-12</v>
      </c>
      <c r="O19" s="5">
        <v>2.6777566523233e-12</v>
      </c>
      <c r="P19" s="5">
        <v>2.6614917869639e-12</v>
      </c>
      <c r="Q19" s="5">
        <v>2.6767151911268e-12</v>
      </c>
      <c r="R19" s="5">
        <v>2.7689443550817e-12</v>
      </c>
      <c r="S19" s="5">
        <v>2.6025387071758e-12</v>
      </c>
      <c r="T19" s="5">
        <v>2.6610098449102e-12</v>
      </c>
      <c r="U19" s="5">
        <v>2.8623622442404e-12</v>
      </c>
      <c r="V19" s="5">
        <v>2.7562299320312e-12</v>
      </c>
      <c r="W19" s="5">
        <v>2.7700147749365e-12</v>
      </c>
      <c r="X19" s="5">
        <v>2.7035270864844e-12</v>
      </c>
      <c r="Y19" s="5">
        <v>2.8154719595722e-12</v>
      </c>
      <c r="Z19" s="5">
        <v>2.785676648877e-12</v>
      </c>
      <c r="AA19" s="5">
        <v>2.8650915173239e-12</v>
      </c>
      <c r="AB19" s="3">
        <v>0.99992742177255</v>
      </c>
      <c r="AC19" s="3">
        <v>0.20612285182638</v>
      </c>
      <c r="AD19" s="3">
        <v>0.0015025824822445</v>
      </c>
      <c r="AE19" s="5">
        <v>1.7880772464965e-13</v>
      </c>
      <c r="AF19" s="5">
        <v>1.2964639633354e-12</v>
      </c>
      <c r="AG19" s="5">
        <v>1.3251963712445e-12</v>
      </c>
      <c r="AH19" s="5">
        <v>-6.8282102733202e-13</v>
      </c>
      <c r="AI19" s="5">
        <v>-6.6802181739925e-13</v>
      </c>
      <c r="AJ19" s="5">
        <v>-5.7105379524124e-13</v>
      </c>
      <c r="AK19" s="5">
        <v>-3.9327284416896e-13</v>
      </c>
      <c r="AL19" s="5">
        <v>5.4984691772146e-14</v>
      </c>
      <c r="AM19" s="5">
        <v>4.8900406258718e-13</v>
      </c>
      <c r="AN19" s="5">
        <v>-1.613433141304e-13</v>
      </c>
      <c r="AO19" s="5">
        <v>5.0648058329004e-13</v>
      </c>
      <c r="AP19" s="5">
        <v>-1.2972247389114e-13</v>
      </c>
      <c r="AQ19" s="5">
        <v>1.7104033286383e-13</v>
      </c>
      <c r="AR19" s="5">
        <v>-1.1303569195066e-12</v>
      </c>
      <c r="AS19" s="5">
        <v>3.4860769503866e-13</v>
      </c>
      <c r="AT19" s="5">
        <v>5.790190663247e-13</v>
      </c>
      <c r="AU19" s="5">
        <v>2.5521153947986e-13</v>
      </c>
      <c r="AV19" s="5">
        <v>-3.5602992176863e-13</v>
      </c>
      <c r="AW19" s="5">
        <v>1.2041815060719e-12</v>
      </c>
      <c r="AX19" s="5">
        <v>1.6868509602526e-12</v>
      </c>
      <c r="AY19" s="5">
        <v>1.2233912266216e-12</v>
      </c>
      <c r="AZ19" s="5">
        <v>-1.0276750034907e-12</v>
      </c>
      <c r="BA19" s="5">
        <v>-1.199174379245e-12</v>
      </c>
      <c r="BB19" s="5">
        <v>-1.0909353040502e-12</v>
      </c>
      <c r="BC19" s="3">
        <v>15852379.678659</v>
      </c>
      <c r="BD19" s="3">
        <v>4405958.6269763</v>
      </c>
      <c r="BE19" s="3">
        <v>-0.00086916125054466</v>
      </c>
      <c r="BF19" s="3">
        <v>0.0014685523175679</v>
      </c>
      <c r="BG19" s="3">
        <v>0.00031080284787261</v>
      </c>
      <c r="BH19" s="3">
        <v>-0.0056568163275617</v>
      </c>
      <c r="BI19" s="3">
        <v>199.7271650763</v>
      </c>
      <c r="BJ19" s="3">
        <v>99.886221862418</v>
      </c>
      <c r="BK19" s="3">
        <v>183.44254029318</v>
      </c>
      <c r="BL19" s="4"/>
      <c r="BM19" s="7"/>
    </row>
    <row r="20" spans="1:65">
      <c r="A20" s="3">
        <v>4174612.9274697</v>
      </c>
      <c r="B20" s="3">
        <v>0.00075373710889179</v>
      </c>
      <c r="C20" s="6">
        <f t="shared" si="0"/>
        <v>1.27998210716508e-10</v>
      </c>
      <c r="D20" s="5">
        <v>2.7239860759532e-12</v>
      </c>
      <c r="E20" s="5">
        <v>2.7929054712153e-12</v>
      </c>
      <c r="F20" s="5">
        <v>2.9037040124669e-12</v>
      </c>
      <c r="G20" s="5">
        <v>2.8436758308675e-12</v>
      </c>
      <c r="H20" s="5">
        <v>2.6180594489415e-12</v>
      </c>
      <c r="I20" s="5">
        <v>2.6781159838652e-12</v>
      </c>
      <c r="J20" s="5">
        <v>2.5781006175755e-12</v>
      </c>
      <c r="K20" s="5">
        <v>2.5889849165716e-12</v>
      </c>
      <c r="L20" s="5">
        <v>2.7134048936029e-12</v>
      </c>
      <c r="M20" s="5">
        <v>2.5892727078198e-12</v>
      </c>
      <c r="N20" s="5">
        <v>2.7730510758902e-12</v>
      </c>
      <c r="O20" s="5">
        <v>2.6996470551175e-12</v>
      </c>
      <c r="P20" s="5">
        <v>2.6758537908472e-12</v>
      </c>
      <c r="Q20" s="5">
        <v>2.6934976846807e-12</v>
      </c>
      <c r="R20" s="5">
        <v>2.797130405225e-12</v>
      </c>
      <c r="S20" s="5">
        <v>2.6125921822727e-12</v>
      </c>
      <c r="T20" s="5">
        <v>2.678960836925e-12</v>
      </c>
      <c r="U20" s="5">
        <v>2.8979184829721e-12</v>
      </c>
      <c r="V20" s="5">
        <v>2.7857240332594e-12</v>
      </c>
      <c r="W20" s="5">
        <v>2.8011556773866e-12</v>
      </c>
      <c r="X20" s="5">
        <v>2.726600793586e-12</v>
      </c>
      <c r="Y20" s="5">
        <v>2.8441774463332e-12</v>
      </c>
      <c r="Z20" s="5">
        <v>2.8109474691697e-12</v>
      </c>
      <c r="AA20" s="5">
        <v>2.8967383614431e-12</v>
      </c>
      <c r="AB20" s="3">
        <v>0.99970584526586</v>
      </c>
      <c r="AC20" s="3">
        <v>0.2114427304461</v>
      </c>
      <c r="AD20" s="3">
        <v>0.0015573455004301</v>
      </c>
      <c r="AE20" s="5">
        <v>2.3796360443068e-13</v>
      </c>
      <c r="AF20" s="5">
        <v>1.2774111838411e-12</v>
      </c>
      <c r="AG20" s="5">
        <v>1.3104860668775e-12</v>
      </c>
      <c r="AH20" s="5">
        <v>-6.5100246446684e-13</v>
      </c>
      <c r="AI20" s="5">
        <v>-6.6253418319635e-13</v>
      </c>
      <c r="AJ20" s="5">
        <v>-5.8502364913686e-13</v>
      </c>
      <c r="AK20" s="5">
        <v>-4.0268485121785e-13</v>
      </c>
      <c r="AL20" s="5">
        <v>2.7488395127125e-14</v>
      </c>
      <c r="AM20" s="5">
        <v>4.6004199304379e-13</v>
      </c>
      <c r="AN20" s="5">
        <v>-1.787484602149e-13</v>
      </c>
      <c r="AO20" s="5">
        <v>4.722387965849e-13</v>
      </c>
      <c r="AP20" s="5">
        <v>-1.1385494598926e-13</v>
      </c>
      <c r="AQ20" s="5">
        <v>1.7518002058958e-13</v>
      </c>
      <c r="AR20" s="5">
        <v>-1.096927649351e-12</v>
      </c>
      <c r="AS20" s="5">
        <v>3.5785503606309e-13</v>
      </c>
      <c r="AT20" s="5">
        <v>5.4235848969762e-13</v>
      </c>
      <c r="AU20" s="5">
        <v>2.3038337742348e-13</v>
      </c>
      <c r="AV20" s="5">
        <v>-3.2432905145022e-13</v>
      </c>
      <c r="AW20" s="5">
        <v>1.1277131457152e-12</v>
      </c>
      <c r="AX20" s="5">
        <v>1.5978115670065e-12</v>
      </c>
      <c r="AY20" s="5">
        <v>1.1592610761509e-12</v>
      </c>
      <c r="AZ20" s="5">
        <v>-1.0255394360694e-12</v>
      </c>
      <c r="BA20" s="5">
        <v>-1.1488898682448e-12</v>
      </c>
      <c r="BB20" s="5">
        <v>-9.9792527537621e-13</v>
      </c>
      <c r="BC20" s="3">
        <v>15838552.317905</v>
      </c>
      <c r="BD20" s="3">
        <v>4436760.4295339</v>
      </c>
      <c r="BE20" s="3">
        <v>-0.00090364515935006</v>
      </c>
      <c r="BF20" s="3">
        <v>0.001521284828989</v>
      </c>
      <c r="BG20" s="3">
        <v>0.0003195121789935</v>
      </c>
      <c r="BH20" s="3">
        <v>-0.0053993664478998</v>
      </c>
      <c r="BI20" s="3">
        <v>199.72487265696</v>
      </c>
      <c r="BJ20" s="3">
        <v>99.885841034615</v>
      </c>
      <c r="BK20" s="3">
        <v>183.47326976793</v>
      </c>
      <c r="BL20" s="4"/>
      <c r="BM20" s="7"/>
    </row>
    <row r="21" spans="1:65">
      <c r="A21" s="3">
        <v>4730390.7339481</v>
      </c>
      <c r="B21" s="3">
        <v>0.00082557887465011</v>
      </c>
      <c r="C21" s="6">
        <f t="shared" si="0"/>
        <v>1.25959890919503e-10</v>
      </c>
      <c r="D21" s="5">
        <v>2.7483236319506e-12</v>
      </c>
      <c r="E21" s="5">
        <v>2.8186032500848e-12</v>
      </c>
      <c r="F21" s="5">
        <v>2.9366732161902e-12</v>
      </c>
      <c r="G21" s="5">
        <v>2.8708802588751e-12</v>
      </c>
      <c r="H21" s="5">
        <v>2.6329488575356e-12</v>
      </c>
      <c r="I21" s="5">
        <v>2.6979507474429e-12</v>
      </c>
      <c r="J21" s="5">
        <v>2.5882821392822e-12</v>
      </c>
      <c r="K21" s="5">
        <v>2.6015818792951e-12</v>
      </c>
      <c r="L21" s="5">
        <v>2.7375552350976e-12</v>
      </c>
      <c r="M21" s="5">
        <v>2.6006726442557e-12</v>
      </c>
      <c r="N21" s="5">
        <v>2.7953635258377e-12</v>
      </c>
      <c r="O21" s="5">
        <v>2.7203140159244e-12</v>
      </c>
      <c r="P21" s="5">
        <v>2.6894710222643e-12</v>
      </c>
      <c r="Q21" s="5">
        <v>2.7094495882861e-12</v>
      </c>
      <c r="R21" s="5">
        <v>2.8238429302914e-12</v>
      </c>
      <c r="S21" s="5">
        <v>2.6220713906526e-12</v>
      </c>
      <c r="T21" s="5">
        <v>2.696077045284e-12</v>
      </c>
      <c r="U21" s="5">
        <v>2.9313684891704e-12</v>
      </c>
      <c r="V21" s="5">
        <v>2.8135021828952e-12</v>
      </c>
      <c r="W21" s="5">
        <v>2.8305486634759e-12</v>
      </c>
      <c r="X21" s="5">
        <v>2.748339991227e-12</v>
      </c>
      <c r="Y21" s="5">
        <v>2.8711815461397e-12</v>
      </c>
      <c r="Z21" s="5">
        <v>2.8348329787328e-12</v>
      </c>
      <c r="AA21" s="5">
        <v>2.9264114936149e-12</v>
      </c>
      <c r="AB21" s="3">
        <v>0.99984031697949</v>
      </c>
      <c r="AC21" s="3">
        <v>0.21623719670579</v>
      </c>
      <c r="AD21" s="3">
        <v>0.0016297967589777</v>
      </c>
      <c r="AE21" s="5">
        <v>2.8246137924947e-13</v>
      </c>
      <c r="AF21" s="5">
        <v>1.2571436591868e-12</v>
      </c>
      <c r="AG21" s="5">
        <v>1.2882059740735e-12</v>
      </c>
      <c r="AH21" s="5">
        <v>-6.2975761885508e-13</v>
      </c>
      <c r="AI21" s="5">
        <v>-6.606129395336e-13</v>
      </c>
      <c r="AJ21" s="5">
        <v>-5.9780232325995e-13</v>
      </c>
      <c r="AK21" s="5">
        <v>-4.1105731213355e-13</v>
      </c>
      <c r="AL21" s="5">
        <v>1.2858406137353e-15</v>
      </c>
      <c r="AM21" s="5">
        <v>4.3504677424765e-13</v>
      </c>
      <c r="AN21" s="5">
        <v>-1.9459192912846e-13</v>
      </c>
      <c r="AO21" s="5">
        <v>4.3959113877665e-13</v>
      </c>
      <c r="AP21" s="5">
        <v>-1.0269810917274e-13</v>
      </c>
      <c r="AQ21" s="5">
        <v>1.7702800373562e-13</v>
      </c>
      <c r="AR21" s="5">
        <v>-1.0746257879595e-12</v>
      </c>
      <c r="AS21" s="5">
        <v>3.6207046253935e-13</v>
      </c>
      <c r="AT21" s="5">
        <v>5.113396803565e-13</v>
      </c>
      <c r="AU21" s="5">
        <v>2.0858818319732e-13</v>
      </c>
      <c r="AV21" s="5">
        <v>-3.0174876146311e-13</v>
      </c>
      <c r="AW21" s="5">
        <v>1.0656675657055e-12</v>
      </c>
      <c r="AX21" s="5">
        <v>1.5239794606833e-12</v>
      </c>
      <c r="AY21" s="5">
        <v>1.1084781286717e-12</v>
      </c>
      <c r="AZ21" s="5">
        <v>-1.0228597384656e-12</v>
      </c>
      <c r="BA21" s="5">
        <v>-1.1132429380034e-12</v>
      </c>
      <c r="BB21" s="5">
        <v>-9.2666709941414e-13</v>
      </c>
      <c r="BC21" s="3">
        <v>15820184.408541</v>
      </c>
      <c r="BD21" s="3">
        <v>4477197.7316483</v>
      </c>
      <c r="BE21" s="3">
        <v>-0.00094882398554309</v>
      </c>
      <c r="BF21" s="3">
        <v>0.0015912905408685</v>
      </c>
      <c r="BG21" s="3">
        <v>0.00033132270225533</v>
      </c>
      <c r="BH21" s="3">
        <v>-0.0057549282103332</v>
      </c>
      <c r="BI21" s="3">
        <v>199.72193641296</v>
      </c>
      <c r="BJ21" s="3">
        <v>99.88591989866</v>
      </c>
      <c r="BK21" s="3">
        <v>183.51023673873</v>
      </c>
      <c r="BL21" s="4"/>
      <c r="BM21" s="7"/>
    </row>
    <row r="22" spans="1:65">
      <c r="A22" s="3">
        <v>4670825.3090899</v>
      </c>
      <c r="B22" s="3">
        <v>0.00081790289970436</v>
      </c>
      <c r="C22" s="6">
        <f t="shared" si="0"/>
        <v>1.25618470576054e-10</v>
      </c>
      <c r="D22" s="5">
        <v>2.7452768592374e-12</v>
      </c>
      <c r="E22" s="5">
        <v>2.8153899592669e-12</v>
      </c>
      <c r="F22" s="5">
        <v>2.9325522842404e-12</v>
      </c>
      <c r="G22" s="5">
        <v>2.867480601281e-12</v>
      </c>
      <c r="H22" s="5">
        <v>2.6310824465271e-12</v>
      </c>
      <c r="I22" s="5">
        <v>2.6954684158832e-12</v>
      </c>
      <c r="J22" s="5">
        <v>2.5870078205e-12</v>
      </c>
      <c r="K22" s="5">
        <v>2.6000046011337e-12</v>
      </c>
      <c r="L22" s="5">
        <v>2.7345326614268e-12</v>
      </c>
      <c r="M22" s="5">
        <v>2.5992480180201e-12</v>
      </c>
      <c r="N22" s="5">
        <v>2.7925726752911e-12</v>
      </c>
      <c r="O22" s="5">
        <v>2.7177302437708e-12</v>
      </c>
      <c r="P22" s="5">
        <v>2.6877661698202e-12</v>
      </c>
      <c r="Q22" s="5">
        <v>2.7074527720937e-12</v>
      </c>
      <c r="R22" s="5">
        <v>2.8205005690844e-12</v>
      </c>
      <c r="S22" s="5">
        <v>2.6208854777923e-12</v>
      </c>
      <c r="T22" s="5">
        <v>2.6939329108796e-12</v>
      </c>
      <c r="U22" s="5">
        <v>2.9271890440361e-12</v>
      </c>
      <c r="V22" s="5">
        <v>2.8100302186993e-12</v>
      </c>
      <c r="W22" s="5">
        <v>2.8268763748852e-12</v>
      </c>
      <c r="X22" s="5">
        <v>2.7456236307764e-12</v>
      </c>
      <c r="Y22" s="5">
        <v>2.867808075575e-12</v>
      </c>
      <c r="Z22" s="5">
        <v>2.8318462028257e-12</v>
      </c>
      <c r="AA22" s="5">
        <v>2.922705009321e-12</v>
      </c>
      <c r="AB22" s="3">
        <v>0.99985547576227</v>
      </c>
      <c r="AC22" s="3">
        <v>0.21564212586604</v>
      </c>
      <c r="AD22" s="3">
        <v>0.0016220559066815</v>
      </c>
      <c r="AE22" s="5">
        <v>2.7704404884614e-13</v>
      </c>
      <c r="AF22" s="5">
        <v>1.2596249262343e-12</v>
      </c>
      <c r="AG22" s="5">
        <v>1.29158584289e-12</v>
      </c>
      <c r="AH22" s="5">
        <v>-6.3203391242226e-13</v>
      </c>
      <c r="AI22" s="5">
        <v>-6.6070943765294e-13</v>
      </c>
      <c r="AJ22" s="5">
        <v>-5.959169764383e-13</v>
      </c>
      <c r="AK22" s="5">
        <v>-4.099166054522e-13</v>
      </c>
      <c r="AL22" s="5">
        <v>4.6118504429137e-15</v>
      </c>
      <c r="AM22" s="5">
        <v>4.3843536930992e-13</v>
      </c>
      <c r="AN22" s="5">
        <v>-1.9252854565033e-13</v>
      </c>
      <c r="AO22" s="5">
        <v>4.4403906036399e-13</v>
      </c>
      <c r="AP22" s="5">
        <v>-1.0377343562712e-13</v>
      </c>
      <c r="AQ22" s="5">
        <v>1.7698738342787e-13</v>
      </c>
      <c r="AR22" s="5">
        <v>-1.0771301865985e-12</v>
      </c>
      <c r="AS22" s="5">
        <v>3.6216841661923e-13</v>
      </c>
      <c r="AT22" s="5">
        <v>5.1520029396497e-13</v>
      </c>
      <c r="AU22" s="5">
        <v>2.1145617977939e-13</v>
      </c>
      <c r="AV22" s="5">
        <v>-3.0432264610006e-13</v>
      </c>
      <c r="AW22" s="5">
        <v>1.073205026015e-12</v>
      </c>
      <c r="AX22" s="5">
        <v>1.5328799370679e-12</v>
      </c>
      <c r="AY22" s="5">
        <v>1.1147375648417e-12</v>
      </c>
      <c r="AZ22" s="5">
        <v>-1.0231272424788e-12</v>
      </c>
      <c r="BA22" s="5">
        <v>-1.1171628549763e-12</v>
      </c>
      <c r="BB22" s="5">
        <v>-9.3518810978473e-13</v>
      </c>
      <c r="BC22" s="3">
        <v>15822147.723058</v>
      </c>
      <c r="BD22" s="3">
        <v>4472884.2600936</v>
      </c>
      <c r="BE22" s="3">
        <v>-0.0009440063168575</v>
      </c>
      <c r="BF22" s="3">
        <v>0.0015838080232986</v>
      </c>
      <c r="BG22" s="3">
        <v>0.00033005559961329</v>
      </c>
      <c r="BH22" s="3">
        <v>-0.0056799698775681</v>
      </c>
      <c r="BI22" s="3">
        <v>199.72222725543</v>
      </c>
      <c r="BJ22" s="3">
        <v>99.885863725745</v>
      </c>
      <c r="BK22" s="3">
        <v>183.50597799948</v>
      </c>
      <c r="BL22" s="4"/>
      <c r="BM22" s="7"/>
    </row>
    <row r="23" spans="1:65">
      <c r="A23" s="3">
        <v>5240752.1936195</v>
      </c>
      <c r="B23" s="3">
        <v>0.00089016473638082</v>
      </c>
      <c r="C23" s="6">
        <f t="shared" si="0"/>
        <v>1.24143864607821e-10</v>
      </c>
      <c r="D23" s="5">
        <v>2.7705926016876e-12</v>
      </c>
      <c r="E23" s="5">
        <v>2.8419970944665e-12</v>
      </c>
      <c r="F23" s="5">
        <v>2.9666236790219e-12</v>
      </c>
      <c r="G23" s="5">
        <v>2.8955359932914e-12</v>
      </c>
      <c r="H23" s="5">
        <v>2.6466728747791e-12</v>
      </c>
      <c r="I23" s="5">
        <v>2.716072667485e-12</v>
      </c>
      <c r="J23" s="5">
        <v>2.5975915407956e-12</v>
      </c>
      <c r="K23" s="5">
        <v>2.6131529193745e-12</v>
      </c>
      <c r="L23" s="5">
        <v>2.7596546198363e-12</v>
      </c>
      <c r="M23" s="5">
        <v>2.6110232621585e-12</v>
      </c>
      <c r="N23" s="5">
        <v>2.8157300763015e-12</v>
      </c>
      <c r="O23" s="5">
        <v>2.7391048674385e-12</v>
      </c>
      <c r="P23" s="5">
        <v>2.7019312495076e-12</v>
      </c>
      <c r="Q23" s="5">
        <v>2.7240598666862e-12</v>
      </c>
      <c r="R23" s="5">
        <v>2.8482268667173e-12</v>
      </c>
      <c r="S23" s="5">
        <v>2.6307091747779e-12</v>
      </c>
      <c r="T23" s="5">
        <v>2.7117960582226e-12</v>
      </c>
      <c r="U23" s="5">
        <v>2.9616894537807e-12</v>
      </c>
      <c r="V23" s="5">
        <v>2.8387043991308e-12</v>
      </c>
      <c r="W23" s="5">
        <v>2.8572583491577e-12</v>
      </c>
      <c r="X23" s="5">
        <v>2.7680779513027e-12</v>
      </c>
      <c r="Y23" s="5">
        <v>2.8956689320012e-12</v>
      </c>
      <c r="Z23" s="5">
        <v>2.8565860296592e-12</v>
      </c>
      <c r="AA23" s="5">
        <v>2.9532346502453e-12</v>
      </c>
      <c r="AB23" s="3">
        <v>0.99988350432988</v>
      </c>
      <c r="AC23" s="3">
        <v>0.22035126917823</v>
      </c>
      <c r="AD23" s="3">
        <v>0.0016950294047354</v>
      </c>
      <c r="AE23" s="5">
        <v>3.1749861452168e-13</v>
      </c>
      <c r="AF23" s="5">
        <v>1.2401374943263e-12</v>
      </c>
      <c r="AG23" s="5">
        <v>1.2695965492249e-12</v>
      </c>
      <c r="AH23" s="5">
        <v>-6.1280453239702e-13</v>
      </c>
      <c r="AI23" s="5">
        <v>-6.5974450276879e-13</v>
      </c>
      <c r="AJ23" s="5">
        <v>-6.0778872720162e-13</v>
      </c>
      <c r="AK23" s="5">
        <v>-4.1789625574608e-13</v>
      </c>
      <c r="AL23" s="5">
        <v>-2.1744909851389e-14</v>
      </c>
      <c r="AM23" s="5">
        <v>4.1609810405385e-13</v>
      </c>
      <c r="AN23" s="5">
        <v>-2.0841180638934e-13</v>
      </c>
      <c r="AO23" s="5">
        <v>4.1329772159839e-13</v>
      </c>
      <c r="AP23" s="5">
        <v>-9.2434681760585e-14</v>
      </c>
      <c r="AQ23" s="5">
        <v>1.7767192522094e-13</v>
      </c>
      <c r="AR23" s="5">
        <v>-1.0588505116101e-12</v>
      </c>
      <c r="AS23" s="5">
        <v>3.6648140422219e-13</v>
      </c>
      <c r="AT23" s="5">
        <v>4.8677867318853e-13</v>
      </c>
      <c r="AU23" s="5">
        <v>1.9150228980589e-13</v>
      </c>
      <c r="AV23" s="5">
        <v>-2.8144461637722e-13</v>
      </c>
      <c r="AW23" s="5">
        <v>1.0225418949104e-12</v>
      </c>
      <c r="AX23" s="5">
        <v>1.4682177348761e-12</v>
      </c>
      <c r="AY23" s="5">
        <v>1.0729312021058e-12</v>
      </c>
      <c r="AZ23" s="5">
        <v>-1.0181418334222e-12</v>
      </c>
      <c r="BA23" s="5">
        <v>-1.0863156617639e-12</v>
      </c>
      <c r="BB23" s="5">
        <v>-8.6936260395618e-13</v>
      </c>
      <c r="BC23" s="3">
        <v>15803594.944236</v>
      </c>
      <c r="BD23" s="3">
        <v>4513293.1152092</v>
      </c>
      <c r="BE23" s="3">
        <v>-0.00098907160257369</v>
      </c>
      <c r="BF23" s="3">
        <v>0.001654560949288</v>
      </c>
      <c r="BG23" s="3">
        <v>0.0003422268271478</v>
      </c>
      <c r="BH23" s="3">
        <v>-0.0059226602639182</v>
      </c>
      <c r="BI23" s="3">
        <v>199.71925557617</v>
      </c>
      <c r="BJ23" s="3">
        <v>99.885840433359</v>
      </c>
      <c r="BK23" s="3">
        <v>183.53880371303</v>
      </c>
      <c r="BL23" s="4"/>
      <c r="BM23" s="7"/>
    </row>
    <row r="24" spans="1:65">
      <c r="A24" s="3">
        <v>5880220.6756646</v>
      </c>
      <c r="B24" s="3">
        <v>0.00096976445497279</v>
      </c>
      <c r="C24" s="6">
        <f t="shared" si="0"/>
        <v>1.22444714462218e-10</v>
      </c>
      <c r="D24" s="5">
        <v>2.7981806408594e-12</v>
      </c>
      <c r="E24" s="5">
        <v>2.8708615460184e-12</v>
      </c>
      <c r="F24" s="5">
        <v>3.0035002765345e-12</v>
      </c>
      <c r="G24" s="5">
        <v>2.9258332015967e-12</v>
      </c>
      <c r="H24" s="5">
        <v>2.6637903382192e-12</v>
      </c>
      <c r="I24" s="5">
        <v>2.7385045397386e-12</v>
      </c>
      <c r="J24" s="5">
        <v>2.609126690113e-12</v>
      </c>
      <c r="K24" s="5">
        <v>2.6275287540964e-12</v>
      </c>
      <c r="L24" s="5">
        <v>2.7870371474571e-12</v>
      </c>
      <c r="M24" s="5">
        <v>2.6237586280095e-12</v>
      </c>
      <c r="N24" s="5">
        <v>2.8409070268111e-12</v>
      </c>
      <c r="O24" s="5">
        <v>2.7622550738432e-12</v>
      </c>
      <c r="P24" s="5">
        <v>2.7173683840117e-12</v>
      </c>
      <c r="Q24" s="5">
        <v>2.7421661865629e-12</v>
      </c>
      <c r="R24" s="5">
        <v>2.878387614558e-12</v>
      </c>
      <c r="S24" s="5">
        <v>2.6413814026505e-12</v>
      </c>
      <c r="T24" s="5">
        <v>2.7313341600356e-12</v>
      </c>
      <c r="U24" s="5">
        <v>2.9989670508267e-12</v>
      </c>
      <c r="V24" s="5">
        <v>2.8696977536343e-12</v>
      </c>
      <c r="W24" s="5">
        <v>2.8901371325061e-12</v>
      </c>
      <c r="X24" s="5">
        <v>2.7923676986148e-12</v>
      </c>
      <c r="Y24" s="5">
        <v>2.9257590639333e-12</v>
      </c>
      <c r="Z24" s="5">
        <v>2.8834212942486e-12</v>
      </c>
      <c r="AA24" s="5">
        <v>2.9861148804219e-12</v>
      </c>
      <c r="AB24" s="3">
        <v>0.99990775596629</v>
      </c>
      <c r="AC24" s="3">
        <v>0.22514319223801</v>
      </c>
      <c r="AD24" s="3">
        <v>0.0017755026338727</v>
      </c>
      <c r="AE24" s="5">
        <v>3.5369454483069e-13</v>
      </c>
      <c r="AF24" s="5">
        <v>1.2210078076613e-12</v>
      </c>
      <c r="AG24" s="5">
        <v>1.2443688233415e-12</v>
      </c>
      <c r="AH24" s="5">
        <v>-5.9644979572031e-13</v>
      </c>
      <c r="AI24" s="5">
        <v>-6.6090269133663e-13</v>
      </c>
      <c r="AJ24" s="5">
        <v>-6.1975518300215e-13</v>
      </c>
      <c r="AK24" s="5">
        <v>-4.2638053859161e-13</v>
      </c>
      <c r="AL24" s="5">
        <v>-4.9777506352973e-14</v>
      </c>
      <c r="AM24" s="5">
        <v>3.9424262069217e-13</v>
      </c>
      <c r="AN24" s="5">
        <v>-2.2520189387125e-13</v>
      </c>
      <c r="AO24" s="5">
        <v>3.8207407562871e-13</v>
      </c>
      <c r="AP24" s="5">
        <v>-8.1213662350068e-14</v>
      </c>
      <c r="AQ24" s="5">
        <v>1.7624839760295e-13</v>
      </c>
      <c r="AR24" s="5">
        <v>-1.0442257417992e-12</v>
      </c>
      <c r="AS24" s="5">
        <v>3.6906454706293e-13</v>
      </c>
      <c r="AT24" s="5">
        <v>4.596906625753e-13</v>
      </c>
      <c r="AU24" s="5">
        <v>1.7182927695839e-13</v>
      </c>
      <c r="AV24" s="5">
        <v>-2.6012579073784e-13</v>
      </c>
      <c r="AW24" s="5">
        <v>9.7868437810364e-13</v>
      </c>
      <c r="AX24" s="5">
        <v>1.4086900075568e-12</v>
      </c>
      <c r="AY24" s="5">
        <v>1.0360202582955e-12</v>
      </c>
      <c r="AZ24" s="5">
        <v>-1.0120111127715e-12</v>
      </c>
      <c r="BA24" s="5">
        <v>-1.0606017980167e-12</v>
      </c>
      <c r="BB24" s="5">
        <v>-8.0775086927329e-13</v>
      </c>
      <c r="BC24" s="3">
        <v>15783103.003278</v>
      </c>
      <c r="BD24" s="3">
        <v>4557469.9678962</v>
      </c>
      <c r="BE24" s="3">
        <v>-0.0010382635352784</v>
      </c>
      <c r="BF24" s="3">
        <v>0.0017328604849796</v>
      </c>
      <c r="BG24" s="3">
        <v>0.00035596123230278</v>
      </c>
      <c r="BH24" s="3">
        <v>-0.0061864337714672</v>
      </c>
      <c r="BI24" s="3">
        <v>199.71600534994</v>
      </c>
      <c r="BJ24" s="3">
        <v>99.885818615036</v>
      </c>
      <c r="BK24" s="3">
        <v>183.57093561911</v>
      </c>
      <c r="BL24" s="4"/>
      <c r="BM24" s="7"/>
    </row>
    <row r="25" spans="1:65">
      <c r="A25" s="3">
        <v>6597716.1134636</v>
      </c>
      <c r="B25" s="3">
        <v>0.0010575866462942</v>
      </c>
      <c r="C25" s="6">
        <f t="shared" si="0"/>
        <v>1.20928546946951e-10</v>
      </c>
      <c r="D25" s="5">
        <v>2.8282227206194e-12</v>
      </c>
      <c r="E25" s="5">
        <v>2.9021998138328e-12</v>
      </c>
      <c r="F25" s="5">
        <v>3.0434261512956e-12</v>
      </c>
      <c r="G25" s="5">
        <v>2.9585683157794e-12</v>
      </c>
      <c r="H25" s="5">
        <v>2.6825724410704e-12</v>
      </c>
      <c r="I25" s="5">
        <v>2.7629163582201e-12</v>
      </c>
      <c r="J25" s="5">
        <v>2.6216954993426e-12</v>
      </c>
      <c r="K25" s="5">
        <v>2.6432543451005e-12</v>
      </c>
      <c r="L25" s="5">
        <v>2.8168871238169e-12</v>
      </c>
      <c r="M25" s="5">
        <v>2.6375481439197e-12</v>
      </c>
      <c r="N25" s="5">
        <v>2.8682965090637e-12</v>
      </c>
      <c r="O25" s="5">
        <v>2.7873083475077e-12</v>
      </c>
      <c r="P25" s="5">
        <v>2.7342132886034e-12</v>
      </c>
      <c r="Q25" s="5">
        <v>2.761919294477e-12</v>
      </c>
      <c r="R25" s="5">
        <v>2.9112222901865e-12</v>
      </c>
      <c r="S25" s="5">
        <v>2.6530001236198e-12</v>
      </c>
      <c r="T25" s="5">
        <v>2.7527211716817e-12</v>
      </c>
      <c r="U25" s="5">
        <v>3.0392418010495e-12</v>
      </c>
      <c r="V25" s="5">
        <v>2.9032067525937e-12</v>
      </c>
      <c r="W25" s="5">
        <v>2.9257169752678e-12</v>
      </c>
      <c r="X25" s="5">
        <v>2.8186572254444e-12</v>
      </c>
      <c r="Y25" s="5">
        <v>2.9582695610149e-12</v>
      </c>
      <c r="Z25" s="5">
        <v>2.9125420065929e-12</v>
      </c>
      <c r="AA25" s="5">
        <v>3.0215420216184e-12</v>
      </c>
      <c r="AB25" s="3">
        <v>0.99992925006025</v>
      </c>
      <c r="AC25" s="3">
        <v>0.22997675410487</v>
      </c>
      <c r="AD25" s="3">
        <v>0.001864365291183</v>
      </c>
      <c r="AE25" s="5">
        <v>3.8518894249284e-13</v>
      </c>
      <c r="AF25" s="5">
        <v>1.2030605461968e-12</v>
      </c>
      <c r="AG25" s="5">
        <v>1.2165207626882e-12</v>
      </c>
      <c r="AH25" s="5">
        <v>-5.8279989524742e-13</v>
      </c>
      <c r="AI25" s="5">
        <v>-6.6455282105979e-13</v>
      </c>
      <c r="AJ25" s="5">
        <v>-6.3173019776808e-13</v>
      </c>
      <c r="AK25" s="5">
        <v>-4.3581561511504e-13</v>
      </c>
      <c r="AL25" s="5">
        <v>-7.9527386474215e-14</v>
      </c>
      <c r="AM25" s="5">
        <v>3.7251133496817e-13</v>
      </c>
      <c r="AN25" s="5">
        <v>-2.429510921106e-13</v>
      </c>
      <c r="AO25" s="5">
        <v>3.5054266153374e-13</v>
      </c>
      <c r="AP25" s="5">
        <v>-7.0071223528707e-14</v>
      </c>
      <c r="AQ25" s="5">
        <v>1.722794182649e-13</v>
      </c>
      <c r="AR25" s="5">
        <v>-1.033054685023e-12</v>
      </c>
      <c r="AS25" s="5">
        <v>3.69810253368e-13</v>
      </c>
      <c r="AT25" s="5">
        <v>4.3399061833955e-13</v>
      </c>
      <c r="AU25" s="5">
        <v>1.5225954611411e-13</v>
      </c>
      <c r="AV25" s="5">
        <v>-2.4058078703766e-13</v>
      </c>
      <c r="AW25" s="5">
        <v>9.4142018757374e-13</v>
      </c>
      <c r="AX25" s="5">
        <v>1.3546114338652e-12</v>
      </c>
      <c r="AY25" s="5">
        <v>1.0035282489961e-12</v>
      </c>
      <c r="AZ25" s="5">
        <v>-1.0052534934712e-12</v>
      </c>
      <c r="BA25" s="5">
        <v>-1.0400504255668e-12</v>
      </c>
      <c r="BB25" s="5">
        <v>-7.498711326799e-13</v>
      </c>
      <c r="BC25" s="3">
        <v>15760471.962602</v>
      </c>
      <c r="BD25" s="3">
        <v>4605803.8050813</v>
      </c>
      <c r="BE25" s="3">
        <v>-0.0010920235801575</v>
      </c>
      <c r="BF25" s="3">
        <v>0.0018196261657137</v>
      </c>
      <c r="BG25" s="3">
        <v>0.00037146768171312</v>
      </c>
      <c r="BH25" s="3">
        <v>-0.0064738654125966</v>
      </c>
      <c r="BI25" s="3">
        <v>199.71244374628</v>
      </c>
      <c r="BJ25" s="3">
        <v>99.8858000902</v>
      </c>
      <c r="BK25" s="3">
        <v>183.60237123202</v>
      </c>
      <c r="BL25" s="4"/>
      <c r="BM25" s="7"/>
    </row>
    <row r="26" spans="1:65">
      <c r="A26" s="3">
        <v>7402759.2355516</v>
      </c>
      <c r="B26" s="3">
        <v>0.0011546392762972</v>
      </c>
      <c r="C26" s="6">
        <f t="shared" si="0"/>
        <v>1.19594868786017e-10</v>
      </c>
      <c r="D26" s="5">
        <v>2.8609202687342e-12</v>
      </c>
      <c r="E26" s="5">
        <v>2.9362474270154e-12</v>
      </c>
      <c r="F26" s="5">
        <v>3.0866571196772e-12</v>
      </c>
      <c r="G26" s="5">
        <v>2.9939502723954e-12</v>
      </c>
      <c r="H26" s="5">
        <v>2.7031803909253e-12</v>
      </c>
      <c r="I26" s="5">
        <v>2.7894833528657e-12</v>
      </c>
      <c r="J26" s="5">
        <v>2.6353978984967e-12</v>
      </c>
      <c r="K26" s="5">
        <v>2.6604672005437e-12</v>
      </c>
      <c r="L26" s="5">
        <v>2.8494330877454e-12</v>
      </c>
      <c r="M26" s="5">
        <v>2.6524989563713e-12</v>
      </c>
      <c r="N26" s="5">
        <v>2.8981074808477e-12</v>
      </c>
      <c r="O26" s="5">
        <v>2.8144103323702e-12</v>
      </c>
      <c r="P26" s="5">
        <v>2.7526124379315e-12</v>
      </c>
      <c r="Q26" s="5">
        <v>2.7834809897069e-12</v>
      </c>
      <c r="R26" s="5">
        <v>2.9469898398227e-12</v>
      </c>
      <c r="S26" s="5">
        <v>2.6656726160238e-12</v>
      </c>
      <c r="T26" s="5">
        <v>2.7761461353326e-12</v>
      </c>
      <c r="U26" s="5">
        <v>3.0827586692269e-12</v>
      </c>
      <c r="V26" s="5">
        <v>2.9394481099298e-12</v>
      </c>
      <c r="W26" s="5">
        <v>2.9642130869873e-12</v>
      </c>
      <c r="X26" s="5">
        <v>2.8471256627124e-12</v>
      </c>
      <c r="Y26" s="5">
        <v>2.9934069483492e-12</v>
      </c>
      <c r="Z26" s="5">
        <v>2.9441484346818e-12</v>
      </c>
      <c r="AA26" s="5">
        <v>3.0597204075675e-12</v>
      </c>
      <c r="AB26" s="3">
        <v>0.99994905740674</v>
      </c>
      <c r="AC26" s="3">
        <v>0.23481460005735</v>
      </c>
      <c r="AD26" s="3">
        <v>0.0019626294635461</v>
      </c>
      <c r="AE26" s="5">
        <v>4.1180640530829e-13</v>
      </c>
      <c r="AF26" s="5">
        <v>1.1865999045976e-12</v>
      </c>
      <c r="AG26" s="5">
        <v>1.1865396114473e-12</v>
      </c>
      <c r="AH26" s="5">
        <v>-5.717362961124e-13</v>
      </c>
      <c r="AI26" s="5">
        <v>-6.7094265922613e-13</v>
      </c>
      <c r="AJ26" s="5">
        <v>-6.4377880494275e-13</v>
      </c>
      <c r="AK26" s="5">
        <v>-4.466490952491e-13</v>
      </c>
      <c r="AL26" s="5">
        <v>-1.1106838058948e-13</v>
      </c>
      <c r="AM26" s="5">
        <v>3.5047746444238e-13</v>
      </c>
      <c r="AN26" s="5">
        <v>-2.6167503984122e-13</v>
      </c>
      <c r="AO26" s="5">
        <v>3.1869558228084e-13</v>
      </c>
      <c r="AP26" s="5">
        <v>-5.9130534297472e-14</v>
      </c>
      <c r="AQ26" s="5">
        <v>1.6548697153156e-13</v>
      </c>
      <c r="AR26" s="5">
        <v>-1.0254923105428e-12</v>
      </c>
      <c r="AS26" s="5">
        <v>3.6865575027597e-13</v>
      </c>
      <c r="AT26" s="5">
        <v>4.0947421800589e-13</v>
      </c>
      <c r="AU26" s="5">
        <v>1.3243430607072e-13</v>
      </c>
      <c r="AV26" s="5">
        <v>-2.2284604406676e-13</v>
      </c>
      <c r="AW26" s="5">
        <v>9.1016128257648e-13</v>
      </c>
      <c r="AX26" s="5">
        <v>1.3062752968232e-12</v>
      </c>
      <c r="AY26" s="5">
        <v>9.750852512207e-13</v>
      </c>
      <c r="AZ26" s="5">
        <v>-9.9811111128768e-13</v>
      </c>
      <c r="BA26" s="5">
        <v>-1.0244033520131e-12</v>
      </c>
      <c r="BB26" s="5">
        <v>-6.9529986194859e-13</v>
      </c>
      <c r="BC26" s="3">
        <v>15735483.042431</v>
      </c>
      <c r="BD26" s="3">
        <v>4658726.1606311</v>
      </c>
      <c r="BE26" s="3">
        <v>-0.0011508490813502</v>
      </c>
      <c r="BF26" s="3">
        <v>0.0019159051922669</v>
      </c>
      <c r="BG26" s="3">
        <v>0.0003889844100289</v>
      </c>
      <c r="BH26" s="3">
        <v>-0.0067878230867376</v>
      </c>
      <c r="BI26" s="3">
        <v>199.70853335058</v>
      </c>
      <c r="BJ26" s="3">
        <v>99.885787222271</v>
      </c>
      <c r="BK26" s="3">
        <v>183.63315254831</v>
      </c>
      <c r="BL26" s="4"/>
      <c r="BM26" s="7"/>
    </row>
    <row r="27" spans="1:65">
      <c r="A27" s="3">
        <v>8306032.4750432</v>
      </c>
      <c r="B27" s="3">
        <v>0.0012620732939862</v>
      </c>
      <c r="C27" s="6">
        <f t="shared" si="0"/>
        <v>1.18443495975832e-10</v>
      </c>
      <c r="D27" s="5">
        <v>2.8964955667945e-12</v>
      </c>
      <c r="E27" s="5">
        <v>2.9732524621771e-12</v>
      </c>
      <c r="F27" s="5">
        <v>3.1334597214603e-12</v>
      </c>
      <c r="G27" s="5">
        <v>3.0321872329217e-12</v>
      </c>
      <c r="H27" s="5">
        <v>2.725795754443e-12</v>
      </c>
      <c r="I27" s="5">
        <v>2.8184021097682e-12</v>
      </c>
      <c r="J27" s="5">
        <v>2.650350972945e-12</v>
      </c>
      <c r="K27" s="5">
        <v>2.6793157659067e-12</v>
      </c>
      <c r="L27" s="5">
        <v>2.8849249751155e-12</v>
      </c>
      <c r="M27" s="5">
        <v>2.6687291202335e-12</v>
      </c>
      <c r="N27" s="5">
        <v>2.9305598717478e-12</v>
      </c>
      <c r="O27" s="5">
        <v>2.8437219795518e-12</v>
      </c>
      <c r="P27" s="5">
        <v>2.7727199141174e-12</v>
      </c>
      <c r="Q27" s="5">
        <v>2.8070132517856e-12</v>
      </c>
      <c r="R27" s="5">
        <v>2.9859617188469e-12</v>
      </c>
      <c r="S27" s="5">
        <v>2.6795080490416e-12</v>
      </c>
      <c r="T27" s="5">
        <v>2.8018075089176e-12</v>
      </c>
      <c r="U27" s="5">
        <v>3.1297788105316e-12</v>
      </c>
      <c r="V27" s="5">
        <v>2.9786502841318e-12</v>
      </c>
      <c r="W27" s="5">
        <v>3.0058602034956e-12</v>
      </c>
      <c r="X27" s="5">
        <v>2.8779578948441e-12</v>
      </c>
      <c r="Y27" s="5">
        <v>3.0313908545612e-12</v>
      </c>
      <c r="Z27" s="5">
        <v>2.9784434379077e-12</v>
      </c>
      <c r="AA27" s="5">
        <v>3.1008514106538e-12</v>
      </c>
      <c r="AB27" s="3">
        <v>0.99996855918864</v>
      </c>
      <c r="AC27" s="3">
        <v>0.23962427642968</v>
      </c>
      <c r="AD27" s="3">
        <v>0.0020714484374673</v>
      </c>
      <c r="AE27" s="5">
        <v>4.3383551503037e-13</v>
      </c>
      <c r="AF27" s="5">
        <v>1.1716144644502e-12</v>
      </c>
      <c r="AG27" s="5">
        <v>1.1547945231999e-12</v>
      </c>
      <c r="AH27" s="5">
        <v>-5.6322296266932e-13</v>
      </c>
      <c r="AI27" s="5">
        <v>-6.8026000753248e-13</v>
      </c>
      <c r="AJ27" s="5">
        <v>-6.5620301681553e-13</v>
      </c>
      <c r="AK27" s="5">
        <v>-4.5929861077686e-13</v>
      </c>
      <c r="AL27" s="5">
        <v>-1.445468306483e-13</v>
      </c>
      <c r="AM27" s="5">
        <v>3.2765500080277e-13</v>
      </c>
      <c r="AN27" s="5">
        <v>-2.8137323928106e-13</v>
      </c>
      <c r="AO27" s="5">
        <v>2.8643226955541e-13</v>
      </c>
      <c r="AP27" s="5">
        <v>-4.8474278118021e-14</v>
      </c>
      <c r="AQ27" s="5">
        <v>1.556809456036e-13</v>
      </c>
      <c r="AR27" s="5">
        <v>-1.0220049165892e-12</v>
      </c>
      <c r="AS27" s="5">
        <v>3.6541779735401e-13</v>
      </c>
      <c r="AT27" s="5">
        <v>3.8575652226782e-13</v>
      </c>
      <c r="AU27" s="5">
        <v>1.1186975778923e-13</v>
      </c>
      <c r="AV27" s="5">
        <v>-2.0687214200833e-13</v>
      </c>
      <c r="AW27" s="5">
        <v>8.8398121744141e-13</v>
      </c>
      <c r="AX27" s="5">
        <v>1.2639449978444e-12</v>
      </c>
      <c r="AY27" s="5">
        <v>9.5046583343339e-13</v>
      </c>
      <c r="AZ27" s="5">
        <v>-9.9069197421002e-13</v>
      </c>
      <c r="BA27" s="5">
        <v>-1.0130043948031e-12</v>
      </c>
      <c r="BB27" s="5">
        <v>-6.4373540893073e-13</v>
      </c>
      <c r="BC27" s="3">
        <v>15707897.481891</v>
      </c>
      <c r="BD27" s="3">
        <v>4716715.4059079</v>
      </c>
      <c r="BE27" s="3">
        <v>-0.0012153012286876</v>
      </c>
      <c r="BF27" s="3">
        <v>0.0020228920325737</v>
      </c>
      <c r="BG27" s="3">
        <v>0.00040878347124022</v>
      </c>
      <c r="BH27" s="3">
        <v>-0.0071319752571261</v>
      </c>
      <c r="BI27" s="3">
        <v>199.70423208058</v>
      </c>
      <c r="BJ27" s="3">
        <v>99.885783025334</v>
      </c>
      <c r="BK27" s="3">
        <v>183.66339566682</v>
      </c>
      <c r="BL27" s="4"/>
      <c r="BM27" s="7"/>
    </row>
    <row r="28" spans="1:65">
      <c r="A28" s="3">
        <v>9319521.7190299</v>
      </c>
      <c r="B28" s="3">
        <v>0.0013812058872023</v>
      </c>
      <c r="C28" s="6">
        <f t="shared" si="0"/>
        <v>1.17474882635027e-10</v>
      </c>
      <c r="D28" s="5">
        <v>2.9351792566257e-12</v>
      </c>
      <c r="E28" s="5">
        <v>3.0135008713027e-12</v>
      </c>
      <c r="F28" s="5">
        <v>3.1841379617527e-12</v>
      </c>
      <c r="G28" s="5">
        <v>3.0735115442873e-12</v>
      </c>
      <c r="H28" s="5">
        <v>2.7506159569904e-12</v>
      </c>
      <c r="I28" s="5">
        <v>2.8498793204043e-12</v>
      </c>
      <c r="J28" s="5">
        <v>2.666679959398e-12</v>
      </c>
      <c r="K28" s="5">
        <v>2.6999819630266e-12</v>
      </c>
      <c r="L28" s="5">
        <v>2.9236406474867e-12</v>
      </c>
      <c r="M28" s="5">
        <v>2.6863825242707e-12</v>
      </c>
      <c r="N28" s="5">
        <v>2.9658881884447e-12</v>
      </c>
      <c r="O28" s="5">
        <v>2.8754145734829e-12</v>
      </c>
      <c r="P28" s="5">
        <v>2.7947061190942e-12</v>
      </c>
      <c r="Q28" s="5">
        <v>2.832696296928e-12</v>
      </c>
      <c r="R28" s="5">
        <v>3.0284504673627e-12</v>
      </c>
      <c r="S28" s="5">
        <v>2.6946431641254e-12</v>
      </c>
      <c r="T28" s="5">
        <v>2.8299408459932e-12</v>
      </c>
      <c r="U28" s="5">
        <v>3.180566375139e-12</v>
      </c>
      <c r="V28" s="5">
        <v>3.0210709535298e-12</v>
      </c>
      <c r="W28" s="5">
        <v>3.0509210423455e-12</v>
      </c>
      <c r="X28" s="5">
        <v>2.9113609544748e-12</v>
      </c>
      <c r="Y28" s="5">
        <v>3.0724598694842e-12</v>
      </c>
      <c r="Z28" s="5">
        <v>3.0156392563062e-12</v>
      </c>
      <c r="AA28" s="5">
        <v>3.14515193769e-12</v>
      </c>
      <c r="AB28" s="3">
        <v>0.99999024626507</v>
      </c>
      <c r="AC28" s="3">
        <v>0.24437913303082</v>
      </c>
      <c r="AD28" s="3">
        <v>0.0021921385243296</v>
      </c>
      <c r="AE28" s="5">
        <v>4.5189576332619e-13</v>
      </c>
      <c r="AF28" s="5">
        <v>1.1580379456896e-12</v>
      </c>
      <c r="AG28" s="5">
        <v>1.1215674414242e-12</v>
      </c>
      <c r="AH28" s="5">
        <v>-5.5726073625795e-13</v>
      </c>
      <c r="AI28" s="5">
        <v>-6.9237139463992e-13</v>
      </c>
      <c r="AJ28" s="5">
        <v>-6.6940448218195e-13</v>
      </c>
      <c r="AK28" s="5">
        <v>-4.7417690733971e-13</v>
      </c>
      <c r="AL28" s="5">
        <v>-1.8016794467642e-13</v>
      </c>
      <c r="AM28" s="5">
        <v>3.0354675199852e-13</v>
      </c>
      <c r="AN28" s="5">
        <v>-3.021493403572e-13</v>
      </c>
      <c r="AO28" s="5">
        <v>2.536282737886e-13</v>
      </c>
      <c r="AP28" s="5">
        <v>-3.8073824844706e-14</v>
      </c>
      <c r="AQ28" s="5">
        <v>1.4255115942202e-13</v>
      </c>
      <c r="AR28" s="5">
        <v>-1.0231934074994e-12</v>
      </c>
      <c r="AS28" s="5">
        <v>3.5960264330901e-13</v>
      </c>
      <c r="AT28" s="5">
        <v>3.6241172760374e-13</v>
      </c>
      <c r="AU28" s="5">
        <v>9.0045304146641e-14</v>
      </c>
      <c r="AV28" s="5">
        <v>-1.9255271124937e-13</v>
      </c>
      <c r="AW28" s="5">
        <v>8.6183404675687e-13</v>
      </c>
      <c r="AX28" s="5">
        <v>1.2277863248769e-12</v>
      </c>
      <c r="AY28" s="5">
        <v>9.2951217899068e-13</v>
      </c>
      <c r="AZ28" s="5">
        <v>-9.8324568815889e-13</v>
      </c>
      <c r="BA28" s="5">
        <v>-1.0049989435354e-12</v>
      </c>
      <c r="BB28" s="5">
        <v>-5.9487577786786e-13</v>
      </c>
      <c r="BC28" s="3">
        <v>15677455.584037</v>
      </c>
      <c r="BD28" s="3">
        <v>4780301.0435587</v>
      </c>
      <c r="BE28" s="3">
        <v>-0.0012860136728712</v>
      </c>
      <c r="BF28" s="3">
        <v>0.0021419515625629</v>
      </c>
      <c r="BG28" s="3">
        <v>0.00043117516173113</v>
      </c>
      <c r="BH28" s="3">
        <v>-0.007401676608909</v>
      </c>
      <c r="BI28" s="3">
        <v>199.69953904687</v>
      </c>
      <c r="BJ28" s="3">
        <v>99.885613718298</v>
      </c>
      <c r="BK28" s="3">
        <v>183.69327172023</v>
      </c>
      <c r="BL28" s="4"/>
      <c r="BM28" s="7"/>
    </row>
    <row r="29" spans="1:65">
      <c r="A29" s="3">
        <v>10456675.35402</v>
      </c>
      <c r="B29" s="3">
        <v>0.0015135462625177</v>
      </c>
      <c r="C29" s="6">
        <f t="shared" si="0"/>
        <v>1.16689038714945e-10</v>
      </c>
      <c r="D29" s="5">
        <v>2.9772178047292e-12</v>
      </c>
      <c r="E29" s="5">
        <v>3.0572773991892e-12</v>
      </c>
      <c r="F29" s="5">
        <v>3.2389994202854e-12</v>
      </c>
      <c r="G29" s="5">
        <v>3.1181471821525e-12</v>
      </c>
      <c r="H29" s="5">
        <v>2.7778507897549e-12</v>
      </c>
      <c r="I29" s="5">
        <v>2.8841466888376e-12</v>
      </c>
      <c r="J29" s="5">
        <v>2.684524478058e-12</v>
      </c>
      <c r="K29" s="5">
        <v>2.7226672041778e-12</v>
      </c>
      <c r="L29" s="5">
        <v>2.9658978801298e-12</v>
      </c>
      <c r="M29" s="5">
        <v>2.7056354052824e-12</v>
      </c>
      <c r="N29" s="5">
        <v>3.004339375242e-12</v>
      </c>
      <c r="O29" s="5">
        <v>2.9096679449196e-12</v>
      </c>
      <c r="P29" s="5">
        <v>2.8187505504059e-12</v>
      </c>
      <c r="Q29" s="5">
        <v>2.8607160328073e-12</v>
      </c>
      <c r="R29" s="5">
        <v>3.0747777333772e-12</v>
      </c>
      <c r="S29" s="5">
        <v>2.7112106372e-12</v>
      </c>
      <c r="T29" s="5">
        <v>2.860786572311e-12</v>
      </c>
      <c r="U29" s="5">
        <v>3.2353921586418e-12</v>
      </c>
      <c r="V29" s="5">
        <v>3.0670015037821e-12</v>
      </c>
      <c r="W29" s="5">
        <v>3.0996910823734e-12</v>
      </c>
      <c r="X29" s="5">
        <v>2.9475688043364e-12</v>
      </c>
      <c r="Y29" s="5">
        <v>3.1168666760568e-12</v>
      </c>
      <c r="Z29" s="5">
        <v>3.0559539314849e-12</v>
      </c>
      <c r="AA29" s="5">
        <v>3.1928322360724e-12</v>
      </c>
      <c r="AB29" s="3">
        <v>1.0000205495106</v>
      </c>
      <c r="AC29" s="3">
        <v>0.24905886908976</v>
      </c>
      <c r="AD29" s="3">
        <v>0.0023262054179934</v>
      </c>
      <c r="AE29" s="5">
        <v>4.670580500817e-13</v>
      </c>
      <c r="AF29" s="5">
        <v>1.1458924070522e-12</v>
      </c>
      <c r="AG29" s="5">
        <v>1.0875059911649e-12</v>
      </c>
      <c r="AH29" s="5">
        <v>-5.5371870839947e-13</v>
      </c>
      <c r="AI29" s="5">
        <v>-7.0900321113763e-13</v>
      </c>
      <c r="AJ29" s="5">
        <v>-6.8375481950824e-13</v>
      </c>
      <c r="AK29" s="5">
        <v>-4.915939738452e-13</v>
      </c>
      <c r="AL29" s="5">
        <v>-2.1807159268767e-13</v>
      </c>
      <c r="AM29" s="5">
        <v>2.7770786723443e-13</v>
      </c>
      <c r="AN29" s="5">
        <v>-3.2428868431341e-13</v>
      </c>
      <c r="AO29" s="5">
        <v>2.1991726296926e-13</v>
      </c>
      <c r="AP29" s="5">
        <v>-2.8248734413973e-14</v>
      </c>
      <c r="AQ29" s="5">
        <v>1.2586476124339e-13</v>
      </c>
      <c r="AR29" s="5">
        <v>-1.029412815813e-12</v>
      </c>
      <c r="AS29" s="5">
        <v>3.5074602425784e-13</v>
      </c>
      <c r="AT29" s="5">
        <v>3.3903656502579e-13</v>
      </c>
      <c r="AU29" s="5">
        <v>6.6322458604435e-14</v>
      </c>
      <c r="AV29" s="5">
        <v>-1.8002827342564e-13</v>
      </c>
      <c r="AW29" s="5">
        <v>8.4345637698811e-13</v>
      </c>
      <c r="AX29" s="5">
        <v>1.198151429162e-12</v>
      </c>
      <c r="AY29" s="5">
        <v>9.1252049003071e-13</v>
      </c>
      <c r="AZ29" s="5">
        <v>-9.7587556375518e-13</v>
      </c>
      <c r="BA29" s="5">
        <v>-1.0002016053854e-12</v>
      </c>
      <c r="BB29" s="5">
        <v>-5.4875358338621e-13</v>
      </c>
      <c r="BC29" s="3">
        <v>15643876.219696</v>
      </c>
      <c r="BD29" s="3">
        <v>4850066.7990657</v>
      </c>
      <c r="BE29" s="3">
        <v>-0.0013637045674188</v>
      </c>
      <c r="BF29" s="3">
        <v>0.0022746449271011</v>
      </c>
      <c r="BG29" s="3">
        <v>0.00045651654970625</v>
      </c>
      <c r="BH29" s="3">
        <v>-0.007798904295361</v>
      </c>
      <c r="BI29" s="3">
        <v>199.69433730641</v>
      </c>
      <c r="BJ29" s="3">
        <v>99.885567863761</v>
      </c>
      <c r="BK29" s="3">
        <v>183.72327466107</v>
      </c>
      <c r="BL29" s="4"/>
      <c r="BM29" s="7"/>
    </row>
    <row r="30" spans="1:65">
      <c r="A30" s="3">
        <v>11732582.717854</v>
      </c>
      <c r="B30" s="3">
        <v>0.0016608246571945</v>
      </c>
      <c r="C30" s="6">
        <f t="shared" si="0"/>
        <v>1.16085283407668e-10</v>
      </c>
      <c r="D30" s="5">
        <v>3.0228661176169e-12</v>
      </c>
      <c r="E30" s="5">
        <v>3.1049024832455e-12</v>
      </c>
      <c r="F30" s="5">
        <v>3.2983882122955e-12</v>
      </c>
      <c r="G30" s="5">
        <v>3.1663389221099e-12</v>
      </c>
      <c r="H30" s="5">
        <v>2.8077513178489e-12</v>
      </c>
      <c r="I30" s="5">
        <v>2.9214521664035e-12</v>
      </c>
      <c r="J30" s="5">
        <v>2.7040357847755e-12</v>
      </c>
      <c r="K30" s="5">
        <v>2.7475898640113e-12</v>
      </c>
      <c r="L30" s="5">
        <v>3.012029908211e-12</v>
      </c>
      <c r="M30" s="5">
        <v>2.7266727070027e-12</v>
      </c>
      <c r="N30" s="5">
        <v>3.0461824538372e-12</v>
      </c>
      <c r="O30" s="5">
        <v>2.946679981601e-12</v>
      </c>
      <c r="P30" s="5">
        <v>2.8450590859125e-12</v>
      </c>
      <c r="Q30" s="5">
        <v>2.8912818950107e-12</v>
      </c>
      <c r="R30" s="5">
        <v>3.1253033069682e-12</v>
      </c>
      <c r="S30" s="5">
        <v>2.7293756995571e-12</v>
      </c>
      <c r="T30" s="5">
        <v>2.8946223437354e-12</v>
      </c>
      <c r="U30" s="5">
        <v>3.2945395870621e-12</v>
      </c>
      <c r="V30" s="5">
        <v>3.1167390222477e-12</v>
      </c>
      <c r="W30" s="5">
        <v>3.1524725164254e-12</v>
      </c>
      <c r="X30" s="5">
        <v>2.9868079906091e-12</v>
      </c>
      <c r="Y30" s="5">
        <v>3.1648863447227e-12</v>
      </c>
      <c r="Z30" s="5">
        <v>3.099624984956e-12</v>
      </c>
      <c r="AA30" s="5">
        <v>3.2441171200114e-12</v>
      </c>
      <c r="AB30" s="3">
        <v>1.000089433334</v>
      </c>
      <c r="AC30" s="3">
        <v>0.25365201865959</v>
      </c>
      <c r="AD30" s="3">
        <v>0.0024753712354285</v>
      </c>
      <c r="AE30" s="5">
        <v>4.7948650774509e-13</v>
      </c>
      <c r="AF30" s="5">
        <v>1.134940089447e-12</v>
      </c>
      <c r="AG30" s="5">
        <v>1.0500532157437e-12</v>
      </c>
      <c r="AH30" s="5">
        <v>-5.535231044505e-13</v>
      </c>
      <c r="AI30" s="5">
        <v>-7.2812303951334e-13</v>
      </c>
      <c r="AJ30" s="5">
        <v>-7.0034850779195e-13</v>
      </c>
      <c r="AK30" s="5">
        <v>-5.1202067822756e-13</v>
      </c>
      <c r="AL30" s="5">
        <v>-2.5836348199114e-13</v>
      </c>
      <c r="AM30" s="5">
        <v>2.4930812854543e-13</v>
      </c>
      <c r="AN30" s="5">
        <v>-3.4840512314053e-13</v>
      </c>
      <c r="AO30" s="5">
        <v>1.8455993707769e-13</v>
      </c>
      <c r="AP30" s="5">
        <v>-1.9060956950247e-14</v>
      </c>
      <c r="AQ30" s="5">
        <v>1.0478513708376e-13</v>
      </c>
      <c r="AR30" s="5">
        <v>-1.0416104542886e-12</v>
      </c>
      <c r="AS30" s="5">
        <v>3.3629890358345e-13</v>
      </c>
      <c r="AT30" s="5">
        <v>3.1512171873045e-13</v>
      </c>
      <c r="AU30" s="5">
        <v>4.0003806503712e-14</v>
      </c>
      <c r="AV30" s="5">
        <v>-1.7001174549125e-13</v>
      </c>
      <c r="AW30" s="5">
        <v>8.2710866892293e-13</v>
      </c>
      <c r="AX30" s="5">
        <v>1.1743391617973e-12</v>
      </c>
      <c r="AY30" s="5">
        <v>8.9725591847889e-13</v>
      </c>
      <c r="AZ30" s="5">
        <v>-9.6984431202661e-13</v>
      </c>
      <c r="BA30" s="5">
        <v>-9.9865086467546e-13</v>
      </c>
      <c r="BB30" s="5">
        <v>-5.0528369994041e-13</v>
      </c>
      <c r="BC30" s="3">
        <v>15606856.802517</v>
      </c>
      <c r="BD30" s="3">
        <v>4926652.614691</v>
      </c>
      <c r="BE30" s="3">
        <v>-0.0014491853776084</v>
      </c>
      <c r="BF30" s="3">
        <v>0.0024227589950337</v>
      </c>
      <c r="BG30" s="3">
        <v>0.00048521701651141</v>
      </c>
      <c r="BH30" s="3">
        <v>-0.0083522495118679</v>
      </c>
      <c r="BI30" s="3">
        <v>199.68842906579</v>
      </c>
      <c r="BJ30" s="3">
        <v>99.885873869115</v>
      </c>
      <c r="BK30" s="3">
        <v>183.75389708277</v>
      </c>
      <c r="BL30" s="4"/>
      <c r="BM30" s="7"/>
    </row>
    <row r="31" spans="1:65">
      <c r="A31" s="3">
        <v>13164174.326057</v>
      </c>
      <c r="B31" s="3">
        <v>0.0018250294773368</v>
      </c>
      <c r="C31" s="6">
        <f t="shared" si="0"/>
        <v>1.15667618570603e-10</v>
      </c>
      <c r="D31" s="5">
        <v>3.0724270299871e-12</v>
      </c>
      <c r="E31" s="5">
        <v>3.1567052491156e-12</v>
      </c>
      <c r="F31" s="5">
        <v>3.3626612890488e-12</v>
      </c>
      <c r="G31" s="5">
        <v>3.2183213467584e-12</v>
      </c>
      <c r="H31" s="5">
        <v>2.8405827672189e-12</v>
      </c>
      <c r="I31" s="5">
        <v>2.9620831763517e-12</v>
      </c>
      <c r="J31" s="5">
        <v>2.7254176608054e-12</v>
      </c>
      <c r="K31" s="5">
        <v>2.7750039671571e-12</v>
      </c>
      <c r="L31" s="5">
        <v>3.0624027299049e-12</v>
      </c>
      <c r="M31" s="5">
        <v>2.749714764438e-12</v>
      </c>
      <c r="N31" s="5">
        <v>3.091695373273e-12</v>
      </c>
      <c r="O31" s="5">
        <v>2.9866781914251e-12</v>
      </c>
      <c r="P31" s="5">
        <v>2.8738598361111e-12</v>
      </c>
      <c r="Q31" s="5">
        <v>2.9246224286335e-12</v>
      </c>
      <c r="R31" s="5">
        <v>3.1803989474398e-12</v>
      </c>
      <c r="S31" s="5">
        <v>2.7493110940708e-12</v>
      </c>
      <c r="T31" s="5">
        <v>2.9317500181557e-12</v>
      </c>
      <c r="U31" s="5">
        <v>3.3582847097807e-12</v>
      </c>
      <c r="V31" s="5">
        <v>3.1706157559368e-12</v>
      </c>
      <c r="W31" s="5">
        <v>3.2095933029313e-12</v>
      </c>
      <c r="X31" s="5">
        <v>3.029328618544e-12</v>
      </c>
      <c r="Y31" s="5">
        <v>3.2168206382548e-12</v>
      </c>
      <c r="Z31" s="5">
        <v>3.146896604782e-12</v>
      </c>
      <c r="AA31" s="5">
        <v>3.2992292781864e-12</v>
      </c>
      <c r="AB31" s="3">
        <v>0.99609661442804</v>
      </c>
      <c r="AC31" s="3">
        <v>0.25814350047016</v>
      </c>
      <c r="AD31" s="3">
        <v>0.0026416139853408</v>
      </c>
      <c r="AE31" s="5">
        <v>4.9177230299528e-13</v>
      </c>
      <c r="AF31" s="5">
        <v>1.1264004488412e-12</v>
      </c>
      <c r="AG31" s="5">
        <v>1.0162065078203e-12</v>
      </c>
      <c r="AH31" s="5">
        <v>-5.5418525049362e-13</v>
      </c>
      <c r="AI31" s="5">
        <v>-7.5154116109684e-13</v>
      </c>
      <c r="AJ31" s="5">
        <v>-7.1838209654963e-13</v>
      </c>
      <c r="AK31" s="5">
        <v>-5.3530459555996e-13</v>
      </c>
      <c r="AL31" s="5">
        <v>-3.0057551638771e-13</v>
      </c>
      <c r="AM31" s="5">
        <v>2.1944460638463e-13</v>
      </c>
      <c r="AN31" s="5">
        <v>-3.7435106703658e-13</v>
      </c>
      <c r="AO31" s="5">
        <v>1.4855708283839e-13</v>
      </c>
      <c r="AP31" s="5">
        <v>-9.9386181648566e-15</v>
      </c>
      <c r="AQ31" s="5">
        <v>7.9856519312902e-14</v>
      </c>
      <c r="AR31" s="5">
        <v>-1.0584526500472e-12</v>
      </c>
      <c r="AS31" s="5">
        <v>3.1958981271289e-13</v>
      </c>
      <c r="AT31" s="5">
        <v>2.9100523308235e-13</v>
      </c>
      <c r="AU31" s="5">
        <v>1.1471705923616e-14</v>
      </c>
      <c r="AV31" s="5">
        <v>-1.5996309057282e-13</v>
      </c>
      <c r="AW31" s="5">
        <v>8.1565541866015e-13</v>
      </c>
      <c r="AX31" s="5">
        <v>1.1584687320868e-12</v>
      </c>
      <c r="AY31" s="5">
        <v>8.8793132566486e-13</v>
      </c>
      <c r="AZ31" s="5">
        <v>-9.6408082090813e-13</v>
      </c>
      <c r="BA31" s="5">
        <v>-9.9971411349185e-13</v>
      </c>
      <c r="BB31" s="5">
        <v>-4.6240438919922e-13</v>
      </c>
      <c r="BC31" s="3">
        <v>15566073.428286</v>
      </c>
      <c r="BD31" s="3">
        <v>5010757.8978726</v>
      </c>
      <c r="BE31" s="3">
        <v>-0.0015433764748076</v>
      </c>
      <c r="BF31" s="3">
        <v>0.0025883477871202</v>
      </c>
      <c r="BG31" s="3">
        <v>0.00051774257236475</v>
      </c>
      <c r="BH31" s="3">
        <v>-0.0088958206260248</v>
      </c>
      <c r="BI31" s="3">
        <v>199.68204703867</v>
      </c>
      <c r="BJ31" s="3">
        <v>99.885950087045</v>
      </c>
      <c r="BK31" s="3">
        <v>183.78614838382</v>
      </c>
      <c r="BL31" s="4"/>
      <c r="BM31" s="7"/>
    </row>
    <row r="32" spans="1:65">
      <c r="A32" s="3">
        <v>14770446.529484</v>
      </c>
      <c r="B32" s="3">
        <v>0.0020084358670908</v>
      </c>
      <c r="C32" s="6">
        <f t="shared" si="0"/>
        <v>1.15429544392241e-10</v>
      </c>
      <c r="D32" s="5">
        <v>3.1261687088827e-12</v>
      </c>
      <c r="E32" s="5">
        <v>3.2130194510654e-12</v>
      </c>
      <c r="F32" s="5">
        <v>3.4321789724337e-12</v>
      </c>
      <c r="G32" s="5">
        <v>3.2743269366438e-12</v>
      </c>
      <c r="H32" s="5">
        <v>2.8766236484564e-12</v>
      </c>
      <c r="I32" s="5">
        <v>3.0063083646644e-12</v>
      </c>
      <c r="J32" s="5">
        <v>2.7488623926769e-12</v>
      </c>
      <c r="K32" s="5">
        <v>2.8051697355905e-12</v>
      </c>
      <c r="L32" s="5">
        <v>3.1173831841654e-12</v>
      </c>
      <c r="M32" s="5">
        <v>2.7749823154568e-12</v>
      </c>
      <c r="N32" s="5">
        <v>3.1411590731296e-12</v>
      </c>
      <c r="O32" s="5">
        <v>3.0298649269719e-12</v>
      </c>
      <c r="P32" s="5">
        <v>2.9053810601189e-12</v>
      </c>
      <c r="Q32" s="5">
        <v>2.9609759751046e-12</v>
      </c>
      <c r="R32" s="5">
        <v>3.2404481357306e-12</v>
      </c>
      <c r="S32" s="5">
        <v>2.7712096341174e-12</v>
      </c>
      <c r="T32" s="5">
        <v>2.9724965976521e-12</v>
      </c>
      <c r="U32" s="5">
        <v>3.4268758038531e-12</v>
      </c>
      <c r="V32" s="5">
        <v>3.2289355355987e-12</v>
      </c>
      <c r="W32" s="5">
        <v>3.2713691862464e-12</v>
      </c>
      <c r="X32" s="5">
        <v>3.0753632731281e-12</v>
      </c>
      <c r="Y32" s="5">
        <v>3.2729557120406e-12</v>
      </c>
      <c r="Z32" s="5">
        <v>3.1980106487644e-12</v>
      </c>
      <c r="AA32" s="5">
        <v>3.3583775411746e-12</v>
      </c>
      <c r="AB32" s="3">
        <v>0.9957965083261</v>
      </c>
      <c r="AC32" s="3">
        <v>0.26253443636586</v>
      </c>
      <c r="AD32" s="3">
        <v>0.0028271930717793</v>
      </c>
      <c r="AE32" s="5">
        <v>5.0268847901967e-13</v>
      </c>
      <c r="AF32" s="5">
        <v>1.1194284156962e-12</v>
      </c>
      <c r="AG32" s="5">
        <v>9.78625573611e-13</v>
      </c>
      <c r="AH32" s="5">
        <v>-5.5898713159422e-13</v>
      </c>
      <c r="AI32" s="5">
        <v>-7.7973627454908e-13</v>
      </c>
      <c r="AJ32" s="5">
        <v>-7.4020808098579e-13</v>
      </c>
      <c r="AK32" s="5">
        <v>-5.6242994658688e-13</v>
      </c>
      <c r="AL32" s="5">
        <v>-3.4538160747016e-13</v>
      </c>
      <c r="AM32" s="5">
        <v>1.8554776485979e-13</v>
      </c>
      <c r="AN32" s="5">
        <v>-4.0359089225616e-13</v>
      </c>
      <c r="AO32" s="5">
        <v>1.0852930713024e-13</v>
      </c>
      <c r="AP32" s="5">
        <v>-2.6884236951141e-15</v>
      </c>
      <c r="AQ32" s="5">
        <v>4.9995437845003e-14</v>
      </c>
      <c r="AR32" s="5">
        <v>-1.0815836708829e-12</v>
      </c>
      <c r="AS32" s="5">
        <v>2.9473395149658e-13</v>
      </c>
      <c r="AT32" s="5">
        <v>2.6549538215806e-13</v>
      </c>
      <c r="AU32" s="5">
        <v>-2.1195301188716e-14</v>
      </c>
      <c r="AV32" s="5">
        <v>-1.5390991301947e-13</v>
      </c>
      <c r="AW32" s="5">
        <v>8.050791803219e-13</v>
      </c>
      <c r="AX32" s="5">
        <v>1.1484856149159e-12</v>
      </c>
      <c r="AY32" s="5">
        <v>8.7822970092907e-13</v>
      </c>
      <c r="AZ32" s="5">
        <v>-9.6052277178895e-13</v>
      </c>
      <c r="BA32" s="5">
        <v>-1.0057499812707e-12</v>
      </c>
      <c r="BB32" s="5">
        <v>-4.2283945216922e-13</v>
      </c>
      <c r="BC32" s="3">
        <v>15521182.872371</v>
      </c>
      <c r="BD32" s="3">
        <v>5103133.3445995</v>
      </c>
      <c r="BE32" s="3">
        <v>-0.0016473140233482</v>
      </c>
      <c r="BF32" s="3">
        <v>0.0027737590557317</v>
      </c>
      <c r="BG32" s="3">
        <v>0.00055463301880722</v>
      </c>
      <c r="BH32" s="3">
        <v>-0.0094883776245364</v>
      </c>
      <c r="BI32" s="3">
        <v>199.67489179838</v>
      </c>
      <c r="BJ32" s="3">
        <v>99.886140603517</v>
      </c>
      <c r="BK32" s="3">
        <v>183.82105721148</v>
      </c>
      <c r="BL32" s="4"/>
      <c r="BM32" s="7"/>
    </row>
    <row r="33" spans="1:65">
      <c r="A33" s="3">
        <v>16572713.584362</v>
      </c>
      <c r="B33" s="3">
        <v>0.0022136559243272</v>
      </c>
      <c r="C33" s="6">
        <f t="shared" si="0"/>
        <v>1.15372032683289e-10</v>
      </c>
      <c r="D33" s="5">
        <v>3.1843996197938e-12</v>
      </c>
      <c r="E33" s="5">
        <v>3.2741941960321e-12</v>
      </c>
      <c r="F33" s="5">
        <v>3.5073308549049e-12</v>
      </c>
      <c r="G33" s="5">
        <v>3.3345614796263e-12</v>
      </c>
      <c r="H33" s="5">
        <v>2.9161949647401e-12</v>
      </c>
      <c r="I33" s="5">
        <v>3.0544310556127e-12</v>
      </c>
      <c r="J33" s="5">
        <v>2.7746141749293e-12</v>
      </c>
      <c r="K33" s="5">
        <v>2.8383827501572e-12</v>
      </c>
      <c r="L33" s="5">
        <v>3.1773668313182e-12</v>
      </c>
      <c r="M33" s="5">
        <v>2.8027434180161e-12</v>
      </c>
      <c r="N33" s="5">
        <v>3.1948533229454e-12</v>
      </c>
      <c r="O33" s="5">
        <v>3.0764755943044e-12</v>
      </c>
      <c r="P33" s="5">
        <v>2.9398756958114e-12</v>
      </c>
      <c r="Q33" s="5">
        <v>3.0005915530644e-12</v>
      </c>
      <c r="R33" s="5">
        <v>3.3058548273164e-12</v>
      </c>
      <c r="S33" s="5">
        <v>2.7952869272471e-12</v>
      </c>
      <c r="T33" s="5">
        <v>3.0172194538969e-12</v>
      </c>
      <c r="U33" s="5">
        <v>3.5005423532597e-12</v>
      </c>
      <c r="V33" s="5">
        <v>3.2920400759474e-12</v>
      </c>
      <c r="W33" s="5">
        <v>3.3381278611098e-12</v>
      </c>
      <c r="X33" s="5">
        <v>3.1251399288139e-12</v>
      </c>
      <c r="Y33" s="5">
        <v>3.3335996415341e-12</v>
      </c>
      <c r="Z33" s="5">
        <v>3.2532249170116e-12</v>
      </c>
      <c r="AA33" s="5">
        <v>3.4217440104595e-12</v>
      </c>
      <c r="AB33" s="3">
        <v>0.99988763829583</v>
      </c>
      <c r="AC33" s="3">
        <v>0.26682439365033</v>
      </c>
      <c r="AD33" s="3">
        <v>0.0030347064442749</v>
      </c>
      <c r="AE33" s="5">
        <v>5.1351746312614e-13</v>
      </c>
      <c r="AF33" s="5">
        <v>1.1145362389031e-12</v>
      </c>
      <c r="AG33" s="5">
        <v>9.4107167653175e-13</v>
      </c>
      <c r="AH33" s="5">
        <v>-5.6472440060466e-13</v>
      </c>
      <c r="AI33" s="5">
        <v>-8.125494530494e-13</v>
      </c>
      <c r="AJ33" s="5">
        <v>-7.6464369422077e-13</v>
      </c>
      <c r="AK33" s="5">
        <v>-5.9346255171553e-13</v>
      </c>
      <c r="AL33" s="5">
        <v>-3.9230893269941e-13</v>
      </c>
      <c r="AM33" s="5">
        <v>1.4927668049841e-13</v>
      </c>
      <c r="AN33" s="5">
        <v>-4.3543265047805e-13</v>
      </c>
      <c r="AO33" s="5">
        <v>6.644065783241e-14</v>
      </c>
      <c r="AP33" s="5">
        <v>4.0066121791247e-15</v>
      </c>
      <c r="AQ33" s="5">
        <v>1.6125938050201e-14</v>
      </c>
      <c r="AR33" s="5">
        <v>-1.1099700252874e-12</v>
      </c>
      <c r="AS33" s="5">
        <v>2.6298262116493e-13</v>
      </c>
      <c r="AT33" s="5">
        <v>2.3855850895047e-13</v>
      </c>
      <c r="AU33" s="5">
        <v>-5.7071800036746e-14</v>
      </c>
      <c r="AV33" s="5">
        <v>-1.4942177527047e-13</v>
      </c>
      <c r="AW33" s="5">
        <v>7.9711404483039e-13</v>
      </c>
      <c r="AX33" s="5">
        <v>1.1456426183662e-12</v>
      </c>
      <c r="AY33" s="5">
        <v>8.7169425535473e-13</v>
      </c>
      <c r="AZ33" s="5">
        <v>-9.5738703977654e-13</v>
      </c>
      <c r="BA33" s="5">
        <v>-1.0146083048648e-12</v>
      </c>
      <c r="BB33" s="5">
        <v>-3.8415993148711e-13</v>
      </c>
      <c r="BC33" s="3">
        <v>15471824.084977</v>
      </c>
      <c r="BD33" s="3">
        <v>5204580.4815947</v>
      </c>
      <c r="BE33" s="3">
        <v>-0.0017621793390568</v>
      </c>
      <c r="BF33" s="3">
        <v>0.0029816902692911</v>
      </c>
      <c r="BG33" s="3">
        <v>0.00059649772424873</v>
      </c>
      <c r="BH33" s="3">
        <v>-0.013345283337592</v>
      </c>
      <c r="BI33" s="3">
        <v>199.66532924653</v>
      </c>
      <c r="BJ33" s="3">
        <v>99.882786609652</v>
      </c>
      <c r="BK33" s="3">
        <v>183.86166699134</v>
      </c>
      <c r="BL33" s="4"/>
      <c r="BM33" s="7"/>
    </row>
    <row r="34" spans="1:65">
      <c r="A34" s="3">
        <v>17333083.909976</v>
      </c>
      <c r="B34" s="3">
        <v>0.0023001477678628</v>
      </c>
      <c r="C34" s="6">
        <f t="shared" si="0"/>
        <v>1.15425588073849e-10</v>
      </c>
      <c r="D34" s="5">
        <v>3.213357167869e-12</v>
      </c>
      <c r="E34" s="5">
        <v>3.3046635522536e-12</v>
      </c>
      <c r="F34" s="5">
        <v>3.5446156562144e-12</v>
      </c>
      <c r="G34" s="5">
        <v>3.3643314067016e-12</v>
      </c>
      <c r="H34" s="5">
        <v>2.9360804816857e-12</v>
      </c>
      <c r="I34" s="5">
        <v>3.078439178056e-12</v>
      </c>
      <c r="J34" s="5">
        <v>2.7875697349426e-12</v>
      </c>
      <c r="K34" s="5">
        <v>2.855109845167e-12</v>
      </c>
      <c r="L34" s="5">
        <v>3.2073480936194e-12</v>
      </c>
      <c r="M34" s="5">
        <v>2.8167069000714e-12</v>
      </c>
      <c r="N34" s="5">
        <v>3.2215743854368e-12</v>
      </c>
      <c r="O34" s="5">
        <v>3.0995876186854e-12</v>
      </c>
      <c r="P34" s="5">
        <v>2.9571534800903e-12</v>
      </c>
      <c r="Q34" s="5">
        <v>3.0203750622607e-12</v>
      </c>
      <c r="R34" s="5">
        <v>3.338485663455e-12</v>
      </c>
      <c r="S34" s="5">
        <v>2.8073928791945e-12</v>
      </c>
      <c r="T34" s="5">
        <v>3.0396767992303e-12</v>
      </c>
      <c r="U34" s="5">
        <v>3.5369195275151e-12</v>
      </c>
      <c r="V34" s="5">
        <v>3.3233946453306e-12</v>
      </c>
      <c r="W34" s="5">
        <v>3.371264871126e-12</v>
      </c>
      <c r="X34" s="5">
        <v>3.1498317176692e-12</v>
      </c>
      <c r="Y34" s="5">
        <v>3.3636902644686e-12</v>
      </c>
      <c r="Z34" s="5">
        <v>3.2806058233464e-12</v>
      </c>
      <c r="AA34" s="5">
        <v>3.4529674864507e-12</v>
      </c>
      <c r="AB34" s="3">
        <v>1.0000365622341</v>
      </c>
      <c r="AC34" s="3">
        <v>0.26880449048803</v>
      </c>
      <c r="AD34" s="3">
        <v>0.0031221121054345</v>
      </c>
      <c r="AE34" s="5">
        <v>5.1845260453339e-13</v>
      </c>
      <c r="AF34" s="5">
        <v>1.1125875467627e-12</v>
      </c>
      <c r="AG34" s="5">
        <v>9.2124380108377e-13</v>
      </c>
      <c r="AH34" s="5">
        <v>-5.6767595987911e-13</v>
      </c>
      <c r="AI34" s="5">
        <v>-8.29765727969e-13</v>
      </c>
      <c r="AJ34" s="5">
        <v>-7.777535214481e-13</v>
      </c>
      <c r="AK34" s="5">
        <v>-6.0970274481805e-13</v>
      </c>
      <c r="AL34" s="5">
        <v>-4.1522192076088e-13</v>
      </c>
      <c r="AM34" s="5">
        <v>1.3104704195831e-13</v>
      </c>
      <c r="AN34" s="5">
        <v>-4.5172206707139e-13</v>
      </c>
      <c r="AO34" s="5">
        <v>4.5473021663435e-14</v>
      </c>
      <c r="AP34" s="5">
        <v>6.7814204354361e-15</v>
      </c>
      <c r="AQ34" s="5">
        <v>-1.3006070089334e-15</v>
      </c>
      <c r="AR34" s="5">
        <v>-1.1254520480106e-12</v>
      </c>
      <c r="AS34" s="5">
        <v>2.4397559161203e-13</v>
      </c>
      <c r="AT34" s="5">
        <v>2.2467309741331e-13</v>
      </c>
      <c r="AU34" s="5">
        <v>-7.5334494326397e-14</v>
      </c>
      <c r="AV34" s="5">
        <v>-1.4773739441234e-13</v>
      </c>
      <c r="AW34" s="5">
        <v>7.9373736320678e-13</v>
      </c>
      <c r="AX34" s="5">
        <v>1.1467135999708e-12</v>
      </c>
      <c r="AY34" s="5">
        <v>8.6825286235557e-13</v>
      </c>
      <c r="AZ34" s="5">
        <v>-9.5560893042884e-13</v>
      </c>
      <c r="BA34" s="5">
        <v>-1.0195271911186e-12</v>
      </c>
      <c r="BB34" s="5">
        <v>-3.6650309154659e-13</v>
      </c>
      <c r="BC34" s="3">
        <v>15451307.51805</v>
      </c>
      <c r="BD34" s="3">
        <v>5246728.7645906</v>
      </c>
      <c r="BE34" s="3">
        <v>-0.0018101411797521</v>
      </c>
      <c r="BF34" s="3">
        <v>0.003069456461279</v>
      </c>
      <c r="BG34" s="3">
        <v>0.00061432024280432</v>
      </c>
      <c r="BH34" s="3">
        <v>-0.0099049295788501</v>
      </c>
      <c r="BI34" s="3">
        <v>199.66387112203</v>
      </c>
      <c r="BJ34" s="3">
        <v>99.885428826837</v>
      </c>
      <c r="BK34" s="3">
        <v>183.8767149454</v>
      </c>
      <c r="BL34" s="4"/>
      <c r="BM34" s="7"/>
    </row>
    <row r="35" spans="1:65">
      <c r="A35" s="3">
        <v>18126931.013515</v>
      </c>
      <c r="B35" s="3">
        <v>0.0023904303292161</v>
      </c>
      <c r="C35" s="6">
        <f t="shared" si="0"/>
        <v>1.15492891534114e-10</v>
      </c>
      <c r="D35" s="5">
        <v>3.2388121040877e-12</v>
      </c>
      <c r="E35" s="5">
        <v>3.3314739117714e-12</v>
      </c>
      <c r="F35" s="5">
        <v>3.5773609643288e-12</v>
      </c>
      <c r="G35" s="5">
        <v>3.3903978324052e-12</v>
      </c>
      <c r="H35" s="5">
        <v>2.9536772809044e-12</v>
      </c>
      <c r="I35" s="5">
        <v>3.099594084282e-12</v>
      </c>
      <c r="J35" s="5">
        <v>2.7990502054096e-12</v>
      </c>
      <c r="K35" s="5">
        <v>2.8699366330662e-12</v>
      </c>
      <c r="L35" s="5">
        <v>3.2337957069999e-12</v>
      </c>
      <c r="M35" s="5">
        <v>2.82908127188e-12</v>
      </c>
      <c r="N35" s="5">
        <v>3.2450864648986e-12</v>
      </c>
      <c r="O35" s="5">
        <v>3.1198726402566e-12</v>
      </c>
      <c r="P35" s="5">
        <v>2.9724146150794e-12</v>
      </c>
      <c r="Q35" s="5">
        <v>3.0378144441898e-12</v>
      </c>
      <c r="R35" s="5">
        <v>3.3672344064763e-12</v>
      </c>
      <c r="S35" s="5">
        <v>2.818116055905e-12</v>
      </c>
      <c r="T35" s="5">
        <v>3.0595447319798e-12</v>
      </c>
      <c r="U35" s="5">
        <v>3.5687462757333e-12</v>
      </c>
      <c r="V35" s="5">
        <v>3.3509508875814e-12</v>
      </c>
      <c r="W35" s="5">
        <v>3.4003654731465e-12</v>
      </c>
      <c r="X35" s="5">
        <v>3.1715192740158e-12</v>
      </c>
      <c r="Y35" s="5">
        <v>3.3901106889348e-12</v>
      </c>
      <c r="Z35" s="5">
        <v>3.3046425072266e-12</v>
      </c>
      <c r="AA35" s="5">
        <v>3.4802624309047e-12</v>
      </c>
      <c r="AB35" s="3">
        <v>0.99976569300915</v>
      </c>
      <c r="AC35" s="3">
        <v>0.27046530450797</v>
      </c>
      <c r="AD35" s="3">
        <v>0.0032133246598722</v>
      </c>
      <c r="AE35" s="5">
        <v>5.2346972338721e-13</v>
      </c>
      <c r="AF35" s="5">
        <v>1.1122441479019e-12</v>
      </c>
      <c r="AG35" s="5">
        <v>9.089957779355e-13</v>
      </c>
      <c r="AH35" s="5">
        <v>-5.6946199691833e-13</v>
      </c>
      <c r="AI35" s="5">
        <v>-8.4444770506981e-13</v>
      </c>
      <c r="AJ35" s="5">
        <v>-7.8812278872824e-13</v>
      </c>
      <c r="AK35" s="5">
        <v>-6.2391395367291e-13</v>
      </c>
      <c r="AL35" s="5">
        <v>-4.3482391634636e-13</v>
      </c>
      <c r="AM35" s="5">
        <v>1.1608520627787e-13</v>
      </c>
      <c r="AN35" s="5">
        <v>-4.655465704461e-13</v>
      </c>
      <c r="AO35" s="5">
        <v>2.8539021813948e-14</v>
      </c>
      <c r="AP35" s="5">
        <v>9.7586398368109e-15</v>
      </c>
      <c r="AQ35" s="5">
        <v>-1.6368051271615e-14</v>
      </c>
      <c r="AR35" s="5">
        <v>-1.1385871132146e-12</v>
      </c>
      <c r="AS35" s="5">
        <v>2.2986983314592e-13</v>
      </c>
      <c r="AT35" s="5">
        <v>2.1328442170648e-13</v>
      </c>
      <c r="AU35" s="5">
        <v>-9.079538786021e-14</v>
      </c>
      <c r="AV35" s="5">
        <v>-1.4488769119461e-13</v>
      </c>
      <c r="AW35" s="5">
        <v>7.9249007849597e-13</v>
      </c>
      <c r="AX35" s="5">
        <v>1.1495110944445e-12</v>
      </c>
      <c r="AY35" s="5">
        <v>8.681865596853e-13</v>
      </c>
      <c r="AZ35" s="5">
        <v>-9.5378539412859e-13</v>
      </c>
      <c r="BA35" s="5">
        <v>-1.0235745646972e-12</v>
      </c>
      <c r="BB35" s="5">
        <v>-3.5035188848581e-13</v>
      </c>
      <c r="BC35" s="3">
        <v>15430072.660639</v>
      </c>
      <c r="BD35" s="3">
        <v>5290347.72812</v>
      </c>
      <c r="BE35" s="3">
        <v>-0.0018599613729083</v>
      </c>
      <c r="BF35" s="3">
        <v>0.0031611401587027</v>
      </c>
      <c r="BG35" s="3">
        <v>0.00063301681466028</v>
      </c>
      <c r="BH35" s="3">
        <v>-0.010141766549284</v>
      </c>
      <c r="BI35" s="3">
        <v>199.66045305657</v>
      </c>
      <c r="BJ35" s="3">
        <v>99.885408156422</v>
      </c>
      <c r="BK35" s="3">
        <v>183.89438910794</v>
      </c>
      <c r="BL35" s="4"/>
      <c r="BM35" s="7"/>
    </row>
    <row r="36" spans="1:65">
      <c r="A36" s="3">
        <v>18978998.548169</v>
      </c>
      <c r="B36" s="3">
        <v>0.0024873450076507</v>
      </c>
      <c r="C36" s="6">
        <f t="shared" si="0"/>
        <v>1.15592190522779e-10</v>
      </c>
      <c r="D36" s="5">
        <v>3.2653882600033e-12</v>
      </c>
      <c r="E36" s="5">
        <v>3.3594889712167e-12</v>
      </c>
      <c r="F36" s="5">
        <v>3.6115311030021e-12</v>
      </c>
      <c r="G36" s="5">
        <v>3.4175152233925e-12</v>
      </c>
      <c r="H36" s="5">
        <v>2.9721634856667e-12</v>
      </c>
      <c r="I36" s="5">
        <v>3.1217299128646e-12</v>
      </c>
      <c r="J36" s="5">
        <v>2.811121471606e-12</v>
      </c>
      <c r="K36" s="5">
        <v>2.8855424342083e-12</v>
      </c>
      <c r="L36" s="5">
        <v>3.2615077316453e-12</v>
      </c>
      <c r="M36" s="5">
        <v>2.8420977243176e-12</v>
      </c>
      <c r="N36" s="5">
        <v>3.2696642826184e-12</v>
      </c>
      <c r="O36" s="5">
        <v>3.1410212711672e-12</v>
      </c>
      <c r="P36" s="5">
        <v>2.9884139759776e-12</v>
      </c>
      <c r="Q36" s="5">
        <v>3.0560699385338e-12</v>
      </c>
      <c r="R36" s="5">
        <v>3.3973207296761e-12</v>
      </c>
      <c r="S36" s="5">
        <v>2.8293856553379e-12</v>
      </c>
      <c r="T36" s="5">
        <v>3.0804145709972e-12</v>
      </c>
      <c r="U36" s="5">
        <v>3.6018357203197e-12</v>
      </c>
      <c r="V36" s="5">
        <v>3.3797176460707e-12</v>
      </c>
      <c r="W36" s="5">
        <v>3.4307340841522e-12</v>
      </c>
      <c r="X36" s="5">
        <v>3.1941495957748e-12</v>
      </c>
      <c r="Y36" s="5">
        <v>3.4176661106103e-12</v>
      </c>
      <c r="Z36" s="5">
        <v>3.3297126075414e-12</v>
      </c>
      <c r="AA36" s="5">
        <v>3.5086122451905e-12</v>
      </c>
      <c r="AB36" s="3">
        <v>0.99876414200198</v>
      </c>
      <c r="AC36" s="3">
        <v>0.27214093366859</v>
      </c>
      <c r="AD36" s="3">
        <v>0.0033112058176445</v>
      </c>
      <c r="AE36" s="5">
        <v>5.2764289244367e-13</v>
      </c>
      <c r="AF36" s="5">
        <v>1.1118110387958e-12</v>
      </c>
      <c r="AG36" s="5">
        <v>8.9573204927614e-13</v>
      </c>
      <c r="AH36" s="5">
        <v>-5.7232015156339e-13</v>
      </c>
      <c r="AI36" s="5">
        <v>-8.6045761177143e-13</v>
      </c>
      <c r="AJ36" s="5">
        <v>-7.9906162523084e-13</v>
      </c>
      <c r="AK36" s="5">
        <v>-6.3901902816741e-13</v>
      </c>
      <c r="AL36" s="5">
        <v>-4.5515265407632e-13</v>
      </c>
      <c r="AM36" s="5">
        <v>1.0066225183117e-13</v>
      </c>
      <c r="AN36" s="5">
        <v>-4.7976643264855e-13</v>
      </c>
      <c r="AO36" s="5">
        <v>1.0730782221444e-14</v>
      </c>
      <c r="AP36" s="5">
        <v>1.2337042487889e-14</v>
      </c>
      <c r="AQ36" s="5">
        <v>-3.2187280479032e-14</v>
      </c>
      <c r="AR36" s="5">
        <v>-1.152934708743e-12</v>
      </c>
      <c r="AS36" s="5">
        <v>2.1422008516784e-13</v>
      </c>
      <c r="AT36" s="5">
        <v>2.0134075992396e-13</v>
      </c>
      <c r="AU36" s="5">
        <v>-1.0709823061091e-13</v>
      </c>
      <c r="AV36" s="5">
        <v>-1.4401467130696e-13</v>
      </c>
      <c r="AW36" s="5">
        <v>7.8989447985107e-13</v>
      </c>
      <c r="AX36" s="5">
        <v>1.1518951913405e-12</v>
      </c>
      <c r="AY36" s="5">
        <v>8.6782992710571e-13</v>
      </c>
      <c r="AZ36" s="5">
        <v>-9.5259310574079e-13</v>
      </c>
      <c r="BA36" s="5">
        <v>-1.0284987099546e-12</v>
      </c>
      <c r="BB36" s="5">
        <v>-3.3533269349329e-13</v>
      </c>
      <c r="BC36" s="3">
        <v>15407483.376872</v>
      </c>
      <c r="BD36" s="3">
        <v>5336750.3618287</v>
      </c>
      <c r="BE36" s="3">
        <v>-0.0019131643338373</v>
      </c>
      <c r="BF36" s="3">
        <v>0.0032596325115067</v>
      </c>
      <c r="BG36" s="3">
        <v>0.00065319110792574</v>
      </c>
      <c r="BH36" s="3">
        <v>-0.010416045881953</v>
      </c>
      <c r="BI36" s="3">
        <v>199.65693378725</v>
      </c>
      <c r="BJ36" s="3">
        <v>99.885833771325</v>
      </c>
      <c r="BK36" s="3">
        <v>183.91388993089</v>
      </c>
      <c r="BL36" s="4"/>
      <c r="BM36" s="7"/>
    </row>
    <row r="37" spans="1:65">
      <c r="A37" s="3">
        <v>19882602.912476</v>
      </c>
      <c r="B37" s="3">
        <v>0.0025901596607112</v>
      </c>
      <c r="C37" s="6">
        <f t="shared" si="0"/>
        <v>1.1570906339445e-10</v>
      </c>
      <c r="D37" s="5">
        <v>3.2862731244738e-12</v>
      </c>
      <c r="E37" s="5">
        <v>3.3815157519632e-12</v>
      </c>
      <c r="F37" s="5">
        <v>3.6383511818051e-12</v>
      </c>
      <c r="G37" s="5">
        <v>3.4387431815318e-12</v>
      </c>
      <c r="H37" s="5">
        <v>2.9867742878441e-12</v>
      </c>
      <c r="I37" s="5">
        <v>3.1391560988338e-12</v>
      </c>
      <c r="J37" s="5">
        <v>2.8206727425941e-12</v>
      </c>
      <c r="K37" s="5">
        <v>2.8978962844757e-12</v>
      </c>
      <c r="L37" s="5">
        <v>3.2833414781386e-12</v>
      </c>
      <c r="M37" s="5">
        <v>2.8524004306031e-12</v>
      </c>
      <c r="N37" s="5">
        <v>3.2889800546463e-12</v>
      </c>
      <c r="O37" s="5">
        <v>3.1576188097122e-12</v>
      </c>
      <c r="P37" s="5">
        <v>3.0010326624885e-12</v>
      </c>
      <c r="Q37" s="5">
        <v>3.070445795348e-12</v>
      </c>
      <c r="R37" s="5">
        <v>3.4209964474222e-12</v>
      </c>
      <c r="S37" s="5">
        <v>2.8382959741324e-12</v>
      </c>
      <c r="T37" s="5">
        <v>3.0969006033188e-12</v>
      </c>
      <c r="U37" s="5">
        <v>3.627720604419e-12</v>
      </c>
      <c r="V37" s="5">
        <v>3.4023209060863e-12</v>
      </c>
      <c r="W37" s="5">
        <v>3.4545815298224e-12</v>
      </c>
      <c r="X37" s="5">
        <v>3.2119047065772e-12</v>
      </c>
      <c r="Y37" s="5">
        <v>3.439294691722e-12</v>
      </c>
      <c r="Z37" s="5">
        <v>3.3493853586888e-12</v>
      </c>
      <c r="AA37" s="5">
        <v>3.530774504358e-12</v>
      </c>
      <c r="AB37" s="3">
        <v>0.9999477162353</v>
      </c>
      <c r="AC37" s="3">
        <v>0.2734098678452</v>
      </c>
      <c r="AD37" s="3">
        <v>0.0034150077213802</v>
      </c>
      <c r="AE37" s="5">
        <v>5.3094263010773e-13</v>
      </c>
      <c r="AF37" s="5">
        <v>1.1116859992912e-12</v>
      </c>
      <c r="AG37" s="5">
        <v>8.847256580756e-13</v>
      </c>
      <c r="AH37" s="5">
        <v>-5.7477537525752e-13</v>
      </c>
      <c r="AI37" s="5">
        <v>-8.7336609343792e-13</v>
      </c>
      <c r="AJ37" s="5">
        <v>-8.0833904621065e-13</v>
      </c>
      <c r="AK37" s="5">
        <v>-6.5120194325065e-13</v>
      </c>
      <c r="AL37" s="5">
        <v>-4.7108973410573e-13</v>
      </c>
      <c r="AM37" s="5">
        <v>8.7904305392491e-14</v>
      </c>
      <c r="AN37" s="5">
        <v>-4.9117182046304e-13</v>
      </c>
      <c r="AO37" s="5">
        <v>-3.7889730223892e-15</v>
      </c>
      <c r="AP37" s="5">
        <v>1.4038973555468e-14</v>
      </c>
      <c r="AQ37" s="5">
        <v>-4.4965130331528e-14</v>
      </c>
      <c r="AR37" s="5">
        <v>-1.1647243529558e-12</v>
      </c>
      <c r="AS37" s="5">
        <v>2.0022400798164e-13</v>
      </c>
      <c r="AT37" s="5">
        <v>1.9173204017985e-13</v>
      </c>
      <c r="AU37" s="5">
        <v>-1.2022039253422e-13</v>
      </c>
      <c r="AV37" s="5">
        <v>-1.4338667146976e-13</v>
      </c>
      <c r="AW37" s="5">
        <v>7.8819540406758e-13</v>
      </c>
      <c r="AX37" s="5">
        <v>1.1547329755936e-12</v>
      </c>
      <c r="AY37" s="5">
        <v>8.6731356016612e-13</v>
      </c>
      <c r="AZ37" s="5">
        <v>-9.5170040802824e-13</v>
      </c>
      <c r="BA37" s="5">
        <v>-1.0328027869362e-12</v>
      </c>
      <c r="BB37" s="5">
        <v>-3.2401813636234e-13</v>
      </c>
      <c r="BC37" s="3">
        <v>15383751.113537</v>
      </c>
      <c r="BD37" s="3">
        <v>5385506.3651048</v>
      </c>
      <c r="BE37" s="3">
        <v>-0.0019693151475218</v>
      </c>
      <c r="BF37" s="3">
        <v>0.0033641877261798</v>
      </c>
      <c r="BG37" s="3">
        <v>0.00067470108625856</v>
      </c>
      <c r="BH37" s="3">
        <v>-0.014752181773972</v>
      </c>
      <c r="BI37" s="3">
        <v>199.64967063994</v>
      </c>
      <c r="BJ37" s="3">
        <v>99.883557469377</v>
      </c>
      <c r="BK37" s="3">
        <v>183.93549764697</v>
      </c>
      <c r="BL37" s="4"/>
      <c r="BM37" s="7"/>
    </row>
    <row r="38" spans="1:65">
      <c r="A38" s="3">
        <v>20602719.861412</v>
      </c>
      <c r="B38" s="3">
        <v>0.0026721407619871</v>
      </c>
      <c r="C38" s="6">
        <f t="shared" si="0"/>
        <v>1.15865640408938e-10</v>
      </c>
      <c r="D38" s="5">
        <v>3.309088196516e-12</v>
      </c>
      <c r="E38" s="5">
        <v>3.405594248668e-12</v>
      </c>
      <c r="F38" s="5">
        <v>3.6676358639281e-12</v>
      </c>
      <c r="G38" s="5">
        <v>3.4618717519338e-12</v>
      </c>
      <c r="H38" s="5">
        <v>3.0028178926621e-12</v>
      </c>
      <c r="I38" s="5">
        <v>3.1582240900773e-12</v>
      </c>
      <c r="J38" s="5">
        <v>2.8311710267894e-12</v>
      </c>
      <c r="K38" s="5">
        <v>2.9114795663917e-12</v>
      </c>
      <c r="L38" s="5">
        <v>3.3072529475143e-12</v>
      </c>
      <c r="M38" s="5">
        <v>2.8637276893308e-12</v>
      </c>
      <c r="N38" s="5">
        <v>3.3100879074121e-12</v>
      </c>
      <c r="O38" s="5">
        <v>3.1757291577182e-12</v>
      </c>
      <c r="P38" s="5">
        <v>3.0148608664335e-12</v>
      </c>
      <c r="Q38" s="5">
        <v>3.0861801639435e-12</v>
      </c>
      <c r="R38" s="5">
        <v>3.4469018165794e-12</v>
      </c>
      <c r="S38" s="5">
        <v>2.8480882953614e-12</v>
      </c>
      <c r="T38" s="5">
        <v>3.115004304382e-12</v>
      </c>
      <c r="U38" s="5">
        <v>3.65589425467e-12</v>
      </c>
      <c r="V38" s="5">
        <v>3.4270107186849e-12</v>
      </c>
      <c r="W38" s="5">
        <v>3.480616786174e-12</v>
      </c>
      <c r="X38" s="5">
        <v>3.2312716545606e-12</v>
      </c>
      <c r="Y38" s="5">
        <v>3.4628993955826e-12</v>
      </c>
      <c r="Z38" s="5">
        <v>3.3708504561489e-12</v>
      </c>
      <c r="AA38" s="5">
        <v>3.5548732470339e-12</v>
      </c>
      <c r="AB38" s="3">
        <v>0.99994588995747</v>
      </c>
      <c r="AC38" s="3">
        <v>0.27475541232166</v>
      </c>
      <c r="AD38" s="3">
        <v>0.0034977498795437</v>
      </c>
      <c r="AE38" s="5">
        <v>5.3395426011343e-13</v>
      </c>
      <c r="AF38" s="5">
        <v>1.1113833930818e-12</v>
      </c>
      <c r="AG38" s="5">
        <v>8.7043386017936e-13</v>
      </c>
      <c r="AH38" s="5">
        <v>-5.7856413440248e-13</v>
      </c>
      <c r="AI38" s="5">
        <v>-8.8824697377904e-13</v>
      </c>
      <c r="AJ38" s="5">
        <v>-8.1956872380516e-13</v>
      </c>
      <c r="AK38" s="5">
        <v>-6.6497872005248e-13</v>
      </c>
      <c r="AL38" s="5">
        <v>-4.8864278095891e-13</v>
      </c>
      <c r="AM38" s="5">
        <v>7.2601363316549e-14</v>
      </c>
      <c r="AN38" s="5">
        <v>-5.0406537434582e-13</v>
      </c>
      <c r="AO38" s="5">
        <v>-2.1286898331668e-14</v>
      </c>
      <c r="AP38" s="5">
        <v>1.5081864417437e-14</v>
      </c>
      <c r="AQ38" s="5">
        <v>-5.9477714873733e-14</v>
      </c>
      <c r="AR38" s="5">
        <v>-1.1784737751709e-12</v>
      </c>
      <c r="AS38" s="5">
        <v>1.8213985863313e-13</v>
      </c>
      <c r="AT38" s="5">
        <v>1.807882814598e-13</v>
      </c>
      <c r="AU38" s="5">
        <v>-1.3526850762312e-13</v>
      </c>
      <c r="AV38" s="5">
        <v>-1.4407965298745e-13</v>
      </c>
      <c r="AW38" s="5">
        <v>7.8553948301616e-13</v>
      </c>
      <c r="AX38" s="5">
        <v>1.1580691747928e-12</v>
      </c>
      <c r="AY38" s="5">
        <v>8.6523518826963e-13</v>
      </c>
      <c r="AZ38" s="5">
        <v>-9.5139266313466e-13</v>
      </c>
      <c r="BA38" s="5">
        <v>-1.0388417250346e-12</v>
      </c>
      <c r="BB38" s="5">
        <v>-3.1307482511352e-13</v>
      </c>
      <c r="BC38" s="3">
        <v>15365001.328947</v>
      </c>
      <c r="BD38" s="3">
        <v>5424032.2416849</v>
      </c>
      <c r="BE38" s="3">
        <v>-0.002013848178581</v>
      </c>
      <c r="BF38" s="3">
        <v>0.0034476245376376</v>
      </c>
      <c r="BG38" s="3">
        <v>0.00069193163327678</v>
      </c>
      <c r="BH38" s="3">
        <v>-0.011044227111561</v>
      </c>
      <c r="BI38" s="3">
        <v>199.64975403621</v>
      </c>
      <c r="BJ38" s="3">
        <v>99.885796805255</v>
      </c>
      <c r="BK38" s="3">
        <v>183.95187486768</v>
      </c>
      <c r="BL38" s="4"/>
      <c r="BM38" s="7"/>
    </row>
    <row r="39" spans="1:65">
      <c r="A39" s="3">
        <v>21399597.402281</v>
      </c>
      <c r="B39" s="3">
        <v>0.0027629197367599</v>
      </c>
      <c r="C39" s="6">
        <f t="shared" ref="C39:C70" si="1">(BF39-BF38)/(A39-A38)</f>
        <v>1.15994421150583e-10</v>
      </c>
      <c r="D39" s="5">
        <v>3.335310148319e-12</v>
      </c>
      <c r="E39" s="5">
        <v>3.4332858907298e-12</v>
      </c>
      <c r="F39" s="5">
        <v>3.7012711210361e-12</v>
      </c>
      <c r="G39" s="5">
        <v>3.4883567085148e-12</v>
      </c>
      <c r="H39" s="5">
        <v>3.0213619136122e-12</v>
      </c>
      <c r="I39" s="5">
        <v>3.1801816142316e-12</v>
      </c>
      <c r="J39" s="5">
        <v>2.8433257620683e-12</v>
      </c>
      <c r="K39" s="5">
        <v>2.9272086510662e-12</v>
      </c>
      <c r="L39" s="5">
        <v>3.3348177970006e-12</v>
      </c>
      <c r="M39" s="5">
        <v>2.8768464009268e-12</v>
      </c>
      <c r="N39" s="5">
        <v>3.3343596196041e-12</v>
      </c>
      <c r="O39" s="5">
        <v>3.1965179860571e-12</v>
      </c>
      <c r="P39" s="5">
        <v>3.030815939271e-12</v>
      </c>
      <c r="Q39" s="5">
        <v>3.1043095446373e-12</v>
      </c>
      <c r="R39" s="5">
        <v>3.4767285962757e-12</v>
      </c>
      <c r="S39" s="5">
        <v>2.8594190861519e-12</v>
      </c>
      <c r="T39" s="5">
        <v>3.1359321393059e-12</v>
      </c>
      <c r="U39" s="5">
        <v>3.6881249280043e-12</v>
      </c>
      <c r="V39" s="5">
        <v>3.4553909576375e-12</v>
      </c>
      <c r="W39" s="5">
        <v>3.5105199903914e-12</v>
      </c>
      <c r="X39" s="5">
        <v>3.253497729335e-12</v>
      </c>
      <c r="Y39" s="5">
        <v>3.4900046149206e-12</v>
      </c>
      <c r="Z39" s="5">
        <v>3.3954955100475e-12</v>
      </c>
      <c r="AA39" s="5">
        <v>3.5824314532092e-12</v>
      </c>
      <c r="AB39" s="3">
        <v>0.99993178141412</v>
      </c>
      <c r="AC39" s="3">
        <v>0.27625365744507</v>
      </c>
      <c r="AD39" s="3">
        <v>0.0035893459000841</v>
      </c>
      <c r="AE39" s="5">
        <v>5.3770066745217e-13</v>
      </c>
      <c r="AF39" s="5">
        <v>1.1115530872983e-12</v>
      </c>
      <c r="AG39" s="5">
        <v>8.5623279356755e-13</v>
      </c>
      <c r="AH39" s="5">
        <v>-5.8237236055901e-13</v>
      </c>
      <c r="AI39" s="5">
        <v>-9.0512532221364e-13</v>
      </c>
      <c r="AJ39" s="5">
        <v>-8.3206421377589e-13</v>
      </c>
      <c r="AK39" s="5">
        <v>-6.8084152660712e-13</v>
      </c>
      <c r="AL39" s="5">
        <v>-5.085091307359e-13</v>
      </c>
      <c r="AM39" s="5">
        <v>5.5637967673743e-14</v>
      </c>
      <c r="AN39" s="5">
        <v>-5.186020576387e-13</v>
      </c>
      <c r="AO39" s="5">
        <v>-4.062881136761e-14</v>
      </c>
      <c r="AP39" s="5">
        <v>1.6600447828954e-14</v>
      </c>
      <c r="AQ39" s="5">
        <v>-7.5954935368471e-14</v>
      </c>
      <c r="AR39" s="5">
        <v>-1.1941313573388e-12</v>
      </c>
      <c r="AS39" s="5">
        <v>1.6202618596836e-13</v>
      </c>
      <c r="AT39" s="5">
        <v>1.6836615809949e-13</v>
      </c>
      <c r="AU39" s="5">
        <v>-1.5218113424512e-13</v>
      </c>
      <c r="AV39" s="5">
        <v>-1.4420112727193e-13</v>
      </c>
      <c r="AW39" s="5">
        <v>7.8329390767455e-13</v>
      </c>
      <c r="AX39" s="5">
        <v>1.1627850279894e-12</v>
      </c>
      <c r="AY39" s="5">
        <v>8.6429585358392e-13</v>
      </c>
      <c r="AZ39" s="5">
        <v>-9.507808385796e-13</v>
      </c>
      <c r="BA39" s="5">
        <v>-1.0454374855989e-12</v>
      </c>
      <c r="BB39" s="5">
        <v>-3.0033179184234e-13</v>
      </c>
      <c r="BC39" s="3">
        <v>15344413.388351</v>
      </c>
      <c r="BD39" s="3">
        <v>5466341.9327968</v>
      </c>
      <c r="BE39" s="3">
        <v>-0.0020629599734628</v>
      </c>
      <c r="BF39" s="3">
        <v>0.0035400578867186</v>
      </c>
      <c r="BG39" s="3">
        <v>0.0007110802579286</v>
      </c>
      <c r="BH39" s="3">
        <v>-0.0111254252884</v>
      </c>
      <c r="BI39" s="3">
        <v>199.64647631568</v>
      </c>
      <c r="BJ39" s="3">
        <v>99.885419282883</v>
      </c>
      <c r="BK39" s="3">
        <v>183.97116558685</v>
      </c>
      <c r="BL39" s="4"/>
      <c r="BM39" s="7"/>
    </row>
    <row r="40" spans="1:65">
      <c r="A40" s="3">
        <v>22174657.531864</v>
      </c>
      <c r="B40" s="3">
        <v>0.0028512848836508</v>
      </c>
      <c r="C40" s="6">
        <f t="shared" si="1"/>
        <v>1.16150203358203e-10</v>
      </c>
      <c r="D40" s="5">
        <v>3.3578141230636e-12</v>
      </c>
      <c r="E40" s="5">
        <v>3.4570654727838e-12</v>
      </c>
      <c r="F40" s="5">
        <v>3.7301194046607e-12</v>
      </c>
      <c r="G40" s="5">
        <v>3.5110060183115e-12</v>
      </c>
      <c r="H40" s="5">
        <v>3.0373709069792e-12</v>
      </c>
      <c r="I40" s="5">
        <v>3.1990619356134e-12</v>
      </c>
      <c r="J40" s="5">
        <v>2.8538347258155e-12</v>
      </c>
      <c r="K40" s="5">
        <v>2.9408112206913e-12</v>
      </c>
      <c r="L40" s="5">
        <v>3.3585454247111e-12</v>
      </c>
      <c r="M40" s="5">
        <v>2.8881916903359e-12</v>
      </c>
      <c r="N40" s="5">
        <v>3.3552021272533e-12</v>
      </c>
      <c r="O40" s="5">
        <v>3.2143369161462e-12</v>
      </c>
      <c r="P40" s="5">
        <v>3.0445626130085e-12</v>
      </c>
      <c r="Q40" s="5">
        <v>3.1199088281374e-12</v>
      </c>
      <c r="R40" s="5">
        <v>3.5023727416725e-12</v>
      </c>
      <c r="S40" s="5">
        <v>2.8692109239681e-12</v>
      </c>
      <c r="T40" s="5">
        <v>3.1539991692563e-12</v>
      </c>
      <c r="U40" s="5">
        <v>3.715653909617e-12</v>
      </c>
      <c r="V40" s="5">
        <v>3.4797479662992e-12</v>
      </c>
      <c r="W40" s="5">
        <v>3.5361698076173e-12</v>
      </c>
      <c r="X40" s="5">
        <v>3.2725412202566e-12</v>
      </c>
      <c r="Y40" s="5">
        <v>3.5132454639773e-12</v>
      </c>
      <c r="Z40" s="5">
        <v>3.4166246250965e-12</v>
      </c>
      <c r="AA40" s="5">
        <v>3.6059638497529e-12</v>
      </c>
      <c r="AB40" s="3">
        <v>0.99994239346417</v>
      </c>
      <c r="AC40" s="3">
        <v>0.27750047532292</v>
      </c>
      <c r="AD40" s="3">
        <v>0.0036784803206112</v>
      </c>
      <c r="AE40" s="5">
        <v>5.4093248578075e-13</v>
      </c>
      <c r="AF40" s="5">
        <v>1.1120375514512e-12</v>
      </c>
      <c r="AG40" s="5">
        <v>8.4558661138612e-13</v>
      </c>
      <c r="AH40" s="5">
        <v>-5.8519137233295e-13</v>
      </c>
      <c r="AI40" s="5">
        <v>-9.1952178632709e-13</v>
      </c>
      <c r="AJ40" s="5">
        <v>-8.4233364575526e-13</v>
      </c>
      <c r="AK40" s="5">
        <v>-6.945551324719e-13</v>
      </c>
      <c r="AL40" s="5">
        <v>-5.254171837099e-13</v>
      </c>
      <c r="AM40" s="5">
        <v>4.1828542751676e-14</v>
      </c>
      <c r="AN40" s="5">
        <v>-5.3088138011096e-13</v>
      </c>
      <c r="AO40" s="5">
        <v>-5.6298238862282e-14</v>
      </c>
      <c r="AP40" s="5">
        <v>1.8134853116335e-14</v>
      </c>
      <c r="AQ40" s="5">
        <v>-9.0030404571184e-14</v>
      </c>
      <c r="AR40" s="5">
        <v>-1.2074482022774e-12</v>
      </c>
      <c r="AS40" s="5">
        <v>1.4555430741272e-13</v>
      </c>
      <c r="AT40" s="5">
        <v>1.577332666082e-13</v>
      </c>
      <c r="AU40" s="5">
        <v>-1.6647634277367e-13</v>
      </c>
      <c r="AV40" s="5">
        <v>-1.4391359159689e-13</v>
      </c>
      <c r="AW40" s="5">
        <v>7.8174033278064e-13</v>
      </c>
      <c r="AX40" s="5">
        <v>1.1672005711056e-12</v>
      </c>
      <c r="AY40" s="5">
        <v>8.6445544749895e-13</v>
      </c>
      <c r="AZ40" s="5">
        <v>-9.50218109924e-13</v>
      </c>
      <c r="BA40" s="5">
        <v>-1.0507153175761e-12</v>
      </c>
      <c r="BB40" s="5">
        <v>-2.893490425174e-13</v>
      </c>
      <c r="BC40" s="3">
        <v>15324551.587889</v>
      </c>
      <c r="BD40" s="3">
        <v>5507167.0549979</v>
      </c>
      <c r="BE40" s="3">
        <v>-0.0021105535177951</v>
      </c>
      <c r="BF40" s="3">
        <v>0.0036300812783845</v>
      </c>
      <c r="BG40" s="3">
        <v>0.00072979448510182</v>
      </c>
      <c r="BH40" s="3">
        <v>-0.011342908648808</v>
      </c>
      <c r="BI40" s="3">
        <v>199.64319436081</v>
      </c>
      <c r="BJ40" s="3">
        <v>99.885405898978</v>
      </c>
      <c r="BK40" s="3">
        <v>183.99035593237</v>
      </c>
      <c r="BL40" s="4"/>
      <c r="BM40" s="7"/>
    </row>
    <row r="41" spans="1:65">
      <c r="A41" s="3">
        <v>22977789.133688</v>
      </c>
      <c r="B41" s="3">
        <v>0.0029429350279748</v>
      </c>
      <c r="C41" s="6">
        <f t="shared" si="1"/>
        <v>1.16315366887993e-10</v>
      </c>
      <c r="D41" s="5">
        <v>3.3808229265341e-12</v>
      </c>
      <c r="E41" s="5">
        <v>3.4813904736045e-12</v>
      </c>
      <c r="F41" s="5">
        <v>3.7595986806405e-12</v>
      </c>
      <c r="G41" s="5">
        <v>3.5340876748064e-12</v>
      </c>
      <c r="H41" s="5">
        <v>3.0538265526788e-12</v>
      </c>
      <c r="I41" s="5">
        <v>3.2183986639054e-12</v>
      </c>
      <c r="J41" s="5">
        <v>2.8646530196379e-12</v>
      </c>
      <c r="K41" s="5">
        <v>2.954817250162e-12</v>
      </c>
      <c r="L41" s="5">
        <v>3.3828714896893e-12</v>
      </c>
      <c r="M41" s="5">
        <v>2.89987248187e-12</v>
      </c>
      <c r="N41" s="5">
        <v>3.376519732018e-12</v>
      </c>
      <c r="O41" s="5">
        <v>3.2325347704465e-12</v>
      </c>
      <c r="P41" s="5">
        <v>3.0586648266567e-12</v>
      </c>
      <c r="Q41" s="5">
        <v>3.1358925587396e-12</v>
      </c>
      <c r="R41" s="5">
        <v>3.5286344515089e-12</v>
      </c>
      <c r="S41" s="5">
        <v>2.8792862839729e-12</v>
      </c>
      <c r="T41" s="5">
        <v>3.172570511497e-12</v>
      </c>
      <c r="U41" s="5">
        <v>3.7436752121013e-12</v>
      </c>
      <c r="V41" s="5">
        <v>3.5046526579829e-12</v>
      </c>
      <c r="W41" s="5">
        <v>3.5623839322258e-12</v>
      </c>
      <c r="X41" s="5">
        <v>3.2919767771853e-12</v>
      </c>
      <c r="Y41" s="5">
        <v>3.5369854226223e-12</v>
      </c>
      <c r="Z41" s="5">
        <v>3.4382081929193e-12</v>
      </c>
      <c r="AA41" s="5">
        <v>3.6299094139138e-12</v>
      </c>
      <c r="AB41" s="3">
        <v>0.99995305899865</v>
      </c>
      <c r="AC41" s="3">
        <v>0.27874277583509</v>
      </c>
      <c r="AD41" s="3">
        <v>0.0037709023304549</v>
      </c>
      <c r="AE41" s="5">
        <v>5.4411297731504e-13</v>
      </c>
      <c r="AF41" s="5">
        <v>1.1126603483852e-12</v>
      </c>
      <c r="AG41" s="5">
        <v>8.3439901706784e-13</v>
      </c>
      <c r="AH41" s="5">
        <v>-5.8832167971625e-13</v>
      </c>
      <c r="AI41" s="5">
        <v>-9.3445254729909e-13</v>
      </c>
      <c r="AJ41" s="5">
        <v>-8.5312665136482e-13</v>
      </c>
      <c r="AK41" s="5">
        <v>-7.0876685853584e-13</v>
      </c>
      <c r="AL41" s="5">
        <v>-5.4263134139761e-13</v>
      </c>
      <c r="AM41" s="5">
        <v>2.7394070677438e-14</v>
      </c>
      <c r="AN41" s="5">
        <v>-5.4349042995772e-13</v>
      </c>
      <c r="AO41" s="5">
        <v>-7.2662378482232e-14</v>
      </c>
      <c r="AP41" s="5">
        <v>1.9492640229042e-14</v>
      </c>
      <c r="AQ41" s="5">
        <v>-1.0453935104191e-13</v>
      </c>
      <c r="AR41" s="5">
        <v>-1.2213177007415e-12</v>
      </c>
      <c r="AS41" s="5">
        <v>1.2772227040087e-13</v>
      </c>
      <c r="AT41" s="5">
        <v>1.4670915515402e-13</v>
      </c>
      <c r="AU41" s="5">
        <v>-1.8122358343616e-13</v>
      </c>
      <c r="AV41" s="5">
        <v>-1.439397695445e-13</v>
      </c>
      <c r="AW41" s="5">
        <v>7.8010993076036e-13</v>
      </c>
      <c r="AX41" s="5">
        <v>1.1720517346058e-12</v>
      </c>
      <c r="AY41" s="5">
        <v>8.6441392132884e-13</v>
      </c>
      <c r="AZ41" s="5">
        <v>-9.4984747945108e-13</v>
      </c>
      <c r="BA41" s="5">
        <v>-1.0565215161841e-12</v>
      </c>
      <c r="BB41" s="5">
        <v>-2.7869914470936e-13</v>
      </c>
      <c r="BC41" s="3">
        <v>15304134.103023</v>
      </c>
      <c r="BD41" s="3">
        <v>5549142.127077</v>
      </c>
      <c r="BE41" s="3">
        <v>-0.0021597037443854</v>
      </c>
      <c r="BF41" s="3">
        <v>0.00372349782531</v>
      </c>
      <c r="BG41" s="3">
        <v>0.00074927579304159</v>
      </c>
      <c r="BH41" s="3">
        <v>-0.011576912233305</v>
      </c>
      <c r="BI41" s="3">
        <v>199.63980859491</v>
      </c>
      <c r="BJ41" s="3">
        <v>99.885398857404</v>
      </c>
      <c r="BK41" s="3">
        <v>184.01069697469</v>
      </c>
      <c r="BL41" s="4"/>
      <c r="BM41" s="7"/>
    </row>
    <row r="42" spans="1:65">
      <c r="A42" s="3">
        <v>23810008.912813</v>
      </c>
      <c r="B42" s="3">
        <v>0.0030380053938469</v>
      </c>
      <c r="C42" s="6">
        <f t="shared" si="1"/>
        <v>1.1649528921691e-10</v>
      </c>
      <c r="D42" s="5">
        <v>3.4043410834516e-12</v>
      </c>
      <c r="E42" s="5">
        <v>3.506264139464e-12</v>
      </c>
      <c r="F42" s="5">
        <v>3.7897189755902e-12</v>
      </c>
      <c r="G42" s="5">
        <v>3.5575993182949e-12</v>
      </c>
      <c r="H42" s="5">
        <v>3.0707408074505e-12</v>
      </c>
      <c r="I42" s="5">
        <v>3.2381981899167e-12</v>
      </c>
      <c r="J42" s="5">
        <v>2.8757905421485e-12</v>
      </c>
      <c r="K42" s="5">
        <v>2.9692383369606e-12</v>
      </c>
      <c r="L42" s="5">
        <v>3.4078042067246e-12</v>
      </c>
      <c r="M42" s="5">
        <v>2.9118983878551e-12</v>
      </c>
      <c r="N42" s="5">
        <v>3.3983149099889e-12</v>
      </c>
      <c r="O42" s="5">
        <v>3.2511143350403e-12</v>
      </c>
      <c r="P42" s="5">
        <v>3.0731297746971e-12</v>
      </c>
      <c r="Q42" s="5">
        <v>3.1522648896884e-12</v>
      </c>
      <c r="R42" s="5">
        <v>3.5555204858879e-12</v>
      </c>
      <c r="S42" s="5">
        <v>2.8896510993363e-12</v>
      </c>
      <c r="T42" s="5">
        <v>3.1916604427994e-12</v>
      </c>
      <c r="U42" s="5">
        <v>3.7721841525951e-12</v>
      </c>
      <c r="V42" s="5">
        <v>3.5301103541556e-12</v>
      </c>
      <c r="W42" s="5">
        <v>3.5891703126412e-12</v>
      </c>
      <c r="X42" s="5">
        <v>3.3118054889422e-12</v>
      </c>
      <c r="Y42" s="5">
        <v>3.5612263428164e-12</v>
      </c>
      <c r="Z42" s="5">
        <v>3.4602467860215e-12</v>
      </c>
      <c r="AA42" s="5">
        <v>3.6542694530055e-12</v>
      </c>
      <c r="AB42" s="3">
        <v>0.99996406913512</v>
      </c>
      <c r="AC42" s="3">
        <v>0.27998028334712</v>
      </c>
      <c r="AD42" s="3">
        <v>0.003866746286223</v>
      </c>
      <c r="AE42" s="5">
        <v>5.4725096279418e-13</v>
      </c>
      <c r="AF42" s="5">
        <v>1.1134238698107e-12</v>
      </c>
      <c r="AG42" s="5">
        <v>8.2315202616155e-13</v>
      </c>
      <c r="AH42" s="5">
        <v>-5.9163462519053e-13</v>
      </c>
      <c r="AI42" s="5">
        <v>-9.4985683240596e-13</v>
      </c>
      <c r="AJ42" s="5">
        <v>-8.6431106397642e-13</v>
      </c>
      <c r="AK42" s="5">
        <v>-7.234853378999e-13</v>
      </c>
      <c r="AL42" s="5">
        <v>-5.6017284111108e-13</v>
      </c>
      <c r="AM42" s="5">
        <v>1.2516527291088e-14</v>
      </c>
      <c r="AN42" s="5">
        <v>-5.56386137105e-13</v>
      </c>
      <c r="AO42" s="5">
        <v>-8.9499653354274e-14</v>
      </c>
      <c r="AP42" s="5">
        <v>2.0760430222693e-14</v>
      </c>
      <c r="AQ42" s="5">
        <v>-1.1944391354079e-13</v>
      </c>
      <c r="AR42" s="5">
        <v>-1.2356737357755e-12</v>
      </c>
      <c r="AS42" s="5">
        <v>1.0895748865201e-13</v>
      </c>
      <c r="AT42" s="5">
        <v>1.3531540763762e-13</v>
      </c>
      <c r="AU42" s="5">
        <v>-1.9637125687755e-13</v>
      </c>
      <c r="AV42" s="5">
        <v>-1.4413709603374e-13</v>
      </c>
      <c r="AW42" s="5">
        <v>7.7849738729798e-13</v>
      </c>
      <c r="AX42" s="5">
        <v>1.1773378249398e-12</v>
      </c>
      <c r="AY42" s="5">
        <v>8.6449456928019e-13</v>
      </c>
      <c r="AZ42" s="5">
        <v>-9.496014521068e-13</v>
      </c>
      <c r="BA42" s="5">
        <v>-1.0627001688753e-12</v>
      </c>
      <c r="BB42" s="5">
        <v>-2.6823138075741e-13</v>
      </c>
      <c r="BC42" s="3">
        <v>15283149.562124</v>
      </c>
      <c r="BD42" s="3">
        <v>5592290.8113457</v>
      </c>
      <c r="BE42" s="3">
        <v>-0.0022104662196664</v>
      </c>
      <c r="BF42" s="3">
        <v>0.0038204475091712</v>
      </c>
      <c r="BG42" s="3">
        <v>0.00076955740098812</v>
      </c>
      <c r="BH42" s="3">
        <v>-0.011818068702606</v>
      </c>
      <c r="BI42" s="3">
        <v>199.63631183465</v>
      </c>
      <c r="BJ42" s="3">
        <v>99.885390407643</v>
      </c>
      <c r="BK42" s="3">
        <v>184.0322521442</v>
      </c>
      <c r="BL42" s="4"/>
      <c r="BM42" s="7"/>
    </row>
    <row r="43" spans="1:65">
      <c r="A43" s="3">
        <v>24672370.39777</v>
      </c>
      <c r="B43" s="3">
        <v>0.0031366365966649</v>
      </c>
      <c r="C43" s="6">
        <f t="shared" si="1"/>
        <v>1.16689499186548e-10</v>
      </c>
      <c r="D43" s="5">
        <v>3.4283723638833e-12</v>
      </c>
      <c r="E43" s="5">
        <v>3.5316923179237e-12</v>
      </c>
      <c r="F43" s="5">
        <v>3.8204829021184e-12</v>
      </c>
      <c r="G43" s="5">
        <v>3.5815413197806e-12</v>
      </c>
      <c r="H43" s="5">
        <v>3.0881219230312e-12</v>
      </c>
      <c r="I43" s="5">
        <v>3.2584669769963e-12</v>
      </c>
      <c r="J43" s="5">
        <v>2.8872568305103e-12</v>
      </c>
      <c r="K43" s="5">
        <v>2.9840838567145e-12</v>
      </c>
      <c r="L43" s="5">
        <v>3.4333486566605e-12</v>
      </c>
      <c r="M43" s="5">
        <v>2.9242765654206e-12</v>
      </c>
      <c r="N43" s="5">
        <v>3.420591929438e-12</v>
      </c>
      <c r="O43" s="5">
        <v>3.2700775621439e-12</v>
      </c>
      <c r="P43" s="5">
        <v>3.0879611592954e-12</v>
      </c>
      <c r="Q43" s="5">
        <v>3.1690334959938e-12</v>
      </c>
      <c r="R43" s="5">
        <v>3.583039714982e-12</v>
      </c>
      <c r="S43" s="5">
        <v>2.9003144561752e-12</v>
      </c>
      <c r="T43" s="5">
        <v>3.2112820203819e-12</v>
      </c>
      <c r="U43" s="5">
        <v>3.8011720094026e-12</v>
      </c>
      <c r="V43" s="5">
        <v>3.5561229583206e-12</v>
      </c>
      <c r="W43" s="5">
        <v>3.6165260401888e-12</v>
      </c>
      <c r="X43" s="5">
        <v>3.3320237375244e-12</v>
      </c>
      <c r="Y43" s="5">
        <v>3.5859708904026e-12</v>
      </c>
      <c r="Z43" s="5">
        <v>3.4827440745583e-12</v>
      </c>
      <c r="AA43" s="5">
        <v>3.6790389698492e-12</v>
      </c>
      <c r="AB43" s="3">
        <v>0.99997584409469</v>
      </c>
      <c r="AC43" s="3">
        <v>0.28121355471891</v>
      </c>
      <c r="AD43" s="3">
        <v>0.0039661520042205</v>
      </c>
      <c r="AE43" s="5">
        <v>5.5038091405e-13</v>
      </c>
      <c r="AF43" s="5">
        <v>1.1143515047638e-12</v>
      </c>
      <c r="AG43" s="5">
        <v>8.1195133127327e-13</v>
      </c>
      <c r="AH43" s="5">
        <v>-5.9504649535092e-13</v>
      </c>
      <c r="AI43" s="5">
        <v>-9.6567486124941e-13</v>
      </c>
      <c r="AJ43" s="5">
        <v>-8.7585950563039e-13</v>
      </c>
      <c r="AK43" s="5">
        <v>-7.3870818989905e-13</v>
      </c>
      <c r="AL43" s="5">
        <v>-5.7803731682193e-13</v>
      </c>
      <c r="AM43" s="5">
        <v>-2.744254195355e-15</v>
      </c>
      <c r="AN43" s="5">
        <v>-5.6956227621565e-13</v>
      </c>
      <c r="AO43" s="5">
        <v>-1.067138242709e-13</v>
      </c>
      <c r="AP43" s="5">
        <v>2.19813858787e-14</v>
      </c>
      <c r="AQ43" s="5">
        <v>-1.3474278454004e-13</v>
      </c>
      <c r="AR43" s="5">
        <v>-1.2504741122659e-12</v>
      </c>
      <c r="AS43" s="5">
        <v>8.9364106613268e-14</v>
      </c>
      <c r="AT43" s="5">
        <v>1.235423247301e-13</v>
      </c>
      <c r="AU43" s="5">
        <v>-2.1188569727954e-13</v>
      </c>
      <c r="AV43" s="5">
        <v>-1.4430437462874e-13</v>
      </c>
      <c r="AW43" s="5">
        <v>7.7695444790941e-13</v>
      </c>
      <c r="AX43" s="5">
        <v>1.183054746456e-12</v>
      </c>
      <c r="AY43" s="5">
        <v>8.6472950556831e-13</v>
      </c>
      <c r="AZ43" s="5">
        <v>-9.4944197549449e-13</v>
      </c>
      <c r="BA43" s="5">
        <v>-1.069171499115e-12</v>
      </c>
      <c r="BB43" s="5">
        <v>-2.5787174615965e-13</v>
      </c>
      <c r="BC43" s="3">
        <v>15261586.687422</v>
      </c>
      <c r="BD43" s="3">
        <v>5636635.9333302</v>
      </c>
      <c r="BE43" s="3">
        <v>-0.0022628982692075</v>
      </c>
      <c r="BF43" s="3">
        <v>0.0039210760389686</v>
      </c>
      <c r="BG43" s="3">
        <v>0.00079067404991891</v>
      </c>
      <c r="BH43" s="3">
        <v>-0.012067331841311</v>
      </c>
      <c r="BI43" s="3">
        <v>199.63270085387</v>
      </c>
      <c r="BJ43" s="3">
        <v>99.885381205539</v>
      </c>
      <c r="BK43" s="3">
        <v>184.05509737647</v>
      </c>
      <c r="BL43" s="4"/>
      <c r="BM43" s="7"/>
    </row>
    <row r="44" spans="1:65">
      <c r="A44" s="3">
        <v>25565965.274259</v>
      </c>
      <c r="B44" s="3">
        <v>0.0032389752882469</v>
      </c>
      <c r="C44" s="6">
        <f t="shared" si="1"/>
        <v>1.16897826658573e-10</v>
      </c>
      <c r="D44" s="5">
        <v>3.4529206866043e-12</v>
      </c>
      <c r="E44" s="5">
        <v>3.5576728259998e-12</v>
      </c>
      <c r="F44" s="5">
        <v>3.851887781055e-12</v>
      </c>
      <c r="G44" s="5">
        <v>3.6059053904719e-12</v>
      </c>
      <c r="H44" s="5">
        <v>3.1059779304925e-12</v>
      </c>
      <c r="I44" s="5">
        <v>3.2792083179983e-12</v>
      </c>
      <c r="J44" s="5">
        <v>2.899063092925e-12</v>
      </c>
      <c r="K44" s="5">
        <v>2.9993633134928e-12</v>
      </c>
      <c r="L44" s="5">
        <v>3.4595120050383e-12</v>
      </c>
      <c r="M44" s="5">
        <v>2.937021161087e-12</v>
      </c>
      <c r="N44" s="5">
        <v>3.4433608959709e-12</v>
      </c>
      <c r="O44" s="5">
        <v>3.2894246107973e-12</v>
      </c>
      <c r="P44" s="5">
        <v>3.1031647058075e-12</v>
      </c>
      <c r="Q44" s="5">
        <v>3.1862080485489e-12</v>
      </c>
      <c r="R44" s="5">
        <v>3.6111926675599e-12</v>
      </c>
      <c r="S44" s="5">
        <v>2.9112807880523e-12</v>
      </c>
      <c r="T44" s="5">
        <v>3.2314425539171e-12</v>
      </c>
      <c r="U44" s="5">
        <v>3.8306293937317e-12</v>
      </c>
      <c r="V44" s="5">
        <v>3.5826952889968e-12</v>
      </c>
      <c r="W44" s="5">
        <v>3.6444531913611e-12</v>
      </c>
      <c r="X44" s="5">
        <v>3.3526283589226e-12</v>
      </c>
      <c r="Y44" s="5">
        <v>3.6112213781391e-12</v>
      </c>
      <c r="Z44" s="5">
        <v>3.5057061593144e-12</v>
      </c>
      <c r="AA44" s="5">
        <v>3.7042149399537e-12</v>
      </c>
      <c r="AB44" s="3">
        <v>0.99998898750955</v>
      </c>
      <c r="AC44" s="3">
        <v>0.28244318939626</v>
      </c>
      <c r="AD44" s="3">
        <v>0.0040692653363493</v>
      </c>
      <c r="AE44" s="5">
        <v>5.5348488505805e-13</v>
      </c>
      <c r="AF44" s="5">
        <v>1.1154236026136e-12</v>
      </c>
      <c r="AG44" s="5">
        <v>8.0075640333991e-13</v>
      </c>
      <c r="AH44" s="5">
        <v>-5.985922167431e-13</v>
      </c>
      <c r="AI44" s="5">
        <v>-9.8191460861024e-13</v>
      </c>
      <c r="AJ44" s="5">
        <v>-8.8778718908226e-13</v>
      </c>
      <c r="AK44" s="5">
        <v>-7.5444491164803e-13</v>
      </c>
      <c r="AL44" s="5">
        <v>-5.9623764303471e-13</v>
      </c>
      <c r="AM44" s="5">
        <v>-1.8413662111107e-14</v>
      </c>
      <c r="AN44" s="5">
        <v>-5.8302478900542e-13</v>
      </c>
      <c r="AO44" s="5">
        <v>-1.2433895213606e-13</v>
      </c>
      <c r="AP44" s="5">
        <v>2.3146659986241e-14</v>
      </c>
      <c r="AQ44" s="5">
        <v>-1.5042863761828e-13</v>
      </c>
      <c r="AR44" s="5">
        <v>-1.265715666603e-12</v>
      </c>
      <c r="AS44" s="5">
        <v>6.8915825108017e-14</v>
      </c>
      <c r="AT44" s="5">
        <v>1.1138254939756e-13</v>
      </c>
      <c r="AU44" s="5">
        <v>-2.277860731069e-13</v>
      </c>
      <c r="AV44" s="5">
        <v>-1.4452204615542e-13</v>
      </c>
      <c r="AW44" s="5">
        <v>7.7545730020319e-13</v>
      </c>
      <c r="AX44" s="5">
        <v>1.1891884852428e-12</v>
      </c>
      <c r="AY44" s="5">
        <v>8.6510555111251e-13</v>
      </c>
      <c r="AZ44" s="5">
        <v>-9.4937593847375e-13</v>
      </c>
      <c r="BA44" s="5">
        <v>-1.0759651308726e-12</v>
      </c>
      <c r="BB44" s="5">
        <v>-2.4764136961717e-13</v>
      </c>
      <c r="BC44" s="3">
        <v>15239434.297958</v>
      </c>
      <c r="BD44" s="3">
        <v>5682199.5694889</v>
      </c>
      <c r="BE44" s="3">
        <v>-0.0023170592779128</v>
      </c>
      <c r="BF44" s="3">
        <v>0.0040255353379434</v>
      </c>
      <c r="BG44" s="3">
        <v>0.00081266214097812</v>
      </c>
      <c r="BH44" s="3">
        <v>-0.012326286405103</v>
      </c>
      <c r="BI44" s="3">
        <v>199.62897324733</v>
      </c>
      <c r="BJ44" s="3">
        <v>99.885371174286</v>
      </c>
      <c r="BK44" s="3">
        <v>184.07931383255</v>
      </c>
      <c r="BL44" s="4"/>
      <c r="BM44" s="7"/>
    </row>
    <row r="45" spans="1:65">
      <c r="A45" s="3">
        <v>26491924.767135</v>
      </c>
      <c r="B45" s="3">
        <v>0.0033451741384504</v>
      </c>
      <c r="C45" s="6">
        <f t="shared" si="1"/>
        <v>1.17119825235943e-10</v>
      </c>
      <c r="D45" s="5">
        <v>3.4779870038601e-12</v>
      </c>
      <c r="E45" s="5">
        <v>3.5842035043133e-12</v>
      </c>
      <c r="F45" s="5">
        <v>3.8839295665324e-12</v>
      </c>
      <c r="G45" s="5">
        <v>3.6306822404956e-12</v>
      </c>
      <c r="H45" s="5">
        <v>3.1243197749435e-12</v>
      </c>
      <c r="I45" s="5">
        <v>3.3004254469755e-12</v>
      </c>
      <c r="J45" s="5">
        <v>2.9112182719642e-12</v>
      </c>
      <c r="K45" s="5">
        <v>3.0150819127092e-12</v>
      </c>
      <c r="L45" s="5">
        <v>3.4862973752699e-12</v>
      </c>
      <c r="M45" s="5">
        <v>2.9501355837871e-12</v>
      </c>
      <c r="N45" s="5">
        <v>3.4666160140705e-12</v>
      </c>
      <c r="O45" s="5">
        <v>3.3091576416257e-12</v>
      </c>
      <c r="P45" s="5">
        <v>3.1187460738075e-12</v>
      </c>
      <c r="Q45" s="5">
        <v>3.2037912128998e-12</v>
      </c>
      <c r="R45" s="5">
        <v>3.6399792917703e-12</v>
      </c>
      <c r="S45" s="5">
        <v>2.9225545468305e-12</v>
      </c>
      <c r="T45" s="5">
        <v>3.2521481302993e-12</v>
      </c>
      <c r="U45" s="5">
        <v>3.8605478887044e-12</v>
      </c>
      <c r="V45" s="5">
        <v>3.6098247395344e-12</v>
      </c>
      <c r="W45" s="5">
        <v>3.67294862882e-12</v>
      </c>
      <c r="X45" s="5">
        <v>3.3736110960591e-12</v>
      </c>
      <c r="Y45" s="5">
        <v>3.6369755782406e-12</v>
      </c>
      <c r="Z45" s="5">
        <v>3.5291331919816e-12</v>
      </c>
      <c r="AA45" s="5">
        <v>3.7297935526273e-12</v>
      </c>
      <c r="AB45" s="3">
        <v>1.0000045359332</v>
      </c>
      <c r="AC45" s="3">
        <v>0.28366945982023</v>
      </c>
      <c r="AD45" s="3">
        <v>0.0041762380680588</v>
      </c>
      <c r="AE45" s="5">
        <v>5.5657042716713e-13</v>
      </c>
      <c r="AF45" s="5">
        <v>1.1166392124631e-12</v>
      </c>
      <c r="AG45" s="5">
        <v>7.8975207690503e-13</v>
      </c>
      <c r="AH45" s="5">
        <v>-6.0222933725211e-13</v>
      </c>
      <c r="AI45" s="5">
        <v>-9.9852257266425e-13</v>
      </c>
      <c r="AJ45" s="5">
        <v>-9.0008661626614e-13</v>
      </c>
      <c r="AK45" s="5">
        <v>-7.7069295646807e-13</v>
      </c>
      <c r="AL45" s="5">
        <v>-6.1477648644275e-13</v>
      </c>
      <c r="AM45" s="5">
        <v>-3.4444680786311e-14</v>
      </c>
      <c r="AN45" s="5">
        <v>-5.967610009773e-13</v>
      </c>
      <c r="AO45" s="5">
        <v>-1.4232138021709e-13</v>
      </c>
      <c r="AP45" s="5">
        <v>2.4283358812691e-14</v>
      </c>
      <c r="AQ45" s="5">
        <v>-1.6648749339041e-13</v>
      </c>
      <c r="AR45" s="5">
        <v>-1.28137257694e-12</v>
      </c>
      <c r="AS45" s="5">
        <v>4.7720596263932e-14</v>
      </c>
      <c r="AT45" s="5">
        <v>9.8830708821536e-14</v>
      </c>
      <c r="AU45" s="5">
        <v>-2.4404838538088e-13</v>
      </c>
      <c r="AV45" s="5">
        <v>-1.4465266267014e-13</v>
      </c>
      <c r="AW45" s="5">
        <v>7.7405124590423e-13</v>
      </c>
      <c r="AX45" s="5">
        <v>1.1957317938045e-12</v>
      </c>
      <c r="AY45" s="5">
        <v>8.6572058907359e-13</v>
      </c>
      <c r="AZ45" s="5">
        <v>-9.4937066684972e-13</v>
      </c>
      <c r="BA45" s="5">
        <v>-1.0830333605793e-12</v>
      </c>
      <c r="BB45" s="5">
        <v>-2.3750390139404e-13</v>
      </c>
      <c r="BC45" s="3">
        <v>15216681.34995</v>
      </c>
      <c r="BD45" s="3">
        <v>5729002.7772818</v>
      </c>
      <c r="BE45" s="3">
        <v>-0.0023730104787514</v>
      </c>
      <c r="BF45" s="3">
        <v>0.0041339835519246</v>
      </c>
      <c r="BG45" s="3">
        <v>0.00083555968578774</v>
      </c>
      <c r="BH45" s="3">
        <v>-0.012582736306439</v>
      </c>
      <c r="BI45" s="3">
        <v>199.62512178737</v>
      </c>
      <c r="BJ45" s="3">
        <v>99.885348867148</v>
      </c>
      <c r="BK45" s="3">
        <v>184.10496533719</v>
      </c>
      <c r="BL45" s="4"/>
      <c r="BM45" s="7"/>
    </row>
    <row r="46" spans="1:65">
      <c r="A46" s="3">
        <v>27451421.072459</v>
      </c>
      <c r="B46" s="3">
        <v>0.0034553920140044</v>
      </c>
      <c r="C46" s="6">
        <f t="shared" si="1"/>
        <v>1.17355141076418e-10</v>
      </c>
      <c r="D46" s="5">
        <v>3.5035711784943e-12</v>
      </c>
      <c r="E46" s="5">
        <v>3.6112843990607e-12</v>
      </c>
      <c r="F46" s="5">
        <v>3.9166073043284e-12</v>
      </c>
      <c r="G46" s="5">
        <v>3.6558633689277e-12</v>
      </c>
      <c r="H46" s="5">
        <v>3.1431568887912e-12</v>
      </c>
      <c r="I46" s="5">
        <v>3.3221221987256e-12</v>
      </c>
      <c r="J46" s="5">
        <v>2.9237308131815e-12</v>
      </c>
      <c r="K46" s="5">
        <v>3.0312473871238e-12</v>
      </c>
      <c r="L46" s="5">
        <v>3.513710445517e-12</v>
      </c>
      <c r="M46" s="5">
        <v>2.9636248197177e-12</v>
      </c>
      <c r="N46" s="5">
        <v>3.4903521317168e-12</v>
      </c>
      <c r="O46" s="5">
        <v>3.3292768193049e-12</v>
      </c>
      <c r="P46" s="5">
        <v>3.1347036934805e-12</v>
      </c>
      <c r="Q46" s="5">
        <v>3.2217808212148e-12</v>
      </c>
      <c r="R46" s="5">
        <v>3.6694022120319e-12</v>
      </c>
      <c r="S46" s="5">
        <v>2.9341428665237e-12</v>
      </c>
      <c r="T46" s="5">
        <v>3.2734085901674e-12</v>
      </c>
      <c r="U46" s="5">
        <v>3.8909149575514e-12</v>
      </c>
      <c r="V46" s="5">
        <v>3.637509981781e-12</v>
      </c>
      <c r="W46" s="5">
        <v>3.7020116009321e-12</v>
      </c>
      <c r="X46" s="5">
        <v>3.394962079988e-12</v>
      </c>
      <c r="Y46" s="5">
        <v>3.6632268397595e-12</v>
      </c>
      <c r="Z46" s="5">
        <v>3.5530218035801e-12</v>
      </c>
      <c r="AA46" s="5">
        <v>3.755755432478e-12</v>
      </c>
      <c r="AB46" s="3">
        <v>1.0000244282843</v>
      </c>
      <c r="AC46" s="3">
        <v>0.28489319991645</v>
      </c>
      <c r="AD46" s="3">
        <v>0.004287228394747</v>
      </c>
      <c r="AE46" s="5">
        <v>5.5961464503262e-13</v>
      </c>
      <c r="AF46" s="5">
        <v>1.117996628479e-12</v>
      </c>
      <c r="AG46" s="5">
        <v>7.7885995099012e-13</v>
      </c>
      <c r="AH46" s="5">
        <v>-6.0602726000967e-13</v>
      </c>
      <c r="AI46" s="5">
        <v>-1.0155108281427e-12</v>
      </c>
      <c r="AJ46" s="5">
        <v>-9.1278780011693e-13</v>
      </c>
      <c r="AK46" s="5">
        <v>-7.8746219729745e-13</v>
      </c>
      <c r="AL46" s="5">
        <v>-6.3366407523048e-13</v>
      </c>
      <c r="AM46" s="5">
        <v>-5.0932747522817e-14</v>
      </c>
      <c r="AN46" s="5">
        <v>-6.1076962885662e-13</v>
      </c>
      <c r="AO46" s="5">
        <v>-1.6073727916604e-13</v>
      </c>
      <c r="AP46" s="5">
        <v>2.5337880949256e-14</v>
      </c>
      <c r="AQ46" s="5">
        <v>-1.8294195673799e-13</v>
      </c>
      <c r="AR46" s="5">
        <v>-1.2974572285384e-12</v>
      </c>
      <c r="AS46" s="5">
        <v>2.5672720256669e-14</v>
      </c>
      <c r="AT46" s="5">
        <v>8.5880136391816e-14</v>
      </c>
      <c r="AU46" s="5">
        <v>-2.6071576737352e-13</v>
      </c>
      <c r="AV46" s="5">
        <v>-1.4469368251851e-13</v>
      </c>
      <c r="AW46" s="5">
        <v>7.7267516441847e-13</v>
      </c>
      <c r="AX46" s="5">
        <v>1.2026758786591e-12</v>
      </c>
      <c r="AY46" s="5">
        <v>8.6649526297416e-13</v>
      </c>
      <c r="AZ46" s="5">
        <v>-9.4946453509879e-13</v>
      </c>
      <c r="BA46" s="5">
        <v>-1.0904457679347e-12</v>
      </c>
      <c r="BB46" s="5">
        <v>-2.2753204849926e-13</v>
      </c>
      <c r="BC46" s="3">
        <v>15193316.954211</v>
      </c>
      <c r="BD46" s="3">
        <v>5777065.3868384</v>
      </c>
      <c r="BE46" s="3">
        <v>-0.002430815282307</v>
      </c>
      <c r="BF46" s="3">
        <v>0.0042465853761982</v>
      </c>
      <c r="BG46" s="3">
        <v>0.00085940662217393</v>
      </c>
      <c r="BH46" s="3">
        <v>-0.012862322204975</v>
      </c>
      <c r="BI46" s="3">
        <v>199.62114922008</v>
      </c>
      <c r="BJ46" s="3">
        <v>99.885337870938</v>
      </c>
      <c r="BK46" s="3">
        <v>184.13215714762</v>
      </c>
      <c r="BL46" s="4"/>
      <c r="BM46" s="7"/>
    </row>
    <row r="47" spans="1:65">
      <c r="A47" s="3">
        <v>28341905.18287</v>
      </c>
      <c r="B47" s="3">
        <v>0.0035578468944462</v>
      </c>
      <c r="C47" s="6">
        <f t="shared" si="1"/>
        <v>1.17583227602538e-10</v>
      </c>
      <c r="D47" s="5">
        <v>3.5236052382934e-12</v>
      </c>
      <c r="E47" s="5">
        <v>3.6324943363244e-12</v>
      </c>
      <c r="F47" s="5">
        <v>3.9421843117211e-12</v>
      </c>
      <c r="G47" s="5">
        <v>3.6755080104016e-12</v>
      </c>
      <c r="H47" s="5">
        <v>3.1579939145346e-12</v>
      </c>
      <c r="I47" s="5">
        <v>3.3391434015789e-12</v>
      </c>
      <c r="J47" s="5">
        <v>2.9336051606486e-12</v>
      </c>
      <c r="K47" s="5">
        <v>3.0439981774905e-12</v>
      </c>
      <c r="L47" s="5">
        <v>3.5352370466866e-12</v>
      </c>
      <c r="M47" s="5">
        <v>2.9742672357468e-12</v>
      </c>
      <c r="N47" s="5">
        <v>3.508948338152e-12</v>
      </c>
      <c r="O47" s="5">
        <v>3.3450160078942e-12</v>
      </c>
      <c r="P47" s="5">
        <v>3.1472382485118e-12</v>
      </c>
      <c r="Q47" s="5">
        <v>3.2358993723851e-12</v>
      </c>
      <c r="R47" s="5">
        <v>3.6924823691448e-12</v>
      </c>
      <c r="S47" s="5">
        <v>2.94327895116e-12</v>
      </c>
      <c r="T47" s="5">
        <v>3.2901535229912e-12</v>
      </c>
      <c r="U47" s="5">
        <v>3.9145678696802e-12</v>
      </c>
      <c r="V47" s="5">
        <v>3.6591896941519e-12</v>
      </c>
      <c r="W47" s="5">
        <v>3.7247610336647e-12</v>
      </c>
      <c r="X47" s="5">
        <v>3.4116383956403e-12</v>
      </c>
      <c r="Y47" s="5">
        <v>3.6837588854706e-12</v>
      </c>
      <c r="Z47" s="5">
        <v>3.5717169861644e-12</v>
      </c>
      <c r="AA47" s="5">
        <v>3.7759791174982e-12</v>
      </c>
      <c r="AB47" s="3">
        <v>0.99999638330753</v>
      </c>
      <c r="AC47" s="3">
        <v>0.28583678649624</v>
      </c>
      <c r="AD47" s="3">
        <v>0.0043903702045599</v>
      </c>
      <c r="AE47" s="5">
        <v>5.6189239034694e-13</v>
      </c>
      <c r="AF47" s="5">
        <v>1.1192595390106e-12</v>
      </c>
      <c r="AG47" s="5">
        <v>7.6985430661628e-13</v>
      </c>
      <c r="AH47" s="5">
        <v>-6.0888937786759e-13</v>
      </c>
      <c r="AI47" s="5">
        <v>-1.0290590391624e-12</v>
      </c>
      <c r="AJ47" s="5">
        <v>-9.2242453052513e-13</v>
      </c>
      <c r="AK47" s="5">
        <v>-8.0066704209689e-13</v>
      </c>
      <c r="AL47" s="5">
        <v>-6.4836529815583e-13</v>
      </c>
      <c r="AM47" s="5">
        <v>-6.369871620931e-14</v>
      </c>
      <c r="AN47" s="5">
        <v>-6.2168631422944e-13</v>
      </c>
      <c r="AO47" s="5">
        <v>-1.7507139598019e-13</v>
      </c>
      <c r="AP47" s="5">
        <v>2.6158094046949e-14</v>
      </c>
      <c r="AQ47" s="5">
        <v>-1.95743702366e-13</v>
      </c>
      <c r="AR47" s="5">
        <v>-1.3099649094797e-12</v>
      </c>
      <c r="AS47" s="5">
        <v>8.1472529531478e-15</v>
      </c>
      <c r="AT47" s="5">
        <v>7.5730391271073e-14</v>
      </c>
      <c r="AU47" s="5">
        <v>-2.7376095319587e-13</v>
      </c>
      <c r="AV47" s="5">
        <v>-1.4573713365228e-13</v>
      </c>
      <c r="AW47" s="5">
        <v>7.7139813251894e-13</v>
      </c>
      <c r="AX47" s="5">
        <v>1.2080796754508e-12</v>
      </c>
      <c r="AY47" s="5">
        <v>8.66804568172e-13</v>
      </c>
      <c r="AZ47" s="5">
        <v>-9.496066079772e-13</v>
      </c>
      <c r="BA47" s="5">
        <v>-1.0964266494851e-12</v>
      </c>
      <c r="BB47" s="5">
        <v>-2.2017230970013e-13</v>
      </c>
      <c r="BC47" s="3">
        <v>15171824.626762</v>
      </c>
      <c r="BD47" s="3">
        <v>5821275.8051211</v>
      </c>
      <c r="BE47" s="3">
        <v>-0.0024843173590308</v>
      </c>
      <c r="BF47" s="3">
        <v>0.0043512913720291</v>
      </c>
      <c r="BG47" s="3">
        <v>0.0008816458265063</v>
      </c>
      <c r="BH47" s="3">
        <v>-0.015146284651964</v>
      </c>
      <c r="BI47" s="3">
        <v>199.61493824009</v>
      </c>
      <c r="BJ47" s="3">
        <v>99.883677108808</v>
      </c>
      <c r="BK47" s="3">
        <v>184.15747515393</v>
      </c>
      <c r="BL47" s="4"/>
      <c r="BM47" s="7"/>
    </row>
    <row r="48" spans="1:65">
      <c r="A48" s="3">
        <v>29011778.242895</v>
      </c>
      <c r="B48" s="3">
        <v>0.0036350282284131</v>
      </c>
      <c r="C48" s="6">
        <f t="shared" si="1"/>
        <v>1.1781263030544e-10</v>
      </c>
      <c r="D48" s="5">
        <v>3.5472696729143e-12</v>
      </c>
      <c r="E48" s="5">
        <v>3.6575493970627e-12</v>
      </c>
      <c r="F48" s="5">
        <v>3.972385848058e-12</v>
      </c>
      <c r="G48" s="5">
        <v>3.6986188609606e-12</v>
      </c>
      <c r="H48" s="5">
        <v>3.1755980077745e-12</v>
      </c>
      <c r="I48" s="5">
        <v>3.3592670746137e-12</v>
      </c>
      <c r="J48" s="5">
        <v>2.9453326284633e-12</v>
      </c>
      <c r="K48" s="5">
        <v>3.0591508253369e-12</v>
      </c>
      <c r="L48" s="5">
        <v>3.5607289761271e-12</v>
      </c>
      <c r="M48" s="5">
        <v>2.98690237676e-12</v>
      </c>
      <c r="N48" s="5">
        <v>3.530908596562e-12</v>
      </c>
      <c r="O48" s="5">
        <v>3.3635743094233e-12</v>
      </c>
      <c r="P48" s="5">
        <v>3.1620709994484e-12</v>
      </c>
      <c r="Q48" s="5">
        <v>3.2526006145968e-12</v>
      </c>
      <c r="R48" s="5">
        <v>3.7197792455903e-12</v>
      </c>
      <c r="S48" s="5">
        <v>2.9541108907789e-12</v>
      </c>
      <c r="T48" s="5">
        <v>3.3100309655181e-12</v>
      </c>
      <c r="U48" s="5">
        <v>3.9423695248131e-12</v>
      </c>
      <c r="V48" s="5">
        <v>3.6848018328843e-12</v>
      </c>
      <c r="W48" s="5">
        <v>3.7516280651826e-12</v>
      </c>
      <c r="X48" s="5">
        <v>3.4312658452356e-12</v>
      </c>
      <c r="Y48" s="5">
        <v>3.7079802527009e-12</v>
      </c>
      <c r="Z48" s="5">
        <v>3.5937867576895e-12</v>
      </c>
      <c r="AA48" s="5">
        <v>3.7997559941658e-12</v>
      </c>
      <c r="AB48" s="3">
        <v>1.0031657706791</v>
      </c>
      <c r="AC48" s="3">
        <v>0.28693931855777</v>
      </c>
      <c r="AD48" s="3">
        <v>0.0044680631324661</v>
      </c>
      <c r="AE48" s="5">
        <v>5.6436022212195e-13</v>
      </c>
      <c r="AF48" s="5">
        <v>1.1204592522231e-12</v>
      </c>
      <c r="AG48" s="5">
        <v>7.5985155971377e-13</v>
      </c>
      <c r="AH48" s="5">
        <v>-6.1253500006818e-13</v>
      </c>
      <c r="AI48" s="5">
        <v>-1.0449437365172e-12</v>
      </c>
      <c r="AJ48" s="5">
        <v>-9.338899526555e-13</v>
      </c>
      <c r="AK48" s="5">
        <v>-8.164862516271e-13</v>
      </c>
      <c r="AL48" s="5">
        <v>-6.6568330722539e-13</v>
      </c>
      <c r="AM48" s="5">
        <v>-7.8936339035319e-14</v>
      </c>
      <c r="AN48" s="5">
        <v>-6.3459159262052e-13</v>
      </c>
      <c r="AO48" s="5">
        <v>-1.9190298270539e-13</v>
      </c>
      <c r="AP48" s="5">
        <v>2.6868816905098e-14</v>
      </c>
      <c r="AQ48" s="5">
        <v>-2.109359937054e-13</v>
      </c>
      <c r="AR48" s="5">
        <v>-1.3248218116118e-12</v>
      </c>
      <c r="AS48" s="5">
        <v>-1.256734347619e-14</v>
      </c>
      <c r="AT48" s="5">
        <v>6.3476823630088e-14</v>
      </c>
      <c r="AU48" s="5">
        <v>-2.8935248799927e-13</v>
      </c>
      <c r="AV48" s="5">
        <v>-1.4624707427188e-13</v>
      </c>
      <c r="AW48" s="5">
        <v>7.7001328468349e-13</v>
      </c>
      <c r="AX48" s="5">
        <v>1.2147730006854e-12</v>
      </c>
      <c r="AY48" s="5">
        <v>8.6703726140683e-13</v>
      </c>
      <c r="AZ48" s="5">
        <v>-9.499134876345e-13</v>
      </c>
      <c r="BA48" s="5">
        <v>-1.103670741738e-12</v>
      </c>
      <c r="BB48" s="5">
        <v>-2.1188288403331e-13</v>
      </c>
      <c r="BC48" s="3">
        <v>15155778.813224</v>
      </c>
      <c r="BD48" s="3">
        <v>5854279.9710908</v>
      </c>
      <c r="BE48" s="3">
        <v>-0.0025244689994696</v>
      </c>
      <c r="BF48" s="3">
        <v>0.0044302108792014</v>
      </c>
      <c r="BG48" s="3">
        <v>0.00089845268953632</v>
      </c>
      <c r="BH48" s="3">
        <v>-0.013527688305126</v>
      </c>
      <c r="BI48" s="3">
        <v>199.61483197883</v>
      </c>
      <c r="BJ48" s="3">
        <v>99.887113507908</v>
      </c>
      <c r="BK48" s="3">
        <v>184.17790714406</v>
      </c>
      <c r="BL48" s="4"/>
      <c r="BM48" s="7"/>
    </row>
    <row r="49" spans="1:65">
      <c r="A49" s="3">
        <v>29523455.407941</v>
      </c>
      <c r="B49" s="3">
        <v>0.0036940479309383</v>
      </c>
      <c r="C49" s="6">
        <f t="shared" si="1"/>
        <v>1.17959788142343e-10</v>
      </c>
      <c r="D49" s="5">
        <v>3.5598446089174e-12</v>
      </c>
      <c r="E49" s="5">
        <v>3.6708582390052e-12</v>
      </c>
      <c r="F49" s="5">
        <v>3.9884038729136e-12</v>
      </c>
      <c r="G49" s="5">
        <v>3.7108645473036e-12</v>
      </c>
      <c r="H49" s="5">
        <v>3.1850113233777e-12</v>
      </c>
      <c r="I49" s="5">
        <v>3.3699834594043e-12</v>
      </c>
      <c r="J49" s="5">
        <v>2.9516407264848e-12</v>
      </c>
      <c r="K49" s="5">
        <v>3.0672679740722e-12</v>
      </c>
      <c r="L49" s="5">
        <v>3.5742855218243e-12</v>
      </c>
      <c r="M49" s="5">
        <v>2.99368676936e-12</v>
      </c>
      <c r="N49" s="5">
        <v>3.5425826209797e-12</v>
      </c>
      <c r="O49" s="5">
        <v>3.3734443045939e-12</v>
      </c>
      <c r="P49" s="5">
        <v>3.1700026632457e-12</v>
      </c>
      <c r="Q49" s="5">
        <v>3.2615101576125e-12</v>
      </c>
      <c r="R49" s="5">
        <v>3.7342814286628e-12</v>
      </c>
      <c r="S49" s="5">
        <v>2.9599332349836e-12</v>
      </c>
      <c r="T49" s="5">
        <v>3.3206457828754e-12</v>
      </c>
      <c r="U49" s="5">
        <v>3.957079890838e-12</v>
      </c>
      <c r="V49" s="5">
        <v>3.6984106475903e-12</v>
      </c>
      <c r="W49" s="5">
        <v>3.7658879510872e-12</v>
      </c>
      <c r="X49" s="5">
        <v>3.4416769342619e-12</v>
      </c>
      <c r="Y49" s="5">
        <v>3.7208485288818e-12</v>
      </c>
      <c r="Z49" s="5">
        <v>3.6055166432879e-12</v>
      </c>
      <c r="AA49" s="5">
        <v>3.8123429204808e-12</v>
      </c>
      <c r="AB49" s="3">
        <v>0.99987630711859</v>
      </c>
      <c r="AC49" s="3">
        <v>0.28749698925688</v>
      </c>
      <c r="AD49" s="3">
        <v>0.0045274569408659</v>
      </c>
      <c r="AE49" s="5">
        <v>5.6579097557002e-13</v>
      </c>
      <c r="AF49" s="5">
        <v>1.1212789342236e-12</v>
      </c>
      <c r="AG49" s="5">
        <v>7.5463106059496e-13</v>
      </c>
      <c r="AH49" s="5">
        <v>-6.1483821733757e-13</v>
      </c>
      <c r="AI49" s="5">
        <v>-1.0533790101532e-12</v>
      </c>
      <c r="AJ49" s="5">
        <v>-9.4147061276326e-13</v>
      </c>
      <c r="AK49" s="5">
        <v>-8.2505986532815e-13</v>
      </c>
      <c r="AL49" s="5">
        <v>-6.7523599211914e-13</v>
      </c>
      <c r="AM49" s="5">
        <v>-8.7978166740796e-14</v>
      </c>
      <c r="AN49" s="5">
        <v>-6.4171622343067e-13</v>
      </c>
      <c r="AO49" s="5">
        <v>-2.0211224061709e-13</v>
      </c>
      <c r="AP49" s="5">
        <v>2.7101066669076e-14</v>
      </c>
      <c r="AQ49" s="5">
        <v>-2.1938526616316e-13</v>
      </c>
      <c r="AR49" s="5">
        <v>-1.3331807190066e-12</v>
      </c>
      <c r="AS49" s="5">
        <v>-2.5102942009819e-14</v>
      </c>
      <c r="AT49" s="5">
        <v>5.6825102270886e-14</v>
      </c>
      <c r="AU49" s="5">
        <v>-2.9782823046038e-13</v>
      </c>
      <c r="AV49" s="5">
        <v>-1.4578687748266e-13</v>
      </c>
      <c r="AW49" s="5">
        <v>7.6949520626352e-13</v>
      </c>
      <c r="AX49" s="5">
        <v>1.2187701791804e-12</v>
      </c>
      <c r="AY49" s="5">
        <v>8.6803555178513e-13</v>
      </c>
      <c r="AZ49" s="5">
        <v>-9.4993667706091e-13</v>
      </c>
      <c r="BA49" s="5">
        <v>-1.1078265496716e-12</v>
      </c>
      <c r="BB49" s="5">
        <v>-2.07015826701e-13</v>
      </c>
      <c r="BC49" s="3">
        <v>15143592.604162</v>
      </c>
      <c r="BD49" s="3">
        <v>5879343.2471306</v>
      </c>
      <c r="BE49" s="3">
        <v>-0.0025550860034009</v>
      </c>
      <c r="BF49" s="3">
        <v>0.0044905682091875</v>
      </c>
      <c r="BG49" s="3">
        <v>0.00091131903630077</v>
      </c>
      <c r="BH49" s="3">
        <v>-0.01350422412307</v>
      </c>
      <c r="BI49" s="3">
        <v>199.61266489317</v>
      </c>
      <c r="BJ49" s="3">
        <v>99.885289393194</v>
      </c>
      <c r="BK49" s="3">
        <v>184.19286177395</v>
      </c>
      <c r="BL49" s="4"/>
      <c r="BM49" s="7"/>
    </row>
    <row r="50" spans="1:65">
      <c r="A50" s="3">
        <v>30437062.472293</v>
      </c>
      <c r="B50" s="3">
        <v>0.0037995596047284</v>
      </c>
      <c r="C50" s="6">
        <f t="shared" si="1"/>
        <v>1.18134490381869e-10</v>
      </c>
      <c r="D50" s="5">
        <v>3.5824263695714e-12</v>
      </c>
      <c r="E50" s="5">
        <v>3.6947661215713e-12</v>
      </c>
      <c r="F50" s="5">
        <v>4.017192986584e-12</v>
      </c>
      <c r="G50" s="5">
        <v>3.7327894419993e-12</v>
      </c>
      <c r="H50" s="5">
        <v>3.2019723339111e-12</v>
      </c>
      <c r="I50" s="5">
        <v>3.3892452169385e-12</v>
      </c>
      <c r="J50" s="5">
        <v>2.9629929963725e-12</v>
      </c>
      <c r="K50" s="5">
        <v>3.0819042492664e-12</v>
      </c>
      <c r="L50" s="5">
        <v>3.5987066727645e-12</v>
      </c>
      <c r="M50" s="5">
        <v>3.0059060607149e-12</v>
      </c>
      <c r="N50" s="5">
        <v>3.5635572311741e-12</v>
      </c>
      <c r="O50" s="5">
        <v>3.391139502898e-12</v>
      </c>
      <c r="P50" s="5">
        <v>3.184253640954e-12</v>
      </c>
      <c r="Q50" s="5">
        <v>3.2775213157274e-12</v>
      </c>
      <c r="R50" s="5">
        <v>3.7603798721041e-12</v>
      </c>
      <c r="S50" s="5">
        <v>2.9704006292739e-12</v>
      </c>
      <c r="T50" s="5">
        <v>3.3397859036717e-12</v>
      </c>
      <c r="U50" s="5">
        <v>3.9833947994058e-12</v>
      </c>
      <c r="V50" s="5">
        <v>3.72285349706e-12</v>
      </c>
      <c r="W50" s="5">
        <v>3.7915101706256e-12</v>
      </c>
      <c r="X50" s="5">
        <v>3.460334963709e-12</v>
      </c>
      <c r="Y50" s="5">
        <v>3.7439305608906e-12</v>
      </c>
      <c r="Z50" s="5">
        <v>3.6265755833882e-12</v>
      </c>
      <c r="AA50" s="5">
        <v>3.8348725584237e-12</v>
      </c>
      <c r="AB50" s="3">
        <v>0.99918943128188</v>
      </c>
      <c r="AC50" s="3">
        <v>0.28851134452736</v>
      </c>
      <c r="AD50" s="3">
        <v>0.0046336227538864</v>
      </c>
      <c r="AE50" s="5">
        <v>5.6782164048959e-13</v>
      </c>
      <c r="AF50" s="5">
        <v>1.1224549032047e-12</v>
      </c>
      <c r="AG50" s="5">
        <v>7.4507949074994e-13</v>
      </c>
      <c r="AH50" s="5">
        <v>-6.1875663167653e-13</v>
      </c>
      <c r="AI50" s="5">
        <v>-1.0686781308082e-12</v>
      </c>
      <c r="AJ50" s="5">
        <v>-9.5348947319371e-13</v>
      </c>
      <c r="AK50" s="5">
        <v>-8.4045628888151e-13</v>
      </c>
      <c r="AL50" s="5">
        <v>-6.9198479804382e-13</v>
      </c>
      <c r="AM50" s="5">
        <v>-1.0313207051076e-13</v>
      </c>
      <c r="AN50" s="5">
        <v>-6.541041945545e-13</v>
      </c>
      <c r="AO50" s="5">
        <v>-2.1906130515713e-13</v>
      </c>
      <c r="AP50" s="5">
        <v>2.7505045011987e-14</v>
      </c>
      <c r="AQ50" s="5">
        <v>-2.3410996800072e-13</v>
      </c>
      <c r="AR50" s="5">
        <v>-1.347835652038e-12</v>
      </c>
      <c r="AS50" s="5">
        <v>-4.6213623963358e-14</v>
      </c>
      <c r="AT50" s="5">
        <v>4.4886230063786e-14</v>
      </c>
      <c r="AU50" s="5">
        <v>-3.1288431565993e-13</v>
      </c>
      <c r="AV50" s="5">
        <v>-1.4638222073316e-13</v>
      </c>
      <c r="AW50" s="5">
        <v>7.6792770767824e-13</v>
      </c>
      <c r="AX50" s="5">
        <v>1.225197860481e-12</v>
      </c>
      <c r="AY50" s="5">
        <v>8.6876080492756e-13</v>
      </c>
      <c r="AZ50" s="5">
        <v>-9.5041177383829e-13</v>
      </c>
      <c r="BA50" s="5">
        <v>-1.1151782434307e-12</v>
      </c>
      <c r="BB50" s="5">
        <v>-1.9952322740982e-13</v>
      </c>
      <c r="BC50" s="3">
        <v>15121970.695399</v>
      </c>
      <c r="BD50" s="3">
        <v>5923805.1792325</v>
      </c>
      <c r="BE50" s="3">
        <v>-0.0026096596362501</v>
      </c>
      <c r="BF50" s="3">
        <v>0.004598496714144</v>
      </c>
      <c r="BG50" s="3">
        <v>0.00093438292528941</v>
      </c>
      <c r="BH50" s="3">
        <v>-0.013793029823248</v>
      </c>
      <c r="BI50" s="3">
        <v>199.60891924722</v>
      </c>
      <c r="BJ50" s="3">
        <v>99.885311270105</v>
      </c>
      <c r="BK50" s="3">
        <v>184.22044264736</v>
      </c>
      <c r="BL50" s="4"/>
      <c r="BM50" s="7"/>
    </row>
    <row r="51" spans="1:65">
      <c r="A51" s="3">
        <v>31282071.406593</v>
      </c>
      <c r="B51" s="3">
        <v>0.0038973107542164</v>
      </c>
      <c r="C51" s="6">
        <f t="shared" si="1"/>
        <v>1.18368982628756e-10</v>
      </c>
      <c r="D51" s="5">
        <v>3.6018221618852e-12</v>
      </c>
      <c r="E51" s="5">
        <v>3.7153010215023e-12</v>
      </c>
      <c r="F51" s="5">
        <v>4.0419063207555e-12</v>
      </c>
      <c r="G51" s="5">
        <v>3.751551666268e-12</v>
      </c>
      <c r="H51" s="5">
        <v>3.2166159850045e-12</v>
      </c>
      <c r="I51" s="5">
        <v>3.4058114239083e-12</v>
      </c>
      <c r="J51" s="5">
        <v>2.9728168695165e-12</v>
      </c>
      <c r="K51" s="5">
        <v>3.0945616738601e-12</v>
      </c>
      <c r="L51" s="5">
        <v>3.6197318822124e-12</v>
      </c>
      <c r="M51" s="5">
        <v>3.0164784948162e-12</v>
      </c>
      <c r="N51" s="5">
        <v>3.5815759672358e-12</v>
      </c>
      <c r="O51" s="5">
        <v>3.4063236170957e-12</v>
      </c>
      <c r="P51" s="5">
        <v>3.1965375056522e-12</v>
      </c>
      <c r="Q51" s="5">
        <v>3.291304678074e-12</v>
      </c>
      <c r="R51" s="5">
        <v>3.7828229806379e-12</v>
      </c>
      <c r="S51" s="5">
        <v>2.9794493397745e-12</v>
      </c>
      <c r="T51" s="5">
        <v>3.3563151012929e-12</v>
      </c>
      <c r="U51" s="5">
        <v>4.0058728651365e-12</v>
      </c>
      <c r="V51" s="5">
        <v>3.7438550588914e-12</v>
      </c>
      <c r="W51" s="5">
        <v>3.8135084766467e-12</v>
      </c>
      <c r="X51" s="5">
        <v>3.4763139101011e-12</v>
      </c>
      <c r="Y51" s="5">
        <v>3.7637423097725e-12</v>
      </c>
      <c r="Z51" s="5">
        <v>3.6446565224977e-12</v>
      </c>
      <c r="AA51" s="5">
        <v>3.8541340025804e-12</v>
      </c>
      <c r="AB51" s="3">
        <v>1.0003152111982</v>
      </c>
      <c r="AC51" s="3">
        <v>0.28936684346648</v>
      </c>
      <c r="AD51" s="3">
        <v>0.0047319583348273</v>
      </c>
      <c r="AE51" s="5">
        <v>5.7020942417067e-13</v>
      </c>
      <c r="AF51" s="5">
        <v>1.1240414330074e-12</v>
      </c>
      <c r="AG51" s="5">
        <v>7.3924033556673e-13</v>
      </c>
      <c r="AH51" s="5">
        <v>-6.2073941161828e-13</v>
      </c>
      <c r="AI51" s="5">
        <v>-1.0811939021231e-12</v>
      </c>
      <c r="AJ51" s="5">
        <v>-9.6263624243754e-13</v>
      </c>
      <c r="AK51" s="5">
        <v>-8.5347407104898e-13</v>
      </c>
      <c r="AL51" s="5">
        <v>-7.0597497811578e-13</v>
      </c>
      <c r="AM51" s="5">
        <v>-1.1472171431621e-13</v>
      </c>
      <c r="AN51" s="5">
        <v>-6.643704865983e-13</v>
      </c>
      <c r="AO51" s="5">
        <v>-2.3170409545864e-13</v>
      </c>
      <c r="AP51" s="5">
        <v>2.8850477425806e-14</v>
      </c>
      <c r="AQ51" s="5">
        <v>-2.4616284395159e-13</v>
      </c>
      <c r="AR51" s="5">
        <v>-1.3597059637522e-12</v>
      </c>
      <c r="AS51" s="5">
        <v>-6.2395229433391e-14</v>
      </c>
      <c r="AT51" s="5">
        <v>3.4928958715315e-14</v>
      </c>
      <c r="AU51" s="5">
        <v>-3.2499383182009e-13</v>
      </c>
      <c r="AV51" s="5">
        <v>-1.456571345488e-13</v>
      </c>
      <c r="AW51" s="5">
        <v>7.6791577254823e-13</v>
      </c>
      <c r="AX51" s="5">
        <v>1.2315036956047e-12</v>
      </c>
      <c r="AY51" s="5">
        <v>8.7090774140258e-13</v>
      </c>
      <c r="AZ51" s="5">
        <v>-9.4998636758469e-13</v>
      </c>
      <c r="BA51" s="5">
        <v>-1.1201773379567e-12</v>
      </c>
      <c r="BB51" s="5">
        <v>-1.9194809037483e-13</v>
      </c>
      <c r="BC51" s="3">
        <v>15102137.036196</v>
      </c>
      <c r="BD51" s="3">
        <v>5964579.3253015</v>
      </c>
      <c r="BE51" s="3">
        <v>-0.0026600215241064</v>
      </c>
      <c r="BF51" s="3">
        <v>0.0046985195620093</v>
      </c>
      <c r="BG51" s="3">
        <v>0.00095581022669961</v>
      </c>
      <c r="BH51" s="3">
        <v>-0.013963682293283</v>
      </c>
      <c r="BI51" s="3">
        <v>199.60544865358</v>
      </c>
      <c r="BJ51" s="3">
        <v>99.885245409706</v>
      </c>
      <c r="BK51" s="3">
        <v>184.24626086286</v>
      </c>
      <c r="BL51" s="4"/>
      <c r="BM51" s="7"/>
    </row>
    <row r="52" spans="1:65">
      <c r="A52" s="3">
        <v>32017603.167967</v>
      </c>
      <c r="B52" s="3">
        <v>0.0039825236399024</v>
      </c>
      <c r="C52" s="6">
        <f t="shared" si="1"/>
        <v>1.18579986602442e-10</v>
      </c>
      <c r="D52" s="5">
        <v>3.6232673803374e-12</v>
      </c>
      <c r="E52" s="5">
        <v>3.7380075943754e-12</v>
      </c>
      <c r="F52" s="5">
        <v>4.0692184771063e-12</v>
      </c>
      <c r="G52" s="5">
        <v>3.7722265867939e-12</v>
      </c>
      <c r="H52" s="5">
        <v>3.2328955372462e-12</v>
      </c>
      <c r="I52" s="5">
        <v>3.424159455897e-12</v>
      </c>
      <c r="J52" s="5">
        <v>2.9837573563796e-12</v>
      </c>
      <c r="K52" s="5">
        <v>3.1086424755879e-12</v>
      </c>
      <c r="L52" s="5">
        <v>3.6430344352235e-12</v>
      </c>
      <c r="M52" s="5">
        <v>3.0282422786429e-12</v>
      </c>
      <c r="N52" s="5">
        <v>3.6015040535005e-12</v>
      </c>
      <c r="O52" s="5">
        <v>3.4230972218902e-12</v>
      </c>
      <c r="P52" s="5">
        <v>3.210154526102e-12</v>
      </c>
      <c r="Q52" s="5">
        <v>3.3065766026882e-12</v>
      </c>
      <c r="R52" s="5">
        <v>3.8076702844647e-12</v>
      </c>
      <c r="S52" s="5">
        <v>2.9895160057843e-12</v>
      </c>
      <c r="T52" s="5">
        <v>3.374684986864e-12</v>
      </c>
      <c r="U52" s="5">
        <v>4.0306076400856e-12</v>
      </c>
      <c r="V52" s="5">
        <v>3.7670729791876e-12</v>
      </c>
      <c r="W52" s="5">
        <v>3.8378218682876e-12</v>
      </c>
      <c r="X52" s="5">
        <v>3.4939274853506e-12</v>
      </c>
      <c r="Y52" s="5">
        <v>3.7856156010502e-12</v>
      </c>
      <c r="Z52" s="5">
        <v>3.6646394087824e-12</v>
      </c>
      <c r="AA52" s="5">
        <v>3.875338142361e-12</v>
      </c>
      <c r="AB52" s="3">
        <v>0.99941386107565</v>
      </c>
      <c r="AC52" s="3">
        <v>0.29030806019777</v>
      </c>
      <c r="AD52" s="3">
        <v>0.0048176690087339</v>
      </c>
      <c r="AE52" s="5">
        <v>5.7233086621132e-13</v>
      </c>
      <c r="AF52" s="5">
        <v>1.1257248341086e-12</v>
      </c>
      <c r="AG52" s="5">
        <v>7.3160197450336e-13</v>
      </c>
      <c r="AH52" s="5">
        <v>-6.2372310553559e-13</v>
      </c>
      <c r="AI52" s="5">
        <v>-1.0953826072563e-12</v>
      </c>
      <c r="AJ52" s="5">
        <v>-9.7329458265733e-13</v>
      </c>
      <c r="AK52" s="5">
        <v>-8.6810186474618e-13</v>
      </c>
      <c r="AL52" s="5">
        <v>-7.2172297545061e-13</v>
      </c>
      <c r="AM52" s="5">
        <v>-1.2845569468503e-13</v>
      </c>
      <c r="AN52" s="5">
        <v>-6.7587284232895e-13</v>
      </c>
      <c r="AO52" s="5">
        <v>-2.4692840993905e-13</v>
      </c>
      <c r="AP52" s="5">
        <v>2.9526433807658e-14</v>
      </c>
      <c r="AQ52" s="5">
        <v>-2.5991698054454e-13</v>
      </c>
      <c r="AR52" s="5">
        <v>-1.3730045287924e-12</v>
      </c>
      <c r="AS52" s="5">
        <v>-8.1703735859592e-14</v>
      </c>
      <c r="AT52" s="5">
        <v>2.3713997591346e-14</v>
      </c>
      <c r="AU52" s="5">
        <v>-3.3903163677091e-13</v>
      </c>
      <c r="AV52" s="5">
        <v>-1.4547362800784e-13</v>
      </c>
      <c r="AW52" s="5">
        <v>7.6694076707787e-13</v>
      </c>
      <c r="AX52" s="5">
        <v>1.2381502836407e-12</v>
      </c>
      <c r="AY52" s="5">
        <v>8.724328717974e-13</v>
      </c>
      <c r="AZ52" s="5">
        <v>-9.5015544855544e-13</v>
      </c>
      <c r="BA52" s="5">
        <v>-1.1268670179224e-12</v>
      </c>
      <c r="BB52" s="5">
        <v>-1.8455250534591e-13</v>
      </c>
      <c r="BC52" s="3">
        <v>15084998.421855</v>
      </c>
      <c r="BD52" s="3">
        <v>5999802.0906174</v>
      </c>
      <c r="BE52" s="3">
        <v>-0.0027037776046455</v>
      </c>
      <c r="BF52" s="3">
        <v>0.0047857389084187</v>
      </c>
      <c r="BG52" s="3">
        <v>0.00097453937635577</v>
      </c>
      <c r="BH52" s="3">
        <v>-0.014352630689784</v>
      </c>
      <c r="BI52" s="3">
        <v>199.60265141381</v>
      </c>
      <c r="BJ52" s="3">
        <v>99.887116729245</v>
      </c>
      <c r="BK52" s="3">
        <v>184.2694735837</v>
      </c>
      <c r="BL52" s="4"/>
      <c r="BM52" s="7"/>
    </row>
    <row r="53" spans="1:65">
      <c r="A53" s="3">
        <v>32785456.552745</v>
      </c>
      <c r="B53" s="3">
        <v>0.0040716080911283</v>
      </c>
      <c r="C53" s="6">
        <f t="shared" si="1"/>
        <v>1.18776763165625e-10</v>
      </c>
      <c r="D53" s="5">
        <v>3.6417197875689e-12</v>
      </c>
      <c r="E53" s="5">
        <v>3.7575441758189e-12</v>
      </c>
      <c r="F53" s="5">
        <v>4.0926887998226e-12</v>
      </c>
      <c r="G53" s="5">
        <v>3.7899479368528e-12</v>
      </c>
      <c r="H53" s="5">
        <v>3.2469644787812e-12</v>
      </c>
      <c r="I53" s="5">
        <v>3.4399572602339e-12</v>
      </c>
      <c r="J53" s="5">
        <v>2.99324436282e-12</v>
      </c>
      <c r="K53" s="5">
        <v>3.1208311437375e-12</v>
      </c>
      <c r="L53" s="5">
        <v>3.6631036051497e-12</v>
      </c>
      <c r="M53" s="5">
        <v>3.0384368658092e-12</v>
      </c>
      <c r="N53" s="5">
        <v>3.6186376771896e-12</v>
      </c>
      <c r="O53" s="5">
        <v>3.437515594792e-12</v>
      </c>
      <c r="P53" s="5">
        <v>3.2219182075596e-12</v>
      </c>
      <c r="Q53" s="5">
        <v>3.3197429268069e-12</v>
      </c>
      <c r="R53" s="5">
        <v>3.8290615449947e-12</v>
      </c>
      <c r="S53" s="5">
        <v>2.9982352776434e-12</v>
      </c>
      <c r="T53" s="5">
        <v>3.3905707602343e-12</v>
      </c>
      <c r="U53" s="5">
        <v>4.0517590937468e-12</v>
      </c>
      <c r="V53" s="5">
        <v>3.7870552476383e-12</v>
      </c>
      <c r="W53" s="5">
        <v>3.8587148546964e-12</v>
      </c>
      <c r="X53" s="5">
        <v>3.5090201693029e-12</v>
      </c>
      <c r="Y53" s="5">
        <v>3.8044278615745e-12</v>
      </c>
      <c r="Z53" s="5">
        <v>3.6818171591012e-12</v>
      </c>
      <c r="AA53" s="5">
        <v>3.8935012800162e-12</v>
      </c>
      <c r="AB53" s="3">
        <v>0.99973292264235</v>
      </c>
      <c r="AC53" s="3">
        <v>0.29109151269747</v>
      </c>
      <c r="AD53" s="3">
        <v>0.0049072523855156</v>
      </c>
      <c r="AE53" s="5">
        <v>5.7637304026693e-13</v>
      </c>
      <c r="AF53" s="5">
        <v>1.1283803870814e-12</v>
      </c>
      <c r="AG53" s="5">
        <v>7.2987812884496e-13</v>
      </c>
      <c r="AH53" s="5">
        <v>-6.2341760284929e-13</v>
      </c>
      <c r="AI53" s="5">
        <v>-1.105893413355e-12</v>
      </c>
      <c r="AJ53" s="5">
        <v>-9.8157989515326e-13</v>
      </c>
      <c r="AK53" s="5">
        <v>-8.8037902917398e-13</v>
      </c>
      <c r="AL53" s="5">
        <v>-7.3469930269142e-13</v>
      </c>
      <c r="AM53" s="5">
        <v>-1.3893904574101e-13</v>
      </c>
      <c r="AN53" s="5">
        <v>-6.8551588927031e-13</v>
      </c>
      <c r="AO53" s="5">
        <v>-2.5802567285017e-13</v>
      </c>
      <c r="AP53" s="5">
        <v>3.1564071493057e-14</v>
      </c>
      <c r="AQ53" s="5">
        <v>-2.7119401581191e-13</v>
      </c>
      <c r="AR53" s="5">
        <v>-1.3833910070788e-12</v>
      </c>
      <c r="AS53" s="5">
        <v>-9.5471268598377e-14</v>
      </c>
      <c r="AT53" s="5">
        <v>1.4491790785032e-14</v>
      </c>
      <c r="AU53" s="5">
        <v>-3.4992176426245e-13</v>
      </c>
      <c r="AV53" s="5">
        <v>-1.4053443421322e-13</v>
      </c>
      <c r="AW53" s="5">
        <v>7.7016139827357e-13</v>
      </c>
      <c r="AX53" s="5">
        <v>1.2470025924306e-12</v>
      </c>
      <c r="AY53" s="5">
        <v>8.7758915309872e-13</v>
      </c>
      <c r="AZ53" s="5">
        <v>-9.4895701805565e-13</v>
      </c>
      <c r="BA53" s="5">
        <v>-1.1308641652471e-12</v>
      </c>
      <c r="BB53" s="5">
        <v>-1.7507072951497e-13</v>
      </c>
      <c r="BC53" s="3">
        <v>15067229.40318</v>
      </c>
      <c r="BD53" s="3">
        <v>6036307.9109813</v>
      </c>
      <c r="BE53" s="3">
        <v>-0.0027493699259575</v>
      </c>
      <c r="BF53" s="3">
        <v>0.0048769420480484</v>
      </c>
      <c r="BG53" s="3">
        <v>0.00099414974975305</v>
      </c>
      <c r="BH53" s="3">
        <v>-0.01434344599152</v>
      </c>
      <c r="BI53" s="3">
        <v>199.59935420866</v>
      </c>
      <c r="BJ53" s="3">
        <v>99.885055518728</v>
      </c>
      <c r="BK53" s="3">
        <v>184.29322483285</v>
      </c>
      <c r="BL53" s="4"/>
      <c r="BM53" s="7"/>
    </row>
    <row r="54" spans="1:65">
      <c r="A54" s="3">
        <v>33602457.501861</v>
      </c>
      <c r="B54" s="3">
        <v>0.0041665376871303</v>
      </c>
      <c r="C54" s="6">
        <f t="shared" si="1"/>
        <v>1.18986580230151e-10</v>
      </c>
      <c r="D54" s="5">
        <v>3.6606828665984e-12</v>
      </c>
      <c r="E54" s="5">
        <v>3.7776189418139e-12</v>
      </c>
      <c r="F54" s="5">
        <v>4.1168207622431e-12</v>
      </c>
      <c r="G54" s="5">
        <v>3.8081012822924e-12</v>
      </c>
      <c r="H54" s="5">
        <v>3.2615097530828e-12</v>
      </c>
      <c r="I54" s="5">
        <v>3.4562243178914e-12</v>
      </c>
      <c r="J54" s="5">
        <v>3.0030522585868e-12</v>
      </c>
      <c r="K54" s="5">
        <v>3.13343382968e-12</v>
      </c>
      <c r="L54" s="5">
        <v>3.683804044362e-12</v>
      </c>
      <c r="M54" s="5">
        <v>3.0489595622448e-12</v>
      </c>
      <c r="N54" s="5">
        <v>3.6362705080663e-12</v>
      </c>
      <c r="O54" s="5">
        <v>3.4523189010941e-12</v>
      </c>
      <c r="P54" s="5">
        <v>3.2340134042588e-12</v>
      </c>
      <c r="Q54" s="5">
        <v>3.333303409277e-12</v>
      </c>
      <c r="R54" s="5">
        <v>3.8510934926799e-12</v>
      </c>
      <c r="S54" s="5">
        <v>3.0072336786814e-12</v>
      </c>
      <c r="T54" s="5">
        <v>3.406963756131e-12</v>
      </c>
      <c r="U54" s="5">
        <v>4.0734313352802e-12</v>
      </c>
      <c r="V54" s="5">
        <v>3.8075814885678e-12</v>
      </c>
      <c r="W54" s="5">
        <v>3.8802067158467e-12</v>
      </c>
      <c r="X54" s="5">
        <v>3.5244862377986e-12</v>
      </c>
      <c r="Y54" s="5">
        <v>3.8237204080964e-12</v>
      </c>
      <c r="Z54" s="5">
        <v>3.6994786450608e-12</v>
      </c>
      <c r="AA54" s="5">
        <v>3.9120865011809e-12</v>
      </c>
      <c r="AB54" s="3">
        <v>0.9891818771638</v>
      </c>
      <c r="AC54" s="3">
        <v>0.29190906908343</v>
      </c>
      <c r="AD54" s="3">
        <v>0.0050027015923141</v>
      </c>
      <c r="AE54" s="5">
        <v>5.7551228121473e-13</v>
      </c>
      <c r="AF54" s="5">
        <v>1.1281290665077e-12</v>
      </c>
      <c r="AG54" s="5">
        <v>7.1643125815308e-13</v>
      </c>
      <c r="AH54" s="5">
        <v>-6.301718126567e-13</v>
      </c>
      <c r="AI54" s="5">
        <v>-1.1207626111305e-12</v>
      </c>
      <c r="AJ54" s="5">
        <v>-9.9380940047309e-13</v>
      </c>
      <c r="AK54" s="5">
        <v>-8.9424126804537e-13</v>
      </c>
      <c r="AL54" s="5">
        <v>-7.4953838787841e-13</v>
      </c>
      <c r="AM54" s="5">
        <v>-1.5438456666118e-13</v>
      </c>
      <c r="AN54" s="5">
        <v>-6.9647449128327e-13</v>
      </c>
      <c r="AO54" s="5">
        <v>-2.7574675921813e-13</v>
      </c>
      <c r="AP54" s="5">
        <v>2.9887237568375e-14</v>
      </c>
      <c r="AQ54" s="5">
        <v>-2.8442094421326e-13</v>
      </c>
      <c r="AR54" s="5">
        <v>-1.3973124341206e-12</v>
      </c>
      <c r="AS54" s="5">
        <v>-1.1867374213148e-13</v>
      </c>
      <c r="AT54" s="5">
        <v>3.3696684889413e-15</v>
      </c>
      <c r="AU54" s="5">
        <v>-3.6425629342696e-13</v>
      </c>
      <c r="AV54" s="5">
        <v>-1.459904106969e-13</v>
      </c>
      <c r="AW54" s="5">
        <v>7.6485808792323e-13</v>
      </c>
      <c r="AX54" s="5">
        <v>1.2500920696409e-12</v>
      </c>
      <c r="AY54" s="5">
        <v>8.7386394405429e-13</v>
      </c>
      <c r="AZ54" s="5">
        <v>-9.5077585123727e-13</v>
      </c>
      <c r="BA54" s="5">
        <v>-1.1399348267027e-12</v>
      </c>
      <c r="BB54" s="5">
        <v>-1.7284186896914e-13</v>
      </c>
      <c r="BC54" s="3">
        <v>15048458.906582</v>
      </c>
      <c r="BD54" s="3">
        <v>6074854.6591069</v>
      </c>
      <c r="BE54" s="3">
        <v>-0.0027977982267398</v>
      </c>
      <c r="BF54" s="3">
        <v>0.0049741541970285</v>
      </c>
      <c r="BG54" s="3">
        <v>0.0010151039715742</v>
      </c>
      <c r="BH54" s="3">
        <v>-0.014764418077462</v>
      </c>
      <c r="BI54" s="3">
        <v>199.59609237928</v>
      </c>
      <c r="BJ54" s="3">
        <v>99.885266084029</v>
      </c>
      <c r="BK54" s="3">
        <v>184.31946391198</v>
      </c>
      <c r="BL54" s="4"/>
      <c r="BM54" s="7"/>
    </row>
    <row r="55" spans="1:65">
      <c r="A55" s="3">
        <v>34502641.947957</v>
      </c>
      <c r="B55" s="3">
        <v>0.0042713044463832</v>
      </c>
      <c r="C55" s="6">
        <f t="shared" si="1"/>
        <v>1.19211502534954e-10</v>
      </c>
      <c r="D55" s="5">
        <v>3.680633346602e-12</v>
      </c>
      <c r="E55" s="5">
        <v>3.7987369801826e-12</v>
      </c>
      <c r="F55" s="5">
        <v>4.1421937322157e-12</v>
      </c>
      <c r="G55" s="5">
        <v>3.8271338063061e-12</v>
      </c>
      <c r="H55" s="5">
        <v>3.2768807256457e-12</v>
      </c>
      <c r="I55" s="5">
        <v>3.4733560507311e-12</v>
      </c>
      <c r="J55" s="5">
        <v>3.0134503592544e-12</v>
      </c>
      <c r="K55" s="5">
        <v>3.1467795257467e-12</v>
      </c>
      <c r="L55" s="5">
        <v>3.7056198646108e-12</v>
      </c>
      <c r="M55" s="5">
        <v>3.0601157361148e-12</v>
      </c>
      <c r="N55" s="5">
        <v>3.6548201173874e-12</v>
      </c>
      <c r="O55" s="5">
        <v>3.4678815457348e-12</v>
      </c>
      <c r="P55" s="5">
        <v>3.2467938464099e-12</v>
      </c>
      <c r="Q55" s="5">
        <v>3.3476035677575e-12</v>
      </c>
      <c r="R55" s="5">
        <v>3.8742934066878e-12</v>
      </c>
      <c r="S55" s="5">
        <v>3.0167666074206e-12</v>
      </c>
      <c r="T55" s="5">
        <v>3.4243004762928e-12</v>
      </c>
      <c r="U55" s="5">
        <v>4.0960992038213e-12</v>
      </c>
      <c r="V55" s="5">
        <v>3.8291858430838e-12</v>
      </c>
      <c r="W55" s="5">
        <v>3.9028001552744e-12</v>
      </c>
      <c r="X55" s="5">
        <v>3.5407197878887e-12</v>
      </c>
      <c r="Y55" s="5">
        <v>3.8440105072564e-12</v>
      </c>
      <c r="Z55" s="5">
        <v>3.7180534397163e-12</v>
      </c>
      <c r="AA55" s="5">
        <v>3.9315608709552e-12</v>
      </c>
      <c r="AB55" s="3">
        <v>0.9995311435938</v>
      </c>
      <c r="AC55" s="3">
        <v>0.29274829053419</v>
      </c>
      <c r="AD55" s="3">
        <v>0.0051080213725165</v>
      </c>
      <c r="AE55" s="5">
        <v>5.7728722435727e-13</v>
      </c>
      <c r="AF55" s="5">
        <v>1.1296360016844e-12</v>
      </c>
      <c r="AG55" s="5">
        <v>7.1004368756873e-13</v>
      </c>
      <c r="AH55" s="5">
        <v>-6.3285279224132e-13</v>
      </c>
      <c r="AI55" s="5">
        <v>-1.1338079988908e-12</v>
      </c>
      <c r="AJ55" s="5">
        <v>-1.0039787212677e-12</v>
      </c>
      <c r="AK55" s="5">
        <v>-9.0813481664422e-13</v>
      </c>
      <c r="AL55" s="5">
        <v>-7.6416000984303e-13</v>
      </c>
      <c r="AM55" s="5">
        <v>-1.6714711183245e-13</v>
      </c>
      <c r="AN55" s="5">
        <v>-7.0713998735828e-13</v>
      </c>
      <c r="AO55" s="5">
        <v>-2.8984549344136e-13</v>
      </c>
      <c r="AP55" s="5">
        <v>3.0601374488004e-14</v>
      </c>
      <c r="AQ55" s="5">
        <v>-2.9709409470094e-13</v>
      </c>
      <c r="AR55" s="5">
        <v>-1.4098670898921e-12</v>
      </c>
      <c r="AS55" s="5">
        <v>-1.3706158768244e-13</v>
      </c>
      <c r="AT55" s="5">
        <v>-7.3416325419798e-15</v>
      </c>
      <c r="AU55" s="5">
        <v>-3.772013277752e-13</v>
      </c>
      <c r="AV55" s="5">
        <v>-1.4539239261319e-13</v>
      </c>
      <c r="AW55" s="5">
        <v>7.6427471085594e-13</v>
      </c>
      <c r="AX55" s="5">
        <v>1.2565904372037e-12</v>
      </c>
      <c r="AY55" s="5">
        <v>8.7559452209603e-13</v>
      </c>
      <c r="AZ55" s="5">
        <v>-9.5085619450678e-13</v>
      </c>
      <c r="BA55" s="5">
        <v>-1.1461272994964e-12</v>
      </c>
      <c r="BB55" s="5">
        <v>-1.6620878485427e-13</v>
      </c>
      <c r="BC55" s="3">
        <v>15027936.716849</v>
      </c>
      <c r="BD55" s="3">
        <v>6116976.1389134</v>
      </c>
      <c r="BE55" s="3">
        <v>-0.0028510559850918</v>
      </c>
      <c r="BF55" s="3">
        <v>0.0050814665374062</v>
      </c>
      <c r="BG55" s="3">
        <v>0.001038284048845</v>
      </c>
      <c r="BH55" s="3">
        <v>-0.014936908816687</v>
      </c>
      <c r="BI55" s="3">
        <v>199.59240764509</v>
      </c>
      <c r="BJ55" s="3">
        <v>99.885184977396</v>
      </c>
      <c r="BK55" s="3">
        <v>184.34837461864</v>
      </c>
      <c r="BL55" s="4"/>
      <c r="BM55" s="7"/>
    </row>
    <row r="56" spans="1:65">
      <c r="A56" s="3">
        <v>35555249.931762</v>
      </c>
      <c r="B56" s="3">
        <v>0.0043940376589065</v>
      </c>
      <c r="C56" s="6">
        <f t="shared" si="1"/>
        <v>1.19457070124782e-10</v>
      </c>
      <c r="D56" s="5">
        <v>3.7023067605474e-12</v>
      </c>
      <c r="E56" s="5">
        <v>3.8216728103802e-12</v>
      </c>
      <c r="F56" s="5">
        <v>4.169741107215e-12</v>
      </c>
      <c r="G56" s="5">
        <v>3.8477313583562e-12</v>
      </c>
      <c r="H56" s="5">
        <v>3.2936719621743e-12</v>
      </c>
      <c r="I56" s="5">
        <v>3.4919953680572e-12</v>
      </c>
      <c r="J56" s="5">
        <v>3.0248343018097e-12</v>
      </c>
      <c r="K56" s="5">
        <v>3.1613742058693e-12</v>
      </c>
      <c r="L56" s="5">
        <v>3.7293760112293e-12</v>
      </c>
      <c r="M56" s="5">
        <v>3.0723195358189e-12</v>
      </c>
      <c r="N56" s="5">
        <v>3.6749758983215e-12</v>
      </c>
      <c r="O56" s="5">
        <v>3.4847743618083e-12</v>
      </c>
      <c r="P56" s="5">
        <v>3.2607176721164e-12</v>
      </c>
      <c r="Q56" s="5">
        <v>3.3631728968864e-12</v>
      </c>
      <c r="R56" s="5">
        <v>3.8995253350047e-12</v>
      </c>
      <c r="S56" s="5">
        <v>3.0271889888356e-12</v>
      </c>
      <c r="T56" s="5">
        <v>3.4432314285843e-12</v>
      </c>
      <c r="U56" s="5">
        <v>4.1205938284182e-12</v>
      </c>
      <c r="V56" s="5">
        <v>3.8526567492515e-12</v>
      </c>
      <c r="W56" s="5">
        <v>3.9273364716131e-12</v>
      </c>
      <c r="X56" s="5">
        <v>3.5582947367244e-12</v>
      </c>
      <c r="Y56" s="5">
        <v>3.8660214225509e-12</v>
      </c>
      <c r="Z56" s="5">
        <v>3.7382274500769e-12</v>
      </c>
      <c r="AA56" s="5">
        <v>3.9526146750544e-12</v>
      </c>
      <c r="AB56" s="3">
        <v>1.0000461949621</v>
      </c>
      <c r="AC56" s="3">
        <v>0.29365231543186</v>
      </c>
      <c r="AD56" s="3">
        <v>0.0052313755301693</v>
      </c>
      <c r="AE56" s="5">
        <v>5.7912639702353e-13</v>
      </c>
      <c r="AF56" s="5">
        <v>1.1314104630623e-12</v>
      </c>
      <c r="AG56" s="5">
        <v>7.0300938249356e-13</v>
      </c>
      <c r="AH56" s="5">
        <v>-6.357409016502e-13</v>
      </c>
      <c r="AI56" s="5">
        <v>-1.1480635001141e-12</v>
      </c>
      <c r="AJ56" s="5">
        <v>-1.0150989454859e-12</v>
      </c>
      <c r="AK56" s="5">
        <v>-9.2326403315117e-13</v>
      </c>
      <c r="AL56" s="5">
        <v>-7.8003195278593e-13</v>
      </c>
      <c r="AM56" s="5">
        <v>-1.8093368119576e-13</v>
      </c>
      <c r="AN56" s="5">
        <v>-7.185914990541e-13</v>
      </c>
      <c r="AO56" s="5">
        <v>-3.050329465762e-13</v>
      </c>
      <c r="AP56" s="5">
        <v>3.1220744783188e-14</v>
      </c>
      <c r="AQ56" s="5">
        <v>-3.1080750435945e-13</v>
      </c>
      <c r="AR56" s="5">
        <v>-1.4234037879069e-12</v>
      </c>
      <c r="AS56" s="5">
        <v>-1.5726351804046e-13</v>
      </c>
      <c r="AT56" s="5">
        <v>-1.8963765515543e-14</v>
      </c>
      <c r="AU56" s="5">
        <v>-3.9126929869735e-13</v>
      </c>
      <c r="AV56" s="5">
        <v>-1.4539368386076e-13</v>
      </c>
      <c r="AW56" s="5">
        <v>7.635678518084e-13</v>
      </c>
      <c r="AX56" s="5">
        <v>1.2636567712836e-12</v>
      </c>
      <c r="AY56" s="5">
        <v>8.777116905314e-13</v>
      </c>
      <c r="AZ56" s="5">
        <v>-9.5087436364653e-13</v>
      </c>
      <c r="BA56" s="5">
        <v>-1.1529151080513e-12</v>
      </c>
      <c r="BB56" s="5">
        <v>-1.591681154409e-13</v>
      </c>
      <c r="BC56" s="3">
        <v>15004145.700531</v>
      </c>
      <c r="BD56" s="3">
        <v>6165772.8136837</v>
      </c>
      <c r="BE56" s="3">
        <v>-0.0029132106768644</v>
      </c>
      <c r="BF56" s="3">
        <v>0.0052072080031415</v>
      </c>
      <c r="BG56" s="3">
        <v>0.0010655100446925</v>
      </c>
      <c r="BH56" s="3">
        <v>-0.017076650408708</v>
      </c>
      <c r="BI56" s="3">
        <v>199.5856952235</v>
      </c>
      <c r="BJ56" s="3">
        <v>99.883813642532</v>
      </c>
      <c r="BK56" s="3">
        <v>184.38226652148</v>
      </c>
      <c r="BL56" s="4"/>
      <c r="BM56" s="7"/>
    </row>
    <row r="57" spans="1:65">
      <c r="A57" s="3">
        <v>36395613.482414</v>
      </c>
      <c r="B57" s="3">
        <v>0.0044922037873347</v>
      </c>
      <c r="C57" s="6">
        <f t="shared" si="1"/>
        <v>1.19728669889999e-10</v>
      </c>
      <c r="D57" s="5">
        <v>3.7271474158172e-12</v>
      </c>
      <c r="E57" s="5">
        <v>3.8479538360747e-12</v>
      </c>
      <c r="F57" s="5">
        <v>4.2013034433565e-12</v>
      </c>
      <c r="G57" s="5">
        <v>3.8712228159655e-12</v>
      </c>
      <c r="H57" s="5">
        <v>3.3130247900118e-12</v>
      </c>
      <c r="I57" s="5">
        <v>3.5133755808105e-12</v>
      </c>
      <c r="J57" s="5">
        <v>3.0379698630651e-12</v>
      </c>
      <c r="K57" s="5">
        <v>3.1782124006179e-12</v>
      </c>
      <c r="L57" s="5">
        <v>3.756681173568e-12</v>
      </c>
      <c r="M57" s="5">
        <v>3.0863916982917e-12</v>
      </c>
      <c r="N57" s="5">
        <v>3.6980756599378e-12</v>
      </c>
      <c r="O57" s="5">
        <v>3.5041004807011e-12</v>
      </c>
      <c r="P57" s="5">
        <v>3.2767154837054e-12</v>
      </c>
      <c r="Q57" s="5">
        <v>3.3810621695271e-12</v>
      </c>
      <c r="R57" s="5">
        <v>3.9284874168424e-12</v>
      </c>
      <c r="S57" s="5">
        <v>3.0391938821452e-12</v>
      </c>
      <c r="T57" s="5">
        <v>3.465054070711e-12</v>
      </c>
      <c r="U57" s="5">
        <v>4.1484818120922e-12</v>
      </c>
      <c r="V57" s="5">
        <v>3.8795639798768e-12</v>
      </c>
      <c r="W57" s="5">
        <v>3.9554521353569e-12</v>
      </c>
      <c r="X57" s="5">
        <v>3.5783368674806e-12</v>
      </c>
      <c r="Y57" s="5">
        <v>3.8912119402693e-12</v>
      </c>
      <c r="Z57" s="5">
        <v>3.7613402352323e-12</v>
      </c>
      <c r="AA57" s="5">
        <v>3.9766129453389e-12</v>
      </c>
      <c r="AB57" s="3">
        <v>0.99936588118715</v>
      </c>
      <c r="AC57" s="3">
        <v>0.29469018753406</v>
      </c>
      <c r="AD57" s="3">
        <v>0.0053300303805715</v>
      </c>
      <c r="AE57" s="5">
        <v>5.8102795470621e-13</v>
      </c>
      <c r="AF57" s="5">
        <v>1.1332496557426e-12</v>
      </c>
      <c r="AG57" s="5">
        <v>6.9542122019754e-13</v>
      </c>
      <c r="AH57" s="5">
        <v>-6.3877166846213e-13</v>
      </c>
      <c r="AI57" s="5">
        <v>-1.1639933562475e-12</v>
      </c>
      <c r="AJ57" s="5">
        <v>-1.0272468463575e-12</v>
      </c>
      <c r="AK57" s="5">
        <v>-9.406711456841e-13</v>
      </c>
      <c r="AL57" s="5">
        <v>-7.980066677944e-13</v>
      </c>
      <c r="AM57" s="5">
        <v>-1.9631984956931e-13</v>
      </c>
      <c r="AN57" s="5">
        <v>-7.3145562003893e-13</v>
      </c>
      <c r="AO57" s="5">
        <v>-3.2174630776926e-13</v>
      </c>
      <c r="AP57" s="5">
        <v>3.1831569923028e-14</v>
      </c>
      <c r="AQ57" s="5">
        <v>-3.2633773622666e-13</v>
      </c>
      <c r="AR57" s="5">
        <v>-1.43859434047e-12</v>
      </c>
      <c r="AS57" s="5">
        <v>-1.7978720124824e-13</v>
      </c>
      <c r="AT57" s="5">
        <v>-3.2351277954384e-14</v>
      </c>
      <c r="AU57" s="5">
        <v>-4.0726938338861e-13</v>
      </c>
      <c r="AV57" s="5">
        <v>-1.4456662272351e-13</v>
      </c>
      <c r="AW57" s="5">
        <v>7.6308174188828e-13</v>
      </c>
      <c r="AX57" s="5">
        <v>1.2721169965682e-12</v>
      </c>
      <c r="AY57" s="5">
        <v>8.8054935441554e-13</v>
      </c>
      <c r="AZ57" s="5">
        <v>-9.5087703151371e-13</v>
      </c>
      <c r="BA57" s="5">
        <v>-1.1604670574883e-12</v>
      </c>
      <c r="BB57" s="5">
        <v>-1.5116535096787e-13</v>
      </c>
      <c r="BC57" s="3">
        <v>14985313.547018</v>
      </c>
      <c r="BD57" s="3">
        <v>6204368.3703223</v>
      </c>
      <c r="BE57" s="3">
        <v>-0.0029627306497227</v>
      </c>
      <c r="BF57" s="3">
        <v>0.0053078236132851</v>
      </c>
      <c r="BG57" s="3">
        <v>0.0010873407249583</v>
      </c>
      <c r="BH57" s="3">
        <v>-0.015443419626563</v>
      </c>
      <c r="BI57" s="3">
        <v>199.5848489238</v>
      </c>
      <c r="BJ57" s="3">
        <v>99.884986048904</v>
      </c>
      <c r="BK57" s="3">
        <v>184.41059505086</v>
      </c>
      <c r="BL57" s="4"/>
      <c r="BM57" s="7"/>
    </row>
    <row r="58" spans="1:65">
      <c r="A58" s="3">
        <v>37277372.070286</v>
      </c>
      <c r="B58" s="3">
        <v>0.004595376689058</v>
      </c>
      <c r="C58" s="6">
        <f t="shared" si="1"/>
        <v>1.19942702487013e-10</v>
      </c>
      <c r="D58" s="5">
        <v>3.7468375440256e-12</v>
      </c>
      <c r="E58" s="5">
        <v>3.8687779031742e-12</v>
      </c>
      <c r="F58" s="5">
        <v>4.226282669961e-12</v>
      </c>
      <c r="G58" s="5">
        <v>3.8897929058841e-12</v>
      </c>
      <c r="H58" s="5">
        <v>3.3284760439563e-12</v>
      </c>
      <c r="I58" s="5">
        <v>3.5303634412026e-12</v>
      </c>
      <c r="J58" s="5">
        <v>3.0485165217073e-12</v>
      </c>
      <c r="K58" s="5">
        <v>3.1916785425574e-12</v>
      </c>
      <c r="L58" s="5">
        <v>3.7783568747954e-12</v>
      </c>
      <c r="M58" s="5">
        <v>3.0976684566326e-12</v>
      </c>
      <c r="N58" s="5">
        <v>3.7163883917747e-12</v>
      </c>
      <c r="O58" s="5">
        <v>3.5194257496028e-12</v>
      </c>
      <c r="P58" s="5">
        <v>3.2894687341299e-12</v>
      </c>
      <c r="Q58" s="5">
        <v>3.395307427293e-12</v>
      </c>
      <c r="R58" s="5">
        <v>3.9514513487788e-12</v>
      </c>
      <c r="S58" s="5">
        <v>3.048830317001e-12</v>
      </c>
      <c r="T58" s="5">
        <v>3.4824527637783e-12</v>
      </c>
      <c r="U58" s="5">
        <v>4.170464826248e-12</v>
      </c>
      <c r="V58" s="5">
        <v>3.9008876348466e-12</v>
      </c>
      <c r="W58" s="5">
        <v>3.977719220197e-12</v>
      </c>
      <c r="X58" s="5">
        <v>3.594163342553e-12</v>
      </c>
      <c r="Y58" s="5">
        <v>3.9111589723287e-12</v>
      </c>
      <c r="Z58" s="5">
        <v>3.7796564521042e-12</v>
      </c>
      <c r="AA58" s="5">
        <v>3.9955519586271e-12</v>
      </c>
      <c r="AB58" s="3">
        <v>0.99931449626724</v>
      </c>
      <c r="AC58" s="3">
        <v>0.29547005970114</v>
      </c>
      <c r="AD58" s="3">
        <v>0.0054336955812503</v>
      </c>
      <c r="AE58" s="5">
        <v>5.8223261374488e-13</v>
      </c>
      <c r="AF58" s="5">
        <v>1.1346140354692e-12</v>
      </c>
      <c r="AG58" s="5">
        <v>6.8749043797342e-13</v>
      </c>
      <c r="AH58" s="5">
        <v>-6.4299637070267e-13</v>
      </c>
      <c r="AI58" s="5">
        <v>-1.1779414588965e-12</v>
      </c>
      <c r="AJ58" s="5">
        <v>-1.0397680954748e-12</v>
      </c>
      <c r="AK58" s="5">
        <v>-9.5510429573055e-13</v>
      </c>
      <c r="AL58" s="5">
        <v>-8.1318634447465e-13</v>
      </c>
      <c r="AM58" s="5">
        <v>-2.1186315477265e-13</v>
      </c>
      <c r="AN58" s="5">
        <v>-7.4276295784751e-13</v>
      </c>
      <c r="AO58" s="5">
        <v>-3.3928269123643e-13</v>
      </c>
      <c r="AP58" s="5">
        <v>3.135960888091e-14</v>
      </c>
      <c r="AQ58" s="5">
        <v>-3.3976351311903e-13</v>
      </c>
      <c r="AR58" s="5">
        <v>-1.4522086192682e-12</v>
      </c>
      <c r="AS58" s="5">
        <v>-2.0215492073397e-13</v>
      </c>
      <c r="AT58" s="5">
        <v>-4.3646429897057e-14</v>
      </c>
      <c r="AU58" s="5">
        <v>-4.2129298962587e-13</v>
      </c>
      <c r="AV58" s="5">
        <v>-1.4512591443026e-13</v>
      </c>
      <c r="AW58" s="5">
        <v>7.6155312542102e-13</v>
      </c>
      <c r="AX58" s="5">
        <v>1.2787404439408e-12</v>
      </c>
      <c r="AY58" s="5">
        <v>8.8078180243482e-13</v>
      </c>
      <c r="AZ58" s="5">
        <v>-9.5148589982836e-13</v>
      </c>
      <c r="BA58" s="5">
        <v>-1.168837204828e-12</v>
      </c>
      <c r="BB58" s="5">
        <v>-1.4597893426867e-13</v>
      </c>
      <c r="BC58" s="3">
        <v>14965703.771706</v>
      </c>
      <c r="BD58" s="3">
        <v>6244526.2009933</v>
      </c>
      <c r="BE58" s="3">
        <v>-0.0030146071052766</v>
      </c>
      <c r="BF58" s="3">
        <v>0.0054135841212556</v>
      </c>
      <c r="BG58" s="3">
        <v>0.0011103366465534</v>
      </c>
      <c r="BH58" s="3">
        <v>-0.015694696688426</v>
      </c>
      <c r="BI58" s="3">
        <v>199.5814306739</v>
      </c>
      <c r="BJ58" s="3">
        <v>99.884761389357</v>
      </c>
      <c r="BK58" s="3">
        <v>184.44014752709</v>
      </c>
      <c r="BL58" s="4"/>
      <c r="BM58" s="7"/>
    </row>
    <row r="59" spans="1:65">
      <c r="A59" s="3">
        <v>38224525.310148</v>
      </c>
      <c r="B59" s="3">
        <v>0.0047063963407501</v>
      </c>
      <c r="C59" s="6">
        <f t="shared" si="1"/>
        <v>1.20178576222243e-10</v>
      </c>
      <c r="D59" s="5">
        <v>3.7671029377658e-12</v>
      </c>
      <c r="E59" s="5">
        <v>3.8902065185801e-12</v>
      </c>
      <c r="F59" s="5">
        <v>4.2520013706786e-12</v>
      </c>
      <c r="G59" s="5">
        <v>3.9088125387378e-12</v>
      </c>
      <c r="H59" s="5">
        <v>3.3444625289373e-12</v>
      </c>
      <c r="I59" s="5">
        <v>3.5478630338541e-12</v>
      </c>
      <c r="J59" s="5">
        <v>3.0594319109412e-12</v>
      </c>
      <c r="K59" s="5">
        <v>3.2056257520258e-12</v>
      </c>
      <c r="L59" s="5">
        <v>3.8007410530656e-12</v>
      </c>
      <c r="M59" s="5">
        <v>3.1093366804714e-12</v>
      </c>
      <c r="N59" s="5">
        <v>3.73525282566e-12</v>
      </c>
      <c r="O59" s="5">
        <v>3.5351741050792e-12</v>
      </c>
      <c r="P59" s="5">
        <v>3.3026241770776e-12</v>
      </c>
      <c r="Q59" s="5">
        <v>3.410001269852e-12</v>
      </c>
      <c r="R59" s="5">
        <v>3.9751346572356e-12</v>
      </c>
      <c r="S59" s="5">
        <v>3.0587819395216e-12</v>
      </c>
      <c r="T59" s="5">
        <v>3.5004525450349e-12</v>
      </c>
      <c r="U59" s="5">
        <v>4.192972336568e-12</v>
      </c>
      <c r="V59" s="5">
        <v>3.922842032551e-12</v>
      </c>
      <c r="W59" s="5">
        <v>4.0006470884691e-12</v>
      </c>
      <c r="X59" s="5">
        <v>3.6103971182312e-12</v>
      </c>
      <c r="Y59" s="5">
        <v>3.9316634901621e-12</v>
      </c>
      <c r="Z59" s="5">
        <v>3.7985205777582e-12</v>
      </c>
      <c r="AA59" s="5">
        <v>4.0149583623955e-12</v>
      </c>
      <c r="AB59" s="3">
        <v>0.99969038595962</v>
      </c>
      <c r="AC59" s="3">
        <v>0.29628426592105</v>
      </c>
      <c r="AD59" s="3">
        <v>0.0055452269808487</v>
      </c>
      <c r="AE59" s="5">
        <v>5.8322530889664e-13</v>
      </c>
      <c r="AF59" s="5">
        <v>1.1359136876508e-12</v>
      </c>
      <c r="AG59" s="5">
        <v>6.8083289932102e-13</v>
      </c>
      <c r="AH59" s="5">
        <v>-6.4636858579183e-13</v>
      </c>
      <c r="AI59" s="5">
        <v>-1.1915737664233e-12</v>
      </c>
      <c r="AJ59" s="5">
        <v>-1.0510677351454e-12</v>
      </c>
      <c r="AK59" s="5">
        <v>-9.6972214458034e-13</v>
      </c>
      <c r="AL59" s="5">
        <v>-8.2833608385044e-13</v>
      </c>
      <c r="AM59" s="5">
        <v>-2.2547423906425e-13</v>
      </c>
      <c r="AN59" s="5">
        <v>-7.5353014507626e-13</v>
      </c>
      <c r="AO59" s="5">
        <v>-3.5437838725995e-13</v>
      </c>
      <c r="AP59" s="5">
        <v>3.1301124649044e-14</v>
      </c>
      <c r="AQ59" s="5">
        <v>-3.5285385092324e-13</v>
      </c>
      <c r="AR59" s="5">
        <v>-1.4654027284942e-12</v>
      </c>
      <c r="AS59" s="5">
        <v>-2.2237925673798e-13</v>
      </c>
      <c r="AT59" s="5">
        <v>-5.4956865857325e-14</v>
      </c>
      <c r="AU59" s="5">
        <v>-4.348963639901e-13</v>
      </c>
      <c r="AV59" s="5">
        <v>-1.4549476412778e-13</v>
      </c>
      <c r="AW59" s="5">
        <v>7.6034340502718e-13</v>
      </c>
      <c r="AX59" s="5">
        <v>1.2851308220238e-12</v>
      </c>
      <c r="AY59" s="5">
        <v>8.8273119877253e-13</v>
      </c>
      <c r="AZ59" s="5">
        <v>-9.5194073581608e-13</v>
      </c>
      <c r="BA59" s="5">
        <v>-1.175866041258e-12</v>
      </c>
      <c r="BB59" s="5">
        <v>-1.4033866324846e-13</v>
      </c>
      <c r="BC59" s="3">
        <v>14944808.246</v>
      </c>
      <c r="BD59" s="3">
        <v>6287277.7289233</v>
      </c>
      <c r="BE59" s="3">
        <v>-0.0030702357730767</v>
      </c>
      <c r="BF59" s="3">
        <v>0.0055274116490865</v>
      </c>
      <c r="BG59" s="3">
        <v>0.0011351407361684</v>
      </c>
      <c r="BH59" s="3">
        <v>-0.016014531748926</v>
      </c>
      <c r="BI59" s="3">
        <v>199.57755834538</v>
      </c>
      <c r="BJ59" s="3">
        <v>99.884972326509</v>
      </c>
      <c r="BK59" s="3">
        <v>184.47205651474</v>
      </c>
      <c r="BL59" s="4"/>
      <c r="BM59" s="7"/>
    </row>
    <row r="60" spans="1:65">
      <c r="A60" s="3">
        <v>39285733.678264</v>
      </c>
      <c r="B60" s="3">
        <v>0.0048310231531739</v>
      </c>
      <c r="C60" s="6">
        <f t="shared" si="1"/>
        <v>1.2043569428415e-10</v>
      </c>
      <c r="D60" s="5">
        <v>3.7885459491792e-12</v>
      </c>
      <c r="E60" s="5">
        <v>3.9128748929746e-12</v>
      </c>
      <c r="F60" s="5">
        <v>4.2792006154984e-12</v>
      </c>
      <c r="G60" s="5">
        <v>3.9288619000793e-12</v>
      </c>
      <c r="H60" s="5">
        <v>3.3614713549515e-12</v>
      </c>
      <c r="I60" s="5">
        <v>3.5664075304249e-12</v>
      </c>
      <c r="J60" s="5">
        <v>3.0710753880628e-12</v>
      </c>
      <c r="K60" s="5">
        <v>3.2204852845966e-12</v>
      </c>
      <c r="L60" s="5">
        <v>3.824484071018e-12</v>
      </c>
      <c r="M60" s="5">
        <v>3.1217758346348e-12</v>
      </c>
      <c r="N60" s="5">
        <v>3.7552185791194e-12</v>
      </c>
      <c r="O60" s="5">
        <v>3.5518211710214e-12</v>
      </c>
      <c r="P60" s="5">
        <v>3.316595465948e-12</v>
      </c>
      <c r="Q60" s="5">
        <v>3.4255922695086e-12</v>
      </c>
      <c r="R60" s="5">
        <v>4.0002248314831e-12</v>
      </c>
      <c r="S60" s="5">
        <v>3.0693870549424e-12</v>
      </c>
      <c r="T60" s="5">
        <v>3.5196046858485e-12</v>
      </c>
      <c r="U60" s="5">
        <v>4.2166389878413e-12</v>
      </c>
      <c r="V60" s="5">
        <v>3.9460795108424e-12</v>
      </c>
      <c r="W60" s="5">
        <v>4.0248992267081e-12</v>
      </c>
      <c r="X60" s="5">
        <v>3.6275041079629e-12</v>
      </c>
      <c r="Y60" s="5">
        <v>3.9533363207202e-12</v>
      </c>
      <c r="Z60" s="5">
        <v>3.8184825265727e-12</v>
      </c>
      <c r="AA60" s="5">
        <v>4.0353990330608e-12</v>
      </c>
      <c r="AB60" s="3">
        <v>0.99983605996337</v>
      </c>
      <c r="AC60" s="3">
        <v>0.29714079258097</v>
      </c>
      <c r="AD60" s="3">
        <v>0.0056704080459002</v>
      </c>
      <c r="AE60" s="5">
        <v>5.8488202465218e-13</v>
      </c>
      <c r="AF60" s="5">
        <v>1.1378659796355e-12</v>
      </c>
      <c r="AG60" s="5">
        <v>6.7505775373861e-13</v>
      </c>
      <c r="AH60" s="5">
        <v>-6.4889198077654e-13</v>
      </c>
      <c r="AI60" s="5">
        <v>-1.2053439944392e-12</v>
      </c>
      <c r="AJ60" s="5">
        <v>-1.0618612350735e-12</v>
      </c>
      <c r="AK60" s="5">
        <v>-9.8503354526988e-13</v>
      </c>
      <c r="AL60" s="5">
        <v>-8.4401642260026e-13</v>
      </c>
      <c r="AM60" s="5">
        <v>-2.3934297817504e-13</v>
      </c>
      <c r="AN60" s="5">
        <v>-7.6479762877209e-13</v>
      </c>
      <c r="AO60" s="5">
        <v>-3.6950959362779e-13</v>
      </c>
      <c r="AP60" s="5">
        <v>3.1984139761227e-14</v>
      </c>
      <c r="AQ60" s="5">
        <v>-3.6630475726648e-13</v>
      </c>
      <c r="AR60" s="5">
        <v>-1.4786403945394e-12</v>
      </c>
      <c r="AS60" s="5">
        <v>-2.4282797418366e-13</v>
      </c>
      <c r="AT60" s="5">
        <v>-6.6723477276453e-14</v>
      </c>
      <c r="AU60" s="5">
        <v>-4.4881013360911e-13</v>
      </c>
      <c r="AV60" s="5">
        <v>-1.4430498248102e-13</v>
      </c>
      <c r="AW60" s="5">
        <v>7.6008030792897e-13</v>
      </c>
      <c r="AX60" s="5">
        <v>1.2927411237615e-12</v>
      </c>
      <c r="AY60" s="5">
        <v>8.8499298843454e-13</v>
      </c>
      <c r="AZ60" s="5">
        <v>-9.5178571399333e-13</v>
      </c>
      <c r="BA60" s="5">
        <v>-1.1828336797308e-12</v>
      </c>
      <c r="BB60" s="5">
        <v>-1.3358947682282e-13</v>
      </c>
      <c r="BC60" s="3">
        <v>14921599.677931</v>
      </c>
      <c r="BD60" s="3">
        <v>6334708.9865363</v>
      </c>
      <c r="BE60" s="3">
        <v>-0.0031324503011813</v>
      </c>
      <c r="BF60" s="3">
        <v>0.0056552190156807</v>
      </c>
      <c r="BG60" s="3">
        <v>0.0011630533108041</v>
      </c>
      <c r="BH60" s="3">
        <v>-0.01638011134611</v>
      </c>
      <c r="BI60" s="3">
        <v>199.57328043548</v>
      </c>
      <c r="BJ60" s="3">
        <v>99.885132033924</v>
      </c>
      <c r="BK60" s="3">
        <v>184.50821029596</v>
      </c>
      <c r="BL60" s="4"/>
      <c r="BM60" s="7"/>
    </row>
    <row r="61" spans="1:65">
      <c r="A61" s="3">
        <v>40026801.574605</v>
      </c>
      <c r="B61" s="3">
        <v>0.0049182056378818</v>
      </c>
      <c r="C61" s="6">
        <f t="shared" si="1"/>
        <v>1.20675149612134e-10</v>
      </c>
      <c r="D61" s="5">
        <v>3.8080327380175e-12</v>
      </c>
      <c r="E61" s="5">
        <v>3.9334736043358e-12</v>
      </c>
      <c r="F61" s="5">
        <v>4.3039235031594e-12</v>
      </c>
      <c r="G61" s="5">
        <v>3.9470022884787e-12</v>
      </c>
      <c r="H61" s="5">
        <v>3.3770190011529e-12</v>
      </c>
      <c r="I61" s="5">
        <v>3.5832783077427e-12</v>
      </c>
      <c r="J61" s="5">
        <v>3.0817257868288e-12</v>
      </c>
      <c r="K61" s="5">
        <v>3.2340764252999e-12</v>
      </c>
      <c r="L61" s="5">
        <v>3.8461295390889e-12</v>
      </c>
      <c r="M61" s="5">
        <v>3.1331468957981e-12</v>
      </c>
      <c r="N61" s="5">
        <v>3.7733679678556e-12</v>
      </c>
      <c r="O61" s="5">
        <v>3.5669243141042e-12</v>
      </c>
      <c r="P61" s="5">
        <v>3.3293143356581e-12</v>
      </c>
      <c r="Q61" s="5">
        <v>3.4397873384072e-12</v>
      </c>
      <c r="R61" s="5">
        <v>4.0230745266869e-12</v>
      </c>
      <c r="S61" s="5">
        <v>3.0790710354884e-12</v>
      </c>
      <c r="T61" s="5">
        <v>3.5371129659289e-12</v>
      </c>
      <c r="U61" s="5">
        <v>4.238021218847e-12</v>
      </c>
      <c r="V61" s="5">
        <v>3.9672005291374e-12</v>
      </c>
      <c r="W61" s="5">
        <v>4.046944117486e-12</v>
      </c>
      <c r="X61" s="5">
        <v>3.6429748697559e-12</v>
      </c>
      <c r="Y61" s="5">
        <v>3.9729925787121e-12</v>
      </c>
      <c r="Z61" s="5">
        <v>3.8366195709085e-12</v>
      </c>
      <c r="AA61" s="5">
        <v>4.0538741271215e-12</v>
      </c>
      <c r="AB61" s="3">
        <v>0.99947658951681</v>
      </c>
      <c r="AC61" s="3">
        <v>0.29793014375473</v>
      </c>
      <c r="AD61" s="3">
        <v>0.0057579674950087</v>
      </c>
      <c r="AE61" s="5">
        <v>5.8569232012422e-13</v>
      </c>
      <c r="AF61" s="5">
        <v>1.1392284007149e-12</v>
      </c>
      <c r="AG61" s="5">
        <v>6.6819870381221e-13</v>
      </c>
      <c r="AH61" s="5">
        <v>-6.5173072355609e-13</v>
      </c>
      <c r="AI61" s="5">
        <v>-1.2182560332956e-12</v>
      </c>
      <c r="AJ61" s="5">
        <v>-1.0717483080817e-12</v>
      </c>
      <c r="AK61" s="5">
        <v>-9.9917120363036e-13</v>
      </c>
      <c r="AL61" s="5">
        <v>-8.5832094345095e-13</v>
      </c>
      <c r="AM61" s="5">
        <v>-2.5226531078311e-13</v>
      </c>
      <c r="AN61" s="5">
        <v>-7.7499861861538e-13</v>
      </c>
      <c r="AO61" s="5">
        <v>-3.8358432505729e-13</v>
      </c>
      <c r="AP61" s="5">
        <v>3.1798450898085e-14</v>
      </c>
      <c r="AQ61" s="5">
        <v>-3.7877536179457e-13</v>
      </c>
      <c r="AR61" s="5">
        <v>-1.4908540244359e-12</v>
      </c>
      <c r="AS61" s="5">
        <v>-2.6213372784274e-13</v>
      </c>
      <c r="AT61" s="5">
        <v>-7.7652211442864e-14</v>
      </c>
      <c r="AU61" s="5">
        <v>-4.6189514250801e-13</v>
      </c>
      <c r="AV61" s="5">
        <v>-1.4447724867843e-13</v>
      </c>
      <c r="AW61" s="5">
        <v>7.5886837755204e-13</v>
      </c>
      <c r="AX61" s="5">
        <v>1.2989763086693e-12</v>
      </c>
      <c r="AY61" s="5">
        <v>8.8582305326221e-13</v>
      </c>
      <c r="AZ61" s="5">
        <v>-9.5236143514642e-13</v>
      </c>
      <c r="BA61" s="5">
        <v>-1.1899465078113e-12</v>
      </c>
      <c r="BB61" s="5">
        <v>-1.2866802510007e-13</v>
      </c>
      <c r="BC61" s="3">
        <v>14905521.318481</v>
      </c>
      <c r="BD61" s="3">
        <v>6367532.0133951</v>
      </c>
      <c r="BE61" s="3">
        <v>-0.0031758262857494</v>
      </c>
      <c r="BF61" s="3">
        <v>0.0057446474949444</v>
      </c>
      <c r="BG61" s="3">
        <v>0.0011826187642134</v>
      </c>
      <c r="BH61" s="3">
        <v>-0.016502297271104</v>
      </c>
      <c r="BI61" s="3">
        <v>199.57042299455</v>
      </c>
      <c r="BJ61" s="3">
        <v>99.884807938828</v>
      </c>
      <c r="BK61" s="3">
        <v>184.53360372094</v>
      </c>
      <c r="BL61" s="4"/>
      <c r="BM61" s="7"/>
    </row>
    <row r="62" spans="1:65">
      <c r="A62" s="3">
        <v>40730606.81645</v>
      </c>
      <c r="B62" s="3">
        <v>0.0050011199936194</v>
      </c>
      <c r="C62" s="6">
        <f t="shared" si="1"/>
        <v>1.20859304886839e-10</v>
      </c>
      <c r="D62" s="5">
        <v>3.8224778248891e-12</v>
      </c>
      <c r="E62" s="5">
        <v>3.9487287451127e-12</v>
      </c>
      <c r="F62" s="5">
        <v>4.3222106284364e-12</v>
      </c>
      <c r="G62" s="5">
        <v>3.9604072516074e-12</v>
      </c>
      <c r="H62" s="5">
        <v>3.3886088604019e-12</v>
      </c>
      <c r="I62" s="5">
        <v>3.59580174833e-12</v>
      </c>
      <c r="J62" s="5">
        <v>3.0897147616155e-12</v>
      </c>
      <c r="K62" s="5">
        <v>3.2442222091125e-12</v>
      </c>
      <c r="L62" s="5">
        <v>3.86217847355e-12</v>
      </c>
      <c r="M62" s="5">
        <v>3.1416563722356e-12</v>
      </c>
      <c r="N62" s="5">
        <v>3.7868243572526e-12</v>
      </c>
      <c r="O62" s="5">
        <v>3.5781298789113e-12</v>
      </c>
      <c r="P62" s="5">
        <v>3.3388003876151e-12</v>
      </c>
      <c r="Q62" s="5">
        <v>3.4503497799835e-12</v>
      </c>
      <c r="R62" s="5">
        <v>4.0399973264739e-12</v>
      </c>
      <c r="S62" s="5">
        <v>3.0863253324788e-12</v>
      </c>
      <c r="T62" s="5">
        <v>3.5501435494524e-12</v>
      </c>
      <c r="U62" s="5">
        <v>4.2538071443505e-12</v>
      </c>
      <c r="V62" s="5">
        <v>3.9828590479707e-12</v>
      </c>
      <c r="W62" s="5">
        <v>4.0632681146241e-12</v>
      </c>
      <c r="X62" s="5">
        <v>3.6544072399846e-12</v>
      </c>
      <c r="Y62" s="5">
        <v>3.9875620367732e-12</v>
      </c>
      <c r="Z62" s="5">
        <v>3.8500693515611e-12</v>
      </c>
      <c r="AA62" s="5">
        <v>4.0675259885061e-12</v>
      </c>
      <c r="AB62" s="3">
        <v>0.99969973518626</v>
      </c>
      <c r="AC62" s="3">
        <v>0.29847484332819</v>
      </c>
      <c r="AD62" s="3">
        <v>0.0058412311931762</v>
      </c>
      <c r="AE62" s="5">
        <v>5.8664248856773e-13</v>
      </c>
      <c r="AF62" s="5">
        <v>1.1405400425215e-12</v>
      </c>
      <c r="AG62" s="5">
        <v>6.6413368509694e-13</v>
      </c>
      <c r="AH62" s="5">
        <v>-6.542043715068e-13</v>
      </c>
      <c r="AI62" s="5">
        <v>-1.2279937204853e-12</v>
      </c>
      <c r="AJ62" s="5">
        <v>-1.0809812594908e-12</v>
      </c>
      <c r="AK62" s="5">
        <v>-1.0097790943362e-12</v>
      </c>
      <c r="AL62" s="5">
        <v>-8.6940630831424e-13</v>
      </c>
      <c r="AM62" s="5">
        <v>-2.6285626008872e-13</v>
      </c>
      <c r="AN62" s="5">
        <v>-7.8296667683867e-13</v>
      </c>
      <c r="AO62" s="5">
        <v>-3.9531543267329e-13</v>
      </c>
      <c r="AP62" s="5">
        <v>3.1646995028631e-14</v>
      </c>
      <c r="AQ62" s="5">
        <v>-3.8832441208032e-13</v>
      </c>
      <c r="AR62" s="5">
        <v>-1.5003852791411e-12</v>
      </c>
      <c r="AS62" s="5">
        <v>-2.7787681993365e-13</v>
      </c>
      <c r="AT62" s="5">
        <v>-8.585779056515e-14</v>
      </c>
      <c r="AU62" s="5">
        <v>-4.7182565277798e-13</v>
      </c>
      <c r="AV62" s="5">
        <v>-1.4423929054756e-13</v>
      </c>
      <c r="AW62" s="5">
        <v>7.5855825669911e-13</v>
      </c>
      <c r="AX62" s="5">
        <v>1.3044361168901e-12</v>
      </c>
      <c r="AY62" s="5">
        <v>8.8799853347464e-13</v>
      </c>
      <c r="AZ62" s="5">
        <v>-9.5225443950644e-13</v>
      </c>
      <c r="BA62" s="5">
        <v>-1.1951780772548e-12</v>
      </c>
      <c r="BB62" s="5">
        <v>-1.2405066875119e-13</v>
      </c>
      <c r="BC62" s="3">
        <v>14890347.677041</v>
      </c>
      <c r="BD62" s="3">
        <v>6398478.9201815</v>
      </c>
      <c r="BE62" s="3">
        <v>-0.003216971110605</v>
      </c>
      <c r="BF62" s="3">
        <v>0.0058297089072495</v>
      </c>
      <c r="BG62" s="3">
        <v>0.0012012621897063</v>
      </c>
      <c r="BH62" s="3">
        <v>-0.016870543453389</v>
      </c>
      <c r="BI62" s="3">
        <v>199.56768561525</v>
      </c>
      <c r="BJ62" s="3">
        <v>99.88496678909</v>
      </c>
      <c r="BK62" s="3">
        <v>184.55807994895</v>
      </c>
      <c r="BL62" s="4"/>
      <c r="BM62" s="7"/>
    </row>
    <row r="63" spans="1:65">
      <c r="A63" s="3">
        <v>41723692.638015</v>
      </c>
      <c r="B63" s="3">
        <v>0.0051182983043348</v>
      </c>
      <c r="C63" s="6">
        <f t="shared" si="1"/>
        <v>1.21066564351236e-10</v>
      </c>
      <c r="D63" s="5">
        <v>3.8416071622689e-12</v>
      </c>
      <c r="E63" s="5">
        <v>3.9689310134571e-12</v>
      </c>
      <c r="F63" s="5">
        <v>4.346451027626e-12</v>
      </c>
      <c r="G63" s="5">
        <v>3.9781058639381e-12</v>
      </c>
      <c r="H63" s="5">
        <v>3.4040286415027e-12</v>
      </c>
      <c r="I63" s="5">
        <v>3.6124028057952e-12</v>
      </c>
      <c r="J63" s="5">
        <v>3.1003375704726e-12</v>
      </c>
      <c r="K63" s="5">
        <v>3.2577312061171e-12</v>
      </c>
      <c r="L63" s="5">
        <v>3.8835076507396e-12</v>
      </c>
      <c r="M63" s="5">
        <v>3.1529796843331e-12</v>
      </c>
      <c r="N63" s="5">
        <v>3.8046612061709e-12</v>
      </c>
      <c r="O63" s="5">
        <v>3.5929444980464e-12</v>
      </c>
      <c r="P63" s="5">
        <v>3.3513809628314e-12</v>
      </c>
      <c r="Q63" s="5">
        <v>3.4643585177116e-12</v>
      </c>
      <c r="R63" s="5">
        <v>4.0624633136847e-12</v>
      </c>
      <c r="S63" s="5">
        <v>3.0959643302536e-12</v>
      </c>
      <c r="T63" s="5">
        <v>3.5674856504673e-12</v>
      </c>
      <c r="U63" s="5">
        <v>4.274606545812e-12</v>
      </c>
      <c r="V63" s="5">
        <v>4.0036026493082e-12</v>
      </c>
      <c r="W63" s="5">
        <v>4.0849024263129e-12</v>
      </c>
      <c r="X63" s="5">
        <v>3.6695143506948e-12</v>
      </c>
      <c r="Y63" s="5">
        <v>4.0068304178531e-12</v>
      </c>
      <c r="Z63" s="5">
        <v>3.8678851460643e-12</v>
      </c>
      <c r="AA63" s="5">
        <v>4.0855335232563e-12</v>
      </c>
      <c r="AB63" s="3">
        <v>0.99985981534399</v>
      </c>
      <c r="AC63" s="3">
        <v>0.29921858744601</v>
      </c>
      <c r="AD63" s="3">
        <v>0.0059588872079818</v>
      </c>
      <c r="AE63" s="5">
        <v>5.8763258694885e-13</v>
      </c>
      <c r="AF63" s="5">
        <v>1.1421309291575e-12</v>
      </c>
      <c r="AG63" s="5">
        <v>6.5928428560987e-13</v>
      </c>
      <c r="AH63" s="5">
        <v>-6.566100234326e-13</v>
      </c>
      <c r="AI63" s="5">
        <v>-1.2404274250585e-12</v>
      </c>
      <c r="AJ63" s="5">
        <v>-1.0910940448356e-12</v>
      </c>
      <c r="AK63" s="5">
        <v>-1.0237298003209e-12</v>
      </c>
      <c r="AL63" s="5">
        <v>-8.8356223533801e-13</v>
      </c>
      <c r="AM63" s="5">
        <v>-2.7536883677956e-13</v>
      </c>
      <c r="AN63" s="5">
        <v>-7.9296919505983e-13</v>
      </c>
      <c r="AO63" s="5">
        <v>-4.0893213393264e-13</v>
      </c>
      <c r="AP63" s="5">
        <v>3.1911749150017e-14</v>
      </c>
      <c r="AQ63" s="5">
        <v>-4.0040874670908e-13</v>
      </c>
      <c r="AR63" s="5">
        <v>-1.5124018756142e-12</v>
      </c>
      <c r="AS63" s="5">
        <v>-2.9658081548247e-13</v>
      </c>
      <c r="AT63" s="5">
        <v>-9.6580446796404e-14</v>
      </c>
      <c r="AU63" s="5">
        <v>-4.8441675412223e-13</v>
      </c>
      <c r="AV63" s="5">
        <v>-1.4342882896795e-13</v>
      </c>
      <c r="AW63" s="5">
        <v>7.5810474935803e-13</v>
      </c>
      <c r="AX63" s="5">
        <v>1.3110648977782e-12</v>
      </c>
      <c r="AY63" s="5">
        <v>8.9033598238503e-13</v>
      </c>
      <c r="AZ63" s="5">
        <v>-9.5230724735689e-13</v>
      </c>
      <c r="BA63" s="5">
        <v>-1.2015194650784e-12</v>
      </c>
      <c r="BB63" s="5">
        <v>-1.1841464539739e-13</v>
      </c>
      <c r="BC63" s="3">
        <v>14869088.990329</v>
      </c>
      <c r="BD63" s="3">
        <v>6441786.5474641</v>
      </c>
      <c r="BE63" s="3">
        <v>-0.003274945038668</v>
      </c>
      <c r="BF63" s="3">
        <v>0.0059499383957723</v>
      </c>
      <c r="BG63" s="3">
        <v>0.0012276593320535</v>
      </c>
      <c r="BH63" s="3">
        <v>-0.017099798817809</v>
      </c>
      <c r="BI63" s="3">
        <v>199.56370543826</v>
      </c>
      <c r="BJ63" s="3">
        <v>99.884930351052</v>
      </c>
      <c r="BK63" s="3">
        <v>184.59245649145</v>
      </c>
      <c r="BL63" s="4"/>
      <c r="BM63" s="7"/>
    </row>
    <row r="64" spans="1:65">
      <c r="A64" s="3">
        <v>42994765.276954</v>
      </c>
      <c r="B64" s="3">
        <v>0.0052685891406873</v>
      </c>
      <c r="C64" s="6">
        <f t="shared" si="1"/>
        <v>1.21330376101347e-10</v>
      </c>
      <c r="D64" s="5">
        <v>3.8648137960454e-12</v>
      </c>
      <c r="E64" s="5">
        <v>3.9934329671269e-12</v>
      </c>
      <c r="F64" s="5">
        <v>4.3758588978326e-12</v>
      </c>
      <c r="G64" s="5">
        <v>3.9994940444869e-12</v>
      </c>
      <c r="H64" s="5">
        <v>3.4228548390932e-12</v>
      </c>
      <c r="I64" s="5">
        <v>3.6325699310263e-12</v>
      </c>
      <c r="J64" s="5">
        <v>3.1133342710757e-12</v>
      </c>
      <c r="K64" s="5">
        <v>3.2742385319218e-12</v>
      </c>
      <c r="L64" s="5">
        <v>3.9094543323006e-12</v>
      </c>
      <c r="M64" s="5">
        <v>3.1668251395569e-12</v>
      </c>
      <c r="N64" s="5">
        <v>3.8263146322175e-12</v>
      </c>
      <c r="O64" s="5">
        <v>3.6109035148813e-12</v>
      </c>
      <c r="P64" s="5">
        <v>3.3666979954447e-12</v>
      </c>
      <c r="Q64" s="5">
        <v>3.4814003955005e-12</v>
      </c>
      <c r="R64" s="5">
        <v>4.0897595716928e-12</v>
      </c>
      <c r="S64" s="5">
        <v>3.1077500227632e-12</v>
      </c>
      <c r="T64" s="5">
        <v>3.5886446797621e-12</v>
      </c>
      <c r="U64" s="5">
        <v>4.2996880821142e-12</v>
      </c>
      <c r="V64" s="5">
        <v>4.028774484392e-12</v>
      </c>
      <c r="W64" s="5">
        <v>4.1111462387664e-12</v>
      </c>
      <c r="X64" s="5">
        <v>3.6877659704631e-12</v>
      </c>
      <c r="Y64" s="5">
        <v>4.0301722241271e-12</v>
      </c>
      <c r="Z64" s="5">
        <v>3.8895057684206e-12</v>
      </c>
      <c r="AA64" s="5">
        <v>4.1072681166904e-12</v>
      </c>
      <c r="AB64" s="3">
        <v>0.99992904025556</v>
      </c>
      <c r="AC64" s="3">
        <v>0.30011568462266</v>
      </c>
      <c r="AD64" s="3">
        <v>0.0061097604497534</v>
      </c>
      <c r="AE64" s="5">
        <v>5.8883808265411e-13</v>
      </c>
      <c r="AF64" s="5">
        <v>1.1442264307468e-12</v>
      </c>
      <c r="AG64" s="5">
        <v>6.5331090420799e-13</v>
      </c>
      <c r="AH64" s="5">
        <v>-6.5939517413063e-13</v>
      </c>
      <c r="AI64" s="5">
        <v>-1.2554175267774e-12</v>
      </c>
      <c r="AJ64" s="5">
        <v>-1.103452763866e-12</v>
      </c>
      <c r="AK64" s="5">
        <v>-1.0406791186096e-12</v>
      </c>
      <c r="AL64" s="5">
        <v>-9.0072449790483e-13</v>
      </c>
      <c r="AM64" s="5">
        <v>-2.9047433363254e-13</v>
      </c>
      <c r="AN64" s="5">
        <v>-8.0501703114966e-13</v>
      </c>
      <c r="AO64" s="5">
        <v>-4.2536212192181e-13</v>
      </c>
      <c r="AP64" s="5">
        <v>3.2065129733489e-14</v>
      </c>
      <c r="AQ64" s="5">
        <v>-4.1505710104309e-13</v>
      </c>
      <c r="AR64" s="5">
        <v>-1.5268146112039e-12</v>
      </c>
      <c r="AS64" s="5">
        <v>-3.1943610399099e-13</v>
      </c>
      <c r="AT64" s="5">
        <v>-1.0956231771703e-13</v>
      </c>
      <c r="AU64" s="5">
        <v>-4.9970228197436e-13</v>
      </c>
      <c r="AV64" s="5">
        <v>-1.4253808654116e-13</v>
      </c>
      <c r="AW64" s="5">
        <v>7.5756456308857e-13</v>
      </c>
      <c r="AX64" s="5">
        <v>1.3191759870714e-12</v>
      </c>
      <c r="AY64" s="5">
        <v>8.9341235589536e-13</v>
      </c>
      <c r="AZ64" s="5">
        <v>-9.5235039884063e-13</v>
      </c>
      <c r="BA64" s="5">
        <v>-1.2092941221798e-12</v>
      </c>
      <c r="BB64" s="5">
        <v>-1.1155643819391e-13</v>
      </c>
      <c r="BC64" s="3">
        <v>14842133.076988</v>
      </c>
      <c r="BD64" s="3">
        <v>6496610.8528605</v>
      </c>
      <c r="BE64" s="3">
        <v>-0.0033490209649525</v>
      </c>
      <c r="BF64" s="3">
        <v>0.0061041581171069</v>
      </c>
      <c r="BG64" s="3">
        <v>0.0012615962762968</v>
      </c>
      <c r="BH64" s="3">
        <v>-0.020397979039954</v>
      </c>
      <c r="BI64" s="3">
        <v>199.55450635346</v>
      </c>
      <c r="BJ64" s="3">
        <v>99.882319610109</v>
      </c>
      <c r="BK64" s="3">
        <v>184.63587751123</v>
      </c>
      <c r="BL64" s="4"/>
      <c r="BM64" s="7"/>
    </row>
    <row r="65" spans="1:65">
      <c r="A65" s="3">
        <v>43714664.934295</v>
      </c>
      <c r="B65" s="3">
        <v>0.0053538740837533</v>
      </c>
      <c r="C65" s="6">
        <f t="shared" si="1"/>
        <v>1.2162213653802e-10</v>
      </c>
      <c r="D65" s="5">
        <v>3.8853236530353e-12</v>
      </c>
      <c r="E65" s="5">
        <v>4.0150814059764e-12</v>
      </c>
      <c r="F65" s="5">
        <v>4.4018293065755e-12</v>
      </c>
      <c r="G65" s="5">
        <v>4.0183116504906e-12</v>
      </c>
      <c r="H65" s="5">
        <v>3.4396068143782e-12</v>
      </c>
      <c r="I65" s="5">
        <v>3.6504097836259e-12</v>
      </c>
      <c r="J65" s="5">
        <v>3.1249307223023e-12</v>
      </c>
      <c r="K65" s="5">
        <v>3.2889350002673e-12</v>
      </c>
      <c r="L65" s="5">
        <v>3.9324376648583e-12</v>
      </c>
      <c r="M65" s="5">
        <v>3.179157141209e-12</v>
      </c>
      <c r="N65" s="5">
        <v>3.8454482105242e-12</v>
      </c>
      <c r="O65" s="5">
        <v>3.6267582657214e-12</v>
      </c>
      <c r="P65" s="5">
        <v>3.3802858918499e-12</v>
      </c>
      <c r="Q65" s="5">
        <v>3.4965049412922e-12</v>
      </c>
      <c r="R65" s="5">
        <v>4.1139074834884e-12</v>
      </c>
      <c r="S65" s="5">
        <v>3.1182500203254e-12</v>
      </c>
      <c r="T65" s="5">
        <v>3.6074538954969e-12</v>
      </c>
      <c r="U65" s="5">
        <v>4.3217060624518e-12</v>
      </c>
      <c r="V65" s="5">
        <v>4.0510262715084e-12</v>
      </c>
      <c r="W65" s="5">
        <v>4.1343288123249e-12</v>
      </c>
      <c r="X65" s="5">
        <v>3.7037915122809e-12</v>
      </c>
      <c r="Y65" s="5">
        <v>4.0507693448604e-12</v>
      </c>
      <c r="Z65" s="5">
        <v>3.9086091142353e-12</v>
      </c>
      <c r="AA65" s="5">
        <v>4.1263630160578e-12</v>
      </c>
      <c r="AB65" s="3">
        <v>0.99958168941413</v>
      </c>
      <c r="AC65" s="3">
        <v>0.30089459362195</v>
      </c>
      <c r="AD65" s="3">
        <v>0.0061953804667166</v>
      </c>
      <c r="AE65" s="5">
        <v>5.8946472305841e-13</v>
      </c>
      <c r="AF65" s="5">
        <v>1.1456804018792e-12</v>
      </c>
      <c r="AG65" s="5">
        <v>6.4667573182476e-13</v>
      </c>
      <c r="AH65" s="5">
        <v>-6.6292720010717e-13</v>
      </c>
      <c r="AI65" s="5">
        <v>-1.2693196224291e-12</v>
      </c>
      <c r="AJ65" s="5">
        <v>-1.1157827645057e-12</v>
      </c>
      <c r="AK65" s="5">
        <v>-1.0561433911906e-12</v>
      </c>
      <c r="AL65" s="5">
        <v>-9.1638625787413e-13</v>
      </c>
      <c r="AM65" s="5">
        <v>-3.058419337018e-13</v>
      </c>
      <c r="AN65" s="5">
        <v>-8.1625419087452e-13</v>
      </c>
      <c r="AO65" s="5">
        <v>-4.4202001596115e-13</v>
      </c>
      <c r="AP65" s="5">
        <v>3.1422109495613e-14</v>
      </c>
      <c r="AQ65" s="5">
        <v>-4.2866315371326e-13</v>
      </c>
      <c r="AR65" s="5">
        <v>-1.540428766306e-12</v>
      </c>
      <c r="AS65" s="5">
        <v>-3.4214413471671e-13</v>
      </c>
      <c r="AT65" s="5">
        <v>-1.2157434157781e-13</v>
      </c>
      <c r="AU65" s="5">
        <v>-5.1413304081292e-13</v>
      </c>
      <c r="AV65" s="5">
        <v>-1.4216824463167e-13</v>
      </c>
      <c r="AW65" s="5">
        <v>7.5656841724532e-13</v>
      </c>
      <c r="AX65" s="5">
        <v>1.3265482476077e-12</v>
      </c>
      <c r="AY65" s="5">
        <v>8.9492602543936e-13</v>
      </c>
      <c r="AZ65" s="5">
        <v>-9.5271555220481e-13</v>
      </c>
      <c r="BA65" s="5">
        <v>-1.2174314353008e-12</v>
      </c>
      <c r="BB65" s="5">
        <v>-1.0628958309813e-13</v>
      </c>
      <c r="BC65" s="3">
        <v>14826999.834628</v>
      </c>
      <c r="BD65" s="3">
        <v>6527339.4846355</v>
      </c>
      <c r="BE65" s="3">
        <v>-0.0033909003452697</v>
      </c>
      <c r="BF65" s="3">
        <v>0.0061917138515257</v>
      </c>
      <c r="BG65" s="3">
        <v>0.0012808997969611</v>
      </c>
      <c r="BH65" s="3">
        <v>-0.017679442202409</v>
      </c>
      <c r="BI65" s="3">
        <v>199.55598013019</v>
      </c>
      <c r="BJ65" s="3">
        <v>99.884673439973</v>
      </c>
      <c r="BK65" s="3">
        <v>184.66232161574</v>
      </c>
      <c r="BL65" s="4"/>
      <c r="BM65" s="7"/>
    </row>
    <row r="66" spans="1:65">
      <c r="A66" s="3">
        <v>44685842.430538</v>
      </c>
      <c r="B66" s="3">
        <v>0.005469104920223</v>
      </c>
      <c r="C66" s="6">
        <f t="shared" si="1"/>
        <v>1.21801286403883e-10</v>
      </c>
      <c r="D66" s="5">
        <v>3.9039309961708e-12</v>
      </c>
      <c r="E66" s="5">
        <v>4.0347178046289e-12</v>
      </c>
      <c r="F66" s="5">
        <v>4.4253983139832e-12</v>
      </c>
      <c r="G66" s="5">
        <v>4.0353093808476e-12</v>
      </c>
      <c r="H66" s="5">
        <v>3.4549006081751e-12</v>
      </c>
      <c r="I66" s="5">
        <v>3.6666219440281e-12</v>
      </c>
      <c r="J66" s="5">
        <v>3.135540979401e-12</v>
      </c>
      <c r="K66" s="5">
        <v>3.3023674040457e-12</v>
      </c>
      <c r="L66" s="5">
        <v>3.9533589559658e-12</v>
      </c>
      <c r="M66" s="5">
        <v>3.1904372532789e-12</v>
      </c>
      <c r="N66" s="5">
        <v>3.8628368850822e-12</v>
      </c>
      <c r="O66" s="5">
        <v>3.6411338994478e-12</v>
      </c>
      <c r="P66" s="5">
        <v>3.3926669637124e-12</v>
      </c>
      <c r="Q66" s="5">
        <v>3.5102561168925e-12</v>
      </c>
      <c r="R66" s="5">
        <v>4.1358613386601e-12</v>
      </c>
      <c r="S66" s="5">
        <v>3.1278446344883e-12</v>
      </c>
      <c r="T66" s="5">
        <v>3.6246146669304e-12</v>
      </c>
      <c r="U66" s="5">
        <v>4.3415736088909e-12</v>
      </c>
      <c r="V66" s="5">
        <v>4.071222722173e-12</v>
      </c>
      <c r="W66" s="5">
        <v>4.1553730597737e-12</v>
      </c>
      <c r="X66" s="5">
        <v>3.7182901596624e-12</v>
      </c>
      <c r="Y66" s="5">
        <v>4.0694408760861e-12</v>
      </c>
      <c r="Z66" s="5">
        <v>3.9259597671186e-12</v>
      </c>
      <c r="AA66" s="5">
        <v>4.1436157430067e-12</v>
      </c>
      <c r="AB66" s="3">
        <v>0.99980452301612</v>
      </c>
      <c r="AC66" s="3">
        <v>0.30159983261881</v>
      </c>
      <c r="AD66" s="3">
        <v>0.0063110377325138</v>
      </c>
      <c r="AE66" s="5">
        <v>5.9001269739033e-13</v>
      </c>
      <c r="AF66" s="5">
        <v>1.1471322906881e-12</v>
      </c>
      <c r="AG66" s="5">
        <v>6.4191064311775e-13</v>
      </c>
      <c r="AH66" s="5">
        <v>-6.6560666528254e-13</v>
      </c>
      <c r="AI66" s="5">
        <v>-1.2816819687201e-12</v>
      </c>
      <c r="AJ66" s="5">
        <v>-1.1262427693343e-12</v>
      </c>
      <c r="AK66" s="5">
        <v>-1.0700324358862e-12</v>
      </c>
      <c r="AL66" s="5">
        <v>-9.3041051469586e-13</v>
      </c>
      <c r="AM66" s="5">
        <v>-3.1857196726077e-13</v>
      </c>
      <c r="AN66" s="5">
        <v>-8.2602164203374e-13</v>
      </c>
      <c r="AO66" s="5">
        <v>-4.5579537495726e-13</v>
      </c>
      <c r="AP66" s="5">
        <v>3.1192598948004e-14</v>
      </c>
      <c r="AQ66" s="5">
        <v>-4.4059208976021e-13</v>
      </c>
      <c r="AR66" s="5">
        <v>-1.5523859692739e-12</v>
      </c>
      <c r="AS66" s="5">
        <v>-3.6124228615873e-13</v>
      </c>
      <c r="AT66" s="5">
        <v>-1.3225011952605e-13</v>
      </c>
      <c r="AU66" s="5">
        <v>-5.267711022721e-13</v>
      </c>
      <c r="AV66" s="5">
        <v>-1.4197318114971e-13</v>
      </c>
      <c r="AW66" s="5">
        <v>7.5582122005498e-13</v>
      </c>
      <c r="AX66" s="5">
        <v>1.3328801763974e-12</v>
      </c>
      <c r="AY66" s="5">
        <v>8.9738640056136e-13</v>
      </c>
      <c r="AZ66" s="5">
        <v>-9.5290434109331e-13</v>
      </c>
      <c r="BA66" s="5">
        <v>-1.2240659693413e-12</v>
      </c>
      <c r="BB66" s="5">
        <v>-1.0132013463167e-13</v>
      </c>
      <c r="BC66" s="3">
        <v>14806725.906936</v>
      </c>
      <c r="BD66" s="3">
        <v>6568449.2728907</v>
      </c>
      <c r="BE66" s="3">
        <v>-0.0034473323710362</v>
      </c>
      <c r="BF66" s="3">
        <v>0.0063100045198946</v>
      </c>
      <c r="BG66" s="3">
        <v>0.0013070276841545</v>
      </c>
      <c r="BH66" s="3">
        <v>-0.017954180780464</v>
      </c>
      <c r="BI66" s="3">
        <v>199.55217808376</v>
      </c>
      <c r="BJ66" s="3">
        <v>99.884619006435</v>
      </c>
      <c r="BK66" s="3">
        <v>184.69660189388</v>
      </c>
      <c r="BL66" s="4"/>
      <c r="BM66" s="7"/>
    </row>
    <row r="67" spans="1:65">
      <c r="A67" s="3">
        <v>45746235.707276</v>
      </c>
      <c r="B67" s="3">
        <v>0.0055951549611067</v>
      </c>
      <c r="C67" s="6">
        <f t="shared" si="1"/>
        <v>1.22038639892729e-10</v>
      </c>
      <c r="D67" s="5">
        <v>3.9224829264347e-12</v>
      </c>
      <c r="E67" s="5">
        <v>4.0542930476946e-12</v>
      </c>
      <c r="F67" s="5">
        <v>4.4489021364223e-12</v>
      </c>
      <c r="G67" s="5">
        <v>4.0521969553804e-12</v>
      </c>
      <c r="H67" s="5">
        <v>3.4702352354308e-12</v>
      </c>
      <c r="I67" s="5">
        <v>3.6828066335363e-12</v>
      </c>
      <c r="J67" s="5">
        <v>3.1462037486297e-12</v>
      </c>
      <c r="K67" s="5">
        <v>3.3158517835557e-12</v>
      </c>
      <c r="L67" s="5">
        <v>3.9742771302171e-12</v>
      </c>
      <c r="M67" s="5">
        <v>3.2017704166141e-12</v>
      </c>
      <c r="N67" s="5">
        <v>3.8801928055883e-12</v>
      </c>
      <c r="O67" s="5">
        <v>3.6554561116752e-12</v>
      </c>
      <c r="P67" s="5">
        <v>3.4050596524249e-12</v>
      </c>
      <c r="Q67" s="5">
        <v>3.5240073647916e-12</v>
      </c>
      <c r="R67" s="5">
        <v>4.1577891755832e-12</v>
      </c>
      <c r="S67" s="5">
        <v>3.1374808167949e-12</v>
      </c>
      <c r="T67" s="5">
        <v>3.6418199164181e-12</v>
      </c>
      <c r="U67" s="5">
        <v>4.3612636935091e-12</v>
      </c>
      <c r="V67" s="5">
        <v>4.0913702864357e-12</v>
      </c>
      <c r="W67" s="5">
        <v>4.1763601570095e-12</v>
      </c>
      <c r="X67" s="5">
        <v>3.7326929092233e-12</v>
      </c>
      <c r="Y67" s="5">
        <v>4.0880402143688e-12</v>
      </c>
      <c r="Z67" s="5">
        <v>3.9432684405839e-12</v>
      </c>
      <c r="AA67" s="5">
        <v>4.1607410189431e-12</v>
      </c>
      <c r="AB67" s="3">
        <v>0.99991530568868</v>
      </c>
      <c r="AC67" s="3">
        <v>0.30230182110124</v>
      </c>
      <c r="AD67" s="3">
        <v>0.0064375353600492</v>
      </c>
      <c r="AE67" s="5">
        <v>5.9070691949769e-13</v>
      </c>
      <c r="AF67" s="5">
        <v>1.1487702728173e-12</v>
      </c>
      <c r="AG67" s="5">
        <v>6.3741348768272e-13</v>
      </c>
      <c r="AH67" s="5">
        <v>-6.6787878077295e-13</v>
      </c>
      <c r="AI67" s="5">
        <v>-1.293600407595e-12</v>
      </c>
      <c r="AJ67" s="5">
        <v>-1.1360638812423e-12</v>
      </c>
      <c r="AK67" s="5">
        <v>-1.0838500238719e-12</v>
      </c>
      <c r="AL67" s="5">
        <v>-9.4419824738301e-13</v>
      </c>
      <c r="AM67" s="5">
        <v>-3.3107333884816e-13</v>
      </c>
      <c r="AN67" s="5">
        <v>-8.3575361299416e-13</v>
      </c>
      <c r="AO67" s="5">
        <v>-4.6922797511018e-13</v>
      </c>
      <c r="AP67" s="5">
        <v>3.1297930902825e-14</v>
      </c>
      <c r="AQ67" s="5">
        <v>-4.5230757274263e-13</v>
      </c>
      <c r="AR67" s="5">
        <v>-1.5640468741262e-12</v>
      </c>
      <c r="AS67" s="5">
        <v>-3.8001644387834e-13</v>
      </c>
      <c r="AT67" s="5">
        <v>-1.4285407076724e-13</v>
      </c>
      <c r="AU67" s="5">
        <v>-5.3918716816065e-13</v>
      </c>
      <c r="AV67" s="5">
        <v>-1.4078950997831e-13</v>
      </c>
      <c r="AW67" s="5">
        <v>7.5537096731851e-13</v>
      </c>
      <c r="AX67" s="5">
        <v>1.3393970082248e-12</v>
      </c>
      <c r="AY67" s="5">
        <v>8.9938324711958e-13</v>
      </c>
      <c r="AZ67" s="5">
        <v>-9.5293453761116e-13</v>
      </c>
      <c r="BA67" s="5">
        <v>-1.2305442014733e-12</v>
      </c>
      <c r="BB67" s="5">
        <v>-9.6233540336583e-14</v>
      </c>
      <c r="BC67" s="3">
        <v>14784775.071244</v>
      </c>
      <c r="BD67" s="3">
        <v>6612880.1025702</v>
      </c>
      <c r="BE67" s="3">
        <v>-0.0035088584734387</v>
      </c>
      <c r="BF67" s="3">
        <v>0.0064394134731391</v>
      </c>
      <c r="BG67" s="3">
        <v>0.0013356696332485</v>
      </c>
      <c r="BH67" s="3">
        <v>-0.01944791030253</v>
      </c>
      <c r="BI67" s="3">
        <v>199.54620649238</v>
      </c>
      <c r="BJ67" s="3">
        <v>99.883797949931</v>
      </c>
      <c r="BK67" s="3">
        <v>184.73366772941</v>
      </c>
      <c r="BL67" s="4"/>
      <c r="BM67" s="7"/>
    </row>
    <row r="68" spans="1:65">
      <c r="A68" s="3">
        <v>46604051.452426</v>
      </c>
      <c r="B68" s="3">
        <v>0.0056973031567219</v>
      </c>
      <c r="C68" s="6">
        <f t="shared" si="1"/>
        <v>1.22284616457766e-10</v>
      </c>
      <c r="D68" s="5">
        <v>3.942751431003e-12</v>
      </c>
      <c r="E68" s="5">
        <v>4.0756694823075e-12</v>
      </c>
      <c r="F68" s="5">
        <v>4.4745830841118e-12</v>
      </c>
      <c r="G68" s="5">
        <v>4.0705473504633e-12</v>
      </c>
      <c r="H68" s="5">
        <v>3.4870864789465e-12</v>
      </c>
      <c r="I68" s="5">
        <v>3.700503066335e-12</v>
      </c>
      <c r="J68" s="5">
        <v>3.1579398350425e-12</v>
      </c>
      <c r="K68" s="5">
        <v>3.3306788107073e-12</v>
      </c>
      <c r="L68" s="5">
        <v>3.9972012914146e-12</v>
      </c>
      <c r="M68" s="5">
        <v>3.2142369388944e-12</v>
      </c>
      <c r="N68" s="5">
        <v>3.8991651614777e-12</v>
      </c>
      <c r="O68" s="5">
        <v>3.6710827433513e-12</v>
      </c>
      <c r="P68" s="5">
        <v>3.418641679916e-12</v>
      </c>
      <c r="Q68" s="5">
        <v>3.5390687344473e-12</v>
      </c>
      <c r="R68" s="5">
        <v>4.1817920666605e-12</v>
      </c>
      <c r="S68" s="5">
        <v>3.1480654129931e-12</v>
      </c>
      <c r="T68" s="5">
        <v>3.6607223891334e-12</v>
      </c>
      <c r="U68" s="5">
        <v>4.3826393238554e-12</v>
      </c>
      <c r="V68" s="5">
        <v>4.1133941975639e-12</v>
      </c>
      <c r="W68" s="5">
        <v>4.1992928391249e-12</v>
      </c>
      <c r="X68" s="5">
        <v>3.7483523718253e-12</v>
      </c>
      <c r="Y68" s="5">
        <v>4.1083273541157e-12</v>
      </c>
      <c r="Z68" s="5">
        <v>3.9621866370614e-12</v>
      </c>
      <c r="AA68" s="5">
        <v>4.1793527406075e-12</v>
      </c>
      <c r="AB68" s="3">
        <v>0.99957112542054</v>
      </c>
      <c r="AC68" s="3">
        <v>0.30307614150435</v>
      </c>
      <c r="AD68" s="3">
        <v>0.0065400438518583</v>
      </c>
      <c r="AE68" s="5">
        <v>5.9157340753418e-13</v>
      </c>
      <c r="AF68" s="5">
        <v>1.150711504691e-12</v>
      </c>
      <c r="AG68" s="5">
        <v>6.3395628017695e-13</v>
      </c>
      <c r="AH68" s="5">
        <v>-6.6951731387556e-13</v>
      </c>
      <c r="AI68" s="5">
        <v>-1.3060738541152e-12</v>
      </c>
      <c r="AJ68" s="5">
        <v>-1.1461513219055e-12</v>
      </c>
      <c r="AK68" s="5">
        <v>-1.0988037596126e-12</v>
      </c>
      <c r="AL68" s="5">
        <v>-9.5900553803196e-13</v>
      </c>
      <c r="AM68" s="5">
        <v>-3.4334324168563e-13</v>
      </c>
      <c r="AN68" s="5">
        <v>-8.4589983777586e-13</v>
      </c>
      <c r="AO68" s="5">
        <v>-4.8215437893107e-13</v>
      </c>
      <c r="AP68" s="5">
        <v>3.1465624339233e-14</v>
      </c>
      <c r="AQ68" s="5">
        <v>-4.6474663963671e-13</v>
      </c>
      <c r="AR68" s="5">
        <v>-1.5759806516298e-12</v>
      </c>
      <c r="AS68" s="5">
        <v>-3.9872567488424e-13</v>
      </c>
      <c r="AT68" s="5">
        <v>-1.5419368127127e-13</v>
      </c>
      <c r="AU68" s="5">
        <v>-5.5231971612326e-13</v>
      </c>
      <c r="AV68" s="5">
        <v>-1.3881143083345e-13</v>
      </c>
      <c r="AW68" s="5">
        <v>7.5557711933997e-13</v>
      </c>
      <c r="AX68" s="5">
        <v>1.3468122765903e-12</v>
      </c>
      <c r="AY68" s="5">
        <v>9.0326488692299e-13</v>
      </c>
      <c r="AZ68" s="5">
        <v>-9.5263066325812e-13</v>
      </c>
      <c r="BA68" s="5">
        <v>-1.2366266518776e-12</v>
      </c>
      <c r="BB68" s="5">
        <v>-8.9892256973511e-14</v>
      </c>
      <c r="BC68" s="3">
        <v>14767158.907632</v>
      </c>
      <c r="BD68" s="3">
        <v>6648473.3317745</v>
      </c>
      <c r="BE68" s="3">
        <v>-0.0035585579936302</v>
      </c>
      <c r="BF68" s="3">
        <v>0.0065443111425262</v>
      </c>
      <c r="BG68" s="3">
        <v>0.0013589237920457</v>
      </c>
      <c r="BH68" s="3">
        <v>-0.018466424620302</v>
      </c>
      <c r="BI68" s="3">
        <v>199.54472334175</v>
      </c>
      <c r="BJ68" s="3">
        <v>99.884404411181</v>
      </c>
      <c r="BK68" s="3">
        <v>184.7646846885</v>
      </c>
      <c r="BL68" s="4"/>
      <c r="BM68" s="7"/>
    </row>
    <row r="69" spans="1:65">
      <c r="A69" s="3">
        <v>47418734.183866</v>
      </c>
      <c r="B69" s="3">
        <v>0.0057944637904971</v>
      </c>
      <c r="C69" s="6">
        <f t="shared" si="1"/>
        <v>1.22475918064121e-10</v>
      </c>
      <c r="D69" s="5">
        <v>3.9577024824323e-12</v>
      </c>
      <c r="E69" s="5">
        <v>4.0914294042886e-12</v>
      </c>
      <c r="F69" s="5">
        <v>4.4934917116109e-12</v>
      </c>
      <c r="G69" s="5">
        <v>4.0840530139026e-12</v>
      </c>
      <c r="H69" s="5">
        <v>3.4996009624567e-12</v>
      </c>
      <c r="I69" s="5">
        <v>3.7135782850926e-12</v>
      </c>
      <c r="J69" s="5">
        <v>3.1666916400938e-12</v>
      </c>
      <c r="K69" s="5">
        <v>3.3416895890146e-12</v>
      </c>
      <c r="L69" s="5">
        <v>4.0141217159784e-12</v>
      </c>
      <c r="M69" s="5">
        <v>3.2235130233574e-12</v>
      </c>
      <c r="N69" s="5">
        <v>3.9131612980788e-12</v>
      </c>
      <c r="O69" s="5">
        <v>3.682616468263e-12</v>
      </c>
      <c r="P69" s="5">
        <v>3.428707054937e-12</v>
      </c>
      <c r="Q69" s="5">
        <v>3.5502198111369e-12</v>
      </c>
      <c r="R69" s="5">
        <v>4.1994926479614e-12</v>
      </c>
      <c r="S69" s="5">
        <v>3.15596100659e-12</v>
      </c>
      <c r="T69" s="5">
        <v>3.6747284073644e-12</v>
      </c>
      <c r="U69" s="5">
        <v>4.3983347027819e-12</v>
      </c>
      <c r="V69" s="5">
        <v>4.1296339212308e-12</v>
      </c>
      <c r="W69" s="5">
        <v>4.2161940503525e-12</v>
      </c>
      <c r="X69" s="5">
        <v>3.7598452003519e-12</v>
      </c>
      <c r="Y69" s="5">
        <v>4.1232753354279e-12</v>
      </c>
      <c r="Z69" s="5">
        <v>3.976141705705e-12</v>
      </c>
      <c r="AA69" s="5">
        <v>4.1930214140679e-12</v>
      </c>
      <c r="AB69" s="3">
        <v>0.99979224566832</v>
      </c>
      <c r="AC69" s="3">
        <v>0.30361153607914</v>
      </c>
      <c r="AD69" s="3">
        <v>0.0066375342374846</v>
      </c>
      <c r="AE69" s="5">
        <v>5.9167827169993e-13</v>
      </c>
      <c r="AF69" s="5">
        <v>1.1517778771917e-12</v>
      </c>
      <c r="AG69" s="5">
        <v>6.2820023305846e-13</v>
      </c>
      <c r="AH69" s="5">
        <v>-6.727463769217e-13</v>
      </c>
      <c r="AI69" s="5">
        <v>-1.3169981330608e-12</v>
      </c>
      <c r="AJ69" s="5">
        <v>-1.1565130838226e-12</v>
      </c>
      <c r="AK69" s="5">
        <v>-1.1105234735766e-12</v>
      </c>
      <c r="AL69" s="5">
        <v>-9.7099993504382e-13</v>
      </c>
      <c r="AM69" s="5">
        <v>-3.5590395946987e-13</v>
      </c>
      <c r="AN69" s="5">
        <v>-8.5452996210404e-13</v>
      </c>
      <c r="AO69" s="5">
        <v>-4.9578975620028e-13</v>
      </c>
      <c r="AP69" s="5">
        <v>3.0447781482065e-14</v>
      </c>
      <c r="AQ69" s="5">
        <v>-4.7514367689359e-13</v>
      </c>
      <c r="AR69" s="5">
        <v>-1.5866602772317e-12</v>
      </c>
      <c r="AS69" s="5">
        <v>-4.1745551550178e-13</v>
      </c>
      <c r="AT69" s="5">
        <v>-1.6338039513411e-13</v>
      </c>
      <c r="AU69" s="5">
        <v>-5.6358625326944e-13</v>
      </c>
      <c r="AV69" s="5">
        <v>-1.3971410814445e-13</v>
      </c>
      <c r="AW69" s="5">
        <v>7.5428836987902e-13</v>
      </c>
      <c r="AX69" s="5">
        <v>1.3520303821253e-12</v>
      </c>
      <c r="AY69" s="5">
        <v>9.0401363702602e-13</v>
      </c>
      <c r="AZ69" s="5">
        <v>-9.5313391839718e-13</v>
      </c>
      <c r="BA69" s="5">
        <v>-1.2434864308977e-12</v>
      </c>
      <c r="BB69" s="5">
        <v>-8.6730745525998e-14</v>
      </c>
      <c r="BC69" s="3">
        <v>14750544.925694</v>
      </c>
      <c r="BD69" s="3">
        <v>6681986.6835825</v>
      </c>
      <c r="BE69" s="3">
        <v>-0.0036057048818564</v>
      </c>
      <c r="BF69" s="3">
        <v>0.0066440901579903</v>
      </c>
      <c r="BG69" s="3">
        <v>0.001381082522305</v>
      </c>
      <c r="BH69" s="3">
        <v>-0.018785907402831</v>
      </c>
      <c r="BI69" s="3">
        <v>199.54159605859</v>
      </c>
      <c r="BJ69" s="3">
        <v>99.884427952175</v>
      </c>
      <c r="BK69" s="3">
        <v>184.79384653224</v>
      </c>
      <c r="BL69" s="4"/>
      <c r="BM69" s="7"/>
    </row>
    <row r="70" spans="1:65">
      <c r="A70" s="3">
        <v>48568270.762403</v>
      </c>
      <c r="B70" s="3">
        <v>0.0059317956746805</v>
      </c>
      <c r="C70" s="6">
        <f t="shared" si="1"/>
        <v>1.22698078426271e-10</v>
      </c>
      <c r="D70" s="5">
        <v>3.9774794471955e-12</v>
      </c>
      <c r="E70" s="5">
        <v>4.1122721399252e-12</v>
      </c>
      <c r="F70" s="5">
        <v>4.518532818209e-12</v>
      </c>
      <c r="G70" s="5">
        <v>4.1018432446539e-12</v>
      </c>
      <c r="H70" s="5">
        <v>3.5162423937718e-12</v>
      </c>
      <c r="I70" s="5">
        <v>3.7308951874202e-12</v>
      </c>
      <c r="J70" s="5">
        <v>3.1783401930162e-12</v>
      </c>
      <c r="K70" s="5">
        <v>3.3563571587199e-12</v>
      </c>
      <c r="L70" s="5">
        <v>4.0366001717644e-12</v>
      </c>
      <c r="M70" s="5">
        <v>3.2358710342025e-12</v>
      </c>
      <c r="N70" s="5">
        <v>3.9317095064084e-12</v>
      </c>
      <c r="O70" s="5">
        <v>3.6978564256268e-12</v>
      </c>
      <c r="P70" s="5">
        <v>3.4420688988829e-12</v>
      </c>
      <c r="Q70" s="5">
        <v>3.5650103772181e-12</v>
      </c>
      <c r="R70" s="5">
        <v>4.2229726284317e-12</v>
      </c>
      <c r="S70" s="5">
        <v>3.1664536178684e-12</v>
      </c>
      <c r="T70" s="5">
        <v>3.6933609832394e-12</v>
      </c>
      <c r="U70" s="5">
        <v>4.4189771165416e-12</v>
      </c>
      <c r="V70" s="5">
        <v>4.1511384278643e-12</v>
      </c>
      <c r="W70" s="5">
        <v>4.2385781053058e-12</v>
      </c>
      <c r="X70" s="5">
        <v>3.7750255215475e-12</v>
      </c>
      <c r="Y70" s="5">
        <v>4.1430290359701e-12</v>
      </c>
      <c r="Z70" s="5">
        <v>3.9946262779993e-12</v>
      </c>
      <c r="AA70" s="5">
        <v>4.2110342747212e-12</v>
      </c>
      <c r="AB70" s="3">
        <v>0.99991134192157</v>
      </c>
      <c r="AC70" s="3">
        <v>0.30434487283304</v>
      </c>
      <c r="AD70" s="3">
        <v>0.0067753180080042</v>
      </c>
      <c r="AE70" s="5">
        <v>5.9214761957837e-13</v>
      </c>
      <c r="AF70" s="5">
        <v>1.1535428406086e-12</v>
      </c>
      <c r="AG70" s="5">
        <v>6.2328987497849e-13</v>
      </c>
      <c r="AH70" s="5">
        <v>-6.7535981440115e-13</v>
      </c>
      <c r="AI70" s="5">
        <v>-1.3300560205434e-12</v>
      </c>
      <c r="AJ70" s="5">
        <v>-1.1675497076852e-12</v>
      </c>
      <c r="AK70" s="5">
        <v>-1.1255053641399e-12</v>
      </c>
      <c r="AL70" s="5">
        <v>-9.8594007556719e-13</v>
      </c>
      <c r="AM70" s="5">
        <v>-3.6959561841258e-13</v>
      </c>
      <c r="AN70" s="5">
        <v>-8.650013634869e-13</v>
      </c>
      <c r="AO70" s="5">
        <v>-5.1034448338356e-13</v>
      </c>
      <c r="AP70" s="5">
        <v>3.016587994185e-14</v>
      </c>
      <c r="AQ70" s="5">
        <v>-4.8775091723205e-13</v>
      </c>
      <c r="AR70" s="5">
        <v>-1.599201338549e-12</v>
      </c>
      <c r="AS70" s="5">
        <v>-4.3817590031102e-13</v>
      </c>
      <c r="AT70" s="5">
        <v>-1.7489624235444e-13</v>
      </c>
      <c r="AU70" s="5">
        <v>-5.7717979939477e-13</v>
      </c>
      <c r="AV70" s="5">
        <v>-1.3916158987e-13</v>
      </c>
      <c r="AW70" s="5">
        <v>7.5367726701536e-13</v>
      </c>
      <c r="AX70" s="5">
        <v>1.3589148115877e-12</v>
      </c>
      <c r="AY70" s="5">
        <v>9.0626578654429e-13</v>
      </c>
      <c r="AZ70" s="5">
        <v>-9.5315212983581e-13</v>
      </c>
      <c r="BA70" s="5">
        <v>-1.2506539473889e-12</v>
      </c>
      <c r="BB70" s="5">
        <v>-8.1643827785143e-14</v>
      </c>
      <c r="BC70" s="3">
        <v>14727285.332624</v>
      </c>
      <c r="BD70" s="3">
        <v>6728813.7687127</v>
      </c>
      <c r="BE70" s="3">
        <v>-0.0036721418458869</v>
      </c>
      <c r="BF70" s="3">
        <v>0.0067851360872575</v>
      </c>
      <c r="BG70" s="3">
        <v>0.001412462792963</v>
      </c>
      <c r="BH70" s="3">
        <v>-0.019182199542296</v>
      </c>
      <c r="BI70" s="3">
        <v>199.53708233172</v>
      </c>
      <c r="BJ70" s="3">
        <v>99.88456316343</v>
      </c>
      <c r="BK70" s="3">
        <v>184.83497848591</v>
      </c>
      <c r="BL70" s="4"/>
      <c r="BM70" s="7"/>
    </row>
    <row r="71" spans="1:65">
      <c r="A71" s="3">
        <v>49341109.678137</v>
      </c>
      <c r="B71" s="3">
        <v>0.006024283134012</v>
      </c>
      <c r="C71" s="6">
        <f>(BF71-BF70)/(A71-A70)</f>
        <v>1.22924929183559e-10</v>
      </c>
      <c r="D71" s="5">
        <v>3.994766643103e-12</v>
      </c>
      <c r="E71" s="5">
        <v>4.130483045693e-12</v>
      </c>
      <c r="F71" s="5">
        <v>4.5404064843172e-12</v>
      </c>
      <c r="G71" s="5">
        <v>4.1173195506487e-12</v>
      </c>
      <c r="H71" s="5">
        <v>3.5308733449771e-12</v>
      </c>
      <c r="I71" s="5">
        <v>3.7460427449012e-12</v>
      </c>
      <c r="J71" s="5">
        <v>3.1886116992439e-12</v>
      </c>
      <c r="K71" s="5">
        <v>3.3692606789264e-12</v>
      </c>
      <c r="L71" s="5">
        <v>4.0562858112792e-12</v>
      </c>
      <c r="M71" s="5">
        <v>3.2467622764864e-12</v>
      </c>
      <c r="N71" s="5">
        <v>3.9479262151549e-12</v>
      </c>
      <c r="O71" s="5">
        <v>3.7111692459573e-12</v>
      </c>
      <c r="P71" s="5">
        <v>3.4538072340421e-12</v>
      </c>
      <c r="Q71" s="5">
        <v>3.5779775796417e-12</v>
      </c>
      <c r="R71" s="5">
        <v>4.2435138120757e-12</v>
      </c>
      <c r="S71" s="5">
        <v>3.1756947930223e-12</v>
      </c>
      <c r="T71" s="5">
        <v>3.7097385858824e-12</v>
      </c>
      <c r="U71" s="5">
        <v>4.4369045593209e-12</v>
      </c>
      <c r="V71" s="5">
        <v>4.1699468073555e-12</v>
      </c>
      <c r="W71" s="5">
        <v>4.2581305171935e-12</v>
      </c>
      <c r="X71" s="5">
        <v>3.7882295334636e-12</v>
      </c>
      <c r="Y71" s="5">
        <v>4.1602835161081e-12</v>
      </c>
      <c r="Z71" s="5">
        <v>4.010788851e-12</v>
      </c>
      <c r="AA71" s="5">
        <v>4.2267056312845e-12</v>
      </c>
      <c r="AB71" s="3">
        <v>0.99950381599735</v>
      </c>
      <c r="AC71" s="3">
        <v>0.30497112242683</v>
      </c>
      <c r="AD71" s="3">
        <v>0.0068681023654169</v>
      </c>
      <c r="AE71" s="5">
        <v>5.9385980300745e-13</v>
      </c>
      <c r="AF71" s="5">
        <v>1.1559810896717e-12</v>
      </c>
      <c r="AG71" s="5">
        <v>6.2261800721389e-13</v>
      </c>
      <c r="AH71" s="5">
        <v>-6.7560183471848e-13</v>
      </c>
      <c r="AI71" s="5">
        <v>-1.3401749619353e-12</v>
      </c>
      <c r="AJ71" s="5">
        <v>-1.1763515055383e-12</v>
      </c>
      <c r="AK71" s="5">
        <v>-1.1383996199975e-12</v>
      </c>
      <c r="AL71" s="5">
        <v>-9.9869581339322e-13</v>
      </c>
      <c r="AM71" s="5">
        <v>-3.8053629609648e-13</v>
      </c>
      <c r="AN71" s="5">
        <v>-8.7388122889121e-13</v>
      </c>
      <c r="AO71" s="5">
        <v>-5.2158482707009e-13</v>
      </c>
      <c r="AP71" s="5">
        <v>3.0777518799774e-14</v>
      </c>
      <c r="AQ71" s="5">
        <v>-4.9848642964894e-13</v>
      </c>
      <c r="AR71" s="5">
        <v>-1.6093397495635e-12</v>
      </c>
      <c r="AS71" s="5">
        <v>-4.5390533688041e-13</v>
      </c>
      <c r="AT71" s="5">
        <v>-1.8457082075922e-13</v>
      </c>
      <c r="AU71" s="5">
        <v>-5.8834932343609e-13</v>
      </c>
      <c r="AV71" s="5">
        <v>-1.3500163273691e-13</v>
      </c>
      <c r="AW71" s="5">
        <v>7.5563353387601e-13</v>
      </c>
      <c r="AX71" s="5">
        <v>1.3669727454813e-12</v>
      </c>
      <c r="AY71" s="5">
        <v>9.1130395612458e-13</v>
      </c>
      <c r="AZ71" s="5">
        <v>-9.5233102738753e-13</v>
      </c>
      <c r="BA71" s="5">
        <v>-1.2556530697826e-12</v>
      </c>
      <c r="BB71" s="5">
        <v>-7.4825640393336e-14</v>
      </c>
      <c r="BC71" s="3">
        <v>14711770.256579</v>
      </c>
      <c r="BD71" s="3">
        <v>6759985.8257478</v>
      </c>
      <c r="BE71" s="3">
        <v>-0.0037167500242097</v>
      </c>
      <c r="BF71" s="3">
        <v>0.0068801372562444</v>
      </c>
      <c r="BG71" s="3">
        <v>0.0014336317467396</v>
      </c>
      <c r="BH71" s="3">
        <v>-0.019348252329484</v>
      </c>
      <c r="BI71" s="3">
        <v>199.53419751003</v>
      </c>
      <c r="BJ71" s="3">
        <v>99.884230689427</v>
      </c>
      <c r="BK71" s="3">
        <v>184.86266895476</v>
      </c>
      <c r="BL71" s="4"/>
      <c r="BM71" s="7"/>
    </row>
    <row r="72" spans="1:65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4"/>
      <c r="AD72" s="4"/>
      <c r="AE72" s="4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4"/>
      <c r="BE72" s="4"/>
      <c r="BF72" s="4"/>
      <c r="BG72" s="4"/>
      <c r="BH72" s="4"/>
      <c r="BI72" s="4"/>
      <c r="BJ72" s="4"/>
      <c r="BK72" s="4"/>
      <c r="BL72" s="4"/>
      <c r="BM72" s="7"/>
    </row>
    <row r="73" spans="1:65">
      <c r="A73" s="4"/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4"/>
      <c r="AD73" s="4"/>
      <c r="AE73" s="4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4"/>
      <c r="BE73" s="4"/>
      <c r="BF73" s="4"/>
      <c r="BG73" s="4"/>
      <c r="BH73" s="4"/>
      <c r="BI73" s="4"/>
      <c r="BJ73" s="4"/>
      <c r="BK73" s="4"/>
      <c r="BL73" s="4"/>
      <c r="BM73" s="7"/>
    </row>
    <row r="74" spans="1:65">
      <c r="A74" s="4"/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4"/>
      <c r="AD74" s="4"/>
      <c r="AE74" s="4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4"/>
      <c r="BE74" s="4"/>
      <c r="BF74" s="4"/>
      <c r="BG74" s="4"/>
      <c r="BH74" s="4"/>
      <c r="BI74" s="4"/>
      <c r="BJ74" s="4"/>
      <c r="BK74" s="4"/>
      <c r="BL74" s="4"/>
      <c r="BM74" s="7"/>
    </row>
    <row r="75" spans="1:65">
      <c r="A75" s="4"/>
      <c r="B75" s="4"/>
      <c r="C75" s="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4"/>
      <c r="AD75" s="4"/>
      <c r="AE75" s="4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4"/>
      <c r="BE75" s="4"/>
      <c r="BF75" s="4"/>
      <c r="BG75" s="4"/>
      <c r="BH75" s="4"/>
      <c r="BI75" s="4"/>
      <c r="BJ75" s="4"/>
      <c r="BK75" s="4"/>
      <c r="BL75" s="4"/>
      <c r="BM75" s="7"/>
    </row>
    <row r="76" spans="1:65">
      <c r="A76" s="4"/>
      <c r="B76" s="4"/>
      <c r="C76" s="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4"/>
      <c r="AD76" s="4"/>
      <c r="AE76" s="4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4"/>
      <c r="BE76" s="4"/>
      <c r="BF76" s="4"/>
      <c r="BG76" s="4"/>
      <c r="BH76" s="4"/>
      <c r="BI76" s="4"/>
      <c r="BJ76" s="4"/>
      <c r="BK76" s="4"/>
      <c r="BL76" s="4"/>
      <c r="BM76" s="7"/>
    </row>
    <row r="77" spans="1:65">
      <c r="A77" s="4"/>
      <c r="B77" s="4"/>
      <c r="C77" s="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4"/>
      <c r="AD77" s="4"/>
      <c r="AE77" s="4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4"/>
      <c r="BE77" s="4"/>
      <c r="BF77" s="4"/>
      <c r="BG77" s="4"/>
      <c r="BH77" s="4"/>
      <c r="BI77" s="4"/>
      <c r="BJ77" s="4"/>
      <c r="BK77" s="4"/>
      <c r="BL77" s="4"/>
      <c r="BM77" s="7"/>
    </row>
    <row r="78" spans="1:65">
      <c r="A78" s="4"/>
      <c r="B78" s="4"/>
      <c r="C78" s="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4"/>
      <c r="AD78" s="4"/>
      <c r="AE78" s="4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4"/>
      <c r="BE78" s="4"/>
      <c r="BF78" s="4"/>
      <c r="BG78" s="4"/>
      <c r="BH78" s="4"/>
      <c r="BI78" s="4"/>
      <c r="BJ78" s="4"/>
      <c r="BK78" s="4"/>
      <c r="BL78" s="4"/>
      <c r="BM78" s="7"/>
    </row>
    <row r="79" spans="1:65">
      <c r="A79" s="4"/>
      <c r="B79" s="4"/>
      <c r="C79" s="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4"/>
      <c r="AD79" s="4"/>
      <c r="AE79" s="4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4"/>
      <c r="BE79" s="4"/>
      <c r="BF79" s="4"/>
      <c r="BG79" s="4"/>
      <c r="BH79" s="4"/>
      <c r="BI79" s="4"/>
      <c r="BJ79" s="4"/>
      <c r="BK79" s="4"/>
      <c r="BL79" s="4"/>
      <c r="BM79" s="7"/>
    </row>
    <row r="80" spans="1:65">
      <c r="A80" s="4"/>
      <c r="B80" s="4"/>
      <c r="C80" s="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4"/>
      <c r="AD80" s="4"/>
      <c r="AE80" s="4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4"/>
      <c r="BE80" s="4"/>
      <c r="BF80" s="4"/>
      <c r="BG80" s="4"/>
      <c r="BH80" s="4"/>
      <c r="BI80" s="4"/>
      <c r="BJ80" s="4"/>
      <c r="BK80" s="4"/>
      <c r="BL80" s="4"/>
      <c r="BM80" s="7"/>
    </row>
    <row r="81" spans="1:65">
      <c r="A81" s="4"/>
      <c r="B81" s="4"/>
      <c r="C81" s="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4"/>
      <c r="AD81" s="4"/>
      <c r="AE81" s="4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4"/>
      <c r="BE81" s="4"/>
      <c r="BF81" s="4"/>
      <c r="BG81" s="4"/>
      <c r="BH81" s="4"/>
      <c r="BI81" s="4"/>
      <c r="BJ81" s="4"/>
      <c r="BK81" s="4"/>
      <c r="BL81" s="4"/>
      <c r="BM81" s="7"/>
    </row>
    <row r="82" spans="1:65">
      <c r="A82" s="4"/>
      <c r="B82" s="4"/>
      <c r="C82" s="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4"/>
      <c r="AD82" s="4"/>
      <c r="AE82" s="4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4"/>
      <c r="BE82" s="4"/>
      <c r="BF82" s="4"/>
      <c r="BG82" s="4"/>
      <c r="BH82" s="4"/>
      <c r="BI82" s="4"/>
      <c r="BJ82" s="4"/>
      <c r="BK82" s="4"/>
      <c r="BL82" s="4"/>
      <c r="BM82" s="7"/>
    </row>
    <row r="83" spans="1:65">
      <c r="A83" s="8"/>
      <c r="B83" s="7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7"/>
      <c r="AE83" s="7"/>
      <c r="AF83" s="7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7"/>
      <c r="BF83" s="7"/>
      <c r="BG83" s="7"/>
      <c r="BH83" s="7"/>
      <c r="BI83" s="7"/>
      <c r="BJ83" s="7"/>
      <c r="BK83" s="7"/>
      <c r="BL83" s="7"/>
      <c r="BM83" s="7"/>
    </row>
    <row r="84" spans="1:65">
      <c r="A84" s="8"/>
      <c r="B84" s="7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7"/>
      <c r="AE84" s="7"/>
      <c r="AF84" s="7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7"/>
      <c r="BF84" s="7"/>
      <c r="BG84" s="7"/>
      <c r="BH84" s="7"/>
      <c r="BI84" s="7"/>
      <c r="BJ84" s="7"/>
      <c r="BK84" s="7"/>
      <c r="BL84" s="7"/>
      <c r="BM84" s="7"/>
    </row>
    <row r="85" spans="1:65">
      <c r="A85" s="8"/>
      <c r="B85" s="7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7"/>
      <c r="AE85" s="7"/>
      <c r="AF85" s="7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7"/>
      <c r="BF85" s="7"/>
      <c r="BG85" s="7"/>
      <c r="BH85" s="7"/>
      <c r="BI85" s="7"/>
      <c r="BJ85" s="7"/>
      <c r="BK85" s="7"/>
      <c r="BL85" s="7"/>
      <c r="BM85" s="7"/>
    </row>
    <row r="86" spans="1:65">
      <c r="A86" s="8"/>
      <c r="B86" s="7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7"/>
      <c r="AE86" s="7"/>
      <c r="AF86" s="7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7"/>
      <c r="BF86" s="7"/>
      <c r="BG86" s="7"/>
      <c r="BH86" s="7"/>
      <c r="BI86" s="7"/>
      <c r="BJ86" s="7"/>
      <c r="BK86" s="7"/>
      <c r="BL86" s="7"/>
      <c r="BM86" s="7"/>
    </row>
    <row r="87" spans="1:65">
      <c r="A87" s="8"/>
      <c r="B87" s="7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7"/>
      <c r="AE87" s="7"/>
      <c r="AF87" s="7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7"/>
      <c r="BF87" s="7"/>
      <c r="BG87" s="7"/>
      <c r="BH87" s="7"/>
      <c r="BI87" s="7"/>
      <c r="BJ87" s="7"/>
      <c r="BK87" s="7"/>
      <c r="BL87" s="7"/>
      <c r="BM87" s="7"/>
    </row>
    <row r="88" spans="1:65">
      <c r="A88" s="8"/>
      <c r="B88" s="7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7"/>
      <c r="AE88" s="7"/>
      <c r="AF88" s="7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7"/>
      <c r="BF88" s="7"/>
      <c r="BG88" s="7"/>
      <c r="BH88" s="7"/>
      <c r="BI88" s="7"/>
      <c r="BJ88" s="7"/>
      <c r="BK88" s="7"/>
      <c r="BL88" s="7"/>
      <c r="BM88" s="7"/>
    </row>
    <row r="89" spans="1:65">
      <c r="A89" s="8"/>
      <c r="B89" s="7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7"/>
      <c r="AE89" s="7"/>
      <c r="AF89" s="7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7"/>
      <c r="BF89" s="7"/>
      <c r="BG89" s="7"/>
      <c r="BH89" s="7"/>
      <c r="BI89" s="7"/>
      <c r="BJ89" s="7"/>
      <c r="BK89" s="7"/>
      <c r="BL89" s="7"/>
      <c r="BM89" s="7"/>
    </row>
    <row r="90" spans="1:65">
      <c r="A90" s="8"/>
      <c r="B90" s="7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7"/>
      <c r="AE90" s="7"/>
      <c r="AF90" s="7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7"/>
      <c r="BF90" s="7"/>
      <c r="BG90" s="7"/>
      <c r="BH90" s="7"/>
      <c r="BI90" s="7"/>
      <c r="BJ90" s="7"/>
      <c r="BK90" s="7"/>
      <c r="BL90" s="7"/>
      <c r="BM90" s="7"/>
    </row>
    <row r="91" spans="1:65">
      <c r="A91" s="8"/>
      <c r="B91" s="7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7"/>
      <c r="AE91" s="7"/>
      <c r="AF91" s="7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7"/>
      <c r="BF91" s="7"/>
      <c r="BG91" s="7"/>
      <c r="BH91" s="7"/>
      <c r="BI91" s="7"/>
      <c r="BJ91" s="7"/>
      <c r="BK91" s="7"/>
      <c r="BL91" s="7"/>
      <c r="BM91" s="7"/>
    </row>
    <row r="92" spans="1:65">
      <c r="A92" s="8"/>
      <c r="B92" s="7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7"/>
      <c r="AE92" s="7"/>
      <c r="AF92" s="7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7"/>
      <c r="BF92" s="7"/>
      <c r="BG92" s="7"/>
      <c r="BH92" s="7"/>
      <c r="BI92" s="7"/>
      <c r="BJ92" s="7"/>
      <c r="BK92" s="7"/>
      <c r="BL92" s="7"/>
      <c r="BM92" s="7"/>
    </row>
    <row r="93" spans="1:65">
      <c r="A93" s="8"/>
      <c r="B93" s="7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7"/>
      <c r="AE93" s="7"/>
      <c r="AF93" s="7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7"/>
      <c r="BF93" s="7"/>
      <c r="BG93" s="7"/>
      <c r="BH93" s="7"/>
      <c r="BI93" s="7"/>
      <c r="BJ93" s="7"/>
      <c r="BK93" s="7"/>
      <c r="BL93" s="7"/>
      <c r="BM93" s="7"/>
    </row>
    <row r="94" spans="1:65">
      <c r="A94" s="8"/>
      <c r="B94" s="7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7"/>
      <c r="AE94" s="7"/>
      <c r="AF94" s="7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7"/>
      <c r="BF94" s="7"/>
      <c r="BG94" s="7"/>
      <c r="BH94" s="7"/>
      <c r="BI94" s="7"/>
      <c r="BJ94" s="7"/>
      <c r="BK94" s="7"/>
      <c r="BL94" s="7"/>
      <c r="BM94" s="7"/>
    </row>
    <row r="95" spans="1:65">
      <c r="A95" s="8"/>
      <c r="B95" s="7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7"/>
      <c r="AE95" s="7"/>
      <c r="AF95" s="7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7"/>
      <c r="BF95" s="7"/>
      <c r="BG95" s="7"/>
      <c r="BH95" s="7"/>
      <c r="BI95" s="7"/>
      <c r="BJ95" s="7"/>
      <c r="BK95" s="7"/>
      <c r="BL95" s="7"/>
      <c r="BM95" s="7"/>
    </row>
    <row r="96" spans="1:65">
      <c r="A96" s="8"/>
      <c r="B96" s="7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7"/>
      <c r="AE96" s="7"/>
      <c r="AF96" s="7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7"/>
      <c r="BF96" s="7"/>
      <c r="BG96" s="7"/>
      <c r="BH96" s="7"/>
      <c r="BI96" s="7"/>
      <c r="BJ96" s="7"/>
      <c r="BK96" s="7"/>
      <c r="BL96" s="7"/>
      <c r="BM96" s="7"/>
    </row>
    <row r="97" spans="1:65">
      <c r="A97" s="8"/>
      <c r="B97" s="7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7"/>
      <c r="AE97" s="7"/>
      <c r="AF97" s="7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7"/>
      <c r="BF97" s="7"/>
      <c r="BG97" s="7"/>
      <c r="BH97" s="7"/>
      <c r="BI97" s="7"/>
      <c r="BJ97" s="7"/>
      <c r="BK97" s="7"/>
      <c r="BL97" s="7"/>
      <c r="BM97" s="7"/>
    </row>
    <row r="98" spans="1:65">
      <c r="A98" s="8"/>
      <c r="B98" s="7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7"/>
      <c r="AE98" s="7"/>
      <c r="AF98" s="7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7"/>
      <c r="BF98" s="7"/>
      <c r="BG98" s="7"/>
      <c r="BH98" s="7"/>
      <c r="BI98" s="7"/>
      <c r="BJ98" s="7"/>
      <c r="BK98" s="7"/>
      <c r="BL98" s="7"/>
      <c r="BM98" s="7"/>
    </row>
    <row r="99" spans="1:65">
      <c r="A99" s="8"/>
      <c r="B99" s="7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7"/>
      <c r="AE99" s="7"/>
      <c r="AF99" s="7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7"/>
      <c r="BF99" s="7"/>
      <c r="BG99" s="7"/>
      <c r="BH99" s="7"/>
      <c r="BI99" s="7"/>
      <c r="BJ99" s="7"/>
      <c r="BK99" s="7"/>
      <c r="BL99" s="7"/>
      <c r="BM99" s="7"/>
    </row>
    <row r="100" spans="1:65">
      <c r="A100" s="8"/>
      <c r="B100" s="7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7"/>
      <c r="AE100" s="7"/>
      <c r="AF100" s="7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1:65">
      <c r="A101" s="8"/>
      <c r="B101" s="7"/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7"/>
      <c r="AE101" s="7"/>
      <c r="AF101" s="7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1:65">
      <c r="A102" s="8"/>
      <c r="B102" s="7"/>
      <c r="C102" s="7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7"/>
      <c r="AE102" s="7"/>
      <c r="AF102" s="7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1:65">
      <c r="A103" s="8"/>
      <c r="B103" s="7"/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7"/>
      <c r="AE103" s="7"/>
      <c r="AF103" s="7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1:65">
      <c r="A104" s="8"/>
      <c r="B104" s="7"/>
      <c r="C104" s="7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7"/>
      <c r="AE104" s="7"/>
      <c r="AF104" s="7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1:65">
      <c r="A105" s="8"/>
      <c r="B105" s="7"/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7"/>
      <c r="AE105" s="7"/>
      <c r="AF105" s="7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7"/>
      <c r="BF105" s="7"/>
      <c r="BG105" s="7"/>
      <c r="BH105" s="7"/>
      <c r="BI105" s="7"/>
      <c r="BJ105" s="7"/>
      <c r="BK105" s="7"/>
      <c r="BL105" s="7"/>
      <c r="BM105" s="7"/>
    </row>
    <row r="106" spans="1:65">
      <c r="A106" s="8"/>
      <c r="B106" s="7"/>
      <c r="C106" s="7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7"/>
      <c r="AE106" s="7"/>
      <c r="AF106" s="7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1:65">
      <c r="A107" s="8"/>
      <c r="B107" s="7"/>
      <c r="C107" s="7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7"/>
      <c r="AE107" s="7"/>
      <c r="AF107" s="7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1:65">
      <c r="A108" s="8"/>
      <c r="B108" s="7"/>
      <c r="C108" s="7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7"/>
      <c r="AE108" s="7"/>
      <c r="AF108" s="7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1:65">
      <c r="A109" s="8"/>
      <c r="B109" s="7"/>
      <c r="C109" s="7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7"/>
      <c r="AE109" s="7"/>
      <c r="AF109" s="7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1:65">
      <c r="A110" s="8"/>
      <c r="B110" s="7"/>
      <c r="C110" s="7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7"/>
      <c r="AE110" s="7"/>
      <c r="AF110" s="7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1:65">
      <c r="A111" s="8"/>
      <c r="B111" s="7"/>
      <c r="C111" s="7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7"/>
      <c r="AE111" s="7"/>
      <c r="AF111" s="7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1:65">
      <c r="A112" s="8"/>
      <c r="B112" s="7"/>
      <c r="C112" s="7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7"/>
      <c r="AE112" s="7"/>
      <c r="AF112" s="7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7"/>
      <c r="BF112" s="7"/>
      <c r="BG112" s="7"/>
      <c r="BH112" s="7"/>
      <c r="BI112" s="7"/>
      <c r="BJ112" s="7"/>
      <c r="BK112" s="7"/>
      <c r="BL112" s="7"/>
      <c r="BM112" s="7"/>
    </row>
    <row r="113" spans="1:65">
      <c r="A113" s="8"/>
      <c r="B113" s="7"/>
      <c r="C113" s="7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7"/>
      <c r="AE113" s="7"/>
      <c r="AF113" s="7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7"/>
      <c r="BF113" s="7"/>
      <c r="BG113" s="7"/>
      <c r="BH113" s="7"/>
      <c r="BI113" s="7"/>
      <c r="BJ113" s="7"/>
      <c r="BK113" s="7"/>
      <c r="BL113" s="7"/>
      <c r="BM113" s="7"/>
    </row>
    <row r="114" spans="1:65">
      <c r="A114" s="8"/>
      <c r="B114" s="7"/>
      <c r="C114" s="7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7"/>
      <c r="AE114" s="7"/>
      <c r="AF114" s="7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7"/>
      <c r="BF114" s="7"/>
      <c r="BG114" s="7"/>
      <c r="BH114" s="7"/>
      <c r="BI114" s="7"/>
      <c r="BJ114" s="7"/>
      <c r="BK114" s="7"/>
      <c r="BL114" s="7"/>
      <c r="BM114" s="7"/>
    </row>
    <row r="115" spans="1:65">
      <c r="A115" s="8"/>
      <c r="B115" s="7"/>
      <c r="C115" s="7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7"/>
      <c r="AE115" s="7"/>
      <c r="AF115" s="7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7"/>
      <c r="BF115" s="7"/>
      <c r="BG115" s="7"/>
      <c r="BH115" s="7"/>
      <c r="BI115" s="7"/>
      <c r="BJ115" s="7"/>
      <c r="BK115" s="7"/>
      <c r="BL115" s="7"/>
      <c r="BM115" s="7"/>
    </row>
    <row r="116" spans="1:65">
      <c r="A116" s="8"/>
      <c r="B116" s="7"/>
      <c r="C116" s="7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7"/>
      <c r="AE116" s="7"/>
      <c r="AF116" s="7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7"/>
      <c r="BF116" s="7"/>
      <c r="BG116" s="7"/>
      <c r="BH116" s="7"/>
      <c r="BI116" s="7"/>
      <c r="BJ116" s="7"/>
      <c r="BK116" s="7"/>
      <c r="BL116" s="7"/>
      <c r="BM116" s="7"/>
    </row>
    <row r="117" spans="1:65">
      <c r="A117" s="8"/>
      <c r="B117" s="7"/>
      <c r="C117" s="7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7"/>
      <c r="AE117" s="7"/>
      <c r="AF117" s="7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7"/>
      <c r="BF117" s="7"/>
      <c r="BG117" s="7"/>
      <c r="BH117" s="7"/>
      <c r="BI117" s="7"/>
      <c r="BJ117" s="7"/>
      <c r="BK117" s="7"/>
      <c r="BL117" s="7"/>
      <c r="BM117" s="7"/>
    </row>
    <row r="118" spans="1:65">
      <c r="A118" s="8"/>
      <c r="B118" s="7"/>
      <c r="C118" s="7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7"/>
      <c r="AE118" s="7"/>
      <c r="AF118" s="7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7"/>
      <c r="BF118" s="7"/>
      <c r="BG118" s="7"/>
      <c r="BH118" s="7"/>
      <c r="BI118" s="7"/>
      <c r="BJ118" s="7"/>
      <c r="BK118" s="7"/>
      <c r="BL118" s="7"/>
      <c r="BM118" s="7"/>
    </row>
    <row r="119" spans="1:65">
      <c r="A119" s="8"/>
      <c r="B119" s="7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7"/>
      <c r="AE119" s="7"/>
      <c r="AF119" s="7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7"/>
      <c r="BF119" s="7"/>
      <c r="BG119" s="7"/>
      <c r="BH119" s="7"/>
      <c r="BI119" s="7"/>
      <c r="BJ119" s="7"/>
      <c r="BK119" s="7"/>
      <c r="BL119" s="7"/>
      <c r="BM119" s="7"/>
    </row>
    <row r="120" spans="1:65">
      <c r="A120" s="8"/>
      <c r="B120" s="7"/>
      <c r="C120" s="7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7"/>
      <c r="AE120" s="7"/>
      <c r="AF120" s="7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7"/>
      <c r="BF120" s="7"/>
      <c r="BG120" s="7"/>
      <c r="BH120" s="7"/>
      <c r="BI120" s="7"/>
      <c r="BJ120" s="7"/>
      <c r="BK120" s="7"/>
      <c r="BL120" s="7"/>
      <c r="BM120" s="7"/>
    </row>
    <row r="121" spans="1:65">
      <c r="A121" s="8"/>
      <c r="B121" s="7"/>
      <c r="C121" s="7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7"/>
      <c r="AE121" s="7"/>
      <c r="AF121" s="7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7"/>
      <c r="BF121" s="7"/>
      <c r="BG121" s="7"/>
      <c r="BH121" s="7"/>
      <c r="BI121" s="7"/>
      <c r="BJ121" s="7"/>
      <c r="BK121" s="7"/>
      <c r="BL121" s="7"/>
      <c r="BM121" s="7"/>
    </row>
    <row r="122" spans="1:65">
      <c r="A122" s="8"/>
      <c r="B122" s="7"/>
      <c r="C122" s="7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7"/>
      <c r="AE122" s="7"/>
      <c r="AF122" s="7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7"/>
      <c r="BF122" s="7"/>
      <c r="BG122" s="7"/>
      <c r="BH122" s="7"/>
      <c r="BI122" s="7"/>
      <c r="BJ122" s="7"/>
      <c r="BK122" s="7"/>
      <c r="BL122" s="7"/>
      <c r="BM122" s="7"/>
    </row>
    <row r="123" spans="1:65">
      <c r="A123" s="8"/>
      <c r="B123" s="7"/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7"/>
      <c r="AE123" s="7"/>
      <c r="AF123" s="7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1:65">
      <c r="A124" s="8"/>
      <c r="B124" s="7"/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7"/>
      <c r="AE124" s="7"/>
      <c r="AF124" s="7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7"/>
      <c r="BF124" s="7"/>
      <c r="BG124" s="7"/>
      <c r="BH124" s="7"/>
      <c r="BI124" s="7"/>
      <c r="BJ124" s="7"/>
      <c r="BK124" s="7"/>
      <c r="BL124" s="7"/>
      <c r="BM124" s="7"/>
    </row>
    <row r="125" spans="1:65">
      <c r="A125" s="8"/>
      <c r="B125" s="7"/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7"/>
      <c r="AE125" s="7"/>
      <c r="AF125" s="7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7"/>
      <c r="BF125" s="7"/>
      <c r="BG125" s="7"/>
      <c r="BH125" s="7"/>
      <c r="BI125" s="7"/>
      <c r="BJ125" s="7"/>
      <c r="BK125" s="7"/>
      <c r="BL125" s="7"/>
      <c r="BM125" s="7"/>
    </row>
    <row r="126" spans="1:65">
      <c r="A126" s="8"/>
      <c r="B126" s="7"/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7"/>
      <c r="AE126" s="7"/>
      <c r="AF126" s="7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7"/>
      <c r="BF126" s="7"/>
      <c r="BG126" s="7"/>
      <c r="BH126" s="7"/>
      <c r="BI126" s="7"/>
      <c r="BJ126" s="7"/>
      <c r="BK126" s="7"/>
      <c r="BL126" s="7"/>
      <c r="BM126" s="7"/>
    </row>
    <row r="127" spans="1:65">
      <c r="A127" s="8"/>
      <c r="B127" s="7"/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7"/>
      <c r="AE127" s="7"/>
      <c r="AF127" s="7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7"/>
      <c r="BF127" s="7"/>
      <c r="BG127" s="7"/>
      <c r="BH127" s="7"/>
      <c r="BI127" s="7"/>
      <c r="BJ127" s="7"/>
      <c r="BK127" s="7"/>
      <c r="BL127" s="7"/>
      <c r="BM127" s="7"/>
    </row>
    <row r="128" spans="1:65">
      <c r="A128" s="8"/>
      <c r="B128" s="7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7"/>
      <c r="AE128" s="7"/>
      <c r="AF128" s="7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1:65">
      <c r="A129" s="8"/>
      <c r="B129" s="7"/>
      <c r="C129" s="7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7"/>
      <c r="AE129" s="7"/>
      <c r="AF129" s="7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7"/>
      <c r="BF129" s="7"/>
      <c r="BG129" s="7"/>
      <c r="BH129" s="7"/>
      <c r="BI129" s="7"/>
      <c r="BJ129" s="7"/>
      <c r="BK129" s="7"/>
      <c r="BL129" s="7"/>
      <c r="BM129" s="7"/>
    </row>
    <row r="130" spans="1:65">
      <c r="A130" s="8"/>
      <c r="B130" s="7"/>
      <c r="C130" s="7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7"/>
      <c r="AE130" s="7"/>
      <c r="AF130" s="7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7"/>
      <c r="BF130" s="7"/>
      <c r="BG130" s="7"/>
      <c r="BH130" s="7"/>
      <c r="BI130" s="7"/>
      <c r="BJ130" s="7"/>
      <c r="BK130" s="7"/>
      <c r="BL130" s="7"/>
      <c r="BM130" s="7"/>
    </row>
    <row r="131" spans="1:65">
      <c r="A131" s="8"/>
      <c r="B131" s="7"/>
      <c r="C131" s="7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7"/>
      <c r="AE131" s="7"/>
      <c r="AF131" s="7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7"/>
      <c r="BF131" s="7"/>
      <c r="BG131" s="7"/>
      <c r="BH131" s="7"/>
      <c r="BI131" s="7"/>
      <c r="BJ131" s="7"/>
      <c r="BK131" s="7"/>
      <c r="BL131" s="7"/>
      <c r="BM131" s="7"/>
    </row>
    <row r="132" spans="1:65">
      <c r="A132" s="8"/>
      <c r="B132" s="7"/>
      <c r="C132" s="7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7"/>
      <c r="AE132" s="7"/>
      <c r="AF132" s="7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7"/>
      <c r="BF132" s="7"/>
      <c r="BG132" s="7"/>
      <c r="BH132" s="7"/>
      <c r="BI132" s="7"/>
      <c r="BJ132" s="7"/>
      <c r="BK132" s="7"/>
      <c r="BL132" s="7"/>
      <c r="BM132" s="7"/>
    </row>
    <row r="133" spans="1:65">
      <c r="A133" s="8"/>
      <c r="B133" s="7"/>
      <c r="C133" s="7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7"/>
      <c r="AE133" s="7"/>
      <c r="AF133" s="7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7"/>
      <c r="BF133" s="7"/>
      <c r="BG133" s="7"/>
      <c r="BH133" s="7"/>
      <c r="BI133" s="7"/>
      <c r="BJ133" s="7"/>
      <c r="BK133" s="7"/>
      <c r="BL133" s="7"/>
      <c r="BM133" s="7"/>
    </row>
    <row r="134" spans="1:65">
      <c r="A134" s="8"/>
      <c r="B134" s="7"/>
      <c r="C134" s="7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7"/>
      <c r="AE134" s="7"/>
      <c r="AF134" s="7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7"/>
      <c r="BF134" s="7"/>
      <c r="BG134" s="7"/>
      <c r="BH134" s="7"/>
      <c r="BI134" s="7"/>
      <c r="BJ134" s="7"/>
      <c r="BK134" s="7"/>
      <c r="BL134" s="7"/>
      <c r="BM134" s="7"/>
    </row>
    <row r="135" spans="1:65">
      <c r="A135" s="8"/>
      <c r="B135" s="7"/>
      <c r="C135" s="7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7"/>
      <c r="AE135" s="7"/>
      <c r="AF135" s="7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1:65">
      <c r="A136" s="8"/>
      <c r="B136" s="7"/>
      <c r="C136" s="7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7"/>
      <c r="AE136" s="7"/>
      <c r="AF136" s="7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7"/>
      <c r="BF136" s="7"/>
      <c r="BG136" s="7"/>
      <c r="BH136" s="7"/>
      <c r="BI136" s="7"/>
      <c r="BJ136" s="7"/>
      <c r="BK136" s="7"/>
      <c r="BL136" s="7"/>
      <c r="BM136" s="7"/>
    </row>
    <row r="137" spans="1:65">
      <c r="A137" s="8"/>
      <c r="B137" s="7"/>
      <c r="C137" s="7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7"/>
      <c r="AE137" s="7"/>
      <c r="AF137" s="7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7"/>
      <c r="BF137" s="7"/>
      <c r="BG137" s="7"/>
      <c r="BH137" s="7"/>
      <c r="BI137" s="7"/>
      <c r="BJ137" s="7"/>
      <c r="BK137" s="7"/>
      <c r="BL137" s="7"/>
      <c r="BM137" s="7"/>
    </row>
    <row r="138" spans="1:65">
      <c r="A138" s="8"/>
      <c r="B138" s="7"/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7"/>
      <c r="AE138" s="7"/>
      <c r="AF138" s="7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7"/>
      <c r="BF138" s="7"/>
      <c r="BG138" s="7"/>
      <c r="BH138" s="7"/>
      <c r="BI138" s="7"/>
      <c r="BJ138" s="7"/>
      <c r="BK138" s="7"/>
      <c r="BL138" s="7"/>
      <c r="BM138" s="7"/>
    </row>
    <row r="139" spans="1:65">
      <c r="A139" s="8"/>
      <c r="B139" s="7"/>
      <c r="C139" s="7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7"/>
      <c r="AE139" s="7"/>
      <c r="AF139" s="7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7"/>
      <c r="BF139" s="7"/>
      <c r="BG139" s="7"/>
      <c r="BH139" s="7"/>
      <c r="BI139" s="7"/>
      <c r="BJ139" s="7"/>
      <c r="BK139" s="7"/>
      <c r="BL139" s="7"/>
      <c r="BM139" s="7"/>
    </row>
    <row r="140" spans="1:65">
      <c r="A140" s="8"/>
      <c r="B140" s="7"/>
      <c r="C140" s="7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7"/>
      <c r="AE140" s="7"/>
      <c r="AF140" s="7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1:65">
      <c r="A141" s="8"/>
      <c r="B141" s="7"/>
      <c r="C141" s="7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7"/>
      <c r="AE141" s="7"/>
      <c r="AF141" s="7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1:65">
      <c r="A142" s="8"/>
      <c r="B142" s="7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7"/>
      <c r="AE142" s="7"/>
      <c r="AF142" s="7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7"/>
      <c r="BF142" s="7"/>
      <c r="BG142" s="7"/>
      <c r="BH142" s="7"/>
      <c r="BI142" s="7"/>
      <c r="BJ142" s="7"/>
      <c r="BK142" s="7"/>
      <c r="BL142" s="7"/>
      <c r="BM142" s="7"/>
    </row>
    <row r="143" spans="1:65">
      <c r="A143" s="8"/>
      <c r="B143" s="7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7"/>
      <c r="AE143" s="7"/>
      <c r="AF143" s="7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1:65">
      <c r="A144" s="8"/>
      <c r="B144" s="7"/>
      <c r="C144" s="7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7"/>
      <c r="AE144" s="7"/>
      <c r="AF144" s="7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7"/>
      <c r="BF144" s="7"/>
      <c r="BG144" s="7"/>
      <c r="BH144" s="7"/>
      <c r="BI144" s="7"/>
      <c r="BJ144" s="7"/>
      <c r="BK144" s="7"/>
      <c r="BL144" s="7"/>
      <c r="BM144" s="7"/>
    </row>
    <row r="145" spans="1:65">
      <c r="A145" s="8"/>
      <c r="B145" s="7"/>
      <c r="C145" s="7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7"/>
      <c r="AE145" s="7"/>
      <c r="AF145" s="7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7"/>
      <c r="BF145" s="7"/>
      <c r="BG145" s="7"/>
      <c r="BH145" s="7"/>
      <c r="BI145" s="7"/>
      <c r="BJ145" s="7"/>
      <c r="BK145" s="7"/>
      <c r="BL145" s="7"/>
      <c r="BM145" s="7"/>
    </row>
    <row r="146" spans="1:65">
      <c r="A146" s="8"/>
      <c r="B146" s="7"/>
      <c r="C146" s="7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7"/>
      <c r="AE146" s="7"/>
      <c r="AF146" s="7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7"/>
      <c r="BF146" s="7"/>
      <c r="BG146" s="7"/>
      <c r="BH146" s="7"/>
      <c r="BI146" s="7"/>
      <c r="BJ146" s="7"/>
      <c r="BK146" s="7"/>
      <c r="BL146" s="7"/>
      <c r="BM146" s="7"/>
    </row>
    <row r="147" spans="1:65">
      <c r="A147" s="8"/>
      <c r="B147" s="7"/>
      <c r="C147" s="7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7"/>
      <c r="AE147" s="7"/>
      <c r="AF147" s="7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7"/>
      <c r="BF147" s="7"/>
      <c r="BG147" s="7"/>
      <c r="BH147" s="7"/>
      <c r="BI147" s="7"/>
      <c r="BJ147" s="7"/>
      <c r="BK147" s="7"/>
      <c r="BL147" s="7"/>
      <c r="BM147" s="7"/>
    </row>
    <row r="148" spans="1:65">
      <c r="A148" s="8"/>
      <c r="B148" s="7"/>
      <c r="C148" s="7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7"/>
      <c r="AE148" s="7"/>
      <c r="AF148" s="7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7"/>
      <c r="BF148" s="7"/>
      <c r="BG148" s="7"/>
      <c r="BH148" s="7"/>
      <c r="BI148" s="7"/>
      <c r="BJ148" s="7"/>
      <c r="BK148" s="7"/>
      <c r="BL148" s="7"/>
      <c r="BM148" s="7"/>
    </row>
    <row r="149" spans="1:65">
      <c r="A149" s="8"/>
      <c r="B149" s="7"/>
      <c r="C149" s="7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7"/>
      <c r="AE149" s="7"/>
      <c r="AF149" s="7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7"/>
      <c r="BF149" s="7"/>
      <c r="BG149" s="7"/>
      <c r="BH149" s="7"/>
      <c r="BI149" s="7"/>
      <c r="BJ149" s="7"/>
      <c r="BK149" s="7"/>
      <c r="BL149" s="7"/>
      <c r="BM149" s="7"/>
    </row>
    <row r="150" spans="1:65">
      <c r="A150" s="8"/>
      <c r="B150" s="7"/>
      <c r="C150" s="7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7"/>
      <c r="AE150" s="7"/>
      <c r="AF150" s="7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7"/>
      <c r="BF150" s="7"/>
      <c r="BG150" s="7"/>
      <c r="BH150" s="7"/>
      <c r="BI150" s="7"/>
      <c r="BJ150" s="7"/>
      <c r="BK150" s="7"/>
      <c r="BL150" s="7"/>
      <c r="BM150" s="7"/>
    </row>
    <row r="151" spans="1:65">
      <c r="A151" s="8"/>
      <c r="B151" s="7"/>
      <c r="C151" s="7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7"/>
      <c r="AE151" s="7"/>
      <c r="AF151" s="7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7"/>
      <c r="BF151" s="7"/>
      <c r="BG151" s="7"/>
      <c r="BH151" s="7"/>
      <c r="BI151" s="7"/>
      <c r="BJ151" s="7"/>
      <c r="BK151" s="7"/>
      <c r="BL151" s="7"/>
      <c r="BM151" s="7"/>
    </row>
    <row r="152" spans="1:65">
      <c r="A152" s="8"/>
      <c r="B152" s="7"/>
      <c r="C152" s="7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7"/>
      <c r="AE152" s="7"/>
      <c r="AF152" s="7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7"/>
      <c r="BF152" s="7"/>
      <c r="BG152" s="7"/>
      <c r="BH152" s="7"/>
      <c r="BI152" s="7"/>
      <c r="BJ152" s="7"/>
      <c r="BK152" s="7"/>
      <c r="BL152" s="7"/>
      <c r="BM152" s="7"/>
    </row>
    <row r="153" spans="1:65">
      <c r="A153" s="8"/>
      <c r="B153" s="7"/>
      <c r="C153" s="7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7"/>
      <c r="AE153" s="7"/>
      <c r="AF153" s="7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7"/>
      <c r="BF153" s="7"/>
      <c r="BG153" s="7"/>
      <c r="BH153" s="7"/>
      <c r="BI153" s="7"/>
      <c r="BJ153" s="7"/>
      <c r="BK153" s="7"/>
      <c r="BL153" s="7"/>
      <c r="BM153" s="7"/>
    </row>
    <row r="154" spans="1:65">
      <c r="A154" s="8"/>
      <c r="B154" s="7"/>
      <c r="C154" s="7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7"/>
      <c r="AE154" s="7"/>
      <c r="AF154" s="7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7"/>
      <c r="BF154" s="7"/>
      <c r="BG154" s="7"/>
      <c r="BH154" s="7"/>
      <c r="BI154" s="7"/>
      <c r="BJ154" s="7"/>
      <c r="BK154" s="7"/>
      <c r="BL154" s="7"/>
      <c r="BM154" s="7"/>
    </row>
    <row r="155" spans="1:65">
      <c r="A155" s="8"/>
      <c r="B155" s="7"/>
      <c r="C155" s="7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7"/>
      <c r="AE155" s="7"/>
      <c r="AF155" s="7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7"/>
      <c r="BF155" s="7"/>
      <c r="BG155" s="7"/>
      <c r="BH155" s="7"/>
      <c r="BI155" s="7"/>
      <c r="BJ155" s="7"/>
      <c r="BK155" s="7"/>
      <c r="BL155" s="7"/>
      <c r="BM155" s="7"/>
    </row>
    <row r="156" spans="1:65">
      <c r="A156" s="8"/>
      <c r="B156" s="7"/>
      <c r="C156" s="7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7"/>
      <c r="AE156" s="7"/>
      <c r="AF156" s="7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7"/>
      <c r="BF156" s="7"/>
      <c r="BG156" s="7"/>
      <c r="BH156" s="7"/>
      <c r="BI156" s="7"/>
      <c r="BJ156" s="7"/>
      <c r="BK156" s="7"/>
      <c r="BL156" s="7"/>
      <c r="BM156" s="7"/>
    </row>
    <row r="157" spans="1:65">
      <c r="A157" s="8"/>
      <c r="B157" s="7"/>
      <c r="C157" s="7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7"/>
      <c r="AE157" s="7"/>
      <c r="AF157" s="7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7"/>
      <c r="BF157" s="7"/>
      <c r="BG157" s="7"/>
      <c r="BH157" s="7"/>
      <c r="BI157" s="7"/>
      <c r="BJ157" s="7"/>
      <c r="BK157" s="7"/>
      <c r="BL157" s="7"/>
      <c r="BM157" s="7"/>
    </row>
    <row r="158" spans="1:65">
      <c r="A158" s="8"/>
      <c r="B158" s="7"/>
      <c r="C158" s="7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7"/>
      <c r="AE158" s="7"/>
      <c r="AF158" s="7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7"/>
      <c r="BF158" s="7"/>
      <c r="BG158" s="7"/>
      <c r="BH158" s="7"/>
      <c r="BI158" s="7"/>
      <c r="BJ158" s="7"/>
      <c r="BK158" s="7"/>
      <c r="BL158" s="7"/>
      <c r="BM158" s="7"/>
    </row>
    <row r="159" spans="1:65">
      <c r="A159" s="8"/>
      <c r="B159" s="7"/>
      <c r="C159" s="7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7"/>
      <c r="AE159" s="7"/>
      <c r="AF159" s="7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7"/>
      <c r="BF159" s="7"/>
      <c r="BG159" s="7"/>
      <c r="BH159" s="7"/>
      <c r="BI159" s="7"/>
      <c r="BJ159" s="7"/>
      <c r="BK159" s="7"/>
      <c r="BL159" s="7"/>
      <c r="BM159" s="7"/>
    </row>
    <row r="160" spans="1:65">
      <c r="A160" s="8"/>
      <c r="B160" s="7"/>
      <c r="C160" s="7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7"/>
      <c r="AE160" s="7"/>
      <c r="AF160" s="7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7"/>
      <c r="BF160" s="7"/>
      <c r="BG160" s="7"/>
      <c r="BH160" s="7"/>
      <c r="BI160" s="7"/>
      <c r="BJ160" s="7"/>
      <c r="BK160" s="7"/>
      <c r="BL160" s="7"/>
      <c r="BM160" s="7"/>
    </row>
    <row r="161" spans="1:65">
      <c r="A161" s="8"/>
      <c r="B161" s="7"/>
      <c r="C161" s="7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7"/>
      <c r="AE161" s="7"/>
      <c r="AF161" s="7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7"/>
      <c r="BF161" s="7"/>
      <c r="BG161" s="7"/>
      <c r="BH161" s="7"/>
      <c r="BI161" s="7"/>
      <c r="BJ161" s="7"/>
      <c r="BK161" s="7"/>
      <c r="BL161" s="7"/>
      <c r="BM161" s="7"/>
    </row>
    <row r="162" spans="1:65">
      <c r="A162" s="8"/>
      <c r="B162" s="7"/>
      <c r="C162" s="7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7"/>
      <c r="AE162" s="7"/>
      <c r="AF162" s="7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7"/>
      <c r="BF162" s="7"/>
      <c r="BG162" s="7"/>
      <c r="BH162" s="7"/>
      <c r="BI162" s="7"/>
      <c r="BJ162" s="7"/>
      <c r="BK162" s="7"/>
      <c r="BL162" s="7"/>
      <c r="BM162" s="7"/>
    </row>
    <row r="163" spans="1:65">
      <c r="A163" s="8"/>
      <c r="B163" s="7"/>
      <c r="C163" s="7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7"/>
      <c r="AE163" s="7"/>
      <c r="AF163" s="7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7"/>
      <c r="BF163" s="7"/>
      <c r="BG163" s="7"/>
      <c r="BH163" s="7"/>
      <c r="BI163" s="7"/>
      <c r="BJ163" s="7"/>
      <c r="BK163" s="7"/>
      <c r="BL163" s="7"/>
      <c r="BM163" s="7"/>
    </row>
    <row r="164" spans="1:65">
      <c r="A164" s="8"/>
      <c r="B164" s="7"/>
      <c r="C164" s="7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7"/>
      <c r="AE164" s="7"/>
      <c r="AF164" s="7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7"/>
      <c r="BF164" s="7"/>
      <c r="BG164" s="7"/>
      <c r="BH164" s="7"/>
      <c r="BI164" s="7"/>
      <c r="BJ164" s="7"/>
      <c r="BK164" s="7"/>
      <c r="BL164" s="7"/>
      <c r="BM164" s="7"/>
    </row>
    <row r="165" spans="1:65">
      <c r="A165" s="8"/>
      <c r="B165" s="7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7"/>
      <c r="AE165" s="7"/>
      <c r="AF165" s="7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7"/>
      <c r="BF165" s="7"/>
      <c r="BG165" s="7"/>
      <c r="BH165" s="7"/>
      <c r="BI165" s="7"/>
      <c r="BJ165" s="7"/>
      <c r="BK165" s="7"/>
      <c r="BL165" s="7"/>
      <c r="BM165" s="7"/>
    </row>
    <row r="166" spans="1:65">
      <c r="A166" s="8"/>
      <c r="B166" s="7"/>
      <c r="C166" s="7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7"/>
      <c r="AE166" s="7"/>
      <c r="AF166" s="7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7"/>
      <c r="BF166" s="7"/>
      <c r="BG166" s="7"/>
      <c r="BH166" s="7"/>
      <c r="BI166" s="7"/>
      <c r="BJ166" s="7"/>
      <c r="BK166" s="7"/>
      <c r="BL166" s="7"/>
      <c r="BM166" s="7"/>
    </row>
    <row r="167" spans="1:65">
      <c r="A167" s="8"/>
      <c r="B167" s="7"/>
      <c r="C167" s="7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7"/>
      <c r="AE167" s="7"/>
      <c r="AF167" s="7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7"/>
      <c r="BF167" s="7"/>
      <c r="BG167" s="7"/>
      <c r="BH167" s="7"/>
      <c r="BI167" s="7"/>
      <c r="BJ167" s="7"/>
      <c r="BK167" s="7"/>
      <c r="BL167" s="7"/>
      <c r="BM167" s="7"/>
    </row>
    <row r="168" spans="1:65">
      <c r="A168" s="8"/>
      <c r="B168" s="7"/>
      <c r="C168" s="7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7"/>
      <c r="AE168" s="7"/>
      <c r="AF168" s="7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7"/>
      <c r="BF168" s="7"/>
      <c r="BG168" s="7"/>
      <c r="BH168" s="7"/>
      <c r="BI168" s="7"/>
      <c r="BJ168" s="7"/>
      <c r="BK168" s="7"/>
      <c r="BL168" s="7"/>
      <c r="BM168" s="7"/>
    </row>
    <row r="169" spans="1:65">
      <c r="A169" s="8"/>
      <c r="B169" s="7"/>
      <c r="C169" s="7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7"/>
      <c r="AE169" s="7"/>
      <c r="AF169" s="7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7"/>
      <c r="BF169" s="7"/>
      <c r="BG169" s="7"/>
      <c r="BH169" s="7"/>
      <c r="BI169" s="7"/>
      <c r="BJ169" s="7"/>
      <c r="BK169" s="7"/>
      <c r="BL169" s="7"/>
      <c r="BM169" s="7"/>
    </row>
    <row r="170" spans="1:65">
      <c r="A170" s="8"/>
      <c r="B170" s="7"/>
      <c r="C170" s="7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7"/>
      <c r="AE170" s="7"/>
      <c r="AF170" s="7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7"/>
      <c r="BF170" s="7"/>
      <c r="BG170" s="7"/>
      <c r="BH170" s="7"/>
      <c r="BI170" s="7"/>
      <c r="BJ170" s="7"/>
      <c r="BK170" s="7"/>
      <c r="BL170" s="7"/>
      <c r="BM170" s="7"/>
    </row>
    <row r="171" spans="1:65">
      <c r="A171" s="8"/>
      <c r="B171" s="7"/>
      <c r="C171" s="7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7"/>
      <c r="AE171" s="7"/>
      <c r="AF171" s="7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7"/>
      <c r="BF171" s="7"/>
      <c r="BG171" s="7"/>
      <c r="BH171" s="7"/>
      <c r="BI171" s="7"/>
      <c r="BJ171" s="7"/>
      <c r="BK171" s="7"/>
      <c r="BL171" s="7"/>
      <c r="BM171" s="7"/>
    </row>
    <row r="172" spans="1:65">
      <c r="A172" s="8"/>
      <c r="B172" s="7"/>
      <c r="C172" s="7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7"/>
      <c r="AE172" s="7"/>
      <c r="AF172" s="7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7"/>
      <c r="BF172" s="7"/>
      <c r="BG172" s="7"/>
      <c r="BH172" s="7"/>
      <c r="BI172" s="7"/>
      <c r="BJ172" s="7"/>
      <c r="BK172" s="7"/>
      <c r="BL172" s="7"/>
      <c r="BM172" s="7"/>
    </row>
    <row r="173" spans="1:65">
      <c r="A173" s="8"/>
      <c r="B173" s="7"/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7"/>
      <c r="AE173" s="7"/>
      <c r="AF173" s="7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7"/>
      <c r="BF173" s="7"/>
      <c r="BG173" s="7"/>
      <c r="BH173" s="7"/>
      <c r="BI173" s="7"/>
      <c r="BJ173" s="7"/>
      <c r="BK173" s="7"/>
      <c r="BL173" s="7"/>
      <c r="BM173" s="7"/>
    </row>
    <row r="174" spans="1:65">
      <c r="A174" s="8"/>
      <c r="B174" s="7"/>
      <c r="C174" s="7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7"/>
      <c r="AE174" s="7"/>
      <c r="AF174" s="7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7"/>
      <c r="BF174" s="7"/>
      <c r="BG174" s="7"/>
      <c r="BH174" s="7"/>
      <c r="BI174" s="7"/>
      <c r="BJ174" s="7"/>
      <c r="BK174" s="7"/>
      <c r="BL174" s="7"/>
      <c r="BM174" s="7"/>
    </row>
    <row r="175" spans="1:65">
      <c r="A175" s="8"/>
      <c r="B175" s="7"/>
      <c r="C175" s="7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7"/>
      <c r="AE175" s="7"/>
      <c r="AF175" s="7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7"/>
      <c r="BF175" s="7"/>
      <c r="BG175" s="7"/>
      <c r="BH175" s="7"/>
      <c r="BI175" s="7"/>
      <c r="BJ175" s="7"/>
      <c r="BK175" s="7"/>
      <c r="BL175" s="7"/>
      <c r="BM175" s="7"/>
    </row>
    <row r="176" spans="1:65">
      <c r="A176" s="8"/>
      <c r="B176" s="7"/>
      <c r="C176" s="7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7"/>
      <c r="AE176" s="7"/>
      <c r="AF176" s="7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7"/>
      <c r="BF176" s="7"/>
      <c r="BG176" s="7"/>
      <c r="BH176" s="7"/>
      <c r="BI176" s="7"/>
      <c r="BJ176" s="7"/>
      <c r="BK176" s="7"/>
      <c r="BL176" s="7"/>
      <c r="BM176" s="7"/>
    </row>
    <row r="177" spans="1:65">
      <c r="A177" s="8"/>
      <c r="B177" s="7"/>
      <c r="C177" s="7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7"/>
      <c r="AE177" s="7"/>
      <c r="AF177" s="7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7"/>
      <c r="BF177" s="7"/>
      <c r="BG177" s="7"/>
      <c r="BH177" s="7"/>
      <c r="BI177" s="7"/>
      <c r="BJ177" s="7"/>
      <c r="BK177" s="7"/>
      <c r="BL177" s="7"/>
      <c r="BM177" s="7"/>
    </row>
    <row r="178" spans="1:65">
      <c r="A178" s="8"/>
      <c r="B178" s="7"/>
      <c r="C178" s="7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7"/>
      <c r="AE178" s="7"/>
      <c r="AF178" s="7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7"/>
      <c r="BF178" s="7"/>
      <c r="BG178" s="7"/>
      <c r="BH178" s="7"/>
      <c r="BI178" s="7"/>
      <c r="BJ178" s="7"/>
      <c r="BK178" s="7"/>
      <c r="BL178" s="7"/>
      <c r="BM178" s="7"/>
    </row>
    <row r="179" spans="1:65">
      <c r="A179" s="8"/>
      <c r="B179" s="7"/>
      <c r="C179" s="7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7"/>
      <c r="AE179" s="7"/>
      <c r="AF179" s="7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7"/>
      <c r="BF179" s="7"/>
      <c r="BG179" s="7"/>
      <c r="BH179" s="7"/>
      <c r="BI179" s="7"/>
      <c r="BJ179" s="7"/>
      <c r="BK179" s="7"/>
      <c r="BL179" s="7"/>
      <c r="BM179" s="7"/>
    </row>
    <row r="180" spans="1:65">
      <c r="A180" s="8"/>
      <c r="B180" s="7"/>
      <c r="C180" s="7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7"/>
      <c r="AE180" s="7"/>
      <c r="AF180" s="7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7"/>
      <c r="BF180" s="7"/>
      <c r="BG180" s="7"/>
      <c r="BH180" s="7"/>
      <c r="BI180" s="7"/>
      <c r="BJ180" s="7"/>
      <c r="BK180" s="7"/>
      <c r="BL180" s="7"/>
      <c r="BM180" s="7"/>
    </row>
    <row r="181" spans="1:65">
      <c r="A181" s="8"/>
      <c r="B181" s="7"/>
      <c r="C181" s="7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7"/>
      <c r="AE181" s="7"/>
      <c r="AF181" s="7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7"/>
      <c r="BF181" s="7"/>
      <c r="BG181" s="7"/>
      <c r="BH181" s="7"/>
      <c r="BI181" s="7"/>
      <c r="BJ181" s="7"/>
      <c r="BK181" s="7"/>
      <c r="BL181" s="7"/>
      <c r="BM181" s="7"/>
    </row>
    <row r="182" spans="1:65">
      <c r="A182" s="8"/>
      <c r="B182" s="7"/>
      <c r="C182" s="7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7"/>
      <c r="AE182" s="7"/>
      <c r="AF182" s="7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7"/>
      <c r="BF182" s="7"/>
      <c r="BG182" s="7"/>
      <c r="BH182" s="7"/>
      <c r="BI182" s="7"/>
      <c r="BJ182" s="7"/>
      <c r="BK182" s="7"/>
      <c r="BL182" s="7"/>
      <c r="BM182" s="7"/>
    </row>
    <row r="183" spans="1:65">
      <c r="A183" s="8"/>
      <c r="B183" s="7"/>
      <c r="C183" s="7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7"/>
      <c r="AE183" s="7"/>
      <c r="AF183" s="7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7"/>
      <c r="BF183" s="7"/>
      <c r="BG183" s="7"/>
      <c r="BH183" s="7"/>
      <c r="BI183" s="7"/>
      <c r="BJ183" s="7"/>
      <c r="BK183" s="7"/>
      <c r="BL183" s="7"/>
      <c r="BM183" s="7"/>
    </row>
    <row r="184" spans="1:65">
      <c r="A184" s="8"/>
      <c r="B184" s="7"/>
      <c r="C184" s="7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7"/>
      <c r="AE184" s="7"/>
      <c r="AF184" s="7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7"/>
      <c r="BF184" s="7"/>
      <c r="BG184" s="7"/>
      <c r="BH184" s="7"/>
      <c r="BI184" s="7"/>
      <c r="BJ184" s="7"/>
      <c r="BK184" s="7"/>
      <c r="BL184" s="7"/>
      <c r="BM184" s="7"/>
    </row>
    <row r="185" spans="1:65">
      <c r="A185" s="8"/>
      <c r="B185" s="7"/>
      <c r="C185" s="7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7"/>
      <c r="AE185" s="7"/>
      <c r="AF185" s="7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7"/>
      <c r="BF185" s="7"/>
      <c r="BG185" s="7"/>
      <c r="BH185" s="7"/>
      <c r="BI185" s="7"/>
      <c r="BJ185" s="7"/>
      <c r="BK185" s="7"/>
      <c r="BL185" s="7"/>
      <c r="BM185" s="7"/>
    </row>
    <row r="186" spans="1:65">
      <c r="A186" s="8"/>
      <c r="B186" s="7"/>
      <c r="C186" s="7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7"/>
      <c r="AE186" s="7"/>
      <c r="AF186" s="7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7"/>
      <c r="BF186" s="7"/>
      <c r="BG186" s="7"/>
      <c r="BH186" s="7"/>
      <c r="BI186" s="7"/>
      <c r="BJ186" s="7"/>
      <c r="BK186" s="7"/>
      <c r="BL186" s="7"/>
      <c r="BM186" s="7"/>
    </row>
    <row r="187" spans="1:65">
      <c r="A187" s="8"/>
      <c r="B187" s="7"/>
      <c r="C187" s="7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7"/>
      <c r="AE187" s="7"/>
      <c r="AF187" s="7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7"/>
      <c r="BF187" s="7"/>
      <c r="BG187" s="7"/>
      <c r="BH187" s="7"/>
      <c r="BI187" s="7"/>
      <c r="BJ187" s="7"/>
      <c r="BK187" s="7"/>
      <c r="BL187" s="7"/>
      <c r="BM187" s="7"/>
    </row>
    <row r="188" spans="1:65">
      <c r="A188" s="8"/>
      <c r="B188" s="7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7"/>
      <c r="AE188" s="7"/>
      <c r="AF188" s="7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7"/>
      <c r="BF188" s="7"/>
      <c r="BG188" s="7"/>
      <c r="BH188" s="7"/>
      <c r="BI188" s="7"/>
      <c r="BJ188" s="7"/>
      <c r="BK188" s="7"/>
      <c r="BL188" s="7"/>
      <c r="BM188" s="7"/>
    </row>
    <row r="189" spans="1:65">
      <c r="A189" s="8"/>
      <c r="B189" s="7"/>
      <c r="C189" s="7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7"/>
      <c r="AE189" s="7"/>
      <c r="AF189" s="7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7"/>
      <c r="BF189" s="7"/>
      <c r="BG189" s="7"/>
      <c r="BH189" s="7"/>
      <c r="BI189" s="7"/>
      <c r="BJ189" s="7"/>
      <c r="BK189" s="7"/>
      <c r="BL189" s="7"/>
      <c r="BM189" s="7"/>
    </row>
    <row r="190" spans="1:65">
      <c r="A190" s="8"/>
      <c r="B190" s="7"/>
      <c r="C190" s="7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7"/>
      <c r="AE190" s="7"/>
      <c r="AF190" s="7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7"/>
      <c r="BF190" s="7"/>
      <c r="BG190" s="7"/>
      <c r="BH190" s="7"/>
      <c r="BI190" s="7"/>
      <c r="BJ190" s="7"/>
      <c r="BK190" s="7"/>
      <c r="BL190" s="7"/>
      <c r="BM190" s="7"/>
    </row>
    <row r="191" spans="1:65">
      <c r="A191" s="8"/>
      <c r="B191" s="7"/>
      <c r="C191" s="7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7"/>
      <c r="AE191" s="7"/>
      <c r="AF191" s="7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7"/>
      <c r="BF191" s="7"/>
      <c r="BG191" s="7"/>
      <c r="BH191" s="7"/>
      <c r="BI191" s="7"/>
      <c r="BJ191" s="7"/>
      <c r="BK191" s="7"/>
      <c r="BL191" s="7"/>
      <c r="BM191" s="7"/>
    </row>
    <row r="192" spans="1:65">
      <c r="A192" s="8"/>
      <c r="B192" s="7"/>
      <c r="C192" s="7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7"/>
      <c r="AE192" s="7"/>
      <c r="AF192" s="7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7"/>
      <c r="BF192" s="7"/>
      <c r="BG192" s="7"/>
      <c r="BH192" s="7"/>
      <c r="BI192" s="7"/>
      <c r="BJ192" s="7"/>
      <c r="BK192" s="7"/>
      <c r="BL192" s="7"/>
      <c r="BM192" s="7"/>
    </row>
    <row r="193" spans="1:65">
      <c r="A193" s="8"/>
      <c r="B193" s="7"/>
      <c r="C193" s="7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7"/>
      <c r="AE193" s="7"/>
      <c r="AF193" s="7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7"/>
      <c r="BF193" s="7"/>
      <c r="BG193" s="7"/>
      <c r="BH193" s="7"/>
      <c r="BI193" s="7"/>
      <c r="BJ193" s="7"/>
      <c r="BK193" s="7"/>
      <c r="BL193" s="7"/>
      <c r="BM193" s="7"/>
    </row>
    <row r="194" spans="1:65">
      <c r="A194" s="8"/>
      <c r="B194" s="7"/>
      <c r="C194" s="7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7"/>
      <c r="AE194" s="7"/>
      <c r="AF194" s="7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7"/>
      <c r="BF194" s="7"/>
      <c r="BG194" s="7"/>
      <c r="BH194" s="7"/>
      <c r="BI194" s="7"/>
      <c r="BJ194" s="7"/>
      <c r="BK194" s="7"/>
      <c r="BL194" s="7"/>
      <c r="BM194" s="7"/>
    </row>
    <row r="195" spans="1:65">
      <c r="A195" s="8"/>
      <c r="B195" s="7"/>
      <c r="C195" s="7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7"/>
      <c r="AE195" s="7"/>
      <c r="AF195" s="7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7"/>
      <c r="BF195" s="7"/>
      <c r="BG195" s="7"/>
      <c r="BH195" s="7"/>
      <c r="BI195" s="7"/>
      <c r="BJ195" s="7"/>
      <c r="BK195" s="7"/>
      <c r="BL195" s="7"/>
      <c r="BM195" s="7"/>
    </row>
    <row r="196" spans="1:65">
      <c r="A196" s="8"/>
      <c r="B196" s="7"/>
      <c r="C196" s="7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7"/>
      <c r="AE196" s="7"/>
      <c r="AF196" s="7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7"/>
      <c r="BF196" s="7"/>
      <c r="BG196" s="7"/>
      <c r="BH196" s="7"/>
      <c r="BI196" s="7"/>
      <c r="BJ196" s="7"/>
      <c r="BK196" s="7"/>
      <c r="BL196" s="7"/>
      <c r="BM196" s="7"/>
    </row>
    <row r="197" spans="1:65">
      <c r="A197" s="8"/>
      <c r="B197" s="7"/>
      <c r="C197" s="7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7"/>
      <c r="AE197" s="7"/>
      <c r="AF197" s="7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7"/>
      <c r="BF197" s="7"/>
      <c r="BG197" s="7"/>
      <c r="BH197" s="7"/>
      <c r="BI197" s="7"/>
      <c r="BJ197" s="7"/>
      <c r="BK197" s="7"/>
      <c r="BL197" s="7"/>
      <c r="BM197" s="7"/>
    </row>
    <row r="198" spans="1:65">
      <c r="A198" s="8"/>
      <c r="B198" s="7"/>
      <c r="C198" s="7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7"/>
      <c r="AE198" s="7"/>
      <c r="AF198" s="7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7"/>
      <c r="BF198" s="7"/>
      <c r="BG198" s="7"/>
      <c r="BH198" s="7"/>
      <c r="BI198" s="7"/>
      <c r="BJ198" s="7"/>
      <c r="BK198" s="7"/>
      <c r="BL198" s="7"/>
      <c r="BM198" s="7"/>
    </row>
    <row r="199" spans="1:65">
      <c r="A199" s="8"/>
      <c r="B199" s="7"/>
      <c r="C199" s="7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7"/>
      <c r="AE199" s="7"/>
      <c r="AF199" s="7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7"/>
      <c r="BF199" s="7"/>
      <c r="BG199" s="7"/>
      <c r="BH199" s="7"/>
      <c r="BI199" s="7"/>
      <c r="BJ199" s="7"/>
      <c r="BK199" s="7"/>
      <c r="BL199" s="7"/>
      <c r="BM199" s="7"/>
    </row>
    <row r="200" spans="1:65">
      <c r="A200" s="8"/>
      <c r="B200" s="7"/>
      <c r="C200" s="7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7"/>
      <c r="AE200" s="7"/>
      <c r="AF200" s="7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7"/>
      <c r="BF200" s="7"/>
      <c r="BG200" s="7"/>
      <c r="BH200" s="7"/>
      <c r="BI200" s="7"/>
      <c r="BJ200" s="7"/>
      <c r="BK200" s="7"/>
      <c r="BL200" s="7"/>
      <c r="BM200" s="7"/>
    </row>
    <row r="201" spans="1:65">
      <c r="A201" s="8"/>
      <c r="B201" s="7"/>
      <c r="C201" s="7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7"/>
      <c r="AE201" s="7"/>
      <c r="AF201" s="7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7"/>
      <c r="BF201" s="7"/>
      <c r="BG201" s="7"/>
      <c r="BH201" s="7"/>
      <c r="BI201" s="7"/>
      <c r="BJ201" s="7"/>
      <c r="BK201" s="7"/>
      <c r="BL201" s="7"/>
      <c r="BM201" s="7"/>
    </row>
    <row r="202" spans="1:65">
      <c r="A202" s="8"/>
      <c r="B202" s="7"/>
      <c r="C202" s="7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7"/>
      <c r="AE202" s="7"/>
      <c r="AF202" s="7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7"/>
      <c r="BF202" s="7"/>
      <c r="BG202" s="7"/>
      <c r="BH202" s="7"/>
      <c r="BI202" s="7"/>
      <c r="BJ202" s="7"/>
      <c r="BK202" s="7"/>
      <c r="BL202" s="7"/>
      <c r="BM202" s="7"/>
    </row>
    <row r="203" spans="1:65">
      <c r="A203" s="8"/>
      <c r="B203" s="7"/>
      <c r="C203" s="7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7"/>
      <c r="AE203" s="7"/>
      <c r="AF203" s="7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7"/>
      <c r="BF203" s="7"/>
      <c r="BG203" s="7"/>
      <c r="BH203" s="7"/>
      <c r="BI203" s="7"/>
      <c r="BJ203" s="7"/>
      <c r="BK203" s="7"/>
      <c r="BL203" s="7"/>
      <c r="BM203" s="7"/>
    </row>
    <row r="204" spans="1:65">
      <c r="A204" s="8"/>
      <c r="B204" s="7"/>
      <c r="C204" s="7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7"/>
      <c r="AE204" s="7"/>
      <c r="AF204" s="7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7"/>
      <c r="BF204" s="7"/>
      <c r="BG204" s="7"/>
      <c r="BH204" s="7"/>
      <c r="BI204" s="7"/>
      <c r="BJ204" s="7"/>
      <c r="BK204" s="7"/>
      <c r="BL204" s="7"/>
      <c r="BM204" s="7"/>
    </row>
    <row r="205" spans="1:65">
      <c r="A205" s="8"/>
      <c r="B205" s="7"/>
      <c r="C205" s="7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7"/>
      <c r="AE205" s="7"/>
      <c r="AF205" s="7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7"/>
      <c r="BF205" s="7"/>
      <c r="BG205" s="7"/>
      <c r="BH205" s="7"/>
      <c r="BI205" s="7"/>
      <c r="BJ205" s="7"/>
      <c r="BK205" s="7"/>
      <c r="BL205" s="7"/>
      <c r="BM205" s="7"/>
    </row>
    <row r="206" spans="1:65">
      <c r="A206" s="8"/>
      <c r="B206" s="7"/>
      <c r="C206" s="7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7"/>
      <c r="AE206" s="7"/>
      <c r="AF206" s="7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7"/>
      <c r="BF206" s="7"/>
      <c r="BG206" s="7"/>
      <c r="BH206" s="7"/>
      <c r="BI206" s="7"/>
      <c r="BJ206" s="7"/>
      <c r="BK206" s="7"/>
      <c r="BL206" s="7"/>
      <c r="BM206" s="7"/>
    </row>
    <row r="207" spans="1:65">
      <c r="A207" s="8"/>
      <c r="B207" s="7"/>
      <c r="C207" s="7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7"/>
      <c r="AE207" s="7"/>
      <c r="AF207" s="7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7"/>
      <c r="BF207" s="7"/>
      <c r="BG207" s="7"/>
      <c r="BH207" s="7"/>
      <c r="BI207" s="7"/>
      <c r="BJ207" s="7"/>
      <c r="BK207" s="7"/>
      <c r="BL207" s="7"/>
      <c r="BM207" s="7"/>
    </row>
    <row r="208" spans="1:65">
      <c r="A208" s="8"/>
      <c r="B208" s="7"/>
      <c r="C208" s="7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7"/>
      <c r="AE208" s="7"/>
      <c r="AF208" s="7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7"/>
      <c r="BF208" s="7"/>
      <c r="BG208" s="7"/>
      <c r="BH208" s="7"/>
      <c r="BI208" s="7"/>
      <c r="BJ208" s="7"/>
      <c r="BK208" s="7"/>
      <c r="BL208" s="7"/>
      <c r="BM208" s="7"/>
    </row>
    <row r="209" spans="1:65">
      <c r="A209" s="8"/>
      <c r="B209" s="7"/>
      <c r="C209" s="7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7"/>
      <c r="AE209" s="7"/>
      <c r="AF209" s="7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7"/>
      <c r="BF209" s="7"/>
      <c r="BG209" s="7"/>
      <c r="BH209" s="7"/>
      <c r="BI209" s="7"/>
      <c r="BJ209" s="7"/>
      <c r="BK209" s="7"/>
      <c r="BL209" s="7"/>
      <c r="BM209" s="7"/>
    </row>
    <row r="210" spans="1:65">
      <c r="A210" s="8"/>
      <c r="B210" s="7"/>
      <c r="C210" s="7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7"/>
      <c r="AE210" s="7"/>
      <c r="AF210" s="7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7"/>
      <c r="BF210" s="7"/>
      <c r="BG210" s="7"/>
      <c r="BH210" s="7"/>
      <c r="BI210" s="7"/>
      <c r="BJ210" s="7"/>
      <c r="BK210" s="7"/>
      <c r="BL210" s="7"/>
      <c r="BM210" s="7"/>
    </row>
    <row r="211" spans="1:65">
      <c r="A211" s="8"/>
      <c r="B211" s="7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7"/>
      <c r="AE211" s="7"/>
      <c r="AF211" s="7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7"/>
      <c r="BF211" s="7"/>
      <c r="BG211" s="7"/>
      <c r="BH211" s="7"/>
      <c r="BI211" s="7"/>
      <c r="BJ211" s="7"/>
      <c r="BK211" s="7"/>
      <c r="BL211" s="7"/>
      <c r="BM211" s="7"/>
    </row>
    <row r="212" spans="1:65">
      <c r="A212" s="8"/>
      <c r="B212" s="7"/>
      <c r="C212" s="7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7"/>
      <c r="AE212" s="7"/>
      <c r="AF212" s="7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7"/>
      <c r="BF212" s="7"/>
      <c r="BG212" s="7"/>
      <c r="BH212" s="7"/>
      <c r="BI212" s="7"/>
      <c r="BJ212" s="7"/>
      <c r="BK212" s="7"/>
      <c r="BL212" s="7"/>
      <c r="BM212" s="7"/>
    </row>
    <row r="213" spans="1:65">
      <c r="A213" s="8"/>
      <c r="B213" s="7"/>
      <c r="C213" s="7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7"/>
      <c r="AE213" s="7"/>
      <c r="AF213" s="7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7"/>
      <c r="BF213" s="7"/>
      <c r="BG213" s="7"/>
      <c r="BH213" s="7"/>
      <c r="BI213" s="7"/>
      <c r="BJ213" s="7"/>
      <c r="BK213" s="7"/>
      <c r="BL213" s="7"/>
      <c r="BM213" s="7"/>
    </row>
    <row r="214" spans="1:65">
      <c r="A214" s="8"/>
      <c r="B214" s="7"/>
      <c r="C214" s="7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7"/>
      <c r="AE214" s="7"/>
      <c r="AF214" s="7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7"/>
      <c r="BF214" s="7"/>
      <c r="BG214" s="7"/>
      <c r="BH214" s="7"/>
      <c r="BI214" s="7"/>
      <c r="BJ214" s="7"/>
      <c r="BK214" s="7"/>
      <c r="BL214" s="7"/>
      <c r="BM214" s="7"/>
    </row>
    <row r="215" spans="1:65">
      <c r="A215" s="8"/>
      <c r="B215" s="7"/>
      <c r="C215" s="7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7"/>
      <c r="AE215" s="7"/>
      <c r="AF215" s="7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7"/>
      <c r="BF215" s="7"/>
      <c r="BG215" s="7"/>
      <c r="BH215" s="7"/>
      <c r="BI215" s="7"/>
      <c r="BJ215" s="7"/>
      <c r="BK215" s="7"/>
      <c r="BL215" s="7"/>
      <c r="BM215" s="7"/>
    </row>
    <row r="216" spans="1:65">
      <c r="A216" s="8"/>
      <c r="B216" s="7"/>
      <c r="C216" s="7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7"/>
      <c r="AE216" s="7"/>
      <c r="AF216" s="7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7"/>
      <c r="BF216" s="7"/>
      <c r="BG216" s="7"/>
      <c r="BH216" s="7"/>
      <c r="BI216" s="7"/>
      <c r="BJ216" s="7"/>
      <c r="BK216" s="7"/>
      <c r="BL216" s="7"/>
      <c r="BM216" s="7"/>
    </row>
    <row r="217" spans="1:65">
      <c r="A217" s="8"/>
      <c r="B217" s="7"/>
      <c r="C217" s="7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7"/>
      <c r="AE217" s="7"/>
      <c r="AF217" s="7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7"/>
      <c r="BF217" s="7"/>
      <c r="BG217" s="7"/>
      <c r="BH217" s="7"/>
      <c r="BI217" s="7"/>
      <c r="BJ217" s="7"/>
      <c r="BK217" s="7"/>
      <c r="BL217" s="7"/>
      <c r="BM217" s="7"/>
    </row>
    <row r="218" spans="1:65">
      <c r="A218" s="8"/>
      <c r="B218" s="7"/>
      <c r="C218" s="7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7"/>
      <c r="AE218" s="7"/>
      <c r="AF218" s="7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7"/>
      <c r="BF218" s="7"/>
      <c r="BG218" s="7"/>
      <c r="BH218" s="7"/>
      <c r="BI218" s="7"/>
      <c r="BJ218" s="7"/>
      <c r="BK218" s="7"/>
      <c r="BL218" s="7"/>
      <c r="BM218" s="7"/>
    </row>
    <row r="219" spans="1:65">
      <c r="A219" s="8"/>
      <c r="B219" s="7"/>
      <c r="C219" s="7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7"/>
      <c r="AE219" s="7"/>
      <c r="AF219" s="7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7"/>
      <c r="BF219" s="7"/>
      <c r="BG219" s="7"/>
      <c r="BH219" s="7"/>
      <c r="BI219" s="7"/>
      <c r="BJ219" s="7"/>
      <c r="BK219" s="7"/>
      <c r="BL219" s="7"/>
      <c r="BM219" s="7"/>
    </row>
    <row r="220" spans="1:65">
      <c r="A220" s="8"/>
      <c r="B220" s="7"/>
      <c r="C220" s="7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7"/>
      <c r="AE220" s="7"/>
      <c r="AF220" s="7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7"/>
      <c r="BF220" s="7"/>
      <c r="BG220" s="7"/>
      <c r="BH220" s="7"/>
      <c r="BI220" s="7"/>
      <c r="BJ220" s="7"/>
      <c r="BK220" s="7"/>
      <c r="BL220" s="7"/>
      <c r="BM220" s="7"/>
    </row>
    <row r="221" spans="1:65">
      <c r="A221" s="8"/>
      <c r="B221" s="7"/>
      <c r="C221" s="7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7"/>
      <c r="AE221" s="7"/>
      <c r="AF221" s="7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7"/>
      <c r="BF221" s="7"/>
      <c r="BG221" s="7"/>
      <c r="BH221" s="7"/>
      <c r="BI221" s="7"/>
      <c r="BJ221" s="7"/>
      <c r="BK221" s="7"/>
      <c r="BL221" s="7"/>
      <c r="BM221" s="7"/>
    </row>
    <row r="222" spans="1:65">
      <c r="A222" s="8"/>
      <c r="B222" s="7"/>
      <c r="C222" s="7"/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7"/>
      <c r="AE222" s="7"/>
      <c r="AF222" s="7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7"/>
      <c r="BF222" s="7"/>
      <c r="BG222" s="7"/>
      <c r="BH222" s="7"/>
      <c r="BI222" s="7"/>
      <c r="BJ222" s="7"/>
      <c r="BK222" s="7"/>
      <c r="BL222" s="7"/>
      <c r="BM222" s="7"/>
    </row>
    <row r="223" spans="1:65">
      <c r="A223" s="8"/>
      <c r="B223" s="7"/>
      <c r="C223" s="7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7"/>
      <c r="AE223" s="7"/>
      <c r="AF223" s="7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7"/>
      <c r="BF223" s="7"/>
      <c r="BG223" s="7"/>
      <c r="BH223" s="7"/>
      <c r="BI223" s="7"/>
      <c r="BJ223" s="7"/>
      <c r="BK223" s="7"/>
      <c r="BL223" s="7"/>
      <c r="BM223" s="7"/>
    </row>
    <row r="224" spans="1:65">
      <c r="A224" s="8"/>
      <c r="B224" s="7"/>
      <c r="C224" s="7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7"/>
      <c r="AE224" s="7"/>
      <c r="AF224" s="7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7"/>
      <c r="BF224" s="7"/>
      <c r="BG224" s="7"/>
      <c r="BH224" s="7"/>
      <c r="BI224" s="7"/>
      <c r="BJ224" s="7"/>
      <c r="BK224" s="7"/>
      <c r="BL224" s="7"/>
      <c r="BM224" s="7"/>
    </row>
    <row r="225" spans="1:65">
      <c r="A225" s="8"/>
      <c r="B225" s="7"/>
      <c r="C225" s="7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7"/>
      <c r="AE225" s="7"/>
      <c r="AF225" s="7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7"/>
      <c r="BF225" s="7"/>
      <c r="BG225" s="7"/>
      <c r="BH225" s="7"/>
      <c r="BI225" s="7"/>
      <c r="BJ225" s="7"/>
      <c r="BK225" s="7"/>
      <c r="BL225" s="7"/>
      <c r="BM225" s="7"/>
    </row>
    <row r="226" spans="1:65">
      <c r="A226" s="8"/>
      <c r="B226" s="7"/>
      <c r="C226" s="7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7"/>
      <c r="AE226" s="7"/>
      <c r="AF226" s="7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7"/>
      <c r="BF226" s="7"/>
      <c r="BG226" s="7"/>
      <c r="BH226" s="7"/>
      <c r="BI226" s="7"/>
      <c r="BJ226" s="7"/>
      <c r="BK226" s="7"/>
      <c r="BL226" s="7"/>
      <c r="BM226" s="7"/>
    </row>
    <row r="227" spans="1:65">
      <c r="A227" s="8"/>
      <c r="B227" s="7"/>
      <c r="C227" s="7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7"/>
      <c r="AE227" s="7"/>
      <c r="AF227" s="7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7"/>
      <c r="BF227" s="7"/>
      <c r="BG227" s="7"/>
      <c r="BH227" s="7"/>
      <c r="BI227" s="7"/>
      <c r="BJ227" s="7"/>
      <c r="BK227" s="7"/>
      <c r="BL227" s="7"/>
      <c r="BM227" s="7"/>
    </row>
    <row r="228" spans="1:65">
      <c r="A228" s="8"/>
      <c r="B228" s="7"/>
      <c r="C228" s="7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7"/>
      <c r="AE228" s="7"/>
      <c r="AF228" s="7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7"/>
      <c r="BF228" s="7"/>
      <c r="BG228" s="7"/>
      <c r="BH228" s="7"/>
      <c r="BI228" s="7"/>
      <c r="BJ228" s="7"/>
      <c r="BK228" s="7"/>
      <c r="BL228" s="7"/>
      <c r="BM228" s="7"/>
    </row>
    <row r="229" spans="1:65">
      <c r="A229" s="8"/>
      <c r="B229" s="7"/>
      <c r="C229" s="7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7"/>
      <c r="AE229" s="7"/>
      <c r="AF229" s="7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7"/>
      <c r="BF229" s="7"/>
      <c r="BG229" s="7"/>
      <c r="BH229" s="7"/>
      <c r="BI229" s="7"/>
      <c r="BJ229" s="7"/>
      <c r="BK229" s="7"/>
      <c r="BL229" s="7"/>
      <c r="BM229" s="7"/>
    </row>
    <row r="230" spans="1:65">
      <c r="A230" s="8"/>
      <c r="B230" s="7"/>
      <c r="C230" s="7"/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7"/>
      <c r="AE230" s="7"/>
      <c r="AF230" s="7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7"/>
      <c r="BF230" s="7"/>
      <c r="BG230" s="7"/>
      <c r="BH230" s="7"/>
      <c r="BI230" s="7"/>
      <c r="BJ230" s="7"/>
      <c r="BK230" s="7"/>
      <c r="BL230" s="7"/>
      <c r="BM230" s="7"/>
    </row>
    <row r="231" spans="1:65">
      <c r="A231" s="8"/>
      <c r="B231" s="7"/>
      <c r="C231" s="7"/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7"/>
      <c r="AE231" s="7"/>
      <c r="AF231" s="7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7"/>
      <c r="BF231" s="7"/>
      <c r="BG231" s="7"/>
      <c r="BH231" s="7"/>
      <c r="BI231" s="7"/>
      <c r="BJ231" s="7"/>
      <c r="BK231" s="7"/>
      <c r="BL231" s="7"/>
      <c r="BM231" s="7"/>
    </row>
    <row r="232" spans="1:65">
      <c r="A232" s="8"/>
      <c r="B232" s="7"/>
      <c r="C232" s="7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7"/>
      <c r="AE232" s="7"/>
      <c r="AF232" s="7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7"/>
      <c r="BF232" s="7"/>
      <c r="BG232" s="7"/>
      <c r="BH232" s="7"/>
      <c r="BI232" s="7"/>
      <c r="BJ232" s="7"/>
      <c r="BK232" s="7"/>
      <c r="BL232" s="7"/>
      <c r="BM232" s="7"/>
    </row>
    <row r="233" spans="1:65">
      <c r="A233" s="8"/>
      <c r="B233" s="7"/>
      <c r="C233" s="7"/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7"/>
      <c r="AE233" s="7"/>
      <c r="AF233" s="7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7"/>
      <c r="BF233" s="7"/>
      <c r="BG233" s="7"/>
      <c r="BH233" s="7"/>
      <c r="BI233" s="7"/>
      <c r="BJ233" s="7"/>
      <c r="BK233" s="7"/>
      <c r="BL233" s="7"/>
      <c r="BM233" s="7"/>
    </row>
    <row r="234" spans="1:65">
      <c r="A234" s="8"/>
      <c r="B234" s="7"/>
      <c r="C234" s="7"/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7"/>
      <c r="AE234" s="7"/>
      <c r="AF234" s="7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7"/>
      <c r="BF234" s="7"/>
      <c r="BG234" s="7"/>
      <c r="BH234" s="7"/>
      <c r="BI234" s="7"/>
      <c r="BJ234" s="7"/>
      <c r="BK234" s="7"/>
      <c r="BL234" s="7"/>
      <c r="BM234" s="7"/>
    </row>
    <row r="235" spans="1:65">
      <c r="A235" s="8"/>
      <c r="B235" s="7"/>
      <c r="C235" s="7"/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7"/>
      <c r="AE235" s="7"/>
      <c r="AF235" s="7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7"/>
      <c r="BF235" s="7"/>
      <c r="BG235" s="7"/>
      <c r="BH235" s="7"/>
      <c r="BI235" s="7"/>
      <c r="BJ235" s="7"/>
      <c r="BK235" s="7"/>
      <c r="BL235" s="7"/>
      <c r="BM235" s="7"/>
    </row>
    <row r="236" spans="1:65">
      <c r="A236" s="8"/>
      <c r="B236" s="7"/>
      <c r="C236" s="7"/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7"/>
      <c r="AE236" s="7"/>
      <c r="AF236" s="7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7"/>
      <c r="BF236" s="7"/>
      <c r="BG236" s="7"/>
      <c r="BH236" s="7"/>
      <c r="BI236" s="7"/>
      <c r="BJ236" s="7"/>
      <c r="BK236" s="7"/>
      <c r="BL236" s="7"/>
      <c r="BM236" s="7"/>
    </row>
    <row r="237" spans="1:65">
      <c r="A237" s="8"/>
      <c r="B237" s="7"/>
      <c r="C237" s="7"/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7"/>
      <c r="AE237" s="7"/>
      <c r="AF237" s="7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7"/>
      <c r="BF237" s="7"/>
      <c r="BG237" s="7"/>
      <c r="BH237" s="7"/>
      <c r="BI237" s="7"/>
      <c r="BJ237" s="7"/>
      <c r="BK237" s="7"/>
      <c r="BL237" s="7"/>
      <c r="BM237" s="7"/>
    </row>
    <row r="238" spans="1:65">
      <c r="A238" s="8"/>
      <c r="B238" s="7"/>
      <c r="C238" s="7"/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7"/>
      <c r="AE238" s="7"/>
      <c r="AF238" s="7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7"/>
      <c r="BF238" s="7"/>
      <c r="BG238" s="7"/>
      <c r="BH238" s="7"/>
      <c r="BI238" s="7"/>
      <c r="BJ238" s="7"/>
      <c r="BK238" s="7"/>
      <c r="BL238" s="7"/>
      <c r="BM238" s="7"/>
    </row>
    <row r="239" spans="1:65">
      <c r="A239" s="8"/>
      <c r="B239" s="7"/>
      <c r="C239" s="7"/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7"/>
      <c r="AE239" s="7"/>
      <c r="AF239" s="7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7"/>
      <c r="BF239" s="7"/>
      <c r="BG239" s="7"/>
      <c r="BH239" s="7"/>
      <c r="BI239" s="7"/>
      <c r="BJ239" s="7"/>
      <c r="BK239" s="7"/>
      <c r="BL239" s="7"/>
      <c r="BM239" s="7"/>
    </row>
    <row r="240" spans="1:65">
      <c r="A240" s="8"/>
      <c r="B240" s="7"/>
      <c r="C240" s="7"/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7"/>
      <c r="AE240" s="7"/>
      <c r="AF240" s="7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7"/>
      <c r="BF240" s="7"/>
      <c r="BG240" s="7"/>
      <c r="BH240" s="7"/>
      <c r="BI240" s="7"/>
      <c r="BJ240" s="7"/>
      <c r="BK240" s="7"/>
      <c r="BL240" s="7"/>
      <c r="BM240" s="7"/>
    </row>
    <row r="241" spans="1:65">
      <c r="A241" s="8"/>
      <c r="B241" s="7"/>
      <c r="C241" s="7"/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7"/>
      <c r="AE241" s="7"/>
      <c r="AF241" s="7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7"/>
      <c r="BF241" s="7"/>
      <c r="BG241" s="7"/>
      <c r="BH241" s="7"/>
      <c r="BI241" s="7"/>
      <c r="BJ241" s="7"/>
      <c r="BK241" s="7"/>
      <c r="BL241" s="7"/>
      <c r="BM241" s="7"/>
    </row>
    <row r="242" spans="1:65">
      <c r="A242" s="8"/>
      <c r="B242" s="7"/>
      <c r="C242" s="7"/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7"/>
      <c r="AE242" s="7"/>
      <c r="AF242" s="7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7"/>
      <c r="BF242" s="7"/>
      <c r="BG242" s="7"/>
      <c r="BH242" s="7"/>
      <c r="BI242" s="7"/>
      <c r="BJ242" s="7"/>
      <c r="BK242" s="7"/>
      <c r="BL242" s="7"/>
      <c r="BM242" s="7"/>
    </row>
    <row r="243" spans="1:65">
      <c r="A243" s="8"/>
      <c r="B243" s="7"/>
      <c r="C243" s="7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7"/>
      <c r="AE243" s="7"/>
      <c r="AF243" s="7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7"/>
      <c r="BF243" s="7"/>
      <c r="BG243" s="7"/>
      <c r="BH243" s="7"/>
      <c r="BI243" s="7"/>
      <c r="BJ243" s="7"/>
      <c r="BK243" s="7"/>
      <c r="BL243" s="7"/>
      <c r="BM243" s="7"/>
    </row>
    <row r="244" spans="1:65">
      <c r="A244" s="8"/>
      <c r="B244" s="7"/>
      <c r="C244" s="7"/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7"/>
      <c r="AE244" s="7"/>
      <c r="AF244" s="7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7"/>
      <c r="BF244" s="7"/>
      <c r="BG244" s="7"/>
      <c r="BH244" s="7"/>
      <c r="BI244" s="7"/>
      <c r="BJ244" s="7"/>
      <c r="BK244" s="7"/>
      <c r="BL244" s="7"/>
      <c r="BM244" s="7"/>
    </row>
    <row r="245" spans="1:65">
      <c r="A245" s="8"/>
      <c r="B245" s="7"/>
      <c r="C245" s="7"/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7"/>
      <c r="AE245" s="7"/>
      <c r="AF245" s="7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7"/>
      <c r="BF245" s="7"/>
      <c r="BG245" s="7"/>
      <c r="BH245" s="7"/>
      <c r="BI245" s="7"/>
      <c r="BJ245" s="7"/>
      <c r="BK245" s="7"/>
      <c r="BL245" s="7"/>
      <c r="BM245" s="7"/>
    </row>
    <row r="246" spans="1:65">
      <c r="A246" s="8"/>
      <c r="B246" s="7"/>
      <c r="C246" s="7"/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7"/>
      <c r="AE246" s="7"/>
      <c r="AF246" s="7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7"/>
      <c r="BF246" s="7"/>
      <c r="BG246" s="7"/>
      <c r="BH246" s="7"/>
      <c r="BI246" s="7"/>
      <c r="BJ246" s="7"/>
      <c r="BK246" s="7"/>
      <c r="BL246" s="7"/>
      <c r="BM246" s="7"/>
    </row>
    <row r="247" spans="1:65">
      <c r="A247" s="8"/>
      <c r="B247" s="7"/>
      <c r="C247" s="7"/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7"/>
      <c r="AE247" s="7"/>
      <c r="AF247" s="7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7"/>
      <c r="BF247" s="7"/>
      <c r="BG247" s="7"/>
      <c r="BH247" s="7"/>
      <c r="BI247" s="7"/>
      <c r="BJ247" s="7"/>
      <c r="BK247" s="7"/>
      <c r="BL247" s="7"/>
      <c r="BM247" s="7"/>
    </row>
    <row r="248" spans="1:65">
      <c r="A248" s="8"/>
      <c r="B248" s="7"/>
      <c r="C248" s="7"/>
      <c r="D248" s="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7"/>
      <c r="AE248" s="7"/>
      <c r="AF248" s="7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7"/>
      <c r="BF248" s="7"/>
      <c r="BG248" s="7"/>
      <c r="BH248" s="7"/>
      <c r="BI248" s="7"/>
      <c r="BJ248" s="7"/>
      <c r="BK248" s="7"/>
      <c r="BL248" s="7"/>
      <c r="BM248" s="7"/>
    </row>
    <row r="249" spans="1:65">
      <c r="A249" s="8"/>
      <c r="B249" s="7"/>
      <c r="C249" s="7"/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7"/>
      <c r="AE249" s="7"/>
      <c r="AF249" s="7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7"/>
      <c r="BF249" s="7"/>
      <c r="BG249" s="7"/>
      <c r="BH249" s="7"/>
      <c r="BI249" s="7"/>
      <c r="BJ249" s="7"/>
      <c r="BK249" s="7"/>
      <c r="BL249" s="7"/>
      <c r="BM249" s="7"/>
    </row>
    <row r="250" spans="1:65">
      <c r="A250" s="8"/>
      <c r="B250" s="7"/>
      <c r="C250" s="7"/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7"/>
      <c r="AE250" s="7"/>
      <c r="AF250" s="7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7"/>
      <c r="BF250" s="7"/>
      <c r="BG250" s="7"/>
      <c r="BH250" s="7"/>
      <c r="BI250" s="7"/>
      <c r="BJ250" s="7"/>
      <c r="BK250" s="7"/>
      <c r="BL250" s="7"/>
      <c r="BM250" s="7"/>
    </row>
    <row r="251" spans="1:65">
      <c r="A251" s="8"/>
      <c r="B251" s="7"/>
      <c r="C251" s="7"/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7"/>
      <c r="AE251" s="7"/>
      <c r="AF251" s="7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7"/>
      <c r="BF251" s="7"/>
      <c r="BG251" s="7"/>
      <c r="BH251" s="7"/>
      <c r="BI251" s="7"/>
      <c r="BJ251" s="7"/>
      <c r="BK251" s="7"/>
      <c r="BL251" s="7"/>
      <c r="BM251" s="7"/>
    </row>
    <row r="252" spans="1:65">
      <c r="A252" s="8"/>
      <c r="B252" s="7"/>
      <c r="C252" s="7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7"/>
      <c r="AE252" s="7"/>
      <c r="AF252" s="7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7"/>
      <c r="BF252" s="7"/>
      <c r="BG252" s="7"/>
      <c r="BH252" s="7"/>
      <c r="BI252" s="7"/>
      <c r="BJ252" s="7"/>
      <c r="BK252" s="7"/>
      <c r="BL252" s="7"/>
      <c r="BM252" s="7"/>
    </row>
    <row r="253" spans="1:65">
      <c r="A253" s="8"/>
      <c r="B253" s="7"/>
      <c r="C253" s="7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7"/>
      <c r="AE253" s="7"/>
      <c r="AF253" s="7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7"/>
      <c r="BF253" s="7"/>
      <c r="BG253" s="7"/>
      <c r="BH253" s="7"/>
      <c r="BI253" s="7"/>
      <c r="BJ253" s="7"/>
      <c r="BK253" s="7"/>
      <c r="BL253" s="7"/>
      <c r="BM253" s="7"/>
    </row>
    <row r="254" spans="1:65">
      <c r="A254" s="8"/>
      <c r="B254" s="7"/>
      <c r="C254" s="7"/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7"/>
      <c r="AE254" s="7"/>
      <c r="AF254" s="7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7"/>
      <c r="BF254" s="7"/>
      <c r="BG254" s="7"/>
      <c r="BH254" s="7"/>
      <c r="BI254" s="7"/>
      <c r="BJ254" s="7"/>
      <c r="BK254" s="7"/>
      <c r="BL254" s="7"/>
      <c r="BM254" s="7"/>
    </row>
    <row r="255" spans="1:65">
      <c r="A255" s="8"/>
      <c r="B255" s="7"/>
      <c r="C255" s="7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7"/>
      <c r="AE255" s="7"/>
      <c r="AF255" s="7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7"/>
      <c r="BF255" s="7"/>
      <c r="BG255" s="7"/>
      <c r="BH255" s="7"/>
      <c r="BI255" s="7"/>
      <c r="BJ255" s="7"/>
      <c r="BK255" s="7"/>
      <c r="BL255" s="7"/>
      <c r="BM255" s="7"/>
    </row>
    <row r="256" spans="1:65">
      <c r="A256" s="8"/>
      <c r="B256" s="7"/>
      <c r="C256" s="7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7"/>
      <c r="AE256" s="7"/>
      <c r="AF256" s="7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7"/>
      <c r="BF256" s="7"/>
      <c r="BG256" s="7"/>
      <c r="BH256" s="7"/>
      <c r="BI256" s="7"/>
      <c r="BJ256" s="7"/>
      <c r="BK256" s="7"/>
      <c r="BL256" s="7"/>
      <c r="BM256" s="7"/>
    </row>
    <row r="257" spans="1:65">
      <c r="A257" s="8"/>
      <c r="B257" s="7"/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7"/>
      <c r="AE257" s="7"/>
      <c r="AF257" s="7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7"/>
      <c r="BF257" s="7"/>
      <c r="BG257" s="7"/>
      <c r="BH257" s="7"/>
      <c r="BI257" s="7"/>
      <c r="BJ257" s="7"/>
      <c r="BK257" s="7"/>
      <c r="BL257" s="7"/>
      <c r="BM257" s="7"/>
    </row>
    <row r="258" spans="1:65">
      <c r="A258" s="8"/>
      <c r="B258" s="7"/>
      <c r="C258" s="7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7"/>
      <c r="AE258" s="7"/>
      <c r="AF258" s="7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7"/>
      <c r="BF258" s="7"/>
      <c r="BG258" s="7"/>
      <c r="BH258" s="7"/>
      <c r="BI258" s="7"/>
      <c r="BJ258" s="7"/>
      <c r="BK258" s="7"/>
      <c r="BL258" s="7"/>
      <c r="BM258" s="7"/>
    </row>
    <row r="259" spans="1:65">
      <c r="A259" s="8"/>
      <c r="B259" s="7"/>
      <c r="C259" s="7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7"/>
      <c r="AE259" s="7"/>
      <c r="AF259" s="7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7"/>
      <c r="BF259" s="7"/>
      <c r="BG259" s="7"/>
      <c r="BH259" s="7"/>
      <c r="BI259" s="7"/>
      <c r="BJ259" s="7"/>
      <c r="BK259" s="7"/>
      <c r="BL259" s="7"/>
      <c r="BM259" s="7"/>
    </row>
    <row r="260" spans="1:65">
      <c r="A260" s="8"/>
      <c r="B260" s="7"/>
      <c r="C260" s="7"/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7"/>
      <c r="AE260" s="7"/>
      <c r="AF260" s="7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7"/>
      <c r="BF260" s="7"/>
      <c r="BG260" s="7"/>
      <c r="BH260" s="7"/>
      <c r="BI260" s="7"/>
      <c r="BJ260" s="7"/>
      <c r="BK260" s="7"/>
      <c r="BL260" s="7"/>
      <c r="BM260" s="7"/>
    </row>
    <row r="261" spans="1:65">
      <c r="A261" s="8"/>
      <c r="B261" s="7"/>
      <c r="C261" s="7"/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7"/>
      <c r="AE261" s="7"/>
      <c r="AF261" s="7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7"/>
      <c r="BF261" s="7"/>
      <c r="BG261" s="7"/>
      <c r="BH261" s="7"/>
      <c r="BI261" s="7"/>
      <c r="BJ261" s="7"/>
      <c r="BK261" s="7"/>
      <c r="BL261" s="7"/>
      <c r="BM261" s="7"/>
    </row>
    <row r="262" spans="1:65">
      <c r="A262" s="8"/>
      <c r="B262" s="7"/>
      <c r="C262" s="7"/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7"/>
      <c r="AE262" s="7"/>
      <c r="AF262" s="7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7"/>
      <c r="BF262" s="7"/>
      <c r="BG262" s="7"/>
      <c r="BH262" s="7"/>
      <c r="BI262" s="7"/>
      <c r="BJ262" s="7"/>
      <c r="BK262" s="7"/>
      <c r="BL262" s="7"/>
      <c r="BM262" s="7"/>
    </row>
    <row r="263" spans="1:65">
      <c r="A263" s="8"/>
      <c r="B263" s="7"/>
      <c r="C263" s="7"/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7"/>
      <c r="AE263" s="7"/>
      <c r="AF263" s="7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7"/>
      <c r="BF263" s="7"/>
      <c r="BG263" s="7"/>
      <c r="BH263" s="7"/>
      <c r="BI263" s="7"/>
      <c r="BJ263" s="7"/>
      <c r="BK263" s="7"/>
      <c r="BL263" s="7"/>
      <c r="BM263" s="7"/>
    </row>
    <row r="264" spans="1:65">
      <c r="A264" s="8"/>
      <c r="B264" s="7"/>
      <c r="C264" s="7"/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7"/>
      <c r="AE264" s="7"/>
      <c r="AF264" s="7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7"/>
      <c r="BF264" s="7"/>
      <c r="BG264" s="7"/>
      <c r="BH264" s="7"/>
      <c r="BI264" s="7"/>
      <c r="BJ264" s="7"/>
      <c r="BK264" s="7"/>
      <c r="BL264" s="7"/>
      <c r="BM264" s="7"/>
    </row>
    <row r="265" spans="1:65">
      <c r="A265" s="8"/>
      <c r="B265" s="7"/>
      <c r="C265" s="7"/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7"/>
      <c r="AE265" s="7"/>
      <c r="AF265" s="7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7"/>
      <c r="BF265" s="7"/>
      <c r="BG265" s="7"/>
      <c r="BH265" s="7"/>
      <c r="BI265" s="7"/>
      <c r="BJ265" s="7"/>
      <c r="BK265" s="7"/>
      <c r="BL265" s="7"/>
      <c r="BM265" s="7"/>
    </row>
    <row r="266" spans="1:65">
      <c r="A266" s="8"/>
      <c r="B266" s="7"/>
      <c r="C266" s="7"/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7"/>
      <c r="AE266" s="7"/>
      <c r="AF266" s="7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7"/>
      <c r="BF266" s="7"/>
      <c r="BG266" s="7"/>
      <c r="BH266" s="7"/>
      <c r="BI266" s="7"/>
      <c r="BJ266" s="7"/>
      <c r="BK266" s="7"/>
      <c r="BL266" s="7"/>
      <c r="BM266" s="7"/>
    </row>
    <row r="267" spans="1:65">
      <c r="A267" s="8"/>
      <c r="B267" s="7"/>
      <c r="C267" s="7"/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7"/>
      <c r="AE267" s="7"/>
      <c r="AF267" s="7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7"/>
      <c r="BF267" s="7"/>
      <c r="BG267" s="7"/>
      <c r="BH267" s="7"/>
      <c r="BI267" s="7"/>
      <c r="BJ267" s="7"/>
      <c r="BK267" s="7"/>
      <c r="BL267" s="7"/>
      <c r="BM267" s="7"/>
    </row>
    <row r="268" spans="1:65">
      <c r="A268" s="8"/>
      <c r="B268" s="7"/>
      <c r="C268" s="7"/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7"/>
      <c r="AE268" s="7"/>
      <c r="AF268" s="7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7"/>
      <c r="BF268" s="7"/>
      <c r="BG268" s="7"/>
      <c r="BH268" s="7"/>
      <c r="BI268" s="7"/>
      <c r="BJ268" s="7"/>
      <c r="BK268" s="7"/>
      <c r="BL268" s="7"/>
      <c r="BM268" s="7"/>
    </row>
    <row r="269" spans="1:65">
      <c r="A269" s="8"/>
      <c r="B269" s="7"/>
      <c r="C269" s="7"/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7"/>
      <c r="AE269" s="7"/>
      <c r="AF269" s="7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7"/>
      <c r="BF269" s="7"/>
      <c r="BG269" s="7"/>
      <c r="BH269" s="7"/>
      <c r="BI269" s="7"/>
      <c r="BJ269" s="7"/>
      <c r="BK269" s="7"/>
      <c r="BL269" s="7"/>
      <c r="BM269" s="7"/>
    </row>
    <row r="270" spans="1:65">
      <c r="A270" s="8"/>
      <c r="B270" s="7"/>
      <c r="C270" s="7"/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7"/>
      <c r="AE270" s="7"/>
      <c r="AF270" s="7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7"/>
      <c r="BF270" s="7"/>
      <c r="BG270" s="7"/>
      <c r="BH270" s="7"/>
      <c r="BI270" s="7"/>
      <c r="BJ270" s="7"/>
      <c r="BK270" s="7"/>
      <c r="BL270" s="7"/>
      <c r="BM270" s="7"/>
    </row>
    <row r="271" spans="1:65">
      <c r="A271" s="8"/>
      <c r="B271" s="7"/>
      <c r="C271" s="7"/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7"/>
      <c r="AE271" s="7"/>
      <c r="AF271" s="7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7"/>
      <c r="BF271" s="7"/>
      <c r="BG271" s="7"/>
      <c r="BH271" s="7"/>
      <c r="BI271" s="7"/>
      <c r="BJ271" s="7"/>
      <c r="BK271" s="7"/>
      <c r="BL271" s="7"/>
      <c r="BM271" s="7"/>
    </row>
    <row r="272" spans="1:65">
      <c r="A272" s="8"/>
      <c r="B272" s="7"/>
      <c r="C272" s="7"/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7"/>
      <c r="AE272" s="7"/>
      <c r="AF272" s="7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7"/>
      <c r="BF272" s="7"/>
      <c r="BG272" s="7"/>
      <c r="BH272" s="7"/>
      <c r="BI272" s="7"/>
      <c r="BJ272" s="7"/>
      <c r="BK272" s="7"/>
      <c r="BL272" s="7"/>
      <c r="BM272" s="7"/>
    </row>
    <row r="273" spans="1:65">
      <c r="A273" s="8"/>
      <c r="B273" s="7"/>
      <c r="C273" s="7"/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7"/>
      <c r="AE273" s="7"/>
      <c r="AF273" s="7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7"/>
      <c r="BF273" s="7"/>
      <c r="BG273" s="7"/>
      <c r="BH273" s="7"/>
      <c r="BI273" s="7"/>
      <c r="BJ273" s="7"/>
      <c r="BK273" s="7"/>
      <c r="BL273" s="7"/>
      <c r="BM273" s="7"/>
    </row>
    <row r="274" spans="1:65">
      <c r="A274" s="8"/>
      <c r="B274" s="7"/>
      <c r="C274" s="7"/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7"/>
      <c r="AE274" s="7"/>
      <c r="AF274" s="7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7"/>
      <c r="BF274" s="7"/>
      <c r="BG274" s="7"/>
      <c r="BH274" s="7"/>
      <c r="BI274" s="7"/>
      <c r="BJ274" s="7"/>
      <c r="BK274" s="7"/>
      <c r="BL274" s="7"/>
      <c r="BM274" s="7"/>
    </row>
    <row r="275" spans="1:65">
      <c r="A275" s="8"/>
      <c r="B275" s="7"/>
      <c r="C275" s="7"/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7"/>
      <c r="AE275" s="7"/>
      <c r="AF275" s="7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7"/>
      <c r="BF275" s="7"/>
      <c r="BG275" s="7"/>
      <c r="BH275" s="7"/>
      <c r="BI275" s="7"/>
      <c r="BJ275" s="7"/>
      <c r="BK275" s="7"/>
      <c r="BL275" s="7"/>
      <c r="BM275" s="7"/>
    </row>
    <row r="276" spans="1:65">
      <c r="A276" s="8"/>
      <c r="B276" s="7"/>
      <c r="C276" s="7"/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7"/>
      <c r="AE276" s="7"/>
      <c r="AF276" s="7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7"/>
      <c r="BF276" s="7"/>
      <c r="BG276" s="7"/>
      <c r="BH276" s="7"/>
      <c r="BI276" s="7"/>
      <c r="BJ276" s="7"/>
      <c r="BK276" s="7"/>
      <c r="BL276" s="7"/>
      <c r="BM276" s="7"/>
    </row>
    <row r="277" spans="1:65">
      <c r="A277" s="6"/>
      <c r="B277" s="4"/>
      <c r="C277" s="4"/>
      <c r="D277" s="4"/>
      <c r="E277" s="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4"/>
      <c r="AE277" s="4"/>
      <c r="AF277" s="4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4"/>
      <c r="BF277" s="4"/>
      <c r="BG277" s="4"/>
      <c r="BH277" s="4"/>
      <c r="BI277" s="4"/>
      <c r="BJ277" s="4"/>
      <c r="BK277" s="4"/>
      <c r="BL277" s="4"/>
      <c r="BM277" s="4"/>
    </row>
    <row r="278" spans="1:65">
      <c r="A278" s="6"/>
      <c r="B278" s="4"/>
      <c r="C278" s="4"/>
      <c r="D278" s="4"/>
      <c r="E278" s="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4"/>
      <c r="AE278" s="4"/>
      <c r="AF278" s="4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4"/>
      <c r="BF278" s="4"/>
      <c r="BG278" s="4"/>
      <c r="BH278" s="4"/>
      <c r="BI278" s="4"/>
      <c r="BJ278" s="4"/>
      <c r="BK278" s="4"/>
      <c r="BL278" s="4"/>
      <c r="BM278" s="4"/>
    </row>
    <row r="279" spans="1:6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4"/>
      <c r="AE279" s="4"/>
      <c r="AF279" s="4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4"/>
      <c r="BF279" s="4"/>
      <c r="BG279" s="4"/>
      <c r="BH279" s="4"/>
      <c r="BI279" s="4"/>
      <c r="BJ279" s="4"/>
      <c r="BK279" s="4"/>
      <c r="BL279" s="4"/>
      <c r="BM279" s="4"/>
    </row>
    <row r="280" spans="1:6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4"/>
      <c r="AE280" s="4"/>
      <c r="AF280" s="4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4"/>
      <c r="BF280" s="4"/>
      <c r="BG280" s="4"/>
      <c r="BH280" s="4"/>
      <c r="BI280" s="4"/>
      <c r="BJ280" s="4"/>
      <c r="BK280" s="4"/>
      <c r="BL280" s="4"/>
      <c r="BM280" s="4"/>
    </row>
    <row r="281" spans="1:65">
      <c r="A281" s="6"/>
      <c r="B281" s="4"/>
      <c r="C281" s="4"/>
      <c r="D281" s="4"/>
      <c r="E281" s="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4"/>
      <c r="AE281" s="4"/>
      <c r="AF281" s="4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4"/>
      <c r="BF281" s="4"/>
      <c r="BG281" s="4"/>
      <c r="BH281" s="4"/>
      <c r="BI281" s="4"/>
      <c r="BJ281" s="4"/>
      <c r="BK281" s="4"/>
      <c r="BL281" s="4"/>
      <c r="BM281" s="4"/>
    </row>
    <row r="282" spans="1:65">
      <c r="A282" s="6"/>
      <c r="B282" s="4"/>
      <c r="C282" s="4"/>
      <c r="D282" s="4"/>
      <c r="E282" s="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4"/>
      <c r="AE282" s="4"/>
      <c r="AF282" s="4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4"/>
      <c r="BF282" s="4"/>
      <c r="BG282" s="4"/>
      <c r="BH282" s="4"/>
      <c r="BI282" s="4"/>
      <c r="BJ282" s="4"/>
      <c r="BK282" s="4"/>
      <c r="BL282" s="4"/>
      <c r="BM282" s="4"/>
    </row>
    <row r="283" spans="1:65">
      <c r="A283" s="6"/>
      <c r="B283" s="4"/>
      <c r="C283" s="4"/>
      <c r="D283" s="4"/>
      <c r="E283" s="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4"/>
      <c r="AE283" s="4"/>
      <c r="AF283" s="4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4"/>
      <c r="BF283" s="4"/>
      <c r="BG283" s="4"/>
      <c r="BH283" s="4"/>
      <c r="BI283" s="4"/>
      <c r="BJ283" s="4"/>
      <c r="BK283" s="4"/>
      <c r="BL283" s="4"/>
      <c r="BM283" s="4"/>
    </row>
    <row r="284" spans="1:65">
      <c r="A284" s="6"/>
      <c r="B284" s="4"/>
      <c r="C284" s="4"/>
      <c r="D284" s="4"/>
      <c r="E284" s="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4"/>
      <c r="AE284" s="4"/>
      <c r="AF284" s="4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4"/>
      <c r="BF284" s="4"/>
      <c r="BG284" s="4"/>
      <c r="BH284" s="4"/>
      <c r="BI284" s="4"/>
      <c r="BJ284" s="4"/>
      <c r="BK284" s="4"/>
      <c r="BL284" s="4"/>
      <c r="BM284" s="4"/>
    </row>
    <row r="285" spans="1:65">
      <c r="A285" s="6"/>
      <c r="B285" s="4"/>
      <c r="C285" s="4"/>
      <c r="D285" s="4"/>
      <c r="E285" s="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4"/>
      <c r="AE285" s="4"/>
      <c r="AF285" s="4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4"/>
      <c r="BF285" s="4"/>
      <c r="BG285" s="4"/>
      <c r="BH285" s="4"/>
      <c r="BI285" s="4"/>
      <c r="BJ285" s="4"/>
      <c r="BK285" s="4"/>
      <c r="BL285" s="4"/>
      <c r="BM285" s="4"/>
    </row>
    <row r="286" spans="1:65">
      <c r="A286" s="6"/>
      <c r="B286" s="4"/>
      <c r="C286" s="4"/>
      <c r="D286" s="4"/>
      <c r="E286" s="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4"/>
      <c r="AE286" s="4"/>
      <c r="AF286" s="4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4"/>
      <c r="BF286" s="4"/>
      <c r="BG286" s="4"/>
      <c r="BH286" s="4"/>
      <c r="BI286" s="4"/>
      <c r="BJ286" s="4"/>
      <c r="BK286" s="4"/>
      <c r="BL286" s="4"/>
      <c r="BM286" s="4"/>
    </row>
    <row r="287" spans="1:65">
      <c r="A287" s="6"/>
      <c r="B287" s="4"/>
      <c r="C287" s="4"/>
      <c r="D287" s="4"/>
      <c r="E287" s="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4"/>
      <c r="AE287" s="4"/>
      <c r="AF287" s="4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4"/>
      <c r="BF287" s="4"/>
      <c r="BG287" s="4"/>
      <c r="BH287" s="4"/>
      <c r="BI287" s="4"/>
      <c r="BJ287" s="4"/>
      <c r="BK287" s="4"/>
      <c r="BL287" s="4"/>
      <c r="BM287" s="4"/>
    </row>
    <row r="288" spans="1:65">
      <c r="A288" s="6"/>
      <c r="B288" s="4"/>
      <c r="C288" s="4"/>
      <c r="D288" s="4"/>
      <c r="E288" s="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4"/>
      <c r="AE288" s="4"/>
      <c r="AF288" s="4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4"/>
      <c r="BF288" s="4"/>
      <c r="BG288" s="4"/>
      <c r="BH288" s="4"/>
      <c r="BI288" s="4"/>
      <c r="BJ288" s="4"/>
      <c r="BK288" s="4"/>
      <c r="BL288" s="4"/>
      <c r="BM288" s="4"/>
    </row>
    <row r="289" spans="1:65">
      <c r="A289" s="6"/>
      <c r="B289" s="4"/>
      <c r="C289" s="4"/>
      <c r="D289" s="4"/>
      <c r="E289" s="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4"/>
      <c r="AE289" s="4"/>
      <c r="AF289" s="4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4"/>
      <c r="BF289" s="4"/>
      <c r="BG289" s="4"/>
      <c r="BH289" s="4"/>
      <c r="BI289" s="4"/>
      <c r="BJ289" s="4"/>
      <c r="BK289" s="4"/>
      <c r="BL289" s="4"/>
      <c r="BM289" s="4"/>
    </row>
    <row r="290" spans="1:65">
      <c r="A290" s="6"/>
      <c r="B290" s="4"/>
      <c r="C290" s="4"/>
      <c r="D290" s="4"/>
      <c r="E290" s="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4"/>
      <c r="AE290" s="4"/>
      <c r="AF290" s="4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4"/>
      <c r="BF290" s="4"/>
      <c r="BG290" s="4"/>
      <c r="BH290" s="4"/>
      <c r="BI290" s="4"/>
      <c r="BJ290" s="4"/>
      <c r="BK290" s="4"/>
      <c r="BL290" s="4"/>
      <c r="BM290" s="4"/>
    </row>
    <row r="291" spans="1:65">
      <c r="A291" s="6"/>
      <c r="B291" s="4"/>
      <c r="C291" s="4"/>
      <c r="D291" s="4"/>
      <c r="E291" s="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4"/>
      <c r="AE291" s="4"/>
      <c r="AF291" s="4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4"/>
      <c r="BF291" s="4"/>
      <c r="BG291" s="4"/>
      <c r="BH291" s="4"/>
      <c r="BI291" s="4"/>
      <c r="BJ291" s="4"/>
      <c r="BK291" s="4"/>
      <c r="BL291" s="4"/>
      <c r="BM291" s="4"/>
    </row>
    <row r="292" spans="1:65">
      <c r="A292" s="6"/>
      <c r="B292" s="4"/>
      <c r="C292" s="4"/>
      <c r="D292" s="4"/>
      <c r="E292" s="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4"/>
      <c r="AE292" s="4"/>
      <c r="AF292" s="4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4"/>
      <c r="BF292" s="4"/>
      <c r="BG292" s="4"/>
      <c r="BH292" s="4"/>
      <c r="BI292" s="4"/>
      <c r="BJ292" s="4"/>
      <c r="BK292" s="4"/>
      <c r="BL292" s="4"/>
      <c r="BM292" s="4"/>
    </row>
    <row r="293" spans="1:65">
      <c r="A293" s="6"/>
      <c r="B293" s="4"/>
      <c r="C293" s="4"/>
      <c r="D293" s="4"/>
      <c r="E293" s="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4"/>
      <c r="AE293" s="4"/>
      <c r="AF293" s="4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4"/>
      <c r="BF293" s="4"/>
      <c r="BG293" s="4"/>
      <c r="BH293" s="4"/>
      <c r="BI293" s="4"/>
      <c r="BJ293" s="4"/>
      <c r="BK293" s="4"/>
      <c r="BL293" s="4"/>
      <c r="BM293" s="4"/>
    </row>
    <row r="294" spans="1:65">
      <c r="A294" s="6"/>
      <c r="B294" s="4"/>
      <c r="C294" s="4"/>
      <c r="D294" s="4"/>
      <c r="E294" s="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4"/>
      <c r="AE294" s="4"/>
      <c r="AF294" s="4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4"/>
      <c r="BF294" s="4"/>
      <c r="BG294" s="4"/>
      <c r="BH294" s="4"/>
      <c r="BI294" s="4"/>
      <c r="BJ294" s="4"/>
      <c r="BK294" s="4"/>
      <c r="BL294" s="4"/>
      <c r="BM294" s="4"/>
    </row>
    <row r="295" spans="1:65">
      <c r="A295" s="6"/>
      <c r="B295" s="4"/>
      <c r="C295" s="4"/>
      <c r="D295" s="4"/>
      <c r="E295" s="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4"/>
      <c r="AE295" s="4"/>
      <c r="AF295" s="4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4"/>
      <c r="BF295" s="4"/>
      <c r="BG295" s="4"/>
      <c r="BH295" s="4"/>
      <c r="BI295" s="4"/>
      <c r="BJ295" s="4"/>
      <c r="BK295" s="4"/>
      <c r="BL295" s="4"/>
      <c r="BM295" s="4"/>
    </row>
    <row r="296" spans="1:65">
      <c r="A296" s="6"/>
      <c r="B296" s="4"/>
      <c r="C296" s="4"/>
      <c r="D296" s="4"/>
      <c r="E296" s="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4"/>
      <c r="AE296" s="4"/>
      <c r="AF296" s="4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4"/>
      <c r="BF296" s="4"/>
      <c r="BG296" s="4"/>
      <c r="BH296" s="4"/>
      <c r="BI296" s="4"/>
      <c r="BJ296" s="4"/>
      <c r="BK296" s="4"/>
      <c r="BL296" s="4"/>
      <c r="BM296" s="4"/>
    </row>
    <row r="297" spans="1:65">
      <c r="A297" s="6"/>
      <c r="B297" s="4"/>
      <c r="C297" s="4"/>
      <c r="D297" s="4"/>
      <c r="E297" s="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4"/>
      <c r="AE297" s="4"/>
      <c r="AF297" s="4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4"/>
      <c r="BF297" s="4"/>
      <c r="BG297" s="4"/>
      <c r="BH297" s="4"/>
      <c r="BI297" s="4"/>
      <c r="BJ297" s="4"/>
      <c r="BK297" s="4"/>
      <c r="BL297" s="4"/>
      <c r="BM297" s="4"/>
    </row>
    <row r="298" spans="1:65">
      <c r="A298" s="6"/>
      <c r="B298" s="4"/>
      <c r="C298" s="4"/>
      <c r="D298" s="4"/>
      <c r="E298" s="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4"/>
      <c r="AE298" s="4"/>
      <c r="AF298" s="4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4"/>
      <c r="BF298" s="4"/>
      <c r="BG298" s="4"/>
      <c r="BH298" s="4"/>
      <c r="BI298" s="4"/>
      <c r="BJ298" s="4"/>
      <c r="BK298" s="4"/>
      <c r="BL298" s="4"/>
      <c r="BM298" s="4"/>
    </row>
    <row r="299" spans="1:65">
      <c r="A299" s="6"/>
      <c r="B299" s="4"/>
      <c r="C299" s="4"/>
      <c r="D299" s="4"/>
      <c r="E299" s="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4"/>
      <c r="AE299" s="4"/>
      <c r="AF299" s="4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4"/>
      <c r="BF299" s="4"/>
      <c r="BG299" s="4"/>
      <c r="BH299" s="4"/>
      <c r="BI299" s="4"/>
      <c r="BJ299" s="4"/>
      <c r="BK299" s="4"/>
      <c r="BL299" s="4"/>
      <c r="BM299" s="4"/>
    </row>
    <row r="300" spans="1:65">
      <c r="A300" s="6"/>
      <c r="B300" s="4"/>
      <c r="C300" s="4"/>
      <c r="D300" s="4"/>
      <c r="E300" s="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4"/>
      <c r="AE300" s="4"/>
      <c r="AF300" s="4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4"/>
      <c r="BF300" s="4"/>
      <c r="BG300" s="4"/>
      <c r="BH300" s="4"/>
      <c r="BI300" s="4"/>
      <c r="BJ300" s="4"/>
      <c r="BK300" s="4"/>
      <c r="BL300" s="4"/>
      <c r="BM300" s="4"/>
    </row>
    <row r="301" spans="1:65">
      <c r="A301" s="6"/>
      <c r="B301" s="4"/>
      <c r="C301" s="4"/>
      <c r="D301" s="4"/>
      <c r="E301" s="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4"/>
      <c r="AE301" s="4"/>
      <c r="AF301" s="4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4"/>
      <c r="BF301" s="4"/>
      <c r="BG301" s="4"/>
      <c r="BH301" s="4"/>
      <c r="BI301" s="4"/>
      <c r="BJ301" s="4"/>
      <c r="BK301" s="4"/>
      <c r="BL301" s="4"/>
      <c r="BM301" s="4"/>
    </row>
    <row r="302" spans="1:65">
      <c r="A302" s="6"/>
      <c r="B302" s="4"/>
      <c r="C302" s="4"/>
      <c r="D302" s="4"/>
      <c r="E302" s="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4"/>
      <c r="AE302" s="4"/>
      <c r="AF302" s="4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4"/>
      <c r="BF302" s="4"/>
      <c r="BG302" s="4"/>
      <c r="BH302" s="4"/>
      <c r="BI302" s="4"/>
      <c r="BJ302" s="4"/>
      <c r="BK302" s="4"/>
      <c r="BL302" s="4"/>
      <c r="BM302" s="4"/>
    </row>
    <row r="303" spans="1:65">
      <c r="A303" s="6"/>
      <c r="B303" s="4"/>
      <c r="C303" s="4"/>
      <c r="D303" s="4"/>
      <c r="E303" s="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4"/>
      <c r="AE303" s="4"/>
      <c r="AF303" s="4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4"/>
      <c r="BF303" s="4"/>
      <c r="BG303" s="4"/>
      <c r="BH303" s="4"/>
      <c r="BI303" s="4"/>
      <c r="BJ303" s="4"/>
      <c r="BK303" s="4"/>
      <c r="BL303" s="4"/>
      <c r="BM303" s="4"/>
    </row>
    <row r="304" spans="1:65">
      <c r="A304" s="6"/>
      <c r="B304" s="4"/>
      <c r="C304" s="4"/>
      <c r="D304" s="4"/>
      <c r="E304" s="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4"/>
      <c r="AE304" s="4"/>
      <c r="AF304" s="4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4"/>
      <c r="BF304" s="4"/>
      <c r="BG304" s="4"/>
      <c r="BH304" s="4"/>
      <c r="BI304" s="4"/>
      <c r="BJ304" s="4"/>
      <c r="BK304" s="4"/>
      <c r="BL304" s="4"/>
      <c r="BM304" s="4"/>
    </row>
    <row r="305" spans="1:65">
      <c r="A305" s="6"/>
      <c r="B305" s="4"/>
      <c r="C305" s="4"/>
      <c r="D305" s="4"/>
      <c r="E305" s="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4"/>
      <c r="AE305" s="4"/>
      <c r="AF305" s="4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4"/>
      <c r="BF305" s="4"/>
      <c r="BG305" s="4"/>
      <c r="BH305" s="4"/>
      <c r="BI305" s="4"/>
      <c r="BJ305" s="4"/>
      <c r="BK305" s="4"/>
      <c r="BL305" s="4"/>
      <c r="BM305" s="4"/>
    </row>
    <row r="306" spans="1:65">
      <c r="A306" s="6"/>
      <c r="B306" s="4"/>
      <c r="C306" s="4"/>
      <c r="D306" s="4"/>
      <c r="E306" s="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4"/>
      <c r="AE306" s="4"/>
      <c r="AF306" s="4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4"/>
      <c r="BF306" s="4"/>
      <c r="BG306" s="4"/>
      <c r="BH306" s="4"/>
      <c r="BI306" s="4"/>
      <c r="BJ306" s="4"/>
      <c r="BK306" s="4"/>
      <c r="BL306" s="4"/>
      <c r="BM306" s="4"/>
    </row>
    <row r="307" spans="1:65">
      <c r="A307" s="6"/>
      <c r="B307" s="4"/>
      <c r="C307" s="4"/>
      <c r="D307" s="4"/>
      <c r="E307" s="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4"/>
      <c r="AE307" s="4"/>
      <c r="AF307" s="4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4"/>
      <c r="BF307" s="4"/>
      <c r="BG307" s="4"/>
      <c r="BH307" s="4"/>
      <c r="BI307" s="4"/>
      <c r="BJ307" s="4"/>
      <c r="BK307" s="4"/>
      <c r="BL307" s="4"/>
      <c r="BM307" s="4"/>
    </row>
    <row r="308" spans="1:65">
      <c r="A308" s="6"/>
      <c r="B308" s="4"/>
      <c r="C308" s="4"/>
      <c r="D308" s="4"/>
      <c r="E308" s="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4"/>
      <c r="AE308" s="4"/>
      <c r="AF308" s="4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4"/>
      <c r="BF308" s="4"/>
      <c r="BG308" s="4"/>
      <c r="BH308" s="4"/>
      <c r="BI308" s="4"/>
      <c r="BJ308" s="4"/>
      <c r="BK308" s="4"/>
      <c r="BL308" s="4"/>
      <c r="BM308" s="4"/>
    </row>
    <row r="309" spans="1:65">
      <c r="A309" s="6"/>
      <c r="B309" s="4"/>
      <c r="C309" s="4"/>
      <c r="D309" s="4"/>
      <c r="E309" s="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4"/>
      <c r="AE309" s="4"/>
      <c r="AF309" s="4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4"/>
      <c r="BF309" s="4"/>
      <c r="BG309" s="4"/>
      <c r="BH309" s="4"/>
      <c r="BI309" s="4"/>
      <c r="BJ309" s="4"/>
      <c r="BK309" s="4"/>
      <c r="BL309" s="4"/>
      <c r="BM309" s="4"/>
    </row>
    <row r="310" spans="1:65">
      <c r="A310" s="6"/>
      <c r="B310" s="4"/>
      <c r="C310" s="4"/>
      <c r="D310" s="4"/>
      <c r="E310" s="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4"/>
      <c r="AE310" s="4"/>
      <c r="AF310" s="4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4"/>
      <c r="BF310" s="4"/>
      <c r="BG310" s="4"/>
      <c r="BH310" s="4"/>
      <c r="BI310" s="4"/>
      <c r="BJ310" s="4"/>
      <c r="BK310" s="4"/>
      <c r="BL310" s="4"/>
      <c r="BM310" s="4"/>
    </row>
    <row r="311" spans="1:65">
      <c r="A311" s="6"/>
      <c r="B311" s="4"/>
      <c r="C311" s="4"/>
      <c r="D311" s="4"/>
      <c r="E311" s="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4"/>
      <c r="AE311" s="4"/>
      <c r="AF311" s="4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4"/>
      <c r="BF311" s="4"/>
      <c r="BG311" s="4"/>
      <c r="BH311" s="4"/>
      <c r="BI311" s="4"/>
      <c r="BJ311" s="4"/>
      <c r="BK311" s="4"/>
      <c r="BL311" s="4"/>
      <c r="BM311" s="4"/>
    </row>
    <row r="312" spans="1:65">
      <c r="A312" s="6"/>
      <c r="B312" s="4"/>
      <c r="C312" s="4"/>
      <c r="D312" s="4"/>
      <c r="E312" s="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4"/>
      <c r="AE312" s="4"/>
      <c r="AF312" s="4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4"/>
      <c r="BF312" s="4"/>
      <c r="BG312" s="4"/>
      <c r="BH312" s="4"/>
      <c r="BI312" s="4"/>
      <c r="BJ312" s="4"/>
      <c r="BK312" s="4"/>
      <c r="BL312" s="4"/>
      <c r="BM312" s="4"/>
    </row>
    <row r="313" spans="1:65">
      <c r="A313" s="6"/>
      <c r="B313" s="4"/>
      <c r="C313" s="4"/>
      <c r="D313" s="4"/>
      <c r="E313" s="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4"/>
      <c r="AE313" s="4"/>
      <c r="AF313" s="4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4"/>
      <c r="BF313" s="4"/>
      <c r="BG313" s="4"/>
      <c r="BH313" s="4"/>
      <c r="BI313" s="4"/>
      <c r="BJ313" s="4"/>
      <c r="BK313" s="4"/>
      <c r="BL313" s="4"/>
      <c r="BM313" s="4"/>
    </row>
    <row r="314" spans="1:65">
      <c r="A314" s="6"/>
      <c r="B314" s="4"/>
      <c r="C314" s="4"/>
      <c r="D314" s="4"/>
      <c r="E314" s="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4"/>
      <c r="AE314" s="4"/>
      <c r="AF314" s="4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4"/>
      <c r="BF314" s="4"/>
      <c r="BG314" s="4"/>
      <c r="BH314" s="4"/>
      <c r="BI314" s="4"/>
      <c r="BJ314" s="4"/>
      <c r="BK314" s="4"/>
      <c r="BL314" s="4"/>
      <c r="BM314" s="4"/>
    </row>
    <row r="315" spans="1:65">
      <c r="A315" s="6"/>
      <c r="B315" s="4"/>
      <c r="C315" s="4"/>
      <c r="D315" s="4"/>
      <c r="E315" s="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4"/>
      <c r="AE315" s="4"/>
      <c r="AF315" s="4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4"/>
      <c r="BF315" s="4"/>
      <c r="BG315" s="4"/>
      <c r="BH315" s="4"/>
      <c r="BI315" s="4"/>
      <c r="BJ315" s="4"/>
      <c r="BK315" s="4"/>
      <c r="BL315" s="4"/>
      <c r="BM315" s="4"/>
    </row>
    <row r="316" spans="1:65">
      <c r="A316" s="6"/>
      <c r="B316" s="4"/>
      <c r="C316" s="4"/>
      <c r="D316" s="4"/>
      <c r="E316" s="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4"/>
      <c r="AE316" s="4"/>
      <c r="AF316" s="4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4"/>
      <c r="BF316" s="4"/>
      <c r="BG316" s="4"/>
      <c r="BH316" s="4"/>
      <c r="BI316" s="4"/>
      <c r="BJ316" s="4"/>
      <c r="BK316" s="4"/>
      <c r="BL316" s="4"/>
      <c r="BM316" s="4"/>
    </row>
    <row r="317" spans="1:65">
      <c r="A317" s="6"/>
      <c r="B317" s="4"/>
      <c r="C317" s="4"/>
      <c r="D317" s="4"/>
      <c r="E317" s="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4"/>
      <c r="AE317" s="4"/>
      <c r="AF317" s="4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4"/>
      <c r="BF317" s="4"/>
      <c r="BG317" s="4"/>
      <c r="BH317" s="4"/>
      <c r="BI317" s="4"/>
      <c r="BJ317" s="4"/>
      <c r="BK317" s="4"/>
      <c r="BL317" s="4"/>
      <c r="BM317" s="4"/>
    </row>
    <row r="318" spans="1:65">
      <c r="A318" s="6"/>
      <c r="B318" s="4"/>
      <c r="C318" s="4"/>
      <c r="D318" s="4"/>
      <c r="E318" s="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4"/>
      <c r="AE318" s="4"/>
      <c r="AF318" s="4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4"/>
      <c r="BF318" s="4"/>
      <c r="BG318" s="4"/>
      <c r="BH318" s="4"/>
      <c r="BI318" s="4"/>
      <c r="BJ318" s="4"/>
      <c r="BK318" s="4"/>
      <c r="BL318" s="4"/>
      <c r="BM318" s="4"/>
    </row>
    <row r="319" spans="1:65">
      <c r="A319" s="6"/>
      <c r="B319" s="4"/>
      <c r="C319" s="4"/>
      <c r="D319" s="4"/>
      <c r="E319" s="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4"/>
      <c r="AE319" s="4"/>
      <c r="AF319" s="4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4"/>
      <c r="BF319" s="4"/>
      <c r="BG319" s="4"/>
      <c r="BH319" s="4"/>
      <c r="BI319" s="4"/>
      <c r="BJ319" s="4"/>
      <c r="BK319" s="4"/>
      <c r="BL319" s="4"/>
      <c r="BM319" s="4"/>
    </row>
    <row r="320" spans="1:65">
      <c r="A320" s="6"/>
      <c r="B320" s="4"/>
      <c r="C320" s="4"/>
      <c r="D320" s="4"/>
      <c r="E320" s="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4"/>
      <c r="AE320" s="4"/>
      <c r="AF320" s="4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4"/>
      <c r="BF320" s="4"/>
      <c r="BG320" s="4"/>
      <c r="BH320" s="4"/>
      <c r="BI320" s="4"/>
      <c r="BJ320" s="4"/>
      <c r="BK320" s="4"/>
      <c r="BL320" s="4"/>
      <c r="BM320" s="4"/>
    </row>
    <row r="321" spans="1:65">
      <c r="A321" s="6"/>
      <c r="B321" s="4"/>
      <c r="C321" s="4"/>
      <c r="D321" s="4"/>
      <c r="E321" s="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4"/>
      <c r="AE321" s="4"/>
      <c r="AF321" s="4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4"/>
      <c r="BF321" s="4"/>
      <c r="BG321" s="4"/>
      <c r="BH321" s="4"/>
      <c r="BI321" s="4"/>
      <c r="BJ321" s="4"/>
      <c r="BK321" s="4"/>
      <c r="BL321" s="4"/>
      <c r="BM321" s="4"/>
    </row>
    <row r="322" spans="1:65">
      <c r="A322" s="6"/>
      <c r="B322" s="4"/>
      <c r="C322" s="4"/>
      <c r="D322" s="4"/>
      <c r="E322" s="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4"/>
      <c r="AE322" s="4"/>
      <c r="AF322" s="4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4"/>
      <c r="BF322" s="4"/>
      <c r="BG322" s="4"/>
      <c r="BH322" s="4"/>
      <c r="BI322" s="4"/>
      <c r="BJ322" s="4"/>
      <c r="BK322" s="4"/>
      <c r="BL322" s="4"/>
      <c r="BM322" s="4"/>
    </row>
    <row r="323" spans="1:65">
      <c r="A323" s="6"/>
      <c r="B323" s="4"/>
      <c r="C323" s="4"/>
      <c r="D323" s="4"/>
      <c r="E323" s="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4"/>
      <c r="AE323" s="4"/>
      <c r="AF323" s="4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4"/>
      <c r="BF323" s="4"/>
      <c r="BG323" s="4"/>
      <c r="BH323" s="4"/>
      <c r="BI323" s="4"/>
      <c r="BJ323" s="4"/>
      <c r="BK323" s="4"/>
      <c r="BL323" s="4"/>
      <c r="BM323" s="4"/>
    </row>
    <row r="324" spans="1:65">
      <c r="A324" s="6"/>
      <c r="B324" s="4"/>
      <c r="C324" s="4"/>
      <c r="D324" s="4"/>
      <c r="E324" s="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4"/>
      <c r="AE324" s="4"/>
      <c r="AF324" s="4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4"/>
      <c r="BF324" s="4"/>
      <c r="BG324" s="4"/>
      <c r="BH324" s="4"/>
      <c r="BI324" s="4"/>
      <c r="BJ324" s="4"/>
      <c r="BK324" s="4"/>
      <c r="BL324" s="4"/>
      <c r="BM324" s="4"/>
    </row>
    <row r="325" spans="1:65">
      <c r="A325" s="6"/>
      <c r="B325" s="4"/>
      <c r="C325" s="4"/>
      <c r="D325" s="4"/>
      <c r="E325" s="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4"/>
      <c r="AE325" s="4"/>
      <c r="AF325" s="4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4"/>
      <c r="BF325" s="4"/>
      <c r="BG325" s="4"/>
      <c r="BH325" s="4"/>
      <c r="BI325" s="4"/>
      <c r="BJ325" s="4"/>
      <c r="BK325" s="4"/>
      <c r="BL325" s="4"/>
      <c r="BM325" s="4"/>
    </row>
    <row r="326" spans="1:65">
      <c r="A326" s="6"/>
      <c r="B326" s="4"/>
      <c r="C326" s="4"/>
      <c r="D326" s="4"/>
      <c r="E326" s="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4"/>
      <c r="AE326" s="4"/>
      <c r="AF326" s="4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4"/>
      <c r="BF326" s="4"/>
      <c r="BG326" s="4"/>
      <c r="BH326" s="4"/>
      <c r="BI326" s="4"/>
      <c r="BJ326" s="4"/>
      <c r="BK326" s="4"/>
      <c r="BL326" s="4"/>
      <c r="BM326" s="4"/>
    </row>
    <row r="327" spans="1:65">
      <c r="A327" s="6"/>
      <c r="B327" s="4"/>
      <c r="C327" s="4"/>
      <c r="D327" s="4"/>
      <c r="E327" s="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4"/>
      <c r="AE327" s="4"/>
      <c r="AF327" s="4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4"/>
      <c r="BF327" s="4"/>
      <c r="BG327" s="4"/>
      <c r="BH327" s="4"/>
      <c r="BI327" s="4"/>
      <c r="BJ327" s="4"/>
      <c r="BK327" s="4"/>
      <c r="BL327" s="4"/>
      <c r="BM327" s="4"/>
    </row>
    <row r="328" spans="1:65">
      <c r="A328" s="6"/>
      <c r="B328" s="4"/>
      <c r="C328" s="4"/>
      <c r="D328" s="4"/>
      <c r="E328" s="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4"/>
      <c r="AE328" s="4"/>
      <c r="AF328" s="4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4"/>
      <c r="BF328" s="4"/>
      <c r="BG328" s="4"/>
      <c r="BH328" s="4"/>
      <c r="BI328" s="4"/>
      <c r="BJ328" s="4"/>
      <c r="BK328" s="4"/>
      <c r="BL328" s="4"/>
      <c r="BM328" s="4"/>
    </row>
    <row r="329" spans="1:65">
      <c r="A329" s="6"/>
      <c r="B329" s="4"/>
      <c r="C329" s="4"/>
      <c r="D329" s="4"/>
      <c r="E329" s="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4"/>
      <c r="AE329" s="4"/>
      <c r="AF329" s="4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4"/>
      <c r="BF329" s="4"/>
      <c r="BG329" s="4"/>
      <c r="BH329" s="4"/>
      <c r="BI329" s="4"/>
      <c r="BJ329" s="4"/>
      <c r="BK329" s="4"/>
      <c r="BL329" s="4"/>
      <c r="BM329" s="4"/>
    </row>
    <row r="330" spans="1:65">
      <c r="A330" s="6"/>
      <c r="B330" s="4"/>
      <c r="C330" s="4"/>
      <c r="D330" s="4"/>
      <c r="E330" s="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4"/>
      <c r="AE330" s="4"/>
      <c r="AF330" s="4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4"/>
      <c r="BF330" s="4"/>
      <c r="BG330" s="4"/>
      <c r="BH330" s="4"/>
      <c r="BI330" s="4"/>
      <c r="BJ330" s="4"/>
      <c r="BK330" s="4"/>
      <c r="BL330" s="4"/>
      <c r="BM330" s="4"/>
    </row>
    <row r="331" spans="1:65">
      <c r="A331" s="6"/>
      <c r="B331" s="4"/>
      <c r="C331" s="4"/>
      <c r="D331" s="4"/>
      <c r="E331" s="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4"/>
      <c r="AE331" s="4"/>
      <c r="AF331" s="4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4"/>
      <c r="BF331" s="4"/>
      <c r="BG331" s="4"/>
      <c r="BH331" s="4"/>
      <c r="BI331" s="4"/>
      <c r="BJ331" s="4"/>
      <c r="BK331" s="4"/>
      <c r="BL331" s="4"/>
      <c r="BM331" s="4"/>
    </row>
    <row r="332" spans="1:65">
      <c r="A332" s="6"/>
      <c r="B332" s="4"/>
      <c r="C332" s="4"/>
      <c r="D332" s="4"/>
      <c r="E332" s="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4"/>
      <c r="AE332" s="4"/>
      <c r="AF332" s="4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4"/>
      <c r="BF332" s="4"/>
      <c r="BG332" s="4"/>
      <c r="BH332" s="4"/>
      <c r="BI332" s="4"/>
      <c r="BJ332" s="4"/>
      <c r="BK332" s="4"/>
      <c r="BL332" s="4"/>
      <c r="BM332" s="4"/>
    </row>
    <row r="333" spans="1:65">
      <c r="A333" s="6"/>
      <c r="B333" s="4"/>
      <c r="C333" s="4"/>
      <c r="D333" s="4"/>
      <c r="E333" s="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4"/>
      <c r="AE333" s="4"/>
      <c r="AF333" s="4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4"/>
      <c r="BF333" s="4"/>
      <c r="BG333" s="4"/>
      <c r="BH333" s="4"/>
      <c r="BI333" s="4"/>
      <c r="BJ333" s="4"/>
      <c r="BK333" s="4"/>
      <c r="BL333" s="4"/>
      <c r="BM333" s="4"/>
    </row>
    <row r="334" spans="1:65">
      <c r="A334" s="6"/>
      <c r="B334" s="4"/>
      <c r="C334" s="4"/>
      <c r="D334" s="4"/>
      <c r="E334" s="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4"/>
      <c r="AE334" s="4"/>
      <c r="AF334" s="4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4"/>
      <c r="BF334" s="4"/>
      <c r="BG334" s="4"/>
      <c r="BH334" s="4"/>
      <c r="BI334" s="4"/>
      <c r="BJ334" s="4"/>
      <c r="BK334" s="4"/>
      <c r="BL334" s="4"/>
      <c r="BM334" s="4"/>
    </row>
    <row r="335" spans="1:65">
      <c r="A335" s="6"/>
      <c r="B335" s="4"/>
      <c r="C335" s="4"/>
      <c r="D335" s="4"/>
      <c r="E335" s="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4"/>
      <c r="AE335" s="4"/>
      <c r="AF335" s="4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4"/>
      <c r="BF335" s="4"/>
      <c r="BG335" s="4"/>
      <c r="BH335" s="4"/>
      <c r="BI335" s="4"/>
      <c r="BJ335" s="4"/>
      <c r="BK335" s="4"/>
      <c r="BL335" s="4"/>
      <c r="BM335" s="4"/>
    </row>
    <row r="336" spans="1:65">
      <c r="A336" s="6"/>
      <c r="B336" s="4"/>
      <c r="C336" s="4"/>
      <c r="D336" s="4"/>
      <c r="E336" s="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4"/>
      <c r="AE336" s="4"/>
      <c r="AF336" s="4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4"/>
      <c r="BF336" s="4"/>
      <c r="BG336" s="4"/>
      <c r="BH336" s="4"/>
      <c r="BI336" s="4"/>
      <c r="BJ336" s="4"/>
      <c r="BK336" s="4"/>
      <c r="BL336" s="4"/>
      <c r="BM336" s="4"/>
    </row>
    <row r="337" spans="1:65">
      <c r="A337" s="6"/>
      <c r="B337" s="4"/>
      <c r="C337" s="4"/>
      <c r="D337" s="4"/>
      <c r="E337" s="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4"/>
      <c r="AE337" s="4"/>
      <c r="AF337" s="4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4"/>
      <c r="BF337" s="4"/>
      <c r="BG337" s="4"/>
      <c r="BH337" s="4"/>
      <c r="BI337" s="4"/>
      <c r="BJ337" s="4"/>
      <c r="BK337" s="4"/>
      <c r="BL337" s="4"/>
      <c r="BM337" s="4"/>
    </row>
    <row r="338" spans="1:65">
      <c r="A338" s="6"/>
      <c r="B338" s="4"/>
      <c r="C338" s="4"/>
      <c r="D338" s="4"/>
      <c r="E338" s="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4"/>
      <c r="AE338" s="4"/>
      <c r="AF338" s="4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4"/>
      <c r="BF338" s="4"/>
      <c r="BG338" s="4"/>
      <c r="BH338" s="4"/>
      <c r="BI338" s="4"/>
      <c r="BJ338" s="4"/>
      <c r="BK338" s="4"/>
      <c r="BL338" s="4"/>
      <c r="BM338" s="4"/>
    </row>
    <row r="339" spans="1:65">
      <c r="A339" s="6"/>
      <c r="B339" s="4"/>
      <c r="C339" s="4"/>
      <c r="D339" s="4"/>
      <c r="E339" s="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4"/>
      <c r="AE339" s="4"/>
      <c r="AF339" s="4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4"/>
      <c r="BF339" s="4"/>
      <c r="BG339" s="4"/>
      <c r="BH339" s="4"/>
      <c r="BI339" s="4"/>
      <c r="BJ339" s="4"/>
      <c r="BK339" s="4"/>
      <c r="BL339" s="4"/>
      <c r="BM339" s="4"/>
    </row>
    <row r="340" spans="1:65">
      <c r="A340" s="6"/>
      <c r="B340" s="4"/>
      <c r="C340" s="4"/>
      <c r="D340" s="4"/>
      <c r="E340" s="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4"/>
      <c r="AE340" s="4"/>
      <c r="AF340" s="4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4"/>
      <c r="BF340" s="4"/>
      <c r="BG340" s="4"/>
      <c r="BH340" s="4"/>
      <c r="BI340" s="4"/>
      <c r="BJ340" s="4"/>
      <c r="BK340" s="4"/>
      <c r="BL340" s="4"/>
      <c r="BM340" s="4"/>
    </row>
    <row r="341" spans="1:65">
      <c r="A341" s="6"/>
      <c r="B341" s="4"/>
      <c r="C341" s="4"/>
      <c r="D341" s="4"/>
      <c r="E341" s="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4"/>
      <c r="AE341" s="4"/>
      <c r="AF341" s="4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4"/>
      <c r="BF341" s="4"/>
      <c r="BG341" s="4"/>
      <c r="BH341" s="4"/>
      <c r="BI341" s="4"/>
      <c r="BJ341" s="4"/>
      <c r="BK341" s="4"/>
      <c r="BL341" s="4"/>
      <c r="BM341" s="4"/>
    </row>
    <row r="342" spans="1:65">
      <c r="A342" s="6"/>
      <c r="B342" s="4"/>
      <c r="C342" s="4"/>
      <c r="D342" s="4"/>
      <c r="E342" s="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4"/>
      <c r="AE342" s="4"/>
      <c r="AF342" s="4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4"/>
      <c r="BF342" s="4"/>
      <c r="BG342" s="4"/>
      <c r="BH342" s="4"/>
      <c r="BI342" s="4"/>
      <c r="BJ342" s="4"/>
      <c r="BK342" s="4"/>
      <c r="BL342" s="4"/>
      <c r="BM342" s="4"/>
    </row>
    <row r="343" spans="1:65">
      <c r="A343" s="6"/>
      <c r="B343" s="4"/>
      <c r="C343" s="4"/>
      <c r="D343" s="4"/>
      <c r="E343" s="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4"/>
      <c r="AE343" s="4"/>
      <c r="AF343" s="4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4"/>
      <c r="BF343" s="4"/>
      <c r="BG343" s="4"/>
      <c r="BH343" s="4"/>
      <c r="BI343" s="4"/>
      <c r="BJ343" s="4"/>
      <c r="BK343" s="4"/>
      <c r="BL343" s="4"/>
      <c r="BM343" s="4"/>
    </row>
    <row r="344" spans="1:65">
      <c r="A344" s="6"/>
      <c r="B344" s="4"/>
      <c r="C344" s="4"/>
      <c r="D344" s="4"/>
      <c r="E344" s="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4"/>
      <c r="AE344" s="4"/>
      <c r="AF344" s="4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4"/>
      <c r="BF344" s="4"/>
      <c r="BG344" s="4"/>
      <c r="BH344" s="4"/>
      <c r="BI344" s="4"/>
      <c r="BJ344" s="4"/>
      <c r="BK344" s="4"/>
      <c r="BL344" s="4"/>
      <c r="BM344" s="4"/>
    </row>
    <row r="345" spans="1:65">
      <c r="A345" s="6"/>
      <c r="B345" s="4"/>
      <c r="C345" s="4"/>
      <c r="D345" s="4"/>
      <c r="E345" s="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4"/>
      <c r="AE345" s="4"/>
      <c r="AF345" s="4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4"/>
      <c r="BF345" s="4"/>
      <c r="BG345" s="4"/>
      <c r="BH345" s="4"/>
      <c r="BI345" s="4"/>
      <c r="BJ345" s="4"/>
      <c r="BK345" s="4"/>
      <c r="BL345" s="4"/>
      <c r="BM345" s="4"/>
    </row>
    <row r="346" spans="1:65">
      <c r="A346" s="6"/>
      <c r="B346" s="4"/>
      <c r="C346" s="4"/>
      <c r="D346" s="4"/>
      <c r="E346" s="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4"/>
      <c r="AE346" s="4"/>
      <c r="AF346" s="4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4"/>
      <c r="BF346" s="4"/>
      <c r="BG346" s="4"/>
      <c r="BH346" s="4"/>
      <c r="BI346" s="4"/>
      <c r="BJ346" s="4"/>
      <c r="BK346" s="4"/>
      <c r="BL346" s="4"/>
      <c r="BM346" s="4"/>
    </row>
    <row r="347" spans="1:65">
      <c r="A347" s="6"/>
      <c r="B347" s="4"/>
      <c r="C347" s="4"/>
      <c r="D347" s="4"/>
      <c r="E347" s="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4"/>
      <c r="AE347" s="4"/>
      <c r="AF347" s="4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4"/>
      <c r="BF347" s="4"/>
      <c r="BG347" s="4"/>
      <c r="BH347" s="4"/>
      <c r="BI347" s="4"/>
      <c r="BJ347" s="4"/>
      <c r="BK347" s="4"/>
      <c r="BL347" s="4"/>
      <c r="BM347" s="4"/>
    </row>
    <row r="348" spans="1:65">
      <c r="A348" s="6"/>
      <c r="B348" s="4"/>
      <c r="C348" s="4"/>
      <c r="D348" s="4"/>
      <c r="E348" s="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4"/>
      <c r="AE348" s="4"/>
      <c r="AF348" s="4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4"/>
      <c r="BF348" s="4"/>
      <c r="BG348" s="4"/>
      <c r="BH348" s="4"/>
      <c r="BI348" s="4"/>
      <c r="BJ348" s="4"/>
      <c r="BK348" s="4"/>
      <c r="BL348" s="4"/>
      <c r="BM348" s="4"/>
    </row>
    <row r="349" spans="1:65">
      <c r="A349" s="6"/>
      <c r="B349" s="4"/>
      <c r="C349" s="4"/>
      <c r="D349" s="4"/>
      <c r="E349" s="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4"/>
      <c r="AE349" s="4"/>
      <c r="AF349" s="4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4"/>
      <c r="BF349" s="4"/>
      <c r="BG349" s="4"/>
      <c r="BH349" s="4"/>
      <c r="BI349" s="4"/>
      <c r="BJ349" s="4"/>
      <c r="BK349" s="4"/>
      <c r="BL349" s="4"/>
      <c r="BM349" s="4"/>
    </row>
    <row r="350" spans="1:65">
      <c r="A350" s="6"/>
      <c r="B350" s="4"/>
      <c r="C350" s="4"/>
      <c r="D350" s="4"/>
      <c r="E350" s="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4"/>
      <c r="AE350" s="4"/>
      <c r="AF350" s="4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4"/>
      <c r="BF350" s="4"/>
      <c r="BG350" s="4"/>
      <c r="BH350" s="4"/>
      <c r="BI350" s="4"/>
      <c r="BJ350" s="4"/>
      <c r="BK350" s="4"/>
      <c r="BL350" s="4"/>
      <c r="BM350" s="4"/>
    </row>
    <row r="351" spans="1:65">
      <c r="A351" s="6"/>
      <c r="B351" s="4"/>
      <c r="C351" s="4"/>
      <c r="D351" s="4"/>
      <c r="E351" s="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4"/>
      <c r="AE351" s="4"/>
      <c r="AF351" s="4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4"/>
      <c r="BF351" s="4"/>
      <c r="BG351" s="4"/>
      <c r="BH351" s="4"/>
      <c r="BI351" s="4"/>
      <c r="BJ351" s="4"/>
      <c r="BK351" s="4"/>
      <c r="BL351" s="4"/>
      <c r="BM351" s="4"/>
    </row>
    <row r="352" spans="1:65">
      <c r="A352" s="6"/>
      <c r="B352" s="4"/>
      <c r="C352" s="4"/>
      <c r="D352" s="4"/>
      <c r="E352" s="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4"/>
      <c r="AE352" s="4"/>
      <c r="AF352" s="4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4"/>
      <c r="BF352" s="4"/>
      <c r="BG352" s="4"/>
      <c r="BH352" s="4"/>
      <c r="BI352" s="4"/>
      <c r="BJ352" s="4"/>
      <c r="BK352" s="4"/>
      <c r="BL352" s="4"/>
      <c r="BM352" s="4"/>
    </row>
    <row r="353" spans="1:65">
      <c r="A353" s="6"/>
      <c r="B353" s="4"/>
      <c r="C353" s="4"/>
      <c r="D353" s="4"/>
      <c r="E353" s="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4"/>
      <c r="AE353" s="4"/>
      <c r="AF353" s="4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4"/>
      <c r="BF353" s="4"/>
      <c r="BG353" s="4"/>
      <c r="BH353" s="4"/>
      <c r="BI353" s="4"/>
      <c r="BJ353" s="4"/>
      <c r="BK353" s="4"/>
      <c r="BL353" s="4"/>
      <c r="BM353" s="4"/>
    </row>
  </sheetData>
  <pageMargins left="0.75" right="0.75" top="1" bottom="1" header="0.5" footer="0.5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1"/>
  <sheetViews>
    <sheetView workbookViewId="0">
      <selection activeCell="C3" sqref="C3:C35"/>
    </sheetView>
  </sheetViews>
  <sheetFormatPr defaultColWidth="8.81333333333333" defaultRowHeight="15"/>
  <cols>
    <col min="1" max="1" width="12.4533333333333" style="1"/>
    <col min="2" max="4" width="12.4533333333333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3.769664203783e-15</v>
      </c>
      <c r="C3" s="6">
        <f>(BF3-BF2)/(A3-A2)</f>
        <v>1.68274025864538e-6</v>
      </c>
      <c r="D3" s="5">
        <v>1.3905256033409e-15</v>
      </c>
      <c r="E3" s="5">
        <v>1.4130877602234e-15</v>
      </c>
      <c r="F3" s="5">
        <v>1.4130877602234e-15</v>
      </c>
      <c r="G3" s="5">
        <v>1.4130877602234e-15</v>
      </c>
      <c r="H3" s="5">
        <v>1.3905256033409e-15</v>
      </c>
      <c r="I3" s="5">
        <v>1.3905256033409e-15</v>
      </c>
      <c r="J3" s="5">
        <v>1.3905256033409e-15</v>
      </c>
      <c r="K3" s="5">
        <v>1.3946653957192e-15</v>
      </c>
      <c r="L3" s="5">
        <v>1.3946653957192e-15</v>
      </c>
      <c r="M3" s="5">
        <v>1.3946653957192e-15</v>
      </c>
      <c r="N3" s="5">
        <v>1.423670589128e-15</v>
      </c>
      <c r="O3" s="5">
        <v>1.3905256033409e-15</v>
      </c>
      <c r="P3" s="5">
        <v>1.423670589128e-15</v>
      </c>
      <c r="Q3" s="5">
        <v>1.423670589128e-15</v>
      </c>
      <c r="R3" s="5">
        <v>1.4130877602234e-15</v>
      </c>
      <c r="S3" s="5">
        <v>1.4130877602234e-15</v>
      </c>
      <c r="T3" s="5">
        <v>1.4130877602234e-15</v>
      </c>
      <c r="U3" s="5">
        <v>1.3905256033409e-15</v>
      </c>
      <c r="V3" s="5">
        <v>1.3946653957192e-15</v>
      </c>
      <c r="W3" s="5">
        <v>1.3946653957192e-15</v>
      </c>
      <c r="X3" s="5">
        <v>1.3946653957192e-15</v>
      </c>
      <c r="Y3" s="5">
        <v>1.423670589128e-15</v>
      </c>
      <c r="Z3" s="5">
        <v>1.423670589128e-15</v>
      </c>
      <c r="AA3" s="5">
        <v>1.423670589128e-15</v>
      </c>
      <c r="AB3" s="3">
        <v>1</v>
      </c>
      <c r="AC3" s="3">
        <v>0.99999999999946</v>
      </c>
      <c r="AD3" s="5">
        <v>6.5363555754619e-7</v>
      </c>
      <c r="AE3" s="5">
        <v>1.7507513929138e-29</v>
      </c>
      <c r="AF3" s="5">
        <v>-4.264440651546e-29</v>
      </c>
      <c r="AG3" s="5">
        <v>3.6468553887049e-29</v>
      </c>
      <c r="AH3" s="5">
        <v>-6.8608200394132e-29</v>
      </c>
      <c r="AI3" s="5">
        <v>-9.4183438806029e-30</v>
      </c>
      <c r="AJ3" s="5">
        <v>-2.1247738400865e-30</v>
      </c>
      <c r="AK3" s="5">
        <v>9.680079005918e-30</v>
      </c>
      <c r="AL3" s="5">
        <v>2.374404925779e-29</v>
      </c>
      <c r="AM3" s="5">
        <v>-2.3847140413993e-29</v>
      </c>
      <c r="AN3" s="5">
        <v>-3.6030029575384e-29</v>
      </c>
      <c r="AO3" s="5">
        <v>9.4630753703176e-30</v>
      </c>
      <c r="AP3" s="5">
        <v>-3.2681691765904e-30</v>
      </c>
      <c r="AQ3" s="5">
        <v>5.1105051200853e-29</v>
      </c>
      <c r="AR3" s="5">
        <v>-8.1184685507919e-29</v>
      </c>
      <c r="AS3" s="5">
        <v>2.6634333538169e-29</v>
      </c>
      <c r="AT3" s="5">
        <v>-9.3671144754294e-31</v>
      </c>
      <c r="AU3" s="5">
        <v>-5.4721236029521e-29</v>
      </c>
      <c r="AV3" s="5">
        <v>4.1137728936887e-30</v>
      </c>
      <c r="AW3" s="5">
        <v>-2.3361796936174e-29</v>
      </c>
      <c r="AX3" s="5">
        <v>2.2427832420733e-29</v>
      </c>
      <c r="AY3" s="5">
        <v>-2.7603168220355e-29</v>
      </c>
      <c r="AZ3" s="5">
        <v>2.6263524656177e-29</v>
      </c>
      <c r="BA3" s="5">
        <v>6.3002802362414e-29</v>
      </c>
      <c r="BB3" s="5">
        <v>-4.5642468552333e-29</v>
      </c>
      <c r="BC3" s="3">
        <v>15999999.999993</v>
      </c>
      <c r="BD3" s="3">
        <v>3999999.9999994</v>
      </c>
      <c r="BE3" s="5">
        <v>-3.1346097312201e-7</v>
      </c>
      <c r="BF3" s="5">
        <v>6.6832404957463e-7</v>
      </c>
      <c r="BG3" s="5">
        <v>1.8477160337837e-7</v>
      </c>
      <c r="BH3" s="5">
        <v>-1.6195353755089e-9</v>
      </c>
      <c r="BI3" s="3">
        <v>0.15898793895909</v>
      </c>
      <c r="BJ3" s="3">
        <v>0.079493973871313</v>
      </c>
      <c r="BK3" s="3">
        <v>0.14513440750331</v>
      </c>
      <c r="BL3" s="4"/>
      <c r="BM3" s="7"/>
    </row>
    <row r="4" spans="1:65">
      <c r="A4" s="3">
        <v>3.9716411736214</v>
      </c>
      <c r="B4" s="5">
        <v>3.97100674739e-13</v>
      </c>
      <c r="C4" s="6">
        <f>(BF4-BF3)/(A4-A3)</f>
        <v>1.68266979158526e-6</v>
      </c>
      <c r="D4" s="5">
        <v>1.3912965662525e-14</v>
      </c>
      <c r="E4" s="5">
        <v>1.4138722839844e-14</v>
      </c>
      <c r="F4" s="5">
        <v>1.4138722839844e-14</v>
      </c>
      <c r="G4" s="5">
        <v>1.4138722839844e-14</v>
      </c>
      <c r="H4" s="5">
        <v>1.3912965662525e-14</v>
      </c>
      <c r="I4" s="5">
        <v>1.3912965662525e-14</v>
      </c>
      <c r="J4" s="5">
        <v>1.3912965662525e-14</v>
      </c>
      <c r="K4" s="5">
        <v>1.3954295884722e-14</v>
      </c>
      <c r="L4" s="5">
        <v>1.3954295884722e-14</v>
      </c>
      <c r="M4" s="5">
        <v>1.3954295884722e-14</v>
      </c>
      <c r="N4" s="5">
        <v>1.4244823561889e-14</v>
      </c>
      <c r="O4" s="5">
        <v>1.3912965662525e-14</v>
      </c>
      <c r="P4" s="5">
        <v>1.4244823561889e-14</v>
      </c>
      <c r="Q4" s="5">
        <v>1.4244823561889e-14</v>
      </c>
      <c r="R4" s="5">
        <v>1.4138722839844e-14</v>
      </c>
      <c r="S4" s="5">
        <v>1.4138722839844e-14</v>
      </c>
      <c r="T4" s="5">
        <v>1.4138722839844e-14</v>
      </c>
      <c r="U4" s="5">
        <v>1.3912965662525e-14</v>
      </c>
      <c r="V4" s="5">
        <v>1.3954295884722e-14</v>
      </c>
      <c r="W4" s="5">
        <v>1.3954295884722e-14</v>
      </c>
      <c r="X4" s="5">
        <v>1.3954295884722e-14</v>
      </c>
      <c r="Y4" s="5">
        <v>1.4244823561889e-14</v>
      </c>
      <c r="Z4" s="5">
        <v>1.4244823561889e-14</v>
      </c>
      <c r="AA4" s="5">
        <v>1.4244823561889e-14</v>
      </c>
      <c r="AB4" s="3">
        <v>1</v>
      </c>
      <c r="AC4" s="3">
        <v>0.99999999999957</v>
      </c>
      <c r="AD4" s="5">
        <v>6.5361791784545e-6</v>
      </c>
      <c r="AE4" s="5">
        <v>1.1556739774906e-29</v>
      </c>
      <c r="AF4" s="5">
        <v>1.3228273234427e-28</v>
      </c>
      <c r="AG4" s="5">
        <v>4.3969722351818e-28</v>
      </c>
      <c r="AH4" s="5">
        <v>-3.4611912961776e-28</v>
      </c>
      <c r="AI4" s="5">
        <v>7.4422402868211e-29</v>
      </c>
      <c r="AJ4" s="5">
        <v>-6.2788823206377e-29</v>
      </c>
      <c r="AK4" s="5">
        <v>-5.1326159654634e-29</v>
      </c>
      <c r="AL4" s="5">
        <v>1.64902375361e-28</v>
      </c>
      <c r="AM4" s="5">
        <v>-1.0822385966953e-28</v>
      </c>
      <c r="AN4" s="5">
        <v>-9.6809239614453e-30</v>
      </c>
      <c r="AO4" s="5">
        <v>1.4673446029654e-28</v>
      </c>
      <c r="AP4" s="5">
        <v>-8.1713986759097e-29</v>
      </c>
      <c r="AQ4" s="5">
        <v>2.5989081008979e-28</v>
      </c>
      <c r="AR4" s="5">
        <v>-4.6127184712052e-28</v>
      </c>
      <c r="AS4" s="5">
        <v>2.0347230240763e-28</v>
      </c>
      <c r="AT4" s="5">
        <v>3.0048770305169e-28</v>
      </c>
      <c r="AU4" s="5">
        <v>-4.1417598846233e-28</v>
      </c>
      <c r="AV4" s="5">
        <v>7.8258680926233e-29</v>
      </c>
      <c r="AW4" s="5">
        <v>5.2745386498897e-29</v>
      </c>
      <c r="AX4" s="5">
        <v>2.8449320312313e-28</v>
      </c>
      <c r="AY4" s="5">
        <v>3.7339476031347e-29</v>
      </c>
      <c r="AZ4" s="5">
        <v>-4.5835338497947e-30</v>
      </c>
      <c r="BA4" s="5">
        <v>2.9462274707123e-28</v>
      </c>
      <c r="BB4" s="5">
        <v>-4.626725802519e-28</v>
      </c>
      <c r="BC4" s="3">
        <v>15999999.999519</v>
      </c>
      <c r="BD4" s="3">
        <v>3999999.9999378</v>
      </c>
      <c r="BE4" s="5">
        <v>-3.1345896645032e-6</v>
      </c>
      <c r="BF4" s="5">
        <v>6.6829886128567e-6</v>
      </c>
      <c r="BG4" s="5">
        <v>1.8477328415906e-6</v>
      </c>
      <c r="BH4" s="5">
        <v>-1.6197112553285e-7</v>
      </c>
      <c r="BI4" s="3">
        <v>1.5898788130412</v>
      </c>
      <c r="BJ4" s="3">
        <v>0.79493984566744</v>
      </c>
      <c r="BK4" s="3">
        <v>1.4513403563328</v>
      </c>
      <c r="BL4" s="4"/>
      <c r="BM4" s="7"/>
    </row>
    <row r="5" spans="1:65">
      <c r="A5" s="3">
        <v>39.716411736214</v>
      </c>
      <c r="B5" s="5">
        <v>3.9929422423953e-11</v>
      </c>
      <c r="C5" s="6">
        <f>(BF5-BF4)/(A5-A4)</f>
        <v>1.6819725756866e-6</v>
      </c>
      <c r="D5" s="5">
        <v>1.399919532631e-13</v>
      </c>
      <c r="E5" s="5">
        <v>1.4225179234762e-13</v>
      </c>
      <c r="F5" s="5">
        <v>1.4225179234762e-13</v>
      </c>
      <c r="G5" s="5">
        <v>1.4225179234762e-13</v>
      </c>
      <c r="H5" s="5">
        <v>1.399919532631e-13</v>
      </c>
      <c r="I5" s="5">
        <v>1.399919532631e-13</v>
      </c>
      <c r="J5" s="5">
        <v>1.399919532631e-13</v>
      </c>
      <c r="K5" s="5">
        <v>1.404002400301e-13</v>
      </c>
      <c r="L5" s="5">
        <v>1.404002400301e-13</v>
      </c>
      <c r="M5" s="5">
        <v>1.404002400301e-13</v>
      </c>
      <c r="N5" s="5">
        <v>1.4335604305726e-13</v>
      </c>
      <c r="O5" s="5">
        <v>1.399919532631e-13</v>
      </c>
      <c r="P5" s="5">
        <v>1.4335604305726e-13</v>
      </c>
      <c r="Q5" s="5">
        <v>1.4335604305726e-13</v>
      </c>
      <c r="R5" s="5">
        <v>1.4225179234762e-13</v>
      </c>
      <c r="S5" s="5">
        <v>1.4225179234762e-13</v>
      </c>
      <c r="T5" s="5">
        <v>1.4225179234762e-13</v>
      </c>
      <c r="U5" s="5">
        <v>1.399919532631e-13</v>
      </c>
      <c r="V5" s="5">
        <v>1.404002400301e-13</v>
      </c>
      <c r="W5" s="5">
        <v>1.404002400301e-13</v>
      </c>
      <c r="X5" s="5">
        <v>1.404002400301e-13</v>
      </c>
      <c r="Y5" s="5">
        <v>1.4335604305726e-13</v>
      </c>
      <c r="Z5" s="5">
        <v>1.4335604305726e-13</v>
      </c>
      <c r="AA5" s="5">
        <v>1.4335604305726e-13</v>
      </c>
      <c r="AB5" s="3">
        <v>1</v>
      </c>
      <c r="AC5" s="3">
        <v>0.99999999993159</v>
      </c>
      <c r="AD5" s="5">
        <v>6.5344161950489e-5</v>
      </c>
      <c r="AE5" s="5">
        <v>9.5654302677964e-26</v>
      </c>
      <c r="AF5" s="5">
        <v>3.1812402695299e-25</v>
      </c>
      <c r="AG5" s="5">
        <v>1.4162382173664e-24</v>
      </c>
      <c r="AH5" s="5">
        <v>-6.0130982854164e-25</v>
      </c>
      <c r="AI5" s="5">
        <v>-1.2302809823449e-26</v>
      </c>
      <c r="AJ5" s="5">
        <v>-9.3326377556338e-26</v>
      </c>
      <c r="AK5" s="5">
        <v>-3.2082490994513e-26</v>
      </c>
      <c r="AL5" s="5">
        <v>7.2753069441025e-25</v>
      </c>
      <c r="AM5" s="5">
        <v>-1.6782220100094e-25</v>
      </c>
      <c r="AN5" s="5">
        <v>1.0609386555639e-25</v>
      </c>
      <c r="AO5" s="5">
        <v>-4.3736612981603e-26</v>
      </c>
      <c r="AP5" s="5">
        <v>-2.3366104179458e-25</v>
      </c>
      <c r="AQ5" s="5">
        <v>3.2946844374145e-25</v>
      </c>
      <c r="AR5" s="5">
        <v>-1.033932584761e-24</v>
      </c>
      <c r="AS5" s="5">
        <v>5.8051775773514e-25</v>
      </c>
      <c r="AT5" s="5">
        <v>6.8158982924205e-25</v>
      </c>
      <c r="AU5" s="5">
        <v>-5.3842596614878e-25</v>
      </c>
      <c r="AV5" s="5">
        <v>2.7489494338514e-25</v>
      </c>
      <c r="AW5" s="5">
        <v>7.033871994937e-25</v>
      </c>
      <c r="AX5" s="5">
        <v>1.6307841207896e-24</v>
      </c>
      <c r="AY5" s="5">
        <v>5.0289808544549e-25</v>
      </c>
      <c r="AZ5" s="5">
        <v>-7.5654560701921e-26</v>
      </c>
      <c r="BA5" s="5">
        <v>1.1785777128064e-25</v>
      </c>
      <c r="BB5" s="5">
        <v>-1.2358957247386e-24</v>
      </c>
      <c r="BC5" s="3">
        <v>15999999.969565</v>
      </c>
      <c r="BD5" s="3">
        <v>3999999.9937472</v>
      </c>
      <c r="BE5" s="5">
        <v>-3.1343891086313e-5</v>
      </c>
      <c r="BF5" s="5">
        <v>6.6804712423347e-5</v>
      </c>
      <c r="BG5" s="5">
        <v>1.8479006718974e-5</v>
      </c>
      <c r="BH5" s="5">
        <v>-1.6198863240797e-5</v>
      </c>
      <c r="BI5" s="3">
        <v>15.898730399885</v>
      </c>
      <c r="BJ5" s="3">
        <v>7.9494091067935</v>
      </c>
      <c r="BK5" s="3">
        <v>14.513031863313</v>
      </c>
      <c r="BL5" s="4"/>
      <c r="BM5" s="7"/>
    </row>
    <row r="6" spans="1:65">
      <c r="A6" s="3">
        <v>397.16411736214</v>
      </c>
      <c r="B6" s="5">
        <v>2.7567984308266e-9</v>
      </c>
      <c r="C6" s="6">
        <f>(BF6-BF5)/(A6-A5)</f>
        <v>5.17985695701368e-7</v>
      </c>
      <c r="D6" s="5">
        <v>6.8299371538047e-13</v>
      </c>
      <c r="E6" s="5">
        <v>6.9377082172515e-13</v>
      </c>
      <c r="F6" s="5">
        <v>6.9377082172715e-13</v>
      </c>
      <c r="G6" s="5">
        <v>6.9377082172596e-13</v>
      </c>
      <c r="H6" s="5">
        <v>6.8299371538046e-13</v>
      </c>
      <c r="I6" s="5">
        <v>6.8299371538035e-13</v>
      </c>
      <c r="J6" s="5">
        <v>6.829937153804e-13</v>
      </c>
      <c r="K6" s="5">
        <v>6.8482954846987e-13</v>
      </c>
      <c r="L6" s="5">
        <v>6.8482954846997e-13</v>
      </c>
      <c r="M6" s="5">
        <v>6.8482954846995e-13</v>
      </c>
      <c r="N6" s="5">
        <v>6.9992007584423e-13</v>
      </c>
      <c r="O6" s="5">
        <v>6.8299371538041e-13</v>
      </c>
      <c r="P6" s="5">
        <v>6.9992007584416e-13</v>
      </c>
      <c r="Q6" s="5">
        <v>6.9992007584415e-13</v>
      </c>
      <c r="R6" s="5">
        <v>6.9377082172575e-13</v>
      </c>
      <c r="S6" s="5">
        <v>6.9377082172498e-13</v>
      </c>
      <c r="T6" s="5">
        <v>6.9377082172522e-13</v>
      </c>
      <c r="U6" s="5">
        <v>6.8299371538114e-13</v>
      </c>
      <c r="V6" s="5">
        <v>6.8482954847025e-13</v>
      </c>
      <c r="W6" s="5">
        <v>6.8482954847015e-13</v>
      </c>
      <c r="X6" s="5">
        <v>6.8482954847016e-13</v>
      </c>
      <c r="Y6" s="5">
        <v>6.999200758445e-13</v>
      </c>
      <c r="Z6" s="5">
        <v>6.9992007584441e-13</v>
      </c>
      <c r="AA6" s="5">
        <v>6.9992007584444e-13</v>
      </c>
      <c r="AB6" s="3">
        <v>0.99999998321971</v>
      </c>
      <c r="AC6" s="3">
        <v>0.99999392136059</v>
      </c>
      <c r="AD6" s="3">
        <v>0.00024653954867802</v>
      </c>
      <c r="AE6" s="5">
        <v>1.066953433571e-19</v>
      </c>
      <c r="AF6" s="5">
        <v>-5.4019331452855e-19</v>
      </c>
      <c r="AG6" s="5">
        <v>5.7503780413081e-18</v>
      </c>
      <c r="AH6" s="5">
        <v>3.2851601370852e-19</v>
      </c>
      <c r="AI6" s="5">
        <v>-2.6240764151691e-20</v>
      </c>
      <c r="AJ6" s="5">
        <v>-6.8782566131967e-21</v>
      </c>
      <c r="AK6" s="5">
        <v>-4.4450550786764e-20</v>
      </c>
      <c r="AL6" s="5">
        <v>4.261019957727e-19</v>
      </c>
      <c r="AM6" s="5">
        <v>-1.6068686353379e-19</v>
      </c>
      <c r="AN6" s="5">
        <v>9.1970820227749e-20</v>
      </c>
      <c r="AO6" s="5">
        <v>-1.6448552889588e-19</v>
      </c>
      <c r="AP6" s="5">
        <v>-1.1888989360524e-19</v>
      </c>
      <c r="AQ6" s="5">
        <v>-1.6042222740867e-19</v>
      </c>
      <c r="AR6" s="5">
        <v>-5.5318707995474e-19</v>
      </c>
      <c r="AS6" s="5">
        <v>2.0706212683809e-18</v>
      </c>
      <c r="AT6" s="5">
        <v>-1.2802284495285e-19</v>
      </c>
      <c r="AU6" s="5">
        <v>-5.6831840961744e-19</v>
      </c>
      <c r="AV6" s="5">
        <v>3.8329557890411e-19</v>
      </c>
      <c r="AW6" s="5">
        <v>5.6445613061303e-19</v>
      </c>
      <c r="AX6" s="5">
        <v>1.1560514511227e-18</v>
      </c>
      <c r="AY6" s="5">
        <v>1.1339152534857e-21</v>
      </c>
      <c r="AZ6" s="5">
        <v>1.2382070936582e-20</v>
      </c>
      <c r="BA6" s="5">
        <v>3.7850257727112e-19</v>
      </c>
      <c r="BB6" s="5">
        <v>-6.2435775398053e-19</v>
      </c>
      <c r="BC6" s="3">
        <v>15999998.55483</v>
      </c>
      <c r="BD6" s="3">
        <v>3999999.5693006</v>
      </c>
      <c r="BE6" s="3">
        <v>-0.00011835077084759</v>
      </c>
      <c r="BF6" s="3">
        <v>0.00025195751089885</v>
      </c>
      <c r="BG6" s="5">
        <v>6.9811817523092e-5</v>
      </c>
      <c r="BH6" s="3">
        <v>-0.00022994067586209</v>
      </c>
      <c r="BI6" s="3">
        <v>60.045279679909</v>
      </c>
      <c r="BJ6" s="3">
        <v>30.023262196847</v>
      </c>
      <c r="BK6" s="3">
        <v>54.807533131575</v>
      </c>
      <c r="BL6" s="4"/>
      <c r="BM6" s="7"/>
    </row>
    <row r="7" spans="1:65">
      <c r="A7" s="3">
        <v>3971.6411736214</v>
      </c>
      <c r="B7" s="5">
        <v>3.4355812064617e-8</v>
      </c>
      <c r="C7" s="6">
        <f t="shared" ref="C7:C35" si="0">(BF7-BF6)/(A7-A6)</f>
        <v>9.56948884595255e-12</v>
      </c>
      <c r="D7" s="5">
        <v>6.8299135752055e-13</v>
      </c>
      <c r="E7" s="5">
        <v>6.9376889071525e-13</v>
      </c>
      <c r="F7" s="5">
        <v>6.9376889075246e-13</v>
      </c>
      <c r="G7" s="5">
        <v>6.9376889073027e-13</v>
      </c>
      <c r="H7" s="5">
        <v>6.8299135752041e-13</v>
      </c>
      <c r="I7" s="5">
        <v>6.8299135751836e-13</v>
      </c>
      <c r="J7" s="5">
        <v>6.8299135751928e-13</v>
      </c>
      <c r="K7" s="5">
        <v>6.8482712796333e-13</v>
      </c>
      <c r="L7" s="5">
        <v>6.848271279652e-13</v>
      </c>
      <c r="M7" s="5">
        <v>6.8482712796486e-13</v>
      </c>
      <c r="N7" s="5">
        <v>6.9991771300701e-13</v>
      </c>
      <c r="O7" s="5">
        <v>6.8299135751957e-13</v>
      </c>
      <c r="P7" s="5">
        <v>6.999177130056e-13</v>
      </c>
      <c r="Q7" s="5">
        <v>6.9991771300544e-13</v>
      </c>
      <c r="R7" s="5">
        <v>6.9376889072652e-13</v>
      </c>
      <c r="S7" s="5">
        <v>6.9376889071218e-13</v>
      </c>
      <c r="T7" s="5">
        <v>6.9376889071657e-13</v>
      </c>
      <c r="U7" s="5">
        <v>6.8299135753298e-13</v>
      </c>
      <c r="V7" s="5">
        <v>6.8482712797039e-13</v>
      </c>
      <c r="W7" s="5">
        <v>6.8482712796852e-13</v>
      </c>
      <c r="X7" s="5">
        <v>6.8482712796874e-13</v>
      </c>
      <c r="Y7" s="5">
        <v>6.9991771301198e-13</v>
      </c>
      <c r="Z7" s="5">
        <v>6.9991771301032e-13</v>
      </c>
      <c r="AA7" s="5">
        <v>6.999177130109e-13</v>
      </c>
      <c r="AB7" s="3">
        <v>0.99999999364432</v>
      </c>
      <c r="AC7" s="3">
        <v>0.99999392137921</v>
      </c>
      <c r="AD7" s="3">
        <v>0.00024656548560545</v>
      </c>
      <c r="AE7" s="5">
        <v>1.0662330416413e-19</v>
      </c>
      <c r="AF7" s="5">
        <v>-5.4011595969156e-19</v>
      </c>
      <c r="AG7" s="5">
        <v>5.7494885464412e-18</v>
      </c>
      <c r="AH7" s="5">
        <v>3.2858660402327e-19</v>
      </c>
      <c r="AI7" s="5">
        <v>-2.62440023528e-20</v>
      </c>
      <c r="AJ7" s="5">
        <v>-6.8805866775048e-21</v>
      </c>
      <c r="AK7" s="5">
        <v>-4.4374969722967e-20</v>
      </c>
      <c r="AL7" s="5">
        <v>4.2611048504823e-19</v>
      </c>
      <c r="AM7" s="5">
        <v>-1.6060657358943e-19</v>
      </c>
      <c r="AN7" s="5">
        <v>9.2018594818043e-20</v>
      </c>
      <c r="AO7" s="5">
        <v>-1.6441031695419e-19</v>
      </c>
      <c r="AP7" s="5">
        <v>-1.1889517868003e-19</v>
      </c>
      <c r="AQ7" s="5">
        <v>-1.6034219110477e-19</v>
      </c>
      <c r="AR7" s="5">
        <v>-5.5316755772255e-19</v>
      </c>
      <c r="AS7" s="5">
        <v>2.0704309108114e-18</v>
      </c>
      <c r="AT7" s="5">
        <v>-1.2796845492424e-19</v>
      </c>
      <c r="AU7" s="5">
        <v>-5.6813283928674e-19</v>
      </c>
      <c r="AV7" s="5">
        <v>3.8304038116712e-19</v>
      </c>
      <c r="AW7" s="5">
        <v>5.6436960063603e-19</v>
      </c>
      <c r="AX7" s="5">
        <v>1.1559110846605e-18</v>
      </c>
      <c r="AY7" s="5">
        <v>1.140575079404e-21</v>
      </c>
      <c r="AZ7" s="5">
        <v>1.2330824826816e-20</v>
      </c>
      <c r="BA7" s="5">
        <v>3.7855880051115e-19</v>
      </c>
      <c r="BB7" s="5">
        <v>-6.2439893071046e-19</v>
      </c>
      <c r="BC7" s="3">
        <v>15999982.480484</v>
      </c>
      <c r="BD7" s="3">
        <v>3999994.6339215</v>
      </c>
      <c r="BE7" s="3">
        <v>-0.00011834496466367</v>
      </c>
      <c r="BF7" s="3">
        <v>0.00025199171681717</v>
      </c>
      <c r="BG7" s="5">
        <v>6.9831019599004e-5</v>
      </c>
      <c r="BH7" s="3">
        <v>-0.00022993959832569</v>
      </c>
      <c r="BI7" s="3">
        <v>60.04527970666</v>
      </c>
      <c r="BJ7" s="3">
        <v>30.023262204885</v>
      </c>
      <c r="BK7" s="3">
        <v>54.807156894734</v>
      </c>
      <c r="BL7" s="4"/>
      <c r="BM7" s="7"/>
    </row>
    <row r="8" spans="1:65">
      <c r="A8" s="3">
        <v>39716.411736214</v>
      </c>
      <c r="B8" s="5">
        <v>3.5033620488965e-7</v>
      </c>
      <c r="C8" s="6">
        <f t="shared" si="0"/>
        <v>9.56893835256383e-12</v>
      </c>
      <c r="D8" s="5">
        <v>6.8296778083162e-13</v>
      </c>
      <c r="E8" s="5">
        <v>6.9374958131035e-13</v>
      </c>
      <c r="F8" s="5">
        <v>6.9374958169951e-13</v>
      </c>
      <c r="G8" s="5">
        <v>6.9374958146771e-13</v>
      </c>
      <c r="H8" s="5">
        <v>6.8296778083023e-13</v>
      </c>
      <c r="I8" s="5">
        <v>6.8296778080873e-13</v>
      </c>
      <c r="J8" s="5">
        <v>6.8296778081843e-13</v>
      </c>
      <c r="K8" s="5">
        <v>6.8480294014685e-13</v>
      </c>
      <c r="L8" s="5">
        <v>6.8480294016644e-13</v>
      </c>
      <c r="M8" s="5">
        <v>6.8480294016282e-13</v>
      </c>
      <c r="N8" s="5">
        <v>6.998941057029e-13</v>
      </c>
      <c r="O8" s="5">
        <v>6.829677808214e-13</v>
      </c>
      <c r="P8" s="5">
        <v>6.9989410568814e-13</v>
      </c>
      <c r="Q8" s="5">
        <v>6.9989410568652e-13</v>
      </c>
      <c r="R8" s="5">
        <v>6.9374958142827e-13</v>
      </c>
      <c r="S8" s="5">
        <v>6.9374958127827e-13</v>
      </c>
      <c r="T8" s="5">
        <v>6.9374958132417e-13</v>
      </c>
      <c r="U8" s="5">
        <v>6.8296778096176e-13</v>
      </c>
      <c r="V8" s="5">
        <v>6.8480294022069e-13</v>
      </c>
      <c r="W8" s="5">
        <v>6.8480294020118e-13</v>
      </c>
      <c r="X8" s="5">
        <v>6.8480294020348e-13</v>
      </c>
      <c r="Y8" s="5">
        <v>6.9989410575482e-13</v>
      </c>
      <c r="Z8" s="5">
        <v>6.9989410573751e-13</v>
      </c>
      <c r="AA8" s="5">
        <v>6.9989410574361e-13</v>
      </c>
      <c r="AB8" s="3">
        <v>0.99999999850613</v>
      </c>
      <c r="AC8" s="3">
        <v>0.99999392156299</v>
      </c>
      <c r="AD8" s="3">
        <v>0.00024682491587674</v>
      </c>
      <c r="AE8" s="5">
        <v>1.0590386193649e-19</v>
      </c>
      <c r="AF8" s="5">
        <v>-5.3934390971329e-19</v>
      </c>
      <c r="AG8" s="5">
        <v>5.7406009162227e-18</v>
      </c>
      <c r="AH8" s="5">
        <v>3.2929010878616e-19</v>
      </c>
      <c r="AI8" s="5">
        <v>-2.6276766666469e-20</v>
      </c>
      <c r="AJ8" s="5">
        <v>-6.9044821882479e-21</v>
      </c>
      <c r="AK8" s="5">
        <v>-4.3620222165431e-20</v>
      </c>
      <c r="AL8" s="5">
        <v>4.2619496436918e-19</v>
      </c>
      <c r="AM8" s="5">
        <v>-1.598037906233e-19</v>
      </c>
      <c r="AN8" s="5">
        <v>9.2494976196465e-20</v>
      </c>
      <c r="AO8" s="5">
        <v>-1.636599287547e-19</v>
      </c>
      <c r="AP8" s="5">
        <v>-1.1894799983242e-19</v>
      </c>
      <c r="AQ8" s="5">
        <v>-1.595427777217e-19</v>
      </c>
      <c r="AR8" s="5">
        <v>-5.5297266241581e-19</v>
      </c>
      <c r="AS8" s="5">
        <v>2.0685277072262e-18</v>
      </c>
      <c r="AT8" s="5">
        <v>-1.2742480777212e-19</v>
      </c>
      <c r="AU8" s="5">
        <v>-5.662793121831e-19</v>
      </c>
      <c r="AV8" s="5">
        <v>3.804899616934e-19</v>
      </c>
      <c r="AW8" s="5">
        <v>5.6350682209235e-19</v>
      </c>
      <c r="AX8" s="5">
        <v>1.1545078272331e-18</v>
      </c>
      <c r="AY8" s="5">
        <v>1.2074210019987e-21</v>
      </c>
      <c r="AZ8" s="5">
        <v>1.1819414371461e-20</v>
      </c>
      <c r="BA8" s="5">
        <v>3.791198845676e-19</v>
      </c>
      <c r="BB8" s="5">
        <v>-6.2481067906759e-19</v>
      </c>
      <c r="BC8" s="3">
        <v>15999821.739785</v>
      </c>
      <c r="BD8" s="3">
        <v>3999945.2815557</v>
      </c>
      <c r="BE8" s="3">
        <v>-0.00011828689204117</v>
      </c>
      <c r="BF8" s="3">
        <v>0.00025233375632311</v>
      </c>
      <c r="BG8" s="5">
        <v>7.0023037926316e-5</v>
      </c>
      <c r="BH8" s="3">
        <v>-0.00022987637884203</v>
      </c>
      <c r="BI8" s="3">
        <v>60.045280172092</v>
      </c>
      <c r="BJ8" s="3">
        <v>30.02326231424</v>
      </c>
      <c r="BK8" s="3">
        <v>54.803397150741</v>
      </c>
      <c r="BL8" s="4"/>
      <c r="BM8" s="7"/>
    </row>
    <row r="9" spans="1:65">
      <c r="A9" s="3">
        <v>397164.11736214</v>
      </c>
      <c r="B9" s="5">
        <v>3.5091678276727e-6</v>
      </c>
      <c r="C9" s="6">
        <f t="shared" si="0"/>
        <v>9.56317791382715e-12</v>
      </c>
      <c r="D9" s="5">
        <v>6.8273334860193e-13</v>
      </c>
      <c r="E9" s="5">
        <v>6.935574655513e-13</v>
      </c>
      <c r="F9" s="5">
        <v>6.9355746943462e-13</v>
      </c>
      <c r="G9" s="5">
        <v>6.9355746714762e-13</v>
      </c>
      <c r="H9" s="5">
        <v>6.8273334859255e-13</v>
      </c>
      <c r="I9" s="5">
        <v>6.8273334837646e-13</v>
      </c>
      <c r="J9" s="5">
        <v>6.8273334847217e-13</v>
      </c>
      <c r="K9" s="5">
        <v>6.8456241780173e-13</v>
      </c>
      <c r="L9" s="5">
        <v>6.8456241799897e-13</v>
      </c>
      <c r="M9" s="5">
        <v>6.8456241795995e-13</v>
      </c>
      <c r="N9" s="5">
        <v>6.9965952652744e-13</v>
      </c>
      <c r="O9" s="5">
        <v>6.8273334850331e-13</v>
      </c>
      <c r="P9" s="5">
        <v>6.9965952637685e-13</v>
      </c>
      <c r="Q9" s="5">
        <v>6.9965952636219e-13</v>
      </c>
      <c r="R9" s="5">
        <v>6.9355746673332e-13</v>
      </c>
      <c r="S9" s="5">
        <v>6.9355746523439e-13</v>
      </c>
      <c r="T9" s="5">
        <v>6.9355746569288e-13</v>
      </c>
      <c r="U9" s="5">
        <v>6.8273334991561e-13</v>
      </c>
      <c r="V9" s="5">
        <v>6.8456241853678e-13</v>
      </c>
      <c r="W9" s="5">
        <v>6.8456241834659e-13</v>
      </c>
      <c r="X9" s="5">
        <v>6.8456241837207e-13</v>
      </c>
      <c r="Y9" s="5">
        <v>6.9965952703959e-13</v>
      </c>
      <c r="Z9" s="5">
        <v>6.9965952687535e-13</v>
      </c>
      <c r="AA9" s="5">
        <v>6.9965952693791e-13</v>
      </c>
      <c r="AB9" s="3">
        <v>0.9999999998162</v>
      </c>
      <c r="AC9" s="3">
        <v>0.99999392314788</v>
      </c>
      <c r="AD9" s="3">
        <v>0.00024942514525492</v>
      </c>
      <c r="AE9" s="5">
        <v>9.8804400659837e-20</v>
      </c>
      <c r="AF9" s="5">
        <v>-5.3177225703627e-19</v>
      </c>
      <c r="AG9" s="5">
        <v>5.652472713662e-18</v>
      </c>
      <c r="AH9" s="5">
        <v>3.3608672938327e-19</v>
      </c>
      <c r="AI9" s="5">
        <v>-2.664369568984e-20</v>
      </c>
      <c r="AJ9" s="5">
        <v>-7.2039682270395e-21</v>
      </c>
      <c r="AK9" s="5">
        <v>-3.6179306827842e-20</v>
      </c>
      <c r="AL9" s="5">
        <v>4.2699791941993e-19</v>
      </c>
      <c r="AM9" s="5">
        <v>-1.5178936290314e-19</v>
      </c>
      <c r="AN9" s="5">
        <v>9.7122455427635e-20</v>
      </c>
      <c r="AO9" s="5">
        <v>-1.5632974560199e-19</v>
      </c>
      <c r="AP9" s="5">
        <v>-1.1947385847182e-19</v>
      </c>
      <c r="AQ9" s="5">
        <v>-1.5164503707162e-19</v>
      </c>
      <c r="AR9" s="5">
        <v>-5.5106002991684e-19</v>
      </c>
      <c r="AS9" s="5">
        <v>2.0495409527628e-18</v>
      </c>
      <c r="AT9" s="5">
        <v>-1.2201497069695e-19</v>
      </c>
      <c r="AU9" s="5">
        <v>-5.4796422535684e-19</v>
      </c>
      <c r="AV9" s="5">
        <v>3.551414547937e-19</v>
      </c>
      <c r="AW9" s="5">
        <v>5.5512928735478e-19</v>
      </c>
      <c r="AX9" s="5">
        <v>1.1405183621508e-18</v>
      </c>
      <c r="AY9" s="5">
        <v>1.900945364466e-21</v>
      </c>
      <c r="AZ9" s="5">
        <v>6.8087712145944e-21</v>
      </c>
      <c r="BA9" s="5">
        <v>3.8461764636764e-19</v>
      </c>
      <c r="BB9" s="5">
        <v>-6.2892856380177e-19</v>
      </c>
      <c r="BC9" s="3">
        <v>15998214.609186</v>
      </c>
      <c r="BD9" s="3">
        <v>3999451.8998908</v>
      </c>
      <c r="BE9" s="3">
        <v>-0.00011770507476489</v>
      </c>
      <c r="BF9" s="3">
        <v>0.0002557520923269</v>
      </c>
      <c r="BG9" s="5">
        <v>7.1942997992833e-5</v>
      </c>
      <c r="BH9" s="3">
        <v>-0.00022933438217467</v>
      </c>
      <c r="BI9" s="3">
        <v>60.045284708709</v>
      </c>
      <c r="BJ9" s="3">
        <v>30.023263318852</v>
      </c>
      <c r="BK9" s="3">
        <v>54.766047127862</v>
      </c>
      <c r="BL9" s="4"/>
      <c r="BM9" s="7"/>
    </row>
    <row r="10" spans="1:65">
      <c r="A10" s="3">
        <v>125594.32157548</v>
      </c>
      <c r="B10" s="5">
        <v>1.1094099772443e-6</v>
      </c>
      <c r="C10" s="6">
        <f t="shared" si="0"/>
        <v>9.56201712395129e-12</v>
      </c>
      <c r="D10" s="5">
        <v>6.8290109942712e-13</v>
      </c>
      <c r="E10" s="5">
        <v>6.9369501561011e-13</v>
      </c>
      <c r="F10" s="5">
        <v>6.9369501699306e-13</v>
      </c>
      <c r="G10" s="5">
        <v>6.9369501617213e-13</v>
      </c>
      <c r="H10" s="5">
        <v>6.8290109942268e-13</v>
      </c>
      <c r="I10" s="5">
        <v>6.8290109934609e-13</v>
      </c>
      <c r="J10" s="5">
        <v>6.8290109938045e-13</v>
      </c>
      <c r="K10" s="5">
        <v>6.8473454920412e-13</v>
      </c>
      <c r="L10" s="5">
        <v>6.8473454927391e-13</v>
      </c>
      <c r="M10" s="5">
        <v>6.8473454926075e-13</v>
      </c>
      <c r="N10" s="5">
        <v>6.9982738525199e-13</v>
      </c>
      <c r="O10" s="5">
        <v>6.8290109939117e-13</v>
      </c>
      <c r="P10" s="5">
        <v>6.998273851992e-13</v>
      </c>
      <c r="Q10" s="5">
        <v>6.9982738519359e-13</v>
      </c>
      <c r="R10" s="5">
        <v>6.9369501602976e-13</v>
      </c>
      <c r="S10" s="5">
        <v>6.9369501549647e-13</v>
      </c>
      <c r="T10" s="5">
        <v>6.9369501565963e-13</v>
      </c>
      <c r="U10" s="5">
        <v>6.829010998912e-13</v>
      </c>
      <c r="V10" s="5">
        <v>6.8473454946632e-13</v>
      </c>
      <c r="W10" s="5">
        <v>6.8473454939748e-13</v>
      </c>
      <c r="X10" s="5">
        <v>6.8473454940594e-13</v>
      </c>
      <c r="Y10" s="5">
        <v>6.9982738543586e-13</v>
      </c>
      <c r="Z10" s="5">
        <v>6.9982738537526e-13</v>
      </c>
      <c r="AA10" s="5">
        <v>6.9982738539712e-13</v>
      </c>
      <c r="AB10" s="3">
        <v>0.99999999902785</v>
      </c>
      <c r="AC10" s="3">
        <v>0.99999392206219</v>
      </c>
      <c r="AD10" s="3">
        <v>0.00024744862193482</v>
      </c>
      <c r="AE10" s="5">
        <v>1.0387641952801e-19</v>
      </c>
      <c r="AF10" s="5">
        <v>-5.3717266060934e-19</v>
      </c>
      <c r="AG10" s="5">
        <v>5.7155083065462e-18</v>
      </c>
      <c r="AH10" s="5">
        <v>3.312566121616e-19</v>
      </c>
      <c r="AI10" s="5">
        <v>-2.6373239669888e-20</v>
      </c>
      <c r="AJ10" s="5">
        <v>-6.9780547159861e-21</v>
      </c>
      <c r="AK10" s="5">
        <v>-4.149405012414e-20</v>
      </c>
      <c r="AL10" s="5">
        <v>4.2642987014e-19</v>
      </c>
      <c r="AM10" s="5">
        <v>-1.5753220213538e-19</v>
      </c>
      <c r="AN10" s="5">
        <v>9.3829918541622e-20</v>
      </c>
      <c r="AO10" s="5">
        <v>-1.6155254185758e-19</v>
      </c>
      <c r="AP10" s="5">
        <v>-1.1909716507762e-19</v>
      </c>
      <c r="AQ10" s="5">
        <v>-1.5728885112395e-19</v>
      </c>
      <c r="AR10" s="5">
        <v>-5.5242385224699e-19</v>
      </c>
      <c r="AS10" s="5">
        <v>2.0631428417018e-18</v>
      </c>
      <c r="AT10" s="5">
        <v>-1.2588770566433e-19</v>
      </c>
      <c r="AU10" s="5">
        <v>-5.6105303130861e-19</v>
      </c>
      <c r="AV10" s="5">
        <v>3.7328516724962e-19</v>
      </c>
      <c r="AW10" s="5">
        <v>5.6108893524295e-19</v>
      </c>
      <c r="AX10" s="5">
        <v>1.1505389383834e-18</v>
      </c>
      <c r="AY10" s="5">
        <v>1.3989582347769e-21</v>
      </c>
      <c r="AZ10" s="5">
        <v>1.0382052115674e-20</v>
      </c>
      <c r="BA10" s="5">
        <v>3.8069672506771e-19</v>
      </c>
      <c r="BB10" s="5">
        <v>-6.2597568757468e-19</v>
      </c>
      <c r="BC10" s="3">
        <v>15999435.577698</v>
      </c>
      <c r="BD10" s="3">
        <v>3999826.7224865</v>
      </c>
      <c r="BE10" s="3">
        <v>-0.00011814728379448</v>
      </c>
      <c r="BF10" s="3">
        <v>0.00025315533728924</v>
      </c>
      <c r="BG10" s="5">
        <v>7.0484350231776e-5</v>
      </c>
      <c r="BH10" s="3">
        <v>-0.00022972265384853</v>
      </c>
      <c r="BI10" s="3">
        <v>60.045281293765</v>
      </c>
      <c r="BJ10" s="3">
        <v>30.023262578213</v>
      </c>
      <c r="BK10" s="3">
        <v>54.794381946324</v>
      </c>
      <c r="BL10" s="4"/>
      <c r="BM10" s="7"/>
    </row>
    <row r="11" spans="1:65">
      <c r="A11" s="3">
        <v>397164.11736214</v>
      </c>
      <c r="B11" s="5">
        <v>3.509097397065e-6</v>
      </c>
      <c r="C11" s="6">
        <f t="shared" si="0"/>
        <v>9.56132950595059e-12</v>
      </c>
      <c r="D11" s="5">
        <v>6.8270166924515e-13</v>
      </c>
      <c r="E11" s="5">
        <v>6.9353137768884e-13</v>
      </c>
      <c r="F11" s="5">
        <v>6.9353138204066e-13</v>
      </c>
      <c r="G11" s="5">
        <v>6.9353137948375e-13</v>
      </c>
      <c r="H11" s="5">
        <v>6.8270166923569e-13</v>
      </c>
      <c r="I11" s="5">
        <v>6.8270166899318e-13</v>
      </c>
      <c r="J11" s="5">
        <v>6.8270166910017e-13</v>
      </c>
      <c r="K11" s="5">
        <v>6.8452986583834e-13</v>
      </c>
      <c r="L11" s="5">
        <v>6.8452986605978e-13</v>
      </c>
      <c r="M11" s="5">
        <v>6.8452986601539e-13</v>
      </c>
      <c r="N11" s="5">
        <v>6.9962777463052e-13</v>
      </c>
      <c r="O11" s="5">
        <v>6.8270166913545e-13</v>
      </c>
      <c r="P11" s="5">
        <v>6.9962777446102e-13</v>
      </c>
      <c r="Q11" s="5">
        <v>6.9962777444496e-13</v>
      </c>
      <c r="R11" s="5">
        <v>6.9353137901474e-13</v>
      </c>
      <c r="S11" s="5">
        <v>6.935313773345e-13</v>
      </c>
      <c r="T11" s="5">
        <v>6.9353137784842e-13</v>
      </c>
      <c r="U11" s="5">
        <v>6.8270167072075e-13</v>
      </c>
      <c r="V11" s="5">
        <v>6.8452986666158e-13</v>
      </c>
      <c r="W11" s="5">
        <v>6.8452986644956e-13</v>
      </c>
      <c r="X11" s="5">
        <v>6.8452986647872e-13</v>
      </c>
      <c r="Y11" s="5">
        <v>6.9962777520302e-13</v>
      </c>
      <c r="Z11" s="5">
        <v>6.9962777502093e-13</v>
      </c>
      <c r="AA11" s="5">
        <v>6.9962777509154e-13</v>
      </c>
      <c r="AB11" s="3">
        <v>0.99999999966087</v>
      </c>
      <c r="AC11" s="3">
        <v>0.99999392335522</v>
      </c>
      <c r="AD11" s="3">
        <v>0.00024942492018847</v>
      </c>
      <c r="AE11" s="5">
        <v>9.7857054753527e-20</v>
      </c>
      <c r="AF11" s="5">
        <v>-5.3076468414333e-19</v>
      </c>
      <c r="AG11" s="5">
        <v>5.640612058007e-18</v>
      </c>
      <c r="AH11" s="5">
        <v>3.3695711237441e-19</v>
      </c>
      <c r="AI11" s="5">
        <v>-2.6698190047896e-20</v>
      </c>
      <c r="AJ11" s="5">
        <v>-7.2537004813282e-21</v>
      </c>
      <c r="AK11" s="5">
        <v>-3.5188437472129e-20</v>
      </c>
      <c r="AL11" s="5">
        <v>4.2709787872012e-19</v>
      </c>
      <c r="AM11" s="5">
        <v>-1.5070595397997e-19</v>
      </c>
      <c r="AN11" s="5">
        <v>9.7727372825894e-20</v>
      </c>
      <c r="AO11" s="5">
        <v>-1.5536244791537e-19</v>
      </c>
      <c r="AP11" s="5">
        <v>-1.1954345994557e-19</v>
      </c>
      <c r="AQ11" s="5">
        <v>-1.5058903085509e-19</v>
      </c>
      <c r="AR11" s="5">
        <v>-5.5080319690697e-19</v>
      </c>
      <c r="AS11" s="5">
        <v>2.0469635900838e-18</v>
      </c>
      <c r="AT11" s="5">
        <v>-1.2128196599564e-19</v>
      </c>
      <c r="AU11" s="5">
        <v>-5.4551432110617e-19</v>
      </c>
      <c r="AV11" s="5">
        <v>3.5173669601038e-19</v>
      </c>
      <c r="AW11" s="5">
        <v>5.5403001648282e-19</v>
      </c>
      <c r="AX11" s="5">
        <v>1.1386269811209e-18</v>
      </c>
      <c r="AY11" s="5">
        <v>1.9974826381402e-21</v>
      </c>
      <c r="AZ11" s="5">
        <v>6.1458912150409e-21</v>
      </c>
      <c r="BA11" s="5">
        <v>3.8534171828391e-19</v>
      </c>
      <c r="BB11" s="5">
        <v>-6.2948123803282e-19</v>
      </c>
      <c r="BC11" s="3">
        <v>15998214.629124</v>
      </c>
      <c r="BD11" s="3">
        <v>3999451.9100853</v>
      </c>
      <c r="BE11" s="3">
        <v>-0.00011770500117566</v>
      </c>
      <c r="BF11" s="3">
        <v>0.00025575190559062</v>
      </c>
      <c r="BG11" s="5">
        <v>7.1942983545787e-5</v>
      </c>
      <c r="BH11" s="3">
        <v>-0.00022923881131144</v>
      </c>
      <c r="BI11" s="3">
        <v>60.045284842547</v>
      </c>
      <c r="BJ11" s="3">
        <v>30.023263407857</v>
      </c>
      <c r="BK11" s="3">
        <v>54.766048066167</v>
      </c>
      <c r="BL11" s="4"/>
      <c r="BM11" s="7"/>
    </row>
    <row r="12" spans="1:65">
      <c r="A12" s="3">
        <v>1255943.2157548</v>
      </c>
      <c r="B12" s="5">
        <v>1.1090494637184e-5</v>
      </c>
      <c r="C12" s="6">
        <f t="shared" si="0"/>
        <v>9.54388379611274e-12</v>
      </c>
      <c r="D12" s="5">
        <v>6.820812039857e-13</v>
      </c>
      <c r="E12" s="5">
        <v>6.9302172575989e-13</v>
      </c>
      <c r="F12" s="5">
        <v>6.9302173927775e-13</v>
      </c>
      <c r="G12" s="5">
        <v>6.9302173159513e-13</v>
      </c>
      <c r="H12" s="5">
        <v>6.820812040006e-13</v>
      </c>
      <c r="I12" s="5">
        <v>6.8208120323275e-13</v>
      </c>
      <c r="J12" s="5">
        <v>6.8208120355388e-13</v>
      </c>
      <c r="K12" s="5">
        <v>6.8389204542886e-13</v>
      </c>
      <c r="L12" s="5">
        <v>6.8389204613523e-13</v>
      </c>
      <c r="M12" s="5">
        <v>6.8389204596766e-13</v>
      </c>
      <c r="N12" s="5">
        <v>6.9900491704607e-13</v>
      </c>
      <c r="O12" s="5">
        <v>6.8208120367863e-13</v>
      </c>
      <c r="P12" s="5">
        <v>6.9900491648564e-13</v>
      </c>
      <c r="Q12" s="5">
        <v>6.9900491645131e-13</v>
      </c>
      <c r="R12" s="5">
        <v>6.9302172993075e-13</v>
      </c>
      <c r="S12" s="5">
        <v>6.9302172469163e-13</v>
      </c>
      <c r="T12" s="5">
        <v>6.9302172629358e-13</v>
      </c>
      <c r="U12" s="5">
        <v>6.8208120871968e-13</v>
      </c>
      <c r="V12" s="5">
        <v>6.8389204796821e-13</v>
      </c>
      <c r="W12" s="5">
        <v>6.8389204735487e-13</v>
      </c>
      <c r="X12" s="5">
        <v>6.8389204747034e-13</v>
      </c>
      <c r="Y12" s="5">
        <v>6.9900491876365e-13</v>
      </c>
      <c r="Z12" s="5">
        <v>6.9900491828261e-13</v>
      </c>
      <c r="AA12" s="5">
        <v>6.9900491852046e-13</v>
      </c>
      <c r="AB12" s="3">
        <v>0.99999999988971</v>
      </c>
      <c r="AC12" s="3">
        <v>0.99999392544105</v>
      </c>
      <c r="AD12" s="3">
        <v>0.00025571229626919</v>
      </c>
      <c r="AE12" s="5">
        <v>7.9631292634649e-20</v>
      </c>
      <c r="AF12" s="5">
        <v>-5.1171885895395e-19</v>
      </c>
      <c r="AG12" s="5">
        <v>5.4100409624294e-18</v>
      </c>
      <c r="AH12" s="5">
        <v>3.5279207145512e-19</v>
      </c>
      <c r="AI12" s="5">
        <v>-2.8051878773797e-20</v>
      </c>
      <c r="AJ12" s="5">
        <v>-8.6482323599376e-21</v>
      </c>
      <c r="AK12" s="5">
        <v>-1.6158524928566e-20</v>
      </c>
      <c r="AL12" s="5">
        <v>4.2883376471729e-19</v>
      </c>
      <c r="AM12" s="5">
        <v>-1.2923296502646e-19</v>
      </c>
      <c r="AN12" s="5">
        <v>1.0890856490612e-19</v>
      </c>
      <c r="AO12" s="5">
        <v>-1.3724266849885e-19</v>
      </c>
      <c r="AP12" s="5">
        <v>-1.2093246824521e-19</v>
      </c>
      <c r="AQ12" s="5">
        <v>-1.302283645585e-19</v>
      </c>
      <c r="AR12" s="5">
        <v>-5.4598165296791e-19</v>
      </c>
      <c r="AS12" s="5">
        <v>1.9961540481274e-18</v>
      </c>
      <c r="AT12" s="5">
        <v>-1.0690426597292e-19</v>
      </c>
      <c r="AU12" s="5">
        <v>-4.9826423838434e-19</v>
      </c>
      <c r="AV12" s="5">
        <v>2.8497369458151e-19</v>
      </c>
      <c r="AW12" s="5">
        <v>5.3376483074129e-19</v>
      </c>
      <c r="AX12" s="5">
        <v>1.1013206050803e-18</v>
      </c>
      <c r="AY12" s="5">
        <v>4.0965501252274e-21</v>
      </c>
      <c r="AZ12" s="5">
        <v>-6.3976030160498e-21</v>
      </c>
      <c r="BA12" s="5">
        <v>3.9904724087638e-19</v>
      </c>
      <c r="BB12" s="5">
        <v>-6.4054276894446e-19</v>
      </c>
      <c r="BC12" s="3">
        <v>15994355.675482</v>
      </c>
      <c r="BD12" s="3">
        <v>3998267.6827219</v>
      </c>
      <c r="BE12" s="3">
        <v>-0.00011629842439118</v>
      </c>
      <c r="BF12" s="3">
        <v>0.00026394799351221</v>
      </c>
      <c r="BG12" s="5">
        <v>7.6553970703338e-5</v>
      </c>
      <c r="BH12" s="3">
        <v>-0.00022801020836746</v>
      </c>
      <c r="BI12" s="3">
        <v>60.045295749891</v>
      </c>
      <c r="BJ12" s="3">
        <v>30.023265704665</v>
      </c>
      <c r="BK12" s="3">
        <v>54.678156888006</v>
      </c>
      <c r="BL12" s="4"/>
      <c r="BM12" s="7"/>
    </row>
    <row r="13" spans="1:65">
      <c r="A13" s="3">
        <v>3971641.1736214</v>
      </c>
      <c r="B13" s="5">
        <v>3.4996136303675e-5</v>
      </c>
      <c r="C13" s="6">
        <f t="shared" si="0"/>
        <v>9.49020774197452e-12</v>
      </c>
      <c r="D13" s="5">
        <v>6.8019496031943e-13</v>
      </c>
      <c r="E13" s="5">
        <v>6.9148963344759e-13</v>
      </c>
      <c r="F13" s="5">
        <v>6.9148967393753e-13</v>
      </c>
      <c r="G13" s="5">
        <v>6.9148965341516e-13</v>
      </c>
      <c r="H13" s="5">
        <v>6.8019496078608e-13</v>
      </c>
      <c r="I13" s="5">
        <v>6.8019495835258e-13</v>
      </c>
      <c r="J13" s="5">
        <v>6.8019495920333e-13</v>
      </c>
      <c r="K13" s="5">
        <v>6.819723221092e-13</v>
      </c>
      <c r="L13" s="5">
        <v>6.8197232441483e-13</v>
      </c>
      <c r="M13" s="5">
        <v>6.819723236175e-13</v>
      </c>
      <c r="N13" s="5">
        <v>6.9712479712781e-13</v>
      </c>
      <c r="O13" s="5">
        <v>6.801949597151e-13</v>
      </c>
      <c r="P13" s="5">
        <v>6.9712479510604e-13</v>
      </c>
      <c r="Q13" s="5">
        <v>6.9712479514946e-13</v>
      </c>
      <c r="R13" s="5">
        <v>6.9148964642554e-13</v>
      </c>
      <c r="S13" s="5">
        <v>6.9148963056218e-13</v>
      </c>
      <c r="T13" s="5">
        <v>6.9148963543544e-13</v>
      </c>
      <c r="U13" s="5">
        <v>6.8019497594571e-13</v>
      </c>
      <c r="V13" s="5">
        <v>6.819723295487e-13</v>
      </c>
      <c r="W13" s="5">
        <v>6.8197232814506e-13</v>
      </c>
      <c r="X13" s="5">
        <v>6.8197232872436e-13</v>
      </c>
      <c r="Y13" s="5">
        <v>6.9712480166631e-13</v>
      </c>
      <c r="Z13" s="5">
        <v>6.9712480103608e-13</v>
      </c>
      <c r="AA13" s="5">
        <v>6.9712480194496e-13</v>
      </c>
      <c r="AB13" s="3">
        <v>0.99999999996537</v>
      </c>
      <c r="AC13" s="3">
        <v>0.99999391368949</v>
      </c>
      <c r="AD13" s="3">
        <v>0.00027592222818294</v>
      </c>
      <c r="AE13" s="5">
        <v>2.9279493826364e-20</v>
      </c>
      <c r="AF13" s="5">
        <v>-4.6203242289432e-19</v>
      </c>
      <c r="AG13" s="5">
        <v>4.7388452185441e-18</v>
      </c>
      <c r="AH13" s="5">
        <v>3.8083564641794e-19</v>
      </c>
      <c r="AI13" s="5">
        <v>-3.5250472203647e-20</v>
      </c>
      <c r="AJ13" s="5">
        <v>-1.7948564380909e-20</v>
      </c>
      <c r="AK13" s="5">
        <v>3.585669643959e-20</v>
      </c>
      <c r="AL13" s="5">
        <v>4.3076176082292e-19</v>
      </c>
      <c r="AM13" s="5">
        <v>-6.2070149800743e-20</v>
      </c>
      <c r="AN13" s="5">
        <v>1.3447970534632e-19</v>
      </c>
      <c r="AO13" s="5">
        <v>-9.2543380166383e-20</v>
      </c>
      <c r="AP13" s="5">
        <v>-1.2526198076394e-19</v>
      </c>
      <c r="AQ13" s="5">
        <v>-7.3412339687709e-20</v>
      </c>
      <c r="AR13" s="5">
        <v>-5.3359903297818e-19</v>
      </c>
      <c r="AS13" s="5">
        <v>1.8395664119507e-18</v>
      </c>
      <c r="AT13" s="5">
        <v>-6.262344217031e-20</v>
      </c>
      <c r="AU13" s="5">
        <v>-3.6618479658835e-19</v>
      </c>
      <c r="AV13" s="5">
        <v>8.6570640313575e-20</v>
      </c>
      <c r="AW13" s="5">
        <v>4.8691229355854e-19</v>
      </c>
      <c r="AX13" s="5">
        <v>9.8666151519441e-19</v>
      </c>
      <c r="AY13" s="5">
        <v>1.2710540364787e-20</v>
      </c>
      <c r="AZ13" s="5">
        <v>-3.896248246887e-20</v>
      </c>
      <c r="BA13" s="5">
        <v>4.3337800754602e-19</v>
      </c>
      <c r="BB13" s="5">
        <v>-6.7528997302229e-19</v>
      </c>
      <c r="BC13" s="3">
        <v>15982172.611735</v>
      </c>
      <c r="BD13" s="3">
        <v>3994532.8800203</v>
      </c>
      <c r="BE13" s="3">
        <v>-0.00011177265216601</v>
      </c>
      <c r="BF13" s="3">
        <v>0.00028972053129682</v>
      </c>
      <c r="BG13" s="5">
        <v>9.1119720948995e-5</v>
      </c>
      <c r="BH13" s="3">
        <v>-0.00023497854390861</v>
      </c>
      <c r="BI13" s="3">
        <v>60.045317200924</v>
      </c>
      <c r="BJ13" s="3">
        <v>30.023261908707</v>
      </c>
      <c r="BK13" s="3">
        <v>54.416504612347</v>
      </c>
      <c r="BL13" s="4"/>
      <c r="BM13" s="7"/>
    </row>
    <row r="14" spans="1:65">
      <c r="A14" s="3">
        <v>4456254.6906687</v>
      </c>
      <c r="B14" s="5">
        <v>3.9249848127304e-5</v>
      </c>
      <c r="C14" s="6">
        <f t="shared" si="0"/>
        <v>9.43624327014728e-12</v>
      </c>
      <c r="D14" s="5">
        <v>6.7954397213483e-13</v>
      </c>
      <c r="E14" s="5">
        <v>6.9096293395649e-13</v>
      </c>
      <c r="F14" s="5">
        <v>6.909629833973e-13</v>
      </c>
      <c r="G14" s="5">
        <v>6.9096295948124e-13</v>
      </c>
      <c r="H14" s="5">
        <v>6.7954397289889e-13</v>
      </c>
      <c r="I14" s="5">
        <v>6.7954396986931e-13</v>
      </c>
      <c r="J14" s="5">
        <v>6.7954397085399e-13</v>
      </c>
      <c r="K14" s="5">
        <v>6.8131533425709e-13</v>
      </c>
      <c r="L14" s="5">
        <v>6.8131533716631e-13</v>
      </c>
      <c r="M14" s="5">
        <v>6.8131533605054e-13</v>
      </c>
      <c r="N14" s="5">
        <v>6.9648166669155e-13</v>
      </c>
      <c r="O14" s="5">
        <v>6.7954397154047e-13</v>
      </c>
      <c r="P14" s="5">
        <v>6.9648166405602e-13</v>
      </c>
      <c r="Q14" s="5">
        <v>6.9648166417592e-13</v>
      </c>
      <c r="R14" s="5">
        <v>6.9096295002216e-13</v>
      </c>
      <c r="S14" s="5">
        <v>6.9096293058044e-13</v>
      </c>
      <c r="T14" s="5">
        <v>6.9096293657585e-13</v>
      </c>
      <c r="U14" s="5">
        <v>6.7954399188389e-13</v>
      </c>
      <c r="V14" s="5">
        <v>6.8131534326427e-13</v>
      </c>
      <c r="W14" s="5">
        <v>6.8131534175241e-13</v>
      </c>
      <c r="X14" s="5">
        <v>6.8131534256569e-13</v>
      </c>
      <c r="Y14" s="5">
        <v>6.9648167194118e-13</v>
      </c>
      <c r="Z14" s="5">
        <v>6.9648167154492e-13</v>
      </c>
      <c r="AA14" s="5">
        <v>6.9648167275697e-13</v>
      </c>
      <c r="AB14" s="3">
        <v>0.99999999971914</v>
      </c>
      <c r="AC14" s="3">
        <v>0.99999390392349</v>
      </c>
      <c r="AD14" s="3">
        <v>0.0002795693171569</v>
      </c>
      <c r="AE14" s="5">
        <v>1.3693562042369e-20</v>
      </c>
      <c r="AF14" s="5">
        <v>-4.4750550825765e-19</v>
      </c>
      <c r="AG14" s="5">
        <v>4.5181635982036e-18</v>
      </c>
      <c r="AH14" s="5">
        <v>3.8248148417425e-19</v>
      </c>
      <c r="AI14" s="5">
        <v>-3.8757763995621e-20</v>
      </c>
      <c r="AJ14" s="5">
        <v>-2.2962588798134e-20</v>
      </c>
      <c r="AK14" s="5">
        <v>5.1723119444281e-20</v>
      </c>
      <c r="AL14" s="5">
        <v>4.3015062265684e-19</v>
      </c>
      <c r="AM14" s="5">
        <v>-3.822972601339e-20</v>
      </c>
      <c r="AN14" s="5">
        <v>1.4055417431172e-19</v>
      </c>
      <c r="AO14" s="5">
        <v>-8.0595380302909e-20</v>
      </c>
      <c r="AP14" s="5">
        <v>-1.2683016619452e-19</v>
      </c>
      <c r="AQ14" s="5">
        <v>-5.5669102064634e-20</v>
      </c>
      <c r="AR14" s="5">
        <v>-5.3013740901698e-19</v>
      </c>
      <c r="AS14" s="5">
        <v>1.7850868682003e-18</v>
      </c>
      <c r="AT14" s="5">
        <v>-4.6997859590429e-20</v>
      </c>
      <c r="AU14" s="5">
        <v>-3.2488148422018e-19</v>
      </c>
      <c r="AV14" s="5">
        <v>2.0171500548732e-20</v>
      </c>
      <c r="AW14" s="5">
        <v>4.7532167564249e-19</v>
      </c>
      <c r="AX14" s="5">
        <v>9.4678129588308e-19</v>
      </c>
      <c r="AY14" s="5">
        <v>1.6448843428808e-20</v>
      </c>
      <c r="AZ14" s="5">
        <v>-4.8463564879347e-20</v>
      </c>
      <c r="BA14" s="5">
        <v>4.4249891094887e-19</v>
      </c>
      <c r="BB14" s="5">
        <v>-6.8751526769732e-19</v>
      </c>
      <c r="BC14" s="3">
        <v>15980002.178018</v>
      </c>
      <c r="BD14" s="3">
        <v>3993868.1930904</v>
      </c>
      <c r="BE14" s="3">
        <v>-0.00011095128234185</v>
      </c>
      <c r="BF14" s="3">
        <v>0.00029429346233568</v>
      </c>
      <c r="BG14" s="5">
        <v>9.3716310554494e-5</v>
      </c>
      <c r="BH14" s="3">
        <v>-0.00021908617894502</v>
      </c>
      <c r="BI14" s="3">
        <v>60.045343055226</v>
      </c>
      <c r="BJ14" s="3">
        <v>30.023277819662</v>
      </c>
      <c r="BK14" s="3">
        <v>54.37234760829</v>
      </c>
      <c r="BL14" s="4"/>
      <c r="BM14" s="7"/>
    </row>
    <row r="15" spans="1:65">
      <c r="A15" s="3">
        <v>5000000</v>
      </c>
      <c r="B15" s="5">
        <v>4.4018654804567e-5</v>
      </c>
      <c r="C15" s="6">
        <f t="shared" si="0"/>
        <v>9.42165366974895e-12</v>
      </c>
      <c r="D15" s="5">
        <v>6.7914582011515e-13</v>
      </c>
      <c r="E15" s="5">
        <v>6.9064144168706e-13</v>
      </c>
      <c r="F15" s="5">
        <v>6.90641496506e-13</v>
      </c>
      <c r="G15" s="5">
        <v>6.90641470803e-13</v>
      </c>
      <c r="H15" s="5">
        <v>6.7914582110128e-13</v>
      </c>
      <c r="I15" s="5">
        <v>6.7914581770191e-13</v>
      </c>
      <c r="J15" s="5">
        <v>6.7914581875374e-13</v>
      </c>
      <c r="K15" s="5">
        <v>6.8091483720987e-13</v>
      </c>
      <c r="L15" s="5">
        <v>6.8091484050491e-13</v>
      </c>
      <c r="M15" s="5">
        <v>6.8091483916396e-13</v>
      </c>
      <c r="N15" s="5">
        <v>6.960895349002e-13</v>
      </c>
      <c r="O15" s="5">
        <v>6.7914581955863e-13</v>
      </c>
      <c r="P15" s="5">
        <v>6.9608953185584e-13</v>
      </c>
      <c r="Q15" s="5">
        <v>6.9608953203661e-13</v>
      </c>
      <c r="R15" s="5">
        <v>6.9064145965601e-13</v>
      </c>
      <c r="S15" s="5">
        <v>6.9064143804985e-13</v>
      </c>
      <c r="T15" s="5">
        <v>6.9064144473267e-13</v>
      </c>
      <c r="U15" s="5">
        <v>6.7914584249083e-13</v>
      </c>
      <c r="V15" s="5">
        <v>6.8091484714127e-13</v>
      </c>
      <c r="W15" s="5">
        <v>6.8091484561078e-13</v>
      </c>
      <c r="X15" s="5">
        <v>6.80914846588e-13</v>
      </c>
      <c r="Y15" s="5">
        <v>6.9608954050755e-13</v>
      </c>
      <c r="Z15" s="5">
        <v>6.9608954033501e-13</v>
      </c>
      <c r="AA15" s="5">
        <v>6.9608954175629e-13</v>
      </c>
      <c r="AB15" s="3">
        <v>0.99999999974918</v>
      </c>
      <c r="AC15" s="3">
        <v>0.99999389671612</v>
      </c>
      <c r="AD15" s="3">
        <v>0.00028367536117319</v>
      </c>
      <c r="AE15" s="5">
        <v>4.6159360122633e-21</v>
      </c>
      <c r="AF15" s="5">
        <v>-4.3919486802106e-19</v>
      </c>
      <c r="AG15" s="5">
        <v>4.3858761884971e-18</v>
      </c>
      <c r="AH15" s="5">
        <v>3.8116638487938e-19</v>
      </c>
      <c r="AI15" s="5">
        <v>-4.1158191413642e-20</v>
      </c>
      <c r="AJ15" s="5">
        <v>-2.6511491053139e-20</v>
      </c>
      <c r="AK15" s="5">
        <v>6.0880310485634e-20</v>
      </c>
      <c r="AL15" s="5">
        <v>4.2940051864794e-19</v>
      </c>
      <c r="AM15" s="5">
        <v>-2.3475050567384e-20</v>
      </c>
      <c r="AN15" s="5">
        <v>1.4360684134731e-19</v>
      </c>
      <c r="AO15" s="5">
        <v>-7.4165237322525e-20</v>
      </c>
      <c r="AP15" s="5">
        <v>-1.2781515523747e-19</v>
      </c>
      <c r="AQ15" s="5">
        <v>-4.5310437610512e-20</v>
      </c>
      <c r="AR15" s="5">
        <v>-5.2823609054428e-19</v>
      </c>
      <c r="AS15" s="5">
        <v>1.7516233964625e-18</v>
      </c>
      <c r="AT15" s="5">
        <v>-3.7327004504238e-20</v>
      </c>
      <c r="AU15" s="5">
        <v>-3.0076142457188e-19</v>
      </c>
      <c r="AV15" s="5">
        <v>-1.9797341279083e-20</v>
      </c>
      <c r="AW15" s="5">
        <v>4.6926143196919e-19</v>
      </c>
      <c r="AX15" s="5">
        <v>9.2229658340157e-19</v>
      </c>
      <c r="AY15" s="5">
        <v>1.8932632738685e-20</v>
      </c>
      <c r="AZ15" s="5">
        <v>-5.3888059702903e-20</v>
      </c>
      <c r="BA15" s="5">
        <v>4.4732426457242e-19</v>
      </c>
      <c r="BB15" s="5">
        <v>-6.9501468634597e-19</v>
      </c>
      <c r="BC15" s="3">
        <v>15977568.106872</v>
      </c>
      <c r="BD15" s="3">
        <v>3993122.9806441</v>
      </c>
      <c r="BE15" s="3">
        <v>-0.0001100252032395</v>
      </c>
      <c r="BF15" s="3">
        <v>0.00029941644232475</v>
      </c>
      <c r="BG15" s="5">
        <v>9.6628846545425e-5</v>
      </c>
      <c r="BH15" s="3">
        <v>-0.00021743833561753</v>
      </c>
      <c r="BI15" s="3">
        <v>60.045351365832</v>
      </c>
      <c r="BJ15" s="3">
        <v>30.023279880386</v>
      </c>
      <c r="BK15" s="3">
        <v>54.323695941598</v>
      </c>
      <c r="BL15" s="4"/>
      <c r="BM15" s="7"/>
    </row>
    <row r="16" spans="1:65">
      <c r="A16" s="3">
        <v>5610092.2715098</v>
      </c>
      <c r="B16" s="5">
        <v>4.9364445038755e-5</v>
      </c>
      <c r="C16" s="6">
        <f t="shared" si="0"/>
        <v>9.4047511601986e-12</v>
      </c>
      <c r="D16" s="5">
        <v>6.7870473313569e-13</v>
      </c>
      <c r="E16" s="5">
        <v>6.9028483072288e-13</v>
      </c>
      <c r="F16" s="5">
        <v>6.9028489143717e-13</v>
      </c>
      <c r="G16" s="5">
        <v>6.9028486397642e-13</v>
      </c>
      <c r="H16" s="5">
        <v>6.787047343996e-13</v>
      </c>
      <c r="I16" s="5">
        <v>6.7870473058617e-13</v>
      </c>
      <c r="J16" s="5">
        <v>6.7870473170058e-13</v>
      </c>
      <c r="K16" s="5">
        <v>6.8047051445485e-13</v>
      </c>
      <c r="L16" s="5">
        <v>6.8047051819246e-13</v>
      </c>
      <c r="M16" s="5">
        <v>6.8047051657638e-13</v>
      </c>
      <c r="N16" s="5">
        <v>6.9565643715786e-13</v>
      </c>
      <c r="O16" s="5">
        <v>6.7870473264547e-13</v>
      </c>
      <c r="P16" s="5">
        <v>6.956564336319e-13</v>
      </c>
      <c r="Q16" s="5">
        <v>6.9565643389099e-13</v>
      </c>
      <c r="R16" s="5">
        <v>6.9028485081583e-13</v>
      </c>
      <c r="S16" s="5">
        <v>6.9028482682579e-13</v>
      </c>
      <c r="T16" s="5">
        <v>6.9028483427377e-13</v>
      </c>
      <c r="U16" s="5">
        <v>6.7870475851114e-13</v>
      </c>
      <c r="V16" s="5">
        <v>6.8047052538556e-13</v>
      </c>
      <c r="W16" s="5">
        <v>6.8047052387187e-13</v>
      </c>
      <c r="X16" s="5">
        <v>6.8047052504684e-13</v>
      </c>
      <c r="Y16" s="5">
        <v>6.9565644310048e-13</v>
      </c>
      <c r="Z16" s="5">
        <v>6.9565644323998e-13</v>
      </c>
      <c r="AA16" s="5">
        <v>6.9565644491259e-13</v>
      </c>
      <c r="AB16" s="3">
        <v>0.99999999977611</v>
      </c>
      <c r="AC16" s="3">
        <v>0.99999388739246</v>
      </c>
      <c r="AD16" s="3">
        <v>0.00028829863252801</v>
      </c>
      <c r="AE16" s="5">
        <v>-5.0811433388922e-21</v>
      </c>
      <c r="AF16" s="5">
        <v>-4.304836215052e-19</v>
      </c>
      <c r="AG16" s="5">
        <v>4.2416570927791e-18</v>
      </c>
      <c r="AH16" s="5">
        <v>3.7779804392744e-19</v>
      </c>
      <c r="AI16" s="5">
        <v>-4.4042892354939e-20</v>
      </c>
      <c r="AJ16" s="5">
        <v>-3.0860955598986e-20</v>
      </c>
      <c r="AK16" s="5">
        <v>7.0601598175301e-20</v>
      </c>
      <c r="AL16" s="5">
        <v>4.2828012609748e-19</v>
      </c>
      <c r="AM16" s="5">
        <v>-6.915707621994e-21</v>
      </c>
      <c r="AN16" s="5">
        <v>1.4647198411926e-19</v>
      </c>
      <c r="AO16" s="5">
        <v>-6.7741251564868e-20</v>
      </c>
      <c r="AP16" s="5">
        <v>-1.2895130998816e-19</v>
      </c>
      <c r="AQ16" s="5">
        <v>-3.4227578805991e-20</v>
      </c>
      <c r="AR16" s="5">
        <v>-5.2632747272043e-19</v>
      </c>
      <c r="AS16" s="5">
        <v>1.714542085702e-18</v>
      </c>
      <c r="AT16" s="5">
        <v>-2.6512504704742e-20</v>
      </c>
      <c r="AU16" s="5">
        <v>-2.7496731279061e-19</v>
      </c>
      <c r="AV16" s="5">
        <v>-6.3673513686124e-20</v>
      </c>
      <c r="AW16" s="5">
        <v>4.6337244238072e-19</v>
      </c>
      <c r="AX16" s="5">
        <v>8.950687790528e-19</v>
      </c>
      <c r="AY16" s="5">
        <v>2.1863597223432e-20</v>
      </c>
      <c r="AZ16" s="5">
        <v>-5.9597305584365e-20</v>
      </c>
      <c r="BA16" s="5">
        <v>4.5206882307186e-19</v>
      </c>
      <c r="BB16" s="5">
        <v>-7.0339344336047e-19</v>
      </c>
      <c r="BC16" s="3">
        <v>15974838.534685</v>
      </c>
      <c r="BD16" s="3">
        <v>3992287.5598938</v>
      </c>
      <c r="BE16" s="3">
        <v>-0.00010898062699452</v>
      </c>
      <c r="BF16" s="3">
        <v>0.00030515420832306</v>
      </c>
      <c r="BG16" s="5">
        <v>9.9895705020327e-5</v>
      </c>
      <c r="BH16" s="3">
        <v>-0.00021552431128556</v>
      </c>
      <c r="BI16" s="3">
        <v>60.045360798715</v>
      </c>
      <c r="BJ16" s="3">
        <v>30.023282213181</v>
      </c>
      <c r="BK16" s="3">
        <v>54.270168991837</v>
      </c>
      <c r="BL16" s="4"/>
      <c r="BM16" s="7"/>
    </row>
    <row r="17" spans="1:65">
      <c r="A17" s="3">
        <v>6294627.0589709</v>
      </c>
      <c r="B17" s="5">
        <v>5.5356429907745e-5</v>
      </c>
      <c r="C17" s="6">
        <f t="shared" si="0"/>
        <v>9.38604318169167e-12</v>
      </c>
      <c r="D17" s="5">
        <v>6.7821581735176e-13</v>
      </c>
      <c r="E17" s="5">
        <v>6.8988978406196e-13</v>
      </c>
      <c r="F17" s="5">
        <v>6.8988985122482e-13</v>
      </c>
      <c r="G17" s="5">
        <v>6.8988982209004e-13</v>
      </c>
      <c r="H17" s="5">
        <v>6.782158189622e-13</v>
      </c>
      <c r="I17" s="5">
        <v>6.7821581468563e-13</v>
      </c>
      <c r="J17" s="5">
        <v>6.7821581585421e-13</v>
      </c>
      <c r="K17" s="5">
        <v>6.7997775374802e-13</v>
      </c>
      <c r="L17" s="5">
        <v>6.7997775799515e-13</v>
      </c>
      <c r="M17" s="5">
        <v>6.7997775604194e-13</v>
      </c>
      <c r="N17" s="5">
        <v>6.9517831414484e-13</v>
      </c>
      <c r="O17" s="5">
        <v>6.7821581696484e-13</v>
      </c>
      <c r="P17" s="5">
        <v>6.9517831004942e-13</v>
      </c>
      <c r="Q17" s="5">
        <v>6.9517831040846e-13</v>
      </c>
      <c r="R17" s="5">
        <v>6.89889806525e-13</v>
      </c>
      <c r="S17" s="5">
        <v>6.898897799134e-13</v>
      </c>
      <c r="T17" s="5">
        <v>6.8988978821382e-13</v>
      </c>
      <c r="U17" s="5">
        <v>6.7821584615872e-13</v>
      </c>
      <c r="V17" s="5">
        <v>6.7997776575454e-13</v>
      </c>
      <c r="W17" s="5">
        <v>6.79977764306e-13</v>
      </c>
      <c r="X17" s="5">
        <v>6.7997776571952e-13</v>
      </c>
      <c r="Y17" s="5">
        <v>6.9517832038199e-13</v>
      </c>
      <c r="Z17" s="5">
        <v>6.95178320946e-13</v>
      </c>
      <c r="AA17" s="5">
        <v>6.9517832292226e-13</v>
      </c>
      <c r="AB17" s="3">
        <v>0.99999999980021</v>
      </c>
      <c r="AC17" s="3">
        <v>0.99999387542294</v>
      </c>
      <c r="AD17" s="3">
        <v>0.00029350512289432</v>
      </c>
      <c r="AE17" s="5">
        <v>-1.5376474476745e-20</v>
      </c>
      <c r="AF17" s="5">
        <v>-4.2142371088916e-19</v>
      </c>
      <c r="AG17" s="5">
        <v>4.0849558145733e-18</v>
      </c>
      <c r="AH17" s="5">
        <v>3.7169567590891e-19</v>
      </c>
      <c r="AI17" s="5">
        <v>-4.750993051106e-20</v>
      </c>
      <c r="AJ17" s="5">
        <v>-3.6191432645461e-20</v>
      </c>
      <c r="AK17" s="5">
        <v>8.084625019242e-20</v>
      </c>
      <c r="AL17" s="5">
        <v>4.2668269886278e-19</v>
      </c>
      <c r="AM17" s="5">
        <v>1.1683114286505e-20</v>
      </c>
      <c r="AN17" s="5">
        <v>1.4903697753314e-19</v>
      </c>
      <c r="AO17" s="5">
        <v>-6.147312797442e-20</v>
      </c>
      <c r="AP17" s="5">
        <v>-1.302718007377e-19</v>
      </c>
      <c r="AQ17" s="5">
        <v>-2.2445552357916e-20</v>
      </c>
      <c r="AR17" s="5">
        <v>-5.2446333247486e-19</v>
      </c>
      <c r="AS17" s="5">
        <v>1.6735444069974e-18</v>
      </c>
      <c r="AT17" s="5">
        <v>-1.4423530680343e-20</v>
      </c>
      <c r="AU17" s="5">
        <v>-2.4756357631316e-19</v>
      </c>
      <c r="AV17" s="5">
        <v>-1.1172164293446e-19</v>
      </c>
      <c r="AW17" s="5">
        <v>4.5780945576099e-19</v>
      </c>
      <c r="AX17" s="5">
        <v>8.6481870618288e-19</v>
      </c>
      <c r="AY17" s="5">
        <v>2.5326582357384e-20</v>
      </c>
      <c r="AZ17" s="5">
        <v>-6.557066673284e-20</v>
      </c>
      <c r="BA17" s="5">
        <v>4.5657765933945e-19</v>
      </c>
      <c r="BB17" s="5">
        <v>-7.1274506564714e-19</v>
      </c>
      <c r="BC17" s="3">
        <v>15971777.787465</v>
      </c>
      <c r="BD17" s="3">
        <v>3991351.1012158</v>
      </c>
      <c r="BE17" s="3">
        <v>-0.00010780177375517</v>
      </c>
      <c r="BF17" s="3">
        <v>0.00031157928139754</v>
      </c>
      <c r="BG17" s="3">
        <v>0.00010355986889326</v>
      </c>
      <c r="BH17" s="3">
        <v>-0.00021330159415668</v>
      </c>
      <c r="BI17" s="3">
        <v>60.045371506834</v>
      </c>
      <c r="BJ17" s="3">
        <v>30.023284849211</v>
      </c>
      <c r="BK17" s="3">
        <v>54.211416816023</v>
      </c>
      <c r="BL17" s="4"/>
      <c r="BM17" s="7"/>
    </row>
    <row r="18" spans="1:65">
      <c r="A18" s="3">
        <v>7062687.7231138</v>
      </c>
      <c r="B18" s="5">
        <v>6.2071985813216e-5</v>
      </c>
      <c r="C18" s="6">
        <f t="shared" si="0"/>
        <v>9.36536828214871e-12</v>
      </c>
      <c r="D18" s="5">
        <v>6.7767632123466e-13</v>
      </c>
      <c r="E18" s="5">
        <v>6.89452997704e-13</v>
      </c>
      <c r="F18" s="5">
        <v>6.8945307190491e-13</v>
      </c>
      <c r="G18" s="5">
        <v>6.8945304124965e-13</v>
      </c>
      <c r="H18" s="5">
        <v>6.7767632327622e-13</v>
      </c>
      <c r="I18" s="5">
        <v>6.7767631848238e-13</v>
      </c>
      <c r="J18" s="5">
        <v>6.776763196915e-13</v>
      </c>
      <c r="K18" s="5">
        <v>6.7943330688561e-13</v>
      </c>
      <c r="L18" s="5">
        <v>6.7943331172177e-13</v>
      </c>
      <c r="M18" s="5">
        <v>6.7943330935418e-13</v>
      </c>
      <c r="N18" s="5">
        <v>6.9465105990388e-13</v>
      </c>
      <c r="O18" s="5">
        <v>6.7767632099846e-13</v>
      </c>
      <c r="P18" s="5">
        <v>6.9465105513226e-13</v>
      </c>
      <c r="Q18" s="5">
        <v>6.9465105561802e-13</v>
      </c>
      <c r="R18" s="5">
        <v>6.8945302281191e-13</v>
      </c>
      <c r="S18" s="5">
        <v>6.8945299332156e-13</v>
      </c>
      <c r="T18" s="5">
        <v>6.8945300257288e-13</v>
      </c>
      <c r="U18" s="5">
        <v>6.7767635397387e-13</v>
      </c>
      <c r="V18" s="5">
        <v>6.7943332004446e-13</v>
      </c>
      <c r="W18" s="5">
        <v>6.7943331872586e-13</v>
      </c>
      <c r="X18" s="5">
        <v>6.7943332042714e-13</v>
      </c>
      <c r="Y18" s="5">
        <v>6.9465106637073e-13</v>
      </c>
      <c r="Z18" s="5">
        <v>6.9465106750138e-13</v>
      </c>
      <c r="AA18" s="5">
        <v>6.946510698464e-13</v>
      </c>
      <c r="AB18" s="3">
        <v>0.99999999982174</v>
      </c>
      <c r="AC18" s="3">
        <v>0.99999386015372</v>
      </c>
      <c r="AD18" s="3">
        <v>0.00029936921337059</v>
      </c>
      <c r="AE18" s="5">
        <v>-2.6231640539323e-20</v>
      </c>
      <c r="AF18" s="5">
        <v>-4.1208117289703e-19</v>
      </c>
      <c r="AG18" s="5">
        <v>3.9153343929691e-18</v>
      </c>
      <c r="AH18" s="5">
        <v>3.6203119772173e-19</v>
      </c>
      <c r="AI18" s="5">
        <v>-5.1674822950374e-20</v>
      </c>
      <c r="AJ18" s="5">
        <v>-4.2722223458261e-20</v>
      </c>
      <c r="AK18" s="5">
        <v>9.1549926780578e-20</v>
      </c>
      <c r="AL18" s="5">
        <v>4.2447714580345e-19</v>
      </c>
      <c r="AM18" s="5">
        <v>3.2594610697805e-20</v>
      </c>
      <c r="AN18" s="5">
        <v>1.5116947740939e-19</v>
      </c>
      <c r="AO18" s="5">
        <v>-5.5553443610405e-20</v>
      </c>
      <c r="AP18" s="5">
        <v>-1.3182101171401e-19</v>
      </c>
      <c r="AQ18" s="5">
        <v>-1.0012079660075e-20</v>
      </c>
      <c r="AR18" s="5">
        <v>-5.2271366122194e-19</v>
      </c>
      <c r="AS18" s="5">
        <v>1.6283414155774e-18</v>
      </c>
      <c r="AT18" s="5">
        <v>-9.2235253968233e-22</v>
      </c>
      <c r="AU18" s="5">
        <v>-2.1867121163388e-19</v>
      </c>
      <c r="AV18" s="5">
        <v>-1.6419564776267e-19</v>
      </c>
      <c r="AW18" s="5">
        <v>4.5275213793263e-19</v>
      </c>
      <c r="AX18" s="5">
        <v>8.3123947702163e-19</v>
      </c>
      <c r="AY18" s="5">
        <v>2.9420641172423e-20</v>
      </c>
      <c r="AZ18" s="5">
        <v>-7.178019254258e-20</v>
      </c>
      <c r="BA18" s="5">
        <v>4.6064795156681e-19</v>
      </c>
      <c r="BB18" s="5">
        <v>-7.2316976352978e-19</v>
      </c>
      <c r="BC18" s="3">
        <v>15968345.933505</v>
      </c>
      <c r="BD18" s="3">
        <v>3990301.4957835</v>
      </c>
      <c r="BE18" s="3">
        <v>-0.00010647062951728</v>
      </c>
      <c r="BF18" s="3">
        <v>0.00031877245238027</v>
      </c>
      <c r="BG18" s="3">
        <v>0.00010766950666201</v>
      </c>
      <c r="BH18" s="3">
        <v>-0.00021072206149623</v>
      </c>
      <c r="BI18" s="3">
        <v>60.045383660905</v>
      </c>
      <c r="BJ18" s="3">
        <v>30.023287821183</v>
      </c>
      <c r="BK18" s="3">
        <v>54.147099612192</v>
      </c>
      <c r="BL18" s="4"/>
      <c r="BM18" s="7"/>
    </row>
    <row r="19" spans="1:65">
      <c r="A19" s="3">
        <v>7924465.9623056</v>
      </c>
      <c r="B19" s="5">
        <v>6.9597587727315e-5</v>
      </c>
      <c r="C19" s="6">
        <f t="shared" si="0"/>
        <v>9.34255657211843e-12</v>
      </c>
      <c r="D19" s="5">
        <v>6.7707994127303e-13</v>
      </c>
      <c r="E19" s="5">
        <v>6.8896994922269e-13</v>
      </c>
      <c r="F19" s="5">
        <v>6.8897003108762e-13</v>
      </c>
      <c r="G19" s="5">
        <v>6.8896999915311e-13</v>
      </c>
      <c r="H19" s="5">
        <v>6.7707994384962e-13</v>
      </c>
      <c r="I19" s="5">
        <v>6.7707993847923e-13</v>
      </c>
      <c r="J19" s="5">
        <v>6.7707993970811e-13</v>
      </c>
      <c r="K19" s="5">
        <v>6.7883276821732e-13</v>
      </c>
      <c r="L19" s="5">
        <v>6.7883277373758e-13</v>
      </c>
      <c r="M19" s="5">
        <v>6.7883277085906e-13</v>
      </c>
      <c r="N19" s="5">
        <v>6.9406904737954e-13</v>
      </c>
      <c r="O19" s="5">
        <v>6.7707994124806e-13</v>
      </c>
      <c r="P19" s="5">
        <v>6.9406904180125e-13</v>
      </c>
      <c r="Q19" s="5">
        <v>6.9406904244691e-13</v>
      </c>
      <c r="R19" s="5">
        <v>6.8896997728306e-13</v>
      </c>
      <c r="S19" s="5">
        <v>6.8896994463563e-13</v>
      </c>
      <c r="T19" s="5">
        <v>6.8896995494966e-13</v>
      </c>
      <c r="U19" s="5">
        <v>6.770799785266e-13</v>
      </c>
      <c r="V19" s="5">
        <v>6.7883278260324e-13</v>
      </c>
      <c r="W19" s="5">
        <v>6.7883278150033e-13</v>
      </c>
      <c r="X19" s="5">
        <v>6.788327835487e-13</v>
      </c>
      <c r="Y19" s="5">
        <v>6.940690539798e-13</v>
      </c>
      <c r="Z19" s="5">
        <v>6.9406905585565e-13</v>
      </c>
      <c r="AA19" s="5">
        <v>6.9406905865068e-13</v>
      </c>
      <c r="AB19" s="3">
        <v>0.99999999984096</v>
      </c>
      <c r="AC19" s="3">
        <v>0.99999384077775</v>
      </c>
      <c r="AD19" s="3">
        <v>0.00030597468037667</v>
      </c>
      <c r="AE19" s="5">
        <v>-3.7585301738083e-20</v>
      </c>
      <c r="AF19" s="5">
        <v>-4.0254037760955e-19</v>
      </c>
      <c r="AG19" s="5">
        <v>3.7324980351559e-18</v>
      </c>
      <c r="AH19" s="5">
        <v>3.4784141728632e-19</v>
      </c>
      <c r="AI19" s="5">
        <v>-5.6676423447858e-20</v>
      </c>
      <c r="AJ19" s="5">
        <v>-5.072024442971e-20</v>
      </c>
      <c r="AK19" s="5">
        <v>1.0262210505002e-19</v>
      </c>
      <c r="AL19" s="5">
        <v>4.2150665418e-19</v>
      </c>
      <c r="AM19" s="5">
        <v>5.6134036912e-20</v>
      </c>
      <c r="AN19" s="5">
        <v>1.5271600158919e-19</v>
      </c>
      <c r="AO19" s="5">
        <v>-5.0225175241635e-20</v>
      </c>
      <c r="AP19" s="5">
        <v>-1.3365903892072e-19</v>
      </c>
      <c r="AQ19" s="5">
        <v>2.995371482902e-21</v>
      </c>
      <c r="AR19" s="5">
        <v>-5.2116772077609e-19</v>
      </c>
      <c r="AS19" s="5">
        <v>1.5786659242558e-18</v>
      </c>
      <c r="AT19" s="5">
        <v>1.4127542633649e-20</v>
      </c>
      <c r="AU19" s="5">
        <v>-1.8847392698198e-19</v>
      </c>
      <c r="AV19" s="5">
        <v>-2.2133591180496e-19</v>
      </c>
      <c r="AW19" s="5">
        <v>4.484045325637e-19</v>
      </c>
      <c r="AX19" s="5">
        <v>7.9401332072864e-19</v>
      </c>
      <c r="AY19" s="5">
        <v>3.4262141719116e-20</v>
      </c>
      <c r="AZ19" s="5">
        <v>-7.819270041183e-20</v>
      </c>
      <c r="BA19" s="5">
        <v>4.6400563200776e-19</v>
      </c>
      <c r="BB19" s="5">
        <v>-7.3477017474003e-19</v>
      </c>
      <c r="BC19" s="3">
        <v>15964498.288949</v>
      </c>
      <c r="BD19" s="3">
        <v>3989125.209701</v>
      </c>
      <c r="BE19" s="3">
        <v>-0.00010496661434326</v>
      </c>
      <c r="BF19" s="3">
        <v>0.00032682366433254</v>
      </c>
      <c r="BG19" s="3">
        <v>0.00011227859371342</v>
      </c>
      <c r="BH19" s="3">
        <v>-0.00020773201193992</v>
      </c>
      <c r="BI19" s="3">
        <v>60.045397449571</v>
      </c>
      <c r="BJ19" s="3">
        <v>30.023291160205</v>
      </c>
      <c r="BK19" s="3">
        <v>54.076898817363</v>
      </c>
      <c r="BL19" s="4"/>
      <c r="BM19" s="7"/>
    </row>
    <row r="20" spans="1:65">
      <c r="A20" s="3">
        <v>8891397.0501947</v>
      </c>
      <c r="B20" s="5">
        <v>7.8029841372549e-5</v>
      </c>
      <c r="C20" s="6">
        <f t="shared" si="0"/>
        <v>9.3174323827649e-12</v>
      </c>
      <c r="D20" s="5">
        <v>6.7642230050719e-13</v>
      </c>
      <c r="E20" s="5">
        <v>6.8843394035553e-13</v>
      </c>
      <c r="F20" s="5">
        <v>6.8843403054683e-13</v>
      </c>
      <c r="G20" s="5">
        <v>6.884339976824e-13</v>
      </c>
      <c r="H20" s="5">
        <v>6.7642230374587e-13</v>
      </c>
      <c r="I20" s="5">
        <v>6.7642229773488e-13</v>
      </c>
      <c r="J20" s="5">
        <v>6.7642229895298e-13</v>
      </c>
      <c r="K20" s="5">
        <v>6.7817040291399e-13</v>
      </c>
      <c r="L20" s="5">
        <v>6.7817040923321e-13</v>
      </c>
      <c r="M20" s="5">
        <v>6.7817040572258e-13</v>
      </c>
      <c r="N20" s="5">
        <v>6.9342852535363e-13</v>
      </c>
      <c r="O20" s="5">
        <v>6.764223007697e-13</v>
      </c>
      <c r="P20" s="5">
        <v>6.9342851880853e-13</v>
      </c>
      <c r="Q20" s="5">
        <v>6.9342851965475e-13</v>
      </c>
      <c r="R20" s="5">
        <v>6.8843397171362e-13</v>
      </c>
      <c r="S20" s="5">
        <v>6.8843393560748e-13</v>
      </c>
      <c r="T20" s="5">
        <v>6.8843394711187e-13</v>
      </c>
      <c r="U20" s="5">
        <v>6.7642234295315e-13</v>
      </c>
      <c r="V20" s="5">
        <v>6.7817041859786e-13</v>
      </c>
      <c r="W20" s="5">
        <v>6.7817041782292e-13</v>
      </c>
      <c r="X20" s="5">
        <v>6.7817042028936e-13</v>
      </c>
      <c r="Y20" s="5">
        <v>6.9342853195041e-13</v>
      </c>
      <c r="Z20" s="5">
        <v>6.9342853479433e-13</v>
      </c>
      <c r="AA20" s="5">
        <v>6.9342853814128e-13</v>
      </c>
      <c r="AB20" s="3">
        <v>0.99999999985807</v>
      </c>
      <c r="AC20" s="3">
        <v>0.99999381630599</v>
      </c>
      <c r="AD20" s="3">
        <v>0.00031341580473545</v>
      </c>
      <c r="AE20" s="5">
        <v>-4.9348224693579e-20</v>
      </c>
      <c r="AF20" s="5">
        <v>-3.9289757618176e-19</v>
      </c>
      <c r="AG20" s="5">
        <v>3.5363372722577e-18</v>
      </c>
      <c r="AH20" s="5">
        <v>3.2790779103716e-19</v>
      </c>
      <c r="AI20" s="5">
        <v>-6.2683057857042e-20</v>
      </c>
      <c r="AJ20" s="5">
        <v>-6.050848761066e-20</v>
      </c>
      <c r="AK20" s="5">
        <v>1.1393995725217e-19</v>
      </c>
      <c r="AL20" s="5">
        <v>4.175870329161e-19</v>
      </c>
      <c r="AM20" s="5">
        <v>8.2668847829765e-20</v>
      </c>
      <c r="AN20" s="5">
        <v>1.5350159587084e-19</v>
      </c>
      <c r="AO20" s="5">
        <v>-4.5790009041739e-20</v>
      </c>
      <c r="AP20" s="5">
        <v>-1.358655098743e-19</v>
      </c>
      <c r="AQ20" s="5">
        <v>1.6463509464398e-20</v>
      </c>
      <c r="AR20" s="5">
        <v>-5.1994021824546e-19</v>
      </c>
      <c r="AS20" s="5">
        <v>1.5242914102513e-18</v>
      </c>
      <c r="AT20" s="5">
        <v>3.0871207618241e-20</v>
      </c>
      <c r="AU20" s="5">
        <v>-1.5724709315274e-19</v>
      </c>
      <c r="AV20" s="5">
        <v>-2.833646482849e-19</v>
      </c>
      <c r="AW20" s="5">
        <v>4.4499123473986e-19</v>
      </c>
      <c r="AX20" s="5">
        <v>7.5281010705046e-19</v>
      </c>
      <c r="AY20" s="5">
        <v>3.9986090333188e-20</v>
      </c>
      <c r="AZ20" s="5">
        <v>-8.477348474785e-20</v>
      </c>
      <c r="BA20" s="5">
        <v>4.6629773406321e-19</v>
      </c>
      <c r="BB20" s="5">
        <v>-7.476487320748e-19</v>
      </c>
      <c r="BC20" s="3">
        <v>15960184.872058</v>
      </c>
      <c r="BD20" s="3">
        <v>3987807.1236472</v>
      </c>
      <c r="BE20" s="3">
        <v>-0.00010326621116615</v>
      </c>
      <c r="BF20" s="3">
        <v>0.00033583297936274</v>
      </c>
      <c r="BG20" s="3">
        <v>0.00011744760473714</v>
      </c>
      <c r="BH20" s="3">
        <v>-0.00020427166776711</v>
      </c>
      <c r="BI20" s="3">
        <v>60.045413083528</v>
      </c>
      <c r="BJ20" s="3">
        <v>30.023294894904</v>
      </c>
      <c r="BK20" s="3">
        <v>54.000530195481</v>
      </c>
      <c r="BL20" s="4"/>
      <c r="BM20" s="7"/>
    </row>
    <row r="21" spans="1:65">
      <c r="A21" s="3">
        <v>9976311.5748445</v>
      </c>
      <c r="B21" s="5">
        <v>8.7476630023027e-5</v>
      </c>
      <c r="C21" s="6">
        <f t="shared" si="0"/>
        <v>9.28981340476871e-12</v>
      </c>
      <c r="D21" s="5">
        <v>6.7569844881203e-13</v>
      </c>
      <c r="E21" s="5">
        <v>6.8783981927889e-13</v>
      </c>
      <c r="F21" s="5">
        <v>6.8783991849572e-13</v>
      </c>
      <c r="G21" s="5">
        <v>6.8783988518169e-13</v>
      </c>
      <c r="H21" s="5">
        <v>6.7569845286769e-13</v>
      </c>
      <c r="I21" s="5">
        <v>6.7569844614786e-13</v>
      </c>
      <c r="J21" s="5">
        <v>6.7569844731156e-13</v>
      </c>
      <c r="K21" s="5">
        <v>6.7744051618893e-13</v>
      </c>
      <c r="L21" s="5">
        <v>6.7744052344677e-13</v>
      </c>
      <c r="M21" s="5">
        <v>6.7744051915149e-13</v>
      </c>
      <c r="N21" s="5">
        <v>6.9272467815263e-13</v>
      </c>
      <c r="O21" s="5">
        <v>6.7569844945721e-13</v>
      </c>
      <c r="P21" s="5">
        <v>6.9272467044341e-13</v>
      </c>
      <c r="Q21" s="5">
        <v>6.9272467154009e-13</v>
      </c>
      <c r="R21" s="5">
        <v>6.878398543243e-13</v>
      </c>
      <c r="S21" s="5">
        <v>6.878398144312e-13</v>
      </c>
      <c r="T21" s="5">
        <v>6.8783982727268e-13</v>
      </c>
      <c r="U21" s="5">
        <v>6.7569849724215e-13</v>
      </c>
      <c r="V21" s="5">
        <v>6.774405332347e-13</v>
      </c>
      <c r="W21" s="5">
        <v>6.7744053293331e-13</v>
      </c>
      <c r="X21" s="5">
        <v>6.7744053590303e-13</v>
      </c>
      <c r="Y21" s="5">
        <v>6.9272468455688e-13</v>
      </c>
      <c r="Z21" s="5">
        <v>6.9272468864585e-13</v>
      </c>
      <c r="AA21" s="5">
        <v>6.9272469267343e-13</v>
      </c>
      <c r="AB21" s="3">
        <v>0.99999999987327</v>
      </c>
      <c r="AC21" s="3">
        <v>0.99999378551278</v>
      </c>
      <c r="AD21" s="3">
        <v>0.00032179857328351</v>
      </c>
      <c r="AE21" s="5">
        <v>-6.1398466473702e-20</v>
      </c>
      <c r="AF21" s="5">
        <v>-3.8325955389154e-19</v>
      </c>
      <c r="AG21" s="5">
        <v>3.3269601887313e-18</v>
      </c>
      <c r="AH21" s="5">
        <v>3.0080785708249e-19</v>
      </c>
      <c r="AI21" s="5">
        <v>-6.9897002461445e-20</v>
      </c>
      <c r="AJ21" s="5">
        <v>-7.2477802492246e-20</v>
      </c>
      <c r="AK21" s="5">
        <v>1.2534034770624e-19</v>
      </c>
      <c r="AL21" s="5">
        <v>4.1248988533104e-19</v>
      </c>
      <c r="AM21" s="5">
        <v>1.1263543179559e-19</v>
      </c>
      <c r="AN21" s="5">
        <v>1.5333107166887e-19</v>
      </c>
      <c r="AO21" s="5">
        <v>-4.261951534651e-20</v>
      </c>
      <c r="AP21" s="5">
        <v>-1.3854586797128e-19</v>
      </c>
      <c r="AQ21" s="5">
        <v>3.0234244627451e-20</v>
      </c>
      <c r="AR21" s="5">
        <v>-5.1917949713815e-19</v>
      </c>
      <c r="AS21" s="5">
        <v>1.465053085417e-18</v>
      </c>
      <c r="AT21" s="5">
        <v>4.9444506270542e-20</v>
      </c>
      <c r="AU21" s="5">
        <v>-1.2536375838331e-19</v>
      </c>
      <c r="AV21" s="5">
        <v>-3.5046845800131e-19</v>
      </c>
      <c r="AW21" s="5">
        <v>4.427500999413e-19</v>
      </c>
      <c r="AX21" s="5">
        <v>7.0727775015533e-19</v>
      </c>
      <c r="AY21" s="5">
        <v>4.6755182562705e-20</v>
      </c>
      <c r="AZ21" s="5">
        <v>-9.1487190168437e-20</v>
      </c>
      <c r="BA21" s="5">
        <v>4.6707475798471e-19</v>
      </c>
      <c r="BB21" s="5">
        <v>-7.6190837558292e-19</v>
      </c>
      <c r="BC21" s="3">
        <v>15955349.789905</v>
      </c>
      <c r="BD21" s="3">
        <v>3986330.3531473</v>
      </c>
      <c r="BE21" s="3">
        <v>-0.00010134250494721</v>
      </c>
      <c r="BF21" s="3">
        <v>0.00034591163285686</v>
      </c>
      <c r="BG21" s="3">
        <v>0.00012324428766212</v>
      </c>
      <c r="BH21" s="3">
        <v>-0.00020027696173654</v>
      </c>
      <c r="BI21" s="3">
        <v>60.045430793036</v>
      </c>
      <c r="BJ21" s="3">
        <v>30.023299049471</v>
      </c>
      <c r="BK21" s="3">
        <v>53.917760865675</v>
      </c>
      <c r="BL21" s="4"/>
      <c r="BM21" s="7"/>
    </row>
    <row r="22" spans="1:65">
      <c r="A22" s="3">
        <v>11193605.692842</v>
      </c>
      <c r="B22" s="5">
        <v>9.8058375861722e-5</v>
      </c>
      <c r="C22" s="6">
        <f t="shared" si="0"/>
        <v>9.2595173860301e-12</v>
      </c>
      <c r="D22" s="5">
        <v>6.7490043914868e-13</v>
      </c>
      <c r="E22" s="5">
        <v>6.8718126784404e-13</v>
      </c>
      <c r="F22" s="5">
        <v>6.8718137682358e-13</v>
      </c>
      <c r="G22" s="5">
        <v>6.8718134369604e-13</v>
      </c>
      <c r="H22" s="5">
        <v>6.7490044420989e-13</v>
      </c>
      <c r="I22" s="5">
        <v>6.7490043670996e-13</v>
      </c>
      <c r="J22" s="5">
        <v>6.7490043775768e-13</v>
      </c>
      <c r="K22" s="5">
        <v>6.7663469658543e-13</v>
      </c>
      <c r="L22" s="5">
        <v>6.7663470495415e-13</v>
      </c>
      <c r="M22" s="5">
        <v>6.7663469968125e-13</v>
      </c>
      <c r="N22" s="5">
        <v>6.9195169003644e-13</v>
      </c>
      <c r="O22" s="5">
        <v>6.7490044029507e-13</v>
      </c>
      <c r="P22" s="5">
        <v>6.9195168091847e-13</v>
      </c>
      <c r="Q22" s="5">
        <v>6.9195168232662e-13</v>
      </c>
      <c r="R22" s="5">
        <v>6.8718130701945e-13</v>
      </c>
      <c r="S22" s="5">
        <v>6.8718126297935e-13</v>
      </c>
      <c r="T22" s="5">
        <v>6.871812773281e-13</v>
      </c>
      <c r="U22" s="5">
        <v>6.7490049448966e-13</v>
      </c>
      <c r="V22" s="5">
        <v>6.7663471504726e-13</v>
      </c>
      <c r="W22" s="5">
        <v>6.7663471540713e-13</v>
      </c>
      <c r="X22" s="5">
        <v>6.7663471898156e-13</v>
      </c>
      <c r="Y22" s="5">
        <v>6.9195169599233e-13</v>
      </c>
      <c r="Z22" s="5">
        <v>6.9195170166883e-13</v>
      </c>
      <c r="AA22" s="5">
        <v>6.9195170653965e-13</v>
      </c>
      <c r="AB22" s="3">
        <v>0.99999999988676</v>
      </c>
      <c r="AC22" s="3">
        <v>0.99999374688079</v>
      </c>
      <c r="AD22" s="3">
        <v>0.00033124200627164</v>
      </c>
      <c r="AE22" s="5">
        <v>-7.3580979877045e-20</v>
      </c>
      <c r="AF22" s="5">
        <v>-3.7373408082273e-19</v>
      </c>
      <c r="AG22" s="5">
        <v>3.1047611823103e-18</v>
      </c>
      <c r="AH22" s="5">
        <v>2.6492227555961e-19</v>
      </c>
      <c r="AI22" s="5">
        <v>-7.8557233411633e-20</v>
      </c>
      <c r="AJ22" s="5">
        <v>-8.7110619858199e-20</v>
      </c>
      <c r="AK22" s="5">
        <v>1.3660846744048e-19</v>
      </c>
      <c r="AL22" s="5">
        <v>4.0594469009583e-19</v>
      </c>
      <c r="AM22" s="5">
        <v>1.4656410429903e-19</v>
      </c>
      <c r="AN22" s="5">
        <v>1.5199056329606e-19</v>
      </c>
      <c r="AO22" s="5">
        <v>-4.1160975514047e-20</v>
      </c>
      <c r="AP22" s="5">
        <v>-1.4184818274879e-19</v>
      </c>
      <c r="AQ22" s="5">
        <v>4.410031646236e-20</v>
      </c>
      <c r="AR22" s="5">
        <v>-5.1907073790474e-19</v>
      </c>
      <c r="AS22" s="5">
        <v>1.4008778300511e-18</v>
      </c>
      <c r="AT22" s="5">
        <v>6.9955423668845e-20</v>
      </c>
      <c r="AU22" s="5">
        <v>-9.3323064139925e-20</v>
      </c>
      <c r="AV22" s="5">
        <v>-4.2277699513878e-19</v>
      </c>
      <c r="AW22" s="5">
        <v>4.4193798158761e-19</v>
      </c>
      <c r="AX22" s="5">
        <v>6.5704765512027e-19</v>
      </c>
      <c r="AY22" s="5">
        <v>5.4746992088258e-20</v>
      </c>
      <c r="AZ22" s="5">
        <v>-9.8299811681677e-20</v>
      </c>
      <c r="BA22" s="5">
        <v>4.6578037477363e-19</v>
      </c>
      <c r="BB22" s="5">
        <v>-7.7764756971874e-19</v>
      </c>
      <c r="BC22" s="3">
        <v>15949930.573472</v>
      </c>
      <c r="BD22" s="3">
        <v>3984676.0547179</v>
      </c>
      <c r="BE22" s="5">
        <v>-9.9164706603985e-5</v>
      </c>
      <c r="BF22" s="3">
        <v>0.00035718318890637</v>
      </c>
      <c r="BG22" s="3">
        <v>0.0001297445230011</v>
      </c>
      <c r="BH22" s="3">
        <v>-0.00019567908203443</v>
      </c>
      <c r="BI22" s="3">
        <v>60.045450822789</v>
      </c>
      <c r="BJ22" s="3">
        <v>30.023303638423</v>
      </c>
      <c r="BK22" s="3">
        <v>53.828429823126</v>
      </c>
      <c r="BL22" s="4"/>
      <c r="BM22" s="7"/>
    </row>
    <row r="23" spans="1:65">
      <c r="A23" s="3">
        <v>12559432.157548</v>
      </c>
      <c r="B23" s="3">
        <v>0.00010990943931296</v>
      </c>
      <c r="C23" s="6">
        <f t="shared" si="0"/>
        <v>9.22635873126282e-12</v>
      </c>
      <c r="D23" s="5">
        <v>6.7401852869156e-13</v>
      </c>
      <c r="E23" s="5">
        <v>6.8645572756614e-13</v>
      </c>
      <c r="F23" s="5">
        <v>6.8645584708545e-13</v>
      </c>
      <c r="G23" s="5">
        <v>6.8645581496264e-13</v>
      </c>
      <c r="H23" s="5">
        <v>6.740185349869e-13</v>
      </c>
      <c r="I23" s="5">
        <v>6.7401852663547e-13</v>
      </c>
      <c r="J23" s="5">
        <v>6.7401852748073e-13</v>
      </c>
      <c r="K23" s="5">
        <v>6.7574786604309e-13</v>
      </c>
      <c r="L23" s="5">
        <v>6.7574787573656e-13</v>
      </c>
      <c r="M23" s="5">
        <v>6.7574786924076e-13</v>
      </c>
      <c r="N23" s="5">
        <v>6.9110199351589e-13</v>
      </c>
      <c r="O23" s="5">
        <v>6.7401853048621e-13</v>
      </c>
      <c r="P23" s="5">
        <v>6.9110198268428e-13</v>
      </c>
      <c r="Q23" s="5">
        <v>6.9110198447823e-13</v>
      </c>
      <c r="R23" s="5">
        <v>6.8645577137864e-13</v>
      </c>
      <c r="S23" s="5">
        <v>6.8645572279202e-13</v>
      </c>
      <c r="T23" s="5">
        <v>6.8645573884666e-13</v>
      </c>
      <c r="U23" s="5">
        <v>6.7401859202992e-13</v>
      </c>
      <c r="V23" s="5">
        <v>6.7574788596029e-13</v>
      </c>
      <c r="W23" s="5">
        <v>6.7574788722264e-13</v>
      </c>
      <c r="X23" s="5">
        <v>6.7574789152311e-13</v>
      </c>
      <c r="Y23" s="5">
        <v>6.9110199868249e-13</v>
      </c>
      <c r="Z23" s="5">
        <v>6.9110200636773e-13</v>
      </c>
      <c r="AA23" s="5">
        <v>6.911020122884e-13</v>
      </c>
      <c r="AB23" s="3">
        <v>0.9999999998987</v>
      </c>
      <c r="AC23" s="3">
        <v>0.99999369853941</v>
      </c>
      <c r="AD23" s="3">
        <v>0.00034187958819961</v>
      </c>
      <c r="AE23" s="5">
        <v>-8.5698855745783e-20</v>
      </c>
      <c r="AF23" s="5">
        <v>-3.6442657276485e-19</v>
      </c>
      <c r="AG23" s="5">
        <v>2.8704563228968e-18</v>
      </c>
      <c r="AH23" s="5">
        <v>2.1837137411398e-19</v>
      </c>
      <c r="AI23" s="5">
        <v>-8.8943671997837e-20</v>
      </c>
      <c r="AJ23" s="5">
        <v>-1.0499752946944e-19</v>
      </c>
      <c r="AK23" s="5">
        <v>1.4747081649734e-19</v>
      </c>
      <c r="AL23" s="5">
        <v>3.9763186619405e-19</v>
      </c>
      <c r="AM23" s="5">
        <v>1.8510227308076e-19</v>
      </c>
      <c r="AN23" s="5">
        <v>1.4925775649559e-19</v>
      </c>
      <c r="AO23" s="5">
        <v>-4.1958946482024e-20</v>
      </c>
      <c r="AP23" s="5">
        <v>-1.459785707687e-19</v>
      </c>
      <c r="AQ23" s="5">
        <v>5.7787110344506e-20</v>
      </c>
      <c r="AR23" s="5">
        <v>-5.198369872001e-19</v>
      </c>
      <c r="AS23" s="5">
        <v>1.3318125580733e-18</v>
      </c>
      <c r="AT23" s="5">
        <v>9.2473269451173e-20</v>
      </c>
      <c r="AU23" s="5">
        <v>-6.1797102913938e-20</v>
      </c>
      <c r="AV23" s="5">
        <v>-5.003381350747e-19</v>
      </c>
      <c r="AW23" s="5">
        <v>4.4281995272998e-19</v>
      </c>
      <c r="AX23" s="5">
        <v>6.0172567190129e-19</v>
      </c>
      <c r="AY23" s="5">
        <v>6.4178391172718e-20</v>
      </c>
      <c r="AZ23" s="5">
        <v>-1.05184015488e-19</v>
      </c>
      <c r="BA23" s="5">
        <v>4.6170452876763e-19</v>
      </c>
      <c r="BB23" s="5">
        <v>-7.9493388715806e-19</v>
      </c>
      <c r="BC23" s="3">
        <v>15943857.430965</v>
      </c>
      <c r="BD23" s="3">
        <v>3982823.2088246</v>
      </c>
      <c r="BE23" s="5">
        <v>-9.6697561527222e-5</v>
      </c>
      <c r="BF23" s="3">
        <v>0.0003697847938344</v>
      </c>
      <c r="BG23" s="3">
        <v>0.00013703328811542</v>
      </c>
      <c r="BH23" s="3">
        <v>-0.00019040649574841</v>
      </c>
      <c r="BI23" s="3">
        <v>60.045473434473</v>
      </c>
      <c r="BJ23" s="3">
        <v>30.02330866169</v>
      </c>
      <c r="BK23" s="3">
        <v>53.732470621316</v>
      </c>
      <c r="BL23" s="4"/>
      <c r="BM23" s="7"/>
    </row>
    <row r="24" spans="1:65">
      <c r="A24" s="3">
        <v>14091914.656322</v>
      </c>
      <c r="B24" s="3">
        <v>0.00012317966408458</v>
      </c>
      <c r="C24" s="6">
        <f t="shared" si="0"/>
        <v>9.19014604695131e-12</v>
      </c>
      <c r="D24" s="5">
        <v>6.7304654893705e-13</v>
      </c>
      <c r="E24" s="5">
        <v>6.8565751158823e-13</v>
      </c>
      <c r="F24" s="5">
        <v>6.8565764246808e-13</v>
      </c>
      <c r="G24" s="5">
        <v>6.856576123766e-13</v>
      </c>
      <c r="H24" s="5">
        <v>6.7304655674253e-13</v>
      </c>
      <c r="I24" s="5">
        <v>6.7304654747224e-13</v>
      </c>
      <c r="J24" s="5">
        <v>6.7304654799443e-13</v>
      </c>
      <c r="K24" s="5">
        <v>6.7477173729233e-13</v>
      </c>
      <c r="L24" s="5">
        <v>6.7477174857997e-13</v>
      </c>
      <c r="M24" s="5">
        <v>6.7477174054785e-13</v>
      </c>
      <c r="N24" s="5">
        <v>6.9017219092241e-13</v>
      </c>
      <c r="O24" s="5">
        <v>6.7304655156086e-13</v>
      </c>
      <c r="P24" s="5">
        <v>6.9017217799411e-13</v>
      </c>
      <c r="Q24" s="5">
        <v>6.9017218026469e-13</v>
      </c>
      <c r="R24" s="5">
        <v>6.8565756062454e-13</v>
      </c>
      <c r="S24" s="5">
        <v>6.8565750704104e-13</v>
      </c>
      <c r="T24" s="5">
        <v>6.8565752503462e-13</v>
      </c>
      <c r="U24" s="5">
        <v>6.7304662154836e-13</v>
      </c>
      <c r="V24" s="5">
        <v>6.7477175868498e-13</v>
      </c>
      <c r="W24" s="5">
        <v>6.7477176115785e-13</v>
      </c>
      <c r="X24" s="5">
        <v>6.7477176632737e-13</v>
      </c>
      <c r="Y24" s="5">
        <v>6.9017219485012e-13</v>
      </c>
      <c r="Z24" s="5">
        <v>6.9017220505977e-13</v>
      </c>
      <c r="AA24" s="5">
        <v>6.9017221229345e-13</v>
      </c>
      <c r="AB24" s="3">
        <v>0.99999999990924</v>
      </c>
      <c r="AC24" s="3">
        <v>0.99999363813014</v>
      </c>
      <c r="AD24" s="3">
        <v>0.00035386081771288</v>
      </c>
      <c r="AE24" s="5">
        <v>-9.750814232703e-20</v>
      </c>
      <c r="AF24" s="5">
        <v>-3.554234216986e-19</v>
      </c>
      <c r="AG24" s="5">
        <v>2.6251229171336e-18</v>
      </c>
      <c r="AH24" s="5">
        <v>1.592719917913e-19</v>
      </c>
      <c r="AI24" s="5">
        <v>-1.0138961020807e-19</v>
      </c>
      <c r="AJ24" s="5">
        <v>-1.2685571423614e-19</v>
      </c>
      <c r="AK24" s="5">
        <v>1.5759660439464e-19</v>
      </c>
      <c r="AL24" s="5">
        <v>3.8718916663817e-19</v>
      </c>
      <c r="AM24" s="5">
        <v>2.2905560936384e-19</v>
      </c>
      <c r="AN24" s="5">
        <v>1.4490849159155e-19</v>
      </c>
      <c r="AO24" s="5">
        <v>-4.5662460224667e-20</v>
      </c>
      <c r="AP24" s="5">
        <v>-1.5122316629049e-19</v>
      </c>
      <c r="AQ24" s="5">
        <v>7.0930443995833e-20</v>
      </c>
      <c r="AR24" s="5">
        <v>-5.2175378641075e-19</v>
      </c>
      <c r="AS24" s="5">
        <v>1.2580685344591e-18</v>
      </c>
      <c r="AT24" s="5">
        <v>1.1698173938163e-19</v>
      </c>
      <c r="AU24" s="5">
        <v>-3.1581103973507e-20</v>
      </c>
      <c r="AV24" s="5">
        <v>-5.8312556386882e-19</v>
      </c>
      <c r="AW24" s="5">
        <v>4.4565765980658e-19</v>
      </c>
      <c r="AX24" s="5">
        <v>5.4090659338537e-19</v>
      </c>
      <c r="AY24" s="5">
        <v>7.529031417192e-20</v>
      </c>
      <c r="AZ24" s="5">
        <v>-1.1213190203301e-19</v>
      </c>
      <c r="BA24" s="5">
        <v>4.5396541675037e-19</v>
      </c>
      <c r="BB24" s="5">
        <v>-8.1378720676976e-19</v>
      </c>
      <c r="BC24" s="3">
        <v>15937052.423739</v>
      </c>
      <c r="BD24" s="3">
        <v>3980748.3813923</v>
      </c>
      <c r="BE24" s="5">
        <v>-9.3900679553971e-5</v>
      </c>
      <c r="BF24" s="3">
        <v>0.00038386853181253</v>
      </c>
      <c r="BG24" s="3">
        <v>0.00014520574788737</v>
      </c>
      <c r="BH24" s="3">
        <v>-0.00018438737135478</v>
      </c>
      <c r="BI24" s="3">
        <v>60.045498902504</v>
      </c>
      <c r="BJ24" s="3">
        <v>30.023314099657</v>
      </c>
      <c r="BK24" s="3">
        <v>53.629939450213</v>
      </c>
      <c r="BL24" s="4"/>
      <c r="BM24" s="7"/>
    </row>
    <row r="25" spans="1:65">
      <c r="A25" s="3">
        <v>15811388.300842</v>
      </c>
      <c r="B25" s="3">
        <v>0.00013803608561688</v>
      </c>
      <c r="C25" s="6">
        <f t="shared" si="0"/>
        <v>9.15069114559318e-12</v>
      </c>
      <c r="D25" s="5">
        <v>6.7197936946974e-13</v>
      </c>
      <c r="E25" s="5">
        <v>6.8477961885338e-13</v>
      </c>
      <c r="F25" s="5">
        <v>6.8477976196477e-13</v>
      </c>
      <c r="G25" s="5">
        <v>6.8477973516394e-13</v>
      </c>
      <c r="H25" s="5">
        <v>6.7197937911774e-13</v>
      </c>
      <c r="I25" s="5">
        <v>6.7197936887187e-13</v>
      </c>
      <c r="J25" s="5">
        <v>6.7197936890367e-13</v>
      </c>
      <c r="K25" s="5">
        <v>6.7369753664462e-13</v>
      </c>
      <c r="L25" s="5">
        <v>6.7369754986888e-13</v>
      </c>
      <c r="M25" s="5">
        <v>6.7369753989767e-13</v>
      </c>
      <c r="N25" s="5">
        <v>6.8915706966431e-13</v>
      </c>
      <c r="O25" s="5">
        <v>6.719793731443e-13</v>
      </c>
      <c r="P25" s="5">
        <v>6.8915705415619e-13</v>
      </c>
      <c r="Q25" s="5">
        <v>6.8915705701417e-13</v>
      </c>
      <c r="R25" s="5">
        <v>6.8477967380079e-13</v>
      </c>
      <c r="S25" s="5">
        <v>6.8477961470204e-13</v>
      </c>
      <c r="T25" s="5">
        <v>6.8477963490849e-13</v>
      </c>
      <c r="U25" s="5">
        <v>6.7197945285584e-13</v>
      </c>
      <c r="V25" s="5">
        <v>6.7369755950663e-13</v>
      </c>
      <c r="W25" s="5">
        <v>6.7369756358282e-13</v>
      </c>
      <c r="X25" s="5">
        <v>6.7369756979023e-13</v>
      </c>
      <c r="Y25" s="5">
        <v>6.8915707176563e-13</v>
      </c>
      <c r="Z25" s="5">
        <v>6.8915708512907e-13</v>
      </c>
      <c r="AA25" s="5">
        <v>6.8915709401072e-13</v>
      </c>
      <c r="AB25" s="3">
        <v>0.99999999991851</v>
      </c>
      <c r="AC25" s="3">
        <v>0.99999356268072</v>
      </c>
      <c r="AD25" s="3">
        <v>0.0003673528901536</v>
      </c>
      <c r="AE25" s="5">
        <v>-1.0871180264476e-19</v>
      </c>
      <c r="AF25" s="5">
        <v>-3.4678239246026e-19</v>
      </c>
      <c r="AG25" s="5">
        <v>2.3702819655228e-18</v>
      </c>
      <c r="AH25" s="5">
        <v>8.5842410961448e-20</v>
      </c>
      <c r="AI25" s="5">
        <v>-1.1630138012394e-19</v>
      </c>
      <c r="AJ25" s="5">
        <v>-1.5355272251898e-19</v>
      </c>
      <c r="AK25" s="5">
        <v>1.665864131002e-19</v>
      </c>
      <c r="AL25" s="5">
        <v>3.7420688452369e-19</v>
      </c>
      <c r="AM25" s="5">
        <v>2.793968853744e-19</v>
      </c>
      <c r="AN25" s="5">
        <v>1.3871803364511e-19</v>
      </c>
      <c r="AO25" s="5">
        <v>-5.3023834690081e-20</v>
      </c>
      <c r="AP25" s="5">
        <v>-1.579492404943e-19</v>
      </c>
      <c r="AQ25" s="5">
        <v>8.3069307783576e-20</v>
      </c>
      <c r="AR25" s="5">
        <v>-5.2515840167672e-19</v>
      </c>
      <c r="AS25" s="5">
        <v>1.1801216474925e-18</v>
      </c>
      <c r="AT25" s="5">
        <v>1.433345315929e-19</v>
      </c>
      <c r="AU25" s="5">
        <v>-3.6153413000474e-21</v>
      </c>
      <c r="AV25" s="5">
        <v>-6.7100355027511e-19</v>
      </c>
      <c r="AW25" s="5">
        <v>4.5067678712456e-19</v>
      </c>
      <c r="AX25" s="5">
        <v>4.7422900708221e-19</v>
      </c>
      <c r="AY25" s="5">
        <v>8.8360724219048e-20</v>
      </c>
      <c r="AZ25" s="5">
        <v>-1.1915855449444e-19</v>
      </c>
      <c r="BA25" s="5">
        <v>4.4146129807901e-19</v>
      </c>
      <c r="BB25" s="5">
        <v>-8.3424767955928e-19</v>
      </c>
      <c r="BC25" s="3">
        <v>15929428.549608</v>
      </c>
      <c r="BD25" s="3">
        <v>3978425.459541</v>
      </c>
      <c r="BE25" s="5">
        <v>-9.0727727602615e-5</v>
      </c>
      <c r="BF25" s="3">
        <v>0.00039960290406652</v>
      </c>
      <c r="BG25" s="3">
        <v>0.00015436845523795</v>
      </c>
      <c r="BH25" s="3">
        <v>-0.00017755598119105</v>
      </c>
      <c r="BI25" s="3">
        <v>60.045527511232</v>
      </c>
      <c r="BJ25" s="3">
        <v>30.023319904549</v>
      </c>
      <c r="BK25" s="3">
        <v>53.521046746432</v>
      </c>
      <c r="BL25" s="4"/>
      <c r="BM25" s="7"/>
    </row>
    <row r="26" spans="1:65">
      <c r="A26" s="3">
        <v>17740669.461679</v>
      </c>
      <c r="B26" s="3">
        <v>0.00015466479887048</v>
      </c>
      <c r="C26" s="6">
        <f t="shared" si="0"/>
        <v>9.10782522077122e-12</v>
      </c>
      <c r="D26" s="5">
        <v>6.708136488592e-13</v>
      </c>
      <c r="E26" s="5">
        <v>6.838101128306e-13</v>
      </c>
      <c r="F26" s="5">
        <v>6.8381026910641e-13</v>
      </c>
      <c r="G26" s="5">
        <v>6.8381024710456e-13</v>
      </c>
      <c r="H26" s="5">
        <v>6.7081366074858e-13</v>
      </c>
      <c r="I26" s="5">
        <v>6.708136494923e-13</v>
      </c>
      <c r="J26" s="5">
        <v>6.7081364879983e-13</v>
      </c>
      <c r="K26" s="5">
        <v>6.7251820030092e-13</v>
      </c>
      <c r="L26" s="5">
        <v>6.7251821590215e-13</v>
      </c>
      <c r="M26" s="5">
        <v>6.7251820347076e-13</v>
      </c>
      <c r="N26" s="5">
        <v>6.8804607531539e-13</v>
      </c>
      <c r="O26" s="5">
        <v>6.7081365385589e-13</v>
      </c>
      <c r="P26" s="5">
        <v>6.8804605661339e-13</v>
      </c>
      <c r="Q26" s="5">
        <v>6.8804606019331e-13</v>
      </c>
      <c r="R26" s="5">
        <v>6.8381017450681e-13</v>
      </c>
      <c r="S26" s="5">
        <v>6.8381010927846e-13</v>
      </c>
      <c r="T26" s="5">
        <v>6.8381013202136e-13</v>
      </c>
      <c r="U26" s="5">
        <v>6.708137447885e-13</v>
      </c>
      <c r="V26" s="5">
        <v>6.7251822459233e-13</v>
      </c>
      <c r="W26" s="5">
        <v>6.7251823077204e-13</v>
      </c>
      <c r="X26" s="5">
        <v>6.7251823821482e-13</v>
      </c>
      <c r="Y26" s="5">
        <v>6.8804607482688e-13</v>
      </c>
      <c r="Z26" s="5">
        <v>6.8804609210794e-13</v>
      </c>
      <c r="AA26" s="5">
        <v>6.8804610306623e-13</v>
      </c>
      <c r="AB26" s="3">
        <v>0.99999999992665</v>
      </c>
      <c r="AC26" s="3">
        <v>0.99999346839188</v>
      </c>
      <c r="AD26" s="3">
        <v>0.00038254257189849</v>
      </c>
      <c r="AE26" s="5">
        <v>-1.1895021572902e-19</v>
      </c>
      <c r="AF26" s="5">
        <v>-3.38501841111e-19</v>
      </c>
      <c r="AG26" s="5">
        <v>2.1079285745028e-18</v>
      </c>
      <c r="AH26" s="5">
        <v>-3.450457583442e-21</v>
      </c>
      <c r="AI26" s="5">
        <v>-1.3414918725201e-19</v>
      </c>
      <c r="AJ26" s="5">
        <v>-1.8618902098912e-19</v>
      </c>
      <c r="AK26" s="5">
        <v>1.7397278282892e-19</v>
      </c>
      <c r="AL26" s="5">
        <v>3.5823078008547e-19</v>
      </c>
      <c r="AM26" s="5">
        <v>3.3733716321192e-19</v>
      </c>
      <c r="AN26" s="5">
        <v>1.3048853037421e-19</v>
      </c>
      <c r="AO26" s="5">
        <v>-6.4876683424594e-20</v>
      </c>
      <c r="AP26" s="5">
        <v>-1.6665424371322e-19</v>
      </c>
      <c r="AQ26" s="5">
        <v>9.3622253124378e-20</v>
      </c>
      <c r="AR26" s="5">
        <v>-5.3044684043721e-19</v>
      </c>
      <c r="AS26" s="5">
        <v>1.0987735523463e-18</v>
      </c>
      <c r="AT26" s="5">
        <v>1.7122477125538e-19</v>
      </c>
      <c r="AU26" s="5">
        <v>2.0996638026252e-20</v>
      </c>
      <c r="AV26" s="5">
        <v>-7.636680934693e-19</v>
      </c>
      <c r="AW26" s="5">
        <v>4.5809626217635e-19</v>
      </c>
      <c r="AX26" s="5">
        <v>4.013486845091e-19</v>
      </c>
      <c r="AY26" s="5">
        <v>1.036922394797e-19</v>
      </c>
      <c r="AZ26" s="5">
        <v>-1.2631697425621e-19</v>
      </c>
      <c r="BA26" s="5">
        <v>4.2288573493251e-19</v>
      </c>
      <c r="BB26" s="5">
        <v>-8.5623561487776e-19</v>
      </c>
      <c r="BC26" s="3">
        <v>15920888.766144</v>
      </c>
      <c r="BD26" s="3">
        <v>3975825.3724543</v>
      </c>
      <c r="BE26" s="5">
        <v>-8.7125624398505e-5</v>
      </c>
      <c r="BF26" s="3">
        <v>0.00041717445968115</v>
      </c>
      <c r="BG26" s="3">
        <v>0.00016464065628189</v>
      </c>
      <c r="BH26" s="3">
        <v>-0.00016985351577514</v>
      </c>
      <c r="BI26" s="3">
        <v>60.045559534698</v>
      </c>
      <c r="BJ26" s="3">
        <v>30.023325996587</v>
      </c>
      <c r="BK26" s="3">
        <v>53.406188827341</v>
      </c>
      <c r="BL26" s="4"/>
      <c r="BM26" s="7"/>
    </row>
    <row r="27" spans="1:65">
      <c r="A27" s="3">
        <v>19905358.527675</v>
      </c>
      <c r="B27" s="3">
        <v>0.00017327302429449</v>
      </c>
      <c r="C27" s="6">
        <f t="shared" si="0"/>
        <v>9.06138115401108e-12</v>
      </c>
      <c r="D27" s="5">
        <v>6.6953616045665e-13</v>
      </c>
      <c r="E27" s="5">
        <v>6.827390653702e-13</v>
      </c>
      <c r="F27" s="5">
        <v>6.8273923582327e-13</v>
      </c>
      <c r="G27" s="5">
        <v>6.8273922038741e-13</v>
      </c>
      <c r="H27" s="5">
        <v>6.6953617506398e-13</v>
      </c>
      <c r="I27" s="5">
        <v>6.6953616280141e-13</v>
      </c>
      <c r="J27" s="5">
        <v>6.6953616105721e-13</v>
      </c>
      <c r="K27" s="5">
        <v>6.7122586840938e-13</v>
      </c>
      <c r="L27" s="5">
        <v>6.712258869613e-13</v>
      </c>
      <c r="M27" s="5">
        <v>6.7122587139098e-13</v>
      </c>
      <c r="N27" s="5">
        <v>6.8683339687677e-13</v>
      </c>
      <c r="O27" s="5">
        <v>6.6953616710662e-13</v>
      </c>
      <c r="P27" s="5">
        <v>6.8683337419389e-13</v>
      </c>
      <c r="Q27" s="5">
        <v>6.8683337865975e-13</v>
      </c>
      <c r="R27" s="5">
        <v>6.8273913476437e-13</v>
      </c>
      <c r="S27" s="5">
        <v>6.8273906265577e-13</v>
      </c>
      <c r="T27" s="5">
        <v>6.8273908831771e-13</v>
      </c>
      <c r="U27" s="5">
        <v>6.6953627101608e-13</v>
      </c>
      <c r="V27" s="5">
        <v>6.712258940484e-13</v>
      </c>
      <c r="W27" s="5">
        <v>6.7122590296812e-13</v>
      </c>
      <c r="X27" s="5">
        <v>6.7122591187494e-13</v>
      </c>
      <c r="Y27" s="5">
        <v>6.868333928095e-13</v>
      </c>
      <c r="Z27" s="5">
        <v>6.8683341493327e-13</v>
      </c>
      <c r="AA27" s="5">
        <v>6.8683342851561e-13</v>
      </c>
      <c r="AB27" s="3">
        <v>0.99999999993374</v>
      </c>
      <c r="AC27" s="3">
        <v>0.99999335037568</v>
      </c>
      <c r="AD27" s="3">
        <v>0.00039963820380797</v>
      </c>
      <c r="AE27" s="5">
        <v>-1.2778616236389e-19</v>
      </c>
      <c r="AF27" s="5">
        <v>-3.3048650800757e-19</v>
      </c>
      <c r="AG27" s="5">
        <v>1.8404374453583e-18</v>
      </c>
      <c r="AH27" s="5">
        <v>-1.0957479827105e-19</v>
      </c>
      <c r="AI27" s="5">
        <v>-1.5546594562955e-19</v>
      </c>
      <c r="AJ27" s="5">
        <v>-2.2618383693832e-19</v>
      </c>
      <c r="AK27" s="5">
        <v>1.7922011652908e-19</v>
      </c>
      <c r="AL27" s="5">
        <v>3.387981599032e-19</v>
      </c>
      <c r="AM27" s="5">
        <v>4.0449471408964e-19</v>
      </c>
      <c r="AN27" s="5">
        <v>1.2006274527392e-19</v>
      </c>
      <c r="AO27" s="5">
        <v>-8.2148366885655e-20</v>
      </c>
      <c r="AP27" s="5">
        <v>-1.780210033533e-19</v>
      </c>
      <c r="AQ27" s="5">
        <v>1.0185999312474e-19</v>
      </c>
      <c r="AR27" s="5">
        <v>-5.3807852303457e-19</v>
      </c>
      <c r="AS27" s="5">
        <v>1.0151868614868e-18</v>
      </c>
      <c r="AT27" s="5">
        <v>2.0013349726416e-19</v>
      </c>
      <c r="AU27" s="5">
        <v>4.1020629372337e-20</v>
      </c>
      <c r="AV27" s="5">
        <v>-8.6064787537579e-19</v>
      </c>
      <c r="AW27" s="5">
        <v>4.6812542856174e-19</v>
      </c>
      <c r="AX27" s="5">
        <v>3.2190342675627e-19</v>
      </c>
      <c r="AY27" s="5">
        <v>1.2158636984867e-19</v>
      </c>
      <c r="AZ27" s="5">
        <v>-1.3370118639965e-19</v>
      </c>
      <c r="BA27" s="5">
        <v>3.9667931336251e-19</v>
      </c>
      <c r="BB27" s="5">
        <v>-8.7948747419319e-19</v>
      </c>
      <c r="BC27" s="3">
        <v>15911324.898564</v>
      </c>
      <c r="BD27" s="3">
        <v>3972915.7807297</v>
      </c>
      <c r="BE27" s="5">
        <v>-8.3033558226606e-5</v>
      </c>
      <c r="BF27" s="3">
        <v>0.00043678953238806</v>
      </c>
      <c r="BG27" s="3">
        <v>0.00017615578455405</v>
      </c>
      <c r="BH27" s="3">
        <v>-0.00016123744488945</v>
      </c>
      <c r="BI27" s="3">
        <v>60.045595220589</v>
      </c>
      <c r="BJ27" s="3">
        <v>30.023332244654</v>
      </c>
      <c r="BK27" s="3">
        <v>53.285984942825</v>
      </c>
      <c r="BL27" s="4"/>
      <c r="BM27" s="7"/>
    </row>
    <row r="28" spans="1:65">
      <c r="A28" s="3">
        <v>22334179.607548</v>
      </c>
      <c r="B28" s="3">
        <v>0.00019409137502712</v>
      </c>
      <c r="C28" s="6">
        <f t="shared" si="0"/>
        <v>9.01120519950133e-12</v>
      </c>
      <c r="D28" s="5">
        <v>6.6813930400574e-13</v>
      </c>
      <c r="E28" s="5">
        <v>6.8155455335781e-13</v>
      </c>
      <c r="F28" s="5">
        <v>6.81554739107e-13</v>
      </c>
      <c r="G28" s="5">
        <v>6.8155473225717e-13</v>
      </c>
      <c r="H28" s="5">
        <v>6.6813932189759e-13</v>
      </c>
      <c r="I28" s="5">
        <v>6.6813930869817e-13</v>
      </c>
      <c r="J28" s="5">
        <v>6.6813930544312e-13</v>
      </c>
      <c r="K28" s="5">
        <v>6.6981919559725e-13</v>
      </c>
      <c r="L28" s="5">
        <v>6.6981921785654e-13</v>
      </c>
      <c r="M28" s="5">
        <v>6.6981919825642e-13</v>
      </c>
      <c r="N28" s="5">
        <v>6.8550575068861e-13</v>
      </c>
      <c r="O28" s="5">
        <v>6.6813931271139e-13</v>
      </c>
      <c r="P28" s="5">
        <v>6.8550572300748e-13</v>
      </c>
      <c r="Q28" s="5">
        <v>6.8550572856008e-13</v>
      </c>
      <c r="R28" s="5">
        <v>6.8155463168736e-13</v>
      </c>
      <c r="S28" s="5">
        <v>6.8155455175263e-13</v>
      </c>
      <c r="T28" s="5">
        <v>6.8155458078339e-13</v>
      </c>
      <c r="U28" s="5">
        <v>6.681394316621e-13</v>
      </c>
      <c r="V28" s="5">
        <v>6.6981922245091e-13</v>
      </c>
      <c r="W28" s="5">
        <v>6.6981923492023e-13</v>
      </c>
      <c r="X28" s="5">
        <v>6.6981924555247e-13</v>
      </c>
      <c r="Y28" s="5">
        <v>6.8550574176351e-13</v>
      </c>
      <c r="Z28" s="5">
        <v>6.8550576984699e-13</v>
      </c>
      <c r="AA28" s="5">
        <v>6.8550578675222e-13</v>
      </c>
      <c r="AB28" s="3">
        <v>0.9999999999399</v>
      </c>
      <c r="AC28" s="3">
        <v>0.9999932021873</v>
      </c>
      <c r="AD28" s="3">
        <v>0.00041887193572092</v>
      </c>
      <c r="AE28" s="5">
        <v>-1.3470244607424e-19</v>
      </c>
      <c r="AF28" s="5">
        <v>-3.2248425782779e-19</v>
      </c>
      <c r="AG28" s="5">
        <v>1.5705809713375e-18</v>
      </c>
      <c r="AH28" s="5">
        <v>-2.3259245936621e-19</v>
      </c>
      <c r="AI28" s="5">
        <v>-1.8083262894539e-19</v>
      </c>
      <c r="AJ28" s="5">
        <v>-2.7538182221712e-19</v>
      </c>
      <c r="AK28" s="5">
        <v>1.8171830655088e-19</v>
      </c>
      <c r="AL28" s="5">
        <v>3.1542773708935e-19</v>
      </c>
      <c r="AM28" s="5">
        <v>4.8299585543124e-19</v>
      </c>
      <c r="AN28" s="5">
        <v>1.0732075809555e-19</v>
      </c>
      <c r="AO28" s="5">
        <v>-1.0582410308569e-19</v>
      </c>
      <c r="AP28" s="5">
        <v>-1.9298458273481e-19</v>
      </c>
      <c r="AQ28" s="5">
        <v>1.068519967696e-19</v>
      </c>
      <c r="AR28" s="5">
        <v>-5.4856191326425e-19</v>
      </c>
      <c r="AS28" s="5">
        <v>9.3101338497829e-19</v>
      </c>
      <c r="AT28" s="5">
        <v>2.2928863130975e-19</v>
      </c>
      <c r="AU28" s="5">
        <v>5.5132548269047e-20</v>
      </c>
      <c r="AV28" s="5">
        <v>-9.6121515988367e-19</v>
      </c>
      <c r="AW28" s="5">
        <v>4.8095998667781e-19</v>
      </c>
      <c r="AX28" s="5">
        <v>2.3556207827758e-19</v>
      </c>
      <c r="AY28" s="5">
        <v>1.4236441884645e-19</v>
      </c>
      <c r="AZ28" s="5">
        <v>-1.4152086270789e-19</v>
      </c>
      <c r="BA28" s="5">
        <v>3.6095120559085e-19</v>
      </c>
      <c r="BB28" s="5">
        <v>-9.0350213628007e-19</v>
      </c>
      <c r="BC28" s="3">
        <v>15900616.456561</v>
      </c>
      <c r="BD28" s="3">
        <v>3969660.7425785</v>
      </c>
      <c r="BE28" s="5">
        <v>-7.8381930369848e-5</v>
      </c>
      <c r="BF28" s="3">
        <v>0.00045867613753167</v>
      </c>
      <c r="BG28" s="3">
        <v>0.0001890631138933</v>
      </c>
      <c r="BH28" s="3">
        <v>-0.0001516892299395</v>
      </c>
      <c r="BI28" s="3">
        <v>60.045634792823</v>
      </c>
      <c r="BJ28" s="3">
        <v>30.023338456746</v>
      </c>
      <c r="BK28" s="3">
        <v>53.161310849135</v>
      </c>
      <c r="BL28" s="4"/>
      <c r="BM28" s="7"/>
    </row>
    <row r="29" spans="1:65">
      <c r="A29" s="3">
        <v>25059361.681364</v>
      </c>
      <c r="B29" s="3">
        <v>0.00021737636373573</v>
      </c>
      <c r="C29" s="6">
        <f t="shared" si="0"/>
        <v>8.95714659308966e-12</v>
      </c>
      <c r="D29" s="5">
        <v>6.6661797147937e-13</v>
      </c>
      <c r="E29" s="5">
        <v>6.8024954395274e-13</v>
      </c>
      <c r="F29" s="5">
        <v>6.802497462604e-13</v>
      </c>
      <c r="G29" s="5">
        <v>6.8024975024704e-13</v>
      </c>
      <c r="H29" s="5">
        <v>6.6661799332489e-13</v>
      </c>
      <c r="I29" s="5">
        <v>6.6661797936495e-13</v>
      </c>
      <c r="J29" s="5">
        <v>6.6661797394912e-13</v>
      </c>
      <c r="K29" s="5">
        <v>6.6828600964284e-13</v>
      </c>
      <c r="L29" s="5">
        <v>6.6828603661749e-13</v>
      </c>
      <c r="M29" s="5">
        <v>6.6828601180847e-13</v>
      </c>
      <c r="N29" s="5">
        <v>6.8405563783785e-13</v>
      </c>
      <c r="O29" s="5">
        <v>6.6661798272934e-13</v>
      </c>
      <c r="P29" s="5">
        <v>6.8405560383056e-13</v>
      </c>
      <c r="Q29" s="5">
        <v>6.84055610717e-13</v>
      </c>
      <c r="R29" s="5">
        <v>6.8024963274295e-13</v>
      </c>
      <c r="S29" s="5">
        <v>6.8024954375422e-13</v>
      </c>
      <c r="T29" s="5">
        <v>6.8024957668075e-13</v>
      </c>
      <c r="U29" s="5">
        <v>6.6661811914231e-13</v>
      </c>
      <c r="V29" s="5">
        <v>6.6828603751481e-13</v>
      </c>
      <c r="W29" s="5">
        <v>6.6828605456517e-13</v>
      </c>
      <c r="X29" s="5">
        <v>6.6828606721746e-13</v>
      </c>
      <c r="Y29" s="5">
        <v>6.8405562239944e-13</v>
      </c>
      <c r="Z29" s="5">
        <v>6.8405565778913e-13</v>
      </c>
      <c r="AA29" s="5">
        <v>6.8405567890696e-13</v>
      </c>
      <c r="AB29" s="3">
        <v>0.99999999994519</v>
      </c>
      <c r="AC29" s="3">
        <v>0.99999301531579</v>
      </c>
      <c r="AD29" s="3">
        <v>0.00044050210775532</v>
      </c>
      <c r="AE29" s="5">
        <v>-1.3907558750512e-19</v>
      </c>
      <c r="AF29" s="5">
        <v>-3.1407613670608e-19</v>
      </c>
      <c r="AG29" s="5">
        <v>1.3016280332782e-18</v>
      </c>
      <c r="AH29" s="5">
        <v>-3.7082243405097e-19</v>
      </c>
      <c r="AI29" s="5">
        <v>-2.1088321291099e-19</v>
      </c>
      <c r="AJ29" s="5">
        <v>-3.3619776187804e-19</v>
      </c>
      <c r="AK29" s="5">
        <v>1.8082076698076e-19</v>
      </c>
      <c r="AL29" s="5">
        <v>2.8772133063473e-19</v>
      </c>
      <c r="AM29" s="5">
        <v>5.754947964064e-19</v>
      </c>
      <c r="AN29" s="5">
        <v>9.2201394185261e-20</v>
      </c>
      <c r="AO29" s="5">
        <v>-1.3693654617758e-19</v>
      </c>
      <c r="AP29" s="5">
        <v>-2.1280286149052e-19</v>
      </c>
      <c r="AQ29" s="5">
        <v>1.0742905810155e-19</v>
      </c>
      <c r="AR29" s="5">
        <v>-5.6242714308191e-19</v>
      </c>
      <c r="AS29" s="5">
        <v>8.4862265248767e-19</v>
      </c>
      <c r="AT29" s="5">
        <v>2.5755290588496e-19</v>
      </c>
      <c r="AU29" s="5">
        <v>6.2085032172521e-20</v>
      </c>
      <c r="AV29" s="5">
        <v>-1.0643677191112e-18</v>
      </c>
      <c r="AW29" s="5">
        <v>4.9682564797752e-19</v>
      </c>
      <c r="AX29" s="5">
        <v>1.4218289350897e-19</v>
      </c>
      <c r="AY29" s="5">
        <v>1.6634355740395e-19</v>
      </c>
      <c r="AZ29" s="5">
        <v>-1.5008308137836e-19</v>
      </c>
      <c r="BA29" s="5">
        <v>3.1338784803371e-19</v>
      </c>
      <c r="BB29" s="5">
        <v>-9.2742531602225e-19</v>
      </c>
      <c r="BC29" s="3">
        <v>15888629.310551</v>
      </c>
      <c r="BD29" s="3">
        <v>3966020.3424147</v>
      </c>
      <c r="BE29" s="5">
        <v>-7.3091023254531e-5</v>
      </c>
      <c r="BF29" s="3">
        <v>0.0004830859928597</v>
      </c>
      <c r="BG29" s="3">
        <v>0.00020352960589261</v>
      </c>
      <c r="BH29" s="3">
        <v>-0.00014121774030531</v>
      </c>
      <c r="BI29" s="3">
        <v>60.045678422147</v>
      </c>
      <c r="BJ29" s="3">
        <v>30.023344365045</v>
      </c>
      <c r="BK29" s="3">
        <v>53.033334194345</v>
      </c>
      <c r="BL29" s="4"/>
      <c r="BM29" s="7"/>
    </row>
    <row r="30" spans="1:65">
      <c r="A30" s="3">
        <v>28117066.259518</v>
      </c>
      <c r="B30" s="3">
        <v>0.00024341314063359</v>
      </c>
      <c r="C30" s="6">
        <f t="shared" si="0"/>
        <v>8.89907765101942e-12</v>
      </c>
      <c r="D30" s="5">
        <v>6.6496114565935e-13</v>
      </c>
      <c r="E30" s="5">
        <v>6.7881503244123e-13</v>
      </c>
      <c r="F30" s="5">
        <v>6.7881525276583e-13</v>
      </c>
      <c r="G30" s="5">
        <v>6.7881527001881e-13</v>
      </c>
      <c r="H30" s="5">
        <v>6.6496117224182e-13</v>
      </c>
      <c r="I30" s="5">
        <v>6.649611578671e-13</v>
      </c>
      <c r="J30" s="5">
        <v>6.6496114936473e-13</v>
      </c>
      <c r="K30" s="5">
        <v>6.6661287422112e-13</v>
      </c>
      <c r="L30" s="5">
        <v>6.6661290727361e-13</v>
      </c>
      <c r="M30" s="5">
        <v>6.666128756791e-13</v>
      </c>
      <c r="N30" s="5">
        <v>6.824726042146e-13</v>
      </c>
      <c r="O30" s="5">
        <v>6.6496116004469e-13</v>
      </c>
      <c r="P30" s="5">
        <v>6.8247256212903e-13</v>
      </c>
      <c r="Q30" s="5">
        <v>6.8247257065482e-13</v>
      </c>
      <c r="R30" s="5">
        <v>6.7881513363711e-13</v>
      </c>
      <c r="S30" s="5">
        <v>6.7881503395682e-13</v>
      </c>
      <c r="T30" s="5">
        <v>6.7881507139273e-13</v>
      </c>
      <c r="U30" s="5">
        <v>6.6496131675601e-13</v>
      </c>
      <c r="V30" s="5">
        <v>6.6661290284382e-13</v>
      </c>
      <c r="W30" s="5">
        <v>6.6661292579219e-13</v>
      </c>
      <c r="X30" s="5">
        <v>6.6661294078235e-13</v>
      </c>
      <c r="Y30" s="5">
        <v>6.8247258011384e-13</v>
      </c>
      <c r="Z30" s="5">
        <v>6.8247262443357e-13</v>
      </c>
      <c r="AA30" s="5">
        <v>6.8247265088977e-13</v>
      </c>
      <c r="AB30" s="3">
        <v>0.99999999994968</v>
      </c>
      <c r="AC30" s="3">
        <v>0.99999277844361</v>
      </c>
      <c r="AD30" s="3">
        <v>0.00046481594166849</v>
      </c>
      <c r="AE30" s="5">
        <v>-1.4011476519383e-19</v>
      </c>
      <c r="AF30" s="5">
        <v>-3.0457743980424e-19</v>
      </c>
      <c r="AG30" s="5">
        <v>1.0370801921467e-18</v>
      </c>
      <c r="AH30" s="5">
        <v>-5.2051490809338e-19</v>
      </c>
      <c r="AI30" s="5">
        <v>-2.4626845403517e-19</v>
      </c>
      <c r="AJ30" s="5">
        <v>-4.118751495126e-19</v>
      </c>
      <c r="AK30" s="5">
        <v>1.7587785826094e-19</v>
      </c>
      <c r="AL30" s="5">
        <v>2.5522344357464e-19</v>
      </c>
      <c r="AM30" s="5">
        <v>6.8550441585243e-19</v>
      </c>
      <c r="AN30" s="5">
        <v>7.4710449177061e-20</v>
      </c>
      <c r="AO30" s="5">
        <v>-1.7644532143219e-19</v>
      </c>
      <c r="AP30" s="5">
        <v>-2.3914932082645e-19</v>
      </c>
      <c r="AQ30" s="5">
        <v>1.0212446579293e-19</v>
      </c>
      <c r="AR30" s="5">
        <v>-5.8020411524626e-19</v>
      </c>
      <c r="AS30" s="5">
        <v>7.7122059517466e-19</v>
      </c>
      <c r="AT30" s="5">
        <v>2.8344721125839e-19</v>
      </c>
      <c r="AU30" s="5">
        <v>6.091284619314e-20</v>
      </c>
      <c r="AV30" s="5">
        <v>-1.1687377877539e-18</v>
      </c>
      <c r="AW30" s="5">
        <v>5.1606056922344e-19</v>
      </c>
      <c r="AX30" s="5">
        <v>4.1510943290085e-20</v>
      </c>
      <c r="AY30" s="5">
        <v>1.9387480295038e-19</v>
      </c>
      <c r="AZ30" s="5">
        <v>-1.5989125043264e-19</v>
      </c>
      <c r="BA30" s="5">
        <v>2.5124653089158e-19</v>
      </c>
      <c r="BB30" s="5">
        <v>-9.4992565238976e-19</v>
      </c>
      <c r="BC30" s="3">
        <v>15875214.289496</v>
      </c>
      <c r="BD30" s="3">
        <v>3961950.3022377</v>
      </c>
      <c r="BE30" s="5">
        <v>-6.7069656146845e-5</v>
      </c>
      <c r="BF30" s="3">
        <v>0.00051029674333457</v>
      </c>
      <c r="BG30" s="3">
        <v>0.0002197419216407</v>
      </c>
      <c r="BH30" s="3">
        <v>-0.00012989568327583</v>
      </c>
      <c r="BI30" s="3">
        <v>60.045726195701</v>
      </c>
      <c r="BJ30" s="3">
        <v>30.023349593197</v>
      </c>
      <c r="BK30" s="3">
        <v>52.903544000582</v>
      </c>
      <c r="BL30" s="4"/>
      <c r="BM30" s="7"/>
    </row>
    <row r="31" spans="1:65">
      <c r="A31" s="3">
        <v>31547867.22401</v>
      </c>
      <c r="B31" s="3">
        <v>0.00027251850402551</v>
      </c>
      <c r="C31" s="6">
        <f t="shared" si="0"/>
        <v>8.83689712736488e-12</v>
      </c>
      <c r="D31" s="5">
        <v>6.6316008559234e-13</v>
      </c>
      <c r="E31" s="5">
        <v>6.7724521272687e-13</v>
      </c>
      <c r="F31" s="5">
        <v>6.7724545279439e-13</v>
      </c>
      <c r="G31" s="5">
        <v>6.7724548583925e-13</v>
      </c>
      <c r="H31" s="5">
        <v>6.6316011782305e-13</v>
      </c>
      <c r="I31" s="5">
        <v>6.6316010363837e-13</v>
      </c>
      <c r="J31" s="5">
        <v>6.6316009072925e-13</v>
      </c>
      <c r="K31" s="5">
        <v>6.6478947242006e-13</v>
      </c>
      <c r="L31" s="5">
        <v>6.6478951341463e-13</v>
      </c>
      <c r="M31" s="5">
        <v>6.6478947290564e-13</v>
      </c>
      <c r="N31" s="5">
        <v>6.8074305798652e-13</v>
      </c>
      <c r="O31" s="5">
        <v>6.6316010382801e-13</v>
      </c>
      <c r="P31" s="5">
        <v>6.8074300548407e-13</v>
      </c>
      <c r="Q31" s="5">
        <v>6.8074301602944e-13</v>
      </c>
      <c r="R31" s="5">
        <v>6.7724532884871e-13</v>
      </c>
      <c r="S31" s="5">
        <v>6.7724521624504e-13</v>
      </c>
      <c r="T31" s="5">
        <v>6.772452589014e-13</v>
      </c>
      <c r="U31" s="5">
        <v>6.6316028416515e-13</v>
      </c>
      <c r="V31" s="5">
        <v>6.6478950144732e-13</v>
      </c>
      <c r="W31" s="5">
        <v>6.647895319781e-13</v>
      </c>
      <c r="X31" s="5">
        <v>6.6478954963498e-13</v>
      </c>
      <c r="Y31" s="5">
        <v>6.8074302241964e-13</v>
      </c>
      <c r="Z31" s="5">
        <v>6.8074307763001e-13</v>
      </c>
      <c r="AA31" s="5">
        <v>6.8074311084048e-13</v>
      </c>
      <c r="AB31" s="3">
        <v>0.99999999995343</v>
      </c>
      <c r="AC31" s="3">
        <v>0.9999924762839</v>
      </c>
      <c r="AD31" s="3">
        <v>0.00049213253564885</v>
      </c>
      <c r="AE31" s="5">
        <v>-1.3678554532314e-19</v>
      </c>
      <c r="AF31" s="5">
        <v>-2.9298373494388e-19</v>
      </c>
      <c r="AG31" s="5">
        <v>7.8069612081757e-19</v>
      </c>
      <c r="AH31" s="5">
        <v>-6.7545140348564e-19</v>
      </c>
      <c r="AI31" s="5">
        <v>-2.8773599668811e-19</v>
      </c>
      <c r="AJ31" s="5">
        <v>-5.0686397347621e-19</v>
      </c>
      <c r="AK31" s="5">
        <v>1.6629533821264e-19</v>
      </c>
      <c r="AL31" s="5">
        <v>2.1752019126912e-19</v>
      </c>
      <c r="AM31" s="5">
        <v>8.1778740540619e-19</v>
      </c>
      <c r="AN31" s="5">
        <v>5.4918997396516e-20</v>
      </c>
      <c r="AO31" s="5">
        <v>-2.2513982258688e-19</v>
      </c>
      <c r="AP31" s="5">
        <v>-2.7425150594937e-19</v>
      </c>
      <c r="AQ31" s="5">
        <v>8.9129355630256e-20</v>
      </c>
      <c r="AR31" s="5">
        <v>-6.0239503538733e-19</v>
      </c>
      <c r="AS31" s="5">
        <v>7.0316061723585e-19</v>
      </c>
      <c r="AT31" s="5">
        <v>3.0516115947069e-19</v>
      </c>
      <c r="AU31" s="5">
        <v>5.1064694671151e-20</v>
      </c>
      <c r="AV31" s="5">
        <v>-1.2728375229821e-18</v>
      </c>
      <c r="AW31" s="5">
        <v>5.3916560542538e-19</v>
      </c>
      <c r="AX31" s="5">
        <v>-6.6904901746175e-20</v>
      </c>
      <c r="AY31" s="5">
        <v>2.252782526297e-19</v>
      </c>
      <c r="AZ31" s="5">
        <v>-1.7167992408841e-19</v>
      </c>
      <c r="BA31" s="5">
        <v>1.7126954000183e-19</v>
      </c>
      <c r="BB31" s="5">
        <v>-9.6914713700038e-19</v>
      </c>
      <c r="BC31" s="3">
        <v>15860205.652679</v>
      </c>
      <c r="BD31" s="3">
        <v>3957401.5621021</v>
      </c>
      <c r="BE31" s="5">
        <v>-6.0213643598313e-5</v>
      </c>
      <c r="BF31" s="3">
        <v>0.00054061437852225</v>
      </c>
      <c r="BG31" s="3">
        <v>0.0002379086289366</v>
      </c>
      <c r="BH31" s="3">
        <v>-0.00011783840666011</v>
      </c>
      <c r="BI31" s="3">
        <v>60.045778132296</v>
      </c>
      <c r="BJ31" s="3">
        <v>30.02335367275</v>
      </c>
      <c r="BK31" s="3">
        <v>52.773774013722</v>
      </c>
      <c r="BL31" s="4"/>
      <c r="BM31" s="7"/>
    </row>
    <row r="32" spans="1:65">
      <c r="A32" s="3">
        <v>35397289.219207</v>
      </c>
      <c r="B32" s="3">
        <v>0.00030504421870047</v>
      </c>
      <c r="C32" s="6">
        <f t="shared" si="0"/>
        <v>8.77050938409056e-12</v>
      </c>
      <c r="D32" s="5">
        <v>6.6120929031117e-13</v>
      </c>
      <c r="E32" s="5">
        <v>6.7552310635723e-13</v>
      </c>
      <c r="F32" s="5">
        <v>6.7552336825717e-13</v>
      </c>
      <c r="G32" s="5">
        <v>6.7552341959191e-13</v>
      </c>
      <c r="H32" s="5">
        <v>6.6120932923686e-13</v>
      </c>
      <c r="I32" s="5">
        <v>6.612093162474e-13</v>
      </c>
      <c r="J32" s="5">
        <v>6.6120929703964e-13</v>
      </c>
      <c r="K32" s="5">
        <v>6.628080507946e-13</v>
      </c>
      <c r="L32" s="5">
        <v>6.628081023141e-13</v>
      </c>
      <c r="M32" s="5">
        <v>6.6280804998202e-13</v>
      </c>
      <c r="N32" s="5">
        <v>6.7885782633857e-13</v>
      </c>
      <c r="O32" s="5">
        <v>6.6120931325881e-13</v>
      </c>
      <c r="P32" s="5">
        <v>6.7885776025771e-13</v>
      </c>
      <c r="Q32" s="5">
        <v>6.7885777329795e-13</v>
      </c>
      <c r="R32" s="5">
        <v>6.7552324071966e-13</v>
      </c>
      <c r="S32" s="5">
        <v>6.755231120981e-13</v>
      </c>
      <c r="T32" s="5">
        <v>6.7552316079227e-13</v>
      </c>
      <c r="U32" s="5">
        <v>6.6120952112968e-13</v>
      </c>
      <c r="V32" s="5">
        <v>6.6280807979829e-13</v>
      </c>
      <c r="W32" s="5">
        <v>6.6280812007889e-13</v>
      </c>
      <c r="X32" s="5">
        <v>6.6280814071013e-13</v>
      </c>
      <c r="Y32" s="5">
        <v>6.7885777561949e-13</v>
      </c>
      <c r="Z32" s="5">
        <v>6.788578440991e-13</v>
      </c>
      <c r="AA32" s="5">
        <v>6.7885788582698e-13</v>
      </c>
      <c r="AB32" s="3">
        <v>0.99999999995647</v>
      </c>
      <c r="AC32" s="3">
        <v>0.99999208813752</v>
      </c>
      <c r="AD32" s="3">
        <v>0.00052280602397803</v>
      </c>
      <c r="AE32" s="5">
        <v>-1.2769305566894e-19</v>
      </c>
      <c r="AF32" s="5">
        <v>-2.778267095609e-19</v>
      </c>
      <c r="AG32" s="5">
        <v>5.3642024898646e-19</v>
      </c>
      <c r="AH32" s="5">
        <v>-8.2694997091657e-19</v>
      </c>
      <c r="AI32" s="5">
        <v>-3.3597032885692e-19</v>
      </c>
      <c r="AJ32" s="5">
        <v>-6.2736815455431e-19</v>
      </c>
      <c r="AK32" s="5">
        <v>1.5161828265375e-19</v>
      </c>
      <c r="AL32" s="5">
        <v>1.7432789844891e-19</v>
      </c>
      <c r="AM32" s="5">
        <v>9.7865384108554e-19</v>
      </c>
      <c r="AN32" s="5">
        <v>3.2901987689923e-20</v>
      </c>
      <c r="AO32" s="5">
        <v>-2.8333073022772e-19</v>
      </c>
      <c r="AP32" s="5">
        <v>-3.2096615892158e-19</v>
      </c>
      <c r="AQ32" s="5">
        <v>6.6225779330264e-20</v>
      </c>
      <c r="AR32" s="5">
        <v>-6.293967658278e-19</v>
      </c>
      <c r="AS32" s="5">
        <v>6.5042806124566e-19</v>
      </c>
      <c r="AT32" s="5">
        <v>3.2066845720297e-19</v>
      </c>
      <c r="AU32" s="5">
        <v>3.255275180275e-20</v>
      </c>
      <c r="AV32" s="5">
        <v>-1.3748745540548e-18</v>
      </c>
      <c r="AW32" s="5">
        <v>5.6704427484113e-19</v>
      </c>
      <c r="AX32" s="5">
        <v>-1.8354613662468e-19</v>
      </c>
      <c r="AY32" s="5">
        <v>2.6092467192281e-19</v>
      </c>
      <c r="AZ32" s="5">
        <v>-1.8660789969032e-19</v>
      </c>
      <c r="BA32" s="5">
        <v>6.9667628712818e-20</v>
      </c>
      <c r="BB32" s="5">
        <v>-9.8247419548686e-19</v>
      </c>
      <c r="BC32" s="3">
        <v>15843419.396608</v>
      </c>
      <c r="BD32" s="3">
        <v>3952319.8196594</v>
      </c>
      <c r="BE32" s="5">
        <v>-5.240385514908e-5</v>
      </c>
      <c r="BF32" s="3">
        <v>0.00057437577025445</v>
      </c>
      <c r="BG32" s="3">
        <v>0.00025826264419251</v>
      </c>
      <c r="BH32" s="3">
        <v>-0.00010529055888351</v>
      </c>
      <c r="BI32" s="3">
        <v>60.045834099907</v>
      </c>
      <c r="BJ32" s="3">
        <v>30.023355967166</v>
      </c>
      <c r="BK32" s="3">
        <v>52.64621784758</v>
      </c>
      <c r="BL32" s="4"/>
      <c r="BM32" s="7"/>
    </row>
    <row r="33" spans="1:65">
      <c r="A33" s="3">
        <v>39716411.736215</v>
      </c>
      <c r="B33" s="3">
        <v>0.00034138056587633</v>
      </c>
      <c r="C33" s="6">
        <f t="shared" si="0"/>
        <v>8.69985558853282e-12</v>
      </c>
      <c r="D33" s="5">
        <v>6.5909831791785e-13</v>
      </c>
      <c r="E33" s="5">
        <v>6.7361796343337e-13</v>
      </c>
      <c r="F33" s="5">
        <v>6.7361824973885e-13</v>
      </c>
      <c r="G33" s="5">
        <v>6.7361832166508e-13</v>
      </c>
      <c r="H33" s="5">
        <v>6.5909836471676e-13</v>
      </c>
      <c r="I33" s="5">
        <v>6.5909835454457e-13</v>
      </c>
      <c r="J33" s="5">
        <v>6.5909832630472e-13</v>
      </c>
      <c r="K33" s="5">
        <v>6.6064865591291e-13</v>
      </c>
      <c r="L33" s="5">
        <v>6.6064872158152e-13</v>
      </c>
      <c r="M33" s="5">
        <v>6.6064865340369e-13</v>
      </c>
      <c r="N33" s="5">
        <v>6.768043373686e-13</v>
      </c>
      <c r="O33" s="5">
        <v>6.5909834661214e-13</v>
      </c>
      <c r="P33" s="5">
        <v>6.7680425337465e-13</v>
      </c>
      <c r="Q33" s="5">
        <v>6.7680426950719e-13</v>
      </c>
      <c r="R33" s="5">
        <v>6.736181204535e-13</v>
      </c>
      <c r="S33" s="5">
        <v>6.7361797146685e-13</v>
      </c>
      <c r="T33" s="5">
        <v>6.7361802713333e-13</v>
      </c>
      <c r="U33" s="5">
        <v>6.5909858658646e-13</v>
      </c>
      <c r="V33" s="5">
        <v>6.6064868439026e-13</v>
      </c>
      <c r="W33" s="5">
        <v>6.6064873722706e-13</v>
      </c>
      <c r="X33" s="5">
        <v>6.606487610611e-13</v>
      </c>
      <c r="Y33" s="5">
        <v>6.768042666013e-13</v>
      </c>
      <c r="Z33" s="5">
        <v>6.7680435125946e-13</v>
      </c>
      <c r="AA33" s="5">
        <v>6.7680440366973e-13</v>
      </c>
      <c r="AB33" s="3">
        <v>0.99999999995882</v>
      </c>
      <c r="AC33" s="3">
        <v>0.99999158552167</v>
      </c>
      <c r="AD33" s="3">
        <v>0.0005572293531019</v>
      </c>
      <c r="AE33" s="5">
        <v>-1.109203854667e-19</v>
      </c>
      <c r="AF33" s="5">
        <v>-2.5695170078413e-19</v>
      </c>
      <c r="AG33" s="5">
        <v>3.0819609973481e-19</v>
      </c>
      <c r="AH33" s="5">
        <v>-9.6384706122618e-19</v>
      </c>
      <c r="AI33" s="5">
        <v>-3.915692396296e-19</v>
      </c>
      <c r="AJ33" s="5">
        <v>-7.8221070839707e-19</v>
      </c>
      <c r="AK33" s="5">
        <v>1.3161373567633e-19</v>
      </c>
      <c r="AL33" s="5">
        <v>1.2547483954651e-19</v>
      </c>
      <c r="AM33" s="5">
        <v>1.1766857370645e-18</v>
      </c>
      <c r="AN33" s="5">
        <v>8.6408479230404e-21</v>
      </c>
      <c r="AO33" s="5">
        <v>-3.5069349999098e-19</v>
      </c>
      <c r="AP33" s="5">
        <v>-3.8302731541683e-19</v>
      </c>
      <c r="AQ33" s="5">
        <v>3.0747956426985e-20</v>
      </c>
      <c r="AR33" s="5">
        <v>-6.6157798841983e-19</v>
      </c>
      <c r="AS33" s="5">
        <v>6.2096690111992e-19</v>
      </c>
      <c r="AT33" s="5">
        <v>3.27879653223e-19</v>
      </c>
      <c r="AU33" s="5">
        <v>6.3530001663082e-21</v>
      </c>
      <c r="AV33" s="5">
        <v>-1.4729232981908e-18</v>
      </c>
      <c r="AW33" s="5">
        <v>6.012281994942e-19</v>
      </c>
      <c r="AX33" s="5">
        <v>-3.089917252672e-19</v>
      </c>
      <c r="AY33" s="5">
        <v>3.0111173174311e-19</v>
      </c>
      <c r="AZ33" s="5">
        <v>-2.0647223899953e-19</v>
      </c>
      <c r="BA33" s="5">
        <v>-5.8056684453023e-20</v>
      </c>
      <c r="BB33" s="5">
        <v>-9.8667182976352e-19</v>
      </c>
      <c r="BC33" s="3">
        <v>15824651.620076</v>
      </c>
      <c r="BD33" s="3">
        <v>3946645.1001598</v>
      </c>
      <c r="BE33" s="5">
        <v>-4.3504915460224e-5</v>
      </c>
      <c r="BF33" s="3">
        <v>0.0006119515124216</v>
      </c>
      <c r="BG33" s="3">
        <v>0.00028106396744586</v>
      </c>
      <c r="BH33" s="5">
        <v>-9.2538142574996e-5</v>
      </c>
      <c r="BI33" s="3">
        <v>60.04589385241</v>
      </c>
      <c r="BJ33" s="3">
        <v>30.023355725566</v>
      </c>
      <c r="BK33" s="3">
        <v>52.523417609823</v>
      </c>
      <c r="BL33" s="4"/>
      <c r="BM33" s="7"/>
    </row>
    <row r="34" spans="1:65">
      <c r="A34" s="3">
        <v>44562546.906688</v>
      </c>
      <c r="B34" s="3">
        <v>0.00038196033931547</v>
      </c>
      <c r="C34" s="6">
        <f t="shared" si="0"/>
        <v>8.62489002574407e-12</v>
      </c>
      <c r="D34" s="5">
        <v>6.568297828382e-13</v>
      </c>
      <c r="E34" s="5">
        <v>6.7150933900777e-13</v>
      </c>
      <c r="F34" s="5">
        <v>6.715096529289e-13</v>
      </c>
      <c r="G34" s="5">
        <v>6.7150974734335e-13</v>
      </c>
      <c r="H34" s="5">
        <v>6.5682983880204e-13</v>
      </c>
      <c r="I34" s="5">
        <v>6.5682983401178e-13</v>
      </c>
      <c r="J34" s="5">
        <v>6.5682979277433e-13</v>
      </c>
      <c r="K34" s="5">
        <v>6.583103509473e-13</v>
      </c>
      <c r="L34" s="5">
        <v>6.5831043591884e-13</v>
      </c>
      <c r="M34" s="5">
        <v>6.5831034625466e-13</v>
      </c>
      <c r="N34" s="5">
        <v>6.7456882362534e-13</v>
      </c>
      <c r="O34" s="5">
        <v>6.568298185126e-13</v>
      </c>
      <c r="P34" s="5">
        <v>6.7456871568659e-13</v>
      </c>
      <c r="Q34" s="5">
        <v>6.7456873566479e-13</v>
      </c>
      <c r="R34" s="5">
        <v>6.715095246386e-13</v>
      </c>
      <c r="S34" s="5">
        <v>6.7150934912313e-13</v>
      </c>
      <c r="T34" s="5">
        <v>6.7150941283674e-13</v>
      </c>
      <c r="U34" s="5">
        <v>6.5683009594565e-13</v>
      </c>
      <c r="V34" s="5">
        <v>6.5831037834367e-13</v>
      </c>
      <c r="W34" s="5">
        <v>6.5831044741096e-13</v>
      </c>
      <c r="X34" s="5">
        <v>6.5831047449162e-13</v>
      </c>
      <c r="Y34" s="5">
        <v>6.7456872622373e-13</v>
      </c>
      <c r="Z34" s="5">
        <v>6.74568830664e-13</v>
      </c>
      <c r="AA34" s="5">
        <v>6.7456889636408e-13</v>
      </c>
      <c r="AB34" s="3">
        <v>0.99999999996048</v>
      </c>
      <c r="AC34" s="3">
        <v>0.9999909293675</v>
      </c>
      <c r="AD34" s="3">
        <v>0.00059583817117995</v>
      </c>
      <c r="AE34" s="5">
        <v>-8.373834157371e-20</v>
      </c>
      <c r="AF34" s="5">
        <v>-2.2711237554634e-19</v>
      </c>
      <c r="AG34" s="5">
        <v>1.0032526178314e-19</v>
      </c>
      <c r="AH34" s="5">
        <v>-1.0727011022465e-18</v>
      </c>
      <c r="AI34" s="5">
        <v>-4.5507120348646e-19</v>
      </c>
      <c r="AJ34" s="5">
        <v>-9.8407030935369e-19</v>
      </c>
      <c r="AK34" s="5">
        <v>1.0628361624448e-19</v>
      </c>
      <c r="AL34" s="5">
        <v>7.0717015113782e-20</v>
      </c>
      <c r="AM34" s="5">
        <v>1.4243060760631e-18</v>
      </c>
      <c r="AN34" s="5">
        <v>-1.8069937328658e-20</v>
      </c>
      <c r="AO34" s="5">
        <v>-4.2653138084858e-19</v>
      </c>
      <c r="AP34" s="5">
        <v>-4.6528029296543e-19</v>
      </c>
      <c r="AQ34" s="5">
        <v>-2.0487297316719e-20</v>
      </c>
      <c r="AR34" s="5">
        <v>-6.9921788781506e-19</v>
      </c>
      <c r="AS34" s="5">
        <v>6.2566472401599e-19</v>
      </c>
      <c r="AT34" s="5">
        <v>3.2484268545305e-19</v>
      </c>
      <c r="AU34" s="5">
        <v>-2.5247670499746e-20</v>
      </c>
      <c r="AV34" s="5">
        <v>-1.565193464213e-18</v>
      </c>
      <c r="AW34" s="5">
        <v>6.4414926154404e-19</v>
      </c>
      <c r="AX34" s="5">
        <v>-4.4533127848792e-19</v>
      </c>
      <c r="AY34" s="5">
        <v>3.4642648801251e-19</v>
      </c>
      <c r="AZ34" s="5">
        <v>-2.339468712997e-19</v>
      </c>
      <c r="BA34" s="5">
        <v>-2.1772916858938e-19</v>
      </c>
      <c r="BB34" s="5">
        <v>-9.778607589616e-19</v>
      </c>
      <c r="BC34" s="3">
        <v>15803676.542651</v>
      </c>
      <c r="BD34" s="3">
        <v>3940311.2319979</v>
      </c>
      <c r="BE34" s="5">
        <v>-3.3362644414706e-5</v>
      </c>
      <c r="BF34" s="3">
        <v>0.00065374889531682</v>
      </c>
      <c r="BG34" s="3">
        <v>0.00030660254697091</v>
      </c>
      <c r="BH34" s="5">
        <v>-8.0033439576524e-5</v>
      </c>
      <c r="BI34" s="3">
        <v>60.045956895569</v>
      </c>
      <c r="BJ34" s="3">
        <v>30.023351990983</v>
      </c>
      <c r="BK34" s="3">
        <v>52.408243873262</v>
      </c>
      <c r="BL34" s="4"/>
      <c r="BM34" s="7"/>
    </row>
    <row r="35" spans="1:65">
      <c r="A35" s="3">
        <v>50000000</v>
      </c>
      <c r="B35" s="3">
        <v>0.00042726317651177</v>
      </c>
      <c r="C35" s="6">
        <f t="shared" si="0"/>
        <v>8.54558276188585e-12</v>
      </c>
      <c r="D35" s="5">
        <v>6.5439804831056e-13</v>
      </c>
      <c r="E35" s="5">
        <v>6.6918100283993e-13</v>
      </c>
      <c r="F35" s="5">
        <v>6.6918134841459e-13</v>
      </c>
      <c r="G35" s="5">
        <v>6.691814665545e-13</v>
      </c>
      <c r="H35" s="5">
        <v>6.5439811479178e-13</v>
      </c>
      <c r="I35" s="5">
        <v>6.5439811939292e-13</v>
      </c>
      <c r="J35" s="5">
        <v>6.543980593713e-13</v>
      </c>
      <c r="K35" s="5">
        <v>6.5578135337168e-13</v>
      </c>
      <c r="L35" s="5">
        <v>6.5578146508525e-13</v>
      </c>
      <c r="M35" s="5">
        <v>6.5578134590353e-13</v>
      </c>
      <c r="N35" s="5">
        <v>6.7214186488638e-13</v>
      </c>
      <c r="O35" s="5">
        <v>6.5439809242302e-13</v>
      </c>
      <c r="P35" s="5">
        <v>6.7214172448714e-13</v>
      </c>
      <c r="Q35" s="5">
        <v>6.7214174926397e-13</v>
      </c>
      <c r="R35" s="5">
        <v>6.6918122518824e-13</v>
      </c>
      <c r="S35" s="5">
        <v>6.691810143372e-13</v>
      </c>
      <c r="T35" s="5">
        <v>6.6918108734871e-13</v>
      </c>
      <c r="U35" s="5">
        <v>6.5439841358781e-13</v>
      </c>
      <c r="V35" s="5">
        <v>6.5578137913728e-13</v>
      </c>
      <c r="W35" s="5">
        <v>6.5578146930899e-13</v>
      </c>
      <c r="X35" s="5">
        <v>6.5578149930037e-13</v>
      </c>
      <c r="Y35" s="5">
        <v>6.7214173186313e-13</v>
      </c>
      <c r="Z35" s="5">
        <v>6.7214186062528e-13</v>
      </c>
      <c r="AA35" s="5">
        <v>6.7214194268122e-13</v>
      </c>
      <c r="AB35" s="3">
        <v>0.99999999996143</v>
      </c>
      <c r="AC35" s="3">
        <v>0.99999006538396</v>
      </c>
      <c r="AD35" s="3">
        <v>0.00063911515399272</v>
      </c>
      <c r="AE35" s="5">
        <v>-4.2011784285533e-20</v>
      </c>
      <c r="AF35" s="5">
        <v>-1.833270075098e-19</v>
      </c>
      <c r="AG35" s="5">
        <v>-8.1418949703173e-20</v>
      </c>
      <c r="AH35" s="5">
        <v>-1.1398921872105e-18</v>
      </c>
      <c r="AI35" s="5">
        <v>-5.2676644832003e-19</v>
      </c>
      <c r="AJ35" s="5">
        <v>-1.2512251288473e-18</v>
      </c>
      <c r="AK35" s="5">
        <v>7.5854585200557e-20</v>
      </c>
      <c r="AL35" s="5">
        <v>9.7663630531928e-21</v>
      </c>
      <c r="AM35" s="5">
        <v>1.7387330149152e-18</v>
      </c>
      <c r="AN35" s="5">
        <v>-4.7692697642636e-20</v>
      </c>
      <c r="AO35" s="5">
        <v>-5.0964200277144e-19</v>
      </c>
      <c r="AP35" s="5">
        <v>-5.7382714194428e-19</v>
      </c>
      <c r="AQ35" s="5">
        <v>-9.1394206457489e-20</v>
      </c>
      <c r="AR35" s="5">
        <v>-7.4239118579385e-19</v>
      </c>
      <c r="AS35" s="5">
        <v>6.7990731504184e-19</v>
      </c>
      <c r="AT35" s="5">
        <v>3.1000710787198e-19</v>
      </c>
      <c r="AU35" s="5">
        <v>-5.8830612105642e-20</v>
      </c>
      <c r="AV35" s="5">
        <v>-1.6498503050593e-18</v>
      </c>
      <c r="AW35" s="5">
        <v>6.9949160959143e-19</v>
      </c>
      <c r="AX35" s="5">
        <v>-5.9637611468326e-19</v>
      </c>
      <c r="AY35" s="5">
        <v>3.9827344349006e-19</v>
      </c>
      <c r="AZ35" s="5">
        <v>-2.7308445408454e-19</v>
      </c>
      <c r="BA35" s="5">
        <v>-4.1700544617687e-19</v>
      </c>
      <c r="BB35" s="5">
        <v>-9.5109395362075e-19</v>
      </c>
      <c r="BC35" s="3">
        <v>15780244.462145</v>
      </c>
      <c r="BD35" s="3">
        <v>3933245.3197275</v>
      </c>
      <c r="BE35" s="5">
        <v>-2.1801558288915e-5</v>
      </c>
      <c r="BF35" s="3">
        <v>0.00070021510073959</v>
      </c>
      <c r="BG35" s="3">
        <v>0.00033520149186677</v>
      </c>
      <c r="BH35" s="5">
        <v>-6.8268222994591e-5</v>
      </c>
      <c r="BI35" s="3">
        <v>60.04602246829</v>
      </c>
      <c r="BJ35" s="3">
        <v>30.023343709124</v>
      </c>
      <c r="BK35" s="3">
        <v>52.303846668051</v>
      </c>
      <c r="BL35" s="4"/>
      <c r="BM35" s="7"/>
    </row>
    <row r="36" spans="1:65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4"/>
      <c r="AD36" s="4"/>
      <c r="AE36" s="4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4"/>
      <c r="BE36" s="4"/>
      <c r="BF36" s="4"/>
      <c r="BG36" s="4"/>
      <c r="BH36" s="6"/>
      <c r="BI36" s="4"/>
      <c r="BJ36" s="4"/>
      <c r="BK36" s="4"/>
      <c r="BL36" s="4"/>
      <c r="BM36" s="7"/>
    </row>
    <row r="37" spans="1:65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4"/>
      <c r="AD37" s="4"/>
      <c r="AE37" s="4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4"/>
      <c r="BE37" s="4"/>
      <c r="BF37" s="4"/>
      <c r="BG37" s="4"/>
      <c r="BH37" s="6"/>
      <c r="BI37" s="4"/>
      <c r="BJ37" s="4"/>
      <c r="BK37" s="4"/>
      <c r="BL37" s="4"/>
      <c r="BM37" s="7"/>
    </row>
    <row r="38" spans="1:65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4"/>
      <c r="AD38" s="4"/>
      <c r="AE38" s="4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4"/>
      <c r="BE38" s="4"/>
      <c r="BF38" s="4"/>
      <c r="BG38" s="4"/>
      <c r="BH38" s="6"/>
      <c r="BI38" s="4"/>
      <c r="BJ38" s="4"/>
      <c r="BK38" s="4"/>
      <c r="BL38" s="4"/>
      <c r="BM38" s="7"/>
    </row>
    <row r="39" spans="1:65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4"/>
      <c r="AD39" s="4"/>
      <c r="AE39" s="4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4"/>
      <c r="BE39" s="4"/>
      <c r="BF39" s="4"/>
      <c r="BG39" s="4"/>
      <c r="BH39" s="6"/>
      <c r="BI39" s="4"/>
      <c r="BJ39" s="4"/>
      <c r="BK39" s="4"/>
      <c r="BL39" s="4"/>
      <c r="BM39" s="7"/>
    </row>
    <row r="40" spans="1:65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4"/>
      <c r="AD40" s="4"/>
      <c r="AE40" s="4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4"/>
      <c r="BE40" s="4"/>
      <c r="BF40" s="4"/>
      <c r="BG40" s="4"/>
      <c r="BH40" s="6"/>
      <c r="BI40" s="4"/>
      <c r="BJ40" s="4"/>
      <c r="BK40" s="4"/>
      <c r="BL40" s="4"/>
      <c r="BM40" s="7"/>
    </row>
    <row r="41" spans="1:64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4"/>
      <c r="AD41" s="4"/>
      <c r="AE41" s="4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4"/>
      <c r="BE41" s="4"/>
      <c r="BF41" s="4"/>
      <c r="BG41" s="4"/>
      <c r="BH41" s="6"/>
      <c r="BI41" s="4"/>
      <c r="BJ41" s="4"/>
      <c r="BK41" s="4"/>
      <c r="BL41" s="4"/>
    </row>
    <row r="42" spans="1:64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4"/>
      <c r="AD42" s="4"/>
      <c r="AE42" s="4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4"/>
      <c r="BE42" s="4"/>
      <c r="BF42" s="4"/>
      <c r="BG42" s="4"/>
      <c r="BH42" s="6"/>
      <c r="BI42" s="4"/>
      <c r="BJ42" s="4"/>
      <c r="BK42" s="4"/>
      <c r="BL42" s="4"/>
    </row>
    <row r="43" spans="1:64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4"/>
      <c r="AD43" s="4"/>
      <c r="AE43" s="4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4"/>
      <c r="BE43" s="4"/>
      <c r="BF43" s="4"/>
      <c r="BG43" s="4"/>
      <c r="BH43" s="6"/>
      <c r="BI43" s="4"/>
      <c r="BJ43" s="4"/>
      <c r="BK43" s="4"/>
      <c r="BL43" s="4"/>
    </row>
    <row r="44" spans="1:64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4"/>
      <c r="AD44" s="4"/>
      <c r="AE44" s="4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4"/>
      <c r="BE44" s="4"/>
      <c r="BF44" s="4"/>
      <c r="BG44" s="4"/>
      <c r="BH44" s="6"/>
      <c r="BI44" s="4"/>
      <c r="BJ44" s="4"/>
      <c r="BK44" s="4"/>
      <c r="BL44" s="4"/>
    </row>
    <row r="45" spans="1:64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4"/>
      <c r="AD45" s="4"/>
      <c r="AE45" s="4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4"/>
      <c r="BE45" s="4"/>
      <c r="BF45" s="4"/>
      <c r="BG45" s="4"/>
      <c r="BH45" s="6"/>
      <c r="BI45" s="4"/>
      <c r="BJ45" s="4"/>
      <c r="BK45" s="4"/>
      <c r="BL45" s="4"/>
    </row>
    <row r="46" spans="1:64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4"/>
      <c r="AD46" s="4"/>
      <c r="AE46" s="4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4"/>
      <c r="BE46" s="4"/>
      <c r="BF46" s="4"/>
      <c r="BG46" s="4"/>
      <c r="BH46" s="6"/>
      <c r="BI46" s="4"/>
      <c r="BJ46" s="4"/>
      <c r="BK46" s="4"/>
      <c r="BL46" s="4"/>
    </row>
    <row r="47" spans="1:64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4"/>
      <c r="AD47" s="4"/>
      <c r="AE47" s="4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4"/>
      <c r="BE47" s="4"/>
      <c r="BF47" s="4"/>
      <c r="BG47" s="4"/>
      <c r="BH47" s="6"/>
      <c r="BI47" s="4"/>
      <c r="BJ47" s="4"/>
      <c r="BK47" s="4"/>
      <c r="BL47" s="4"/>
    </row>
    <row r="48" spans="1:64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4"/>
      <c r="AD48" s="4"/>
      <c r="AE48" s="4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4"/>
      <c r="BE48" s="4"/>
      <c r="BF48" s="4"/>
      <c r="BG48" s="4"/>
      <c r="BH48" s="6"/>
      <c r="BI48" s="4"/>
      <c r="BJ48" s="4"/>
      <c r="BK48" s="4"/>
      <c r="BL48" s="4"/>
    </row>
    <row r="49" spans="1:64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4"/>
      <c r="AD49" s="4"/>
      <c r="AE49" s="4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4"/>
      <c r="BE49" s="4"/>
      <c r="BF49" s="4"/>
      <c r="BG49" s="4"/>
      <c r="BH49" s="6"/>
      <c r="BI49" s="4"/>
      <c r="BJ49" s="4"/>
      <c r="BK49" s="4"/>
      <c r="BL49" s="4"/>
    </row>
    <row r="50" spans="1:64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4"/>
      <c r="AD50" s="4"/>
      <c r="AE50" s="4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4"/>
      <c r="BE50" s="4"/>
      <c r="BF50" s="4"/>
      <c r="BG50" s="4"/>
      <c r="BH50" s="6"/>
      <c r="BI50" s="4"/>
      <c r="BJ50" s="4"/>
      <c r="BK50" s="4"/>
      <c r="BL50" s="4"/>
    </row>
    <row r="51" spans="1:64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4"/>
      <c r="AD51" s="4"/>
      <c r="AE51" s="4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4"/>
      <c r="BE51" s="4"/>
      <c r="BF51" s="4"/>
      <c r="BG51" s="4"/>
      <c r="BH51" s="6"/>
      <c r="BI51" s="4"/>
      <c r="BJ51" s="4"/>
      <c r="BK51" s="4"/>
      <c r="BL51" s="4"/>
    </row>
    <row r="52" spans="1:64">
      <c r="A52" s="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4"/>
      <c r="AD52" s="4"/>
      <c r="AE52" s="4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4"/>
      <c r="BE52" s="4"/>
      <c r="BF52" s="4"/>
      <c r="BG52" s="4"/>
      <c r="BH52" s="4"/>
      <c r="BI52" s="4"/>
      <c r="BJ52" s="4"/>
      <c r="BK52" s="4"/>
      <c r="BL52" s="4"/>
    </row>
    <row r="53" spans="1:64">
      <c r="A53" s="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4"/>
      <c r="AD53" s="4"/>
      <c r="AE53" s="4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4"/>
      <c r="BE53" s="4"/>
      <c r="BF53" s="4"/>
      <c r="BG53" s="4"/>
      <c r="BH53" s="4"/>
      <c r="BI53" s="4"/>
      <c r="BJ53" s="4"/>
      <c r="BK53" s="4"/>
      <c r="BL53" s="4"/>
    </row>
    <row r="54" spans="1:64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4"/>
      <c r="AD54" s="4"/>
      <c r="AE54" s="4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4"/>
      <c r="BE54" s="4"/>
      <c r="BF54" s="4"/>
      <c r="BG54" s="4"/>
      <c r="BH54" s="4"/>
      <c r="BI54" s="4"/>
      <c r="BJ54" s="4"/>
      <c r="BK54" s="4"/>
      <c r="BL54" s="4"/>
    </row>
    <row r="55" spans="1:64">
      <c r="A55" s="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4"/>
      <c r="AD55" s="4"/>
      <c r="AE55" s="4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4"/>
      <c r="BE55" s="4"/>
      <c r="BF55" s="4"/>
      <c r="BG55" s="4"/>
      <c r="BH55" s="4"/>
      <c r="BI55" s="4"/>
      <c r="BJ55" s="4"/>
      <c r="BK55" s="4"/>
      <c r="BL55" s="4"/>
    </row>
    <row r="56" spans="1:64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4"/>
      <c r="AD56" s="4"/>
      <c r="AE56" s="4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4"/>
      <c r="BE56" s="4"/>
      <c r="BF56" s="4"/>
      <c r="BG56" s="4"/>
      <c r="BH56" s="4"/>
      <c r="BI56" s="4"/>
      <c r="BJ56" s="4"/>
      <c r="BK56" s="4"/>
      <c r="BL56" s="4"/>
    </row>
    <row r="57" spans="1:64">
      <c r="A57" s="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4"/>
      <c r="AD57" s="4"/>
      <c r="AE57" s="4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4"/>
      <c r="BE57" s="4"/>
      <c r="BF57" s="4"/>
      <c r="BG57" s="4"/>
      <c r="BH57" s="4"/>
      <c r="BI57" s="4"/>
      <c r="BJ57" s="4"/>
      <c r="BK57" s="4"/>
      <c r="BL57" s="4"/>
    </row>
    <row r="58" spans="1:64">
      <c r="A58" s="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4"/>
      <c r="AD58" s="4"/>
      <c r="AE58" s="4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4"/>
      <c r="BE58" s="4"/>
      <c r="BF58" s="4"/>
      <c r="BG58" s="4"/>
      <c r="BH58" s="4"/>
      <c r="BI58" s="4"/>
      <c r="BJ58" s="4"/>
      <c r="BK58" s="4"/>
      <c r="BL58" s="4"/>
    </row>
    <row r="59" spans="1:64">
      <c r="A59" s="4"/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4"/>
      <c r="AD59" s="4"/>
      <c r="AE59" s="4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4"/>
      <c r="BE59" s="4"/>
      <c r="BF59" s="6"/>
      <c r="BG59" s="4"/>
      <c r="BH59" s="4"/>
      <c r="BI59" s="4"/>
      <c r="BJ59" s="4"/>
      <c r="BK59" s="4"/>
      <c r="BL59" s="4"/>
    </row>
    <row r="60" spans="1:64">
      <c r="A60" s="4"/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4"/>
      <c r="AD60" s="4"/>
      <c r="AE60" s="4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4"/>
      <c r="BE60" s="4"/>
      <c r="BF60" s="6"/>
      <c r="BG60" s="4"/>
      <c r="BH60" s="4"/>
      <c r="BI60" s="4"/>
      <c r="BJ60" s="4"/>
      <c r="BK60" s="4"/>
      <c r="BL60" s="4"/>
    </row>
    <row r="61" spans="1:64">
      <c r="A61" s="4"/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4"/>
      <c r="AD61" s="4"/>
      <c r="AE61" s="4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4"/>
      <c r="BE61" s="4"/>
      <c r="BF61" s="6"/>
      <c r="BG61" s="4"/>
      <c r="BH61" s="4"/>
      <c r="BI61" s="4"/>
      <c r="BJ61" s="4"/>
      <c r="BK61" s="4"/>
      <c r="BL61" s="4"/>
    </row>
    <row r="62" spans="1:64">
      <c r="A62" s="4"/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4"/>
      <c r="AD62" s="4"/>
      <c r="AE62" s="4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4"/>
      <c r="BE62" s="4"/>
      <c r="BF62" s="6"/>
      <c r="BG62" s="4"/>
      <c r="BH62" s="4"/>
      <c r="BI62" s="4"/>
      <c r="BJ62" s="4"/>
      <c r="BK62" s="4"/>
      <c r="BL62" s="4"/>
    </row>
    <row r="63" spans="1:64">
      <c r="A63" s="4"/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4"/>
      <c r="AD63" s="4"/>
      <c r="AE63" s="4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4"/>
      <c r="BE63" s="4"/>
      <c r="BF63" s="6"/>
      <c r="BG63" s="4"/>
      <c r="BH63" s="4"/>
      <c r="BI63" s="4"/>
      <c r="BJ63" s="4"/>
      <c r="BK63" s="4"/>
      <c r="BL63" s="4"/>
    </row>
    <row r="64" spans="1:64">
      <c r="A64" s="4"/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4"/>
      <c r="AD64" s="4"/>
      <c r="AE64" s="4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4"/>
      <c r="BE64" s="4"/>
      <c r="BF64" s="6"/>
      <c r="BG64" s="4"/>
      <c r="BH64" s="4"/>
      <c r="BI64" s="4"/>
      <c r="BJ64" s="4"/>
      <c r="BK64" s="4"/>
      <c r="BL64" s="4"/>
    </row>
    <row r="65" spans="1:64">
      <c r="A65" s="4"/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4"/>
      <c r="AD65" s="4"/>
      <c r="AE65" s="4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4"/>
      <c r="BE65" s="4"/>
      <c r="BF65" s="6"/>
      <c r="BG65" s="4"/>
      <c r="BH65" s="4"/>
      <c r="BI65" s="4"/>
      <c r="BJ65" s="4"/>
      <c r="BK65" s="4"/>
      <c r="BL65" s="4"/>
    </row>
    <row r="66" spans="1:64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4"/>
      <c r="AD66" s="4"/>
      <c r="AE66" s="4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4"/>
      <c r="BE66" s="4"/>
      <c r="BF66" s="6"/>
      <c r="BG66" s="4"/>
      <c r="BH66" s="4"/>
      <c r="BI66" s="6"/>
      <c r="BJ66" s="4"/>
      <c r="BK66" s="4"/>
      <c r="BL66" s="4"/>
    </row>
    <row r="67" spans="1:64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4"/>
      <c r="AD67" s="4"/>
      <c r="AE67" s="4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4"/>
      <c r="BE67" s="4"/>
      <c r="BF67" s="6"/>
      <c r="BG67" s="4"/>
      <c r="BH67" s="4"/>
      <c r="BI67" s="6"/>
      <c r="BJ67" s="4"/>
      <c r="BK67" s="4"/>
      <c r="BL67" s="4"/>
    </row>
    <row r="68" spans="1:64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4"/>
      <c r="AD68" s="4"/>
      <c r="AE68" s="4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4"/>
      <c r="BE68" s="4"/>
      <c r="BF68" s="6"/>
      <c r="BG68" s="4"/>
      <c r="BH68" s="4"/>
      <c r="BI68" s="6"/>
      <c r="BJ68" s="4"/>
      <c r="BK68" s="4"/>
      <c r="BL68" s="4"/>
    </row>
    <row r="69" spans="1:64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4"/>
      <c r="AD69" s="4"/>
      <c r="AE69" s="4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4"/>
      <c r="BE69" s="4"/>
      <c r="BF69" s="6"/>
      <c r="BG69" s="4"/>
      <c r="BH69" s="4"/>
      <c r="BI69" s="6"/>
      <c r="BJ69" s="4"/>
      <c r="BK69" s="4"/>
      <c r="BL69" s="4"/>
    </row>
    <row r="70" spans="1:64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4"/>
      <c r="AD70" s="4"/>
      <c r="AE70" s="4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4"/>
      <c r="BE70" s="4"/>
      <c r="BF70" s="6"/>
      <c r="BG70" s="4"/>
      <c r="BH70" s="4"/>
      <c r="BI70" s="6"/>
      <c r="BJ70" s="4"/>
      <c r="BK70" s="4"/>
      <c r="BL70" s="4"/>
    </row>
    <row r="71" spans="1:64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4"/>
      <c r="AD71" s="4"/>
      <c r="AE71" s="4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4"/>
      <c r="BE71" s="4"/>
      <c r="BF71" s="6"/>
      <c r="BG71" s="4"/>
      <c r="BH71" s="4"/>
      <c r="BI71" s="6"/>
      <c r="BJ71" s="4"/>
      <c r="BK71" s="4"/>
      <c r="BL71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1"/>
  <sheetViews>
    <sheetView workbookViewId="0">
      <selection activeCell="C3" sqref="C3:C35"/>
    </sheetView>
  </sheetViews>
  <sheetFormatPr defaultColWidth="8.81333333333333" defaultRowHeight="15"/>
  <cols>
    <col min="1" max="1" width="11.36"/>
    <col min="2" max="4" width="12.4533333333333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6.4343437737937e-15</v>
      </c>
      <c r="C3" s="6">
        <f>(BF3-BF2)/(A3-A2)</f>
        <v>2.81534594663155e-6</v>
      </c>
      <c r="D3" s="5">
        <v>2.3264980745118e-15</v>
      </c>
      <c r="E3" s="5">
        <v>2.364255050319e-15</v>
      </c>
      <c r="F3" s="5">
        <v>2.364255050319e-15</v>
      </c>
      <c r="G3" s="5">
        <v>2.364255050319e-15</v>
      </c>
      <c r="H3" s="5">
        <v>2.3264980745118e-15</v>
      </c>
      <c r="I3" s="5">
        <v>2.3264980745118e-15</v>
      </c>
      <c r="J3" s="5">
        <v>2.3264980745118e-15</v>
      </c>
      <c r="K3" s="5">
        <v>2.3334222711309e-15</v>
      </c>
      <c r="L3" s="5">
        <v>2.3334222711309e-15</v>
      </c>
      <c r="M3" s="5">
        <v>2.3334222711309e-15</v>
      </c>
      <c r="N3" s="5">
        <v>2.3819545346142e-15</v>
      </c>
      <c r="O3" s="5">
        <v>2.3264980745118e-15</v>
      </c>
      <c r="P3" s="5">
        <v>2.3819545346142e-15</v>
      </c>
      <c r="Q3" s="5">
        <v>2.3819545346142e-15</v>
      </c>
      <c r="R3" s="5">
        <v>2.364255050319e-15</v>
      </c>
      <c r="S3" s="5">
        <v>2.364255050319e-15</v>
      </c>
      <c r="T3" s="5">
        <v>2.364255050319e-15</v>
      </c>
      <c r="U3" s="5">
        <v>2.3264980745118e-15</v>
      </c>
      <c r="V3" s="5">
        <v>2.3334222711309e-15</v>
      </c>
      <c r="W3" s="5">
        <v>2.3334222711309e-15</v>
      </c>
      <c r="X3" s="5">
        <v>2.3334222711309e-15</v>
      </c>
      <c r="Y3" s="5">
        <v>2.3819545346142e-15</v>
      </c>
      <c r="Z3" s="5">
        <v>2.3819545346142e-15</v>
      </c>
      <c r="AA3" s="5">
        <v>2.3819545346142e-15</v>
      </c>
      <c r="AB3" s="3">
        <v>1</v>
      </c>
      <c r="AC3" s="3">
        <v>0.99999999999958</v>
      </c>
      <c r="AD3" s="5">
        <v>1.0935803565879e-6</v>
      </c>
      <c r="AE3" s="5">
        <v>1.8087345464647e-29</v>
      </c>
      <c r="AF3" s="5">
        <v>-4.3119017801304e-29</v>
      </c>
      <c r="AG3" s="5">
        <v>5.1687619297032e-29</v>
      </c>
      <c r="AH3" s="5">
        <v>-8.4196057277164e-29</v>
      </c>
      <c r="AI3" s="5">
        <v>-6.3756164242169e-30</v>
      </c>
      <c r="AJ3" s="5">
        <v>-3.9420568430179e-30</v>
      </c>
      <c r="AK3" s="5">
        <v>8.0674508804012e-30</v>
      </c>
      <c r="AL3" s="5">
        <v>2.9387418066835e-29</v>
      </c>
      <c r="AM3" s="5">
        <v>-2.826641030621e-29</v>
      </c>
      <c r="AN3" s="5">
        <v>-3.8191552019677e-29</v>
      </c>
      <c r="AO3" s="5">
        <v>1.5765954802366e-29</v>
      </c>
      <c r="AP3" s="5">
        <v>-6.4671129568485e-30</v>
      </c>
      <c r="AQ3" s="5">
        <v>6.1473540345328e-29</v>
      </c>
      <c r="AR3" s="5">
        <v>-9.9059232386408e-29</v>
      </c>
      <c r="AS3" s="5">
        <v>3.5243880453154e-29</v>
      </c>
      <c r="AT3" s="5">
        <v>7.4471420503379e-30</v>
      </c>
      <c r="AU3" s="5">
        <v>-7.1925533217141e-29</v>
      </c>
      <c r="AV3" s="5">
        <v>7.4531522512622e-30</v>
      </c>
      <c r="AW3" s="5">
        <v>-2.4921746133742e-29</v>
      </c>
      <c r="AX3" s="5">
        <v>2.9147411397421e-29</v>
      </c>
      <c r="AY3" s="5">
        <v>-3.061274200747e-29</v>
      </c>
      <c r="AZ3" s="5">
        <v>2.8072774293271e-29</v>
      </c>
      <c r="BA3" s="5">
        <v>7.689108668759e-29</v>
      </c>
      <c r="BB3" s="5">
        <v>-6.1167500051647e-29</v>
      </c>
      <c r="BC3" s="3">
        <v>15999999.999989</v>
      </c>
      <c r="BD3" s="3">
        <v>3999999.999999</v>
      </c>
      <c r="BE3" s="5">
        <v>-5.2444407009856e-7</v>
      </c>
      <c r="BF3" s="5">
        <v>1.118154387963e-6</v>
      </c>
      <c r="BG3" s="5">
        <v>3.0913731332213e-7</v>
      </c>
      <c r="BH3" s="5">
        <v>-4.5337687126603e-9</v>
      </c>
      <c r="BI3" s="3">
        <v>0.26599904450695</v>
      </c>
      <c r="BJ3" s="3">
        <v>0.13299953454633</v>
      </c>
      <c r="BK3" s="3">
        <v>0.24282098145987</v>
      </c>
      <c r="BL3" s="4"/>
      <c r="BM3" s="7"/>
    </row>
    <row r="4" spans="1:65">
      <c r="A4" s="3">
        <v>3.9716411736214</v>
      </c>
      <c r="B4" s="5">
        <v>6.6475686402237e-13</v>
      </c>
      <c r="C4" s="6">
        <f>(BF4-BF3)/(A4-A3)</f>
        <v>2.81514858263959e-6</v>
      </c>
      <c r="D4" s="5">
        <v>2.3288148867437e-14</v>
      </c>
      <c r="E4" s="5">
        <v>2.3665894310367e-14</v>
      </c>
      <c r="F4" s="5">
        <v>2.3665894310367e-14</v>
      </c>
      <c r="G4" s="5">
        <v>2.3665894310367e-14</v>
      </c>
      <c r="H4" s="5">
        <v>2.3288148867437e-14</v>
      </c>
      <c r="I4" s="5">
        <v>2.3288148867437e-14</v>
      </c>
      <c r="J4" s="5">
        <v>2.3288148867437e-14</v>
      </c>
      <c r="K4" s="5">
        <v>2.3357234441268e-14</v>
      </c>
      <c r="L4" s="5">
        <v>2.3357234441268e-14</v>
      </c>
      <c r="M4" s="5">
        <v>2.3357234441268e-14</v>
      </c>
      <c r="N4" s="5">
        <v>2.3843935636234e-14</v>
      </c>
      <c r="O4" s="5">
        <v>2.3288148867437e-14</v>
      </c>
      <c r="P4" s="5">
        <v>2.3843935636234e-14</v>
      </c>
      <c r="Q4" s="5">
        <v>2.3843935636234e-14</v>
      </c>
      <c r="R4" s="5">
        <v>2.3665894310367e-14</v>
      </c>
      <c r="S4" s="5">
        <v>2.3665894310367e-14</v>
      </c>
      <c r="T4" s="5">
        <v>2.3665894310367e-14</v>
      </c>
      <c r="U4" s="5">
        <v>2.3288148867437e-14</v>
      </c>
      <c r="V4" s="5">
        <v>2.3357234441268e-14</v>
      </c>
      <c r="W4" s="5">
        <v>2.3357234441268e-14</v>
      </c>
      <c r="X4" s="5">
        <v>2.3357234441268e-14</v>
      </c>
      <c r="Y4" s="5">
        <v>2.3843935636234e-14</v>
      </c>
      <c r="Z4" s="5">
        <v>2.3843935636234e-14</v>
      </c>
      <c r="AA4" s="5">
        <v>2.3843935636234e-14</v>
      </c>
      <c r="AB4" s="3">
        <v>1</v>
      </c>
      <c r="AC4" s="3">
        <v>0.99999999999933</v>
      </c>
      <c r="AD4" s="5">
        <v>1.093530948839e-5</v>
      </c>
      <c r="AE4" s="5">
        <v>5.0927344849028e-30</v>
      </c>
      <c r="AF4" s="5">
        <v>6.5339082872305e-28</v>
      </c>
      <c r="AG4" s="5">
        <v>1.2528391416707e-27</v>
      </c>
      <c r="AH4" s="5">
        <v>-7.7482272170235e-28</v>
      </c>
      <c r="AI4" s="5">
        <v>2.0675340429145e-28</v>
      </c>
      <c r="AJ4" s="5">
        <v>-1.9054784402184e-28</v>
      </c>
      <c r="AK4" s="5">
        <v>-1.6518134729182e-28</v>
      </c>
      <c r="AL4" s="5">
        <v>4.8536936514535e-28</v>
      </c>
      <c r="AM4" s="5">
        <v>-2.5037869936431e-28</v>
      </c>
      <c r="AN4" s="5">
        <v>1.0601772408446e-28</v>
      </c>
      <c r="AO4" s="5">
        <v>3.5531831341018e-28</v>
      </c>
      <c r="AP4" s="5">
        <v>-2.3440932175785e-28</v>
      </c>
      <c r="AQ4" s="5">
        <v>6.2906889076137e-28</v>
      </c>
      <c r="AR4" s="5">
        <v>-1.1719034681343e-27</v>
      </c>
      <c r="AS4" s="5">
        <v>5.025825280164e-28</v>
      </c>
      <c r="AT4" s="5">
        <v>9.7736275123675e-28</v>
      </c>
      <c r="AU4" s="5">
        <v>-1.0055892547311e-27</v>
      </c>
      <c r="AV4" s="5">
        <v>2.0685711495825e-28</v>
      </c>
      <c r="AW4" s="5">
        <v>3.5365454717993e-28</v>
      </c>
      <c r="AX4" s="5">
        <v>9.9073303628945e-28</v>
      </c>
      <c r="AY4" s="5">
        <v>3.4386536265158e-28</v>
      </c>
      <c r="AZ4" s="5">
        <v>-1.3510453372768e-28</v>
      </c>
      <c r="BA4" s="5">
        <v>5.956012955755e-28</v>
      </c>
      <c r="BB4" s="5">
        <v>-1.3331782891845e-27</v>
      </c>
      <c r="BC4" s="3">
        <v>15999999.999274</v>
      </c>
      <c r="BD4" s="3">
        <v>3999999.9998958</v>
      </c>
      <c r="BE4" s="5">
        <v>-5.2443846108458e-6</v>
      </c>
      <c r="BF4" s="5">
        <v>1.1180838406569e-5</v>
      </c>
      <c r="BG4" s="5">
        <v>3.0914199264342e-6</v>
      </c>
      <c r="BH4" s="5">
        <v>-4.5339143641197e-7</v>
      </c>
      <c r="BI4" s="3">
        <v>2.6599888310389</v>
      </c>
      <c r="BJ4" s="3">
        <v>1.329995644756</v>
      </c>
      <c r="BK4" s="3">
        <v>2.4281994103669</v>
      </c>
      <c r="BL4" s="4"/>
      <c r="BM4" s="7"/>
    </row>
    <row r="5" spans="1:65">
      <c r="A5" s="3">
        <v>39.716411736214</v>
      </c>
      <c r="B5" s="5">
        <v>6.7056362524455e-11</v>
      </c>
      <c r="C5" s="6">
        <f>(BF5-BF4)/(A5-A4)</f>
        <v>2.81319659238869e-6</v>
      </c>
      <c r="D5" s="5">
        <v>2.3530634789261e-13</v>
      </c>
      <c r="E5" s="5">
        <v>2.3908975876978e-13</v>
      </c>
      <c r="F5" s="5">
        <v>2.3908975876978e-13</v>
      </c>
      <c r="G5" s="5">
        <v>2.3908975876978e-13</v>
      </c>
      <c r="H5" s="5">
        <v>2.3530634789261e-13</v>
      </c>
      <c r="I5" s="5">
        <v>2.3530634789261e-13</v>
      </c>
      <c r="J5" s="5">
        <v>2.3530634789261e-13</v>
      </c>
      <c r="K5" s="5">
        <v>2.3598302847375e-13</v>
      </c>
      <c r="L5" s="5">
        <v>2.3598302847375e-13</v>
      </c>
      <c r="M5" s="5">
        <v>2.3598302847375e-13</v>
      </c>
      <c r="N5" s="5">
        <v>2.4099243324927e-13</v>
      </c>
      <c r="O5" s="5">
        <v>2.3530634789261e-13</v>
      </c>
      <c r="P5" s="5">
        <v>2.4099243324927e-13</v>
      </c>
      <c r="Q5" s="5">
        <v>2.4099243324927e-13</v>
      </c>
      <c r="R5" s="5">
        <v>2.3908975876978e-13</v>
      </c>
      <c r="S5" s="5">
        <v>2.3908975876978e-13</v>
      </c>
      <c r="T5" s="5">
        <v>2.3908975876978e-13</v>
      </c>
      <c r="U5" s="5">
        <v>2.3530634789261e-13</v>
      </c>
      <c r="V5" s="5">
        <v>2.3598302847375e-13</v>
      </c>
      <c r="W5" s="5">
        <v>2.3598302847375e-13</v>
      </c>
      <c r="X5" s="5">
        <v>2.3598302847375e-13</v>
      </c>
      <c r="Y5" s="5">
        <v>2.4099243324927e-13</v>
      </c>
      <c r="Z5" s="5">
        <v>2.4099243324927e-13</v>
      </c>
      <c r="AA5" s="5">
        <v>2.4099243324927e-13</v>
      </c>
      <c r="AB5" s="3">
        <v>1</v>
      </c>
      <c r="AC5" s="3">
        <v>0.99999999896277</v>
      </c>
      <c r="AD5" s="3">
        <v>0.00010930373326678</v>
      </c>
      <c r="AE5" s="5">
        <v>3.2881503026378e-24</v>
      </c>
      <c r="AF5" s="5">
        <v>-1.3580546945077e-24</v>
      </c>
      <c r="AG5" s="5">
        <v>6.293591961377e-23</v>
      </c>
      <c r="AH5" s="5">
        <v>-1.8350006846699e-23</v>
      </c>
      <c r="AI5" s="5">
        <v>-8.4948802851357e-25</v>
      </c>
      <c r="AJ5" s="5">
        <v>-1.7626821615696e-24</v>
      </c>
      <c r="AK5" s="5">
        <v>-8.376378142865e-25</v>
      </c>
      <c r="AL5" s="5">
        <v>2.2639304045065e-23</v>
      </c>
      <c r="AM5" s="5">
        <v>-5.3073059930152e-24</v>
      </c>
      <c r="AN5" s="5">
        <v>2.4196114701988e-24</v>
      </c>
      <c r="AO5" s="5">
        <v>-4.0990589890294e-24</v>
      </c>
      <c r="AP5" s="5">
        <v>-6.9266748076542e-24</v>
      </c>
      <c r="AQ5" s="5">
        <v>5.3922807631166e-24</v>
      </c>
      <c r="AR5" s="5">
        <v>-3.0057645688752e-23</v>
      </c>
      <c r="AS5" s="5">
        <v>2.7743076074981e-23</v>
      </c>
      <c r="AT5" s="5">
        <v>1.3484203639591e-23</v>
      </c>
      <c r="AU5" s="5">
        <v>-1.7045647012462e-23</v>
      </c>
      <c r="AV5" s="5">
        <v>1.161886587142e-23</v>
      </c>
      <c r="AW5" s="5">
        <v>2.2305236131546e-23</v>
      </c>
      <c r="AX5" s="5">
        <v>5.1837708719778e-23</v>
      </c>
      <c r="AY5" s="5">
        <v>1.0709987749622e-23</v>
      </c>
      <c r="AZ5" s="5">
        <v>1.8094103528728e-25</v>
      </c>
      <c r="BA5" s="5">
        <v>5.1502821657112e-24</v>
      </c>
      <c r="BB5" s="5">
        <v>-3.4948294040613e-23</v>
      </c>
      <c r="BC5" s="3">
        <v>15999999.953941</v>
      </c>
      <c r="BD5" s="3">
        <v>3999999.9895025</v>
      </c>
      <c r="BE5" s="5">
        <v>-5.2438241837051e-5</v>
      </c>
      <c r="BF5" s="3">
        <v>0.00011173790514897</v>
      </c>
      <c r="BG5" s="5">
        <v>3.0918867383436e-5</v>
      </c>
      <c r="BH5" s="5">
        <v>-4.5346863705548e-5</v>
      </c>
      <c r="BI5" s="3">
        <v>26.5997265542</v>
      </c>
      <c r="BJ5" s="3">
        <v>13.29998616448</v>
      </c>
      <c r="BK5" s="3">
        <v>24.280954481205</v>
      </c>
      <c r="BL5" s="4"/>
      <c r="BM5" s="7"/>
    </row>
    <row r="6" spans="1:65">
      <c r="A6" s="3">
        <v>397.16411736214</v>
      </c>
      <c r="B6" s="5">
        <v>4.7202764136284e-9</v>
      </c>
      <c r="C6" s="6">
        <f t="shared" ref="C6:C35" si="0">(BF6-BF5)/(A6-A5)</f>
        <v>8.65283779422549e-7</v>
      </c>
      <c r="D6" s="5">
        <v>1.1684662202582e-12</v>
      </c>
      <c r="E6" s="5">
        <v>1.1865238834574e-12</v>
      </c>
      <c r="F6" s="5">
        <v>1.1865238902365e-12</v>
      </c>
      <c r="G6" s="5">
        <v>1.1865238857766e-12</v>
      </c>
      <c r="H6" s="5">
        <v>1.1684662202048e-12</v>
      </c>
      <c r="I6" s="5">
        <v>1.1684662200417e-12</v>
      </c>
      <c r="J6" s="5">
        <v>1.1684662201295e-12</v>
      </c>
      <c r="K6" s="5">
        <v>1.1713698182271e-12</v>
      </c>
      <c r="L6" s="5">
        <v>1.1713698183323e-12</v>
      </c>
      <c r="M6" s="5">
        <v>1.1713698184077e-12</v>
      </c>
      <c r="N6" s="5">
        <v>1.1981892136321e-12</v>
      </c>
      <c r="O6" s="5">
        <v>1.1684662201657e-12</v>
      </c>
      <c r="P6" s="5">
        <v>1.1981892135688e-12</v>
      </c>
      <c r="Q6" s="5">
        <v>1.1981892135248e-12</v>
      </c>
      <c r="R6" s="5">
        <v>1.1865238852624e-12</v>
      </c>
      <c r="S6" s="5">
        <v>1.1865238832439e-12</v>
      </c>
      <c r="T6" s="5">
        <v>1.1865238836583e-12</v>
      </c>
      <c r="U6" s="5">
        <v>1.1684662214061e-12</v>
      </c>
      <c r="V6" s="5">
        <v>1.1713698188829e-12</v>
      </c>
      <c r="W6" s="5">
        <v>1.1713698186329e-12</v>
      </c>
      <c r="X6" s="5">
        <v>1.1713698187818e-12</v>
      </c>
      <c r="Y6" s="5">
        <v>1.1981892142549e-12</v>
      </c>
      <c r="Z6" s="5">
        <v>1.1981892139797e-12</v>
      </c>
      <c r="AA6" s="5">
        <v>1.1981892140001e-12</v>
      </c>
      <c r="AB6" s="3">
        <v>0.99998907301117</v>
      </c>
      <c r="AC6" s="3">
        <v>0.99723220232995</v>
      </c>
      <c r="AD6" s="3">
        <v>0.00041211327216537</v>
      </c>
      <c r="AE6" s="5">
        <v>1.4136182804695e-16</v>
      </c>
      <c r="AF6" s="5">
        <v>-7.2806054744256e-16</v>
      </c>
      <c r="AG6" s="5">
        <v>1.2487570447397e-14</v>
      </c>
      <c r="AH6" s="5">
        <v>1.9342297569144e-15</v>
      </c>
      <c r="AI6" s="5">
        <v>-4.7864449420998e-17</v>
      </c>
      <c r="AJ6" s="5">
        <v>3.549976977516e-18</v>
      </c>
      <c r="AK6" s="5">
        <v>-5.1564889592057e-17</v>
      </c>
      <c r="AL6" s="5">
        <v>3.4132736664331e-16</v>
      </c>
      <c r="AM6" s="5">
        <v>-1.7772992664873e-16</v>
      </c>
      <c r="AN6" s="5">
        <v>1.4933750787646e-16</v>
      </c>
      <c r="AO6" s="5">
        <v>-1.6739290078602e-16</v>
      </c>
      <c r="AP6" s="5">
        <v>-8.9904232318794e-17</v>
      </c>
      <c r="AQ6" s="5">
        <v>-3.0315119709662e-16</v>
      </c>
      <c r="AR6" s="5">
        <v>-4.7427141337073e-16</v>
      </c>
      <c r="AS6" s="5">
        <v>3.7478083371459e-15</v>
      </c>
      <c r="AT6" s="5">
        <v>-4.1570118592875e-16</v>
      </c>
      <c r="AU6" s="5">
        <v>-7.184755675479e-16</v>
      </c>
      <c r="AV6" s="5">
        <v>3.1431667122452e-16</v>
      </c>
      <c r="AW6" s="5">
        <v>6.008141874336e-16</v>
      </c>
      <c r="AX6" s="5">
        <v>1.0617134454685e-15</v>
      </c>
      <c r="AY6" s="5">
        <v>-9.4295302984274e-17</v>
      </c>
      <c r="AZ6" s="5">
        <v>-9.1982213606558e-17</v>
      </c>
      <c r="BA6" s="5">
        <v>5.2943913498488e-16</v>
      </c>
      <c r="BB6" s="5">
        <v>-5.3648235265687e-16</v>
      </c>
      <c r="BC6" s="3">
        <v>15999997.781281</v>
      </c>
      <c r="BD6" s="3">
        <v>3999999.2703444</v>
      </c>
      <c r="BE6" s="3">
        <v>-0.00019796960816883</v>
      </c>
      <c r="BF6" s="3">
        <v>0.00042103160681889</v>
      </c>
      <c r="BG6" s="3">
        <v>0.00011682961990365</v>
      </c>
      <c r="BH6" s="3">
        <v>-0.00064158599058147</v>
      </c>
      <c r="BI6" s="3">
        <v>100.45935476621</v>
      </c>
      <c r="BJ6" s="3">
        <v>50.231411890767</v>
      </c>
      <c r="BK6" s="3">
        <v>91.689975154501</v>
      </c>
      <c r="BL6" s="4"/>
      <c r="BM6" s="7"/>
    </row>
    <row r="7" spans="1:65">
      <c r="A7" s="3">
        <v>3971.6411736214</v>
      </c>
      <c r="B7" s="5">
        <v>5.8956479039966e-8</v>
      </c>
      <c r="C7" s="6">
        <f t="shared" si="0"/>
        <v>1.65004943413294e-11</v>
      </c>
      <c r="D7" s="5">
        <v>1.1684606849786e-12</v>
      </c>
      <c r="E7" s="5">
        <v>1.1865191425012e-12</v>
      </c>
      <c r="F7" s="5">
        <v>1.1865192705307e-12</v>
      </c>
      <c r="G7" s="5">
        <v>1.1865191862484e-12</v>
      </c>
      <c r="H7" s="5">
        <v>1.1684606839789e-12</v>
      </c>
      <c r="I7" s="5">
        <v>1.1684606809225e-12</v>
      </c>
      <c r="J7" s="5">
        <v>1.1684606825693e-12</v>
      </c>
      <c r="K7" s="5">
        <v>1.1713641239091e-12</v>
      </c>
      <c r="L7" s="5">
        <v>1.1713641258728e-12</v>
      </c>
      <c r="M7" s="5">
        <v>1.1713641273056e-12</v>
      </c>
      <c r="N7" s="5">
        <v>1.1981835516197e-12</v>
      </c>
      <c r="O7" s="5">
        <v>1.1684606832454e-12</v>
      </c>
      <c r="P7" s="5">
        <v>1.1981835504517e-12</v>
      </c>
      <c r="Q7" s="5">
        <v>1.1981835496137e-12</v>
      </c>
      <c r="R7" s="5">
        <v>1.1865191766029e-12</v>
      </c>
      <c r="S7" s="5">
        <v>1.1865191385303e-12</v>
      </c>
      <c r="T7" s="5">
        <v>1.1865191463251e-12</v>
      </c>
      <c r="U7" s="5">
        <v>1.1684607065125e-12</v>
      </c>
      <c r="V7" s="5">
        <v>1.1713641362025e-12</v>
      </c>
      <c r="W7" s="5">
        <v>1.1713641315021e-12</v>
      </c>
      <c r="X7" s="5">
        <v>1.1713641343109e-12</v>
      </c>
      <c r="Y7" s="5">
        <v>1.1981835633336e-12</v>
      </c>
      <c r="Z7" s="5">
        <v>1.1981835581348e-12</v>
      </c>
      <c r="AA7" s="5">
        <v>1.1981835585176e-12</v>
      </c>
      <c r="AB7" s="3">
        <v>0.99999651819849</v>
      </c>
      <c r="AC7" s="3">
        <v>0.99723236786246</v>
      </c>
      <c r="AD7" s="3">
        <v>0.00041215808346356</v>
      </c>
      <c r="AE7" s="5">
        <v>1.4125340769567e-16</v>
      </c>
      <c r="AF7" s="5">
        <v>-7.2785482030097e-16</v>
      </c>
      <c r="AG7" s="5">
        <v>1.2469089432283e-14</v>
      </c>
      <c r="AH7" s="5">
        <v>1.9303179024339e-15</v>
      </c>
      <c r="AI7" s="5">
        <v>-4.784179783799e-17</v>
      </c>
      <c r="AJ7" s="5">
        <v>3.5445678801414e-18</v>
      </c>
      <c r="AK7" s="5">
        <v>-5.1475951445961e-17</v>
      </c>
      <c r="AL7" s="5">
        <v>3.413349338357e-16</v>
      </c>
      <c r="AM7" s="5">
        <v>-1.7764495506867e-16</v>
      </c>
      <c r="AN7" s="5">
        <v>1.4937860978613e-16</v>
      </c>
      <c r="AO7" s="5">
        <v>-1.6729522805077e-16</v>
      </c>
      <c r="AP7" s="5">
        <v>-8.9904295536425e-17</v>
      </c>
      <c r="AQ7" s="5">
        <v>-3.0298046665026e-16</v>
      </c>
      <c r="AR7" s="5">
        <v>-4.7419741159701e-16</v>
      </c>
      <c r="AS7" s="5">
        <v>3.7437485099826e-15</v>
      </c>
      <c r="AT7" s="5">
        <v>-4.149483302335e-16</v>
      </c>
      <c r="AU7" s="5">
        <v>-7.1725360750883e-16</v>
      </c>
      <c r="AV7" s="5">
        <v>3.1405413041114e-16</v>
      </c>
      <c r="AW7" s="5">
        <v>6.0062966826823e-16</v>
      </c>
      <c r="AX7" s="5">
        <v>1.0615344591778e-15</v>
      </c>
      <c r="AY7" s="5">
        <v>-9.4299377021311e-17</v>
      </c>
      <c r="AZ7" s="5">
        <v>-9.1972723002178e-17</v>
      </c>
      <c r="BA7" s="5">
        <v>5.294884354467e-16</v>
      </c>
      <c r="BB7" s="5">
        <v>-5.3646114309068e-16</v>
      </c>
      <c r="BC7" s="3">
        <v>15999973.048375</v>
      </c>
      <c r="BD7" s="3">
        <v>3999990.9120277</v>
      </c>
      <c r="BE7" s="3">
        <v>-0.00019795996901865</v>
      </c>
      <c r="BF7" s="3">
        <v>0.00042109058745733</v>
      </c>
      <c r="BG7" s="3">
        <v>0.00011686229279596</v>
      </c>
      <c r="BH7" s="3">
        <v>-0.00064160887216109</v>
      </c>
      <c r="BI7" s="3">
        <v>100.45935471033</v>
      </c>
      <c r="BJ7" s="3">
        <v>50.231411899395</v>
      </c>
      <c r="BK7" s="3">
        <v>91.689325370487</v>
      </c>
      <c r="BL7" s="4"/>
      <c r="BM7" s="7"/>
    </row>
    <row r="8" spans="1:65">
      <c r="A8" s="3">
        <v>39716.411736214</v>
      </c>
      <c r="B8" s="5">
        <v>6.01293916144e-7</v>
      </c>
      <c r="C8" s="6">
        <f t="shared" si="0"/>
        <v>1.6499389248205e-11</v>
      </c>
      <c r="D8" s="5">
        <v>1.168405339659e-12</v>
      </c>
      <c r="E8" s="5">
        <v>1.1864717236679e-12</v>
      </c>
      <c r="F8" s="5">
        <v>1.1864730555172e-12</v>
      </c>
      <c r="G8" s="5">
        <v>1.1864721804024e-12</v>
      </c>
      <c r="H8" s="5">
        <v>1.1684053292738e-12</v>
      </c>
      <c r="I8" s="5">
        <v>1.1684052972986e-12</v>
      </c>
      <c r="J8" s="5">
        <v>1.1684053144881e-12</v>
      </c>
      <c r="K8" s="5">
        <v>1.1713071947896e-12</v>
      </c>
      <c r="L8" s="5">
        <v>1.1713072153493e-12</v>
      </c>
      <c r="M8" s="5">
        <v>1.1713072302797e-12</v>
      </c>
      <c r="N8" s="5">
        <v>1.1981269322993e-12</v>
      </c>
      <c r="O8" s="5">
        <v>1.1684053215998e-12</v>
      </c>
      <c r="P8" s="5">
        <v>1.1981269200153e-12</v>
      </c>
      <c r="Q8" s="5">
        <v>1.1981269112756e-12</v>
      </c>
      <c r="R8" s="5">
        <v>1.1864720790131e-12</v>
      </c>
      <c r="S8" s="5">
        <v>1.1864716819767e-12</v>
      </c>
      <c r="T8" s="5">
        <v>1.1864717630921e-12</v>
      </c>
      <c r="U8" s="5">
        <v>1.168405565101e-12</v>
      </c>
      <c r="V8" s="5">
        <v>1.1713073232954e-12</v>
      </c>
      <c r="W8" s="5">
        <v>1.1713072742359e-12</v>
      </c>
      <c r="X8" s="5">
        <v>1.1713073036619e-12</v>
      </c>
      <c r="Y8" s="5">
        <v>1.198127054652e-12</v>
      </c>
      <c r="Z8" s="5">
        <v>1.1981270004856e-12</v>
      </c>
      <c r="AA8" s="5">
        <v>1.1981270044825e-12</v>
      </c>
      <c r="AB8" s="3">
        <v>0.99999918053478</v>
      </c>
      <c r="AC8" s="3">
        <v>0.99723401893864</v>
      </c>
      <c r="AD8" s="3">
        <v>0.00041260629591091</v>
      </c>
      <c r="AE8" s="5">
        <v>1.4017176948506e-16</v>
      </c>
      <c r="AF8" s="5">
        <v>-7.2580557622583e-16</v>
      </c>
      <c r="AG8" s="5">
        <v>1.2288109996159e-14</v>
      </c>
      <c r="AH8" s="5">
        <v>1.8918774200849e-15</v>
      </c>
      <c r="AI8" s="5">
        <v>-4.7616609050966e-17</v>
      </c>
      <c r="AJ8" s="5">
        <v>3.4898923450464e-18</v>
      </c>
      <c r="AK8" s="5">
        <v>-5.058922164366e-17</v>
      </c>
      <c r="AL8" s="5">
        <v>3.4141014383694e-16</v>
      </c>
      <c r="AM8" s="5">
        <v>-1.7679600890311e-16</v>
      </c>
      <c r="AN8" s="5">
        <v>1.4978746862039e-16</v>
      </c>
      <c r="AO8" s="5">
        <v>-1.6632162683108e-16</v>
      </c>
      <c r="AP8" s="5">
        <v>-8.990494170302e-17</v>
      </c>
      <c r="AQ8" s="5">
        <v>-3.0127861055511e-16</v>
      </c>
      <c r="AR8" s="5">
        <v>-4.7346039409708e-16</v>
      </c>
      <c r="AS8" s="5">
        <v>3.7037548363968e-15</v>
      </c>
      <c r="AT8" s="5">
        <v>-4.0754251036938e-16</v>
      </c>
      <c r="AU8" s="5">
        <v>-7.0532763052147e-16</v>
      </c>
      <c r="AV8" s="5">
        <v>3.1142598740752e-16</v>
      </c>
      <c r="AW8" s="5">
        <v>5.9879124861443e-16</v>
      </c>
      <c r="AX8" s="5">
        <v>1.0597458192018e-15</v>
      </c>
      <c r="AY8" s="5">
        <v>-9.4339061804672e-17</v>
      </c>
      <c r="AZ8" s="5">
        <v>-9.1878681348224e-17</v>
      </c>
      <c r="BA8" s="5">
        <v>5.2997993578788e-16</v>
      </c>
      <c r="BB8" s="5">
        <v>-5.3625320735858e-16</v>
      </c>
      <c r="BC8" s="3">
        <v>15999725.726717</v>
      </c>
      <c r="BD8" s="3">
        <v>3999907.3303048</v>
      </c>
      <c r="BE8" s="3">
        <v>-0.00019786355472871</v>
      </c>
      <c r="BF8" s="3">
        <v>0.00042168035434043</v>
      </c>
      <c r="BG8" s="3">
        <v>0.00011718901484783</v>
      </c>
      <c r="BH8" s="3">
        <v>-0.00064143160164774</v>
      </c>
      <c r="BI8" s="3">
        <v>100.4593556853</v>
      </c>
      <c r="BJ8" s="3">
        <v>50.231412209729</v>
      </c>
      <c r="BK8" s="3">
        <v>91.682833148643</v>
      </c>
      <c r="BL8" s="4"/>
      <c r="BM8" s="7"/>
    </row>
    <row r="9" spans="1:65">
      <c r="A9" s="3">
        <v>397164.11736214</v>
      </c>
      <c r="B9" s="5">
        <v>6.0222318725397e-6</v>
      </c>
      <c r="C9" s="6">
        <f t="shared" si="0"/>
        <v>1.6486434850437e-11</v>
      </c>
      <c r="D9" s="5">
        <v>1.1678550091567e-12</v>
      </c>
      <c r="E9" s="5">
        <v>1.1859991979901e-12</v>
      </c>
      <c r="F9" s="5">
        <v>1.1860117974173e-12</v>
      </c>
      <c r="G9" s="5">
        <v>1.1860036691838e-12</v>
      </c>
      <c r="H9" s="5">
        <v>1.1678549125863e-12</v>
      </c>
      <c r="I9" s="5">
        <v>1.1678545928806e-12</v>
      </c>
      <c r="J9" s="5">
        <v>1.1678547607658e-12</v>
      </c>
      <c r="K9" s="5">
        <v>1.1707410351957e-12</v>
      </c>
      <c r="L9" s="5">
        <v>1.1707412428494e-12</v>
      </c>
      <c r="M9" s="5">
        <v>1.170741385178e-12</v>
      </c>
      <c r="N9" s="5">
        <v>1.1975637753057e-12</v>
      </c>
      <c r="O9" s="5">
        <v>1.1678548358159e-12</v>
      </c>
      <c r="P9" s="5">
        <v>1.197563645055e-12</v>
      </c>
      <c r="Q9" s="5">
        <v>1.1975635611225e-12</v>
      </c>
      <c r="R9" s="5">
        <v>1.1860026077733e-12</v>
      </c>
      <c r="S9" s="5">
        <v>1.1859987668263e-12</v>
      </c>
      <c r="T9" s="5">
        <v>1.1859995395997e-12</v>
      </c>
      <c r="U9" s="5">
        <v>1.167857278488e-12</v>
      </c>
      <c r="V9" s="5">
        <v>1.1707423096838e-12</v>
      </c>
      <c r="W9" s="5">
        <v>1.1707418313036e-12</v>
      </c>
      <c r="X9" s="5">
        <v>1.1707421287177e-12</v>
      </c>
      <c r="Y9" s="5">
        <v>1.1975649771946e-12</v>
      </c>
      <c r="Z9" s="5">
        <v>1.1975644597655e-12</v>
      </c>
      <c r="AA9" s="5">
        <v>1.1975644991355e-12</v>
      </c>
      <c r="AB9" s="3">
        <v>0.99999990124923</v>
      </c>
      <c r="AC9" s="3">
        <v>0.99725004685627</v>
      </c>
      <c r="AD9" s="3">
        <v>0.00041709763959989</v>
      </c>
      <c r="AE9" s="5">
        <v>1.2960889385958e-16</v>
      </c>
      <c r="AF9" s="5">
        <v>-7.0608845681573e-16</v>
      </c>
      <c r="AG9" s="5">
        <v>1.078422816969e-14</v>
      </c>
      <c r="AH9" s="5">
        <v>1.5642368328304e-15</v>
      </c>
      <c r="AI9" s="5">
        <v>-4.5492441977468e-17</v>
      </c>
      <c r="AJ9" s="5">
        <v>2.8817580246155e-18</v>
      </c>
      <c r="AK9" s="5">
        <v>-4.1988481707533e-17</v>
      </c>
      <c r="AL9" s="5">
        <v>3.4211512881514e-16</v>
      </c>
      <c r="AM9" s="5">
        <v>-1.6838568787259e-16</v>
      </c>
      <c r="AN9" s="5">
        <v>1.5365791757808e-16</v>
      </c>
      <c r="AO9" s="5">
        <v>-1.5690641501572e-16</v>
      </c>
      <c r="AP9" s="5">
        <v>-8.9914906741256e-17</v>
      </c>
      <c r="AQ9" s="5">
        <v>-2.8479877594895e-16</v>
      </c>
      <c r="AR9" s="5">
        <v>-4.6637589016498e-16</v>
      </c>
      <c r="AS9" s="5">
        <v>3.3547658527736e-15</v>
      </c>
      <c r="AT9" s="5">
        <v>-3.4380589719205e-16</v>
      </c>
      <c r="AU9" s="5">
        <v>-6.0886648821974e-16</v>
      </c>
      <c r="AV9" s="5">
        <v>2.8498879392496e-16</v>
      </c>
      <c r="AW9" s="5">
        <v>5.8108423228597e-16</v>
      </c>
      <c r="AX9" s="5">
        <v>1.0419940334827e-15</v>
      </c>
      <c r="AY9" s="5">
        <v>-9.4635014423637e-17</v>
      </c>
      <c r="AZ9" s="5">
        <v>-9.102220354578e-17</v>
      </c>
      <c r="BA9" s="5">
        <v>5.3474819176909e-16</v>
      </c>
      <c r="BB9" s="5">
        <v>-5.3455162753843e-16</v>
      </c>
      <c r="BC9" s="3">
        <v>15997253.243013</v>
      </c>
      <c r="BD9" s="3">
        <v>3999071.6809268</v>
      </c>
      <c r="BE9" s="3">
        <v>-0.00019689707900555</v>
      </c>
      <c r="BF9" s="3">
        <v>0.00042757339265167</v>
      </c>
      <c r="BG9" s="3">
        <v>0.00012045569481173</v>
      </c>
      <c r="BH9" s="3">
        <v>-0.00063988445475316</v>
      </c>
      <c r="BI9" s="3">
        <v>100.45936533303</v>
      </c>
      <c r="BJ9" s="3">
        <v>50.231415089774</v>
      </c>
      <c r="BK9" s="3">
        <v>91.618363081615</v>
      </c>
      <c r="BL9" s="4"/>
      <c r="BM9" s="7"/>
    </row>
    <row r="10" spans="1:65">
      <c r="A10" s="3">
        <v>125594.32157548</v>
      </c>
      <c r="B10" s="5">
        <v>1.9040766476817e-6</v>
      </c>
      <c r="C10" s="6">
        <f t="shared" si="0"/>
        <v>1.64838631144632e-11</v>
      </c>
      <c r="D10" s="5">
        <v>1.1682488308783e-12</v>
      </c>
      <c r="E10" s="5">
        <v>1.1863375570232e-12</v>
      </c>
      <c r="F10" s="5">
        <v>1.1863422093155e-12</v>
      </c>
      <c r="G10" s="5">
        <v>1.1863391698547e-12</v>
      </c>
      <c r="H10" s="5">
        <v>1.1682487947393e-12</v>
      </c>
      <c r="I10" s="5">
        <v>1.1682486810399e-12</v>
      </c>
      <c r="J10" s="5">
        <v>1.1682487417296e-12</v>
      </c>
      <c r="K10" s="5">
        <v>1.1711462071549e-12</v>
      </c>
      <c r="L10" s="5">
        <v>1.1711462804827e-12</v>
      </c>
      <c r="M10" s="5">
        <v>1.1711463328229e-12</v>
      </c>
      <c r="N10" s="5">
        <v>1.1979667793176e-12</v>
      </c>
      <c r="O10" s="5">
        <v>1.1682487674509e-12</v>
      </c>
      <c r="P10" s="5">
        <v>1.1979667348376e-12</v>
      </c>
      <c r="Q10" s="5">
        <v>1.1979667041387e-12</v>
      </c>
      <c r="R10" s="5">
        <v>1.1863388042175e-12</v>
      </c>
      <c r="S10" s="5">
        <v>1.1863374070807e-12</v>
      </c>
      <c r="T10" s="5">
        <v>1.1863376909708e-12</v>
      </c>
      <c r="U10" s="5">
        <v>1.1682496341413e-12</v>
      </c>
      <c r="V10" s="5">
        <v>1.1711466629593e-12</v>
      </c>
      <c r="W10" s="5">
        <v>1.1711464898388e-12</v>
      </c>
      <c r="X10" s="5">
        <v>1.1711465948255e-12</v>
      </c>
      <c r="Y10" s="5">
        <v>1.1979672120481e-12</v>
      </c>
      <c r="Z10" s="5">
        <v>1.1979670220605e-12</v>
      </c>
      <c r="AA10" s="5">
        <v>1.1979670362161e-12</v>
      </c>
      <c r="AB10" s="3">
        <v>0.99999946957003</v>
      </c>
      <c r="AC10" s="3">
        <v>0.99723864514117</v>
      </c>
      <c r="AD10" s="3">
        <v>0.00041368376208565</v>
      </c>
      <c r="AE10" s="5">
        <v>1.3713523333079e-16</v>
      </c>
      <c r="AF10" s="5">
        <v>-7.2008316470887e-16</v>
      </c>
      <c r="AG10" s="5">
        <v>1.1811463779172e-14</v>
      </c>
      <c r="AH10" s="5">
        <v>1.7895276462474e-15</v>
      </c>
      <c r="AI10" s="5">
        <v>-4.6992608816663e-17</v>
      </c>
      <c r="AJ10" s="5">
        <v>3.3289964871876e-18</v>
      </c>
      <c r="AK10" s="5">
        <v>-4.8105245499325e-17</v>
      </c>
      <c r="AL10" s="5">
        <v>3.4161822789068e-16</v>
      </c>
      <c r="AM10" s="5">
        <v>-1.7440064536467e-16</v>
      </c>
      <c r="AN10" s="5">
        <v>1.5092282431452e-16</v>
      </c>
      <c r="AO10" s="5">
        <v>-1.6359665528616e-16</v>
      </c>
      <c r="AP10" s="5">
        <v>-8.990695085045e-17</v>
      </c>
      <c r="AQ10" s="5">
        <v>-2.9651514043162e-16</v>
      </c>
      <c r="AR10" s="5">
        <v>-4.7140373200354e-16</v>
      </c>
      <c r="AS10" s="5">
        <v>3.5962932403288e-15</v>
      </c>
      <c r="AT10" s="5">
        <v>-3.8774946176833e-16</v>
      </c>
      <c r="AU10" s="5">
        <v>-6.7426956334499e-16</v>
      </c>
      <c r="AV10" s="5">
        <v>3.0395904749043e-16</v>
      </c>
      <c r="AW10" s="5">
        <v>5.9365367021051e-16</v>
      </c>
      <c r="AX10" s="5">
        <v>1.054694852685e-15</v>
      </c>
      <c r="AY10" s="5">
        <v>-9.4441117794216e-17</v>
      </c>
      <c r="AZ10" s="5">
        <v>-9.1621307913991e-17</v>
      </c>
      <c r="BA10" s="5">
        <v>5.3135653737061e-16</v>
      </c>
      <c r="BB10" s="5">
        <v>-5.3570500717692e-16</v>
      </c>
      <c r="BC10" s="3">
        <v>15999131.588517</v>
      </c>
      <c r="BD10" s="3">
        <v>3999706.5350709</v>
      </c>
      <c r="BE10" s="3">
        <v>-0.00019763172907864</v>
      </c>
      <c r="BF10" s="3">
        <v>0.0004230968733119</v>
      </c>
      <c r="BG10" s="3">
        <v>0.0001179739321349</v>
      </c>
      <c r="BH10" s="3">
        <v>-0.00064099977994696</v>
      </c>
      <c r="BI10" s="3">
        <v>100.45935805896</v>
      </c>
      <c r="BJ10" s="3">
        <v>50.231412960027</v>
      </c>
      <c r="BK10" s="3">
        <v>91.667266545421</v>
      </c>
      <c r="BL10" s="4"/>
      <c r="BM10" s="7"/>
    </row>
    <row r="11" spans="1:65">
      <c r="A11" s="3">
        <v>397164.11736214</v>
      </c>
      <c r="B11" s="5">
        <v>6.022058444748e-6</v>
      </c>
      <c r="C11" s="6">
        <f t="shared" si="0"/>
        <v>1.64822405639556e-11</v>
      </c>
      <c r="D11" s="5">
        <v>1.1677805055086e-12</v>
      </c>
      <c r="E11" s="5">
        <v>1.185935001722e-12</v>
      </c>
      <c r="F11" s="5">
        <v>1.1859489792432e-12</v>
      </c>
      <c r="G11" s="5">
        <v>1.1859399941688e-12</v>
      </c>
      <c r="H11" s="5">
        <v>1.1677803989438e-12</v>
      </c>
      <c r="I11" s="5">
        <v>1.1677800405238e-12</v>
      </c>
      <c r="J11" s="5">
        <v>1.1677802278255e-12</v>
      </c>
      <c r="K11" s="5">
        <v>1.1706643502012e-12</v>
      </c>
      <c r="L11" s="5">
        <v>1.1706645834768e-12</v>
      </c>
      <c r="M11" s="5">
        <v>1.1706647414252e-12</v>
      </c>
      <c r="N11" s="5">
        <v>1.197487467282e-12</v>
      </c>
      <c r="O11" s="5">
        <v>1.1677803128974e-12</v>
      </c>
      <c r="P11" s="5">
        <v>1.1974873195891e-12</v>
      </c>
      <c r="Q11" s="5">
        <v>1.1974872263588e-12</v>
      </c>
      <c r="R11" s="5">
        <v>1.185938793731e-12</v>
      </c>
      <c r="S11" s="5">
        <v>1.1859345155291e-12</v>
      </c>
      <c r="T11" s="5">
        <v>1.1859353744606e-12</v>
      </c>
      <c r="U11" s="5">
        <v>1.167783053013e-12</v>
      </c>
      <c r="V11" s="5">
        <v>1.1706657764805e-12</v>
      </c>
      <c r="W11" s="5">
        <v>1.1706652431108e-12</v>
      </c>
      <c r="X11" s="5">
        <v>1.1706655773227e-12</v>
      </c>
      <c r="Y11" s="5">
        <v>1.1974888096502e-12</v>
      </c>
      <c r="Z11" s="5">
        <v>1.1974882351002e-12</v>
      </c>
      <c r="AA11" s="5">
        <v>1.1974882793781e-12</v>
      </c>
      <c r="AB11" s="3">
        <v>0.99999981884919</v>
      </c>
      <c r="AC11" s="3">
        <v>0.99725211301591</v>
      </c>
      <c r="AD11" s="3">
        <v>0.0004170971398649</v>
      </c>
      <c r="AE11" s="5">
        <v>1.2821722778741e-16</v>
      </c>
      <c r="AF11" s="5">
        <v>-7.0353016378174e-16</v>
      </c>
      <c r="AG11" s="5">
        <v>1.0622031954919e-14</v>
      </c>
      <c r="AH11" s="5">
        <v>1.5281675245672e-15</v>
      </c>
      <c r="AI11" s="5">
        <v>-4.5225051318495e-17</v>
      </c>
      <c r="AJ11" s="5">
        <v>2.7899948366727e-18</v>
      </c>
      <c r="AK11" s="5">
        <v>-4.0863755007455e-17</v>
      </c>
      <c r="AL11" s="5">
        <v>3.4220070197518e-16</v>
      </c>
      <c r="AM11" s="5">
        <v>-1.6725850835966e-16</v>
      </c>
      <c r="AN11" s="5">
        <v>1.541489207504e-16</v>
      </c>
      <c r="AO11" s="5">
        <v>-1.5567607583012e-16</v>
      </c>
      <c r="AP11" s="5">
        <v>-8.9915421277219e-17</v>
      </c>
      <c r="AQ11" s="5">
        <v>-2.8264942888925e-16</v>
      </c>
      <c r="AR11" s="5">
        <v>-4.6545654957842e-16</v>
      </c>
      <c r="AS11" s="5">
        <v>3.3148881863052e-15</v>
      </c>
      <c r="AT11" s="5">
        <v>-3.3667478996226e-16</v>
      </c>
      <c r="AU11" s="5">
        <v>-5.9875623246334e-16</v>
      </c>
      <c r="AV11" s="5">
        <v>2.8137838192375e-16</v>
      </c>
      <c r="AW11" s="5">
        <v>5.7878214283568e-16</v>
      </c>
      <c r="AX11" s="5">
        <v>1.039606073901e-15</v>
      </c>
      <c r="AY11" s="5">
        <v>-9.465955643189e-17</v>
      </c>
      <c r="AZ11" s="5">
        <v>-9.0923437083584e-17</v>
      </c>
      <c r="BA11" s="5">
        <v>5.3536844089074e-16</v>
      </c>
      <c r="BB11" s="5">
        <v>-5.3437371222907e-16</v>
      </c>
      <c r="BC11" s="3">
        <v>15997253.295223</v>
      </c>
      <c r="BD11" s="3">
        <v>3999071.6951598</v>
      </c>
      <c r="BE11" s="3">
        <v>-0.00019689692916566</v>
      </c>
      <c r="BF11" s="3">
        <v>0.00042757295201596</v>
      </c>
      <c r="BG11" s="3">
        <v>0.00012045565960822</v>
      </c>
      <c r="BH11" s="3">
        <v>-0.00063963547095996</v>
      </c>
      <c r="BI11" s="3">
        <v>100.45936573454</v>
      </c>
      <c r="BJ11" s="3">
        <v>50.231415327493</v>
      </c>
      <c r="BK11" s="3">
        <v>91.618361277497</v>
      </c>
      <c r="BL11" s="4"/>
      <c r="BM11" s="7"/>
    </row>
    <row r="12" spans="1:65">
      <c r="A12" s="3">
        <v>1255943.2157548</v>
      </c>
      <c r="B12" s="5">
        <v>1.9027205297949e-5</v>
      </c>
      <c r="C12" s="6">
        <f t="shared" si="0"/>
        <v>1.6444020843883e-11</v>
      </c>
      <c r="D12" s="5">
        <v>1.1663205629391e-12</v>
      </c>
      <c r="E12" s="5">
        <v>1.1846783729346e-12</v>
      </c>
      <c r="F12" s="5">
        <v>1.1847171241937e-12</v>
      </c>
      <c r="G12" s="5">
        <v>1.184693355128e-12</v>
      </c>
      <c r="H12" s="5">
        <v>1.1663203009749e-12</v>
      </c>
      <c r="I12" s="5">
        <v>1.1663191815321e-12</v>
      </c>
      <c r="J12" s="5">
        <v>1.1663197286728e-12</v>
      </c>
      <c r="K12" s="5">
        <v>1.1691626160724e-12</v>
      </c>
      <c r="L12" s="5">
        <v>1.1691633665734e-12</v>
      </c>
      <c r="M12" s="5">
        <v>1.1691637912263e-12</v>
      </c>
      <c r="N12" s="5">
        <v>1.195992406664e-12</v>
      </c>
      <c r="O12" s="5">
        <v>1.1663200315651e-12</v>
      </c>
      <c r="P12" s="5">
        <v>1.1959918735095e-12</v>
      </c>
      <c r="Q12" s="5">
        <v>1.1959916161412e-12</v>
      </c>
      <c r="R12" s="5">
        <v>1.1846891459066e-12</v>
      </c>
      <c r="S12" s="5">
        <v>1.1846767713557e-12</v>
      </c>
      <c r="T12" s="5">
        <v>1.1846792198627e-12</v>
      </c>
      <c r="U12" s="5">
        <v>1.1663286725931e-12</v>
      </c>
      <c r="V12" s="5">
        <v>1.1691669709429e-12</v>
      </c>
      <c r="W12" s="5">
        <v>1.1691654235329e-12</v>
      </c>
      <c r="X12" s="5">
        <v>1.1691664988357e-12</v>
      </c>
      <c r="Y12" s="5">
        <v>1.1959963919793e-12</v>
      </c>
      <c r="Z12" s="5">
        <v>1.1959948285752e-12</v>
      </c>
      <c r="AA12" s="5">
        <v>1.195994968635e-12</v>
      </c>
      <c r="AB12" s="3">
        <v>0.99999994460969</v>
      </c>
      <c r="AC12" s="3">
        <v>0.99729009513444</v>
      </c>
      <c r="AD12" s="3">
        <v>0.00042794996932535</v>
      </c>
      <c r="AE12" s="5">
        <v>1.0202494407957e-16</v>
      </c>
      <c r="AF12" s="5">
        <v>-6.5697815988544e-16</v>
      </c>
      <c r="AG12" s="5">
        <v>8.1951623912807e-15</v>
      </c>
      <c r="AH12" s="5">
        <v>9.7691614792458e-16</v>
      </c>
      <c r="AI12" s="5">
        <v>-4.0525561201584e-17</v>
      </c>
      <c r="AJ12" s="5">
        <v>5.8965255154673e-19</v>
      </c>
      <c r="AK12" s="5">
        <v>-2.0120274403448e-17</v>
      </c>
      <c r="AL12" s="5">
        <v>3.4363526700875e-16</v>
      </c>
      <c r="AM12" s="5">
        <v>-1.4520682521216e-16</v>
      </c>
      <c r="AN12" s="5">
        <v>1.6260415469833e-16</v>
      </c>
      <c r="AO12" s="5">
        <v>-1.3325975472899e-16</v>
      </c>
      <c r="AP12" s="5">
        <v>-8.9971068492684e-17</v>
      </c>
      <c r="AQ12" s="5">
        <v>-2.4299646580886e-16</v>
      </c>
      <c r="AR12" s="5">
        <v>-4.4850070640632e-16</v>
      </c>
      <c r="AS12" s="5">
        <v>2.6852192243161e-15</v>
      </c>
      <c r="AT12" s="5">
        <v>-2.2585916854474e-16</v>
      </c>
      <c r="AU12" s="5">
        <v>-4.5070065598401e-16</v>
      </c>
      <c r="AV12" s="5">
        <v>2.1077206969853e-16</v>
      </c>
      <c r="AW12" s="5">
        <v>5.372125145103e-16</v>
      </c>
      <c r="AX12" s="5">
        <v>9.929998490185e-16</v>
      </c>
      <c r="AY12" s="5">
        <v>-9.459772216548e-17</v>
      </c>
      <c r="AZ12" s="5">
        <v>-8.93661735682e-17</v>
      </c>
      <c r="BA12" s="5">
        <v>5.4672173853759e-16</v>
      </c>
      <c r="BB12" s="5">
        <v>-5.3236486278493e-16</v>
      </c>
      <c r="BC12" s="3">
        <v>15991318.85076</v>
      </c>
      <c r="BD12" s="3">
        <v>3997065.7866133</v>
      </c>
      <c r="BE12" s="3">
        <v>-0.00019455710456712</v>
      </c>
      <c r="BF12" s="3">
        <v>0.00044169473341022</v>
      </c>
      <c r="BG12" s="3">
        <v>0.00012829959568964</v>
      </c>
      <c r="BH12" s="3">
        <v>-0.00063599352146149</v>
      </c>
      <c r="BI12" s="3">
        <v>100.45939049482</v>
      </c>
      <c r="BJ12" s="3">
        <v>50.231422039466</v>
      </c>
      <c r="BK12" s="3">
        <v>91.466821927813</v>
      </c>
      <c r="BL12" s="4"/>
      <c r="BM12" s="7"/>
    </row>
    <row r="13" spans="1:65">
      <c r="A13" s="3">
        <v>3971641.1736214</v>
      </c>
      <c r="B13" s="5">
        <v>5.999396428038e-5</v>
      </c>
      <c r="C13" s="6">
        <f t="shared" si="0"/>
        <v>1.63297553171075e-11</v>
      </c>
      <c r="D13" s="5">
        <v>1.1618718375443e-12</v>
      </c>
      <c r="E13" s="5">
        <v>1.1808704710279e-12</v>
      </c>
      <c r="F13" s="5">
        <v>1.1809637261252e-12</v>
      </c>
      <c r="G13" s="5">
        <v>1.1809140658419e-12</v>
      </c>
      <c r="H13" s="5">
        <v>1.1618716796025e-12</v>
      </c>
      <c r="I13" s="5">
        <v>1.1618682729506e-12</v>
      </c>
      <c r="J13" s="5">
        <v>1.1618696083337e-12</v>
      </c>
      <c r="K13" s="5">
        <v>1.1646301193523e-12</v>
      </c>
      <c r="L13" s="5">
        <v>1.16463264086e-12</v>
      </c>
      <c r="M13" s="5">
        <v>1.1646332940455e-12</v>
      </c>
      <c r="N13" s="5">
        <v>1.1914678540558e-12</v>
      </c>
      <c r="O13" s="5">
        <v>1.1618708410259e-12</v>
      </c>
      <c r="P13" s="5">
        <v>1.1914655748898e-12</v>
      </c>
      <c r="Q13" s="5">
        <v>1.1914650740957e-12</v>
      </c>
      <c r="R13" s="5">
        <v>1.1808973266667e-12</v>
      </c>
      <c r="S13" s="5">
        <v>1.1808654361527e-12</v>
      </c>
      <c r="T13" s="5">
        <v>1.180871912559e-12</v>
      </c>
      <c r="U13" s="5">
        <v>1.1618980507588e-12</v>
      </c>
      <c r="V13" s="5">
        <v>1.1646425311171e-12</v>
      </c>
      <c r="W13" s="5">
        <v>1.1646388704102e-12</v>
      </c>
      <c r="X13" s="5">
        <v>1.164642432404e-12</v>
      </c>
      <c r="Y13" s="5">
        <v>1.1914781598438e-12</v>
      </c>
      <c r="Z13" s="5">
        <v>1.1914754044117e-12</v>
      </c>
      <c r="AA13" s="5">
        <v>1.191475950856e-12</v>
      </c>
      <c r="AB13" s="3">
        <v>0.99999998431487</v>
      </c>
      <c r="AC13" s="3">
        <v>0.99737092727386</v>
      </c>
      <c r="AD13" s="3">
        <v>0.00046278071793703</v>
      </c>
      <c r="AE13" s="5">
        <v>3.5093755105719e-17</v>
      </c>
      <c r="AF13" s="5">
        <v>-5.5005209857215e-16</v>
      </c>
      <c r="AG13" s="5">
        <v>4.8314999672718e-15</v>
      </c>
      <c r="AH13" s="5">
        <v>1.7501941570699e-16</v>
      </c>
      <c r="AI13" s="5">
        <v>-3.188688547879e-17</v>
      </c>
      <c r="AJ13" s="5">
        <v>-1.0618915022226e-17</v>
      </c>
      <c r="AK13" s="5">
        <v>2.9467106113325e-17</v>
      </c>
      <c r="AL13" s="5">
        <v>3.4459459081034e-16</v>
      </c>
      <c r="AM13" s="5">
        <v>-7.8381909189944e-17</v>
      </c>
      <c r="AN13" s="5">
        <v>1.7619331337141e-16</v>
      </c>
      <c r="AO13" s="5">
        <v>-8.3482948289688e-17</v>
      </c>
      <c r="AP13" s="5">
        <v>-9.0549323752352e-17</v>
      </c>
      <c r="AQ13" s="5">
        <v>-1.4814586061069e-16</v>
      </c>
      <c r="AR13" s="5">
        <v>-4.0675433771465e-16</v>
      </c>
      <c r="AS13" s="5">
        <v>1.7152643418289e-15</v>
      </c>
      <c r="AT13" s="5">
        <v>-5.407046196706e-17</v>
      </c>
      <c r="AU13" s="5">
        <v>-2.4441583531909e-16</v>
      </c>
      <c r="AV13" s="5">
        <v>6.9422636062229e-18</v>
      </c>
      <c r="AW13" s="5">
        <v>4.4748852558135e-16</v>
      </c>
      <c r="AX13" s="5">
        <v>8.5506996802993e-16</v>
      </c>
      <c r="AY13" s="5">
        <v>-8.8891935965629e-17</v>
      </c>
      <c r="AZ13" s="5">
        <v>-8.8821836432897e-17</v>
      </c>
      <c r="BA13" s="5">
        <v>5.7027577299078e-16</v>
      </c>
      <c r="BB13" s="5">
        <v>-5.3707506489585e-16</v>
      </c>
      <c r="BC13" s="3">
        <v>15972602.735641</v>
      </c>
      <c r="BD13" s="3">
        <v>3990742.6833138</v>
      </c>
      <c r="BE13" s="3">
        <v>-0.00018700850744996</v>
      </c>
      <c r="BF13" s="3">
        <v>0.00048604141657735</v>
      </c>
      <c r="BG13" s="3">
        <v>0.00015306552975318</v>
      </c>
      <c r="BH13" s="3">
        <v>-0.00065024576106856</v>
      </c>
      <c r="BI13" s="3">
        <v>100.45944291237</v>
      </c>
      <c r="BJ13" s="3">
        <v>50.231415384619</v>
      </c>
      <c r="BK13" s="3">
        <v>91.017095923821</v>
      </c>
      <c r="BL13" s="4"/>
      <c r="BM13" s="7"/>
    </row>
    <row r="14" spans="1:65">
      <c r="A14" s="3">
        <v>4456254.6906687</v>
      </c>
      <c r="B14" s="5">
        <v>6.7276718449126e-5</v>
      </c>
      <c r="C14" s="6">
        <f t="shared" si="0"/>
        <v>1.6215984978898e-11</v>
      </c>
      <c r="D14" s="5">
        <v>1.1603325510337e-12</v>
      </c>
      <c r="E14" s="5">
        <v>1.1795546950375e-12</v>
      </c>
      <c r="F14" s="5">
        <v>1.1796625190847e-12</v>
      </c>
      <c r="G14" s="5">
        <v>1.1796081322285e-12</v>
      </c>
      <c r="H14" s="5">
        <v>1.1603326334655e-12</v>
      </c>
      <c r="I14" s="5">
        <v>1.1603284525661e-12</v>
      </c>
      <c r="J14" s="5">
        <v>1.1603299509688e-12</v>
      </c>
      <c r="K14" s="5">
        <v>1.1630739045976e-12</v>
      </c>
      <c r="L14" s="5">
        <v>1.1630771219357e-12</v>
      </c>
      <c r="M14" s="5">
        <v>1.1630776377217e-12</v>
      </c>
      <c r="N14" s="5">
        <v>1.1899145615889e-12</v>
      </c>
      <c r="O14" s="5">
        <v>1.160331590964e-12</v>
      </c>
      <c r="P14" s="5">
        <v>1.1899114718082e-12</v>
      </c>
      <c r="Q14" s="5">
        <v>1.1899109683098e-12</v>
      </c>
      <c r="R14" s="5">
        <v>1.1795860096839e-12</v>
      </c>
      <c r="S14" s="5">
        <v>1.179548571736e-12</v>
      </c>
      <c r="T14" s="5">
        <v>1.1795563127246e-12</v>
      </c>
      <c r="U14" s="5">
        <v>1.1603654590363e-12</v>
      </c>
      <c r="V14" s="5">
        <v>1.1630888026557e-12</v>
      </c>
      <c r="W14" s="5">
        <v>1.1630847550066e-12</v>
      </c>
      <c r="X14" s="5">
        <v>1.163089256589e-12</v>
      </c>
      <c r="Y14" s="5">
        <v>1.1899264397427e-12</v>
      </c>
      <c r="Z14" s="5">
        <v>1.1899238886831e-12</v>
      </c>
      <c r="AA14" s="5">
        <v>1.1899246557784e-12</v>
      </c>
      <c r="AB14" s="3">
        <v>0.9999998756315</v>
      </c>
      <c r="AC14" s="3">
        <v>0.99738856178764</v>
      </c>
      <c r="AD14" s="3">
        <v>0.00046905703146355</v>
      </c>
      <c r="AE14" s="5">
        <v>1.58293550213e-17</v>
      </c>
      <c r="AF14" s="5">
        <v>-5.2196993766183e-16</v>
      </c>
      <c r="AG14" s="5">
        <v>4.1976675687024e-15</v>
      </c>
      <c r="AH14" s="5">
        <v>1.2771577204743e-17</v>
      </c>
      <c r="AI14" s="5">
        <v>-3.0542154987056e-17</v>
      </c>
      <c r="AJ14" s="5">
        <v>-1.6004845206332e-17</v>
      </c>
      <c r="AK14" s="5">
        <v>4.2941733645397e-17</v>
      </c>
      <c r="AL14" s="5">
        <v>3.437017059224e-16</v>
      </c>
      <c r="AM14" s="5">
        <v>-5.5041610971608e-17</v>
      </c>
      <c r="AN14" s="5">
        <v>1.7760734457527e-16</v>
      </c>
      <c r="AO14" s="5">
        <v>-7.17402852068e-17</v>
      </c>
      <c r="AP14" s="5">
        <v>-9.0927572255365e-17</v>
      </c>
      <c r="AQ14" s="5">
        <v>-1.2227998336684e-16</v>
      </c>
      <c r="AR14" s="5">
        <v>-3.9502916570444e-16</v>
      </c>
      <c r="AS14" s="5">
        <v>1.5249757536236e-15</v>
      </c>
      <c r="AT14" s="5">
        <v>-1.7367998778608e-17</v>
      </c>
      <c r="AU14" s="5">
        <v>-2.0313635033607e-16</v>
      </c>
      <c r="AV14" s="5">
        <v>-5.8818036414874e-17</v>
      </c>
      <c r="AW14" s="5">
        <v>4.2642640867924e-16</v>
      </c>
      <c r="AX14" s="5">
        <v>8.0873430787438e-16</v>
      </c>
      <c r="AY14" s="5">
        <v>-8.5336969800248e-17</v>
      </c>
      <c r="AZ14" s="5">
        <v>-8.9688408127942e-17</v>
      </c>
      <c r="BA14" s="5">
        <v>5.7460987415207e-16</v>
      </c>
      <c r="BB14" s="5">
        <v>-5.4103816882413e-16</v>
      </c>
      <c r="BC14" s="3">
        <v>15969271.779796</v>
      </c>
      <c r="BD14" s="3">
        <v>3989618.3069166</v>
      </c>
      <c r="BE14" s="3">
        <v>-0.00018563595178005</v>
      </c>
      <c r="BF14" s="3">
        <v>0.00049389990209036</v>
      </c>
      <c r="BG14" s="3">
        <v>0.00015747823767237</v>
      </c>
      <c r="BH14" s="3">
        <v>-0.00061070395119841</v>
      </c>
      <c r="BI14" s="3">
        <v>100.45951073282</v>
      </c>
      <c r="BJ14" s="3">
        <v>50.231456700109</v>
      </c>
      <c r="BK14" s="3">
        <v>90.941383656716</v>
      </c>
      <c r="BL14" s="4"/>
      <c r="BM14" s="7"/>
    </row>
    <row r="15" spans="1:65">
      <c r="A15" s="3">
        <v>5000000</v>
      </c>
      <c r="B15" s="5">
        <v>7.5439254936037e-5</v>
      </c>
      <c r="C15" s="6">
        <f t="shared" si="0"/>
        <v>1.61862525026353e-11</v>
      </c>
      <c r="D15" s="5">
        <v>1.1593914111881e-12</v>
      </c>
      <c r="E15" s="5">
        <v>1.1787507095827e-12</v>
      </c>
      <c r="F15" s="5">
        <v>1.1788666945977e-12</v>
      </c>
      <c r="G15" s="5">
        <v>1.1788102405174e-12</v>
      </c>
      <c r="H15" s="5">
        <v>1.1593916960093e-12</v>
      </c>
      <c r="I15" s="5">
        <v>1.1593870466959e-12</v>
      </c>
      <c r="J15" s="5">
        <v>1.1593886146632e-12</v>
      </c>
      <c r="K15" s="5">
        <v>1.1621246573356e-12</v>
      </c>
      <c r="L15" s="5">
        <v>1.1621283278185e-12</v>
      </c>
      <c r="M15" s="5">
        <v>1.1621286983188e-12</v>
      </c>
      <c r="N15" s="5">
        <v>1.1889674684565e-12</v>
      </c>
      <c r="O15" s="5">
        <v>1.1593905260044e-12</v>
      </c>
      <c r="P15" s="5">
        <v>1.1889638240674e-12</v>
      </c>
      <c r="Q15" s="5">
        <v>1.1889633388251e-12</v>
      </c>
      <c r="R15" s="5">
        <v>1.1787845670284e-12</v>
      </c>
      <c r="S15" s="5">
        <v>1.1787439608384e-12</v>
      </c>
      <c r="T15" s="5">
        <v>1.1787524603914e-12</v>
      </c>
      <c r="U15" s="5">
        <v>1.1594285460054e-12</v>
      </c>
      <c r="V15" s="5">
        <v>1.1621410000488e-12</v>
      </c>
      <c r="W15" s="5">
        <v>1.1621368080364e-12</v>
      </c>
      <c r="X15" s="5">
        <v>1.1621419071575e-12</v>
      </c>
      <c r="Y15" s="5">
        <v>1.1889801441885e-12</v>
      </c>
      <c r="Z15" s="5">
        <v>1.1889778776891e-12</v>
      </c>
      <c r="AA15" s="5">
        <v>1.1889788119599e-12</v>
      </c>
      <c r="AB15" s="3">
        <v>0.99999989013693</v>
      </c>
      <c r="AC15" s="3">
        <v>0.9973971615627</v>
      </c>
      <c r="AD15" s="3">
        <v>0.00047612078131273</v>
      </c>
      <c r="AE15" s="5">
        <v>4.9098901167745e-18</v>
      </c>
      <c r="AF15" s="5">
        <v>-5.0648031243391e-16</v>
      </c>
      <c r="AG15" s="5">
        <v>3.8763625287543e-15</v>
      </c>
      <c r="AH15" s="5">
        <v>-7.2375588764555e-17</v>
      </c>
      <c r="AI15" s="5">
        <v>-3.0099044882794e-17</v>
      </c>
      <c r="AJ15" s="5">
        <v>-1.9694418961093e-17</v>
      </c>
      <c r="AK15" s="5">
        <v>5.0416571001156e-17</v>
      </c>
      <c r="AL15" s="5">
        <v>3.4280280711464e-16</v>
      </c>
      <c r="AM15" s="5">
        <v>-4.0651635844228e-17</v>
      </c>
      <c r="AN15" s="5">
        <v>1.7781239325728e-16</v>
      </c>
      <c r="AO15" s="5">
        <v>-6.5788821758482e-17</v>
      </c>
      <c r="AP15" s="5">
        <v>-9.1210919020924e-17</v>
      </c>
      <c r="AQ15" s="5">
        <v>-1.078601204715e-16</v>
      </c>
      <c r="AR15" s="5">
        <v>-3.884753253303e-16</v>
      </c>
      <c r="AS15" s="5">
        <v>1.4282405724296e-15</v>
      </c>
      <c r="AT15" s="5">
        <v>2.1413530568377e-18</v>
      </c>
      <c r="AU15" s="5">
        <v>-1.8172769314641e-16</v>
      </c>
      <c r="AV15" s="5">
        <v>-9.7887520579523e-17</v>
      </c>
      <c r="AW15" s="5">
        <v>4.1550079919766e-16</v>
      </c>
      <c r="AX15" s="5">
        <v>7.8067448540812e-16</v>
      </c>
      <c r="AY15" s="5">
        <v>-8.2802620952629e-17</v>
      </c>
      <c r="AZ15" s="5">
        <v>-9.042666223785e-17</v>
      </c>
      <c r="BA15" s="5">
        <v>5.762944448455e-16</v>
      </c>
      <c r="BB15" s="5">
        <v>-5.4391064686615e-16</v>
      </c>
      <c r="BC15" s="3">
        <v>15965537.291984</v>
      </c>
      <c r="BD15" s="3">
        <v>3988358.0875527</v>
      </c>
      <c r="BE15" s="3">
        <v>-0.00018408767448421</v>
      </c>
      <c r="BF15" s="3">
        <v>0.00050270110096432</v>
      </c>
      <c r="BG15" s="3">
        <v>0.00016242711412037</v>
      </c>
      <c r="BH15" s="3">
        <v>-0.00060598901433328</v>
      </c>
      <c r="BI15" s="3">
        <v>100.45953283007</v>
      </c>
      <c r="BJ15" s="3">
        <v>50.231462600476</v>
      </c>
      <c r="BK15" s="3">
        <v>90.858071301068</v>
      </c>
      <c r="BL15" s="4"/>
      <c r="BM15" s="7"/>
    </row>
    <row r="16" spans="1:65">
      <c r="A16" s="3">
        <v>5610092.2715098</v>
      </c>
      <c r="B16" s="5">
        <v>8.4586781588224e-5</v>
      </c>
      <c r="C16" s="6">
        <f t="shared" si="0"/>
        <v>1.61511758189217e-11</v>
      </c>
      <c r="D16" s="5">
        <v>1.1583478310114e-12</v>
      </c>
      <c r="E16" s="5">
        <v>1.1778582795034e-12</v>
      </c>
      <c r="F16" s="5">
        <v>1.1779828451598e-12</v>
      </c>
      <c r="G16" s="5">
        <v>1.1779246554673e-12</v>
      </c>
      <c r="H16" s="5">
        <v>1.1583483826463e-12</v>
      </c>
      <c r="I16" s="5">
        <v>1.1583432181008e-12</v>
      </c>
      <c r="J16" s="5">
        <v>1.1583448396341e-12</v>
      </c>
      <c r="K16" s="5">
        <v>1.161071812073e-12</v>
      </c>
      <c r="L16" s="5">
        <v>1.16107600916e-12</v>
      </c>
      <c r="M16" s="5">
        <v>1.1610761695422e-12</v>
      </c>
      <c r="N16" s="5">
        <v>1.1879199979126e-12</v>
      </c>
      <c r="O16" s="5">
        <v>1.1583470683216e-12</v>
      </c>
      <c r="P16" s="5">
        <v>1.1879156907928e-12</v>
      </c>
      <c r="Q16" s="5">
        <v>1.1879152397603e-12</v>
      </c>
      <c r="R16" s="5">
        <v>1.177894847338e-12</v>
      </c>
      <c r="S16" s="5">
        <v>1.1778508700352e-12</v>
      </c>
      <c r="T16" s="5">
        <v>1.1778602048027e-12</v>
      </c>
      <c r="U16" s="5">
        <v>1.1583897655565e-12</v>
      </c>
      <c r="V16" s="5">
        <v>1.1610897021844e-12</v>
      </c>
      <c r="W16" s="5">
        <v>1.1610854202886e-12</v>
      </c>
      <c r="X16" s="5">
        <v>1.1610911996165e-12</v>
      </c>
      <c r="Y16" s="5">
        <v>1.1879334331654e-12</v>
      </c>
      <c r="Z16" s="5">
        <v>1.1879316034868e-12</v>
      </c>
      <c r="AA16" s="5">
        <v>1.1879327502232e-12</v>
      </c>
      <c r="AB16" s="3">
        <v>0.9999999029806</v>
      </c>
      <c r="AC16" s="3">
        <v>0.99740494301543</v>
      </c>
      <c r="AD16" s="3">
        <v>0.00048407091490523</v>
      </c>
      <c r="AE16" s="5">
        <v>-6.5264422304149e-18</v>
      </c>
      <c r="AF16" s="5">
        <v>-4.906132802653e-16</v>
      </c>
      <c r="AG16" s="5">
        <v>3.5618888358446e-15</v>
      </c>
      <c r="AH16" s="5">
        <v>-1.5835110158793e-16</v>
      </c>
      <c r="AI16" s="5">
        <v>-2.9916892959863e-17</v>
      </c>
      <c r="AJ16" s="5">
        <v>-2.4119325898488e-17</v>
      </c>
      <c r="AK16" s="5">
        <v>5.8134543659504e-17</v>
      </c>
      <c r="AL16" s="5">
        <v>3.4154523701939e-16</v>
      </c>
      <c r="AM16" s="5">
        <v>-2.4526081176564e-17</v>
      </c>
      <c r="AN16" s="5">
        <v>1.7755795283148e-16</v>
      </c>
      <c r="AO16" s="5">
        <v>-6.0147630971919e-17</v>
      </c>
      <c r="AP16" s="5">
        <v>-9.1590108380451e-17</v>
      </c>
      <c r="AQ16" s="5">
        <v>-9.2910139995077e-17</v>
      </c>
      <c r="AR16" s="5">
        <v>-3.8170528029692e-16</v>
      </c>
      <c r="AS16" s="5">
        <v>1.3335628281439e-15</v>
      </c>
      <c r="AT16" s="5">
        <v>2.1917613931143e-17</v>
      </c>
      <c r="AU16" s="5">
        <v>-1.6052179953642e-16</v>
      </c>
      <c r="AV16" s="5">
        <v>-1.4041603300636e-16</v>
      </c>
      <c r="AW16" s="5">
        <v>4.048589937208e-16</v>
      </c>
      <c r="AX16" s="5">
        <v>7.4978356247452e-16</v>
      </c>
      <c r="AY16" s="5">
        <v>-7.9700361093836e-17</v>
      </c>
      <c r="AZ16" s="5">
        <v>-9.1365902909109e-17</v>
      </c>
      <c r="BA16" s="5">
        <v>5.7740666060856e-16</v>
      </c>
      <c r="BB16" s="5">
        <v>-5.4747690810907e-16</v>
      </c>
      <c r="BC16" s="3">
        <v>15961350.760663</v>
      </c>
      <c r="BD16" s="3">
        <v>3986945.8036667</v>
      </c>
      <c r="BE16" s="3">
        <v>-0.00018234048766578</v>
      </c>
      <c r="BF16" s="3">
        <v>0.00051255480850724</v>
      </c>
      <c r="BG16" s="3">
        <v>0.00016797712065792</v>
      </c>
      <c r="BH16" s="3">
        <v>-0.00060051126370809</v>
      </c>
      <c r="BI16" s="3">
        <v>100.45955811042</v>
      </c>
      <c r="BJ16" s="3">
        <v>50.231469272099</v>
      </c>
      <c r="BK16" s="3">
        <v>90.766496564518</v>
      </c>
      <c r="BL16" s="4"/>
      <c r="BM16" s="7"/>
    </row>
    <row r="17" spans="1:65">
      <c r="A17" s="3">
        <v>6294627.0589709</v>
      </c>
      <c r="B17" s="5">
        <v>9.4836834635631e-5</v>
      </c>
      <c r="C17" s="6">
        <f t="shared" si="0"/>
        <v>1.61124308335852e-11</v>
      </c>
      <c r="D17" s="5">
        <v>1.1571918083087e-12</v>
      </c>
      <c r="E17" s="5">
        <v>1.1768681131254e-12</v>
      </c>
      <c r="F17" s="5">
        <v>1.1770016845958e-12</v>
      </c>
      <c r="G17" s="5">
        <v>1.1769421939769e-12</v>
      </c>
      <c r="H17" s="5">
        <v>1.1571927068256e-12</v>
      </c>
      <c r="I17" s="5">
        <v>1.157186977333e-12</v>
      </c>
      <c r="J17" s="5">
        <v>1.157188628864e-12</v>
      </c>
      <c r="K17" s="5">
        <v>1.1599045549784e-12</v>
      </c>
      <c r="L17" s="5">
        <v>1.1599093669988e-12</v>
      </c>
      <c r="M17" s="5">
        <v>1.1599092335347e-12</v>
      </c>
      <c r="N17" s="5">
        <v>1.1867615128061e-12</v>
      </c>
      <c r="O17" s="5">
        <v>1.1571912287642e-12</v>
      </c>
      <c r="P17" s="5">
        <v>1.1867564119639e-12</v>
      </c>
      <c r="Q17" s="5">
        <v>1.1867560149326e-12</v>
      </c>
      <c r="R17" s="5">
        <v>1.1769075737325e-12</v>
      </c>
      <c r="S17" s="5">
        <v>1.1768600137061e-12</v>
      </c>
      <c r="T17" s="5">
        <v>1.1768702699058e-12</v>
      </c>
      <c r="U17" s="5">
        <v>1.1572392012627e-12</v>
      </c>
      <c r="V17" s="5">
        <v>1.1599240945271e-12</v>
      </c>
      <c r="W17" s="5">
        <v>1.1599197982534e-12</v>
      </c>
      <c r="X17" s="5">
        <v>1.1599263524865e-12</v>
      </c>
      <c r="Y17" s="5">
        <v>1.1867756376408e-12</v>
      </c>
      <c r="Z17" s="5">
        <v>1.1867744369019e-12</v>
      </c>
      <c r="AA17" s="5">
        <v>1.1867758555879e-12</v>
      </c>
      <c r="AB17" s="3">
        <v>0.99999991432723</v>
      </c>
      <c r="AC17" s="3">
        <v>0.99741152665276</v>
      </c>
      <c r="AD17" s="3">
        <v>0.00049301972141132</v>
      </c>
      <c r="AE17" s="5">
        <v>-1.8416095186231e-17</v>
      </c>
      <c r="AF17" s="5">
        <v>-4.7449032268544e-16</v>
      </c>
      <c r="AG17" s="5">
        <v>3.2554081397664e-15</v>
      </c>
      <c r="AH17" s="5">
        <v>-2.4521372462014e-16</v>
      </c>
      <c r="AI17" s="5">
        <v>-3.0082854579079e-17</v>
      </c>
      <c r="AJ17" s="5">
        <v>-2.9430228748362e-17</v>
      </c>
      <c r="AK17" s="5">
        <v>6.6034279609684e-17</v>
      </c>
      <c r="AL17" s="5">
        <v>3.3983447807099e-16</v>
      </c>
      <c r="AM17" s="5">
        <v>-6.4328461689361e-18</v>
      </c>
      <c r="AN17" s="5">
        <v>1.7674934921776e-16</v>
      </c>
      <c r="AO17" s="5">
        <v>-5.5011813349956e-17</v>
      </c>
      <c r="AP17" s="5">
        <v>-9.2097456291654e-17</v>
      </c>
      <c r="AQ17" s="5">
        <v>-7.7517570457286e-17</v>
      </c>
      <c r="AR17" s="5">
        <v>-3.7479721537855e-16</v>
      </c>
      <c r="AS17" s="5">
        <v>1.2414085135868e-15</v>
      </c>
      <c r="AT17" s="5">
        <v>4.1929929664621e-17</v>
      </c>
      <c r="AU17" s="5">
        <v>-1.3964877221547e-16</v>
      </c>
      <c r="AV17" s="5">
        <v>-1.8661081771292e-16</v>
      </c>
      <c r="AW17" s="5">
        <v>3.9469053482904e-16</v>
      </c>
      <c r="AX17" s="5">
        <v>7.1583477294275e-16</v>
      </c>
      <c r="AY17" s="5">
        <v>-7.5922162790346e-17</v>
      </c>
      <c r="AZ17" s="5">
        <v>-9.2531023156232e-17</v>
      </c>
      <c r="BA17" s="5">
        <v>5.777386949149e-16</v>
      </c>
      <c r="BB17" s="5">
        <v>-5.5186122511858e-16</v>
      </c>
      <c r="BC17" s="3">
        <v>15956657.936843</v>
      </c>
      <c r="BD17" s="3">
        <v>3985363.3444484</v>
      </c>
      <c r="BE17" s="3">
        <v>-0.00018036778220395</v>
      </c>
      <c r="BF17" s="3">
        <v>0.00052358432792339</v>
      </c>
      <c r="BG17" s="3">
        <v>0.00017420095087979</v>
      </c>
      <c r="BH17" s="3">
        <v>-0.00059414940224897</v>
      </c>
      <c r="BI17" s="3">
        <v>100.45958702319</v>
      </c>
      <c r="BJ17" s="3">
        <v>50.231476800229</v>
      </c>
      <c r="BK17" s="3">
        <v>90.666087156874</v>
      </c>
      <c r="BL17" s="4"/>
      <c r="BM17" s="7"/>
    </row>
    <row r="18" spans="1:65">
      <c r="A18" s="3">
        <v>7062687.7231138</v>
      </c>
      <c r="B18" s="3">
        <v>0.00010632067172446</v>
      </c>
      <c r="C18" s="6">
        <f t="shared" si="0"/>
        <v>1.606969473167e-11</v>
      </c>
      <c r="D18" s="5">
        <v>1.1559132219131e-12</v>
      </c>
      <c r="E18" s="5">
        <v>1.1757722984727e-12</v>
      </c>
      <c r="F18" s="5">
        <v>1.1759153082997e-12</v>
      </c>
      <c r="G18" s="5">
        <v>1.1758550710353e-12</v>
      </c>
      <c r="H18" s="5">
        <v>1.1559145661909e-12</v>
      </c>
      <c r="I18" s="5">
        <v>1.1559082197537e-12</v>
      </c>
      <c r="J18" s="5">
        <v>1.1559098678387e-12</v>
      </c>
      <c r="K18" s="5">
        <v>1.1586136513451e-12</v>
      </c>
      <c r="L18" s="5">
        <v>1.1586191852491e-12</v>
      </c>
      <c r="M18" s="5">
        <v>1.1586186503161e-12</v>
      </c>
      <c r="N18" s="5">
        <v>1.1854821048005e-12</v>
      </c>
      <c r="O18" s="5">
        <v>1.155912901853e-12</v>
      </c>
      <c r="P18" s="5">
        <v>1.1854760509304e-12</v>
      </c>
      <c r="Q18" s="5">
        <v>1.1854757322551e-12</v>
      </c>
      <c r="R18" s="5">
        <v>1.175814854027e-12</v>
      </c>
      <c r="S18" s="5">
        <v>1.1757634886616e-12</v>
      </c>
      <c r="T18" s="5">
        <v>1.1757747637664e-12</v>
      </c>
      <c r="U18" s="5">
        <v>1.1559668327197e-12</v>
      </c>
      <c r="V18" s="5">
        <v>1.1586349395118e-12</v>
      </c>
      <c r="W18" s="5">
        <v>1.1586307306783e-12</v>
      </c>
      <c r="X18" s="5">
        <v>1.1586381685627e-12</v>
      </c>
      <c r="Y18" s="5">
        <v>1.1854968083691e-12</v>
      </c>
      <c r="Z18" s="5">
        <v>1.1854964765485e-12</v>
      </c>
      <c r="AA18" s="5">
        <v>1.1854982452086e-12</v>
      </c>
      <c r="AB18" s="3">
        <v>0.99999992432914</v>
      </c>
      <c r="AC18" s="3">
        <v>0.99741645653436</v>
      </c>
      <c r="AD18" s="3">
        <v>0.00050309357972363</v>
      </c>
      <c r="AE18" s="5">
        <v>-3.0676972789744e-17</v>
      </c>
      <c r="AF18" s="5">
        <v>-4.5824939239795e-16</v>
      </c>
      <c r="AG18" s="5">
        <v>2.9579537905745e-15</v>
      </c>
      <c r="AH18" s="5">
        <v>-3.3305516670892e-16</v>
      </c>
      <c r="AI18" s="5">
        <v>-3.0702436644295e-17</v>
      </c>
      <c r="AJ18" s="5">
        <v>-3.5808022700417e-17</v>
      </c>
      <c r="AK18" s="5">
        <v>7.4036963081198e-17</v>
      </c>
      <c r="AL18" s="5">
        <v>3.3755679435179e-16</v>
      </c>
      <c r="AM18" s="5">
        <v>1.3893929638752e-17</v>
      </c>
      <c r="AN18" s="5">
        <v>1.7528834182934e-16</v>
      </c>
      <c r="AO18" s="5">
        <v>-5.0624307861861e-17</v>
      </c>
      <c r="AP18" s="5">
        <v>-9.2777609313821e-17</v>
      </c>
      <c r="AQ18" s="5">
        <v>-6.1788761613695e-17</v>
      </c>
      <c r="AR18" s="5">
        <v>-3.6785433024763e-16</v>
      </c>
      <c r="AS18" s="5">
        <v>1.1521958995834e-15</v>
      </c>
      <c r="AT18" s="5">
        <v>6.2140038618196e-17</v>
      </c>
      <c r="AU18" s="5">
        <v>-1.1926138551213e-16</v>
      </c>
      <c r="AV18" s="5">
        <v>-2.3667591394507e-16</v>
      </c>
      <c r="AW18" s="5">
        <v>3.8519388733327e-16</v>
      </c>
      <c r="AX18" s="5">
        <v>6.7860389856368e-16</v>
      </c>
      <c r="AY18" s="5">
        <v>-7.13435983313e-17</v>
      </c>
      <c r="AZ18" s="5">
        <v>-9.3941882864924e-17</v>
      </c>
      <c r="BA18" s="5">
        <v>5.7701982516309e-16</v>
      </c>
      <c r="BB18" s="5">
        <v>-5.5720776280464e-16</v>
      </c>
      <c r="BC18" s="3">
        <v>15951398.174206</v>
      </c>
      <c r="BD18" s="3">
        <v>3983590.4997484</v>
      </c>
      <c r="BE18" s="3">
        <v>-0.00017813916889134</v>
      </c>
      <c r="BF18" s="3">
        <v>0.00053592682833157</v>
      </c>
      <c r="BG18" s="3">
        <v>0.00018118001277869</v>
      </c>
      <c r="BH18" s="3">
        <v>-0.00058676700006414</v>
      </c>
      <c r="BI18" s="3">
        <v>100.45962006814</v>
      </c>
      <c r="BJ18" s="3">
        <v>50.231485272821</v>
      </c>
      <c r="BK18" s="3">
        <v>90.556293813455</v>
      </c>
      <c r="BL18" s="4"/>
      <c r="BM18" s="7"/>
    </row>
    <row r="19" spans="1:65">
      <c r="A19" s="3">
        <v>7924465.9623056</v>
      </c>
      <c r="B19" s="3">
        <v>0.00011918480422254</v>
      </c>
      <c r="C19" s="6">
        <f t="shared" si="0"/>
        <v>1.6022629882021e-11</v>
      </c>
      <c r="D19" s="5">
        <v>1.1544985306636e-12</v>
      </c>
      <c r="E19" s="5">
        <v>1.1745581546853e-12</v>
      </c>
      <c r="F19" s="5">
        <v>1.1747110461803e-12</v>
      </c>
      <c r="G19" s="5">
        <v>1.1746507541174e-12</v>
      </c>
      <c r="H19" s="5">
        <v>1.1545004422653e-12</v>
      </c>
      <c r="I19" s="5">
        <v>1.1544934255676e-12</v>
      </c>
      <c r="J19" s="5">
        <v>1.1544950236534e-12</v>
      </c>
      <c r="K19" s="5">
        <v>1.1571883859179e-12</v>
      </c>
      <c r="L19" s="5">
        <v>1.1571947722434e-12</v>
      </c>
      <c r="M19" s="5">
        <v>1.1571936979134e-12</v>
      </c>
      <c r="N19" s="5">
        <v>1.184068546058e-12</v>
      </c>
      <c r="O19" s="5">
        <v>1.154498565645e-12</v>
      </c>
      <c r="P19" s="5">
        <v>1.1840613445653e-12</v>
      </c>
      <c r="Q19" s="5">
        <v>1.1840611339767e-12</v>
      </c>
      <c r="R19" s="5">
        <v>1.1746040340885e-12</v>
      </c>
      <c r="S19" s="5">
        <v>1.1745486261405e-12</v>
      </c>
      <c r="T19" s="5">
        <v>1.1745610308923e-12</v>
      </c>
      <c r="U19" s="5">
        <v>1.1545592371977e-12</v>
      </c>
      <c r="V19" s="5">
        <v>1.1572115163892e-12</v>
      </c>
      <c r="W19" s="5">
        <v>1.1572075298159e-12</v>
      </c>
      <c r="X19" s="5">
        <v>1.1572159763363e-12</v>
      </c>
      <c r="Y19" s="5">
        <v>1.1840836654384e-12</v>
      </c>
      <c r="Z19" s="5">
        <v>1.1840844995914e-12</v>
      </c>
      <c r="AA19" s="5">
        <v>1.1840867205929e-12</v>
      </c>
      <c r="AB19" s="3">
        <v>0.99999993312707</v>
      </c>
      <c r="AC19" s="3">
        <v>0.99741918474728</v>
      </c>
      <c r="AD19" s="3">
        <v>0.00051443461261156</v>
      </c>
      <c r="AE19" s="5">
        <v>-4.3204803896888e-17</v>
      </c>
      <c r="AF19" s="5">
        <v>-4.4204656094973e-16</v>
      </c>
      <c r="AG19" s="5">
        <v>2.670404937071e-15</v>
      </c>
      <c r="AH19" s="5">
        <v>-4.2196426828253e-16</v>
      </c>
      <c r="AI19" s="5">
        <v>-3.1905318182313e-17</v>
      </c>
      <c r="AJ19" s="5">
        <v>-4.3470215524289e-17</v>
      </c>
      <c r="AK19" s="5">
        <v>8.2044954436832e-17</v>
      </c>
      <c r="AL19" s="5">
        <v>3.3458068297114e-16</v>
      </c>
      <c r="AM19" s="5">
        <v>3.6770501807724e-17</v>
      </c>
      <c r="AN19" s="5">
        <v>1.7307391066211e-16</v>
      </c>
      <c r="AO19" s="5">
        <v>-4.7272791349101e-17</v>
      </c>
      <c r="AP19" s="5">
        <v>-9.3691558173811e-17</v>
      </c>
      <c r="AQ19" s="5">
        <v>-4.5854446727028e-17</v>
      </c>
      <c r="AR19" s="5">
        <v>-3.6100685699157e-16</v>
      </c>
      <c r="AS19" s="5">
        <v>1.0662819226381e-15</v>
      </c>
      <c r="AT19" s="5">
        <v>8.2495532788434e-17</v>
      </c>
      <c r="AU19" s="5">
        <v>-9.9535887021475e-17</v>
      </c>
      <c r="AV19" s="5">
        <v>-2.9081584655698e-16</v>
      </c>
      <c r="AW19" s="5">
        <v>3.7657823081335e-16</v>
      </c>
      <c r="AX19" s="5">
        <v>6.3786333684643e-16</v>
      </c>
      <c r="AY19" s="5">
        <v>-6.5823570501453e-17</v>
      </c>
      <c r="AZ19" s="5">
        <v>-9.5617353927554e-17</v>
      </c>
      <c r="BA19" s="5">
        <v>5.7492551334674e-16</v>
      </c>
      <c r="BB19" s="5">
        <v>-5.6367014400314e-16</v>
      </c>
      <c r="BC19" s="3">
        <v>15945503.708736</v>
      </c>
      <c r="BD19" s="3">
        <v>3981604.7327061</v>
      </c>
      <c r="BE19" s="3">
        <v>-0.00017561993657514</v>
      </c>
      <c r="BF19" s="3">
        <v>0.00054973478209852</v>
      </c>
      <c r="BG19" s="3">
        <v>0.00018900545881786</v>
      </c>
      <c r="BH19" s="3">
        <v>-0.00057821139359289</v>
      </c>
      <c r="BI19" s="3">
        <v>100.45965779822</v>
      </c>
      <c r="BJ19" s="3">
        <v>50.231494772406</v>
      </c>
      <c r="BK19" s="3">
        <v>90.436609811894</v>
      </c>
      <c r="BL19" s="4"/>
      <c r="BM19" s="7"/>
    </row>
    <row r="20" spans="1:65">
      <c r="A20" s="3">
        <v>8891397.0501947</v>
      </c>
      <c r="B20" s="3">
        <v>0.0001335926883839</v>
      </c>
      <c r="C20" s="6">
        <f t="shared" si="0"/>
        <v>1.59708876227912e-11</v>
      </c>
      <c r="D20" s="5">
        <v>1.1529367954953e-12</v>
      </c>
      <c r="E20" s="5">
        <v>1.1732107070057e-12</v>
      </c>
      <c r="F20" s="5">
        <v>1.1733739388689e-12</v>
      </c>
      <c r="G20" s="5">
        <v>1.1733144412798e-12</v>
      </c>
      <c r="H20" s="5">
        <v>1.1529394228903e-12</v>
      </c>
      <c r="I20" s="5">
        <v>1.1529316831285e-12</v>
      </c>
      <c r="J20" s="5">
        <v>1.1529331674384e-12</v>
      </c>
      <c r="K20" s="5">
        <v>1.1556152312608e-12</v>
      </c>
      <c r="L20" s="5">
        <v>1.1556226308158e-12</v>
      </c>
      <c r="M20" s="5">
        <v>1.1556208407226e-12</v>
      </c>
      <c r="N20" s="5">
        <v>1.1825107589645e-12</v>
      </c>
      <c r="O20" s="5">
        <v>1.1529373037005e-12</v>
      </c>
      <c r="P20" s="5">
        <v>1.1825021713785e-12</v>
      </c>
      <c r="Q20" s="5">
        <v>1.1825021046492e-12</v>
      </c>
      <c r="R20" s="5">
        <v>1.1732601749888e-12</v>
      </c>
      <c r="S20" s="5">
        <v>1.1732004671064e-12</v>
      </c>
      <c r="T20" s="5">
        <v>1.1732141277916e-12</v>
      </c>
      <c r="U20" s="5">
        <v>1.1530056153797e-12</v>
      </c>
      <c r="V20" s="5">
        <v>1.1556402892749e-12</v>
      </c>
      <c r="W20" s="5">
        <v>1.1556367005705e-12</v>
      </c>
      <c r="X20" s="5">
        <v>1.1556462992486e-12</v>
      </c>
      <c r="Y20" s="5">
        <v>1.1825260655014e-12</v>
      </c>
      <c r="Z20" s="5">
        <v>1.1825284304386e-12</v>
      </c>
      <c r="AA20" s="5">
        <v>1.1825312383126e-12</v>
      </c>
      <c r="AB20" s="3">
        <v>0.99999994084954</v>
      </c>
      <c r="AC20" s="3">
        <v>0.99741906008827</v>
      </c>
      <c r="AD20" s="3">
        <v>0.00052720249406619</v>
      </c>
      <c r="AE20" s="5">
        <v>-5.5871371721095e-17</v>
      </c>
      <c r="AF20" s="5">
        <v>-4.2604824025032e-16</v>
      </c>
      <c r="AG20" s="5">
        <v>2.3934693013318e-15</v>
      </c>
      <c r="AH20" s="5">
        <v>-5.119901990161e-16</v>
      </c>
      <c r="AI20" s="5">
        <v>-3.3851158400521e-17</v>
      </c>
      <c r="AJ20" s="5">
        <v>-5.2677975632759e-17</v>
      </c>
      <c r="AK20" s="5">
        <v>8.9938089506973e-17</v>
      </c>
      <c r="AL20" s="5">
        <v>3.3075071956569e-16</v>
      </c>
      <c r="AM20" s="5">
        <v>6.2572318277677e-17</v>
      </c>
      <c r="AN20" s="5">
        <v>1.7000591622151e-16</v>
      </c>
      <c r="AO20" s="5">
        <v>-4.52998331543e-17</v>
      </c>
      <c r="AP20" s="5">
        <v>-9.4922016702142e-17</v>
      </c>
      <c r="AQ20" s="5">
        <v>-2.9872128589181e-17</v>
      </c>
      <c r="AR20" s="5">
        <v>-3.5441783147057e-16</v>
      </c>
      <c r="AS20" s="5">
        <v>9.8396178035187e-16</v>
      </c>
      <c r="AT20" s="5">
        <v>1.0292402653991e-16</v>
      </c>
      <c r="AU20" s="5">
        <v>-8.0674125647461e-17</v>
      </c>
      <c r="AV20" s="5">
        <v>-3.4923514340356e-16</v>
      </c>
      <c r="AW20" s="5">
        <v>3.6905263636201e-16</v>
      </c>
      <c r="AX20" s="5">
        <v>5.9338423436853e-16</v>
      </c>
      <c r="AY20" s="5">
        <v>-5.9199215985239e-17</v>
      </c>
      <c r="AZ20" s="5">
        <v>-9.7575739936559e-17</v>
      </c>
      <c r="BA20" s="5">
        <v>5.7107145820954e-16</v>
      </c>
      <c r="BB20" s="5">
        <v>-5.7141170823568e-16</v>
      </c>
      <c r="BC20" s="3">
        <v>15938898.86045</v>
      </c>
      <c r="BD20" s="3">
        <v>3979380.9299677</v>
      </c>
      <c r="BE20" s="3">
        <v>-0.00017277041319294</v>
      </c>
      <c r="BF20" s="3">
        <v>0.00056517752984218</v>
      </c>
      <c r="BG20" s="3">
        <v>0.00019777932965085</v>
      </c>
      <c r="BH20" s="3">
        <v>-0.00056831405230387</v>
      </c>
      <c r="BI20" s="3">
        <v>100.45970082497</v>
      </c>
      <c r="BJ20" s="3">
        <v>50.231505372837</v>
      </c>
      <c r="BK20" s="3">
        <v>90.30659402636</v>
      </c>
      <c r="BL20" s="4"/>
      <c r="BM20" s="7"/>
    </row>
    <row r="21" spans="1:65">
      <c r="A21" s="3">
        <v>9976311.5748445</v>
      </c>
      <c r="B21" s="3">
        <v>0.00014972659212697</v>
      </c>
      <c r="C21" s="6">
        <f t="shared" si="0"/>
        <v>1.59141047230638e-11</v>
      </c>
      <c r="D21" s="5">
        <v>1.1512143925574e-12</v>
      </c>
      <c r="E21" s="5">
        <v>1.1717170637002e-12</v>
      </c>
      <c r="F21" s="5">
        <v>1.1718911177633e-12</v>
      </c>
      <c r="G21" s="5">
        <v>1.1718334427489e-12</v>
      </c>
      <c r="H21" s="5">
        <v>1.1512179162004e-12</v>
      </c>
      <c r="I21" s="5">
        <v>1.1512094037475e-12</v>
      </c>
      <c r="J21" s="5">
        <v>1.1512106874967e-12</v>
      </c>
      <c r="K21" s="5">
        <v>1.1538801065234e-12</v>
      </c>
      <c r="L21" s="5">
        <v>1.1538887187316e-12</v>
      </c>
      <c r="M21" s="5">
        <v>1.1538859875913e-12</v>
      </c>
      <c r="N21" s="5">
        <v>1.1807962539369e-12</v>
      </c>
      <c r="O21" s="5">
        <v>1.1512155192077e-12</v>
      </c>
      <c r="P21" s="5">
        <v>1.1807859869098e-12</v>
      </c>
      <c r="Q21" s="5">
        <v>1.1807861069459e-12</v>
      </c>
      <c r="R21" s="5">
        <v>1.171770433869e-12</v>
      </c>
      <c r="S21" s="5">
        <v>1.1717061404039e-12</v>
      </c>
      <c r="T21" s="5">
        <v>1.1717212017454e-12</v>
      </c>
      <c r="U21" s="5">
        <v>1.1512925088108e-12</v>
      </c>
      <c r="V21" s="5">
        <v>1.1539071647458e-12</v>
      </c>
      <c r="W21" s="5">
        <v>1.1539042001017e-12</v>
      </c>
      <c r="X21" s="5">
        <v>1.1539151163817e-12</v>
      </c>
      <c r="Y21" s="5">
        <v>1.1808114363778e-12</v>
      </c>
      <c r="Z21" s="5">
        <v>1.1808157771895e-12</v>
      </c>
      <c r="AA21" s="5">
        <v>1.1808193490198e-12</v>
      </c>
      <c r="AB21" s="3">
        <v>0.99999994761126</v>
      </c>
      <c r="AC21" s="3">
        <v>0.99741530015298</v>
      </c>
      <c r="AD21" s="3">
        <v>0.00054157639710014</v>
      </c>
      <c r="AE21" s="5">
        <v>-6.8522067322008e-17</v>
      </c>
      <c r="AF21" s="5">
        <v>-4.1042796843026e-16</v>
      </c>
      <c r="AG21" s="5">
        <v>2.1276912303985e-15</v>
      </c>
      <c r="AH21" s="5">
        <v>-6.0313443465517e-16</v>
      </c>
      <c r="AI21" s="5">
        <v>-3.673283220647e-17</v>
      </c>
      <c r="AJ21" s="5">
        <v>-6.3744931095383e-17</v>
      </c>
      <c r="AK21" s="5">
        <v>9.756709975408e-17</v>
      </c>
      <c r="AL21" s="5">
        <v>3.2588020721754e-16</v>
      </c>
      <c r="AM21" s="5">
        <v>9.1747554761926e-17</v>
      </c>
      <c r="AN21" s="5">
        <v>1.659863426232e-16</v>
      </c>
      <c r="AO21" s="5">
        <v>-4.5117166890026e-17</v>
      </c>
      <c r="AP21" s="5">
        <v>-9.6579224279317e-17</v>
      </c>
      <c r="AQ21" s="5">
        <v>-1.4031426656404e-17</v>
      </c>
      <c r="AR21" s="5">
        <v>-3.4828900564067e-16</v>
      </c>
      <c r="AS21" s="5">
        <v>9.0546895434646e-16</v>
      </c>
      <c r="AT21" s="5">
        <v>1.2332431134068e-16</v>
      </c>
      <c r="AU21" s="5">
        <v>-6.2916807571672e-17</v>
      </c>
      <c r="AV21" s="5">
        <v>-4.1212001401783e-16</v>
      </c>
      <c r="AW21" s="5">
        <v>3.6281772408405e-16</v>
      </c>
      <c r="AX21" s="5">
        <v>5.4495073004025e-16</v>
      </c>
      <c r="AY21" s="5">
        <v>-5.1287509760884e-17</v>
      </c>
      <c r="AZ21" s="5">
        <v>-9.9827223827501e-17</v>
      </c>
      <c r="BA21" s="5">
        <v>5.6499201703137e-16</v>
      </c>
      <c r="BB21" s="5">
        <v>-5.8060735872757e-16</v>
      </c>
      <c r="BC21" s="3">
        <v>15931499.146178</v>
      </c>
      <c r="BD21" s="3">
        <v>3976891.1267176</v>
      </c>
      <c r="BE21" s="3">
        <v>-0.00016954520023121</v>
      </c>
      <c r="BF21" s="3">
        <v>0.00058244297320303</v>
      </c>
      <c r="BG21" s="3">
        <v>0.00020761583249037</v>
      </c>
      <c r="BH21" s="3">
        <v>-0.00055689488926131</v>
      </c>
      <c r="BI21" s="3">
        <v>100.45974980676</v>
      </c>
      <c r="BJ21" s="3">
        <v>50.231517132254</v>
      </c>
      <c r="BK21" s="3">
        <v>90.165901177951</v>
      </c>
      <c r="BL21" s="4"/>
      <c r="BM21" s="7"/>
    </row>
    <row r="22" spans="1:65">
      <c r="A22" s="3">
        <v>11193605.692842</v>
      </c>
      <c r="B22" s="3">
        <v>0.00016778963573574</v>
      </c>
      <c r="C22" s="6">
        <f t="shared" si="0"/>
        <v>1.58519198974883e-11</v>
      </c>
      <c r="D22" s="5">
        <v>1.1493135145238e-12</v>
      </c>
      <c r="E22" s="5">
        <v>1.1700632712498e-12</v>
      </c>
      <c r="F22" s="5">
        <v>1.1702486628638e-12</v>
      </c>
      <c r="G22" s="5">
        <v>1.1701940393055e-12</v>
      </c>
      <c r="H22" s="5">
        <v>1.1493181529889e-12</v>
      </c>
      <c r="I22" s="5">
        <v>1.1493088254289e-12</v>
      </c>
      <c r="J22" s="5">
        <v>1.1493097910144e-12</v>
      </c>
      <c r="K22" s="5">
        <v>1.1519642670504e-12</v>
      </c>
      <c r="L22" s="5">
        <v>1.1519743424436e-12</v>
      </c>
      <c r="M22" s="5">
        <v>1.1519703822834e-12</v>
      </c>
      <c r="N22" s="5">
        <v>1.1789100885277e-12</v>
      </c>
      <c r="O22" s="5">
        <v>1.1493154374149e-12</v>
      </c>
      <c r="P22" s="5">
        <v>1.1788977791619e-12</v>
      </c>
      <c r="Q22" s="5">
        <v>1.1788981370776e-12</v>
      </c>
      <c r="R22" s="5">
        <v>1.1701209232642e-12</v>
      </c>
      <c r="S22" s="5">
        <v>1.1700517180168e-12</v>
      </c>
      <c r="T22" s="5">
        <v>1.170068346625e-12</v>
      </c>
      <c r="U22" s="5">
        <v>1.1494023069188e-12</v>
      </c>
      <c r="V22" s="5">
        <v>1.1519933818709e-12</v>
      </c>
      <c r="W22" s="5">
        <v>1.1519913302127e-12</v>
      </c>
      <c r="X22" s="5">
        <v>1.1520037548709e-12</v>
      </c>
      <c r="Y22" s="5">
        <v>1.1789247318995e-12</v>
      </c>
      <c r="Z22" s="5">
        <v>1.1789315879348e-12</v>
      </c>
      <c r="AA22" s="5">
        <v>1.17893615646e-12</v>
      </c>
      <c r="AB22" s="3">
        <v>0.99999995351815</v>
      </c>
      <c r="AC22" s="3">
        <v>0.99740696667356</v>
      </c>
      <c r="AD22" s="3">
        <v>0.00055775714750873</v>
      </c>
      <c r="AE22" s="5">
        <v>-8.0980395687204e-17</v>
      </c>
      <c r="AF22" s="5">
        <v>-3.953551537757e-16</v>
      </c>
      <c r="AG22" s="5">
        <v>1.8734479687477e-15</v>
      </c>
      <c r="AH22" s="5">
        <v>-6.9527443453387e-16</v>
      </c>
      <c r="AI22" s="5">
        <v>-4.0779870760141e-17</v>
      </c>
      <c r="AJ22" s="5">
        <v>-7.7061169874063e-17</v>
      </c>
      <c r="AK22" s="5">
        <v>1.047430404663e-16</v>
      </c>
      <c r="AL22" s="5">
        <v>3.1975170971266e-16</v>
      </c>
      <c r="AM22" s="5">
        <v>1.2483639922123e-16</v>
      </c>
      <c r="AN22" s="5">
        <v>1.6092475305298e-16</v>
      </c>
      <c r="AO22" s="5">
        <v>-4.7215782899098e-17</v>
      </c>
      <c r="AP22" s="5">
        <v>-9.8819332736225e-17</v>
      </c>
      <c r="AQ22" s="5">
        <v>1.4411534902973e-18</v>
      </c>
      <c r="AR22" s="5">
        <v>-3.4286042278247e-16</v>
      </c>
      <c r="AS22" s="5">
        <v>8.3098167650692e-16</v>
      </c>
      <c r="AT22" s="5">
        <v>1.4355059761863e-16</v>
      </c>
      <c r="AU22" s="5">
        <v>-4.6555311654727e-17</v>
      </c>
      <c r="AV22" s="5">
        <v>-4.7961455439793e-16</v>
      </c>
      <c r="AW22" s="5">
        <v>3.5805958480962e-16</v>
      </c>
      <c r="AX22" s="5">
        <v>4.9236249025489e-16</v>
      </c>
      <c r="AY22" s="5">
        <v>-4.1887182896414e-17</v>
      </c>
      <c r="AZ22" s="5">
        <v>-1.0237914687512e-16</v>
      </c>
      <c r="BA22" s="5">
        <v>5.561267207462e-16</v>
      </c>
      <c r="BB22" s="5">
        <v>-5.9143079281263e-16</v>
      </c>
      <c r="BC22" s="3">
        <v>15923210.327552</v>
      </c>
      <c r="BD22" s="3">
        <v>3974104.2158605</v>
      </c>
      <c r="BE22" s="3">
        <v>-0.00016589239382743</v>
      </c>
      <c r="BF22" s="3">
        <v>0.00060173942205321</v>
      </c>
      <c r="BG22" s="3">
        <v>0.00021864275010459</v>
      </c>
      <c r="BH22" s="3">
        <v>-0.0005437608155134</v>
      </c>
      <c r="BI22" s="3">
        <v>100.45980544771</v>
      </c>
      <c r="BJ22" s="3">
        <v>50.231530079678</v>
      </c>
      <c r="BK22" s="3">
        <v>90.01431637823</v>
      </c>
      <c r="BL22" s="4"/>
      <c r="BM22" s="7"/>
    </row>
    <row r="23" spans="1:65">
      <c r="A23" s="3">
        <v>12559432.157548</v>
      </c>
      <c r="B23" s="3">
        <v>0.00018800804571909</v>
      </c>
      <c r="C23" s="6">
        <f t="shared" si="0"/>
        <v>1.57839626749658e-11</v>
      </c>
      <c r="D23" s="5">
        <v>1.1472146338705e-12</v>
      </c>
      <c r="E23" s="5">
        <v>1.1682372768897e-12</v>
      </c>
      <c r="F23" s="5">
        <v>1.16843456878e-12</v>
      </c>
      <c r="G23" s="5">
        <v>1.168384449025e-12</v>
      </c>
      <c r="H23" s="5">
        <v>1.1472206504583e-12</v>
      </c>
      <c r="I23" s="5">
        <v>1.1472104794795e-12</v>
      </c>
      <c r="J23" s="5">
        <v>1.1472109672349e-12</v>
      </c>
      <c r="K23" s="5">
        <v>1.1498560949276e-12</v>
      </c>
      <c r="L23" s="5">
        <v>1.14986795005e-12</v>
      </c>
      <c r="M23" s="5">
        <v>1.1498623921736e-12</v>
      </c>
      <c r="N23" s="5">
        <v>1.176834369487e-12</v>
      </c>
      <c r="O23" s="5">
        <v>1.1472175701219e-12</v>
      </c>
      <c r="P23" s="5">
        <v>1.1768195662367e-12</v>
      </c>
      <c r="Q23" s="5">
        <v>1.1768202228383e-12</v>
      </c>
      <c r="R23" s="5">
        <v>1.1682996794517e-12</v>
      </c>
      <c r="S23" s="5">
        <v>1.1682251781163e-12</v>
      </c>
      <c r="T23" s="5">
        <v>1.1682435662257e-12</v>
      </c>
      <c r="U23" s="5">
        <v>1.1473157152346e-12</v>
      </c>
      <c r="V23" s="5">
        <v>1.1498873001568e-12</v>
      </c>
      <c r="W23" s="5">
        <v>1.1498865283808e-12</v>
      </c>
      <c r="X23" s="5">
        <v>1.1499006835767e-12</v>
      </c>
      <c r="Y23" s="5">
        <v>1.176847928671e-12</v>
      </c>
      <c r="Z23" s="5">
        <v>1.1768579498864e-12</v>
      </c>
      <c r="AA23" s="5">
        <v>1.176863821263e-12</v>
      </c>
      <c r="AB23" s="3">
        <v>0.9999999586649</v>
      </c>
      <c r="AC23" s="3">
        <v>0.99739292460342</v>
      </c>
      <c r="AD23" s="3">
        <v>0.00057596951349262</v>
      </c>
      <c r="AE23" s="5">
        <v>-9.3047343987527e-17</v>
      </c>
      <c r="AF23" s="5">
        <v>-3.8099034663945e-16</v>
      </c>
      <c r="AG23" s="5">
        <v>1.6309414191136e-15</v>
      </c>
      <c r="AH23" s="5">
        <v>-7.8814618172925e-16</v>
      </c>
      <c r="AI23" s="5">
        <v>-4.6264632289951e-17</v>
      </c>
      <c r="AJ23" s="5">
        <v>-9.3102932985714e-17</v>
      </c>
      <c r="AK23" s="5">
        <v>1.1123566859514e-16</v>
      </c>
      <c r="AL23" s="5">
        <v>3.1211888132067e-16</v>
      </c>
      <c r="AM23" s="5">
        <v>1.6250966131156e-16</v>
      </c>
      <c r="AN23" s="5">
        <v>1.5474841806257e-16</v>
      </c>
      <c r="AO23" s="5">
        <v>-5.218367393551e-17</v>
      </c>
      <c r="AP23" s="5">
        <v>-1.0186264053098e-16</v>
      </c>
      <c r="AQ23" s="5">
        <v>1.6263349239969e-17</v>
      </c>
      <c r="AR23" s="5">
        <v>-3.3841737730593e-16</v>
      </c>
      <c r="AS23" s="5">
        <v>7.606366016465e-16</v>
      </c>
      <c r="AT23" s="5">
        <v>1.634045728914e-16</v>
      </c>
      <c r="AU23" s="5">
        <v>-3.1946071305154e-17</v>
      </c>
      <c r="AV23" s="5">
        <v>-5.5181672646144e-16</v>
      </c>
      <c r="AW23" s="5">
        <v>3.5494596068002e-16</v>
      </c>
      <c r="AX23" s="5">
        <v>4.3541461413431e-16</v>
      </c>
      <c r="AY23" s="5">
        <v>-3.0765989189527e-17</v>
      </c>
      <c r="AZ23" s="5">
        <v>-1.0523828409944e-16</v>
      </c>
      <c r="BA23" s="5">
        <v>5.4379135815136e-16</v>
      </c>
      <c r="BB23" s="5">
        <v>-6.0404659356067e-16</v>
      </c>
      <c r="BC23" s="3">
        <v>15913927.342009</v>
      </c>
      <c r="BD23" s="3">
        <v>3970985.6250758</v>
      </c>
      <c r="BE23" s="3">
        <v>-0.00016175259234534</v>
      </c>
      <c r="BF23" s="3">
        <v>0.00062329757599261</v>
      </c>
      <c r="BG23" s="3">
        <v>0.00023100302374252</v>
      </c>
      <c r="BH23" s="3">
        <v>-0.00052871359962873</v>
      </c>
      <c r="BI23" s="3">
        <v>100.45986849595</v>
      </c>
      <c r="BJ23" s="3">
        <v>50.23154419882</v>
      </c>
      <c r="BK23" s="3">
        <v>89.851794540142</v>
      </c>
      <c r="BL23" s="4"/>
      <c r="BM23" s="7"/>
    </row>
    <row r="24" spans="1:65">
      <c r="A24" s="3">
        <v>14091914.656322</v>
      </c>
      <c r="B24" s="3">
        <v>0.00021063362592516</v>
      </c>
      <c r="C24" s="6">
        <f t="shared" si="0"/>
        <v>1.57098537152041e-11</v>
      </c>
      <c r="D24" s="5">
        <v>1.144901449599e-12</v>
      </c>
      <c r="E24" s="5">
        <v>1.1662267812499e-12</v>
      </c>
      <c r="F24" s="5">
        <v>1.1664366017376e-12</v>
      </c>
      <c r="G24" s="5">
        <v>1.1663926835534e-12</v>
      </c>
      <c r="H24" s="5">
        <v>1.1449091602224e-12</v>
      </c>
      <c r="I24" s="5">
        <v>1.1448981411946e-12</v>
      </c>
      <c r="J24" s="5">
        <v>1.144897934365e-12</v>
      </c>
      <c r="K24" s="5">
        <v>1.147533353242e-12</v>
      </c>
      <c r="L24" s="5">
        <v>1.1475473933909e-12</v>
      </c>
      <c r="M24" s="5">
        <v>1.1475397643298e-12</v>
      </c>
      <c r="N24" s="5">
        <v>1.1745578078506e-12</v>
      </c>
      <c r="O24" s="5">
        <v>1.1449056623863e-12</v>
      </c>
      <c r="P24" s="5">
        <v>1.1745399443104e-12</v>
      </c>
      <c r="Q24" s="5">
        <v>1.174540972065e-12</v>
      </c>
      <c r="R24" s="5">
        <v>1.1662945225512e-12</v>
      </c>
      <c r="S24" s="5">
        <v>1.1662142580232e-12</v>
      </c>
      <c r="T24" s="5">
        <v>1.1662346276343e-12</v>
      </c>
      <c r="U24" s="5">
        <v>1.1450167106631e-12</v>
      </c>
      <c r="V24" s="5">
        <v>1.1475666550812e-12</v>
      </c>
      <c r="W24" s="5">
        <v>1.1475676263259e-12</v>
      </c>
      <c r="X24" s="5">
        <v>1.1475837681164e-12</v>
      </c>
      <c r="Y24" s="5">
        <v>1.1745695739223e-12</v>
      </c>
      <c r="Z24" s="5">
        <v>1.1745835393535e-12</v>
      </c>
      <c r="AA24" s="5">
        <v>1.1745911151271e-12</v>
      </c>
      <c r="AB24" s="3">
        <v>0.99999996313666</v>
      </c>
      <c r="AC24" s="3">
        <v>0.99737177300794</v>
      </c>
      <c r="AD24" s="3">
        <v>0.00059646467926625</v>
      </c>
      <c r="AE24" s="5">
        <v>-1.0450027638064e-16</v>
      </c>
      <c r="AF24" s="5">
        <v>-3.6746829558656e-16</v>
      </c>
      <c r="AG24" s="5">
        <v>1.4002134244923e-15</v>
      </c>
      <c r="AH24" s="5">
        <v>-8.8116223281317e-16</v>
      </c>
      <c r="AI24" s="5">
        <v>-5.351711244311e-17</v>
      </c>
      <c r="AJ24" s="5">
        <v>-1.1244757981649e-16</v>
      </c>
      <c r="AK24" s="5">
        <v>1.1677495722584e-16</v>
      </c>
      <c r="AL24" s="5">
        <v>3.0271550596359e-16</v>
      </c>
      <c r="AM24" s="5">
        <v>2.055955864746e-16</v>
      </c>
      <c r="AN24" s="5">
        <v>1.4740770232538e-16</v>
      </c>
      <c r="AO24" s="5">
        <v>-6.0717372170896e-17</v>
      </c>
      <c r="AP24" s="5">
        <v>-1.0600861227341e-16</v>
      </c>
      <c r="AQ24" s="5">
        <v>3.0079496569998e-17</v>
      </c>
      <c r="AR24" s="5">
        <v>-3.3529113210069e-16</v>
      </c>
      <c r="AS24" s="5">
        <v>6.9454484636504e-16</v>
      </c>
      <c r="AT24" s="5">
        <v>1.8260790877426e-16</v>
      </c>
      <c r="AU24" s="5">
        <v>-1.9480868104764e-17</v>
      </c>
      <c r="AV24" s="5">
        <v>-6.2878627674405e-16</v>
      </c>
      <c r="AW24" s="5">
        <v>3.5360557322633e-16</v>
      </c>
      <c r="AX24" s="5">
        <v>3.7394690647317e-16</v>
      </c>
      <c r="AY24" s="5">
        <v>-1.7675556591187e-17</v>
      </c>
      <c r="AZ24" s="5">
        <v>-1.0840989471108e-16</v>
      </c>
      <c r="BA24" s="5">
        <v>5.2716333693798e-16</v>
      </c>
      <c r="BB24" s="5">
        <v>-6.1858550038495e-16</v>
      </c>
      <c r="BC24" s="3">
        <v>15903533.135141</v>
      </c>
      <c r="BD24" s="3">
        <v>3967496.9699248</v>
      </c>
      <c r="BE24" s="3">
        <v>-0.00015705778580712</v>
      </c>
      <c r="BF24" s="3">
        <v>0.00064737265186946</v>
      </c>
      <c r="BG24" s="3">
        <v>0.0002448565298753</v>
      </c>
      <c r="BH24" s="3">
        <v>-0.00051155720673611</v>
      </c>
      <c r="BI24" s="3">
        <v>100.45993972808</v>
      </c>
      <c r="BJ24" s="3">
        <v>50.23155941345</v>
      </c>
      <c r="BK24" s="3">
        <v>89.678508261933</v>
      </c>
      <c r="BL24" s="4"/>
      <c r="BM24" s="7"/>
    </row>
    <row r="25" spans="1:65">
      <c r="A25" s="3">
        <v>15811388.300842</v>
      </c>
      <c r="B25" s="3">
        <v>0.00023594646202545</v>
      </c>
      <c r="C25" s="6">
        <f t="shared" si="0"/>
        <v>1.56292272037308e-11</v>
      </c>
      <c r="D25" s="5">
        <v>1.1423578216186e-12</v>
      </c>
      <c r="E25" s="5">
        <v>1.1640103452483e-12</v>
      </c>
      <c r="F25" s="5">
        <v>1.1642334125358e-12</v>
      </c>
      <c r="G25" s="5">
        <v>1.1641976564387e-12</v>
      </c>
      <c r="H25" s="5">
        <v>1.1423676036159e-12</v>
      </c>
      <c r="I25" s="5">
        <v>1.1423557707686e-12</v>
      </c>
      <c r="J25" s="5">
        <v>1.1423545737197e-12</v>
      </c>
      <c r="K25" s="5">
        <v>1.1449779212092e-12</v>
      </c>
      <c r="L25" s="5">
        <v>1.1449946691865e-12</v>
      </c>
      <c r="M25" s="5">
        <v>1.144984358606e-12</v>
      </c>
      <c r="N25" s="5">
        <v>1.1720661077012e-12</v>
      </c>
      <c r="O25" s="5">
        <v>1.1423636295143e-12</v>
      </c>
      <c r="P25" s="5">
        <v>1.1720444690706e-12</v>
      </c>
      <c r="Q25" s="5">
        <v>1.1720459547471e-12</v>
      </c>
      <c r="R25" s="5">
        <v>1.164084174246e-12</v>
      </c>
      <c r="S25" s="5">
        <v>1.1639975608074e-12</v>
      </c>
      <c r="T25" s="5">
        <v>1.1640201680458e-12</v>
      </c>
      <c r="U25" s="5">
        <v>1.1424894841587e-12</v>
      </c>
      <c r="V25" s="5">
        <v>1.1450132901418e-12</v>
      </c>
      <c r="W25" s="5">
        <v>1.1450165875256e-12</v>
      </c>
      <c r="X25" s="5">
        <v>1.1450350140121e-12</v>
      </c>
      <c r="Y25" s="5">
        <v>1.1720751654108e-12</v>
      </c>
      <c r="Z25" s="5">
        <v>1.1720940053388e-12</v>
      </c>
      <c r="AA25" s="5">
        <v>1.1721038110907e-12</v>
      </c>
      <c r="AB25" s="3">
        <v>0.99999996700832</v>
      </c>
      <c r="AC25" s="3">
        <v>0.99734178441596</v>
      </c>
      <c r="AD25" s="3">
        <v>0.00061952294139541</v>
      </c>
      <c r="AE25" s="5">
        <v>-1.1509228104255e-16</v>
      </c>
      <c r="AF25" s="5">
        <v>-3.5488819369582e-16</v>
      </c>
      <c r="AG25" s="5">
        <v>1.1811533860895e-15</v>
      </c>
      <c r="AH25" s="5">
        <v>-9.7328024912868e-16</v>
      </c>
      <c r="AI25" s="5">
        <v>-6.2931989431553e-17</v>
      </c>
      <c r="AJ25" s="5">
        <v>-1.358142616561e-16</v>
      </c>
      <c r="AK25" s="5">
        <v>1.2104109214771e-16</v>
      </c>
      <c r="AL25" s="5">
        <v>2.9125383741141e-16</v>
      </c>
      <c r="AM25" s="5">
        <v>2.5509413371792e-16</v>
      </c>
      <c r="AN25" s="5">
        <v>1.3886731704589e-16</v>
      </c>
      <c r="AO25" s="5">
        <v>-7.3603552083045e-17</v>
      </c>
      <c r="AP25" s="5">
        <v>-1.1165254044454e-16</v>
      </c>
      <c r="AQ25" s="5">
        <v>4.2436522093211e-17</v>
      </c>
      <c r="AR25" s="5">
        <v>-3.3384086176655e-16</v>
      </c>
      <c r="AS25" s="5">
        <v>6.3285633129593e-16</v>
      </c>
      <c r="AT25" s="5">
        <v>2.0077953318003e-16</v>
      </c>
      <c r="AU25" s="5">
        <v>-9.5641506405805e-18</v>
      </c>
      <c r="AV25" s="5">
        <v>-7.104787208042e-16</v>
      </c>
      <c r="AW25" s="5">
        <v>3.541079562963e-16</v>
      </c>
      <c r="AX25" s="5">
        <v>3.0787521705575e-16</v>
      </c>
      <c r="AY25" s="5">
        <v>-2.3490334838439e-18</v>
      </c>
      <c r="AZ25" s="5">
        <v>-1.11908874646e-16</v>
      </c>
      <c r="BA25" s="5">
        <v>5.0525581137093e-16</v>
      </c>
      <c r="BB25" s="5">
        <v>-6.3506893200113e-16</v>
      </c>
      <c r="BC25" s="3">
        <v>15891897.389068</v>
      </c>
      <c r="BD25" s="3">
        <v>3963595.6837967</v>
      </c>
      <c r="BE25" s="3">
        <v>-0.00015173009330557</v>
      </c>
      <c r="BF25" s="3">
        <v>0.00067424669613049</v>
      </c>
      <c r="BG25" s="3">
        <v>0.00026038201317456</v>
      </c>
      <c r="BH25" s="3">
        <v>-0.00049210887522155</v>
      </c>
      <c r="BI25" s="3">
        <v>100.46001994332</v>
      </c>
      <c r="BJ25" s="3">
        <v>50.231575572425</v>
      </c>
      <c r="BK25" s="3">
        <v>89.494898292344</v>
      </c>
      <c r="BL25" s="4"/>
      <c r="BM25" s="7"/>
    </row>
    <row r="26" spans="1:65">
      <c r="A26" s="3">
        <v>17740669.461679</v>
      </c>
      <c r="B26" s="3">
        <v>0.00026425786863532</v>
      </c>
      <c r="C26" s="6">
        <f t="shared" si="0"/>
        <v>1.5541741881407e-11</v>
      </c>
      <c r="D26" s="5">
        <v>1.1395739806987e-12</v>
      </c>
      <c r="E26" s="5">
        <v>1.1615630973079e-12</v>
      </c>
      <c r="F26" s="5">
        <v>1.1618002514717e-12</v>
      </c>
      <c r="G26" s="5">
        <v>1.1617748907155e-12</v>
      </c>
      <c r="H26" s="5">
        <v>1.1395862828927e-12</v>
      </c>
      <c r="I26" s="5">
        <v>1.1395737321758e-12</v>
      </c>
      <c r="J26" s="5">
        <v>1.1395711381039e-12</v>
      </c>
      <c r="K26" s="5">
        <v>1.1421716877157e-12</v>
      </c>
      <c r="L26" s="5">
        <v>1.1421918243903e-12</v>
      </c>
      <c r="M26" s="5">
        <v>1.1421780412931e-12</v>
      </c>
      <c r="N26" s="5">
        <v>1.1693351535521e-12</v>
      </c>
      <c r="O26" s="5">
        <v>1.1395817692301e-12</v>
      </c>
      <c r="P26" s="5">
        <v>1.1693088291603e-12</v>
      </c>
      <c r="Q26" s="5">
        <v>1.1693108764372e-12</v>
      </c>
      <c r="R26" s="5">
        <v>1.1616439796589e-12</v>
      </c>
      <c r="S26" s="5">
        <v>1.1615502603506e-12</v>
      </c>
      <c r="T26" s="5">
        <v>1.1615754016062e-12</v>
      </c>
      <c r="U26" s="5">
        <v>1.139724660413e-12</v>
      </c>
      <c r="V26" s="5">
        <v>1.1422090498535e-12</v>
      </c>
      <c r="W26" s="5">
        <v>1.1422154063784e-12</v>
      </c>
      <c r="X26" s="5">
        <v>1.142236464823e-12</v>
      </c>
      <c r="Y26" s="5">
        <v>1.1693403254119e-12</v>
      </c>
      <c r="Z26" s="5">
        <v>1.1693651456252e-12</v>
      </c>
      <c r="AA26" s="5">
        <v>1.1693778685652e-12</v>
      </c>
      <c r="AB26" s="3">
        <v>0.99999997034572</v>
      </c>
      <c r="AC26" s="3">
        <v>0.99730077127317</v>
      </c>
      <c r="AD26" s="3">
        <v>0.00064545663956772</v>
      </c>
      <c r="AE26" s="5">
        <v>-1.245535583281e-16</v>
      </c>
      <c r="AF26" s="5">
        <v>-3.4328227990273e-16</v>
      </c>
      <c r="AG26" s="5">
        <v>9.7349745809652e-16</v>
      </c>
      <c r="AH26" s="5">
        <v>-1.0630004048425e-15</v>
      </c>
      <c r="AI26" s="5">
        <v>-7.4971031100952e-17</v>
      </c>
      <c r="AJ26" s="5">
        <v>-1.6415942825152e-16</v>
      </c>
      <c r="AK26" s="5">
        <v>1.2367733183028e-16</v>
      </c>
      <c r="AL26" s="5">
        <v>2.7742854361113e-16</v>
      </c>
      <c r="AM26" s="5">
        <v>3.1228705015834e-16</v>
      </c>
      <c r="AN26" s="5">
        <v>1.2913405415285e-16</v>
      </c>
      <c r="AO26" s="5">
        <v>-9.1703901889602e-17</v>
      </c>
      <c r="AP26" s="5">
        <v>-1.1933519578928e-16</v>
      </c>
      <c r="AQ26" s="5">
        <v>5.2759668384718e-17</v>
      </c>
      <c r="AR26" s="5">
        <v>-3.3447189994729e-16</v>
      </c>
      <c r="AS26" s="5">
        <v>5.7580444119431e-16</v>
      </c>
      <c r="AT26" s="5">
        <v>2.1743842605078e-16</v>
      </c>
      <c r="AU26" s="5">
        <v>-2.613234938228e-18</v>
      </c>
      <c r="AV26" s="5">
        <v>-7.9675280100791e-16</v>
      </c>
      <c r="AW26" s="5">
        <v>3.5649994627405e-16</v>
      </c>
      <c r="AX26" s="5">
        <v>2.3712448867608e-16</v>
      </c>
      <c r="AY26" s="5">
        <v>1.5487305726409e-17</v>
      </c>
      <c r="AZ26" s="5">
        <v>-1.1576565009267e-16</v>
      </c>
      <c r="BA26" s="5">
        <v>4.7695149111524e-16</v>
      </c>
      <c r="BB26" s="5">
        <v>-6.5335606033164e-16</v>
      </c>
      <c r="BC26" s="3">
        <v>15878875.155837</v>
      </c>
      <c r="BD26" s="3">
        <v>3959234.6315318</v>
      </c>
      <c r="BE26" s="3">
        <v>-0.00014568040375095</v>
      </c>
      <c r="BF26" s="3">
        <v>0.00070423108594888</v>
      </c>
      <c r="BG26" s="3">
        <v>0.00027777920278472</v>
      </c>
      <c r="BH26" s="3">
        <v>-0.00047021126847213</v>
      </c>
      <c r="BI26" s="3">
        <v>100.46010989562</v>
      </c>
      <c r="BJ26" s="3">
        <v>50.231592428062</v>
      </c>
      <c r="BK26" s="3">
        <v>89.301727772743</v>
      </c>
      <c r="BL26" s="4"/>
      <c r="BM26" s="7"/>
    </row>
    <row r="27" spans="1:65">
      <c r="A27" s="3">
        <v>19905358.527675</v>
      </c>
      <c r="B27" s="3">
        <v>0.00029591360538987</v>
      </c>
      <c r="C27" s="6">
        <f t="shared" si="0"/>
        <v>1.54470697167839e-11</v>
      </c>
      <c r="D27" s="5">
        <v>1.1365162398681e-12</v>
      </c>
      <c r="E27" s="5">
        <v>1.1588619602874e-12</v>
      </c>
      <c r="F27" s="5">
        <v>1.1591142053362e-12</v>
      </c>
      <c r="G27" s="5">
        <v>1.1591017471646e-12</v>
      </c>
      <c r="H27" s="5">
        <v>1.1365315934218e-12</v>
      </c>
      <c r="I27" s="5">
        <v>1.1365185169193e-12</v>
      </c>
      <c r="J27" s="5">
        <v>1.1365139628181e-12</v>
      </c>
      <c r="K27" s="5">
        <v>1.1390978789864e-12</v>
      </c>
      <c r="L27" s="5">
        <v>1.1391223015601e-12</v>
      </c>
      <c r="M27" s="5">
        <v>1.1391040140604e-12</v>
      </c>
      <c r="N27" s="5">
        <v>1.1663476597574e-12</v>
      </c>
      <c r="O27" s="5">
        <v>1.1365264747773e-12</v>
      </c>
      <c r="P27" s="5">
        <v>1.1663154770874e-12</v>
      </c>
      <c r="Q27" s="5">
        <v>1.1663182113715e-12</v>
      </c>
      <c r="R27" s="5">
        <v>1.1589511541391e-12</v>
      </c>
      <c r="S27" s="5">
        <v>1.1588493263638e-12</v>
      </c>
      <c r="T27" s="5">
        <v>1.1588773446778e-12</v>
      </c>
      <c r="U27" s="5">
        <v>1.1366890265488e-12</v>
      </c>
      <c r="V27" s="5">
        <v>1.1391371081044e-12</v>
      </c>
      <c r="W27" s="5">
        <v>1.1391474447741e-12</v>
      </c>
      <c r="X27" s="5">
        <v>1.1391715392857e-12</v>
      </c>
      <c r="Y27" s="5">
        <v>1.1663474318048e-12</v>
      </c>
      <c r="Z27" s="5">
        <v>1.1663795452301e-12</v>
      </c>
      <c r="AA27" s="5">
        <v>1.1663960782762e-12</v>
      </c>
      <c r="AB27" s="3">
        <v>0.9999999732049</v>
      </c>
      <c r="AC27" s="3">
        <v>0.99724590398834</v>
      </c>
      <c r="AD27" s="3">
        <v>0.00067461331794925</v>
      </c>
      <c r="AE27" s="5">
        <v>-1.3258443076999e-16</v>
      </c>
      <c r="AF27" s="5">
        <v>-3.3259085324518e-16</v>
      </c>
      <c r="AG27" s="5">
        <v>7.7680054447672e-16</v>
      </c>
      <c r="AH27" s="5">
        <v>-1.1482963813487e-15</v>
      </c>
      <c r="AI27" s="5">
        <v>-9.0146518254878e-17</v>
      </c>
      <c r="AJ27" s="5">
        <v>-1.9875693372021e-16</v>
      </c>
      <c r="AK27" s="5">
        <v>1.2428853322497e-16</v>
      </c>
      <c r="AL27" s="5">
        <v>2.6096334408299e-16</v>
      </c>
      <c r="AM27" s="5">
        <v>3.7894831758033e-16</v>
      </c>
      <c r="AN27" s="5">
        <v>1.1825671721535e-16</v>
      </c>
      <c r="AO27" s="5">
        <v>-1.15956124358e-16</v>
      </c>
      <c r="AP27" s="5">
        <v>-1.2979749324004e-16</v>
      </c>
      <c r="AQ27" s="5">
        <v>6.0313109512258e-17</v>
      </c>
      <c r="AR27" s="5">
        <v>-3.3763477569509e-16</v>
      </c>
      <c r="AS27" s="5">
        <v>5.2381517500548e-16</v>
      </c>
      <c r="AT27" s="5">
        <v>2.31995563965e-16</v>
      </c>
      <c r="AU27" s="5">
        <v>9.6823627653418e-19</v>
      </c>
      <c r="AV27" s="5">
        <v>-8.8733553705582e-16</v>
      </c>
      <c r="AW27" s="5">
        <v>3.608210923323e-16</v>
      </c>
      <c r="AX27" s="5">
        <v>1.6160681648996e-16</v>
      </c>
      <c r="AY27" s="5">
        <v>3.608766002731e-17</v>
      </c>
      <c r="AZ27" s="5">
        <v>-1.2005158973333e-16</v>
      </c>
      <c r="BA27" s="5">
        <v>4.409399290261e-16</v>
      </c>
      <c r="BB27" s="5">
        <v>-6.7309833899673e-16</v>
      </c>
      <c r="BC27" s="3">
        <v>15864305.373174</v>
      </c>
      <c r="BD27" s="3">
        <v>3954361.7042551</v>
      </c>
      <c r="BE27" s="3">
        <v>-0.00013880685693643</v>
      </c>
      <c r="BF27" s="3">
        <v>0.00073766918886648</v>
      </c>
      <c r="BG27" s="3">
        <v>0.0002972711897203</v>
      </c>
      <c r="BH27" s="3">
        <v>-0.00044575597954676</v>
      </c>
      <c r="BI27" s="3">
        <v>100.46021024879</v>
      </c>
      <c r="BJ27" s="3">
        <v>50.231609582291</v>
      </c>
      <c r="BK27" s="3">
        <v>89.100140777359</v>
      </c>
      <c r="BL27" s="4"/>
      <c r="BM27" s="7"/>
    </row>
    <row r="28" spans="1:65">
      <c r="A28" s="3">
        <v>22334179.607548</v>
      </c>
      <c r="B28" s="3">
        <v>0.00033129738948862</v>
      </c>
      <c r="C28" s="6">
        <f t="shared" si="0"/>
        <v>1.53449038743928e-11</v>
      </c>
      <c r="D28" s="5">
        <v>1.1331723779904e-12</v>
      </c>
      <c r="E28" s="5">
        <v>1.1558778282343e-12</v>
      </c>
      <c r="F28" s="5">
        <v>1.156146385888e-12</v>
      </c>
      <c r="G28" s="5">
        <v>1.1561495955167e-12</v>
      </c>
      <c r="H28" s="5">
        <v>1.1331914079049e-12</v>
      </c>
      <c r="I28" s="5">
        <v>1.1331781457993e-12</v>
      </c>
      <c r="J28" s="5">
        <v>1.1331708468114e-12</v>
      </c>
      <c r="K28" s="5">
        <v>1.1357428012864e-12</v>
      </c>
      <c r="L28" s="5">
        <v>1.1357727050838e-12</v>
      </c>
      <c r="M28" s="5">
        <v>1.1357485559015e-12</v>
      </c>
      <c r="N28" s="5">
        <v>1.1630738806808e-12</v>
      </c>
      <c r="O28" s="5">
        <v>1.1331856217156e-12</v>
      </c>
      <c r="P28" s="5">
        <v>1.1630343128832e-12</v>
      </c>
      <c r="Q28" s="5">
        <v>1.1630378875599e-12</v>
      </c>
      <c r="R28" s="5">
        <v>1.1559769873519e-12</v>
      </c>
      <c r="S28" s="5">
        <v>1.1558656966605e-12</v>
      </c>
      <c r="T28" s="5">
        <v>1.1558969875842e-12</v>
      </c>
      <c r="U28" s="5">
        <v>1.1333709282496e-12</v>
      </c>
      <c r="V28" s="5">
        <v>1.1357837095752e-12</v>
      </c>
      <c r="W28" s="5">
        <v>1.1357991840618e-12</v>
      </c>
      <c r="X28" s="5">
        <v>1.1358267844508e-12</v>
      </c>
      <c r="Y28" s="5">
        <v>1.1630663027003e-12</v>
      </c>
      <c r="Z28" s="5">
        <v>1.1631072656435e-12</v>
      </c>
      <c r="AA28" s="5">
        <v>1.1631287641612e-12</v>
      </c>
      <c r="AB28" s="3">
        <v>0.99999997563342</v>
      </c>
      <c r="AC28" s="3">
        <v>0.99717343593939</v>
      </c>
      <c r="AD28" s="3">
        <v>0.00070737919465159</v>
      </c>
      <c r="AE28" s="5">
        <v>-1.3886209554643e-16</v>
      </c>
      <c r="AF28" s="5">
        <v>-3.2262710701949e-16</v>
      </c>
      <c r="AG28" s="5">
        <v>5.9047410669421e-16</v>
      </c>
      <c r="AH28" s="5">
        <v>-1.2265154703155e-15</v>
      </c>
      <c r="AI28" s="5">
        <v>-1.0900788361229e-16</v>
      </c>
      <c r="AJ28" s="5">
        <v>-2.4133384471848e-16</v>
      </c>
      <c r="AK28" s="5">
        <v>1.2244096261414e-16</v>
      </c>
      <c r="AL28" s="5">
        <v>2.4161754786032e-16</v>
      </c>
      <c r="AM28" s="5">
        <v>4.573930465472e-16</v>
      </c>
      <c r="AN28" s="5">
        <v>1.063129348729e-16</v>
      </c>
      <c r="AO28" s="5">
        <v>-1.4729409130388e-16</v>
      </c>
      <c r="AP28" s="5">
        <v>-1.4405096792626e-16</v>
      </c>
      <c r="AQ28" s="5">
        <v>6.4141807829133e-17</v>
      </c>
      <c r="AR28" s="5">
        <v>-3.437953658461e-16</v>
      </c>
      <c r="AS28" s="5">
        <v>4.7766162277861e-16</v>
      </c>
      <c r="AT28" s="5">
        <v>2.4375229898197e-16</v>
      </c>
      <c r="AU28" s="5">
        <v>8.6191197886718e-19</v>
      </c>
      <c r="AV28" s="5">
        <v>-9.8170510758268e-16</v>
      </c>
      <c r="AW28" s="5">
        <v>3.6711891796997e-16</v>
      </c>
      <c r="AX28" s="5">
        <v>8.1287292634643e-17</v>
      </c>
      <c r="AY28" s="5">
        <v>5.9702971460002e-17</v>
      </c>
      <c r="AZ28" s="5">
        <v>-1.249306933725e-16</v>
      </c>
      <c r="BA28" s="5">
        <v>3.9568870581937e-16</v>
      </c>
      <c r="BB28" s="5">
        <v>-6.9361660334204e-16</v>
      </c>
      <c r="BC28" s="3">
        <v>15848009.248053</v>
      </c>
      <c r="BD28" s="3">
        <v>3948919.3971559</v>
      </c>
      <c r="BE28" s="3">
        <v>-0.0001309931190849</v>
      </c>
      <c r="BF28" s="3">
        <v>0.00077493921486523</v>
      </c>
      <c r="BG28" s="3">
        <v>0.00031910706851923</v>
      </c>
      <c r="BH28" s="3">
        <v>-0.00041869973516444</v>
      </c>
      <c r="BI28" s="3">
        <v>100.46032155745</v>
      </c>
      <c r="BJ28" s="3">
        <v>50.231626471748</v>
      </c>
      <c r="BK28" s="3">
        <v>88.891713522298</v>
      </c>
      <c r="BL28" s="4"/>
      <c r="BM28" s="7"/>
    </row>
    <row r="29" spans="1:65">
      <c r="A29" s="3">
        <v>25059361.681364</v>
      </c>
      <c r="B29" s="3">
        <v>0.00037083471705659</v>
      </c>
      <c r="C29" s="6">
        <f t="shared" si="0"/>
        <v>1.52349525715738e-11</v>
      </c>
      <c r="D29" s="5">
        <v>1.1295204922616e-12</v>
      </c>
      <c r="E29" s="5">
        <v>1.1525901982099e-12</v>
      </c>
      <c r="F29" s="5">
        <v>1.1528765778815e-12</v>
      </c>
      <c r="G29" s="5">
        <v>1.1528984428829e-12</v>
      </c>
      <c r="H29" s="5">
        <v>1.1295439276177e-12</v>
      </c>
      <c r="I29" s="5">
        <v>1.1295310482978e-12</v>
      </c>
      <c r="J29" s="5">
        <v>1.1295198967837e-12</v>
      </c>
      <c r="K29" s="5">
        <v>1.1320806178616e-12</v>
      </c>
      <c r="L29" s="5">
        <v>1.1321176113027e-12</v>
      </c>
      <c r="M29" s="5">
        <v>1.1320857978544e-12</v>
      </c>
      <c r="N29" s="5">
        <v>1.1594945940347e-12</v>
      </c>
      <c r="O29" s="5">
        <v>1.1295374243814e-12</v>
      </c>
      <c r="P29" s="5">
        <v>1.1594456275336e-12</v>
      </c>
      <c r="Q29" s="5">
        <v>1.1594502325534e-12</v>
      </c>
      <c r="R29" s="5">
        <v>1.1527015143564e-12</v>
      </c>
      <c r="S29" s="5">
        <v>1.1525789010901e-12</v>
      </c>
      <c r="T29" s="5">
        <v>1.1526139215687e-12</v>
      </c>
      <c r="U29" s="5">
        <v>1.1297491230682e-12</v>
      </c>
      <c r="V29" s="5">
        <v>1.1321229447776e-12</v>
      </c>
      <c r="W29" s="5">
        <v>1.1321450187172e-12</v>
      </c>
      <c r="X29" s="5">
        <v>1.1321766678705e-12</v>
      </c>
      <c r="Y29" s="5">
        <v>1.1594771420662e-12</v>
      </c>
      <c r="Z29" s="5">
        <v>1.1595288021763e-12</v>
      </c>
      <c r="AA29" s="5">
        <v>1.1595567498421e-12</v>
      </c>
      <c r="AB29" s="3">
        <v>0.99999997767039</v>
      </c>
      <c r="AC29" s="3">
        <v>0.99707841326512</v>
      </c>
      <c r="AD29" s="3">
        <v>0.00074418284936839</v>
      </c>
      <c r="AE29" s="5">
        <v>-1.4301658324268e-16</v>
      </c>
      <c r="AF29" s="5">
        <v>-3.1306035889417e-16</v>
      </c>
      <c r="AG29" s="5">
        <v>4.1388726933102e-16</v>
      </c>
      <c r="AH29" s="5">
        <v>-1.2942144122146e-15</v>
      </c>
      <c r="AI29" s="5">
        <v>-1.3214556048379e-16</v>
      </c>
      <c r="AJ29" s="5">
        <v>-2.9425609128838e-16</v>
      </c>
      <c r="AK29" s="5">
        <v>1.1771384807976e-16</v>
      </c>
      <c r="AL29" s="5">
        <v>2.192085340256e-16</v>
      </c>
      <c r="AM29" s="5">
        <v>5.5062865019161e-16</v>
      </c>
      <c r="AN29" s="5">
        <v>9.3406118960953e-17</v>
      </c>
      <c r="AO29" s="5">
        <v>-1.8659487093194e-16</v>
      </c>
      <c r="AP29" s="5">
        <v>-1.6345461386295e-16</v>
      </c>
      <c r="AQ29" s="5">
        <v>6.3019213483381e-17</v>
      </c>
      <c r="AR29" s="5">
        <v>-3.5342024579843e-16</v>
      </c>
      <c r="AS29" s="5">
        <v>4.3873803424713e-16</v>
      </c>
      <c r="AT29" s="5">
        <v>2.5189020438518e-16</v>
      </c>
      <c r="AU29" s="5">
        <v>-3.0450680101158e-18</v>
      </c>
      <c r="AV29" s="5">
        <v>-1.0791748121841e-15</v>
      </c>
      <c r="AW29" s="5">
        <v>3.755304221528e-16</v>
      </c>
      <c r="AX29" s="5">
        <v>-3.8347308441102e-18</v>
      </c>
      <c r="AY29" s="5">
        <v>8.6567707239918e-17</v>
      </c>
      <c r="AZ29" s="5">
        <v>-1.3065964314333e-16</v>
      </c>
      <c r="BA29" s="5">
        <v>3.3931439696297e-16</v>
      </c>
      <c r="BB29" s="5">
        <v>-7.1378778398634e-16</v>
      </c>
      <c r="BC29" s="3">
        <v>15829788.509956</v>
      </c>
      <c r="BD29" s="3">
        <v>3942844.3809362</v>
      </c>
      <c r="BE29" s="3">
        <v>-0.00012210640755182</v>
      </c>
      <c r="BF29" s="3">
        <v>0.00081645723450872</v>
      </c>
      <c r="BG29" s="3">
        <v>0.00034356483461316</v>
      </c>
      <c r="BH29" s="3">
        <v>-0.0003890886950576</v>
      </c>
      <c r="BI29" s="3">
        <v>100.46044424343</v>
      </c>
      <c r="BJ29" s="3">
        <v>50.231642308117</v>
      </c>
      <c r="BK29" s="3">
        <v>88.678509135648</v>
      </c>
      <c r="BL29" s="4"/>
      <c r="BM29" s="7"/>
    </row>
    <row r="30" spans="1:65">
      <c r="A30" s="3">
        <v>28117066.259518</v>
      </c>
      <c r="B30" s="3">
        <v>0.00041499701852284</v>
      </c>
      <c r="C30" s="6">
        <f t="shared" si="0"/>
        <v>1.5116974031074e-11</v>
      </c>
      <c r="D30" s="5">
        <v>1.1255366987423e-12</v>
      </c>
      <c r="E30" s="5">
        <v>1.1489771890809e-12</v>
      </c>
      <c r="F30" s="5">
        <v>1.1492832781776e-12</v>
      </c>
      <c r="G30" s="5">
        <v>1.149326942045e-12</v>
      </c>
      <c r="H30" s="5">
        <v>1.1255653832396e-12</v>
      </c>
      <c r="I30" s="5">
        <v>1.1255538004111e-12</v>
      </c>
      <c r="J30" s="5">
        <v>1.1255372234183e-12</v>
      </c>
      <c r="K30" s="5">
        <v>1.1280803101767e-12</v>
      </c>
      <c r="L30" s="5">
        <v>1.1281265873823e-12</v>
      </c>
      <c r="M30" s="5">
        <v>1.1280846876975e-12</v>
      </c>
      <c r="N30" s="5">
        <v>1.1555832795434e-12</v>
      </c>
      <c r="O30" s="5">
        <v>1.1255581406739e-12</v>
      </c>
      <c r="P30" s="5">
        <v>1.1555222224371e-12</v>
      </c>
      <c r="Q30" s="5">
        <v>1.1555280953374e-12</v>
      </c>
      <c r="R30" s="5">
        <v>1.1491035898613e-12</v>
      </c>
      <c r="S30" s="5">
        <v>1.1489670675023e-12</v>
      </c>
      <c r="T30" s="5">
        <v>1.1490063470817e-12</v>
      </c>
      <c r="U30" s="5">
        <v>1.1258005207629e-12</v>
      </c>
      <c r="V30" s="5">
        <v>1.1281237183479e-12</v>
      </c>
      <c r="W30" s="5">
        <v>1.1281542416063e-12</v>
      </c>
      <c r="X30" s="5">
        <v>1.128190557022e-12</v>
      </c>
      <c r="Y30" s="5">
        <v>1.1555526631194e-12</v>
      </c>
      <c r="Z30" s="5">
        <v>1.1556172218247e-12</v>
      </c>
      <c r="AA30" s="5">
        <v>1.1556535077406e-12</v>
      </c>
      <c r="AB30" s="3">
        <v>0.99999997934685</v>
      </c>
      <c r="AC30" s="3">
        <v>0.99695415423494</v>
      </c>
      <c r="AD30" s="3">
        <v>0.00078549935606561</v>
      </c>
      <c r="AE30" s="5">
        <v>-1.4458999141939e-16</v>
      </c>
      <c r="AF30" s="5">
        <v>-3.033549278925e-16</v>
      </c>
      <c r="AG30" s="5">
        <v>2.4634146680916e-16</v>
      </c>
      <c r="AH30" s="5">
        <v>-1.3473153000369e-15</v>
      </c>
      <c r="AI30" s="5">
        <v>-1.6018558100909e-16</v>
      </c>
      <c r="AJ30" s="5">
        <v>-3.6084408331353e-16</v>
      </c>
      <c r="AK30" s="5">
        <v>1.0972008011101e-16</v>
      </c>
      <c r="AL30" s="5">
        <v>1.9350743739903e-16</v>
      </c>
      <c r="AM30" s="5">
        <v>6.627968594643e-16</v>
      </c>
      <c r="AN30" s="5">
        <v>7.9657779949039e-17</v>
      </c>
      <c r="AO30" s="5">
        <v>-2.345230798326e-16</v>
      </c>
      <c r="AP30" s="5">
        <v>-1.898385094375e-16</v>
      </c>
      <c r="AQ30" s="5">
        <v>5.5378883809783e-17</v>
      </c>
      <c r="AR30" s="5">
        <v>-3.6695566180261e-16</v>
      </c>
      <c r="AS30" s="5">
        <v>4.0941860709317e-16</v>
      </c>
      <c r="AT30" s="5">
        <v>2.5551820001668e-16</v>
      </c>
      <c r="AU30" s="5">
        <v>-1.0536972916433e-17</v>
      </c>
      <c r="AV30" s="5">
        <v>-1.1788233522311e-15</v>
      </c>
      <c r="AW30" s="5">
        <v>3.8638681782176e-16</v>
      </c>
      <c r="AX30" s="5">
        <v>-9.4100069791702e-17</v>
      </c>
      <c r="AY30" s="5">
        <v>1.1692373221136e-16</v>
      </c>
      <c r="AZ30" s="5">
        <v>-1.3768632983496e-16</v>
      </c>
      <c r="BA30" s="5">
        <v>2.6960836336347e-16</v>
      </c>
      <c r="BB30" s="5">
        <v>-7.3191606970344e-16</v>
      </c>
      <c r="BC30" s="3">
        <v>15809423.542566</v>
      </c>
      <c r="BD30" s="3">
        <v>3936067.0833933</v>
      </c>
      <c r="BE30" s="3">
        <v>-0.00011199536308584</v>
      </c>
      <c r="BF30" s="3">
        <v>0.00086268047521137</v>
      </c>
      <c r="BG30" s="3">
        <v>0.00037095451729341</v>
      </c>
      <c r="BH30" s="3">
        <v>-0.0003571181547176</v>
      </c>
      <c r="BI30" s="3">
        <v>100.46057847477</v>
      </c>
      <c r="BJ30" s="3">
        <v>50.231656040893</v>
      </c>
      <c r="BK30" s="3">
        <v>88.463116707074</v>
      </c>
      <c r="BL30" s="4"/>
      <c r="BM30" s="7"/>
    </row>
    <row r="31" spans="1:65">
      <c r="A31" s="3">
        <v>31547867.22401</v>
      </c>
      <c r="B31" s="3">
        <v>0.00046430616128916</v>
      </c>
      <c r="C31" s="6">
        <f t="shared" si="0"/>
        <v>1.49907818910373e-11</v>
      </c>
      <c r="D31" s="5">
        <v>1.1211964749609e-12</v>
      </c>
      <c r="E31" s="5">
        <v>1.1450199804861e-12</v>
      </c>
      <c r="F31" s="5">
        <v>1.1453481593638e-12</v>
      </c>
      <c r="G31" s="5">
        <v>1.1454168234163e-12</v>
      </c>
      <c r="H31" s="5">
        <v>1.1212313755647e-12</v>
      </c>
      <c r="I31" s="5">
        <v>1.1212225232691e-12</v>
      </c>
      <c r="J31" s="5">
        <v>1.1211982734241e-12</v>
      </c>
      <c r="K31" s="5">
        <v>1.1237168365609e-12</v>
      </c>
      <c r="L31" s="5">
        <v>1.1237754291595e-12</v>
      </c>
      <c r="M31" s="5">
        <v>1.1237201465249e-12</v>
      </c>
      <c r="N31" s="5">
        <v>1.1513116103427e-12</v>
      </c>
      <c r="O31" s="5">
        <v>1.1212234214382e-12</v>
      </c>
      <c r="P31" s="5">
        <v>1.1512348115324e-12</v>
      </c>
      <c r="Q31" s="5">
        <v>1.1512422520438e-12</v>
      </c>
      <c r="R31" s="5">
        <v>1.1451654056385e-12</v>
      </c>
      <c r="S31" s="5">
        <v>1.1450113413181e-12</v>
      </c>
      <c r="T31" s="5">
        <v>1.145055498636e-12</v>
      </c>
      <c r="U31" s="5">
        <v>1.1215015532027e-12</v>
      </c>
      <c r="V31" s="5">
        <v>1.1237609094953e-12</v>
      </c>
      <c r="W31" s="5">
        <v>1.1238022429933e-12</v>
      </c>
      <c r="X31" s="5">
        <v>1.1238439077372e-12</v>
      </c>
      <c r="Y31" s="5">
        <v>1.1512634963354e-12</v>
      </c>
      <c r="Z31" s="5">
        <v>1.1513435944191e-12</v>
      </c>
      <c r="AA31" s="5">
        <v>1.1513906017494e-12</v>
      </c>
      <c r="AB31" s="3">
        <v>0.99999998068349</v>
      </c>
      <c r="AC31" s="3">
        <v>0.99679156200077</v>
      </c>
      <c r="AD31" s="3">
        <v>0.00083185483939319</v>
      </c>
      <c r="AE31" s="5">
        <v>-1.4295531365405e-16</v>
      </c>
      <c r="AF31" s="5">
        <v>-2.9273715248592e-16</v>
      </c>
      <c r="AG31" s="5">
        <v>8.7274043739338e-17</v>
      </c>
      <c r="AH31" s="5">
        <v>-1.3816246328137e-15</v>
      </c>
      <c r="AI31" s="5">
        <v>-1.938124278846e-16</v>
      </c>
      <c r="AJ31" s="5">
        <v>-4.4584179398671e-16</v>
      </c>
      <c r="AK31" s="5">
        <v>9.817896759484e-17</v>
      </c>
      <c r="AL31" s="5">
        <v>1.6436886540906e-16</v>
      </c>
      <c r="AM31" s="5">
        <v>7.996131680663e-16</v>
      </c>
      <c r="AN31" s="5">
        <v>6.5178200080091e-17</v>
      </c>
      <c r="AO31" s="5">
        <v>-2.9133113294294e-16</v>
      </c>
      <c r="AP31" s="5">
        <v>-2.2561038410069e-16</v>
      </c>
      <c r="AQ31" s="5">
        <v>3.9273263831533e-17</v>
      </c>
      <c r="AR31" s="5">
        <v>-3.8481002905977e-16</v>
      </c>
      <c r="AS31" s="5">
        <v>3.936037950647e-16</v>
      </c>
      <c r="AT31" s="5">
        <v>2.5374169748297e-16</v>
      </c>
      <c r="AU31" s="5">
        <v>-2.1199750346612e-17</v>
      </c>
      <c r="AV31" s="5">
        <v>-1.2798776865567e-15</v>
      </c>
      <c r="AW31" s="5">
        <v>4.003099893395e-16</v>
      </c>
      <c r="AX31" s="5">
        <v>-1.9013175569122e-16</v>
      </c>
      <c r="AY31" s="5">
        <v>1.5099361757992e-16</v>
      </c>
      <c r="AZ31" s="5">
        <v>-1.4670269673478e-16</v>
      </c>
      <c r="BA31" s="5">
        <v>1.8390576480884e-16</v>
      </c>
      <c r="BB31" s="5">
        <v>-7.4574539426044e-16</v>
      </c>
      <c r="BC31" s="3">
        <v>15786671.39802</v>
      </c>
      <c r="BD31" s="3">
        <v>3928511.3054567</v>
      </c>
      <c r="BE31" s="3">
        <v>-0.00010048776913392</v>
      </c>
      <c r="BF31" s="3">
        <v>0.00091411086418163</v>
      </c>
      <c r="BG31" s="3">
        <v>0.00040162157320796</v>
      </c>
      <c r="BH31" s="3">
        <v>-0.00032313743108821</v>
      </c>
      <c r="BI31" s="3">
        <v>100.46072416984</v>
      </c>
      <c r="BJ31" s="3">
        <v>50.231666347851</v>
      </c>
      <c r="BK31" s="3">
        <v>88.248681304052</v>
      </c>
      <c r="BL31" s="4"/>
      <c r="BM31" s="7"/>
    </row>
    <row r="32" spans="1:65">
      <c r="A32" s="3">
        <v>35397289.219207</v>
      </c>
      <c r="B32" s="3">
        <v>0.00051933934518091</v>
      </c>
      <c r="C32" s="6">
        <f t="shared" si="0"/>
        <v>1.48562206093498e-11</v>
      </c>
      <c r="D32" s="5">
        <v>1.1164800904573e-12</v>
      </c>
      <c r="E32" s="5">
        <v>1.1406756255113e-12</v>
      </c>
      <c r="F32" s="5">
        <v>1.1410289182391e-12</v>
      </c>
      <c r="G32" s="5">
        <v>1.1411256945785e-12</v>
      </c>
      <c r="H32" s="5">
        <v>1.1165222955849e-12</v>
      </c>
      <c r="I32" s="5">
        <v>1.1165183989682e-12</v>
      </c>
      <c r="J32" s="5">
        <v>1.1164832366502e-12</v>
      </c>
      <c r="K32" s="5">
        <v>1.1189663268742e-12</v>
      </c>
      <c r="L32" s="5">
        <v>1.1190414815078e-12</v>
      </c>
      <c r="M32" s="5">
        <v>1.1189682634127e-12</v>
      </c>
      <c r="N32" s="5">
        <v>1.1466526378581e-12</v>
      </c>
      <c r="O32" s="5">
        <v>1.1165137462671e-12</v>
      </c>
      <c r="P32" s="5">
        <v>1.146555069062e-12</v>
      </c>
      <c r="Q32" s="5">
        <v>1.1465644572157e-12</v>
      </c>
      <c r="R32" s="5">
        <v>1.1408454194214e-12</v>
      </c>
      <c r="S32" s="5">
        <v>1.1406686675957e-12</v>
      </c>
      <c r="T32" s="5">
        <v>1.1407184293465e-12</v>
      </c>
      <c r="U32" s="5">
        <v>1.1168336222496e-12</v>
      </c>
      <c r="V32" s="5">
        <v>1.1190105771283e-12</v>
      </c>
      <c r="W32" s="5">
        <v>1.119065760216e-12</v>
      </c>
      <c r="X32" s="5">
        <v>1.1191134964916e-12</v>
      </c>
      <c r="Y32" s="5">
        <v>1.1465812472314e-12</v>
      </c>
      <c r="Z32" s="5">
        <v>1.146680089334e-12</v>
      </c>
      <c r="AA32" s="5">
        <v>1.1467407888308e-12</v>
      </c>
      <c r="AB32" s="3">
        <v>0.99999998169132</v>
      </c>
      <c r="AC32" s="3">
        <v>0.99657814442887</v>
      </c>
      <c r="AD32" s="3">
        <v>0.00088383124374805</v>
      </c>
      <c r="AE32" s="5">
        <v>-1.3716532174324e-16</v>
      </c>
      <c r="AF32" s="5">
        <v>-2.8005737025444e-16</v>
      </c>
      <c r="AG32" s="5">
        <v>-6.3629352553573e-17</v>
      </c>
      <c r="AH32" s="5">
        <v>-1.3927813091234e-15</v>
      </c>
      <c r="AI32" s="5">
        <v>-2.3357632280458e-16</v>
      </c>
      <c r="AJ32" s="5">
        <v>-5.5612813911987e-16</v>
      </c>
      <c r="AK32" s="5">
        <v>8.2976412138876e-17</v>
      </c>
      <c r="AL32" s="5">
        <v>1.3171897992858e-16</v>
      </c>
      <c r="AM32" s="5">
        <v>9.6883906415844e-16</v>
      </c>
      <c r="AN32" s="5">
        <v>4.9979266314167e-17</v>
      </c>
      <c r="AO32" s="5">
        <v>-3.5647029300232e-16</v>
      </c>
      <c r="AP32" s="5">
        <v>-2.7388315832962e-16</v>
      </c>
      <c r="AQ32" s="5">
        <v>1.2305702541459e-17</v>
      </c>
      <c r="AR32" s="5">
        <v>-4.0737635027087e-16</v>
      </c>
      <c r="AS32" s="5">
        <v>3.9743348761429e-16</v>
      </c>
      <c r="AT32" s="5">
        <v>2.4572847247861e-16</v>
      </c>
      <c r="AU32" s="5">
        <v>-3.4276306723716e-17</v>
      </c>
      <c r="AV32" s="5">
        <v>-1.381289872961e-15</v>
      </c>
      <c r="AW32" s="5">
        <v>4.1847646750462e-16</v>
      </c>
      <c r="AX32" s="5">
        <v>-2.9264564270971e-16</v>
      </c>
      <c r="AY32" s="5">
        <v>1.8909777889414e-16</v>
      </c>
      <c r="AZ32" s="5">
        <v>-1.5882851655592e-16</v>
      </c>
      <c r="BA32" s="5">
        <v>7.9047175125903e-17</v>
      </c>
      <c r="BB32" s="5">
        <v>-7.5232471740098e-16</v>
      </c>
      <c r="BC32" s="3">
        <v>15761263.631763</v>
      </c>
      <c r="BD32" s="3">
        <v>3920093.8826831</v>
      </c>
      <c r="BE32" s="5">
        <v>-8.7387821057004e-5</v>
      </c>
      <c r="BF32" s="3">
        <v>0.00097129872656076</v>
      </c>
      <c r="BG32" s="3">
        <v>0.00043595059731415</v>
      </c>
      <c r="BH32" s="3">
        <v>-0.0002878002358035</v>
      </c>
      <c r="BI32" s="3">
        <v>100.46088081109</v>
      </c>
      <c r="BJ32" s="3">
        <v>50.231671479101</v>
      </c>
      <c r="BK32" s="3">
        <v>88.038912397803</v>
      </c>
      <c r="BL32" s="4"/>
      <c r="BM32" s="7"/>
    </row>
    <row r="33" spans="1:65">
      <c r="A33" s="3">
        <v>39716411.736215</v>
      </c>
      <c r="B33" s="3">
        <v>0.0005807342926575</v>
      </c>
      <c r="C33" s="6">
        <f t="shared" si="0"/>
        <v>1.471322974111e-11</v>
      </c>
      <c r="D33" s="5">
        <v>1.1113622572853e-12</v>
      </c>
      <c r="E33" s="5">
        <v>1.1358852385798e-12</v>
      </c>
      <c r="F33" s="5">
        <v>1.136267507701e-12</v>
      </c>
      <c r="G33" s="5">
        <v>1.1363952229645e-12</v>
      </c>
      <c r="H33" s="5">
        <v>1.1114129616472e-12</v>
      </c>
      <c r="I33" s="5">
        <v>1.1114174458031e-12</v>
      </c>
      <c r="J33" s="5">
        <v>1.1113666657328e-12</v>
      </c>
      <c r="K33" s="5">
        <v>1.1137886026257e-12</v>
      </c>
      <c r="L33" s="5">
        <v>1.1138863548239e-12</v>
      </c>
      <c r="M33" s="5">
        <v>1.1137888148195e-12</v>
      </c>
      <c r="N33" s="5">
        <v>1.1415847994586e-12</v>
      </c>
      <c r="O33" s="5">
        <v>1.1114040805753e-12</v>
      </c>
      <c r="P33" s="5">
        <v>1.1414594266996e-12</v>
      </c>
      <c r="Q33" s="5">
        <v>1.141471244866e-12</v>
      </c>
      <c r="R33" s="5">
        <v>1.1360867099385e-12</v>
      </c>
      <c r="S33" s="5">
        <v>1.1358799323722e-12</v>
      </c>
      <c r="T33" s="5">
        <v>1.135936162119e-12</v>
      </c>
      <c r="U33" s="5">
        <v>1.1117728011791e-12</v>
      </c>
      <c r="V33" s="5">
        <v>1.1138324966688e-12</v>
      </c>
      <c r="W33" s="5">
        <v>1.1139054964004e-12</v>
      </c>
      <c r="X33" s="5">
        <v>1.1139599940971e-12</v>
      </c>
      <c r="Y33" s="5">
        <v>1.1414823095726e-12</v>
      </c>
      <c r="Z33" s="5">
        <v>1.1416038478729e-12</v>
      </c>
      <c r="AA33" s="5">
        <v>1.141681892087e-12</v>
      </c>
      <c r="AB33" s="3">
        <v>0.99999998237126</v>
      </c>
      <c r="AC33" s="3">
        <v>0.99629674973088</v>
      </c>
      <c r="AD33" s="3">
        <v>0.00094207206284286</v>
      </c>
      <c r="AE33" s="5">
        <v>-1.2577842109059e-16</v>
      </c>
      <c r="AF33" s="5">
        <v>-2.635039444774e-16</v>
      </c>
      <c r="AG33" s="5">
        <v>-2.0630001504772e-16</v>
      </c>
      <c r="AH33" s="5">
        <v>-1.3769182163585e-15</v>
      </c>
      <c r="AI33" s="5">
        <v>-2.7990014629856e-16</v>
      </c>
      <c r="AJ33" s="5">
        <v>-7.0183478949536e-16</v>
      </c>
      <c r="AK33" s="5">
        <v>6.4037658626292e-17</v>
      </c>
      <c r="AL33" s="5">
        <v>9.540646804164e-17</v>
      </c>
      <c r="AM33" s="5">
        <v>1.181569516313e-15</v>
      </c>
      <c r="AN33" s="5">
        <v>3.3872626581221e-17</v>
      </c>
      <c r="AO33" s="5">
        <v>-4.2846368336745e-16</v>
      </c>
      <c r="AP33" s="5">
        <v>-3.3875797297585e-16</v>
      </c>
      <c r="AQ33" s="5">
        <v>-2.8386668116426e-17</v>
      </c>
      <c r="AR33" s="5">
        <v>-4.3502624847717e-16</v>
      </c>
      <c r="AS33" s="5">
        <v>4.299164642111e-16</v>
      </c>
      <c r="AT33" s="5">
        <v>2.3083477941286e-16</v>
      </c>
      <c r="AU33" s="5">
        <v>-4.8541797765745e-17</v>
      </c>
      <c r="AV33" s="5">
        <v>-1.4813769408907e-15</v>
      </c>
      <c r="AW33" s="5">
        <v>4.4282198005613e-16</v>
      </c>
      <c r="AX33" s="5">
        <v>-4.0344106604078e-16</v>
      </c>
      <c r="AY33" s="5">
        <v>2.3162744173609e-16</v>
      </c>
      <c r="AZ33" s="5">
        <v>-1.7582611878342e-16</v>
      </c>
      <c r="BA33" s="5">
        <v>-4.905235785801e-17</v>
      </c>
      <c r="BB33" s="5">
        <v>-7.4814966752632e-16</v>
      </c>
      <c r="BC33" s="3">
        <v>15732904.232649</v>
      </c>
      <c r="BD33" s="3">
        <v>3910724.5333144</v>
      </c>
      <c r="BE33" s="5">
        <v>-7.2474454030472e-5</v>
      </c>
      <c r="BF33" s="3">
        <v>0.0010348469684335</v>
      </c>
      <c r="BG33" s="3">
        <v>0.00047436938525358</v>
      </c>
      <c r="BH33" s="3">
        <v>-0.00025188637160295</v>
      </c>
      <c r="BI33" s="3">
        <v>100.46104755281</v>
      </c>
      <c r="BJ33" s="3">
        <v>50.23166938716</v>
      </c>
      <c r="BK33" s="3">
        <v>87.838047164304</v>
      </c>
      <c r="BL33" s="4"/>
      <c r="BM33" s="7"/>
    </row>
    <row r="34" spans="1:65">
      <c r="A34" s="3">
        <v>44562546.906688</v>
      </c>
      <c r="B34" s="3">
        <v>0.00064919506998751</v>
      </c>
      <c r="C34" s="6">
        <f t="shared" si="0"/>
        <v>1.45617954548743e-11</v>
      </c>
      <c r="D34" s="5">
        <v>1.1058426722558e-12</v>
      </c>
      <c r="E34" s="5">
        <v>1.1306058808258e-12</v>
      </c>
      <c r="F34" s="5">
        <v>1.1310220687209e-12</v>
      </c>
      <c r="G34" s="5">
        <v>1.1311830297775e-12</v>
      </c>
      <c r="H34" s="5">
        <v>1.1059031325386e-12</v>
      </c>
      <c r="I34" s="5">
        <v>1.1059212511895e-12</v>
      </c>
      <c r="J34" s="5">
        <v>1.1058479669583e-12</v>
      </c>
      <c r="K34" s="5">
        <v>1.1081733057e-12</v>
      </c>
      <c r="L34" s="5">
        <v>1.1083023696641e-12</v>
      </c>
      <c r="M34" s="5">
        <v>1.1081713936184e-12</v>
      </c>
      <c r="N34" s="5">
        <v>1.1360743052333e-12</v>
      </c>
      <c r="O34" s="5">
        <v>1.1058944236022e-12</v>
      </c>
      <c r="P34" s="5">
        <v>1.1359111374547e-12</v>
      </c>
      <c r="Q34" s="5">
        <v>1.1359259950539e-12</v>
      </c>
      <c r="R34" s="5">
        <v>1.1308490989621e-12</v>
      </c>
      <c r="S34" s="5">
        <v>1.130601775403e-12</v>
      </c>
      <c r="T34" s="5">
        <v>1.1306655192448e-12</v>
      </c>
      <c r="U34" s="5">
        <v>1.1063204218237e-12</v>
      </c>
      <c r="V34" s="5">
        <v>1.1082163200812e-12</v>
      </c>
      <c r="W34" s="5">
        <v>1.1083123993935e-12</v>
      </c>
      <c r="X34" s="5">
        <v>1.1083741790982e-12</v>
      </c>
      <c r="Y34" s="5">
        <v>1.1359299539022e-12</v>
      </c>
      <c r="Z34" s="5">
        <v>1.1360791676809e-12</v>
      </c>
      <c r="AA34" s="5">
        <v>1.1361789706864e-12</v>
      </c>
      <c r="AB34" s="3">
        <v>0.99999998271276</v>
      </c>
      <c r="AC34" s="3">
        <v>0.99592359288475</v>
      </c>
      <c r="AD34" s="3">
        <v>0.0010072880296705</v>
      </c>
      <c r="AE34" s="5">
        <v>-1.0644771984023e-16</v>
      </c>
      <c r="AF34" s="5">
        <v>-2.4014745007421e-16</v>
      </c>
      <c r="AG34" s="5">
        <v>-3.3938002904646e-16</v>
      </c>
      <c r="AH34" s="5">
        <v>-1.3312414924968e-15</v>
      </c>
      <c r="AI34" s="5">
        <v>-3.3304633401684e-16</v>
      </c>
      <c r="AJ34" s="5">
        <v>-8.9781410915921e-16</v>
      </c>
      <c r="AK34" s="5">
        <v>4.1521162749245e-17</v>
      </c>
      <c r="AL34" s="5">
        <v>5.5140319114271e-17</v>
      </c>
      <c r="AM34" s="5">
        <v>1.453841058201e-15</v>
      </c>
      <c r="AN34" s="5">
        <v>1.63649813629e-17</v>
      </c>
      <c r="AO34" s="5">
        <v>-5.050383159025e-16</v>
      </c>
      <c r="AP34" s="5">
        <v>-4.2548634796266e-16</v>
      </c>
      <c r="AQ34" s="5">
        <v>-8.6173213697217e-17</v>
      </c>
      <c r="AR34" s="5">
        <v>-4.6812456566673e-16</v>
      </c>
      <c r="AS34" s="5">
        <v>5.0485237368652e-16</v>
      </c>
      <c r="AT34" s="5">
        <v>2.0869367760733e-16</v>
      </c>
      <c r="AU34" s="5">
        <v>-6.2398480998348e-17</v>
      </c>
      <c r="AV34" s="5">
        <v>-1.5787212959725e-15</v>
      </c>
      <c r="AW34" s="5">
        <v>4.7624562904549e-16</v>
      </c>
      <c r="AX34" s="5">
        <v>-5.2586224980594e-16</v>
      </c>
      <c r="AY34" s="5">
        <v>2.7959139195132e-16</v>
      </c>
      <c r="AZ34" s="5">
        <v>-2.0032735248179e-16</v>
      </c>
      <c r="BA34" s="5">
        <v>-2.0612149953016e-16</v>
      </c>
      <c r="BB34" s="5">
        <v>-7.2934527063128e-16</v>
      </c>
      <c r="BC34" s="3">
        <v>15701267.014091</v>
      </c>
      <c r="BD34" s="3">
        <v>3900305.7483082</v>
      </c>
      <c r="BE34" s="5">
        <v>-5.5497574149575e-5</v>
      </c>
      <c r="BF34" s="3">
        <v>0.0011054153975326</v>
      </c>
      <c r="BG34" s="3">
        <v>0.0005173531489328</v>
      </c>
      <c r="BH34" s="3">
        <v>-0.00021662748903169</v>
      </c>
      <c r="BI34" s="3">
        <v>100.46122277206</v>
      </c>
      <c r="BJ34" s="3">
        <v>50.231657479985</v>
      </c>
      <c r="BK34" s="3">
        <v>87.650801737515</v>
      </c>
      <c r="BL34" s="4"/>
      <c r="BM34" s="7"/>
    </row>
    <row r="35" spans="1:65">
      <c r="A35" s="3">
        <v>50000000</v>
      </c>
      <c r="B35" s="3">
        <v>0.00072549832250713</v>
      </c>
      <c r="C35" s="6">
        <f t="shared" si="0"/>
        <v>1.44020008154407e-11</v>
      </c>
      <c r="D35" s="5">
        <v>1.0999013762518e-12</v>
      </c>
      <c r="E35" s="5">
        <v>1.124803825009e-12</v>
      </c>
      <c r="F35" s="5">
        <v>1.1252602691254e-12</v>
      </c>
      <c r="G35" s="5">
        <v>1.1254559727314e-12</v>
      </c>
      <c r="H35" s="5">
        <v>1.0999728146617e-12</v>
      </c>
      <c r="I35" s="5">
        <v>1.1000126177431e-12</v>
      </c>
      <c r="J35" s="5">
        <v>1.0999066722826e-12</v>
      </c>
      <c r="K35" s="5">
        <v>1.1020918504432e-12</v>
      </c>
      <c r="L35" s="5">
        <v>1.1022650178172e-12</v>
      </c>
      <c r="M35" s="5">
        <v>1.1020873600709e-12</v>
      </c>
      <c r="N35" s="5">
        <v>1.1300995803542e-12</v>
      </c>
      <c r="O35" s="5">
        <v>1.0999651702685e-12</v>
      </c>
      <c r="P35" s="5">
        <v>1.1298842253461e-12</v>
      </c>
      <c r="Q35" s="5">
        <v>1.1299028880617e-12</v>
      </c>
      <c r="R35" s="5">
        <v>1.125102773961e-12</v>
      </c>
      <c r="S35" s="5">
        <v>1.1247997377903e-12</v>
      </c>
      <c r="T35" s="5">
        <v>1.1248722856079e-12</v>
      </c>
      <c r="U35" s="5">
        <v>1.1004584929959e-12</v>
      </c>
      <c r="V35" s="5">
        <v>1.1021335815402e-12</v>
      </c>
      <c r="W35" s="5">
        <v>1.1022598650841e-12</v>
      </c>
      <c r="X35" s="5">
        <v>1.1023289905082e-12</v>
      </c>
      <c r="Y35" s="5">
        <v>1.1298983182983e-12</v>
      </c>
      <c r="Z35" s="5">
        <v>1.1300816409747e-12</v>
      </c>
      <c r="AA35" s="5">
        <v>1.1302084354358e-12</v>
      </c>
      <c r="AB35" s="3">
        <v>0.99999998269199</v>
      </c>
      <c r="AC35" s="3">
        <v>0.99542562758259</v>
      </c>
      <c r="AD35" s="3">
        <v>0.0010802636763696</v>
      </c>
      <c r="AE35" s="5">
        <v>-7.5199351505844e-17</v>
      </c>
      <c r="AF35" s="5">
        <v>-2.0512930312954e-16</v>
      </c>
      <c r="AG35" s="5">
        <v>-4.5933544224991e-16</v>
      </c>
      <c r="AH35" s="5">
        <v>-1.2537721791155e-15</v>
      </c>
      <c r="AI35" s="5">
        <v>-3.9301969212723e-16</v>
      </c>
      <c r="AJ35" s="5">
        <v>-1.1658450565049e-15</v>
      </c>
      <c r="AK35" s="5">
        <v>1.5545354644781e-17</v>
      </c>
      <c r="AL35" s="5">
        <v>1.0603671503774e-17</v>
      </c>
      <c r="AM35" s="5">
        <v>1.8064744904742e-15</v>
      </c>
      <c r="AN35" s="5">
        <v>-3.3987724285044e-18</v>
      </c>
      <c r="AO35" s="5">
        <v>-5.8307099174602e-16</v>
      </c>
      <c r="AP35" s="5">
        <v>-5.4061148418749e-16</v>
      </c>
      <c r="AQ35" s="5">
        <v>-1.6502995676068e-16</v>
      </c>
      <c r="AR35" s="5">
        <v>-5.0695075272515e-16</v>
      </c>
      <c r="AS35" s="5">
        <v>6.4210244813727e-16</v>
      </c>
      <c r="AT35" s="5">
        <v>1.7905302312262e-16</v>
      </c>
      <c r="AU35" s="5">
        <v>-7.3931845065505e-17</v>
      </c>
      <c r="AV35" s="5">
        <v>-1.6712629565803e-15</v>
      </c>
      <c r="AW35" s="5">
        <v>5.2277693397477e-16</v>
      </c>
      <c r="AX35" s="5">
        <v>-6.6403685083933e-16</v>
      </c>
      <c r="AY35" s="5">
        <v>3.3502363952495e-16</v>
      </c>
      <c r="AZ35" s="5">
        <v>-2.3625722582748e-16</v>
      </c>
      <c r="BA35" s="5">
        <v>-4.0043261956392e-16</v>
      </c>
      <c r="BB35" s="5">
        <v>-6.912581073976e-16</v>
      </c>
      <c r="BC35" s="3">
        <v>15665992.95795</v>
      </c>
      <c r="BD35" s="3">
        <v>3888733.0086428</v>
      </c>
      <c r="BE35" s="5">
        <v>-3.6174991726522e-5</v>
      </c>
      <c r="BF35" s="3">
        <v>0.0011837256014164</v>
      </c>
      <c r="BG35" s="3">
        <v>0.00056542911184227</v>
      </c>
      <c r="BH35" s="3">
        <v>-0.00018346283288072</v>
      </c>
      <c r="BI35" s="3">
        <v>100.46140415101</v>
      </c>
      <c r="BJ35" s="3">
        <v>50.231632850934</v>
      </c>
      <c r="BK35" s="3">
        <v>87.482265079881</v>
      </c>
      <c r="BL35" s="4"/>
      <c r="BM35" s="7"/>
    </row>
    <row r="36" spans="1:65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4"/>
      <c r="AD36" s="4"/>
      <c r="AE36" s="4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4"/>
      <c r="BE36" s="4"/>
      <c r="BF36" s="4"/>
      <c r="BG36" s="4"/>
      <c r="BH36" s="4"/>
      <c r="BI36" s="4"/>
      <c r="BJ36" s="4"/>
      <c r="BK36" s="4"/>
      <c r="BL36" s="4"/>
      <c r="BM36" s="7"/>
    </row>
    <row r="37" spans="1:65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4"/>
      <c r="AD37" s="4"/>
      <c r="AE37" s="4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4"/>
      <c r="BE37" s="4"/>
      <c r="BF37" s="4"/>
      <c r="BG37" s="4"/>
      <c r="BH37" s="4"/>
      <c r="BI37" s="4"/>
      <c r="BJ37" s="4"/>
      <c r="BK37" s="4"/>
      <c r="BL37" s="4"/>
      <c r="BM37" s="7"/>
    </row>
    <row r="38" spans="1:65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4"/>
      <c r="AD38" s="4"/>
      <c r="AE38" s="4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4"/>
      <c r="BE38" s="4"/>
      <c r="BF38" s="4"/>
      <c r="BG38" s="4"/>
      <c r="BH38" s="4"/>
      <c r="BI38" s="4"/>
      <c r="BJ38" s="4"/>
      <c r="BK38" s="4"/>
      <c r="BL38" s="4"/>
      <c r="BM38" s="7"/>
    </row>
    <row r="39" spans="1:65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4"/>
      <c r="AD39" s="4"/>
      <c r="AE39" s="4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4"/>
      <c r="BE39" s="4"/>
      <c r="BF39" s="4"/>
      <c r="BG39" s="4"/>
      <c r="BH39" s="4"/>
      <c r="BI39" s="4"/>
      <c r="BJ39" s="4"/>
      <c r="BK39" s="4"/>
      <c r="BL39" s="4"/>
      <c r="BM39" s="7"/>
    </row>
    <row r="40" spans="1:65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4"/>
      <c r="AD40" s="4"/>
      <c r="AE40" s="4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4"/>
      <c r="BE40" s="4"/>
      <c r="BF40" s="4"/>
      <c r="BG40" s="4"/>
      <c r="BH40" s="4"/>
      <c r="BI40" s="4"/>
      <c r="BJ40" s="4"/>
      <c r="BK40" s="4"/>
      <c r="BL40" s="4"/>
      <c r="BM40" s="7"/>
    </row>
    <row r="41" spans="1:64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4"/>
      <c r="AD41" s="4"/>
      <c r="AE41" s="4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4"/>
      <c r="BE41" s="4"/>
      <c r="BF41" s="4"/>
      <c r="BG41" s="4"/>
      <c r="BH41" s="4"/>
      <c r="BI41" s="4"/>
      <c r="BJ41" s="4"/>
      <c r="BK41" s="4"/>
      <c r="BL41" s="4"/>
    </row>
    <row r="42" spans="1:64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4"/>
      <c r="AD42" s="4"/>
      <c r="AE42" s="4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4"/>
      <c r="BE42" s="4"/>
      <c r="BF42" s="4"/>
      <c r="BG42" s="4"/>
      <c r="BH42" s="4"/>
      <c r="BI42" s="4"/>
      <c r="BJ42" s="4"/>
      <c r="BK42" s="4"/>
      <c r="BL42" s="4"/>
    </row>
    <row r="43" spans="1:64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4"/>
      <c r="AD43" s="4"/>
      <c r="AE43" s="4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4"/>
      <c r="BE43" s="4"/>
      <c r="BF43" s="4"/>
      <c r="BG43" s="4"/>
      <c r="BH43" s="4"/>
      <c r="BI43" s="4"/>
      <c r="BJ43" s="4"/>
      <c r="BK43" s="4"/>
      <c r="BL43" s="4"/>
    </row>
    <row r="44" spans="1:64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4"/>
      <c r="AD44" s="4"/>
      <c r="AE44" s="4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4"/>
      <c r="BE44" s="4"/>
      <c r="BF44" s="4"/>
      <c r="BG44" s="4"/>
      <c r="BH44" s="4"/>
      <c r="BI44" s="4"/>
      <c r="BJ44" s="4"/>
      <c r="BK44" s="4"/>
      <c r="BL44" s="4"/>
    </row>
    <row r="45" spans="1:64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4"/>
      <c r="AD45" s="4"/>
      <c r="AE45" s="4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4"/>
      <c r="BE45" s="4"/>
      <c r="BF45" s="4"/>
      <c r="BG45" s="4"/>
      <c r="BH45" s="4"/>
      <c r="BI45" s="4"/>
      <c r="BJ45" s="4"/>
      <c r="BK45" s="4"/>
      <c r="BL45" s="4"/>
    </row>
    <row r="46" spans="1:64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4"/>
      <c r="AD46" s="4"/>
      <c r="AE46" s="4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4"/>
      <c r="BE46" s="4"/>
      <c r="BF46" s="4"/>
      <c r="BG46" s="4"/>
      <c r="BH46" s="4"/>
      <c r="BI46" s="4"/>
      <c r="BJ46" s="4"/>
      <c r="BK46" s="4"/>
      <c r="BL46" s="4"/>
    </row>
    <row r="47" spans="1:64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4"/>
      <c r="AD47" s="4"/>
      <c r="AE47" s="4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4"/>
      <c r="BE47" s="4"/>
      <c r="BF47" s="4"/>
      <c r="BG47" s="4"/>
      <c r="BH47" s="4"/>
      <c r="BI47" s="4"/>
      <c r="BJ47" s="4"/>
      <c r="BK47" s="4"/>
      <c r="BL47" s="4"/>
    </row>
    <row r="48" spans="1:64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4"/>
      <c r="AD48" s="4"/>
      <c r="AE48" s="4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4"/>
      <c r="BE48" s="4"/>
      <c r="BF48" s="4"/>
      <c r="BG48" s="4"/>
      <c r="BH48" s="4"/>
      <c r="BI48" s="4"/>
      <c r="BJ48" s="4"/>
      <c r="BK48" s="4"/>
      <c r="BL48" s="4"/>
    </row>
    <row r="49" spans="1:64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4"/>
      <c r="AD49" s="4"/>
      <c r="AE49" s="4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4"/>
      <c r="BE49" s="4"/>
      <c r="BF49" s="4"/>
      <c r="BG49" s="4"/>
      <c r="BH49" s="4"/>
      <c r="BI49" s="4"/>
      <c r="BJ49" s="4"/>
      <c r="BK49" s="4"/>
      <c r="BL49" s="4"/>
    </row>
    <row r="50" spans="1:64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4"/>
      <c r="AD50" s="4"/>
      <c r="AE50" s="4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4"/>
      <c r="BE50" s="4"/>
      <c r="BF50" s="4"/>
      <c r="BG50" s="4"/>
      <c r="BH50" s="4"/>
      <c r="BI50" s="4"/>
      <c r="BJ50" s="4"/>
      <c r="BK50" s="4"/>
      <c r="BL50" s="4"/>
    </row>
    <row r="51" spans="1:64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4"/>
      <c r="AD51" s="4"/>
      <c r="AE51" s="4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4"/>
      <c r="BE51" s="4"/>
      <c r="BF51" s="4"/>
      <c r="BG51" s="4"/>
      <c r="BH51" s="4"/>
      <c r="BI51" s="4"/>
      <c r="BJ51" s="4"/>
      <c r="BK51" s="4"/>
      <c r="BL51" s="4"/>
    </row>
    <row r="52" spans="1:64">
      <c r="A52" s="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4"/>
      <c r="AD52" s="4"/>
      <c r="AE52" s="4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4"/>
      <c r="BE52" s="4"/>
      <c r="BF52" s="4"/>
      <c r="BG52" s="4"/>
      <c r="BH52" s="4"/>
      <c r="BI52" s="4"/>
      <c r="BJ52" s="4"/>
      <c r="BK52" s="4"/>
      <c r="BL52" s="4"/>
    </row>
    <row r="53" spans="1:64">
      <c r="A53" s="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4"/>
      <c r="AD53" s="4"/>
      <c r="AE53" s="4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4"/>
      <c r="BE53" s="4"/>
      <c r="BF53" s="4"/>
      <c r="BG53" s="4"/>
      <c r="BH53" s="4"/>
      <c r="BI53" s="4"/>
      <c r="BJ53" s="4"/>
      <c r="BK53" s="4"/>
      <c r="BL53" s="4"/>
    </row>
    <row r="54" spans="1:64">
      <c r="A54" s="4"/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4"/>
      <c r="AD54" s="4"/>
      <c r="AE54" s="4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4"/>
      <c r="BE54" s="4"/>
      <c r="BF54" s="4"/>
      <c r="BG54" s="4"/>
      <c r="BH54" s="4"/>
      <c r="BI54" s="4"/>
      <c r="BJ54" s="4"/>
      <c r="BK54" s="4"/>
      <c r="BL54" s="4"/>
    </row>
    <row r="55" spans="1:64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4"/>
      <c r="AD55" s="4"/>
      <c r="AE55" s="4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4"/>
      <c r="BE55" s="4"/>
      <c r="BF55" s="4"/>
      <c r="BG55" s="4"/>
      <c r="BH55" s="4"/>
      <c r="BI55" s="4"/>
      <c r="BJ55" s="4"/>
      <c r="BK55" s="4"/>
      <c r="BL55" s="4"/>
    </row>
    <row r="56" spans="1:64">
      <c r="A56" s="4"/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4"/>
      <c r="AD56" s="4"/>
      <c r="AE56" s="4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4"/>
      <c r="BE56" s="4"/>
      <c r="BF56" s="4"/>
      <c r="BG56" s="4"/>
      <c r="BH56" s="4"/>
      <c r="BI56" s="4"/>
      <c r="BJ56" s="4"/>
      <c r="BK56" s="4"/>
      <c r="BL56" s="4"/>
    </row>
    <row r="57" spans="1:64">
      <c r="A57" s="4"/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4"/>
      <c r="AD57" s="4"/>
      <c r="AE57" s="4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4"/>
      <c r="BE57" s="4"/>
      <c r="BF57" s="4"/>
      <c r="BG57" s="4"/>
      <c r="BH57" s="4"/>
      <c r="BI57" s="4"/>
      <c r="BJ57" s="4"/>
      <c r="BK57" s="4"/>
      <c r="BL57" s="4"/>
    </row>
    <row r="58" spans="1:64">
      <c r="A58" s="4"/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4"/>
      <c r="AD58" s="4"/>
      <c r="AE58" s="4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4"/>
      <c r="BE58" s="4"/>
      <c r="BF58" s="4"/>
      <c r="BG58" s="4"/>
      <c r="BH58" s="4"/>
      <c r="BI58" s="4"/>
      <c r="BJ58" s="4"/>
      <c r="BK58" s="4"/>
      <c r="BL58" s="4"/>
    </row>
    <row r="59" spans="1:64">
      <c r="A59" s="4"/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4"/>
      <c r="AD59" s="4"/>
      <c r="AE59" s="4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4"/>
      <c r="BE59" s="4"/>
      <c r="BF59" s="4"/>
      <c r="BG59" s="4"/>
      <c r="BH59" s="4"/>
      <c r="BI59" s="4"/>
      <c r="BJ59" s="4"/>
      <c r="BK59" s="4"/>
      <c r="BL59" s="4"/>
    </row>
    <row r="60" spans="1:64">
      <c r="A60" s="4"/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4"/>
      <c r="AD60" s="4"/>
      <c r="AE60" s="4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4"/>
      <c r="BE60" s="4"/>
      <c r="BF60" s="4"/>
      <c r="BG60" s="4"/>
      <c r="BH60" s="4"/>
      <c r="BI60" s="4"/>
      <c r="BJ60" s="4"/>
      <c r="BK60" s="4"/>
      <c r="BL60" s="4"/>
    </row>
    <row r="61" spans="1:64">
      <c r="A61" s="4"/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4"/>
      <c r="AD61" s="4"/>
      <c r="AE61" s="4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4"/>
      <c r="BE61" s="4"/>
      <c r="BF61" s="4"/>
      <c r="BG61" s="4"/>
      <c r="BH61" s="4"/>
      <c r="BI61" s="4"/>
      <c r="BJ61" s="4"/>
      <c r="BK61" s="4"/>
      <c r="BL61" s="4"/>
    </row>
    <row r="62" spans="1:64">
      <c r="A62" s="4"/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4"/>
      <c r="AD62" s="4"/>
      <c r="AE62" s="4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4"/>
      <c r="BE62" s="4"/>
      <c r="BF62" s="4"/>
      <c r="BG62" s="4"/>
      <c r="BH62" s="4"/>
      <c r="BI62" s="4"/>
      <c r="BJ62" s="4"/>
      <c r="BK62" s="4"/>
      <c r="BL62" s="4"/>
    </row>
    <row r="63" spans="1:64">
      <c r="A63" s="4"/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4"/>
      <c r="AD63" s="4"/>
      <c r="AE63" s="4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4"/>
      <c r="BE63" s="4"/>
      <c r="BF63" s="4"/>
      <c r="BG63" s="4"/>
      <c r="BH63" s="4"/>
      <c r="BI63" s="4"/>
      <c r="BJ63" s="4"/>
      <c r="BK63" s="4"/>
      <c r="BL63" s="4"/>
    </row>
    <row r="64" spans="1:64">
      <c r="A64" s="4"/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4"/>
      <c r="AD64" s="4"/>
      <c r="AE64" s="4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4"/>
      <c r="BE64" s="4"/>
      <c r="BF64" s="4"/>
      <c r="BG64" s="4"/>
      <c r="BH64" s="4"/>
      <c r="BI64" s="4"/>
      <c r="BJ64" s="4"/>
      <c r="BK64" s="4"/>
      <c r="BL64" s="4"/>
    </row>
    <row r="65" spans="1:64">
      <c r="A65" s="4"/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4"/>
      <c r="AD65" s="4"/>
      <c r="AE65" s="4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4"/>
      <c r="BE65" s="4"/>
      <c r="BF65" s="4"/>
      <c r="BG65" s="4"/>
      <c r="BH65" s="4"/>
      <c r="BI65" s="4"/>
      <c r="BJ65" s="4"/>
      <c r="BK65" s="4"/>
      <c r="BL65" s="4"/>
    </row>
    <row r="66" spans="1:64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4"/>
      <c r="AD66" s="4"/>
      <c r="AE66" s="4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4"/>
      <c r="BE66" s="4"/>
      <c r="BF66" s="4"/>
      <c r="BG66" s="4"/>
      <c r="BH66" s="4"/>
      <c r="BI66" s="4"/>
      <c r="BJ66" s="4"/>
      <c r="BK66" s="4"/>
      <c r="BL66" s="4"/>
    </row>
    <row r="67" spans="1:64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4"/>
      <c r="AD67" s="4"/>
      <c r="AE67" s="4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4"/>
      <c r="BE67" s="4"/>
      <c r="BF67" s="4"/>
      <c r="BG67" s="4"/>
      <c r="BH67" s="4"/>
      <c r="BI67" s="4"/>
      <c r="BJ67" s="4"/>
      <c r="BK67" s="4"/>
      <c r="BL67" s="4"/>
    </row>
    <row r="68" spans="1:64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4"/>
      <c r="AD68" s="4"/>
      <c r="AE68" s="4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4"/>
      <c r="BE68" s="4"/>
      <c r="BF68" s="6"/>
      <c r="BG68" s="4"/>
      <c r="BH68" s="4"/>
      <c r="BI68" s="4"/>
      <c r="BJ68" s="4"/>
      <c r="BK68" s="4"/>
      <c r="BL68" s="4"/>
    </row>
    <row r="69" spans="1:64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4"/>
      <c r="AD69" s="4"/>
      <c r="AE69" s="4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4"/>
      <c r="BE69" s="4"/>
      <c r="BF69" s="6"/>
      <c r="BG69" s="4"/>
      <c r="BH69" s="4"/>
      <c r="BI69" s="4"/>
      <c r="BJ69" s="4"/>
      <c r="BK69" s="4"/>
      <c r="BL69" s="4"/>
    </row>
    <row r="70" spans="1:64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4"/>
      <c r="AD70" s="4"/>
      <c r="AE70" s="4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4"/>
      <c r="BE70" s="4"/>
      <c r="BF70" s="6"/>
      <c r="BG70" s="4"/>
      <c r="BH70" s="4"/>
      <c r="BI70" s="4"/>
      <c r="BJ70" s="4"/>
      <c r="BK70" s="4"/>
      <c r="BL70" s="4"/>
    </row>
    <row r="71" spans="1:64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4"/>
      <c r="AD71" s="4"/>
      <c r="AE71" s="4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4"/>
      <c r="BE71" s="4"/>
      <c r="BF71" s="6"/>
      <c r="BG71" s="4"/>
      <c r="BH71" s="4"/>
      <c r="BI71" s="4"/>
      <c r="BJ71" s="4"/>
      <c r="BK71" s="4"/>
      <c r="BL71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1"/>
  <sheetViews>
    <sheetView workbookViewId="0">
      <selection activeCell="C1" sqref="C1:C5"/>
    </sheetView>
  </sheetViews>
  <sheetFormatPr defaultColWidth="8.81333333333333" defaultRowHeight="15"/>
  <cols>
    <col min="1" max="4" width="12.4533333333333"/>
  </cols>
  <sheetData>
    <row r="1" spans="1:65">
      <c r="A1" s="3" t="s">
        <v>4</v>
      </c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4"/>
      <c r="BM1" s="7"/>
    </row>
    <row r="2" spans="1:65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4"/>
      <c r="BM2" s="7"/>
    </row>
    <row r="3" spans="1:65">
      <c r="A3" s="3">
        <v>0.39716411736214</v>
      </c>
      <c r="B3" s="5">
        <v>9.0377383898071e-15</v>
      </c>
      <c r="C3" s="6">
        <f>(BF3-BF2)/(A3-A2)</f>
        <v>3.91558534880861e-6</v>
      </c>
      <c r="D3" s="5">
        <v>3.2358112457542e-15</v>
      </c>
      <c r="E3" s="5">
        <v>3.2883291243752e-15</v>
      </c>
      <c r="F3" s="5">
        <v>3.2883291243752e-15</v>
      </c>
      <c r="G3" s="5">
        <v>3.2883291243752e-15</v>
      </c>
      <c r="H3" s="5">
        <v>3.2358112457542e-15</v>
      </c>
      <c r="I3" s="5">
        <v>3.2358112457542e-15</v>
      </c>
      <c r="J3" s="5">
        <v>3.2358112457542e-15</v>
      </c>
      <c r="K3" s="5">
        <v>3.245439816835e-15</v>
      </c>
      <c r="L3" s="5">
        <v>3.245439816835e-15</v>
      </c>
      <c r="M3" s="5">
        <v>3.245439816835e-15</v>
      </c>
      <c r="N3" s="5">
        <v>3.3129460922271e-15</v>
      </c>
      <c r="O3" s="5">
        <v>3.2358112457542e-15</v>
      </c>
      <c r="P3" s="5">
        <v>3.3129460922271e-15</v>
      </c>
      <c r="Q3" s="5">
        <v>3.3129460922271e-15</v>
      </c>
      <c r="R3" s="5">
        <v>3.2883291243752e-15</v>
      </c>
      <c r="S3" s="5">
        <v>3.2883291243752e-15</v>
      </c>
      <c r="T3" s="5">
        <v>3.2883291243752e-15</v>
      </c>
      <c r="U3" s="5">
        <v>3.2358112457542e-15</v>
      </c>
      <c r="V3" s="5">
        <v>3.245439816835e-15</v>
      </c>
      <c r="W3" s="5">
        <v>3.245439816835e-15</v>
      </c>
      <c r="X3" s="5">
        <v>3.245439816835e-15</v>
      </c>
      <c r="Y3" s="5">
        <v>3.3129460922271e-15</v>
      </c>
      <c r="Z3" s="5">
        <v>3.3129460922271e-15</v>
      </c>
      <c r="AA3" s="5">
        <v>3.3129460922271e-15</v>
      </c>
      <c r="AB3" s="3">
        <v>1</v>
      </c>
      <c r="AC3" s="3">
        <v>0.99999999999963</v>
      </c>
      <c r="AD3" s="5">
        <v>1.520953600895e-6</v>
      </c>
      <c r="AE3" s="5">
        <v>1.8335309785548e-29</v>
      </c>
      <c r="AF3" s="5">
        <v>-4.1533717985163e-29</v>
      </c>
      <c r="AG3" s="5">
        <v>6.7837366390936e-29</v>
      </c>
      <c r="AH3" s="5">
        <v>-9.923961541103e-29</v>
      </c>
      <c r="AI3" s="5">
        <v>-2.9204661427627e-30</v>
      </c>
      <c r="AJ3" s="5">
        <v>-6.0266024282417e-30</v>
      </c>
      <c r="AK3" s="5">
        <v>6.0283018647022e-30</v>
      </c>
      <c r="AL3" s="5">
        <v>3.5109519645914e-29</v>
      </c>
      <c r="AM3" s="5">
        <v>-3.2559078885334e-29</v>
      </c>
      <c r="AN3" s="5">
        <v>-3.9455868381747e-29</v>
      </c>
      <c r="AO3" s="5">
        <v>2.2288700808449e-29</v>
      </c>
      <c r="AP3" s="5">
        <v>-9.8051037847941e-30</v>
      </c>
      <c r="AQ3" s="5">
        <v>7.1652606952108e-29</v>
      </c>
      <c r="AR3" s="5">
        <v>-1.168099386333e-28</v>
      </c>
      <c r="AS3" s="5">
        <v>4.386232866366e-29</v>
      </c>
      <c r="AT3" s="5">
        <v>1.7237217385172e-29</v>
      </c>
      <c r="AU3" s="5">
        <v>-8.9275753290331e-29</v>
      </c>
      <c r="AV3" s="5">
        <v>1.0894077685304e-29</v>
      </c>
      <c r="AW3" s="5">
        <v>-2.5406814489954e-29</v>
      </c>
      <c r="AX3" s="5">
        <v>3.6803439266868e-29</v>
      </c>
      <c r="AY3" s="5">
        <v>-3.2379028207437e-29</v>
      </c>
      <c r="AZ3" s="5">
        <v>2.9090108869937e-29</v>
      </c>
      <c r="BA3" s="5">
        <v>9.0226527048481e-29</v>
      </c>
      <c r="BB3" s="5">
        <v>-7.7586376102573e-29</v>
      </c>
      <c r="BC3" s="3">
        <v>15999999.999985</v>
      </c>
      <c r="BD3" s="3">
        <v>3999999.9999986</v>
      </c>
      <c r="BE3" s="5">
        <v>-7.2939888578598e-7</v>
      </c>
      <c r="BF3" s="5">
        <v>1.5551299990157e-6</v>
      </c>
      <c r="BG3" s="5">
        <v>4.2994987719479e-7</v>
      </c>
      <c r="BH3" s="5">
        <v>-8.7697739868833e-9</v>
      </c>
      <c r="BI3" s="3">
        <v>0.36995268433891</v>
      </c>
      <c r="BJ3" s="3">
        <v>0.18497636594769</v>
      </c>
      <c r="BK3" s="3">
        <v>0.33771647463727</v>
      </c>
      <c r="BL3" s="4"/>
      <c r="BM3" s="7"/>
    </row>
    <row r="4" spans="1:65">
      <c r="A4" s="3">
        <v>3.9716411736214</v>
      </c>
      <c r="B4" s="5">
        <v>9.2497267525032e-13</v>
      </c>
      <c r="C4" s="6">
        <f>(BF4-BF3)/(A4-A3)</f>
        <v>3.91520349782887e-6</v>
      </c>
      <c r="D4" s="5">
        <v>3.2403764196418e-14</v>
      </c>
      <c r="E4" s="5">
        <v>3.2929176662657e-14</v>
      </c>
      <c r="F4" s="5">
        <v>3.2929176662657e-14</v>
      </c>
      <c r="G4" s="5">
        <v>3.2929176662657e-14</v>
      </c>
      <c r="H4" s="5">
        <v>3.2403764196418e-14</v>
      </c>
      <c r="I4" s="5">
        <v>3.2403764196418e-14</v>
      </c>
      <c r="J4" s="5">
        <v>3.2403764196418e-14</v>
      </c>
      <c r="K4" s="5">
        <v>3.2499764414848e-14</v>
      </c>
      <c r="L4" s="5">
        <v>3.2499764414848e-14</v>
      </c>
      <c r="M4" s="5">
        <v>3.2499764414848e-14</v>
      </c>
      <c r="N4" s="5">
        <v>3.3177518952347e-14</v>
      </c>
      <c r="O4" s="5">
        <v>3.2403764196418e-14</v>
      </c>
      <c r="P4" s="5">
        <v>3.3177518952347e-14</v>
      </c>
      <c r="Q4" s="5">
        <v>3.3177518952347e-14</v>
      </c>
      <c r="R4" s="5">
        <v>3.2929176662657e-14</v>
      </c>
      <c r="S4" s="5">
        <v>3.2929176662657e-14</v>
      </c>
      <c r="T4" s="5">
        <v>3.2929176662657e-14</v>
      </c>
      <c r="U4" s="5">
        <v>3.2403764196418e-14</v>
      </c>
      <c r="V4" s="5">
        <v>3.2499764414848e-14</v>
      </c>
      <c r="W4" s="5">
        <v>3.2499764414848e-14</v>
      </c>
      <c r="X4" s="5">
        <v>3.2499764414848e-14</v>
      </c>
      <c r="Y4" s="5">
        <v>3.3177518952347e-14</v>
      </c>
      <c r="Z4" s="5">
        <v>3.3177518952347e-14</v>
      </c>
      <c r="AA4" s="5">
        <v>3.3177518952347e-14</v>
      </c>
      <c r="AB4" s="3">
        <v>1</v>
      </c>
      <c r="AC4" s="3">
        <v>0.99999999999895</v>
      </c>
      <c r="AD4" s="5">
        <v>1.5208580068654e-5</v>
      </c>
      <c r="AE4" s="5">
        <v>2.2837589616446e-29</v>
      </c>
      <c r="AF4" s="5">
        <v>1.7457824924381e-27</v>
      </c>
      <c r="AG4" s="5">
        <v>2.8756937024264e-27</v>
      </c>
      <c r="AH4" s="5">
        <v>-1.5609006004778e-27</v>
      </c>
      <c r="AI4" s="5">
        <v>4.0515370516445e-28</v>
      </c>
      <c r="AJ4" s="5">
        <v>-4.357714526467e-28</v>
      </c>
      <c r="AK4" s="5">
        <v>-3.5595371520972e-28</v>
      </c>
      <c r="AL4" s="5">
        <v>1.2023200922157e-27</v>
      </c>
      <c r="AM4" s="5">
        <v>-5.1735965591424e-28</v>
      </c>
      <c r="AN4" s="5">
        <v>3.5306784535371e-28</v>
      </c>
      <c r="AO4" s="5">
        <v>6.7962719862408e-28</v>
      </c>
      <c r="AP4" s="5">
        <v>-5.4004019499627e-28</v>
      </c>
      <c r="AQ4" s="5">
        <v>1.3349478433319e-27</v>
      </c>
      <c r="AR4" s="5">
        <v>-2.5898885474074e-27</v>
      </c>
      <c r="AS4" s="5">
        <v>1.0653164243852e-27</v>
      </c>
      <c r="AT4" s="5">
        <v>2.3424418423644e-27</v>
      </c>
      <c r="AU4" s="5">
        <v>-2.0566345790783e-27</v>
      </c>
      <c r="AV4" s="5">
        <v>4.5201192822648e-28</v>
      </c>
      <c r="AW4" s="5">
        <v>1.0802653094361e-27</v>
      </c>
      <c r="AX4" s="5">
        <v>2.6191549099003e-27</v>
      </c>
      <c r="AY4" s="5">
        <v>1.0846285245821e-27</v>
      </c>
      <c r="AZ4" s="5">
        <v>-4.1868799073236e-28</v>
      </c>
      <c r="BA4" s="5">
        <v>1.0510316310674e-27</v>
      </c>
      <c r="BB4" s="5">
        <v>-3.1066947830513e-27</v>
      </c>
      <c r="BC4" s="3">
        <v>15999999.999055</v>
      </c>
      <c r="BD4" s="3">
        <v>3999999.9998551</v>
      </c>
      <c r="BE4" s="5">
        <v>-7.293880427235e-6</v>
      </c>
      <c r="BF4" s="5">
        <v>1.5549935072591e-5</v>
      </c>
      <c r="BG4" s="5">
        <v>4.2995890751036e-6</v>
      </c>
      <c r="BH4" s="5">
        <v>-8.770182048631e-7</v>
      </c>
      <c r="BI4" s="3">
        <v>3.6995237210101</v>
      </c>
      <c r="BJ4" s="3">
        <v>1.8497642382331</v>
      </c>
      <c r="BK4" s="3">
        <v>3.37714462559</v>
      </c>
      <c r="BL4" s="4"/>
      <c r="BM4" s="7"/>
    </row>
    <row r="5" spans="1:65">
      <c r="A5" s="3">
        <v>39.716411736214</v>
      </c>
      <c r="B5" s="5">
        <v>9.3604015678973e-11</v>
      </c>
      <c r="C5" s="6">
        <f>(BF5-BF4)/(A5-A4)</f>
        <v>3.9114283116973e-6</v>
      </c>
      <c r="D5" s="5">
        <v>3.2874701520546e-13</v>
      </c>
      <c r="E5" s="5">
        <v>3.3401220001943e-13</v>
      </c>
      <c r="F5" s="5">
        <v>3.3401220001943e-13</v>
      </c>
      <c r="G5" s="5">
        <v>3.3401220001943e-13</v>
      </c>
      <c r="H5" s="5">
        <v>3.2874701520546e-13</v>
      </c>
      <c r="I5" s="5">
        <v>3.2874701520546e-13</v>
      </c>
      <c r="J5" s="5">
        <v>3.2874701520546e-13</v>
      </c>
      <c r="K5" s="5">
        <v>3.2967929509199e-13</v>
      </c>
      <c r="L5" s="5">
        <v>3.2967929509199e-13</v>
      </c>
      <c r="M5" s="5">
        <v>3.2967929509199e-13</v>
      </c>
      <c r="N5" s="5">
        <v>3.3673403047537e-13</v>
      </c>
      <c r="O5" s="5">
        <v>3.2874701520546e-13</v>
      </c>
      <c r="P5" s="5">
        <v>3.3673403047537e-13</v>
      </c>
      <c r="Q5" s="5">
        <v>3.3673403047537e-13</v>
      </c>
      <c r="R5" s="5">
        <v>3.3401220001943e-13</v>
      </c>
      <c r="S5" s="5">
        <v>3.3401220001943e-13</v>
      </c>
      <c r="T5" s="5">
        <v>3.3401220001943e-13</v>
      </c>
      <c r="U5" s="5">
        <v>3.2874701520546e-13</v>
      </c>
      <c r="V5" s="5">
        <v>3.2967929509199e-13</v>
      </c>
      <c r="W5" s="5">
        <v>3.2967929509199e-13</v>
      </c>
      <c r="X5" s="5">
        <v>3.2967929509199e-13</v>
      </c>
      <c r="Y5" s="5">
        <v>3.3673403047537e-13</v>
      </c>
      <c r="Z5" s="5">
        <v>3.3673403047537e-13</v>
      </c>
      <c r="AA5" s="5">
        <v>3.3673403047537e-13</v>
      </c>
      <c r="AB5" s="3">
        <v>1</v>
      </c>
      <c r="AC5" s="3">
        <v>0.9999999904076</v>
      </c>
      <c r="AD5" s="3">
        <v>0.0001519903304712</v>
      </c>
      <c r="AE5" s="5">
        <v>5.0691203183197e-23</v>
      </c>
      <c r="AF5" s="5">
        <v>-1.2625942171952e-22</v>
      </c>
      <c r="AG5" s="5">
        <v>1.3159350523413e-21</v>
      </c>
      <c r="AH5" s="5">
        <v>-2.2460262770351e-22</v>
      </c>
      <c r="AI5" s="5">
        <v>-1.2456270946848e-23</v>
      </c>
      <c r="AJ5" s="5">
        <v>-1.7574333941047e-23</v>
      </c>
      <c r="AK5" s="5">
        <v>-1.6251656388143e-23</v>
      </c>
      <c r="AL5" s="5">
        <v>3.182074128265e-22</v>
      </c>
      <c r="AM5" s="5">
        <v>-8.2492477264493e-23</v>
      </c>
      <c r="AN5" s="5">
        <v>3.4108540301884e-23</v>
      </c>
      <c r="AO5" s="5">
        <v>-7.9119991305726e-23</v>
      </c>
      <c r="AP5" s="5">
        <v>-9.4920098982166e-23</v>
      </c>
      <c r="AQ5" s="5">
        <v>2.5528295023222e-23</v>
      </c>
      <c r="AR5" s="5">
        <v>-4.1272485300376e-22</v>
      </c>
      <c r="AS5" s="5">
        <v>5.6798077319882e-22</v>
      </c>
      <c r="AT5" s="5">
        <v>1.1767832032019e-22</v>
      </c>
      <c r="AU5" s="5">
        <v>-2.696148642404e-22</v>
      </c>
      <c r="AV5" s="5">
        <v>2.0115033973303e-22</v>
      </c>
      <c r="AW5" s="5">
        <v>3.3091977683486e-22</v>
      </c>
      <c r="AX5" s="5">
        <v>7.5498795139388e-22</v>
      </c>
      <c r="AY5" s="5">
        <v>1.0515984446123e-22</v>
      </c>
      <c r="AZ5" s="5">
        <v>1.8531447925607e-23</v>
      </c>
      <c r="BA5" s="5">
        <v>1.1186242432585e-22</v>
      </c>
      <c r="BB5" s="5">
        <v>-4.7335786014453e-22</v>
      </c>
      <c r="BC5" s="3">
        <v>15999999.93988</v>
      </c>
      <c r="BD5" s="3">
        <v>3999999.9853511</v>
      </c>
      <c r="BE5" s="5">
        <v>-7.2927973732127e-5</v>
      </c>
      <c r="BF5" s="3">
        <v>0.00015536304264624</v>
      </c>
      <c r="BG5" s="5">
        <v>4.3004891042373e-5</v>
      </c>
      <c r="BH5" s="5">
        <v>-8.7722073267458e-5</v>
      </c>
      <c r="BI5" s="3">
        <v>36.994924023449</v>
      </c>
      <c r="BJ5" s="3">
        <v>18.497699687171</v>
      </c>
      <c r="BK5" s="3">
        <v>33.769436336069</v>
      </c>
      <c r="BL5" s="4"/>
      <c r="BM5" s="7"/>
    </row>
    <row r="6" spans="1:65">
      <c r="A6" s="3">
        <v>397.16411736214</v>
      </c>
      <c r="B6" s="5">
        <v>8.2221672662012e-9</v>
      </c>
      <c r="C6" s="6">
        <f>(BF6-BF5)/(A6-A5)</f>
        <v>1.20163421933246e-6</v>
      </c>
      <c r="D6" s="5">
        <v>1.6611167486743e-12</v>
      </c>
      <c r="E6" s="5">
        <v>1.6862414035887e-12</v>
      </c>
      <c r="F6" s="5">
        <v>1.6862441252922e-12</v>
      </c>
      <c r="G6" s="5">
        <v>1.6862422572518e-12</v>
      </c>
      <c r="H6" s="5">
        <v>1.6611167312157e-12</v>
      </c>
      <c r="I6" s="5">
        <v>1.6611166933359e-12</v>
      </c>
      <c r="J6" s="5">
        <v>1.661116715773e-12</v>
      </c>
      <c r="K6" s="5">
        <v>1.6649049565196e-12</v>
      </c>
      <c r="L6" s="5">
        <v>1.6649049756114e-12</v>
      </c>
      <c r="M6" s="5">
        <v>1.6649050095028e-12</v>
      </c>
      <c r="N6" s="5">
        <v>1.7044479157164e-12</v>
      </c>
      <c r="O6" s="5">
        <v>1.6611167238982e-12</v>
      </c>
      <c r="P6" s="5">
        <v>1.7044479108608e-12</v>
      </c>
      <c r="Q6" s="5">
        <v>1.7044478948687e-12</v>
      </c>
      <c r="R6" s="5">
        <v>1.6862420673819e-12</v>
      </c>
      <c r="S6" s="5">
        <v>1.6862413672209e-12</v>
      </c>
      <c r="T6" s="5">
        <v>1.6862414814205e-12</v>
      </c>
      <c r="U6" s="5">
        <v>1.6611170439088e-12</v>
      </c>
      <c r="V6" s="5">
        <v>1.6649051256983e-12</v>
      </c>
      <c r="W6" s="5">
        <v>1.6649050471104e-12</v>
      </c>
      <c r="X6" s="5">
        <v>1.6649051013656e-12</v>
      </c>
      <c r="Y6" s="5">
        <v>1.704448104874e-12</v>
      </c>
      <c r="Z6" s="5">
        <v>1.7044480075099e-12</v>
      </c>
      <c r="AA6" s="5">
        <v>1.7044480087082e-12</v>
      </c>
      <c r="AB6" s="3">
        <v>0.99930220410876</v>
      </c>
      <c r="AC6" s="3">
        <v>0.88998851498906</v>
      </c>
      <c r="AD6" s="3">
        <v>0.00057267820002108</v>
      </c>
      <c r="AE6" s="5">
        <v>3.0115717762463e-14</v>
      </c>
      <c r="AF6" s="5">
        <v>-1.4838522759737e-13</v>
      </c>
      <c r="AG6" s="5">
        <v>3.5510897153079e-12</v>
      </c>
      <c r="AH6" s="5">
        <v>6.8214898220414e-13</v>
      </c>
      <c r="AI6" s="5">
        <v>-1.2060403169493e-14</v>
      </c>
      <c r="AJ6" s="5">
        <v>1.4521092228634e-15</v>
      </c>
      <c r="AK6" s="5">
        <v>-9.6565639688566e-15</v>
      </c>
      <c r="AL6" s="5">
        <v>5.2147035079993e-14</v>
      </c>
      <c r="AM6" s="5">
        <v>-3.309163801792e-14</v>
      </c>
      <c r="AN6" s="5">
        <v>3.4729693337298e-14</v>
      </c>
      <c r="AO6" s="5">
        <v>-2.937203347905e-14</v>
      </c>
      <c r="AP6" s="5">
        <v>-1.3255488805842e-14</v>
      </c>
      <c r="AQ6" s="5">
        <v>-6.9975584267017e-14</v>
      </c>
      <c r="AR6" s="5">
        <v>-7.8726846890922e-14</v>
      </c>
      <c r="AS6" s="5">
        <v>9.5113529916949e-13</v>
      </c>
      <c r="AT6" s="5">
        <v>-1.1242475839479e-13</v>
      </c>
      <c r="AU6" s="5">
        <v>-1.4999191111449e-13</v>
      </c>
      <c r="AV6" s="5">
        <v>3.7562926260574e-14</v>
      </c>
      <c r="AW6" s="5">
        <v>1.149251114168e-13</v>
      </c>
      <c r="AX6" s="5">
        <v>1.7898852765294e-13</v>
      </c>
      <c r="AY6" s="5">
        <v>-2.5483744906305e-14</v>
      </c>
      <c r="AZ6" s="5">
        <v>-3.6433348668798e-14</v>
      </c>
      <c r="BA6" s="5">
        <v>1.0977571457864e-13</v>
      </c>
      <c r="BB6" s="5">
        <v>-9.0115714975587e-14</v>
      </c>
      <c r="BC6" s="3">
        <v>15999996.798387</v>
      </c>
      <c r="BD6" s="3">
        <v>4000000.0575279</v>
      </c>
      <c r="BE6" s="3">
        <v>-0.00027528455034896</v>
      </c>
      <c r="BF6" s="3">
        <v>0.00058488443734823</v>
      </c>
      <c r="BG6" s="3">
        <v>0.00016252605481226</v>
      </c>
      <c r="BH6" s="3">
        <v>-0.0012370793889771</v>
      </c>
      <c r="BI6" s="3">
        <v>139.71796587687</v>
      </c>
      <c r="BJ6" s="3">
        <v>69.862324181655</v>
      </c>
      <c r="BK6" s="3">
        <v>127.51309229492</v>
      </c>
      <c r="BL6" s="4"/>
      <c r="BM6" s="7"/>
    </row>
    <row r="7" spans="1:65">
      <c r="A7" s="3">
        <v>3971.6411736214</v>
      </c>
      <c r="B7" s="5">
        <v>1.067354448959e-7</v>
      </c>
      <c r="C7" s="6">
        <f t="shared" ref="C7:C35" si="0">(BF7-BF6)/(A7-A6)</f>
        <v>3.06571097632423e-11</v>
      </c>
      <c r="D7" s="5">
        <v>1.6611101239254e-12</v>
      </c>
      <c r="E7" s="5">
        <v>1.6862421508549e-12</v>
      </c>
      <c r="F7" s="5">
        <v>1.6862876311684e-12</v>
      </c>
      <c r="G7" s="5">
        <v>1.6862569081437e-12</v>
      </c>
      <c r="H7" s="5">
        <v>1.6611097918386e-12</v>
      </c>
      <c r="I7" s="5">
        <v>1.6611090806298e-12</v>
      </c>
      <c r="J7" s="5">
        <v>1.6611094991883e-12</v>
      </c>
      <c r="K7" s="5">
        <v>1.664887434875e-12</v>
      </c>
      <c r="L7" s="5">
        <v>1.664887794292e-12</v>
      </c>
      <c r="M7" s="5">
        <v>1.6648884263114e-12</v>
      </c>
      <c r="N7" s="5">
        <v>1.7044298151297e-12</v>
      </c>
      <c r="O7" s="5">
        <v>1.6611096579797e-12</v>
      </c>
      <c r="P7" s="5">
        <v>1.7044297100081e-12</v>
      </c>
      <c r="Q7" s="5">
        <v>1.7044294159195e-12</v>
      </c>
      <c r="R7" s="5">
        <v>1.6862535916747e-12</v>
      </c>
      <c r="S7" s="5">
        <v>1.6862412861804e-12</v>
      </c>
      <c r="T7" s="5">
        <v>1.6862432120558e-12</v>
      </c>
      <c r="U7" s="5">
        <v>1.6611156676793e-12</v>
      </c>
      <c r="V7" s="5">
        <v>1.6648906190388e-12</v>
      </c>
      <c r="W7" s="5">
        <v>1.6648891443632e-12</v>
      </c>
      <c r="X7" s="5">
        <v>1.6648901642503e-12</v>
      </c>
      <c r="Y7" s="5">
        <v>1.7044333487839e-12</v>
      </c>
      <c r="Z7" s="5">
        <v>1.7044315482298e-12</v>
      </c>
      <c r="AA7" s="5">
        <v>1.7044315600573e-12</v>
      </c>
      <c r="AB7" s="3">
        <v>0.99959159059517</v>
      </c>
      <c r="AC7" s="3">
        <v>0.88998206215917</v>
      </c>
      <c r="AD7" s="3">
        <v>0.0005727738389328</v>
      </c>
      <c r="AE7" s="5">
        <v>2.9686493767104e-14</v>
      </c>
      <c r="AF7" s="5">
        <v>-1.4606235577972e-13</v>
      </c>
      <c r="AG7" s="5">
        <v>2.7722574672492e-12</v>
      </c>
      <c r="AH7" s="5">
        <v>4.6951292679987e-13</v>
      </c>
      <c r="AI7" s="5">
        <v>-1.1199303195641e-14</v>
      </c>
      <c r="AJ7" s="5">
        <v>1.4354529963722e-15</v>
      </c>
      <c r="AK7" s="5">
        <v>-9.4183440884932e-15</v>
      </c>
      <c r="AL7" s="5">
        <v>5.1989198404017e-14</v>
      </c>
      <c r="AM7" s="5">
        <v>-3.2798172836306e-14</v>
      </c>
      <c r="AN7" s="5">
        <v>3.4006753759708e-14</v>
      </c>
      <c r="AO7" s="5">
        <v>-2.9489460118229e-14</v>
      </c>
      <c r="AP7" s="5">
        <v>-1.32465445414e-14</v>
      </c>
      <c r="AQ7" s="5">
        <v>-6.7666614744596e-14</v>
      </c>
      <c r="AR7" s="5">
        <v>-7.7550685970463e-14</v>
      </c>
      <c r="AS7" s="5">
        <v>7.8967321820149e-13</v>
      </c>
      <c r="AT7" s="5">
        <v>-8.3076688649037e-14</v>
      </c>
      <c r="AU7" s="5">
        <v>-1.169882255301e-13</v>
      </c>
      <c r="AV7" s="5">
        <v>4.2349394074308e-14</v>
      </c>
      <c r="AW7" s="5">
        <v>1.1369939269951e-13</v>
      </c>
      <c r="AX7" s="5">
        <v>1.7831542203461e-13</v>
      </c>
      <c r="AY7" s="5">
        <v>-2.5597874855343e-14</v>
      </c>
      <c r="AZ7" s="5">
        <v>-3.3356744943394e-14</v>
      </c>
      <c r="BA7" s="5">
        <v>1.0863036171888e-13</v>
      </c>
      <c r="BB7" s="5">
        <v>-8.8285281121041e-14</v>
      </c>
      <c r="BC7" s="3">
        <v>15999960.074169</v>
      </c>
      <c r="BD7" s="3">
        <v>4000003.4698939</v>
      </c>
      <c r="BE7" s="3">
        <v>-0.00027529593904962</v>
      </c>
      <c r="BF7" s="3">
        <v>0.00058499402048369</v>
      </c>
      <c r="BG7" s="3">
        <v>0.00016257177433615</v>
      </c>
      <c r="BH7" s="3">
        <v>-0.0012375312284818</v>
      </c>
      <c r="BI7" s="3">
        <v>139.71795257264</v>
      </c>
      <c r="BJ7" s="3">
        <v>69.862323907853</v>
      </c>
      <c r="BK7" s="3">
        <v>127.51212107663</v>
      </c>
      <c r="BL7" s="4"/>
      <c r="BM7" s="7"/>
    </row>
    <row r="8" spans="1:65">
      <c r="A8" s="3">
        <v>39716.411736214</v>
      </c>
      <c r="B8" s="5">
        <v>1.0361138230646e-6</v>
      </c>
      <c r="C8" s="6">
        <f t="shared" si="0"/>
        <v>2.89276163227663e-11</v>
      </c>
      <c r="D8" s="5">
        <v>1.6610388227663e-12</v>
      </c>
      <c r="E8" s="5">
        <v>1.6862150803677e-12</v>
      </c>
      <c r="F8" s="5">
        <v>1.6864971384831e-12</v>
      </c>
      <c r="G8" s="5">
        <v>1.686320240094e-12</v>
      </c>
      <c r="H8" s="5">
        <v>1.661035284165e-12</v>
      </c>
      <c r="I8" s="5">
        <v>1.6610281896354e-12</v>
      </c>
      <c r="J8" s="5">
        <v>1.6610321474104e-12</v>
      </c>
      <c r="K8" s="5">
        <v>1.6647493147784e-12</v>
      </c>
      <c r="L8" s="5">
        <v>1.6647531226635e-12</v>
      </c>
      <c r="M8" s="5">
        <v>1.664758990814e-12</v>
      </c>
      <c r="N8" s="5">
        <v>1.7042882260145e-12</v>
      </c>
      <c r="O8" s="5">
        <v>1.6610342096067e-12</v>
      </c>
      <c r="P8" s="5">
        <v>1.7042862463402e-12</v>
      </c>
      <c r="Q8" s="5">
        <v>1.7042837239158e-12</v>
      </c>
      <c r="R8" s="5">
        <v>1.6862889032611e-12</v>
      </c>
      <c r="S8" s="5">
        <v>1.6862004711377e-12</v>
      </c>
      <c r="T8" s="5">
        <v>1.6862142799461e-12</v>
      </c>
      <c r="U8" s="5">
        <v>1.6610943416091e-12</v>
      </c>
      <c r="V8" s="5">
        <v>1.664781567834e-12</v>
      </c>
      <c r="W8" s="5">
        <v>1.6647671856708e-12</v>
      </c>
      <c r="X8" s="5">
        <v>1.6647772566079e-12</v>
      </c>
      <c r="Y8" s="5">
        <v>1.7043222553655e-12</v>
      </c>
      <c r="Z8" s="5">
        <v>1.7043061566977e-12</v>
      </c>
      <c r="AA8" s="5">
        <v>1.7043057816282e-12</v>
      </c>
      <c r="AB8" s="3">
        <v>0.99994375803599</v>
      </c>
      <c r="AC8" s="3">
        <v>0.88999321466739</v>
      </c>
      <c r="AD8" s="3">
        <v>0.00057365202281685</v>
      </c>
      <c r="AE8" s="5">
        <v>2.6396692589154e-14</v>
      </c>
      <c r="AF8" s="5">
        <v>-1.2907209902443e-13</v>
      </c>
      <c r="AG8" s="5">
        <v>1.0812768430013e-12</v>
      </c>
      <c r="AH8" s="5">
        <v>1.2545094577965e-14</v>
      </c>
      <c r="AI8" s="5">
        <v>-6.0773517746875e-15</v>
      </c>
      <c r="AJ8" s="5">
        <v>1.13194631962e-15</v>
      </c>
      <c r="AK8" s="5">
        <v>-7.7367362595059e-15</v>
      </c>
      <c r="AL8" s="5">
        <v>5.038037257954e-14</v>
      </c>
      <c r="AM8" s="5">
        <v>-3.0576227621622e-14</v>
      </c>
      <c r="AN8" s="5">
        <v>2.8681791955491e-14</v>
      </c>
      <c r="AO8" s="5">
        <v>-2.9425962491612e-14</v>
      </c>
      <c r="AP8" s="5">
        <v>-1.3165303951275e-14</v>
      </c>
      <c r="AQ8" s="5">
        <v>-5.1512291776233e-14</v>
      </c>
      <c r="AR8" s="5">
        <v>-6.9891577604177e-14</v>
      </c>
      <c r="AS8" s="5">
        <v>3.2807170192925e-13</v>
      </c>
      <c r="AT8" s="5">
        <v>-2.155266725457e-14</v>
      </c>
      <c r="AU8" s="5">
        <v>-6.1017581898829e-14</v>
      </c>
      <c r="AV8" s="5">
        <v>6.4353826179721e-14</v>
      </c>
      <c r="AW8" s="5">
        <v>1.0216299558131e-13</v>
      </c>
      <c r="AX8" s="5">
        <v>1.72080370972e-13</v>
      </c>
      <c r="AY8" s="5">
        <v>-2.5330524057767e-14</v>
      </c>
      <c r="AZ8" s="5">
        <v>-1.2574221964022e-14</v>
      </c>
      <c r="BA8" s="5">
        <v>1.0005224788177e-13</v>
      </c>
      <c r="BB8" s="5">
        <v>-7.7725078611482e-14</v>
      </c>
      <c r="BC8" s="3">
        <v>15999594.181289</v>
      </c>
      <c r="BD8" s="3">
        <v>4000006.6848965</v>
      </c>
      <c r="BE8" s="3">
        <v>-0.00027535041703423</v>
      </c>
      <c r="BF8" s="3">
        <v>0.00058602803149207</v>
      </c>
      <c r="BG8" s="3">
        <v>0.00016303161766674</v>
      </c>
      <c r="BH8" s="3">
        <v>-0.0012450142417308</v>
      </c>
      <c r="BI8" s="3">
        <v>139.71788968691</v>
      </c>
      <c r="BJ8" s="3">
        <v>69.862325058738</v>
      </c>
      <c r="BK8" s="3">
        <v>127.50298673589</v>
      </c>
      <c r="BL8" s="4"/>
      <c r="BM8" s="7"/>
    </row>
    <row r="9" spans="1:65">
      <c r="A9" s="3">
        <v>397164.11736214</v>
      </c>
      <c r="B9" s="5">
        <v>9.6847991260526e-6</v>
      </c>
      <c r="C9" s="6">
        <f t="shared" si="0"/>
        <v>2.70275496838699e-11</v>
      </c>
      <c r="D9" s="5">
        <v>1.6602729609491e-12</v>
      </c>
      <c r="E9" s="5">
        <v>1.6856872232038e-12</v>
      </c>
      <c r="F9" s="5">
        <v>1.6866868774054e-12</v>
      </c>
      <c r="G9" s="5">
        <v>1.6862123071747e-12</v>
      </c>
      <c r="H9" s="5">
        <v>1.6602404349661e-12</v>
      </c>
      <c r="I9" s="5">
        <v>1.660185074316e-12</v>
      </c>
      <c r="J9" s="5">
        <v>1.66020778789e-12</v>
      </c>
      <c r="K9" s="5">
        <v>1.663646391948e-12</v>
      </c>
      <c r="L9" s="5">
        <v>1.6636878777349e-12</v>
      </c>
      <c r="M9" s="5">
        <v>1.6637116323328e-12</v>
      </c>
      <c r="N9" s="5">
        <v>1.703195208383e-12</v>
      </c>
      <c r="O9" s="5">
        <v>1.6602432334717e-12</v>
      </c>
      <c r="P9" s="5">
        <v>1.7031501707223e-12</v>
      </c>
      <c r="Q9" s="5">
        <v>1.7031433338674e-12</v>
      </c>
      <c r="R9" s="5">
        <v>1.6858869395825e-12</v>
      </c>
      <c r="S9" s="5">
        <v>1.6855202948547e-12</v>
      </c>
      <c r="T9" s="5">
        <v>1.6855901424141e-12</v>
      </c>
      <c r="U9" s="5">
        <v>1.6607348294426e-12</v>
      </c>
      <c r="V9" s="5">
        <v>1.6639131316993e-12</v>
      </c>
      <c r="W9" s="5">
        <v>1.6638222360972e-12</v>
      </c>
      <c r="X9" s="5">
        <v>1.6638903948578e-12</v>
      </c>
      <c r="Y9" s="5">
        <v>1.7034195036577e-12</v>
      </c>
      <c r="Z9" s="5">
        <v>1.7033572717912e-12</v>
      </c>
      <c r="AA9" s="5">
        <v>1.7033471827341e-12</v>
      </c>
      <c r="AB9" s="3">
        <v>0.99998717325824</v>
      </c>
      <c r="AC9" s="3">
        <v>0.89102094953974</v>
      </c>
      <c r="AD9" s="3">
        <v>0.00058159248426445</v>
      </c>
      <c r="AE9" s="5">
        <v>1.2151971929483e-14</v>
      </c>
      <c r="AF9" s="5">
        <v>-7.6046476895055e-14</v>
      </c>
      <c r="AG9" s="5">
        <v>1.9863219848908e-13</v>
      </c>
      <c r="AH9" s="5">
        <v>-1.2257676145227e-13</v>
      </c>
      <c r="AI9" s="5">
        <v>6.5747419374671e-16</v>
      </c>
      <c r="AJ9" s="5">
        <v>-1.1320767708186e-15</v>
      </c>
      <c r="AK9" s="5">
        <v>-5.828447725422e-15</v>
      </c>
      <c r="AL9" s="5">
        <v>4.0388416064106e-14</v>
      </c>
      <c r="AM9" s="5">
        <v>-1.9535871961331e-14</v>
      </c>
      <c r="AN9" s="5">
        <v>9.8373762272179e-15</v>
      </c>
      <c r="AO9" s="5">
        <v>-2.6133936660795e-14</v>
      </c>
      <c r="AP9" s="5">
        <v>-1.247392663354e-14</v>
      </c>
      <c r="AQ9" s="5">
        <v>-1.7014041126008e-14</v>
      </c>
      <c r="AR9" s="5">
        <v>-4.7391661935283e-14</v>
      </c>
      <c r="AS9" s="5">
        <v>5.8194970153867e-14</v>
      </c>
      <c r="AT9" s="5">
        <v>4.7505575196976e-15</v>
      </c>
      <c r="AU9" s="5">
        <v>-2.5303816502473e-14</v>
      </c>
      <c r="AV9" s="5">
        <v>7.4813272773926e-14</v>
      </c>
      <c r="AW9" s="5">
        <v>7.5420956165504e-14</v>
      </c>
      <c r="AX9" s="5">
        <v>1.3565108046966e-13</v>
      </c>
      <c r="AY9" s="5">
        <v>-1.5068329499551e-14</v>
      </c>
      <c r="AZ9" s="5">
        <v>1.9071331618869e-14</v>
      </c>
      <c r="BA9" s="5">
        <v>6.3478008154552e-14</v>
      </c>
      <c r="BB9" s="5">
        <v>-5.4414924916556e-14</v>
      </c>
      <c r="BC9" s="3">
        <v>15995984.997965</v>
      </c>
      <c r="BD9" s="3">
        <v>3999675.6001679</v>
      </c>
      <c r="BE9" s="3">
        <v>-0.00027523739415027</v>
      </c>
      <c r="BF9" s="3">
        <v>0.00059568896711526</v>
      </c>
      <c r="BG9" s="3">
        <v>0.00016764982494332</v>
      </c>
      <c r="BH9" s="3">
        <v>-0.0012746453423689</v>
      </c>
      <c r="BI9" s="3">
        <v>139.71772085934</v>
      </c>
      <c r="BJ9" s="3">
        <v>69.862334167198</v>
      </c>
      <c r="BK9" s="3">
        <v>127.41500788749</v>
      </c>
      <c r="BL9" s="4"/>
      <c r="BM9" s="7"/>
    </row>
    <row r="10" spans="1:65">
      <c r="A10" s="3">
        <v>125594.32157548</v>
      </c>
      <c r="B10" s="5">
        <v>3.1656625145081e-6</v>
      </c>
      <c r="C10" s="6">
        <f t="shared" si="0"/>
        <v>2.68329949503091e-11</v>
      </c>
      <c r="D10" s="5">
        <v>1.6608270309538e-12</v>
      </c>
      <c r="E10" s="5">
        <v>1.6860818824555e-12</v>
      </c>
      <c r="F10" s="5">
        <v>1.6866682403379e-12</v>
      </c>
      <c r="G10" s="5">
        <v>1.6863403630943e-12</v>
      </c>
      <c r="H10" s="5">
        <v>1.6608145504851e-12</v>
      </c>
      <c r="I10" s="5">
        <v>1.6607917566532e-12</v>
      </c>
      <c r="J10" s="5">
        <v>1.6608031299813e-12</v>
      </c>
      <c r="K10" s="5">
        <v>1.664419506716e-12</v>
      </c>
      <c r="L10" s="5">
        <v>1.6644335059537e-12</v>
      </c>
      <c r="M10" s="5">
        <v>1.6644488054701e-12</v>
      </c>
      <c r="N10" s="5">
        <v>1.7039574488214e-12</v>
      </c>
      <c r="O10" s="5">
        <v>1.6608129404658e-12</v>
      </c>
      <c r="P10" s="5">
        <v>1.703945617913e-12</v>
      </c>
      <c r="Q10" s="5">
        <v>1.7039400756792e-12</v>
      </c>
      <c r="R10" s="5">
        <v>1.6862223990432e-12</v>
      </c>
      <c r="S10" s="5">
        <v>1.6860221753457e-12</v>
      </c>
      <c r="T10" s="5">
        <v>1.686056805072e-12</v>
      </c>
      <c r="U10" s="5">
        <v>1.6610085674286e-12</v>
      </c>
      <c r="V10" s="5">
        <v>1.6645256132242e-12</v>
      </c>
      <c r="W10" s="5">
        <v>1.6644827925521e-12</v>
      </c>
      <c r="X10" s="5">
        <v>1.6645138068415e-12</v>
      </c>
      <c r="Y10" s="5">
        <v>1.7040591398374e-12</v>
      </c>
      <c r="Z10" s="5">
        <v>1.704019002343e-12</v>
      </c>
      <c r="AA10" s="5">
        <v>1.704016058465e-12</v>
      </c>
      <c r="AB10" s="3">
        <v>0.99997141879043</v>
      </c>
      <c r="AC10" s="3">
        <v>0.89020861412495</v>
      </c>
      <c r="AD10" s="3">
        <v>0.00057562383879524</v>
      </c>
      <c r="AE10" s="5">
        <v>2.0287802025224e-14</v>
      </c>
      <c r="AF10" s="5">
        <v>-1.0416965623729e-13</v>
      </c>
      <c r="AG10" s="5">
        <v>4.6346566131774e-13</v>
      </c>
      <c r="AH10" s="5">
        <v>-1.103494593089e-13</v>
      </c>
      <c r="AI10" s="5">
        <v>-1.4394402995361e-15</v>
      </c>
      <c r="AJ10" s="5">
        <v>3.057897243479e-16</v>
      </c>
      <c r="AK10" s="5">
        <v>-6.5560036833152e-15</v>
      </c>
      <c r="AL10" s="5">
        <v>4.6590511519357e-14</v>
      </c>
      <c r="AM10" s="5">
        <v>-2.6246349755005e-14</v>
      </c>
      <c r="AN10" s="5">
        <v>1.9471679884874e-14</v>
      </c>
      <c r="AO10" s="5">
        <v>-2.8087178524137e-14</v>
      </c>
      <c r="AP10" s="5">
        <v>-1.2959041760558e-14</v>
      </c>
      <c r="AQ10" s="5">
        <v>-3.2313454187308e-14</v>
      </c>
      <c r="AR10" s="5">
        <v>-5.8814850118433e-14</v>
      </c>
      <c r="AS10" s="5">
        <v>1.347249905359e-13</v>
      </c>
      <c r="AT10" s="5">
        <v>-2.5678813759673e-15</v>
      </c>
      <c r="AU10" s="5">
        <v>-3.9421890889772e-14</v>
      </c>
      <c r="AV10" s="5">
        <v>7.7847293517191e-14</v>
      </c>
      <c r="AW10" s="5">
        <v>8.7710777124805e-14</v>
      </c>
      <c r="AX10" s="5">
        <v>1.5828516478829e-13</v>
      </c>
      <c r="AY10" s="5">
        <v>-2.2045590508483e-14</v>
      </c>
      <c r="AZ10" s="5">
        <v>8.9097396578424e-15</v>
      </c>
      <c r="BA10" s="5">
        <v>8.5022044604206e-14</v>
      </c>
      <c r="BB10" s="5">
        <v>-6.4811929579322e-14</v>
      </c>
      <c r="BC10" s="3">
        <v>15998721.332251</v>
      </c>
      <c r="BD10" s="3">
        <v>3999956.5947354</v>
      </c>
      <c r="BE10" s="3">
        <v>-0.00027537457728001</v>
      </c>
      <c r="BF10" s="3">
        <v>0.00058840193615626</v>
      </c>
      <c r="BG10" s="3">
        <v>0.00016414004506554</v>
      </c>
      <c r="BH10" s="3">
        <v>-0.0012418237360168</v>
      </c>
      <c r="BI10" s="3">
        <v>139.71781885646</v>
      </c>
      <c r="BJ10" s="3">
        <v>69.862325940669</v>
      </c>
      <c r="BK10" s="3">
        <v>127.48166844568</v>
      </c>
      <c r="BL10" s="4"/>
      <c r="BM10" s="7"/>
    </row>
    <row r="11" spans="1:65">
      <c r="A11" s="3">
        <v>397164.11736214</v>
      </c>
      <c r="B11" s="5">
        <v>9.674049662154e-6</v>
      </c>
      <c r="C11" s="6">
        <f t="shared" si="0"/>
        <v>2.67915032415669e-11</v>
      </c>
      <c r="D11" s="5">
        <v>1.6601637940886e-12</v>
      </c>
      <c r="E11" s="5">
        <v>1.6856033587379e-12</v>
      </c>
      <c r="F11" s="5">
        <v>1.6866467062664e-12</v>
      </c>
      <c r="G11" s="5">
        <v>1.6861649007693e-12</v>
      </c>
      <c r="H11" s="5">
        <v>1.660128189519e-12</v>
      </c>
      <c r="I11" s="5">
        <v>1.6600680045391e-12</v>
      </c>
      <c r="J11" s="5">
        <v>1.660091547033e-12</v>
      </c>
      <c r="K11" s="5">
        <v>1.6635054662691e-12</v>
      </c>
      <c r="L11" s="5">
        <v>1.6635524748605e-12</v>
      </c>
      <c r="M11" s="5">
        <v>1.6635752270552e-12</v>
      </c>
      <c r="N11" s="5">
        <v>1.7030572588554e-12</v>
      </c>
      <c r="O11" s="5">
        <v>1.6601327467872e-12</v>
      </c>
      <c r="P11" s="5">
        <v>1.7030052183104e-12</v>
      </c>
      <c r="Q11" s="5">
        <v>1.7029988415134e-12</v>
      </c>
      <c r="R11" s="5">
        <v>1.6858052545468e-12</v>
      </c>
      <c r="S11" s="5">
        <v>1.6854188307959e-12</v>
      </c>
      <c r="T11" s="5">
        <v>1.6854932471921e-12</v>
      </c>
      <c r="U11" s="5">
        <v>1.6606724134466e-12</v>
      </c>
      <c r="V11" s="5">
        <v>1.6637975573578e-12</v>
      </c>
      <c r="W11" s="5">
        <v>1.6637017873526e-12</v>
      </c>
      <c r="X11" s="5">
        <v>1.6637740775398e-12</v>
      </c>
      <c r="Y11" s="5">
        <v>1.7032971569323e-12</v>
      </c>
      <c r="Z11" s="5">
        <v>1.7032359972772e-12</v>
      </c>
      <c r="AA11" s="5">
        <v>1.7032250678312e-12</v>
      </c>
      <c r="AB11" s="3">
        <v>0.99997641312432</v>
      </c>
      <c r="AC11" s="3">
        <v>0.89118868809858</v>
      </c>
      <c r="AD11" s="3">
        <v>0.00058157824039118</v>
      </c>
      <c r="AE11" s="5">
        <v>1.1355079881243e-14</v>
      </c>
      <c r="AF11" s="5">
        <v>-7.3343755879409e-14</v>
      </c>
      <c r="AG11" s="5">
        <v>1.8666314200804e-13</v>
      </c>
      <c r="AH11" s="5">
        <v>-1.1985146567691e-13</v>
      </c>
      <c r="AI11" s="5">
        <v>6.3892021375455e-16</v>
      </c>
      <c r="AJ11" s="5">
        <v>-1.3009841070792e-15</v>
      </c>
      <c r="AK11" s="5">
        <v>-5.680682386325e-15</v>
      </c>
      <c r="AL11" s="5">
        <v>3.964268247475e-14</v>
      </c>
      <c r="AM11" s="5">
        <v>-1.874265149778e-14</v>
      </c>
      <c r="AN11" s="5">
        <v>9.1993034396082e-15</v>
      </c>
      <c r="AO11" s="5">
        <v>-2.5838082266685e-14</v>
      </c>
      <c r="AP11" s="5">
        <v>-1.238597289499e-14</v>
      </c>
      <c r="AQ11" s="5">
        <v>-1.5991886748746e-14</v>
      </c>
      <c r="AR11" s="5">
        <v>-4.6451754483884e-14</v>
      </c>
      <c r="AS11" s="5">
        <v>5.5146377911404e-14</v>
      </c>
      <c r="AT11" s="5">
        <v>5.1247796290518e-15</v>
      </c>
      <c r="AU11" s="5">
        <v>-2.4216645306785e-14</v>
      </c>
      <c r="AV11" s="5">
        <v>7.3060586971763e-14</v>
      </c>
      <c r="AW11" s="5">
        <v>7.4204452806908e-14</v>
      </c>
      <c r="AX11" s="5">
        <v>1.3284609134358e-13</v>
      </c>
      <c r="AY11" s="5">
        <v>-1.4206621480538e-14</v>
      </c>
      <c r="AZ11" s="5">
        <v>1.8967569228564e-14</v>
      </c>
      <c r="BA11" s="5">
        <v>6.1176772571031e-14</v>
      </c>
      <c r="BB11" s="5">
        <v>-5.3832805736038e-14</v>
      </c>
      <c r="BC11" s="3">
        <v>15995986.488315</v>
      </c>
      <c r="BD11" s="3">
        <v>3999669.3838419</v>
      </c>
      <c r="BE11" s="3">
        <v>-0.00027522673078445</v>
      </c>
      <c r="BF11" s="3">
        <v>0.00059567769922039</v>
      </c>
      <c r="BG11" s="3">
        <v>0.00016764990586868</v>
      </c>
      <c r="BH11" s="3">
        <v>-0.0012463550270505</v>
      </c>
      <c r="BI11" s="3">
        <v>139.71771764901</v>
      </c>
      <c r="BJ11" s="3">
        <v>69.862331808075</v>
      </c>
      <c r="BK11" s="3">
        <v>127.41491985075</v>
      </c>
      <c r="BL11" s="4"/>
      <c r="BM11" s="7"/>
    </row>
    <row r="12" spans="1:65">
      <c r="A12" s="3">
        <v>1255943.2157548</v>
      </c>
      <c r="B12" s="5">
        <v>2.9592207835174e-5</v>
      </c>
      <c r="C12" s="6">
        <f t="shared" si="0"/>
        <v>2.59904389774221e-11</v>
      </c>
      <c r="D12" s="5">
        <v>1.6579881351779e-12</v>
      </c>
      <c r="E12" s="5">
        <v>1.6838898305351e-12</v>
      </c>
      <c r="F12" s="5">
        <v>1.6856982500618e-12</v>
      </c>
      <c r="G12" s="5">
        <v>1.6851059902795e-12</v>
      </c>
      <c r="H12" s="5">
        <v>1.6579004062396e-12</v>
      </c>
      <c r="I12" s="5">
        <v>1.6577615043403e-12</v>
      </c>
      <c r="J12" s="5">
        <v>1.6577871320815e-12</v>
      </c>
      <c r="K12" s="5">
        <v>1.6607704955732e-12</v>
      </c>
      <c r="L12" s="5">
        <v>1.6609301359091e-12</v>
      </c>
      <c r="M12" s="5">
        <v>1.6609124635734e-12</v>
      </c>
      <c r="N12" s="5">
        <v>1.7004001437574e-12</v>
      </c>
      <c r="O12" s="5">
        <v>1.6579472956299e-12</v>
      </c>
      <c r="P12" s="5">
        <v>1.7002104863801e-12</v>
      </c>
      <c r="Q12" s="5">
        <v>1.7002144207517e-12</v>
      </c>
      <c r="R12" s="5">
        <v>1.6841410314112e-12</v>
      </c>
      <c r="S12" s="5">
        <v>1.6833997856287e-12</v>
      </c>
      <c r="T12" s="5">
        <v>1.6835546239476e-12</v>
      </c>
      <c r="U12" s="5">
        <v>1.6593632329345e-12</v>
      </c>
      <c r="V12" s="5">
        <v>1.6615095177952e-12</v>
      </c>
      <c r="W12" s="5">
        <v>1.6613539748354e-12</v>
      </c>
      <c r="X12" s="5">
        <v>1.6614849829902e-12</v>
      </c>
      <c r="Y12" s="5">
        <v>1.7008898562458e-12</v>
      </c>
      <c r="Z12" s="5">
        <v>1.7008758282229e-12</v>
      </c>
      <c r="AA12" s="5">
        <v>1.7008634193614e-12</v>
      </c>
      <c r="AB12" s="3">
        <v>0.99999679037239</v>
      </c>
      <c r="AC12" s="3">
        <v>0.89451909922635</v>
      </c>
      <c r="AD12" s="3">
        <v>0.00059965829262777</v>
      </c>
      <c r="AE12" s="5">
        <v>2.8974140647114e-15</v>
      </c>
      <c r="AF12" s="5">
        <v>-4.2858990419715e-14</v>
      </c>
      <c r="AG12" s="5">
        <v>6.8400509418645e-14</v>
      </c>
      <c r="AH12" s="5">
        <v>-8.6188334686914e-14</v>
      </c>
      <c r="AI12" s="5">
        <v>-2.842271175959e-16</v>
      </c>
      <c r="AJ12" s="5">
        <v>-3.1955485893642e-15</v>
      </c>
      <c r="AK12" s="5">
        <v>-3.0875900365719e-15</v>
      </c>
      <c r="AL12" s="5">
        <v>3.023239451912e-14</v>
      </c>
      <c r="AM12" s="5">
        <v>-8.3039683947725e-15</v>
      </c>
      <c r="AN12" s="5">
        <v>3.5484725156841e-15</v>
      </c>
      <c r="AO12" s="5">
        <v>-2.1781110650756e-14</v>
      </c>
      <c r="AP12" s="5">
        <v>-1.0984289211139e-14</v>
      </c>
      <c r="AQ12" s="5">
        <v>-5.3608905238517e-15</v>
      </c>
      <c r="AR12" s="5">
        <v>-3.6051406248802e-14</v>
      </c>
      <c r="AS12" s="5">
        <v>2.5172790732244e-14</v>
      </c>
      <c r="AT12" s="5">
        <v>9.7475963988479e-15</v>
      </c>
      <c r="AU12" s="5">
        <v>-1.2069623795998e-14</v>
      </c>
      <c r="AV12" s="5">
        <v>4.7006151241733e-14</v>
      </c>
      <c r="AW12" s="5">
        <v>5.8162028692219e-14</v>
      </c>
      <c r="AX12" s="5">
        <v>9.6853084709685e-14</v>
      </c>
      <c r="AY12" s="5">
        <v>-4.5863541270672e-15</v>
      </c>
      <c r="AZ12" s="5">
        <v>1.449682027858e-14</v>
      </c>
      <c r="BA12" s="5">
        <v>3.369451673534e-14</v>
      </c>
      <c r="BB12" s="5">
        <v>-4.8177495814856e-14</v>
      </c>
      <c r="BC12" s="3">
        <v>15987450.365329</v>
      </c>
      <c r="BD12" s="3">
        <v>3998373.5533904</v>
      </c>
      <c r="BE12" s="3">
        <v>-0.00027410447824344</v>
      </c>
      <c r="BF12" s="3">
        <v>0.00061799774497225</v>
      </c>
      <c r="BG12" s="3">
        <v>0.00017875265798136</v>
      </c>
      <c r="BH12" s="3">
        <v>-0.0012521677216263</v>
      </c>
      <c r="BI12" s="3">
        <v>139.71757883082</v>
      </c>
      <c r="BJ12" s="3">
        <v>69.862348124544</v>
      </c>
      <c r="BK12" s="3">
        <v>127.20686512943</v>
      </c>
      <c r="BL12" s="4"/>
      <c r="BM12" s="7"/>
    </row>
    <row r="13" spans="1:65">
      <c r="A13" s="3">
        <v>3971641.1736214</v>
      </c>
      <c r="B13" s="5">
        <v>9.0687223615781e-5</v>
      </c>
      <c r="C13" s="6">
        <f t="shared" si="0"/>
        <v>2.51671533692324e-11</v>
      </c>
      <c r="D13" s="5">
        <v>1.6510214409551e-12</v>
      </c>
      <c r="E13" s="5">
        <v>1.6780551161005e-12</v>
      </c>
      <c r="F13" s="5">
        <v>1.681273909406e-12</v>
      </c>
      <c r="G13" s="5">
        <v>1.6807902407353e-12</v>
      </c>
      <c r="H13" s="5">
        <v>1.6508459014009e-12</v>
      </c>
      <c r="I13" s="5">
        <v>1.6505988480155e-12</v>
      </c>
      <c r="J13" s="5">
        <v>1.6505176964076e-12</v>
      </c>
      <c r="K13" s="5">
        <v>1.6526739044907e-12</v>
      </c>
      <c r="L13" s="5">
        <v>1.6532063152888e-12</v>
      </c>
      <c r="M13" s="5">
        <v>1.652910210584e-12</v>
      </c>
      <c r="N13" s="5">
        <v>1.6926705375607e-12</v>
      </c>
      <c r="O13" s="5">
        <v>1.6510692866697e-12</v>
      </c>
      <c r="P13" s="5">
        <v>1.6920531653526e-12</v>
      </c>
      <c r="Q13" s="5">
        <v>1.6920972813138e-12</v>
      </c>
      <c r="R13" s="5">
        <v>1.6784297432228e-12</v>
      </c>
      <c r="S13" s="5">
        <v>1.6769382372859e-12</v>
      </c>
      <c r="T13" s="5">
        <v>1.6772739415652e-12</v>
      </c>
      <c r="U13" s="5">
        <v>1.6546354552211e-12</v>
      </c>
      <c r="V13" s="5">
        <v>1.6543585866067e-12</v>
      </c>
      <c r="W13" s="5">
        <v>1.6542790689209e-12</v>
      </c>
      <c r="X13" s="5">
        <v>1.6544816673307e-12</v>
      </c>
      <c r="Y13" s="5">
        <v>1.6934765481252e-12</v>
      </c>
      <c r="Z13" s="5">
        <v>1.6937894936989e-12</v>
      </c>
      <c r="AA13" s="5">
        <v>1.6939306535449e-12</v>
      </c>
      <c r="AB13" s="3">
        <v>0.99999925169018</v>
      </c>
      <c r="AC13" s="3">
        <v>0.901613687964</v>
      </c>
      <c r="AD13" s="3">
        <v>0.00065515736758998</v>
      </c>
      <c r="AE13" s="5">
        <v>-2.747043355013e-15</v>
      </c>
      <c r="AF13" s="5">
        <v>-2.1422589354582e-14</v>
      </c>
      <c r="AG13" s="5">
        <v>2.1265054501154e-14</v>
      </c>
      <c r="AH13" s="5">
        <v>-5.3638954821593e-14</v>
      </c>
      <c r="AI13" s="5">
        <v>-2.8218203852515e-15</v>
      </c>
      <c r="AJ13" s="5">
        <v>-4.7329917216059e-15</v>
      </c>
      <c r="AK13" s="5">
        <v>9.6000280199412e-16</v>
      </c>
      <c r="AL13" s="5">
        <v>2.062237675572e-14</v>
      </c>
      <c r="AM13" s="5">
        <v>3.982814265506e-15</v>
      </c>
      <c r="AN13" s="5">
        <v>2.8065281448921e-15</v>
      </c>
      <c r="AO13" s="5">
        <v>-1.6399258031287e-14</v>
      </c>
      <c r="AP13" s="5">
        <v>-8.9408246524901e-15</v>
      </c>
      <c r="AQ13" s="5">
        <v>1.1076575648697e-15</v>
      </c>
      <c r="AR13" s="5">
        <v>-2.8304458976877e-14</v>
      </c>
      <c r="AS13" s="5">
        <v>1.3702370230627e-14</v>
      </c>
      <c r="AT13" s="5">
        <v>1.2617415706861e-14</v>
      </c>
      <c r="AU13" s="5">
        <v>-3.1019389949739e-15</v>
      </c>
      <c r="AV13" s="5">
        <v>9.9862385250755e-15</v>
      </c>
      <c r="AW13" s="5">
        <v>3.9575161258164e-14</v>
      </c>
      <c r="AX13" s="5">
        <v>5.8033241746289e-14</v>
      </c>
      <c r="AY13" s="5">
        <v>2.6444219994372e-15</v>
      </c>
      <c r="AZ13" s="5">
        <v>3.9192810960143e-15</v>
      </c>
      <c r="BA13" s="5">
        <v>1.2265817895013e-14</v>
      </c>
      <c r="BB13" s="5">
        <v>-4.5639440841583e-14</v>
      </c>
      <c r="BC13" s="3">
        <v>15960920.859256</v>
      </c>
      <c r="BD13" s="3">
        <v>3993175.2975067</v>
      </c>
      <c r="BE13" s="3">
        <v>-0.00026858918880957</v>
      </c>
      <c r="BF13" s="3">
        <v>0.00068634413198239</v>
      </c>
      <c r="BG13" s="3">
        <v>0.00021382300558442</v>
      </c>
      <c r="BH13" s="3">
        <v>-0.0012733363133516</v>
      </c>
      <c r="BI13" s="3">
        <v>139.71737334874</v>
      </c>
      <c r="BJ13" s="3">
        <v>69.86233400767</v>
      </c>
      <c r="BK13" s="3">
        <v>126.58483764472</v>
      </c>
      <c r="BL13" s="4"/>
      <c r="BM13" s="7"/>
    </row>
    <row r="14" spans="1:65">
      <c r="A14" s="3">
        <v>4456254.6906687</v>
      </c>
      <c r="B14" s="3">
        <v>0.0001014331369728</v>
      </c>
      <c r="C14" s="6">
        <f t="shared" si="0"/>
        <v>2.47175220110933e-11</v>
      </c>
      <c r="D14" s="5">
        <v>1.648550466092e-12</v>
      </c>
      <c r="E14" s="5">
        <v>1.6759333441043e-12</v>
      </c>
      <c r="F14" s="5">
        <v>1.6795494473795e-12</v>
      </c>
      <c r="G14" s="5">
        <v>1.6791497067598e-12</v>
      </c>
      <c r="H14" s="5">
        <v>1.6483610229039e-12</v>
      </c>
      <c r="I14" s="5">
        <v>1.6481030000359e-12</v>
      </c>
      <c r="J14" s="5">
        <v>1.647961180709e-12</v>
      </c>
      <c r="K14" s="5">
        <v>1.6499208498416e-12</v>
      </c>
      <c r="L14" s="5">
        <v>1.650591447919e-12</v>
      </c>
      <c r="M14" s="5">
        <v>1.6501722885874e-12</v>
      </c>
      <c r="N14" s="5">
        <v>1.6900681990409e-12</v>
      </c>
      <c r="O14" s="5">
        <v>1.648650423025e-12</v>
      </c>
      <c r="P14" s="5">
        <v>1.6892947866167e-12</v>
      </c>
      <c r="Q14" s="5">
        <v>1.6893536205098e-12</v>
      </c>
      <c r="R14" s="5">
        <v>1.6763770374956e-12</v>
      </c>
      <c r="S14" s="5">
        <v>1.6746515940574e-12</v>
      </c>
      <c r="T14" s="5">
        <v>1.6750455484731e-12</v>
      </c>
      <c r="U14" s="5">
        <v>1.652888482082e-12</v>
      </c>
      <c r="V14" s="5">
        <v>1.651859132292e-12</v>
      </c>
      <c r="W14" s="5">
        <v>1.6518456147456e-12</v>
      </c>
      <c r="X14" s="5">
        <v>1.6520739951185e-12</v>
      </c>
      <c r="Y14" s="5">
        <v>1.6909047225294e-12</v>
      </c>
      <c r="Z14" s="5">
        <v>1.6913581926663e-12</v>
      </c>
      <c r="AA14" s="5">
        <v>1.6915936043432e-12</v>
      </c>
      <c r="AB14" s="3">
        <v>0.99999420467298</v>
      </c>
      <c r="AC14" s="3">
        <v>0.90308743590722</v>
      </c>
      <c r="AD14" s="3">
        <v>0.00066495530426196</v>
      </c>
      <c r="AE14" s="5">
        <v>-3.5788927528864e-15</v>
      </c>
      <c r="AF14" s="5">
        <v>-1.8760040659698e-14</v>
      </c>
      <c r="AG14" s="5">
        <v>1.584529092207e-14</v>
      </c>
      <c r="AH14" s="5">
        <v>-4.9449587954855e-14</v>
      </c>
      <c r="AI14" s="5">
        <v>-3.3747162483049e-15</v>
      </c>
      <c r="AJ14" s="5">
        <v>-5.1534410196419e-15</v>
      </c>
      <c r="AK14" s="5">
        <v>1.628420062685e-15</v>
      </c>
      <c r="AL14" s="5">
        <v>1.8938864177289e-14</v>
      </c>
      <c r="AM14" s="5">
        <v>6.6017627982908e-15</v>
      </c>
      <c r="AN14" s="5">
        <v>2.9334252380313e-15</v>
      </c>
      <c r="AO14" s="5">
        <v>-1.5513847483157e-14</v>
      </c>
      <c r="AP14" s="5">
        <v>-8.6112268740306e-15</v>
      </c>
      <c r="AQ14" s="5">
        <v>2.051774983736e-15</v>
      </c>
      <c r="AR14" s="5">
        <v>-2.7220182359712e-14</v>
      </c>
      <c r="AS14" s="5">
        <v>1.2328916548338e-14</v>
      </c>
      <c r="AT14" s="5">
        <v>1.2839836183606e-14</v>
      </c>
      <c r="AU14" s="5">
        <v>-1.8078453028287e-15</v>
      </c>
      <c r="AV14" s="5">
        <v>2.9877944183909e-15</v>
      </c>
      <c r="AW14" s="5">
        <v>3.6483163034491e-14</v>
      </c>
      <c r="AX14" s="5">
        <v>5.1017177330837e-14</v>
      </c>
      <c r="AY14" s="5">
        <v>3.9091595358814e-15</v>
      </c>
      <c r="AZ14" s="5">
        <v>1.9733466247921e-15</v>
      </c>
      <c r="BA14" s="5">
        <v>9.3189918821611e-15</v>
      </c>
      <c r="BB14" s="5">
        <v>-4.5490537725394e-14</v>
      </c>
      <c r="BC14" s="3">
        <v>15956234.487848</v>
      </c>
      <c r="BD14" s="3">
        <v>3992167.1388017</v>
      </c>
      <c r="BE14" s="3">
        <v>-0.00026743585673949</v>
      </c>
      <c r="BF14" s="3">
        <v>0.00069832257725688</v>
      </c>
      <c r="BG14" s="3">
        <v>0.0002200718805566</v>
      </c>
      <c r="BH14" s="3">
        <v>-0.0012245671492876</v>
      </c>
      <c r="BI14" s="3">
        <v>139.71750874114</v>
      </c>
      <c r="BJ14" s="3">
        <v>69.862424400589</v>
      </c>
      <c r="BK14" s="3">
        <v>126.47987831439</v>
      </c>
      <c r="BL14" s="4"/>
      <c r="BM14" s="7"/>
    </row>
    <row r="15" spans="1:65">
      <c r="A15" s="3">
        <v>5000000</v>
      </c>
      <c r="B15" s="3">
        <v>0.00011345750964887</v>
      </c>
      <c r="C15" s="6">
        <f t="shared" si="0"/>
        <v>2.46273422746732e-11</v>
      </c>
      <c r="D15" s="5">
        <v>1.6470308768873e-12</v>
      </c>
      <c r="E15" s="5">
        <v>1.6746195462487e-12</v>
      </c>
      <c r="F15" s="5">
        <v>1.6784686519159e-12</v>
      </c>
      <c r="G15" s="5">
        <v>1.6781277588027e-12</v>
      </c>
      <c r="H15" s="5">
        <v>1.646836806537e-12</v>
      </c>
      <c r="I15" s="5">
        <v>1.6465776078952e-12</v>
      </c>
      <c r="J15" s="5">
        <v>1.6463930837017e-12</v>
      </c>
      <c r="K15" s="5">
        <v>1.6482468000438e-12</v>
      </c>
      <c r="L15" s="5">
        <v>1.6490051988838e-12</v>
      </c>
      <c r="M15" s="5">
        <v>1.648504844261e-12</v>
      </c>
      <c r="N15" s="5">
        <v>1.6884978494631e-12</v>
      </c>
      <c r="O15" s="5">
        <v>1.6471672309394e-12</v>
      </c>
      <c r="P15" s="5">
        <v>1.6876251992924e-12</v>
      </c>
      <c r="Q15" s="5">
        <v>1.6876934921137e-12</v>
      </c>
      <c r="R15" s="5">
        <v>1.6751141055919e-12</v>
      </c>
      <c r="S15" s="5">
        <v>1.6732457594836e-12</v>
      </c>
      <c r="T15" s="5">
        <v>1.6736754264689e-12</v>
      </c>
      <c r="U15" s="5">
        <v>1.651807787285e-12</v>
      </c>
      <c r="V15" s="5">
        <v>1.6503271964464e-12</v>
      </c>
      <c r="W15" s="5">
        <v>1.6503615919982e-12</v>
      </c>
      <c r="X15" s="5">
        <v>1.6506085448433e-12</v>
      </c>
      <c r="Y15" s="5">
        <v>1.6893369442162e-12</v>
      </c>
      <c r="Z15" s="5">
        <v>1.6898824857952e-12</v>
      </c>
      <c r="AA15" s="5">
        <v>1.6901852449146e-12</v>
      </c>
      <c r="AB15" s="3">
        <v>0.99999493981708</v>
      </c>
      <c r="AC15" s="3">
        <v>0.90379694726209</v>
      </c>
      <c r="AD15" s="3">
        <v>0.00067594101209</v>
      </c>
      <c r="AE15" s="5">
        <v>-3.9925040793747e-15</v>
      </c>
      <c r="AF15" s="5">
        <v>-1.7553716821827e-14</v>
      </c>
      <c r="AG15" s="5">
        <v>1.3304399306448e-14</v>
      </c>
      <c r="AH15" s="5">
        <v>-4.7551288420483e-14</v>
      </c>
      <c r="AI15" s="5">
        <v>-3.6734463364415e-15</v>
      </c>
      <c r="AJ15" s="5">
        <v>-5.428360910658e-15</v>
      </c>
      <c r="AK15" s="5">
        <v>1.9339304705064e-15</v>
      </c>
      <c r="AL15" s="5">
        <v>1.8076574682967e-14</v>
      </c>
      <c r="AM15" s="5">
        <v>8.038323489344e-15</v>
      </c>
      <c r="AN15" s="5">
        <v>3.0064763476625e-15</v>
      </c>
      <c r="AO15" s="5">
        <v>-1.509972867628e-14</v>
      </c>
      <c r="AP15" s="5">
        <v>-8.4606098311421e-15</v>
      </c>
      <c r="AQ15" s="5">
        <v>2.5105470274391e-15</v>
      </c>
      <c r="AR15" s="5">
        <v>-2.6721765285834e-14</v>
      </c>
      <c r="AS15" s="5">
        <v>1.1703937849555e-14</v>
      </c>
      <c r="AT15" s="5">
        <v>1.2905626738393e-14</v>
      </c>
      <c r="AU15" s="5">
        <v>-1.185657561011e-15</v>
      </c>
      <c r="AV15" s="5">
        <v>-5.7215364065559e-16</v>
      </c>
      <c r="AW15" s="5">
        <v>3.4997961949905e-14</v>
      </c>
      <c r="AX15" s="5">
        <v>4.7418286686145e-14</v>
      </c>
      <c r="AY15" s="5">
        <v>4.5997447097288e-15</v>
      </c>
      <c r="AZ15" s="5">
        <v>9.9944873784936e-16</v>
      </c>
      <c r="BA15" s="5">
        <v>7.8969780614309e-15</v>
      </c>
      <c r="BB15" s="5">
        <v>-4.547565769133e-14</v>
      </c>
      <c r="BC15" s="3">
        <v>15950987.457535</v>
      </c>
      <c r="BD15" s="3">
        <v>3991022.2389734</v>
      </c>
      <c r="BE15" s="3">
        <v>-0.00026610515904104</v>
      </c>
      <c r="BF15" s="3">
        <v>0.00071171357910003</v>
      </c>
      <c r="BG15" s="3">
        <v>0.00022707998494141</v>
      </c>
      <c r="BH15" s="3">
        <v>-0.0012186709148577</v>
      </c>
      <c r="BI15" s="3">
        <v>139.71751418464</v>
      </c>
      <c r="BJ15" s="3">
        <v>69.862435955096</v>
      </c>
      <c r="BK15" s="3">
        <v>126.36438296702</v>
      </c>
      <c r="BL15" s="4"/>
      <c r="BM15" s="7"/>
    </row>
    <row r="16" spans="1:65">
      <c r="A16" s="3">
        <v>5610092.2715098</v>
      </c>
      <c r="B16" s="3">
        <v>0.00012691218261406</v>
      </c>
      <c r="C16" s="6">
        <f t="shared" si="0"/>
        <v>2.45309429063136e-11</v>
      </c>
      <c r="D16" s="5">
        <v>1.6453376565498e-12</v>
      </c>
      <c r="E16" s="5">
        <v>1.6731525699938e-12</v>
      </c>
      <c r="F16" s="5">
        <v>1.677255257224e-12</v>
      </c>
      <c r="G16" s="5">
        <v>1.6769847581914e-12</v>
      </c>
      <c r="H16" s="5">
        <v>1.6451412608815e-12</v>
      </c>
      <c r="I16" s="5">
        <v>1.6448847805746e-12</v>
      </c>
      <c r="J16" s="5">
        <v>1.644648554876e-12</v>
      </c>
      <c r="K16" s="5">
        <v>1.6463955093965e-12</v>
      </c>
      <c r="L16" s="5">
        <v>1.647254290744e-12</v>
      </c>
      <c r="M16" s="5">
        <v>1.6466592113615e-12</v>
      </c>
      <c r="N16" s="5">
        <v>1.6867691407965e-12</v>
      </c>
      <c r="O16" s="5">
        <v>1.6455176125028e-12</v>
      </c>
      <c r="P16" s="5">
        <v>1.6857828384748e-12</v>
      </c>
      <c r="Q16" s="5">
        <v>1.6858620686995e-12</v>
      </c>
      <c r="R16" s="5">
        <v>1.6737104772314e-12</v>
      </c>
      <c r="S16" s="5">
        <v>1.6716822026018e-12</v>
      </c>
      <c r="T16" s="5">
        <v>1.6721518248792e-12</v>
      </c>
      <c r="U16" s="5">
        <v>1.6506010084215e-12</v>
      </c>
      <c r="V16" s="5">
        <v>1.6486251789967e-12</v>
      </c>
      <c r="W16" s="5">
        <v>1.648718068211e-12</v>
      </c>
      <c r="X16" s="5">
        <v>1.6489881307227e-12</v>
      </c>
      <c r="Y16" s="5">
        <v>1.6875996053652e-12</v>
      </c>
      <c r="Z16" s="5">
        <v>1.6882520187352e-12</v>
      </c>
      <c r="AA16" s="5">
        <v>1.6886366549257e-12</v>
      </c>
      <c r="AB16" s="3">
        <v>0.99999557795102</v>
      </c>
      <c r="AC16" s="3">
        <v>0.90444669755159</v>
      </c>
      <c r="AD16" s="3">
        <v>0.00068825957797702</v>
      </c>
      <c r="AE16" s="5">
        <v>-4.3948072666363e-15</v>
      </c>
      <c r="AF16" s="5">
        <v>-1.6458127402722e-14</v>
      </c>
      <c r="AG16" s="5">
        <v>1.0903603731761e-14</v>
      </c>
      <c r="AH16" s="5">
        <v>-4.5819588279481e-14</v>
      </c>
      <c r="AI16" s="5">
        <v>-3.985495706683e-15</v>
      </c>
      <c r="AJ16" s="5">
        <v>-5.7523568403725e-15</v>
      </c>
      <c r="AK16" s="5">
        <v>2.204360705579e-15</v>
      </c>
      <c r="AL16" s="5">
        <v>1.7218387930409e-14</v>
      </c>
      <c r="AM16" s="5">
        <v>9.5442560010377e-15</v>
      </c>
      <c r="AN16" s="5">
        <v>3.0793311959506e-15</v>
      </c>
      <c r="AO16" s="5">
        <v>-1.4719421140283e-14</v>
      </c>
      <c r="AP16" s="5">
        <v>-8.3282582636441e-15</v>
      </c>
      <c r="AQ16" s="5">
        <v>2.9451658628566e-15</v>
      </c>
      <c r="AR16" s="5">
        <v>-2.6271599612333e-14</v>
      </c>
      <c r="AS16" s="5">
        <v>1.1134336443004e-14</v>
      </c>
      <c r="AT16" s="5">
        <v>1.2940093071104e-14</v>
      </c>
      <c r="AU16" s="5">
        <v>-5.9228785027533e-16</v>
      </c>
      <c r="AV16" s="5">
        <v>-4.0824937594644e-15</v>
      </c>
      <c r="AW16" s="5">
        <v>3.3607887351293e-14</v>
      </c>
      <c r="AX16" s="5">
        <v>4.3845243459199e-14</v>
      </c>
      <c r="AY16" s="5">
        <v>5.3282549411704e-15</v>
      </c>
      <c r="AZ16" s="5">
        <v>4.7919125507917e-17</v>
      </c>
      <c r="BA16" s="5">
        <v>6.5212388943686e-15</v>
      </c>
      <c r="BB16" s="5">
        <v>-4.550951041011e-14</v>
      </c>
      <c r="BC16" s="3">
        <v>15945112.933586</v>
      </c>
      <c r="BD16" s="3">
        <v>3989723.6584116</v>
      </c>
      <c r="BE16" s="3">
        <v>-0.00026457168726572</v>
      </c>
      <c r="BF16" s="3">
        <v>0.00072667971778002</v>
      </c>
      <c r="BG16" s="3">
        <v>0.00023493904489092</v>
      </c>
      <c r="BH16" s="3">
        <v>-0.0012114630626885</v>
      </c>
      <c r="BI16" s="3">
        <v>139.71752329172</v>
      </c>
      <c r="BJ16" s="3">
        <v>69.86244875684</v>
      </c>
      <c r="BK16" s="3">
        <v>126.23747170673</v>
      </c>
      <c r="BL16" s="4"/>
      <c r="BM16" s="7"/>
    </row>
    <row r="17" spans="1:65">
      <c r="A17" s="3">
        <v>6294627.0589709</v>
      </c>
      <c r="B17" s="3">
        <v>0.00014196687510422</v>
      </c>
      <c r="C17" s="6">
        <f t="shared" si="0"/>
        <v>2.44317220646735e-11</v>
      </c>
      <c r="D17" s="5">
        <v>1.6434536408168e-12</v>
      </c>
      <c r="E17" s="5">
        <v>1.6715146179017e-12</v>
      </c>
      <c r="F17" s="5">
        <v>1.6758940909028e-12</v>
      </c>
      <c r="G17" s="5">
        <v>1.6757072890753e-12</v>
      </c>
      <c r="H17" s="5">
        <v>1.6432579589083e-12</v>
      </c>
      <c r="I17" s="5">
        <v>1.6430093402773e-12</v>
      </c>
      <c r="J17" s="5">
        <v>1.6427104407521e-12</v>
      </c>
      <c r="K17" s="5">
        <v>1.6443498642036e-12</v>
      </c>
      <c r="L17" s="5">
        <v>1.6453238961182e-12</v>
      </c>
      <c r="M17" s="5">
        <v>1.6446180668368e-12</v>
      </c>
      <c r="N17" s="5">
        <v>1.6848737227446e-12</v>
      </c>
      <c r="O17" s="5">
        <v>1.6436856757538e-12</v>
      </c>
      <c r="P17" s="5">
        <v>1.6837566691726e-12</v>
      </c>
      <c r="Q17" s="5">
        <v>1.6838486045991e-12</v>
      </c>
      <c r="R17" s="5">
        <v>1.6721514331399e-12</v>
      </c>
      <c r="S17" s="5">
        <v>1.6699431661774e-12</v>
      </c>
      <c r="T17" s="5">
        <v>1.6704576430589e-12</v>
      </c>
      <c r="U17" s="5">
        <v>1.6492570215021e-12</v>
      </c>
      <c r="V17" s="5">
        <v>1.6467358057108e-12</v>
      </c>
      <c r="W17" s="5">
        <v>1.6468997792982e-12</v>
      </c>
      <c r="X17" s="5">
        <v>1.6471986517149e-12</v>
      </c>
      <c r="Y17" s="5">
        <v>1.6856811401631e-12</v>
      </c>
      <c r="Z17" s="5">
        <v>1.686457695986e-12</v>
      </c>
      <c r="AA17" s="5">
        <v>1.6869416797449e-12</v>
      </c>
      <c r="AB17" s="3">
        <v>0.99999613101029</v>
      </c>
      <c r="AC17" s="3">
        <v>0.90501425844283</v>
      </c>
      <c r="AD17" s="3">
        <v>0.00070207576272505</v>
      </c>
      <c r="AE17" s="5">
        <v>-4.7858658937437e-15</v>
      </c>
      <c r="AF17" s="5">
        <v>-1.547386166587e-14</v>
      </c>
      <c r="AG17" s="5">
        <v>8.6342762981732e-15</v>
      </c>
      <c r="AH17" s="5">
        <v>-4.4253599295466e-14</v>
      </c>
      <c r="AI17" s="5">
        <v>-4.313657420381e-15</v>
      </c>
      <c r="AJ17" s="5">
        <v>-6.1364669363418e-15</v>
      </c>
      <c r="AK17" s="5">
        <v>2.4331626707465e-15</v>
      </c>
      <c r="AL17" s="5">
        <v>1.6362367465147e-14</v>
      </c>
      <c r="AM17" s="5">
        <v>1.1130771742279e-14</v>
      </c>
      <c r="AN17" s="5">
        <v>3.1478237701977e-15</v>
      </c>
      <c r="AO17" s="5">
        <v>-1.4373763852896e-14</v>
      </c>
      <c r="AP17" s="5">
        <v>-8.2178012078243e-15</v>
      </c>
      <c r="AQ17" s="5">
        <v>3.3506125156442e-15</v>
      </c>
      <c r="AR17" s="5">
        <v>-2.5875366923577e-14</v>
      </c>
      <c r="AS17" s="5">
        <v>1.0626900621999e-14</v>
      </c>
      <c r="AT17" s="5">
        <v>1.2942168631633e-14</v>
      </c>
      <c r="AU17" s="5">
        <v>-2.7141008586663e-17</v>
      </c>
      <c r="AV17" s="5">
        <v>-7.5332410266614e-15</v>
      </c>
      <c r="AW17" s="5">
        <v>3.2325400784818e-14</v>
      </c>
      <c r="AX17" s="5">
        <v>4.0298885314192e-14</v>
      </c>
      <c r="AY17" s="5">
        <v>6.1027527191549e-15</v>
      </c>
      <c r="AZ17" s="5">
        <v>-8.8142140177425e-16</v>
      </c>
      <c r="BA17" s="5">
        <v>5.1805666093633e-15</v>
      </c>
      <c r="BB17" s="5">
        <v>-4.5595111816568e-14</v>
      </c>
      <c r="BC17" s="3">
        <v>15938536.127857</v>
      </c>
      <c r="BD17" s="3">
        <v>3988252.7336492</v>
      </c>
      <c r="BE17" s="3">
        <v>-0.00026280598490484</v>
      </c>
      <c r="BF17" s="3">
        <v>0.00074340408145087</v>
      </c>
      <c r="BG17" s="3">
        <v>0.00024375179668173</v>
      </c>
      <c r="BH17" s="3">
        <v>-0.0012027147127841</v>
      </c>
      <c r="BI17" s="3">
        <v>139.71753656881</v>
      </c>
      <c r="BJ17" s="3">
        <v>69.862462900674</v>
      </c>
      <c r="BK17" s="3">
        <v>126.09838785924</v>
      </c>
      <c r="BL17" s="4"/>
      <c r="BM17" s="7"/>
    </row>
    <row r="18" spans="1:65">
      <c r="A18" s="3">
        <v>7062687.7231138</v>
      </c>
      <c r="B18" s="3">
        <v>0.00015881124774971</v>
      </c>
      <c r="C18" s="6">
        <f t="shared" si="0"/>
        <v>2.43295226051225e-11</v>
      </c>
      <c r="D18" s="5">
        <v>1.6413622863562e-12</v>
      </c>
      <c r="E18" s="5">
        <v>1.6696855909159e-12</v>
      </c>
      <c r="F18" s="5">
        <v>1.6743681838199e-12</v>
      </c>
      <c r="G18" s="5">
        <v>1.6742803624858e-12</v>
      </c>
      <c r="H18" s="5">
        <v>1.6411712532827e-12</v>
      </c>
      <c r="I18" s="5">
        <v>1.6409372391543e-12</v>
      </c>
      <c r="J18" s="5">
        <v>1.6405622309641e-12</v>
      </c>
      <c r="K18" s="5">
        <v>1.6420909285052e-12</v>
      </c>
      <c r="L18" s="5">
        <v>1.6431979025856e-12</v>
      </c>
      <c r="M18" s="5">
        <v>1.6423622405301e-12</v>
      </c>
      <c r="N18" s="5">
        <v>1.6827941532217e-12</v>
      </c>
      <c r="O18" s="5">
        <v>1.6416563788656e-12</v>
      </c>
      <c r="P18" s="5">
        <v>1.6815258525664e-12</v>
      </c>
      <c r="Q18" s="5">
        <v>1.681632685346e-12</v>
      </c>
      <c r="R18" s="5">
        <v>1.6704207197901e-12</v>
      </c>
      <c r="S18" s="5">
        <v>1.6680086213547e-12</v>
      </c>
      <c r="T18" s="5">
        <v>1.668573624101e-12</v>
      </c>
      <c r="U18" s="5">
        <v>1.6477663358942e-12</v>
      </c>
      <c r="V18" s="5">
        <v>1.6446398809307e-12</v>
      </c>
      <c r="W18" s="5">
        <v>1.6448899533205e-12</v>
      </c>
      <c r="X18" s="5">
        <v>1.6452247657827e-12</v>
      </c>
      <c r="Y18" s="5">
        <v>1.6835601178186e-12</v>
      </c>
      <c r="Z18" s="5">
        <v>1.684480990964e-12</v>
      </c>
      <c r="AA18" s="5">
        <v>1.6850852413395e-12</v>
      </c>
      <c r="AB18" s="3">
        <v>0.99999660942894</v>
      </c>
      <c r="AC18" s="3">
        <v>0.90547407606078</v>
      </c>
      <c r="AD18" s="3">
        <v>0.00071757493052492</v>
      </c>
      <c r="AE18" s="5">
        <v>-5.1654041780539e-15</v>
      </c>
      <c r="AF18" s="5">
        <v>-1.4600632395185e-14</v>
      </c>
      <c r="AG18" s="5">
        <v>6.4882511543915e-15</v>
      </c>
      <c r="AH18" s="5">
        <v>-4.2850850930963e-14</v>
      </c>
      <c r="AI18" s="5">
        <v>-4.6612685599737e-15</v>
      </c>
      <c r="AJ18" s="5">
        <v>-6.5942208927337e-15</v>
      </c>
      <c r="AK18" s="5">
        <v>2.6132156838867e-15</v>
      </c>
      <c r="AL18" s="5">
        <v>1.5505643898223e-14</v>
      </c>
      <c r="AM18" s="5">
        <v>1.2811025187331e-14</v>
      </c>
      <c r="AN18" s="5">
        <v>3.2072287704036e-15</v>
      </c>
      <c r="AO18" s="5">
        <v>-1.4060942968407e-14</v>
      </c>
      <c r="AP18" s="5">
        <v>-8.1333424670373e-15</v>
      </c>
      <c r="AQ18" s="5">
        <v>3.7204433215874e-15</v>
      </c>
      <c r="AR18" s="5">
        <v>-2.553898801844e-14</v>
      </c>
      <c r="AS18" s="5">
        <v>1.0190291090102e-14</v>
      </c>
      <c r="AT18" s="5">
        <v>1.2910678624713e-14</v>
      </c>
      <c r="AU18" s="5">
        <v>5.1070169000721e-16</v>
      </c>
      <c r="AV18" s="5">
        <v>-1.0914262254477e-14</v>
      </c>
      <c r="AW18" s="5">
        <v>3.1162890741679e-14</v>
      </c>
      <c r="AX18" s="5">
        <v>3.6778327309819e-14</v>
      </c>
      <c r="AY18" s="5">
        <v>6.9317716150962e-15</v>
      </c>
      <c r="AZ18" s="5">
        <v>-1.7899467859634e-15</v>
      </c>
      <c r="BA18" s="5">
        <v>3.8615992091981e-15</v>
      </c>
      <c r="BB18" s="5">
        <v>-4.5734467512893e-14</v>
      </c>
      <c r="BC18" s="3">
        <v>15931173.355752</v>
      </c>
      <c r="BD18" s="3">
        <v>3986589.0047156</v>
      </c>
      <c r="BE18" s="3">
        <v>-0.00026077455298013</v>
      </c>
      <c r="BF18" s="3">
        <v>0.00076209063074124</v>
      </c>
      <c r="BG18" s="3">
        <v>0.00025363323404387</v>
      </c>
      <c r="BH18" s="3">
        <v>-0.0011921707614819</v>
      </c>
      <c r="BI18" s="3">
        <v>139.71755452881</v>
      </c>
      <c r="BJ18" s="3">
        <v>69.862478471336</v>
      </c>
      <c r="BK18" s="3">
        <v>125.9464201599</v>
      </c>
      <c r="BL18" s="4"/>
      <c r="BM18" s="7"/>
    </row>
    <row r="19" spans="1:65">
      <c r="A19" s="3">
        <v>7924465.9623056</v>
      </c>
      <c r="B19" s="3">
        <v>0.00017765719533506</v>
      </c>
      <c r="C19" s="6">
        <f t="shared" si="0"/>
        <v>2.42241983628502e-11</v>
      </c>
      <c r="D19" s="5">
        <v>1.6390434971165e-12</v>
      </c>
      <c r="E19" s="5">
        <v>1.6676519550103e-12</v>
      </c>
      <c r="F19" s="5">
        <v>1.6726677101544e-12</v>
      </c>
      <c r="G19" s="5">
        <v>1.6726963851349e-12</v>
      </c>
      <c r="H19" s="5">
        <v>1.6388621309891e-12</v>
      </c>
      <c r="I19" s="5">
        <v>1.6386515319307e-12</v>
      </c>
      <c r="J19" s="5">
        <v>1.638183853477e-12</v>
      </c>
      <c r="K19" s="5">
        <v>1.6396043476665e-12</v>
      </c>
      <c r="L19" s="5">
        <v>1.6408654662261e-12</v>
      </c>
      <c r="M19" s="5">
        <v>1.639877095423e-12</v>
      </c>
      <c r="N19" s="5">
        <v>1.6805158349196e-12</v>
      </c>
      <c r="O19" s="5">
        <v>1.6394114104094e-12</v>
      </c>
      <c r="P19" s="5">
        <v>1.6790715501718e-12</v>
      </c>
      <c r="Q19" s="5">
        <v>1.6791960015294e-12</v>
      </c>
      <c r="R19" s="5">
        <v>1.6685095752825e-12</v>
      </c>
      <c r="S19" s="5">
        <v>1.6658650943633e-12</v>
      </c>
      <c r="T19" s="5">
        <v>1.6664872133414e-12</v>
      </c>
      <c r="U19" s="5">
        <v>1.6461169817363e-12</v>
      </c>
      <c r="V19" s="5">
        <v>1.6423226648443e-12</v>
      </c>
      <c r="W19" s="5">
        <v>1.6426768066029e-12</v>
      </c>
      <c r="X19" s="5">
        <v>1.643056407372e-12</v>
      </c>
      <c r="Y19" s="5">
        <v>1.6812169953803e-12</v>
      </c>
      <c r="Z19" s="5">
        <v>1.6823057578463e-12</v>
      </c>
      <c r="AA19" s="5">
        <v>1.6830553615173e-12</v>
      </c>
      <c r="AB19" s="3">
        <v>0.99999702251592</v>
      </c>
      <c r="AC19" s="3">
        <v>0.90579733113867</v>
      </c>
      <c r="AD19" s="3">
        <v>0.00073496554572305</v>
      </c>
      <c r="AE19" s="5">
        <v>-5.5328275547256e-15</v>
      </c>
      <c r="AF19" s="5">
        <v>-1.3837086595341e-14</v>
      </c>
      <c r="AG19" s="5">
        <v>4.4572734891858e-15</v>
      </c>
      <c r="AH19" s="5">
        <v>-4.160691009717e-14</v>
      </c>
      <c r="AI19" s="5">
        <v>-5.0320512597153e-15</v>
      </c>
      <c r="AJ19" s="5">
        <v>-7.1418766816505e-15</v>
      </c>
      <c r="AK19" s="5">
        <v>2.7368428516775e-15</v>
      </c>
      <c r="AL19" s="5">
        <v>1.4644393898809e-14</v>
      </c>
      <c r="AM19" s="5">
        <v>1.4599856143963e-14</v>
      </c>
      <c r="AN19" s="5">
        <v>3.2519433325472e-15</v>
      </c>
      <c r="AO19" s="5">
        <v>-1.3775825145545e-14</v>
      </c>
      <c r="AP19" s="5">
        <v>-8.0793945536852e-15</v>
      </c>
      <c r="AQ19" s="5">
        <v>4.0463756112559e-15</v>
      </c>
      <c r="AR19" s="5">
        <v>-2.526891062229e-14</v>
      </c>
      <c r="AS19" s="5">
        <v>9.8350059837868e-15</v>
      </c>
      <c r="AT19" s="5">
        <v>1.2844128717127e-14</v>
      </c>
      <c r="AU19" s="5">
        <v>1.0223833941451e-15</v>
      </c>
      <c r="AV19" s="5">
        <v>-1.4215302388539e-14</v>
      </c>
      <c r="AW19" s="5">
        <v>3.0132268332774e-14</v>
      </c>
      <c r="AX19" s="5">
        <v>3.3281967820458e-14</v>
      </c>
      <c r="AY19" s="5">
        <v>7.824121793187e-15</v>
      </c>
      <c r="AZ19" s="5">
        <v>-2.6803826582479e-15</v>
      </c>
      <c r="BA19" s="5">
        <v>2.5487784926307e-15</v>
      </c>
      <c r="BB19" s="5">
        <v>-4.5928003771067e-14</v>
      </c>
      <c r="BC19" s="3">
        <v>15922930.971789</v>
      </c>
      <c r="BD19" s="3">
        <v>3984710.1689426</v>
      </c>
      <c r="BE19" s="3">
        <v>-0.00025843933580352</v>
      </c>
      <c r="BF19" s="3">
        <v>0.00078296651775221</v>
      </c>
      <c r="BG19" s="3">
        <v>0.00026471204089008</v>
      </c>
      <c r="BH19" s="3">
        <v>-0.0011795508815916</v>
      </c>
      <c r="BI19" s="3">
        <v>139.7175776639</v>
      </c>
      <c r="BJ19" s="3">
        <v>69.86249553455</v>
      </c>
      <c r="BK19" s="3">
        <v>125.78093406532</v>
      </c>
      <c r="BL19" s="4"/>
      <c r="BM19" s="7"/>
    </row>
    <row r="20" spans="1:65">
      <c r="A20" s="3">
        <v>8891397.0501947</v>
      </c>
      <c r="B20" s="3">
        <v>0.00019874139494336</v>
      </c>
      <c r="C20" s="6">
        <f t="shared" si="0"/>
        <v>2.4115627049282e-11</v>
      </c>
      <c r="D20" s="5">
        <v>1.6364771618245e-12</v>
      </c>
      <c r="E20" s="5">
        <v>1.6653834407756e-12</v>
      </c>
      <c r="F20" s="5">
        <v>1.6707669232542e-12</v>
      </c>
      <c r="G20" s="5">
        <v>1.6709321107908e-12</v>
      </c>
      <c r="H20" s="5">
        <v>1.6363117896538e-12</v>
      </c>
      <c r="I20" s="5">
        <v>1.636136117925e-12</v>
      </c>
      <c r="J20" s="5">
        <v>1.6355552081056e-12</v>
      </c>
      <c r="K20" s="5">
        <v>1.6368693167078e-12</v>
      </c>
      <c r="L20" s="5">
        <v>1.6383102214149e-12</v>
      </c>
      <c r="M20" s="5">
        <v>1.6371415310963e-12</v>
      </c>
      <c r="N20" s="5">
        <v>1.6780304691993e-12</v>
      </c>
      <c r="O20" s="5">
        <v>1.6369328099534e-12</v>
      </c>
      <c r="P20" s="5">
        <v>1.6763801446077e-12</v>
      </c>
      <c r="Q20" s="5">
        <v>1.6765256055522e-12</v>
      </c>
      <c r="R20" s="5">
        <v>1.6663937751455e-12</v>
      </c>
      <c r="S20" s="5">
        <v>1.6634824272053e-12</v>
      </c>
      <c r="T20" s="5">
        <v>1.6641693722273e-12</v>
      </c>
      <c r="U20" s="5">
        <v>1.6442984492995e-12</v>
      </c>
      <c r="V20" s="5">
        <v>1.6397628727506e-12</v>
      </c>
      <c r="W20" s="5">
        <v>1.640242673516e-12</v>
      </c>
      <c r="X20" s="5">
        <v>1.6406779524269e-12</v>
      </c>
      <c r="Y20" s="5">
        <v>1.6786373290451e-12</v>
      </c>
      <c r="Z20" s="5">
        <v>1.6799215557659e-12</v>
      </c>
      <c r="AA20" s="5">
        <v>1.6808466496588e-12</v>
      </c>
      <c r="AB20" s="3">
        <v>0.99999737858486</v>
      </c>
      <c r="AC20" s="3">
        <v>0.90595161964285</v>
      </c>
      <c r="AD20" s="3">
        <v>0.00075448194975595</v>
      </c>
      <c r="AE20" s="5">
        <v>-5.8870757667882e-15</v>
      </c>
      <c r="AF20" s="5">
        <v>-1.3180169691388e-14</v>
      </c>
      <c r="AG20" s="5">
        <v>2.5326402440545e-15</v>
      </c>
      <c r="AH20" s="5">
        <v>-4.0516255069651e-14</v>
      </c>
      <c r="AI20" s="5">
        <v>-5.429796991232e-15</v>
      </c>
      <c r="AJ20" s="5">
        <v>-7.7992743644299e-15</v>
      </c>
      <c r="AK20" s="5">
        <v>2.7960826034796e-15</v>
      </c>
      <c r="AL20" s="5">
        <v>1.3773791002914e-14</v>
      </c>
      <c r="AM20" s="5">
        <v>1.6513203487551e-14</v>
      </c>
      <c r="AN20" s="5">
        <v>3.2753498949503e-15</v>
      </c>
      <c r="AO20" s="5">
        <v>-1.3509420743438e-14</v>
      </c>
      <c r="AP20" s="5">
        <v>-8.0610870469091e-15</v>
      </c>
      <c r="AQ20" s="5">
        <v>4.3179449211669e-15</v>
      </c>
      <c r="AR20" s="5">
        <v>-2.5072132363668e-14</v>
      </c>
      <c r="AS20" s="5">
        <v>9.5736446726961e-15</v>
      </c>
      <c r="AT20" s="5">
        <v>1.2740853169943e-14</v>
      </c>
      <c r="AU20" s="5">
        <v>1.509005292504e-15</v>
      </c>
      <c r="AV20" s="5">
        <v>-1.7425178936906e-14</v>
      </c>
      <c r="AW20" s="5">
        <v>2.9245058428264e-14</v>
      </c>
      <c r="AX20" s="5">
        <v>2.9808238506858e-14</v>
      </c>
      <c r="AY20" s="5">
        <v>8.7879810408307e-15</v>
      </c>
      <c r="AZ20" s="5">
        <v>-3.5570110581863e-15</v>
      </c>
      <c r="BA20" s="5">
        <v>1.2251193139116e-15</v>
      </c>
      <c r="BB20" s="5">
        <v>-4.6174145844825e-14</v>
      </c>
      <c r="BC20" s="3">
        <v>15913704.175708</v>
      </c>
      <c r="BD20" s="3">
        <v>3982592.0796203</v>
      </c>
      <c r="BE20" s="3">
        <v>-0.00025575716704885</v>
      </c>
      <c r="BF20" s="3">
        <v>0.0008062846672501</v>
      </c>
      <c r="BG20" s="3">
        <v>0.00027713218614935</v>
      </c>
      <c r="BH20" s="3">
        <v>-0.001164554012663</v>
      </c>
      <c r="BI20" s="3">
        <v>139.71760641347</v>
      </c>
      <c r="BJ20" s="3">
        <v>69.862514123944</v>
      </c>
      <c r="BK20" s="3">
        <v>125.60140934483</v>
      </c>
      <c r="BL20" s="4"/>
      <c r="BM20" s="7"/>
    </row>
    <row r="21" spans="1:65">
      <c r="A21" s="3">
        <v>9976311.5748445</v>
      </c>
      <c r="B21" s="3">
        <v>0.00022232813895097</v>
      </c>
      <c r="C21" s="6">
        <f t="shared" si="0"/>
        <v>2.40037376584077e-11</v>
      </c>
      <c r="D21" s="5">
        <v>1.6336375634993e-12</v>
      </c>
      <c r="E21" s="5">
        <v>1.6628632791506e-12</v>
      </c>
      <c r="F21" s="5">
        <v>1.6686545006208e-12</v>
      </c>
      <c r="G21" s="5">
        <v>1.6689789929661e-12</v>
      </c>
      <c r="H21" s="5">
        <v>1.6334960426099e-12</v>
      </c>
      <c r="I21" s="5">
        <v>1.6333703299486e-12</v>
      </c>
      <c r="J21" s="5">
        <v>1.6326505445338e-12</v>
      </c>
      <c r="K21" s="5">
        <v>1.6338625322566e-12</v>
      </c>
      <c r="L21" s="5">
        <v>1.635514495415e-12</v>
      </c>
      <c r="M21" s="5">
        <v>1.6341319214633e-12</v>
      </c>
      <c r="N21" s="5">
        <v>1.6753244742174e-12</v>
      </c>
      <c r="O21" s="5">
        <v>1.6341973243209e-12</v>
      </c>
      <c r="P21" s="5">
        <v>1.6734313404848e-12</v>
      </c>
      <c r="Q21" s="5">
        <v>1.6736020491401e-12</v>
      </c>
      <c r="R21" s="5">
        <v>1.6640641084416e-12</v>
      </c>
      <c r="S21" s="5">
        <v>1.6608439307957e-12</v>
      </c>
      <c r="T21" s="5">
        <v>1.6616047674872e-12</v>
      </c>
      <c r="U21" s="5">
        <v>1.6422960951482e-12</v>
      </c>
      <c r="V21" s="5">
        <v>1.636936611897e-12</v>
      </c>
      <c r="W21" s="5">
        <v>1.6375681323294e-12</v>
      </c>
      <c r="X21" s="5">
        <v>1.6380722444903e-12</v>
      </c>
      <c r="Y21" s="5">
        <v>1.6757998865604e-12</v>
      </c>
      <c r="Z21" s="5">
        <v>1.6773118674579e-12</v>
      </c>
      <c r="AA21" s="5">
        <v>1.6784487049384e-12</v>
      </c>
      <c r="AB21" s="3">
        <v>0.99999768493431</v>
      </c>
      <c r="AC21" s="3">
        <v>0.90590063971214</v>
      </c>
      <c r="AD21" s="3">
        <v>0.00077638747239112</v>
      </c>
      <c r="AE21" s="5">
        <v>-6.2262028152238e-15</v>
      </c>
      <c r="AF21" s="5">
        <v>-1.262457875926e-14</v>
      </c>
      <c r="AG21" s="5">
        <v>7.0671071317558e-16</v>
      </c>
      <c r="AH21" s="5">
        <v>-3.9571166200901e-14</v>
      </c>
      <c r="AI21" s="5">
        <v>-5.8587689323154e-15</v>
      </c>
      <c r="AJ21" s="5">
        <v>-8.5915119902646e-15</v>
      </c>
      <c r="AK21" s="5">
        <v>2.7827881806342e-15</v>
      </c>
      <c r="AL21" s="5">
        <v>1.2888329356681e-14</v>
      </c>
      <c r="AM21" s="5">
        <v>1.8569012021002e-14</v>
      </c>
      <c r="AN21" s="5">
        <v>3.2695606394208e-15</v>
      </c>
      <c r="AO21" s="5">
        <v>-1.3248547878667e-14</v>
      </c>
      <c r="AP21" s="5">
        <v>-8.0843859955145e-15</v>
      </c>
      <c r="AQ21" s="5">
        <v>4.5221385829842e-15</v>
      </c>
      <c r="AR21" s="5">
        <v>-2.4956123243719e-14</v>
      </c>
      <c r="AS21" s="5">
        <v>9.4218945541772e-15</v>
      </c>
      <c r="AT21" s="5">
        <v>1.2598743540681e-14</v>
      </c>
      <c r="AU21" s="5">
        <v>1.9720443595385e-15</v>
      </c>
      <c r="AV21" s="5">
        <v>-2.0531652010948e-14</v>
      </c>
      <c r="AW21" s="5">
        <v>2.851223821407e-14</v>
      </c>
      <c r="AX21" s="5">
        <v>2.6355217574153e-14</v>
      </c>
      <c r="AY21" s="5">
        <v>9.8297799136301e-15</v>
      </c>
      <c r="AZ21" s="5">
        <v>-4.4246723232217e-15</v>
      </c>
      <c r="BA21" s="5">
        <v>-1.2788402120381e-16</v>
      </c>
      <c r="BB21" s="5">
        <v>-4.6468544950012e-14</v>
      </c>
      <c r="BC21" s="3">
        <v>15903375.685844</v>
      </c>
      <c r="BD21" s="3">
        <v>3980208.8154348</v>
      </c>
      <c r="BE21" s="3">
        <v>-0.00025267923665674</v>
      </c>
      <c r="BF21" s="3">
        <v>0.00083232667088159</v>
      </c>
      <c r="BG21" s="3">
        <v>0.00029105467450978</v>
      </c>
      <c r="BH21" s="3">
        <v>-0.0011468625777616</v>
      </c>
      <c r="BI21" s="3">
        <v>139.71764113466</v>
      </c>
      <c r="BJ21" s="3">
        <v>69.862534219083</v>
      </c>
      <c r="BK21" s="3">
        <v>125.40748536777</v>
      </c>
      <c r="BL21" s="4"/>
      <c r="BM21" s="7"/>
    </row>
    <row r="22" spans="1:65">
      <c r="A22" s="3">
        <v>11193605.692842</v>
      </c>
      <c r="B22" s="3">
        <v>0.00024871250821515</v>
      </c>
      <c r="C22" s="6">
        <f t="shared" si="0"/>
        <v>2.38885029351384e-11</v>
      </c>
      <c r="D22" s="5">
        <v>1.6305034144777e-12</v>
      </c>
      <c r="E22" s="5">
        <v>1.6600674758652e-12</v>
      </c>
      <c r="F22" s="5">
        <v>1.6663130035973e-12</v>
      </c>
      <c r="G22" s="5">
        <v>1.6668227448248e-12</v>
      </c>
      <c r="H22" s="5">
        <v>1.6303954207727e-12</v>
      </c>
      <c r="I22" s="5">
        <v>1.6303392912247e-12</v>
      </c>
      <c r="J22" s="5">
        <v>1.6294484645387e-12</v>
      </c>
      <c r="K22" s="5">
        <v>1.6305606332173e-12</v>
      </c>
      <c r="L22" s="5">
        <v>1.6324620600565e-12</v>
      </c>
      <c r="M22" s="5">
        <v>1.6308245129376e-12</v>
      </c>
      <c r="N22" s="5">
        <v>1.672389885026e-12</v>
      </c>
      <c r="O22" s="5">
        <v>1.6311865743952e-12</v>
      </c>
      <c r="P22" s="5">
        <v>1.670208612763e-12</v>
      </c>
      <c r="Q22" s="5">
        <v>1.6704098850431e-12</v>
      </c>
      <c r="R22" s="5">
        <v>1.6615060544093e-12</v>
      </c>
      <c r="S22" s="5">
        <v>1.6579256589882e-12</v>
      </c>
      <c r="T22" s="5">
        <v>1.6587710515331e-12</v>
      </c>
      <c r="U22" s="5">
        <v>1.6401016126122e-12</v>
      </c>
      <c r="V22" s="5">
        <v>1.6338197748508e-12</v>
      </c>
      <c r="W22" s="5">
        <v>1.6346346074829e-12</v>
      </c>
      <c r="X22" s="5">
        <v>1.6352233700853e-12</v>
      </c>
      <c r="Y22" s="5">
        <v>1.6726871530547e-12</v>
      </c>
      <c r="Z22" s="5">
        <v>1.6744646936595e-12</v>
      </c>
      <c r="AA22" s="5">
        <v>1.6758568732012e-12</v>
      </c>
      <c r="AB22" s="3">
        <v>0.99999794797119</v>
      </c>
      <c r="AC22" s="3">
        <v>0.90560385530246</v>
      </c>
      <c r="AD22" s="3">
        <v>0.00080097782835934</v>
      </c>
      <c r="AE22" s="5">
        <v>-6.5466821008727e-15</v>
      </c>
      <c r="AF22" s="5">
        <v>-1.2162345617037e-14</v>
      </c>
      <c r="AG22" s="5">
        <v>-1.026730304398e-15</v>
      </c>
      <c r="AH22" s="5">
        <v>-3.8761345030777e-14</v>
      </c>
      <c r="AI22" s="5">
        <v>-6.323393337044e-15</v>
      </c>
      <c r="AJ22" s="5">
        <v>-9.5497616276516e-15</v>
      </c>
      <c r="AK22" s="5">
        <v>2.6885786987835e-15</v>
      </c>
      <c r="AL22" s="5">
        <v>1.1981586207442e-14</v>
      </c>
      <c r="AM22" s="5">
        <v>2.0786572955494e-14</v>
      </c>
      <c r="AN22" s="5">
        <v>3.2249623997341e-15</v>
      </c>
      <c r="AO22" s="5">
        <v>-1.2975643560818e-14</v>
      </c>
      <c r="AP22" s="5">
        <v>-8.1561190257409e-15</v>
      </c>
      <c r="AQ22" s="5">
        <v>4.6431388209524e-15</v>
      </c>
      <c r="AR22" s="5">
        <v>-2.4928478545285e-14</v>
      </c>
      <c r="AS22" s="5">
        <v>9.3983090927558e-15</v>
      </c>
      <c r="AT22" s="5">
        <v>1.2415004130988e-14</v>
      </c>
      <c r="AU22" s="5">
        <v>2.413506898665e-15</v>
      </c>
      <c r="AV22" s="5">
        <v>-2.3520106658759e-14</v>
      </c>
      <c r="AW22" s="5">
        <v>2.7943468889161e-14</v>
      </c>
      <c r="AX22" s="5">
        <v>2.2921892585486e-14</v>
      </c>
      <c r="AY22" s="5">
        <v>1.0953597869842e-14</v>
      </c>
      <c r="AZ22" s="5">
        <v>-5.288907938392e-15</v>
      </c>
      <c r="BA22" s="5">
        <v>-1.5315171505818e-15</v>
      </c>
      <c r="BB22" s="5">
        <v>-4.6803579081993e-14</v>
      </c>
      <c r="BC22" s="3">
        <v>15891814.22153</v>
      </c>
      <c r="BD22" s="3">
        <v>3977532.8333688</v>
      </c>
      <c r="BE22" s="3">
        <v>-0.00024915043893065</v>
      </c>
      <c r="BF22" s="3">
        <v>0.0008614060049923</v>
      </c>
      <c r="BG22" s="3">
        <v>0.00030665952378281</v>
      </c>
      <c r="BH22" s="3">
        <v>-0.0011261599044005</v>
      </c>
      <c r="BI22" s="3">
        <v>139.71768204964</v>
      </c>
      <c r="BJ22" s="3">
        <v>69.862555717474</v>
      </c>
      <c r="BK22" s="3">
        <v>125.1990170333</v>
      </c>
      <c r="BL22" s="4"/>
      <c r="BM22" s="7"/>
    </row>
    <row r="23" spans="1:65">
      <c r="A23" s="3">
        <v>12559432.157548</v>
      </c>
      <c r="B23" s="3">
        <v>0.00027822392014099</v>
      </c>
      <c r="C23" s="6">
        <f t="shared" si="0"/>
        <v>2.37699883716475e-11</v>
      </c>
      <c r="D23" s="5">
        <v>1.6270483873661e-12</v>
      </c>
      <c r="E23" s="5">
        <v>1.6569677128582e-12</v>
      </c>
      <c r="F23" s="5">
        <v>1.6637220240023e-12</v>
      </c>
      <c r="G23" s="5">
        <v>1.6644463128195e-12</v>
      </c>
      <c r="H23" s="5">
        <v>1.626985745348e-12</v>
      </c>
      <c r="I23" s="5">
        <v>1.6270248390454e-12</v>
      </c>
      <c r="J23" s="5">
        <v>1.6259223820174e-12</v>
      </c>
      <c r="K23" s="5">
        <v>1.6269470315542e-12</v>
      </c>
      <c r="L23" s="5">
        <v>1.6291454874859e-12</v>
      </c>
      <c r="M23" s="5">
        <v>1.6272023181096e-12</v>
      </c>
      <c r="N23" s="5">
        <v>1.6692164680968e-12</v>
      </c>
      <c r="O23" s="5">
        <v>1.627877698496e-12</v>
      </c>
      <c r="P23" s="5">
        <v>1.6666908357687e-12</v>
      </c>
      <c r="Q23" s="5">
        <v>1.66692938531e-12</v>
      </c>
      <c r="R23" s="5">
        <v>1.6587031785877e-12</v>
      </c>
      <c r="S23" s="5">
        <v>1.6546991817221e-12</v>
      </c>
      <c r="T23" s="5">
        <v>1.6556417845581e-12</v>
      </c>
      <c r="U23" s="5">
        <v>1.6377040005257e-12</v>
      </c>
      <c r="V23" s="5">
        <v>1.6303949351281e-12</v>
      </c>
      <c r="W23" s="5">
        <v>1.6314315637993e-12</v>
      </c>
      <c r="X23" s="5">
        <v>1.6321238094609e-12</v>
      </c>
      <c r="Y23" s="5">
        <v>1.6692769962778e-12</v>
      </c>
      <c r="Z23" s="5">
        <v>1.6713644131744e-12</v>
      </c>
      <c r="AA23" s="5">
        <v>1.6730642305502e-12</v>
      </c>
      <c r="AB23" s="3">
        <v>0.99999817331635</v>
      </c>
      <c r="AC23" s="3">
        <v>0.9050162406254</v>
      </c>
      <c r="AD23" s="3">
        <v>0.00082858496220204</v>
      </c>
      <c r="AE23" s="5">
        <v>-6.8419415759298e-15</v>
      </c>
      <c r="AF23" s="5">
        <v>-1.1781322881954e-14</v>
      </c>
      <c r="AG23" s="5">
        <v>-2.6729109953231e-15</v>
      </c>
      <c r="AH23" s="5">
        <v>-3.8073870856334e-14</v>
      </c>
      <c r="AI23" s="5">
        <v>-6.8281793775541e-15</v>
      </c>
      <c r="AJ23" s="5">
        <v>-1.0714345529486e-14</v>
      </c>
      <c r="AK23" s="5">
        <v>2.5055956877156e-15</v>
      </c>
      <c r="AL23" s="5">
        <v>1.1046339808496e-14</v>
      </c>
      <c r="AM23" s="5">
        <v>2.3185911379926e-14</v>
      </c>
      <c r="AN23" s="5">
        <v>3.1293582174146e-15</v>
      </c>
      <c r="AO23" s="5">
        <v>-1.2669221502193e-14</v>
      </c>
      <c r="AP23" s="5">
        <v>-8.2831001622406e-15</v>
      </c>
      <c r="AQ23" s="5">
        <v>4.6621776852839e-15</v>
      </c>
      <c r="AR23" s="5">
        <v>-2.499786528446e-14</v>
      </c>
      <c r="AS23" s="5">
        <v>9.5247687725519e-15</v>
      </c>
      <c r="AT23" s="5">
        <v>1.2186415289712e-14</v>
      </c>
      <c r="AU23" s="5">
        <v>2.8352512744897e-15</v>
      </c>
      <c r="AV23" s="5">
        <v>-2.6373139054553e-14</v>
      </c>
      <c r="AW23" s="5">
        <v>2.7546979479713e-14</v>
      </c>
      <c r="AX23" s="5">
        <v>1.9509173079509e-14</v>
      </c>
      <c r="AY23" s="5">
        <v>1.2160817249259e-14</v>
      </c>
      <c r="AZ23" s="5">
        <v>-6.1550353440174e-15</v>
      </c>
      <c r="BA23" s="5">
        <v>-3.0072643539609e-15</v>
      </c>
      <c r="BB23" s="5">
        <v>-4.7167816598391e-14</v>
      </c>
      <c r="BC23" s="3">
        <v>15878872.818255</v>
      </c>
      <c r="BD23" s="3">
        <v>3974535.25481</v>
      </c>
      <c r="BE23" s="3">
        <v>-0.00024510880332957</v>
      </c>
      <c r="BF23" s="3">
        <v>0.00089387168417605</v>
      </c>
      <c r="BG23" s="3">
        <v>0.00032414791046165</v>
      </c>
      <c r="BH23" s="3">
        <v>-0.0011021332199811</v>
      </c>
      <c r="BI23" s="3">
        <v>139.71772913354</v>
      </c>
      <c r="BJ23" s="3">
        <v>69.862578425184</v>
      </c>
      <c r="BK23" s="3">
        <v>124.97613424146</v>
      </c>
      <c r="BL23" s="4"/>
      <c r="BM23" s="7"/>
    </row>
    <row r="24" spans="1:65">
      <c r="A24" s="3">
        <v>14091914.656322</v>
      </c>
      <c r="B24" s="3">
        <v>0.00031123011907821</v>
      </c>
      <c r="C24" s="6">
        <f t="shared" si="0"/>
        <v>2.36483485504682e-11</v>
      </c>
      <c r="D24" s="5">
        <v>1.6232464521109e-12</v>
      </c>
      <c r="E24" s="5">
        <v>1.6535485109569e-12</v>
      </c>
      <c r="F24" s="5">
        <v>1.6608756715222e-12</v>
      </c>
      <c r="G24" s="5">
        <v>1.6618475129606e-12</v>
      </c>
      <c r="H24" s="5">
        <v>1.6232434824971e-12</v>
      </c>
      <c r="I24" s="5">
        <v>1.6234113300927e-12</v>
      </c>
      <c r="J24" s="5">
        <v>1.6220457513885e-12</v>
      </c>
      <c r="K24" s="5">
        <v>1.6229994208781e-12</v>
      </c>
      <c r="L24" s="5">
        <v>1.6255542412996e-12</v>
      </c>
      <c r="M24" s="5">
        <v>1.6232425830203e-12</v>
      </c>
      <c r="N24" s="5">
        <v>1.6657944577224e-12</v>
      </c>
      <c r="O24" s="5">
        <v>1.6242487697571e-12</v>
      </c>
      <c r="P24" s="5">
        <v>1.6628544986846e-12</v>
      </c>
      <c r="Q24" s="5">
        <v>1.6631387680376e-12</v>
      </c>
      <c r="R24" s="5">
        <v>1.6556549010455e-12</v>
      </c>
      <c r="S24" s="5">
        <v>1.6511486988196e-12</v>
      </c>
      <c r="T24" s="5">
        <v>1.6522036362608e-12</v>
      </c>
      <c r="U24" s="5">
        <v>1.6350949994256e-12</v>
      </c>
      <c r="V24" s="5">
        <v>1.6266388555323e-12</v>
      </c>
      <c r="W24" s="5">
        <v>1.6279443369331e-12</v>
      </c>
      <c r="X24" s="5">
        <v>1.6287623551192e-12</v>
      </c>
      <c r="Y24" s="5">
        <v>1.6655448489076e-12</v>
      </c>
      <c r="Z24" s="5">
        <v>1.6679942006012e-12</v>
      </c>
      <c r="AA24" s="5">
        <v>1.6700643752796e-12</v>
      </c>
      <c r="AB24" s="3">
        <v>0.9999983659047</v>
      </c>
      <c r="AC24" s="3">
        <v>0.90408822708684</v>
      </c>
      <c r="AD24" s="3">
        <v>0.00085958128284229</v>
      </c>
      <c r="AE24" s="5">
        <v>-7.101459408995e-15</v>
      </c>
      <c r="AF24" s="5">
        <v>-1.1463046803269e-14</v>
      </c>
      <c r="AG24" s="5">
        <v>-4.2344280650272e-15</v>
      </c>
      <c r="AH24" s="5">
        <v>-3.7493376711153e-14</v>
      </c>
      <c r="AI24" s="5">
        <v>-7.376972958649e-15</v>
      </c>
      <c r="AJ24" s="5">
        <v>-1.2136947005435e-14</v>
      </c>
      <c r="AK24" s="5">
        <v>2.2263134799676e-15</v>
      </c>
      <c r="AL24" s="5">
        <v>1.0074825661376e-14</v>
      </c>
      <c r="AM24" s="5">
        <v>2.5784477198799e-14</v>
      </c>
      <c r="AN24" s="5">
        <v>2.9678429671285e-15</v>
      </c>
      <c r="AO24" s="5">
        <v>-1.2306393465936e-14</v>
      </c>
      <c r="AP24" s="5">
        <v>-8.4718319032933e-15</v>
      </c>
      <c r="AQ24" s="5">
        <v>4.557186473212e-15</v>
      </c>
      <c r="AR24" s="5">
        <v>-2.5174103281121e-14</v>
      </c>
      <c r="AS24" s="5">
        <v>9.8270157505196e-15</v>
      </c>
      <c r="AT24" s="5">
        <v>1.1908990591307e-14</v>
      </c>
      <c r="AU24" s="5">
        <v>3.2390177249609e-15</v>
      </c>
      <c r="AV24" s="5">
        <v>-2.9067690640812e-14</v>
      </c>
      <c r="AW24" s="5">
        <v>2.7327049079108e-14</v>
      </c>
      <c r="AX24" s="5">
        <v>1.6124508527579e-14</v>
      </c>
      <c r="AY24" s="5">
        <v>1.3448303621995e-14</v>
      </c>
      <c r="AZ24" s="5">
        <v>-7.0285232209887e-15</v>
      </c>
      <c r="BA24" s="5">
        <v>-4.5779362078874e-15</v>
      </c>
      <c r="BB24" s="5">
        <v>-4.7544150516277e-14</v>
      </c>
      <c r="BC24" s="3">
        <v>15864386.895728</v>
      </c>
      <c r="BD24" s="3">
        <v>3971186.3075766</v>
      </c>
      <c r="BE24" s="3">
        <v>-0.00024048481575355</v>
      </c>
      <c r="BF24" s="3">
        <v>0.00093011236445455</v>
      </c>
      <c r="BG24" s="3">
        <v>0.00034374457750262</v>
      </c>
      <c r="BH24" s="3">
        <v>-0.0010745110546323</v>
      </c>
      <c r="BI24" s="3">
        <v>139.71778204543</v>
      </c>
      <c r="BJ24" s="3">
        <v>69.862602012945</v>
      </c>
      <c r="BK24" s="3">
        <v>124.73931305054</v>
      </c>
      <c r="BL24" s="4"/>
      <c r="BM24" s="7"/>
    </row>
    <row r="25" spans="1:65">
      <c r="A25" s="3">
        <v>15811388.300842</v>
      </c>
      <c r="B25" s="3">
        <v>0.00034814165578025</v>
      </c>
      <c r="C25" s="6">
        <f t="shared" si="0"/>
        <v>2.35238768635512e-11</v>
      </c>
      <c r="D25" s="5">
        <v>1.6190663086993e-12</v>
      </c>
      <c r="E25" s="5">
        <v>1.649780141964e-12</v>
      </c>
      <c r="F25" s="5">
        <v>1.6577557422151e-12</v>
      </c>
      <c r="G25" s="5">
        <v>1.6590122746635e-12</v>
      </c>
      <c r="H25" s="5">
        <v>1.6191402438592e-12</v>
      </c>
      <c r="I25" s="5">
        <v>1.6194806513721e-12</v>
      </c>
      <c r="J25" s="5">
        <v>1.6177863659595e-12</v>
      </c>
      <c r="K25" s="5">
        <v>1.6186966620688e-12</v>
      </c>
      <c r="L25" s="5">
        <v>1.6216823840235e-12</v>
      </c>
      <c r="M25" s="5">
        <v>1.6189236911906e-12</v>
      </c>
      <c r="N25" s="5">
        <v>1.6621141095571e-12</v>
      </c>
      <c r="O25" s="5">
        <v>1.6202732844095e-12</v>
      </c>
      <c r="P25" s="5">
        <v>1.6586723177699e-12</v>
      </c>
      <c r="Q25" s="5">
        <v>1.6590129404677e-12</v>
      </c>
      <c r="R25" s="5">
        <v>1.6523500719145e-12</v>
      </c>
      <c r="S25" s="5">
        <v>1.6472438133221e-12</v>
      </c>
      <c r="T25" s="5">
        <v>1.6484292144137e-12</v>
      </c>
      <c r="U25" s="5">
        <v>1.6322640523342e-12</v>
      </c>
      <c r="V25" s="5">
        <v>1.6225294337472e-12</v>
      </c>
      <c r="W25" s="5">
        <v>1.624161616208e-12</v>
      </c>
      <c r="X25" s="5">
        <v>1.6251311083325e-12</v>
      </c>
      <c r="Y25" s="5">
        <v>1.6614624753361e-12</v>
      </c>
      <c r="Z25" s="5">
        <v>1.664334991381e-12</v>
      </c>
      <c r="AA25" s="5">
        <v>1.6668507156581e-12</v>
      </c>
      <c r="AB25" s="3">
        <v>0.99999853002884</v>
      </c>
      <c r="AC25" s="3">
        <v>0.902765582948</v>
      </c>
      <c r="AD25" s="3">
        <v>0.00089438446788907</v>
      </c>
      <c r="AE25" s="5">
        <v>-7.3077156655447e-15</v>
      </c>
      <c r="AF25" s="5">
        <v>-1.1180329485282e-14</v>
      </c>
      <c r="AG25" s="5">
        <v>-5.7053263930617e-15</v>
      </c>
      <c r="AH25" s="5">
        <v>-3.6998644949677e-14</v>
      </c>
      <c r="AI25" s="5">
        <v>-7.9735827237237e-15</v>
      </c>
      <c r="AJ25" s="5">
        <v>-1.3881931384495e-14</v>
      </c>
      <c r="AK25" s="5">
        <v>1.8455186201284e-15</v>
      </c>
      <c r="AL25" s="5">
        <v>9.0595923926297e-15</v>
      </c>
      <c r="AM25" s="5">
        <v>2.8595976812091e-14</v>
      </c>
      <c r="AN25" s="5">
        <v>2.7224182390852e-15</v>
      </c>
      <c r="AO25" s="5">
        <v>-1.1866924775855e-14</v>
      </c>
      <c r="AP25" s="5">
        <v>-8.7263696686434e-15</v>
      </c>
      <c r="AQ25" s="5">
        <v>4.304176924428e-15</v>
      </c>
      <c r="AR25" s="5">
        <v>-2.5467881183102e-14</v>
      </c>
      <c r="AS25" s="5">
        <v>1.033696924189e-14</v>
      </c>
      <c r="AT25" s="5">
        <v>1.1578188971169e-14</v>
      </c>
      <c r="AU25" s="5">
        <v>3.6274565994384e-15</v>
      </c>
      <c r="AV25" s="5">
        <v>-3.1577949470553e-14</v>
      </c>
      <c r="AW25" s="5">
        <v>2.7281799775908e-14</v>
      </c>
      <c r="AX25" s="5">
        <v>1.2782685152375e-14</v>
      </c>
      <c r="AY25" s="5">
        <v>1.4804451119273e-14</v>
      </c>
      <c r="AZ25" s="5">
        <v>-7.9125789397879e-15</v>
      </c>
      <c r="BA25" s="5">
        <v>-6.2688413394163e-15</v>
      </c>
      <c r="BB25" s="5">
        <v>-4.7909297124868e-14</v>
      </c>
      <c r="BC25" s="3">
        <v>15848172.121491</v>
      </c>
      <c r="BD25" s="3">
        <v>3967456.0005691</v>
      </c>
      <c r="BE25" s="3">
        <v>-0.00023520095618303</v>
      </c>
      <c r="BF25" s="3">
        <v>0.00097056105073836</v>
      </c>
      <c r="BG25" s="3">
        <v>0.00036570042689857</v>
      </c>
      <c r="BH25" s="3">
        <v>-0.0010430770845361</v>
      </c>
      <c r="BI25" s="3">
        <v>139.71784001021</v>
      </c>
      <c r="BJ25" s="3">
        <v>69.862625977945</v>
      </c>
      <c r="BK25" s="3">
        <v>124.48944973318</v>
      </c>
      <c r="BL25" s="4"/>
      <c r="BM25" s="7"/>
    </row>
    <row r="26" spans="1:65">
      <c r="A26" s="3">
        <v>17740669.461679</v>
      </c>
      <c r="B26" s="3">
        <v>0.00038941695846034</v>
      </c>
      <c r="C26" s="6">
        <f t="shared" si="0"/>
        <v>2.33969825498409e-11</v>
      </c>
      <c r="D26" s="5">
        <v>1.6144891410609e-12</v>
      </c>
      <c r="E26" s="5">
        <v>1.6456286265649e-12</v>
      </c>
      <c r="F26" s="5">
        <v>1.6543420458644e-12</v>
      </c>
      <c r="G26" s="5">
        <v>1.6559250286151e-12</v>
      </c>
      <c r="H26" s="5">
        <v>1.6146606080252e-12</v>
      </c>
      <c r="I26" s="5">
        <v>1.6152306564647e-12</v>
      </c>
      <c r="J26" s="5">
        <v>1.6131240281927e-12</v>
      </c>
      <c r="K26" s="5">
        <v>1.6140188628754e-12</v>
      </c>
      <c r="L26" s="5">
        <v>1.6175294732713e-12</v>
      </c>
      <c r="M26" s="5">
        <v>1.6142250580637e-12</v>
      </c>
      <c r="N26" s="5">
        <v>1.6581858007452e-12</v>
      </c>
      <c r="O26" s="5">
        <v>1.6159379413397e-12</v>
      </c>
      <c r="P26" s="5">
        <v>1.6541323204346e-12</v>
      </c>
      <c r="Q26" s="5">
        <v>1.6545426682141e-12</v>
      </c>
      <c r="R26" s="5">
        <v>1.6487777424868e-12</v>
      </c>
      <c r="S26" s="5">
        <v>1.642949351771e-12</v>
      </c>
      <c r="T26" s="5">
        <v>1.6442869827115e-12</v>
      </c>
      <c r="U26" s="5">
        <v>1.6292170242672e-12</v>
      </c>
      <c r="V26" s="5">
        <v>1.6180456678425e-12</v>
      </c>
      <c r="W26" s="5">
        <v>1.6200758946691e-12</v>
      </c>
      <c r="X26" s="5">
        <v>1.6212262293614e-12</v>
      </c>
      <c r="Y26" s="5">
        <v>1.6570172079034e-12</v>
      </c>
      <c r="Z26" s="5">
        <v>1.660384903931e-12</v>
      </c>
      <c r="AA26" s="5">
        <v>1.6634362686732e-12</v>
      </c>
      <c r="AB26" s="3">
        <v>0.99999866947924</v>
      </c>
      <c r="AC26" s="3">
        <v>0.90098999513395</v>
      </c>
      <c r="AD26" s="3">
        <v>0.00093346276667671</v>
      </c>
      <c r="AE26" s="5">
        <v>-7.4330778703058e-15</v>
      </c>
      <c r="AF26" s="5">
        <v>-1.0893818371636e-14</v>
      </c>
      <c r="AG26" s="5">
        <v>-7.0715434890377e-15</v>
      </c>
      <c r="AH26" s="5">
        <v>-3.6557912098917e-14</v>
      </c>
      <c r="AI26" s="5">
        <v>-8.6202533696918e-15</v>
      </c>
      <c r="AJ26" s="5">
        <v>-1.6028064409408e-14</v>
      </c>
      <c r="AK26" s="5">
        <v>1.3602043034236e-15</v>
      </c>
      <c r="AL26" s="5">
        <v>7.9927402898962e-15</v>
      </c>
      <c r="AM26" s="5">
        <v>3.1627284901144e-14</v>
      </c>
      <c r="AN26" s="5">
        <v>2.3702857652354e-15</v>
      </c>
      <c r="AO26" s="5">
        <v>-1.133816194302e-14</v>
      </c>
      <c r="AP26" s="5">
        <v>-9.0471985233763e-15</v>
      </c>
      <c r="AQ26" s="5">
        <v>3.8799916162133e-15</v>
      </c>
      <c r="AR26" s="5">
        <v>-2.5892032585685e-14</v>
      </c>
      <c r="AS26" s="5">
        <v>1.1092676743623e-14</v>
      </c>
      <c r="AT26" s="5">
        <v>1.1188243326663e-14</v>
      </c>
      <c r="AU26" s="5">
        <v>4.0050832063817e-15</v>
      </c>
      <c r="AV26" s="5">
        <v>-3.3873390628331e-14</v>
      </c>
      <c r="AW26" s="5">
        <v>2.7399297316934e-14</v>
      </c>
      <c r="AX26" s="5">
        <v>9.5114782175187e-15</v>
      </c>
      <c r="AY26" s="5">
        <v>1.6204459503674e-14</v>
      </c>
      <c r="AZ26" s="5">
        <v>-8.8054955338048e-15</v>
      </c>
      <c r="BA26" s="5">
        <v>-8.1062499531484e-15</v>
      </c>
      <c r="BB26" s="5">
        <v>-4.8237387700991e-14</v>
      </c>
      <c r="BC26" s="3">
        <v>15830021.956082</v>
      </c>
      <c r="BD26" s="3">
        <v>3963315.0617784</v>
      </c>
      <c r="BE26" s="3">
        <v>-0.00022917117469043</v>
      </c>
      <c r="BF26" s="3">
        <v>0.0010157004083922</v>
      </c>
      <c r="BG26" s="3">
        <v>0.00039029547580648</v>
      </c>
      <c r="BH26" s="3">
        <v>-0.001007720631343</v>
      </c>
      <c r="BI26" s="3">
        <v>139.71790162745</v>
      </c>
      <c r="BJ26" s="3">
        <v>69.862649606488</v>
      </c>
      <c r="BK26" s="3">
        <v>124.22794546323</v>
      </c>
      <c r="BL26" s="4"/>
      <c r="BM26" s="7"/>
    </row>
    <row r="27" spans="1:65">
      <c r="A27" s="3">
        <v>19905358.527675</v>
      </c>
      <c r="B27" s="3">
        <v>0.000435568111843</v>
      </c>
      <c r="C27" s="6">
        <f t="shared" si="0"/>
        <v>2.32682320632616e-11</v>
      </c>
      <c r="D27" s="5">
        <v>1.6094854974569e-12</v>
      </c>
      <c r="E27" s="5">
        <v>1.6410662968094e-12</v>
      </c>
      <c r="F27" s="5">
        <v>1.650623383528e-12</v>
      </c>
      <c r="G27" s="5">
        <v>1.6525796671824e-12</v>
      </c>
      <c r="H27" s="5">
        <v>1.6097789981065e-12</v>
      </c>
      <c r="I27" s="5">
        <v>1.6106528306315e-12</v>
      </c>
      <c r="J27" s="5">
        <v>1.6080270179456e-12</v>
      </c>
      <c r="K27" s="5">
        <v>1.6089401804474e-12</v>
      </c>
      <c r="L27" s="5">
        <v>1.6130948485021e-12</v>
      </c>
      <c r="M27" s="5">
        <v>1.6091201609526e-12</v>
      </c>
      <c r="N27" s="5">
        <v>1.6540203462828e-12</v>
      </c>
      <c r="O27" s="5">
        <v>1.6112197244317e-12</v>
      </c>
      <c r="P27" s="5">
        <v>1.6492174303862e-12</v>
      </c>
      <c r="Q27" s="5">
        <v>1.6497144241677e-12</v>
      </c>
      <c r="R27" s="5">
        <v>1.6449385591944e-12</v>
      </c>
      <c r="S27" s="5">
        <v>1.6382356534674e-12</v>
      </c>
      <c r="T27" s="5">
        <v>1.639751647054e-12</v>
      </c>
      <c r="U27" s="5">
        <v>1.6259524627175e-12</v>
      </c>
      <c r="V27" s="5">
        <v>1.6131607903642e-12</v>
      </c>
      <c r="W27" s="5">
        <v>1.615677336581e-12</v>
      </c>
      <c r="X27" s="5">
        <v>1.6170414912931e-12</v>
      </c>
      <c r="Y27" s="5">
        <v>1.6521914764165e-12</v>
      </c>
      <c r="Z27" s="5">
        <v>1.6561393525069e-12</v>
      </c>
      <c r="AA27" s="5">
        <v>1.6598342393865e-12</v>
      </c>
      <c r="AB27" s="3">
        <v>0.99999878753814</v>
      </c>
      <c r="AC27" s="3">
        <v>0.89869984960685</v>
      </c>
      <c r="AD27" s="3">
        <v>0.00097734102848826</v>
      </c>
      <c r="AE27" s="5">
        <v>-7.4356676681696e-15</v>
      </c>
      <c r="AF27" s="5">
        <v>-1.054844219702e-14</v>
      </c>
      <c r="AG27" s="5">
        <v>-8.3034249372855e-15</v>
      </c>
      <c r="AH27" s="5">
        <v>-3.6125848969793e-14</v>
      </c>
      <c r="AI27" s="5">
        <v>-9.3187532089167e-15</v>
      </c>
      <c r="AJ27" s="5">
        <v>-1.8669584783168e-14</v>
      </c>
      <c r="AK27" s="5">
        <v>7.7055809991139e-16</v>
      </c>
      <c r="AL27" s="5">
        <v>6.8665304732508e-15</v>
      </c>
      <c r="AM27" s="5">
        <v>3.4873333973569e-14</v>
      </c>
      <c r="AN27" s="5">
        <v>1.8834561541481e-15</v>
      </c>
      <c r="AO27" s="5">
        <v>-1.0722912297149e-14</v>
      </c>
      <c r="AP27" s="5">
        <v>-9.4274377715523e-15</v>
      </c>
      <c r="AQ27" s="5">
        <v>3.2668456680255e-15</v>
      </c>
      <c r="AR27" s="5">
        <v>-2.6461667015172e-14</v>
      </c>
      <c r="AS27" s="5">
        <v>1.2141048090203e-14</v>
      </c>
      <c r="AT27" s="5">
        <v>1.0731991132319e-14</v>
      </c>
      <c r="AU27" s="5">
        <v>4.3795165109815e-15</v>
      </c>
      <c r="AV27" s="5">
        <v>-3.5917694827011e-14</v>
      </c>
      <c r="AW27" s="5">
        <v>2.7654247108117e-14</v>
      </c>
      <c r="AX27" s="5">
        <v>6.3582998698489e-15</v>
      </c>
      <c r="AY27" s="5">
        <v>1.7610011607592e-14</v>
      </c>
      <c r="AZ27" s="5">
        <v>-9.6994063715632e-15</v>
      </c>
      <c r="BA27" s="5">
        <v>-1.0120931483522e-14</v>
      </c>
      <c r="BB27" s="5">
        <v>-4.8501273245343e-14</v>
      </c>
      <c r="BC27" s="3">
        <v>15809704.877081</v>
      </c>
      <c r="BD27" s="3">
        <v>3958736.2129772</v>
      </c>
      <c r="BE27" s="3">
        <v>-0.00022230044089378</v>
      </c>
      <c r="BF27" s="3">
        <v>0.0010660688959246</v>
      </c>
      <c r="BG27" s="3">
        <v>0.00041784206111184</v>
      </c>
      <c r="BH27" s="3">
        <v>-0.00096847111021392</v>
      </c>
      <c r="BI27" s="3">
        <v>139.71796467735</v>
      </c>
      <c r="BJ27" s="3">
        <v>69.862671957424</v>
      </c>
      <c r="BK27" s="3">
        <v>123.95678994835</v>
      </c>
      <c r="BL27" s="4"/>
      <c r="BM27" s="7"/>
    </row>
    <row r="28" spans="1:65">
      <c r="A28" s="3">
        <v>22334179.607548</v>
      </c>
      <c r="B28" s="3">
        <v>0.00048716740190224</v>
      </c>
      <c r="C28" s="6">
        <f t="shared" si="0"/>
        <v>2.31383933134501e-11</v>
      </c>
      <c r="D28" s="5">
        <v>1.6040272072681e-12</v>
      </c>
      <c r="E28" s="5">
        <v>1.6360536971557e-12</v>
      </c>
      <c r="F28" s="5">
        <v>1.64657983138e-12</v>
      </c>
      <c r="G28" s="5">
        <v>1.6489623004984e-12</v>
      </c>
      <c r="H28" s="5">
        <v>1.6044716852033e-12</v>
      </c>
      <c r="I28" s="5">
        <v>1.6057449672601e-12</v>
      </c>
      <c r="J28" s="5">
        <v>1.6024636654288e-12</v>
      </c>
      <c r="K28" s="5">
        <v>1.6034351220803e-12</v>
      </c>
      <c r="L28" s="5">
        <v>1.6083854341491e-12</v>
      </c>
      <c r="M28" s="5">
        <v>1.6035828221905e-12</v>
      </c>
      <c r="N28" s="5">
        <v>1.6496254717605e-12</v>
      </c>
      <c r="O28" s="5">
        <v>1.6060977689409e-12</v>
      </c>
      <c r="P28" s="5">
        <v>1.6439002813212e-12</v>
      </c>
      <c r="Q28" s="5">
        <v>1.644505179638e-12</v>
      </c>
      <c r="R28" s="5">
        <v>1.6408274861698e-12</v>
      </c>
      <c r="S28" s="5">
        <v>1.6330599333602e-12</v>
      </c>
      <c r="T28" s="5">
        <v>1.6347860849109e-12</v>
      </c>
      <c r="U28" s="5">
        <v>1.6224748326206e-12</v>
      </c>
      <c r="V28" s="5">
        <v>1.6078487318178e-12</v>
      </c>
      <c r="W28" s="5">
        <v>1.6109610205377e-12</v>
      </c>
      <c r="X28" s="5">
        <v>1.6125752941197e-12</v>
      </c>
      <c r="Y28" s="5">
        <v>1.6469580834971e-12</v>
      </c>
      <c r="Z28" s="5">
        <v>1.6515865130118e-12</v>
      </c>
      <c r="AA28" s="5">
        <v>1.6560539159859e-12</v>
      </c>
      <c r="AB28" s="3">
        <v>0.99999888710928</v>
      </c>
      <c r="AC28" s="3">
        <v>0.89583168984564</v>
      </c>
      <c r="AD28" s="3">
        <v>0.0010266077084967</v>
      </c>
      <c r="AE28" s="5">
        <v>-7.2564937046068e-15</v>
      </c>
      <c r="AF28" s="5">
        <v>-1.007038762614e-14</v>
      </c>
      <c r="AG28" s="5">
        <v>-9.3426604334221e-15</v>
      </c>
      <c r="AH28" s="5">
        <v>-3.564662619366e-14</v>
      </c>
      <c r="AI28" s="5">
        <v>-1.007142957713e-14</v>
      </c>
      <c r="AJ28" s="5">
        <v>-2.1915588020511e-14</v>
      </c>
      <c r="AK28" s="5">
        <v>8.3017907891292e-17</v>
      </c>
      <c r="AL28" s="5">
        <v>5.6732810808212e-15</v>
      </c>
      <c r="AM28" s="5">
        <v>3.8306938254442e-14</v>
      </c>
      <c r="AN28" s="5">
        <v>1.2296108055957e-15</v>
      </c>
      <c r="AO28" s="5">
        <v>-1.0049086015678e-14</v>
      </c>
      <c r="AP28" s="5">
        <v>-9.8481432844988e-15</v>
      </c>
      <c r="AQ28" s="5">
        <v>2.4587206061724e-15</v>
      </c>
      <c r="AR28" s="5">
        <v>-2.7193077200843e-14</v>
      </c>
      <c r="AS28" s="5">
        <v>1.3540621280587e-14</v>
      </c>
      <c r="AT28" s="5">
        <v>1.0202141391045e-14</v>
      </c>
      <c r="AU28" s="5">
        <v>4.7603236568543e-15</v>
      </c>
      <c r="AV28" s="5">
        <v>-3.7681157904154e-14</v>
      </c>
      <c r="AW28" s="5">
        <v>2.8004188346019e-14</v>
      </c>
      <c r="AX28" s="5">
        <v>3.3976284934559e-15</v>
      </c>
      <c r="AY28" s="5">
        <v>1.8968122631204e-14</v>
      </c>
      <c r="AZ28" s="5">
        <v>-1.0579876210404e-14</v>
      </c>
      <c r="BA28" s="5">
        <v>-1.2351016069475e-14</v>
      </c>
      <c r="BB28" s="5">
        <v>-4.867209387638e-14</v>
      </c>
      <c r="BC28" s="3">
        <v>15786961.348306</v>
      </c>
      <c r="BD28" s="3">
        <v>3953695.8919237</v>
      </c>
      <c r="BE28" s="3">
        <v>-0.00021448487261064</v>
      </c>
      <c r="BF28" s="3">
        <v>0.0011222679133587</v>
      </c>
      <c r="BG28" s="3">
        <v>0.00044868827476284</v>
      </c>
      <c r="BH28" s="3">
        <v>-0.0009255692947971</v>
      </c>
      <c r="BI28" s="3">
        <v>139.71802595425</v>
      </c>
      <c r="BJ28" s="3">
        <v>69.86269188424</v>
      </c>
      <c r="BK28" s="3">
        <v>123.67862377383</v>
      </c>
      <c r="BL28" s="4"/>
      <c r="BM28" s="7"/>
    </row>
    <row r="29" spans="1:65">
      <c r="A29" s="3">
        <v>25059361.681364</v>
      </c>
      <c r="B29" s="3">
        <v>0.00054485476731155</v>
      </c>
      <c r="C29" s="6">
        <f t="shared" si="0"/>
        <v>2.30084140131231e-11</v>
      </c>
      <c r="D29" s="5">
        <v>1.5980929111207e-12</v>
      </c>
      <c r="E29" s="5">
        <v>1.6305630879753e-12</v>
      </c>
      <c r="F29" s="5">
        <v>1.6422065922844e-12</v>
      </c>
      <c r="G29" s="5">
        <v>1.6450753752394e-12</v>
      </c>
      <c r="H29" s="5">
        <v>1.5987224381422e-12</v>
      </c>
      <c r="I29" s="5">
        <v>1.6005172963451e-12</v>
      </c>
      <c r="J29" s="5">
        <v>1.5964074368438e-12</v>
      </c>
      <c r="K29" s="5">
        <v>1.5974847584381e-12</v>
      </c>
      <c r="L29" s="5">
        <v>1.6034233035952e-12</v>
      </c>
      <c r="M29" s="5">
        <v>1.5975930626648e-12</v>
      </c>
      <c r="N29" s="5">
        <v>1.6450092137351e-12</v>
      </c>
      <c r="O29" s="5">
        <v>1.6005588771449e-12</v>
      </c>
      <c r="P29" s="5">
        <v>1.6381452807325e-12</v>
      </c>
      <c r="Q29" s="5">
        <v>1.6388851121562e-12</v>
      </c>
      <c r="R29" s="5">
        <v>1.6364578340676e-12</v>
      </c>
      <c r="S29" s="5">
        <v>1.6273894494917e-12</v>
      </c>
      <c r="T29" s="5">
        <v>1.6293645730339e-12</v>
      </c>
      <c r="U29" s="5">
        <v>1.6188004003941e-12</v>
      </c>
      <c r="V29" s="5">
        <v>1.6020902320546e-12</v>
      </c>
      <c r="W29" s="5">
        <v>1.6059339760448e-12</v>
      </c>
      <c r="X29" s="5">
        <v>1.6078376595591e-12</v>
      </c>
      <c r="Y29" s="5">
        <v>1.6412826357581e-12</v>
      </c>
      <c r="Z29" s="5">
        <v>1.646710618856e-12</v>
      </c>
      <c r="AA29" s="5">
        <v>1.6521040159252e-12</v>
      </c>
      <c r="AB29" s="3">
        <v>0.99999897073785</v>
      </c>
      <c r="AC29" s="3">
        <v>0.89232229574139</v>
      </c>
      <c r="AD29" s="3">
        <v>0.0010819226523764</v>
      </c>
      <c r="AE29" s="5">
        <v>-6.8186639211775e-15</v>
      </c>
      <c r="AF29" s="5">
        <v>-9.3647715050626e-15</v>
      </c>
      <c r="AG29" s="5">
        <v>-1.009923898007e-14</v>
      </c>
      <c r="AH29" s="5">
        <v>-3.5054313495936e-14</v>
      </c>
      <c r="AI29" s="5">
        <v>-1.0882529074707e-14</v>
      </c>
      <c r="AJ29" s="5">
        <v>-2.5882541300057e-14</v>
      </c>
      <c r="AK29" s="5">
        <v>-6.9034004012643e-16</v>
      </c>
      <c r="AL29" s="5">
        <v>4.4061121334051e-15</v>
      </c>
      <c r="AM29" s="5">
        <v>4.1873101404814e-14</v>
      </c>
      <c r="AN29" s="5">
        <v>3.7483202411588e-16</v>
      </c>
      <c r="AO29" s="5">
        <v>-9.378718178863e-15</v>
      </c>
      <c r="AP29" s="5">
        <v>-1.0270013713987e-14</v>
      </c>
      <c r="AQ29" s="5">
        <v>1.4678273024908e-15</v>
      </c>
      <c r="AR29" s="5">
        <v>-2.8103365979866e-14</v>
      </c>
      <c r="AS29" s="5">
        <v>1.5357507402984e-14</v>
      </c>
      <c r="AT29" s="5">
        <v>9.5911201405372e-15</v>
      </c>
      <c r="AU29" s="5">
        <v>5.1618932092506e-15</v>
      </c>
      <c r="AV29" s="5">
        <v>-3.9143045337147e-14</v>
      </c>
      <c r="AW29" s="5">
        <v>2.8387360385924e-14</v>
      </c>
      <c r="AX29" s="5">
        <v>7.4340828107149e-16</v>
      </c>
      <c r="AY29" s="5">
        <v>2.0210365323255e-14</v>
      </c>
      <c r="AZ29" s="5">
        <v>-1.142977886392e-14</v>
      </c>
      <c r="BA29" s="5">
        <v>-1.4846660931565e-14</v>
      </c>
      <c r="BB29" s="5">
        <v>-4.8721592387433e-14</v>
      </c>
      <c r="BC29" s="3">
        <v>15761500.377481</v>
      </c>
      <c r="BD29" s="3">
        <v>3948176.4508313</v>
      </c>
      <c r="BE29" s="3">
        <v>-0.00020561188422624</v>
      </c>
      <c r="BF29" s="3">
        <v>0.0011849700307742</v>
      </c>
      <c r="BG29" s="3">
        <v>0.00048322172252912</v>
      </c>
      <c r="BH29" s="3">
        <v>-0.00087945781836802</v>
      </c>
      <c r="BI29" s="3">
        <v>139.71808115971</v>
      </c>
      <c r="BJ29" s="3">
        <v>69.862707953237</v>
      </c>
      <c r="BK29" s="3">
        <v>123.39679153587</v>
      </c>
      <c r="BL29" s="4"/>
      <c r="BM29" s="7"/>
    </row>
    <row r="30" spans="1:65">
      <c r="A30" s="3">
        <v>28117066.259518</v>
      </c>
      <c r="B30" s="3">
        <v>0.00060934644598541</v>
      </c>
      <c r="C30" s="6">
        <f t="shared" si="0"/>
        <v>2.28794077914274e-11</v>
      </c>
      <c r="D30" s="5">
        <v>1.5916758784464e-12</v>
      </c>
      <c r="E30" s="5">
        <v>1.6245757732935e-12</v>
      </c>
      <c r="F30" s="5">
        <v>1.6375118786197e-12</v>
      </c>
      <c r="G30" s="5">
        <v>1.6409355253679e-12</v>
      </c>
      <c r="H30" s="5">
        <v>1.5925304734156e-12</v>
      </c>
      <c r="I30" s="5">
        <v>1.5950006932101e-12</v>
      </c>
      <c r="J30" s="5">
        <v>1.5898441456685e-12</v>
      </c>
      <c r="K30" s="5">
        <v>1.5910612630715e-12</v>
      </c>
      <c r="L30" s="5">
        <v>1.5982324086773e-12</v>
      </c>
      <c r="M30" s="5">
        <v>1.5911219643127e-12</v>
      </c>
      <c r="N30" s="5">
        <v>1.6402033278965e-12</v>
      </c>
      <c r="O30" s="5">
        <v>1.5946052579395e-12</v>
      </c>
      <c r="P30" s="5">
        <v>1.6319306140707e-12</v>
      </c>
      <c r="Q30" s="5">
        <v>1.6328400038444e-12</v>
      </c>
      <c r="R30" s="5">
        <v>1.6318589626144e-12</v>
      </c>
      <c r="S30" s="5">
        <v>1.621198109249e-12</v>
      </c>
      <c r="T30" s="5">
        <v>1.6234697211185e-12</v>
      </c>
      <c r="U30" s="5">
        <v>1.6149655835449e-12</v>
      </c>
      <c r="V30" s="5">
        <v>1.5958582067785e-12</v>
      </c>
      <c r="W30" s="5">
        <v>1.6006015148629e-12</v>
      </c>
      <c r="X30" s="5">
        <v>1.6028351992006e-12</v>
      </c>
      <c r="Y30" s="5">
        <v>1.6351461972938e-12</v>
      </c>
      <c r="Z30" s="5">
        <v>1.6415151995253e-12</v>
      </c>
      <c r="AA30" s="5">
        <v>1.648016338133e-12</v>
      </c>
      <c r="AB30" s="3">
        <v>0.99999904069689</v>
      </c>
      <c r="AC30" s="3">
        <v>0.88811167346122</v>
      </c>
      <c r="AD30" s="3">
        <v>0.0011440258829974</v>
      </c>
      <c r="AE30" s="5">
        <v>-6.0238191761416e-15</v>
      </c>
      <c r="AF30" s="5">
        <v>-8.3186362625174e-15</v>
      </c>
      <c r="AG30" s="5">
        <v>-1.0444990306727e-14</v>
      </c>
      <c r="AH30" s="5">
        <v>-3.4289547423462e-14</v>
      </c>
      <c r="AI30" s="5">
        <v>-1.1760098672969e-14</v>
      </c>
      <c r="AJ30" s="5">
        <v>-3.0676910499988e-14</v>
      </c>
      <c r="AK30" s="5">
        <v>-1.5306211180281e-15</v>
      </c>
      <c r="AL30" s="5">
        <v>3.061295076965e-15</v>
      </c>
      <c r="AM30" s="5">
        <v>4.5480214975545e-14</v>
      </c>
      <c r="AN30" s="5">
        <v>-7.1063758000799e-16</v>
      </c>
      <c r="AO30" s="5">
        <v>-8.8070074152074e-15</v>
      </c>
      <c r="AP30" s="5">
        <v>-1.0620875615471e-14</v>
      </c>
      <c r="AQ30" s="5">
        <v>3.2652208827865e-16</v>
      </c>
      <c r="AR30" s="5">
        <v>-2.9211999361481e-14</v>
      </c>
      <c r="AS30" s="5">
        <v>1.7658602488424e-14</v>
      </c>
      <c r="AT30" s="5">
        <v>8.891364043746e-15</v>
      </c>
      <c r="AU30" s="5">
        <v>5.5992847705488e-15</v>
      </c>
      <c r="AV30" s="5">
        <v>-4.0301500449798e-14</v>
      </c>
      <c r="AW30" s="5">
        <v>2.8724644320161e-14</v>
      </c>
      <c r="AX30" s="5">
        <v>-1.4456204012702e-15</v>
      </c>
      <c r="AY30" s="5">
        <v>2.1262571600572e-14</v>
      </c>
      <c r="AZ30" s="5">
        <v>-1.2236161577462e-14</v>
      </c>
      <c r="BA30" s="5">
        <v>-1.7670591849518e-14</v>
      </c>
      <c r="BB30" s="5">
        <v>-4.8624798370357e-14</v>
      </c>
      <c r="BC30" s="3">
        <v>15732995.598189</v>
      </c>
      <c r="BD30" s="3">
        <v>3942168.8795009</v>
      </c>
      <c r="BE30" s="3">
        <v>-0.00019556020381323</v>
      </c>
      <c r="BF30" s="3">
        <v>0.0012549285007235</v>
      </c>
      <c r="BG30" s="3">
        <v>0.00052187363414989</v>
      </c>
      <c r="BH30" s="3">
        <v>-0.00083087465727377</v>
      </c>
      <c r="BI30" s="3">
        <v>139.71812487423</v>
      </c>
      <c r="BJ30" s="3">
        <v>69.862718461908</v>
      </c>
      <c r="BK30" s="3">
        <v>123.11536438589</v>
      </c>
      <c r="BL30" s="4"/>
      <c r="BM30" s="7"/>
    </row>
    <row r="31" spans="1:65">
      <c r="A31" s="3">
        <v>31547867.22401</v>
      </c>
      <c r="B31" s="3">
        <v>0.00068144492326573</v>
      </c>
      <c r="C31" s="6">
        <f t="shared" si="0"/>
        <v>2.27526288825264e-11</v>
      </c>
      <c r="D31" s="5">
        <v>1.5847695241999e-12</v>
      </c>
      <c r="E31" s="5">
        <v>1.6180769312034e-12</v>
      </c>
      <c r="F31" s="5">
        <v>1.632512302089e-12</v>
      </c>
      <c r="G31" s="5">
        <v>1.6365688980682e-12</v>
      </c>
      <c r="H31" s="5">
        <v>1.5858962599686e-12</v>
      </c>
      <c r="I31" s="5">
        <v>1.5892316432544e-12</v>
      </c>
      <c r="J31" s="5">
        <v>1.5827567258604e-12</v>
      </c>
      <c r="K31" s="5">
        <v>1.5841717532637e-12</v>
      </c>
      <c r="L31" s="5">
        <v>1.592883099885e-12</v>
      </c>
      <c r="M31" s="5">
        <v>1.5841746911283e-12</v>
      </c>
      <c r="N31" s="5">
        <v>1.6352418287626e-12</v>
      </c>
      <c r="O31" s="5">
        <v>1.5882398153609e-12</v>
      </c>
      <c r="P31" s="5">
        <v>1.6252254570861e-12</v>
      </c>
      <c r="Q31" s="5">
        <v>1.6263492691817e-12</v>
      </c>
      <c r="R31" s="5">
        <v>1.6270710731779e-12</v>
      </c>
      <c r="S31" s="5">
        <v>1.6144605318446e-12</v>
      </c>
      <c r="T31" s="5">
        <v>1.6170869866281e-12</v>
      </c>
      <c r="U31" s="5">
        <v>1.6110131272496e-12</v>
      </c>
      <c r="V31" s="5">
        <v>1.5891613164464e-12</v>
      </c>
      <c r="W31" s="5">
        <v>1.5950117146385e-12</v>
      </c>
      <c r="X31" s="5">
        <v>1.5976161229778e-12</v>
      </c>
      <c r="Y31" s="5">
        <v>1.6285233775597e-12</v>
      </c>
      <c r="Z31" s="5">
        <v>1.6360022034686e-12</v>
      </c>
      <c r="AA31" s="5">
        <v>1.643824663893e-12</v>
      </c>
      <c r="AB31" s="3">
        <v>0.99999909902724</v>
      </c>
      <c r="AC31" s="3">
        <v>0.88314816616495</v>
      </c>
      <c r="AD31" s="3">
        <v>0.0012137474906637</v>
      </c>
      <c r="AE31" s="5">
        <v>-4.7559443765756e-15</v>
      </c>
      <c r="AF31" s="5">
        <v>-6.8025597666297e-15</v>
      </c>
      <c r="AG31" s="5">
        <v>-1.021799699258e-14</v>
      </c>
      <c r="AH31" s="5">
        <v>-3.33257527967e-14</v>
      </c>
      <c r="AI31" s="5">
        <v>-1.2718174133403e-14</v>
      </c>
      <c r="AJ31" s="5">
        <v>-3.6373837249274e-14</v>
      </c>
      <c r="AK31" s="5">
        <v>-2.4136155310474e-15</v>
      </c>
      <c r="AL31" s="5">
        <v>1.6392193539288e-15</v>
      </c>
      <c r="AM31" s="5">
        <v>4.9007653612642e-14</v>
      </c>
      <c r="AN31" s="5">
        <v>-2.044049816981e-15</v>
      </c>
      <c r="AO31" s="5">
        <v>-8.4614181826101e-15</v>
      </c>
      <c r="AP31" s="5">
        <v>-1.0787562448248e-14</v>
      </c>
      <c r="AQ31" s="5">
        <v>-9.1903764176575e-16</v>
      </c>
      <c r="AR31" s="5">
        <v>-3.0534277859513e-14</v>
      </c>
      <c r="AS31" s="5">
        <v>2.0488435834007e-14</v>
      </c>
      <c r="AT31" s="5">
        <v>8.0972750867632e-15</v>
      </c>
      <c r="AU31" s="5">
        <v>6.0849172172901e-15</v>
      </c>
      <c r="AV31" s="5">
        <v>-4.1179225561256e-14</v>
      </c>
      <c r="AW31" s="5">
        <v>2.8930266453901e-14</v>
      </c>
      <c r="AX31" s="5">
        <v>-2.9769913449098e-15</v>
      </c>
      <c r="AY31" s="5">
        <v>2.2047337502356e-14</v>
      </c>
      <c r="AZ31" s="5">
        <v>-1.3000737131688e-14</v>
      </c>
      <c r="BA31" s="5">
        <v>-2.0898672481456e-14</v>
      </c>
      <c r="BB31" s="5">
        <v>-4.8342106844783e-14</v>
      </c>
      <c r="BC31" s="3">
        <v>15701080.863075</v>
      </c>
      <c r="BD31" s="3">
        <v>3935676.084891</v>
      </c>
      <c r="BE31" s="3">
        <v>-0.00018419967292921</v>
      </c>
      <c r="BF31" s="3">
        <v>0.0013329882418384</v>
      </c>
      <c r="BG31" s="3">
        <v>0.00056512335146367</v>
      </c>
      <c r="BH31" s="3">
        <v>-0.00078094220402619</v>
      </c>
      <c r="BI31" s="3">
        <v>139.71815067464</v>
      </c>
      <c r="BJ31" s="3">
        <v>69.862721305584</v>
      </c>
      <c r="BK31" s="3">
        <v>122.83912757258</v>
      </c>
      <c r="BL31" s="4"/>
      <c r="BM31" s="7"/>
    </row>
    <row r="32" spans="1:65">
      <c r="A32" s="3">
        <v>35397289.219207</v>
      </c>
      <c r="B32" s="3">
        <v>0.00076205023182203</v>
      </c>
      <c r="C32" s="6">
        <f t="shared" si="0"/>
        <v>2.26294883731348e-11</v>
      </c>
      <c r="D32" s="5">
        <v>1.5773608841385e-12</v>
      </c>
      <c r="E32" s="5">
        <v>1.6110440638926e-12</v>
      </c>
      <c r="F32" s="5">
        <v>1.6272216766589e-12</v>
      </c>
      <c r="G32" s="5">
        <v>1.6319998021737e-12</v>
      </c>
      <c r="H32" s="5">
        <v>1.5788153381266e-12</v>
      </c>
      <c r="I32" s="5">
        <v>1.5832437891437e-12</v>
      </c>
      <c r="J32" s="5">
        <v>1.5751179572043e-12</v>
      </c>
      <c r="K32" s="5">
        <v>1.5767849601825e-12</v>
      </c>
      <c r="L32" s="5">
        <v>1.5874191507376e-12</v>
      </c>
      <c r="M32" s="5">
        <v>1.5767170972622e-12</v>
      </c>
      <c r="N32" s="5">
        <v>1.6301739461011e-12</v>
      </c>
      <c r="O32" s="5">
        <v>1.5814593306879e-12</v>
      </c>
      <c r="P32" s="5">
        <v>1.618002025767e-12</v>
      </c>
      <c r="Q32" s="5">
        <v>1.6193990071756e-12</v>
      </c>
      <c r="R32" s="5">
        <v>1.6221325521027e-12</v>
      </c>
      <c r="S32" s="5">
        <v>1.6071396105534e-12</v>
      </c>
      <c r="T32" s="5">
        <v>1.610192655954e-12</v>
      </c>
      <c r="U32" s="5">
        <v>1.6069863671492e-12</v>
      </c>
      <c r="V32" s="5">
        <v>1.5819712090862e-12</v>
      </c>
      <c r="W32" s="5">
        <v>1.5891835324304e-12</v>
      </c>
      <c r="X32" s="5">
        <v>1.5921974997682e-12</v>
      </c>
      <c r="Y32" s="5">
        <v>1.6213955178867e-12</v>
      </c>
      <c r="Z32" s="5">
        <v>1.6301863058414e-12</v>
      </c>
      <c r="AA32" s="5">
        <v>1.639578338343e-12</v>
      </c>
      <c r="AB32" s="3">
        <v>0.9999991476014</v>
      </c>
      <c r="AC32" s="3">
        <v>0.87739556823444</v>
      </c>
      <c r="AD32" s="3">
        <v>0.0012920192291354</v>
      </c>
      <c r="AE32" s="5">
        <v>-2.8944368637662e-15</v>
      </c>
      <c r="AF32" s="5">
        <v>-4.6722155952108e-15</v>
      </c>
      <c r="AG32" s="5">
        <v>-9.2470313796198e-15</v>
      </c>
      <c r="AH32" s="5">
        <v>-3.2176211014442e-14</v>
      </c>
      <c r="AI32" s="5">
        <v>-1.3772772758077e-14</v>
      </c>
      <c r="AJ32" s="5">
        <v>-4.3014352856509e-14</v>
      </c>
      <c r="AK32" s="5">
        <v>-3.3136293248612e-15</v>
      </c>
      <c r="AL32" s="5">
        <v>1.4061113252559e-16</v>
      </c>
      <c r="AM32" s="5">
        <v>5.2336587086352e-14</v>
      </c>
      <c r="AN32" s="5">
        <v>-3.6196375627925e-15</v>
      </c>
      <c r="AO32" s="5">
        <v>-8.472495512332e-15</v>
      </c>
      <c r="AP32" s="5">
        <v>-1.0620185435629e-14</v>
      </c>
      <c r="AQ32" s="5">
        <v>-2.2197765256142e-15</v>
      </c>
      <c r="AR32" s="5">
        <v>-3.2079400966405e-14</v>
      </c>
      <c r="AS32" s="5">
        <v>2.3828183670794e-14</v>
      </c>
      <c r="AT32" s="5">
        <v>7.2045530325857e-15</v>
      </c>
      <c r="AU32" s="5">
        <v>6.629806837275e-15</v>
      </c>
      <c r="AV32" s="5">
        <v>-4.1806070209903e-14</v>
      </c>
      <c r="AW32" s="5">
        <v>2.8931462046409e-14</v>
      </c>
      <c r="AX32" s="5">
        <v>-3.6656765718708e-15</v>
      </c>
      <c r="AY32" s="5">
        <v>2.2516246525207e-14</v>
      </c>
      <c r="AZ32" s="5">
        <v>-1.3751444167928e-14</v>
      </c>
      <c r="BA32" s="5">
        <v>-2.460977056535e-14</v>
      </c>
      <c r="BB32" s="5">
        <v>-4.7803976811213e-14</v>
      </c>
      <c r="BC32" s="3">
        <v>15665345.779236</v>
      </c>
      <c r="BD32" s="3">
        <v>3928716.8249351</v>
      </c>
      <c r="BE32" s="3">
        <v>-0.00017139257631763</v>
      </c>
      <c r="BF32" s="3">
        <v>0.001420098692122</v>
      </c>
      <c r="BG32" s="3">
        <v>0.00061350314805727</v>
      </c>
      <c r="BH32" s="3">
        <v>-0.00073110166512604</v>
      </c>
      <c r="BI32" s="3">
        <v>139.71815137398</v>
      </c>
      <c r="BJ32" s="3">
        <v>69.862714126643</v>
      </c>
      <c r="BK32" s="3">
        <v>122.57350127861</v>
      </c>
      <c r="BL32" s="4"/>
      <c r="BM32" s="7"/>
    </row>
    <row r="33" spans="1:65">
      <c r="A33" s="3">
        <v>39716411.736215</v>
      </c>
      <c r="B33" s="3">
        <v>0.00085217299051973</v>
      </c>
      <c r="C33" s="6">
        <f t="shared" si="0"/>
        <v>2.25114511876024e-11</v>
      </c>
      <c r="D33" s="5">
        <v>1.5694793036027e-12</v>
      </c>
      <c r="E33" s="5">
        <v>1.6034614188032e-12</v>
      </c>
      <c r="F33" s="5">
        <v>1.6216663212355e-12</v>
      </c>
      <c r="G33" s="5">
        <v>1.62726445015e-12</v>
      </c>
      <c r="H33" s="5">
        <v>1.5713269575958e-12</v>
      </c>
      <c r="I33" s="5">
        <v>1.5771146239105e-12</v>
      </c>
      <c r="J33" s="5">
        <v>1.5669375666537e-12</v>
      </c>
      <c r="K33" s="5">
        <v>1.5688840470643e-12</v>
      </c>
      <c r="L33" s="5">
        <v>1.5819089561804e-12</v>
      </c>
      <c r="M33" s="5">
        <v>1.568728079578e-12</v>
      </c>
      <c r="N33" s="5">
        <v>1.625052264307e-12</v>
      </c>
      <c r="O33" s="5">
        <v>1.5743025833038e-12</v>
      </c>
      <c r="P33" s="5">
        <v>1.6102237472873e-12</v>
      </c>
      <c r="Q33" s="5">
        <v>1.6119709164162e-12</v>
      </c>
      <c r="R33" s="5">
        <v>1.6170925210607e-12</v>
      </c>
      <c r="S33" s="5">
        <v>1.5991998797342e-12</v>
      </c>
      <c r="T33" s="5">
        <v>1.6027680313138e-12</v>
      </c>
      <c r="U33" s="5">
        <v>1.6029772506219e-12</v>
      </c>
      <c r="V33" s="5">
        <v>1.5742758534531e-12</v>
      </c>
      <c r="W33" s="5">
        <v>1.5831609286077e-12</v>
      </c>
      <c r="X33" s="5">
        <v>1.5866175580119e-12</v>
      </c>
      <c r="Y33" s="5">
        <v>1.6137400832406e-12</v>
      </c>
      <c r="Z33" s="5">
        <v>1.6240854826684e-12</v>
      </c>
      <c r="AA33" s="5">
        <v>1.6353313257611e-12</v>
      </c>
      <c r="AB33" s="3">
        <v>0.99999918820605</v>
      </c>
      <c r="AC33" s="3">
        <v>0.87084395770783</v>
      </c>
      <c r="AD33" s="3">
        <v>0.0013798874739195</v>
      </c>
      <c r="AE33" s="5">
        <v>-3.3982016729286e-16</v>
      </c>
      <c r="AF33" s="5">
        <v>-1.7746517008263e-15</v>
      </c>
      <c r="AG33" s="5">
        <v>-7.402249675311e-15</v>
      </c>
      <c r="AH33" s="5">
        <v>-3.0939126256423e-14</v>
      </c>
      <c r="AI33" s="5">
        <v>-1.4941998613052e-14</v>
      </c>
      <c r="AJ33" s="5">
        <v>-5.0616048020084e-14</v>
      </c>
      <c r="AK33" s="5">
        <v>-4.2036036475208e-15</v>
      </c>
      <c r="AL33" s="5">
        <v>-1.4287508194824e-15</v>
      </c>
      <c r="AM33" s="5">
        <v>5.5402372259303e-14</v>
      </c>
      <c r="AN33" s="5">
        <v>-5.3887934842336e-15</v>
      </c>
      <c r="AO33" s="5">
        <v>-8.9348173429336e-15</v>
      </c>
      <c r="AP33" s="5">
        <v>-9.9457638010567e-15</v>
      </c>
      <c r="AQ33" s="5">
        <v>-3.5315408753033e-15</v>
      </c>
      <c r="AR33" s="5">
        <v>-3.3850694061774e-14</v>
      </c>
      <c r="AS33" s="5">
        <v>2.7563511794384e-14</v>
      </c>
      <c r="AT33" s="5">
        <v>6.2090625840097e-15</v>
      </c>
      <c r="AU33" s="5">
        <v>7.238718929598e-15</v>
      </c>
      <c r="AV33" s="5">
        <v>-4.221297823751e-14</v>
      </c>
      <c r="AW33" s="5">
        <v>2.8686555882546e-14</v>
      </c>
      <c r="AX33" s="5">
        <v>-3.4329850544019e-15</v>
      </c>
      <c r="AY33" s="5">
        <v>2.2674877761174e-14</v>
      </c>
      <c r="AZ33" s="5">
        <v>-1.4550972748807e-14</v>
      </c>
      <c r="BA33" s="5">
        <v>-2.8854459095698e-14</v>
      </c>
      <c r="BB33" s="5">
        <v>-4.6914778214168e-14</v>
      </c>
      <c r="BC33" s="3">
        <v>15625331.03111</v>
      </c>
      <c r="BD33" s="3">
        <v>3921329.9634886</v>
      </c>
      <c r="BE33" s="3">
        <v>-0.00015699484299842</v>
      </c>
      <c r="BF33" s="3">
        <v>0.0015173284078369</v>
      </c>
      <c r="BG33" s="3">
        <v>0.00066760362559461</v>
      </c>
      <c r="BH33" s="3">
        <v>-0.00068302430625733</v>
      </c>
      <c r="BI33" s="3">
        <v>139.7181200087</v>
      </c>
      <c r="BJ33" s="3">
        <v>69.862694391864</v>
      </c>
      <c r="BK33" s="3">
        <v>122.32437654297</v>
      </c>
      <c r="BL33" s="4"/>
      <c r="BM33" s="7"/>
    </row>
    <row r="34" spans="1:65">
      <c r="A34" s="3">
        <v>44562546.906688</v>
      </c>
      <c r="B34" s="3">
        <v>0.00095294941999172</v>
      </c>
      <c r="C34" s="6">
        <f t="shared" si="0"/>
        <v>2.23998451001946e-11</v>
      </c>
      <c r="D34" s="5">
        <v>1.5611284947516e-12</v>
      </c>
      <c r="E34" s="5">
        <v>1.595324788889e-12</v>
      </c>
      <c r="F34" s="5">
        <v>1.6158892001641e-12</v>
      </c>
      <c r="G34" s="5">
        <v>1.6224140022864e-12</v>
      </c>
      <c r="H34" s="5">
        <v>1.5634456871299e-12</v>
      </c>
      <c r="I34" s="5">
        <v>1.5708937569046e-12</v>
      </c>
      <c r="J34" s="5">
        <v>1.5581933082755e-12</v>
      </c>
      <c r="K34" s="5">
        <v>1.560477669471e-12</v>
      </c>
      <c r="L34" s="5">
        <v>1.5764515640989e-12</v>
      </c>
      <c r="M34" s="5">
        <v>1.5602091866325e-12</v>
      </c>
      <c r="N34" s="5">
        <v>1.6199467788229e-12</v>
      </c>
      <c r="O34" s="5">
        <v>1.566781774299e-12</v>
      </c>
      <c r="P34" s="5">
        <v>1.6018617306504e-12</v>
      </c>
      <c r="Q34" s="5">
        <v>1.6040595726063e-12</v>
      </c>
      <c r="R34" s="5">
        <v>1.6120111625616e-12</v>
      </c>
      <c r="S34" s="5">
        <v>1.5906113278913e-12</v>
      </c>
      <c r="T34" s="5">
        <v>1.5948037688927e-12</v>
      </c>
      <c r="U34" s="5">
        <v>1.5990579960526e-12</v>
      </c>
      <c r="V34" s="5">
        <v>1.5660898661438e-12</v>
      </c>
      <c r="W34" s="5">
        <v>1.577023539376e-12</v>
      </c>
      <c r="X34" s="5">
        <v>1.5809458514708e-12</v>
      </c>
      <c r="Y34" s="5">
        <v>1.60554810189e-12</v>
      </c>
      <c r="Z34" s="5">
        <v>1.6177386852639e-12</v>
      </c>
      <c r="AA34" s="5">
        <v>1.6311588840555e-12</v>
      </c>
      <c r="AB34" s="3">
        <v>0.99999922264452</v>
      </c>
      <c r="AC34" s="3">
        <v>0.8635263136082</v>
      </c>
      <c r="AD34" s="3">
        <v>0.0014785270585846</v>
      </c>
      <c r="AE34" s="5">
        <v>2.9309344588107e-15</v>
      </c>
      <c r="AF34" s="5">
        <v>2.0180874766667e-15</v>
      </c>
      <c r="AG34" s="5">
        <v>-4.680954949727e-15</v>
      </c>
      <c r="AH34" s="5">
        <v>-2.9820620930008e-14</v>
      </c>
      <c r="AI34" s="5">
        <v>-1.6240040827218e-14</v>
      </c>
      <c r="AJ34" s="5">
        <v>-5.9183462365579e-14</v>
      </c>
      <c r="AK34" s="5">
        <v>-5.0681342709961e-15</v>
      </c>
      <c r="AL34" s="5">
        <v>-3.057325505702e-15</v>
      </c>
      <c r="AM34" s="5">
        <v>5.8272514982193e-14</v>
      </c>
      <c r="AN34" s="5">
        <v>-7.2415669453291e-15</v>
      </c>
      <c r="AO34" s="5">
        <v>-9.8507211394018e-15</v>
      </c>
      <c r="AP34" s="5">
        <v>-8.6035524501949e-15</v>
      </c>
      <c r="AQ34" s="5">
        <v>-4.8344891387587e-15</v>
      </c>
      <c r="AR34" s="5">
        <v>-3.5838354879477e-14</v>
      </c>
      <c r="AS34" s="5">
        <v>3.1485780218234e-14</v>
      </c>
      <c r="AT34" s="5">
        <v>5.1071203390522e-15</v>
      </c>
      <c r="AU34" s="5">
        <v>7.9010104047319e-15</v>
      </c>
      <c r="AV34" s="5">
        <v>-4.2368158107388e-14</v>
      </c>
      <c r="AW34" s="5">
        <v>2.8205539232773e-14</v>
      </c>
      <c r="AX34" s="5">
        <v>-2.4219869372675e-15</v>
      </c>
      <c r="AY34" s="5">
        <v>2.2604646260341e-14</v>
      </c>
      <c r="AZ34" s="5">
        <v>-1.5507867677098e-14</v>
      </c>
      <c r="BA34" s="5">
        <v>-3.3569259884114e-14</v>
      </c>
      <c r="BB34" s="5">
        <v>-4.5515001737997e-14</v>
      </c>
      <c r="BC34" s="3">
        <v>15580523.702709</v>
      </c>
      <c r="BD34" s="3">
        <v>3913578.269536</v>
      </c>
      <c r="BE34" s="3">
        <v>-0.00014085533736937</v>
      </c>
      <c r="BF34" s="3">
        <v>0.0016258810849901</v>
      </c>
      <c r="BG34" s="3">
        <v>0.00072807958811954</v>
      </c>
      <c r="BH34" s="3">
        <v>-0.0006388788960355</v>
      </c>
      <c r="BI34" s="3">
        <v>139.71804980877</v>
      </c>
      <c r="BJ34" s="3">
        <v>69.86265913071</v>
      </c>
      <c r="BK34" s="3">
        <v>122.09786162872</v>
      </c>
      <c r="BL34" s="4"/>
      <c r="BM34" s="7"/>
    </row>
    <row r="35" spans="1:65">
      <c r="A35" s="3">
        <v>50000000</v>
      </c>
      <c r="B35" s="3">
        <v>0.001065657789259</v>
      </c>
      <c r="C35" s="6">
        <f t="shared" si="0"/>
        <v>2.22955944271616e-11</v>
      </c>
      <c r="D35" s="5">
        <v>1.5523413675709e-12</v>
      </c>
      <c r="E35" s="5">
        <v>1.5866558660751e-12</v>
      </c>
      <c r="F35" s="5">
        <v>1.6099622392636e-12</v>
      </c>
      <c r="G35" s="5">
        <v>1.6175265403187e-12</v>
      </c>
      <c r="H35" s="5">
        <v>1.5552150829464e-12</v>
      </c>
      <c r="I35" s="5">
        <v>1.5646534846103e-12</v>
      </c>
      <c r="J35" s="5">
        <v>1.5488842628979e-12</v>
      </c>
      <c r="K35" s="5">
        <v>1.551560462406e-12</v>
      </c>
      <c r="L35" s="5">
        <v>1.5711298860687e-12</v>
      </c>
      <c r="M35" s="5">
        <v>1.5511441798772e-12</v>
      </c>
      <c r="N35" s="5">
        <v>1.6149034887428e-12</v>
      </c>
      <c r="O35" s="5">
        <v>1.5589366130472e-12</v>
      </c>
      <c r="P35" s="5">
        <v>1.5928594345908e-12</v>
      </c>
      <c r="Q35" s="5">
        <v>1.5956376031873e-12</v>
      </c>
      <c r="R35" s="5">
        <v>1.6069674189393e-12</v>
      </c>
      <c r="S35" s="5">
        <v>1.5813628758697e-12</v>
      </c>
      <c r="T35" s="5">
        <v>1.5863138081772e-12</v>
      </c>
      <c r="U35" s="5">
        <v>1.5953323033444e-12</v>
      </c>
      <c r="V35" s="5">
        <v>1.5574139416162e-12</v>
      </c>
      <c r="W35" s="5">
        <v>1.5708453859808e-12</v>
      </c>
      <c r="X35" s="5">
        <v>1.5752394054713e-12</v>
      </c>
      <c r="Y35" s="5">
        <v>1.5967889198474e-12</v>
      </c>
      <c r="Z35" s="5">
        <v>1.6111684542223e-12</v>
      </c>
      <c r="AA35" s="5">
        <v>1.6271203361445e-12</v>
      </c>
      <c r="AB35" s="3">
        <v>0.99999925279714</v>
      </c>
      <c r="AC35" s="3">
        <v>0.8555420000186</v>
      </c>
      <c r="AD35" s="3">
        <v>0.00158925597139</v>
      </c>
      <c r="AE35" s="5">
        <v>6.8338016925086e-15</v>
      </c>
      <c r="AF35" s="5">
        <v>6.7516858837498e-15</v>
      </c>
      <c r="AG35" s="5">
        <v>-1.2949991930748e-15</v>
      </c>
      <c r="AH35" s="5">
        <v>-2.906064879338e-14</v>
      </c>
      <c r="AI35" s="5">
        <v>-1.7662278801401e-14</v>
      </c>
      <c r="AJ35" s="5">
        <v>-6.864216169503e-14</v>
      </c>
      <c r="AK35" s="5">
        <v>-5.8947132121654e-15</v>
      </c>
      <c r="AL35" s="5">
        <v>-4.7337243472363e-15</v>
      </c>
      <c r="AM35" s="5">
        <v>6.1107740881541e-14</v>
      </c>
      <c r="AN35" s="5">
        <v>-9.005842643532e-15</v>
      </c>
      <c r="AO35" s="5">
        <v>-1.1154766866723e-14</v>
      </c>
      <c r="AP35" s="5">
        <v>-6.5127400050314e-15</v>
      </c>
      <c r="AQ35" s="5">
        <v>-6.1387274111538e-15</v>
      </c>
      <c r="AR35" s="5">
        <v>-3.8018300307628e-14</v>
      </c>
      <c r="AS35" s="5">
        <v>3.5340673398671e-14</v>
      </c>
      <c r="AT35" s="5">
        <v>3.8888799520095e-15</v>
      </c>
      <c r="AU35" s="5">
        <v>8.5957471071673e-15</v>
      </c>
      <c r="AV35" s="5">
        <v>-4.2166486479963e-14</v>
      </c>
      <c r="AW35" s="5">
        <v>2.7568676383982e-14</v>
      </c>
      <c r="AX35" s="5">
        <v>-9.7667176245912e-16</v>
      </c>
      <c r="AY35" s="5">
        <v>2.2517815924619e-14</v>
      </c>
      <c r="AZ35" s="5">
        <v>-1.6758455587939e-14</v>
      </c>
      <c r="BA35" s="5">
        <v>-3.8505109158014e-14</v>
      </c>
      <c r="BB35" s="5">
        <v>-4.3387777369974e-14</v>
      </c>
      <c r="BC35" s="3">
        <v>15530354.135581</v>
      </c>
      <c r="BD35" s="3">
        <v>3905550.7343708</v>
      </c>
      <c r="BE35" s="3">
        <v>-0.00012281623096057</v>
      </c>
      <c r="BF35" s="3">
        <v>0.0017471123338753</v>
      </c>
      <c r="BG35" s="3">
        <v>0.00079565700436525</v>
      </c>
      <c r="BH35" s="3">
        <v>-0.00060076330126192</v>
      </c>
      <c r="BI35" s="3">
        <v>139.71793504969</v>
      </c>
      <c r="BJ35" s="3">
        <v>69.862605301487</v>
      </c>
      <c r="BK35" s="3">
        <v>121.89992766998</v>
      </c>
      <c r="BL35" s="4"/>
      <c r="BM35" s="7"/>
    </row>
    <row r="36" spans="1:65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4"/>
      <c r="AD36" s="4"/>
      <c r="AE36" s="4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4"/>
      <c r="BE36" s="4"/>
      <c r="BF36" s="4"/>
      <c r="BG36" s="4"/>
      <c r="BH36" s="4"/>
      <c r="BI36" s="4"/>
      <c r="BJ36" s="4"/>
      <c r="BK36" s="4"/>
      <c r="BL36" s="4"/>
      <c r="BM36" s="7"/>
    </row>
    <row r="37" spans="1:65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4"/>
      <c r="AD37" s="4"/>
      <c r="AE37" s="4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4"/>
      <c r="BE37" s="4"/>
      <c r="BF37" s="4"/>
      <c r="BG37" s="4"/>
      <c r="BH37" s="4"/>
      <c r="BI37" s="4"/>
      <c r="BJ37" s="4"/>
      <c r="BK37" s="4"/>
      <c r="BL37" s="4"/>
      <c r="BM37" s="7"/>
    </row>
    <row r="38" spans="1:65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4"/>
      <c r="AD38" s="4"/>
      <c r="AE38" s="4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4"/>
      <c r="BE38" s="4"/>
      <c r="BF38" s="4"/>
      <c r="BG38" s="4"/>
      <c r="BH38" s="4"/>
      <c r="BI38" s="4"/>
      <c r="BJ38" s="4"/>
      <c r="BK38" s="4"/>
      <c r="BL38" s="4"/>
      <c r="BM38" s="7"/>
    </row>
    <row r="39" spans="1:65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4"/>
      <c r="AD39" s="4"/>
      <c r="AE39" s="4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4"/>
      <c r="BE39" s="4"/>
      <c r="BF39" s="4"/>
      <c r="BG39" s="4"/>
      <c r="BH39" s="4"/>
      <c r="BI39" s="4"/>
      <c r="BJ39" s="4"/>
      <c r="BK39" s="4"/>
      <c r="BL39" s="4"/>
      <c r="BM39" s="7"/>
    </row>
    <row r="40" spans="1:65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4"/>
      <c r="AD40" s="4"/>
      <c r="AE40" s="4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4"/>
      <c r="BE40" s="4"/>
      <c r="BF40" s="4"/>
      <c r="BG40" s="4"/>
      <c r="BH40" s="4"/>
      <c r="BI40" s="4"/>
      <c r="BJ40" s="4"/>
      <c r="BK40" s="4"/>
      <c r="BL40" s="4"/>
      <c r="BM40" s="7"/>
    </row>
    <row r="41" spans="1:64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4"/>
      <c r="AD41" s="4"/>
      <c r="AE41" s="4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4"/>
      <c r="BE41" s="4"/>
      <c r="BF41" s="4"/>
      <c r="BG41" s="4"/>
      <c r="BH41" s="4"/>
      <c r="BI41" s="4"/>
      <c r="BJ41" s="4"/>
      <c r="BK41" s="4"/>
      <c r="BL41" s="4"/>
    </row>
    <row r="42" spans="1:64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4"/>
      <c r="AD42" s="4"/>
      <c r="AE42" s="4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4"/>
      <c r="BE42" s="4"/>
      <c r="BF42" s="4"/>
      <c r="BG42" s="4"/>
      <c r="BH42" s="4"/>
      <c r="BI42" s="4"/>
      <c r="BJ42" s="4"/>
      <c r="BK42" s="4"/>
      <c r="BL42" s="4"/>
    </row>
    <row r="43" spans="1:64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4"/>
      <c r="AD43" s="4"/>
      <c r="AE43" s="4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4"/>
      <c r="BE43" s="4"/>
      <c r="BF43" s="4"/>
      <c r="BG43" s="4"/>
      <c r="BH43" s="4"/>
      <c r="BI43" s="4"/>
      <c r="BJ43" s="4"/>
      <c r="BK43" s="4"/>
      <c r="BL43" s="4"/>
    </row>
    <row r="44" spans="1:64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4"/>
      <c r="AD44" s="4"/>
      <c r="AE44" s="4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4"/>
      <c r="BE44" s="4"/>
      <c r="BF44" s="4"/>
      <c r="BG44" s="4"/>
      <c r="BH44" s="4"/>
      <c r="BI44" s="4"/>
      <c r="BJ44" s="4"/>
      <c r="BK44" s="4"/>
      <c r="BL44" s="4"/>
    </row>
    <row r="45" spans="1:64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4"/>
      <c r="AD45" s="4"/>
      <c r="AE45" s="4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4"/>
      <c r="BE45" s="4"/>
      <c r="BF45" s="4"/>
      <c r="BG45" s="4"/>
      <c r="BH45" s="4"/>
      <c r="BI45" s="4"/>
      <c r="BJ45" s="4"/>
      <c r="BK45" s="4"/>
      <c r="BL45" s="4"/>
    </row>
    <row r="46" spans="1:64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4"/>
      <c r="AD46" s="4"/>
      <c r="AE46" s="4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4"/>
      <c r="BE46" s="4"/>
      <c r="BF46" s="4"/>
      <c r="BG46" s="4"/>
      <c r="BH46" s="4"/>
      <c r="BI46" s="4"/>
      <c r="BJ46" s="4"/>
      <c r="BK46" s="4"/>
      <c r="BL46" s="4"/>
    </row>
    <row r="47" spans="1:64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4"/>
      <c r="AD47" s="4"/>
      <c r="AE47" s="4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4"/>
      <c r="BE47" s="4"/>
      <c r="BF47" s="4"/>
      <c r="BG47" s="4"/>
      <c r="BH47" s="4"/>
      <c r="BI47" s="4"/>
      <c r="BJ47" s="4"/>
      <c r="BK47" s="4"/>
      <c r="BL47" s="4"/>
    </row>
    <row r="48" spans="1:64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4"/>
      <c r="AD48" s="4"/>
      <c r="AE48" s="4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4"/>
      <c r="BE48" s="4"/>
      <c r="BF48" s="4"/>
      <c r="BG48" s="4"/>
      <c r="BH48" s="4"/>
      <c r="BI48" s="4"/>
      <c r="BJ48" s="4"/>
      <c r="BK48" s="4"/>
      <c r="BL48" s="4"/>
    </row>
    <row r="49" spans="1:64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4"/>
      <c r="AD49" s="4"/>
      <c r="AE49" s="4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4"/>
      <c r="BE49" s="4"/>
      <c r="BF49" s="4"/>
      <c r="BG49" s="4"/>
      <c r="BH49" s="4"/>
      <c r="BI49" s="4"/>
      <c r="BJ49" s="4"/>
      <c r="BK49" s="4"/>
      <c r="BL49" s="4"/>
    </row>
    <row r="50" spans="1:64">
      <c r="A50" s="4"/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4"/>
      <c r="AD50" s="4"/>
      <c r="AE50" s="4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4"/>
      <c r="BE50" s="4"/>
      <c r="BF50" s="4"/>
      <c r="BG50" s="4"/>
      <c r="BH50" s="4"/>
      <c r="BI50" s="4"/>
      <c r="BJ50" s="4"/>
      <c r="BK50" s="4"/>
      <c r="BL50" s="4"/>
    </row>
    <row r="51" spans="1:64">
      <c r="A51" s="4"/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4"/>
      <c r="AD51" s="4"/>
      <c r="AE51" s="4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4"/>
      <c r="BE51" s="4"/>
      <c r="BF51" s="4"/>
      <c r="BG51" s="4"/>
      <c r="BH51" s="4"/>
      <c r="BI51" s="4"/>
      <c r="BJ51" s="4"/>
      <c r="BK51" s="4"/>
      <c r="BL51" s="4"/>
    </row>
    <row r="52" spans="1:64">
      <c r="A52" s="4"/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4"/>
      <c r="AD52" s="4"/>
      <c r="AE52" s="4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4"/>
      <c r="BE52" s="4"/>
      <c r="BF52" s="4"/>
      <c r="BG52" s="4"/>
      <c r="BH52" s="4"/>
      <c r="BI52" s="4"/>
      <c r="BJ52" s="4"/>
      <c r="BK52" s="4"/>
      <c r="BL52" s="4"/>
    </row>
    <row r="53" spans="1:64">
      <c r="A53" s="4"/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4"/>
      <c r="AD53" s="4"/>
      <c r="AE53" s="4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4"/>
      <c r="BE53" s="4"/>
      <c r="BF53" s="4"/>
      <c r="BG53" s="4"/>
      <c r="BH53" s="4"/>
      <c r="BI53" s="4"/>
      <c r="BJ53" s="4"/>
      <c r="BK53" s="4"/>
      <c r="BL53" s="4"/>
    </row>
    <row r="54" spans="1:64">
      <c r="A54" s="4"/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4"/>
      <c r="AD54" s="4"/>
      <c r="AE54" s="4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4"/>
      <c r="BE54" s="4"/>
      <c r="BF54" s="4"/>
      <c r="BG54" s="4"/>
      <c r="BH54" s="4"/>
      <c r="BI54" s="4"/>
      <c r="BJ54" s="4"/>
      <c r="BK54" s="4"/>
      <c r="BL54" s="4"/>
    </row>
    <row r="55" spans="1:64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4"/>
      <c r="AD55" s="4"/>
      <c r="AE55" s="4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4"/>
      <c r="BE55" s="4"/>
      <c r="BF55" s="4"/>
      <c r="BG55" s="4"/>
      <c r="BH55" s="4"/>
      <c r="BI55" s="4"/>
      <c r="BJ55" s="4"/>
      <c r="BK55" s="4"/>
      <c r="BL55" s="4"/>
    </row>
    <row r="56" spans="1:64">
      <c r="A56" s="4"/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4"/>
      <c r="AD56" s="4"/>
      <c r="AE56" s="4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4"/>
      <c r="BE56" s="4"/>
      <c r="BF56" s="4"/>
      <c r="BG56" s="4"/>
      <c r="BH56" s="4"/>
      <c r="BI56" s="4"/>
      <c r="BJ56" s="4"/>
      <c r="BK56" s="4"/>
      <c r="BL56" s="4"/>
    </row>
    <row r="57" spans="1:64">
      <c r="A57" s="4"/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4"/>
      <c r="AD57" s="4"/>
      <c r="AE57" s="4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4"/>
      <c r="BE57" s="4"/>
      <c r="BF57" s="4"/>
      <c r="BG57" s="4"/>
      <c r="BH57" s="4"/>
      <c r="BI57" s="4"/>
      <c r="BJ57" s="4"/>
      <c r="BK57" s="4"/>
      <c r="BL57" s="4"/>
    </row>
    <row r="58" spans="1:64">
      <c r="A58" s="4"/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4"/>
      <c r="AD58" s="4"/>
      <c r="AE58" s="4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4"/>
      <c r="BE58" s="4"/>
      <c r="BF58" s="4"/>
      <c r="BG58" s="4"/>
      <c r="BH58" s="4"/>
      <c r="BI58" s="4"/>
      <c r="BJ58" s="4"/>
      <c r="BK58" s="4"/>
      <c r="BL58" s="4"/>
    </row>
    <row r="59" spans="1:64">
      <c r="A59" s="4"/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4"/>
      <c r="AD59" s="4"/>
      <c r="AE59" s="4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4"/>
      <c r="BE59" s="4"/>
      <c r="BF59" s="4"/>
      <c r="BG59" s="4"/>
      <c r="BH59" s="4"/>
      <c r="BI59" s="4"/>
      <c r="BJ59" s="4"/>
      <c r="BK59" s="4"/>
      <c r="BL59" s="4"/>
    </row>
    <row r="60" spans="1:64">
      <c r="A60" s="4"/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4"/>
      <c r="AD60" s="4"/>
      <c r="AE60" s="4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4"/>
      <c r="BE60" s="4"/>
      <c r="BF60" s="4"/>
      <c r="BG60" s="4"/>
      <c r="BH60" s="4"/>
      <c r="BI60" s="4"/>
      <c r="BJ60" s="4"/>
      <c r="BK60" s="4"/>
      <c r="BL60" s="4"/>
    </row>
    <row r="61" spans="1:64">
      <c r="A61" s="4"/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4"/>
      <c r="AD61" s="4"/>
      <c r="AE61" s="4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4"/>
      <c r="BE61" s="4"/>
      <c r="BF61" s="4"/>
      <c r="BG61" s="4"/>
      <c r="BH61" s="4"/>
      <c r="BI61" s="4"/>
      <c r="BJ61" s="4"/>
      <c r="BK61" s="4"/>
      <c r="BL61" s="4"/>
    </row>
    <row r="62" spans="1:64">
      <c r="A62" s="4"/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4"/>
      <c r="AD62" s="4"/>
      <c r="AE62" s="4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4"/>
      <c r="BE62" s="4"/>
      <c r="BF62" s="4"/>
      <c r="BG62" s="4"/>
      <c r="BH62" s="4"/>
      <c r="BI62" s="4"/>
      <c r="BJ62" s="4"/>
      <c r="BK62" s="4"/>
      <c r="BL62" s="4"/>
    </row>
    <row r="63" spans="1:64">
      <c r="A63" s="4"/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4"/>
      <c r="AD63" s="4"/>
      <c r="AE63" s="4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4"/>
      <c r="BE63" s="4"/>
      <c r="BF63" s="4"/>
      <c r="BG63" s="4"/>
      <c r="BH63" s="4"/>
      <c r="BI63" s="4"/>
      <c r="BJ63" s="4"/>
      <c r="BK63" s="4"/>
      <c r="BL63" s="4"/>
    </row>
    <row r="64" spans="1:64">
      <c r="A64" s="4"/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4"/>
      <c r="AD64" s="4"/>
      <c r="AE64" s="4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4"/>
      <c r="BE64" s="4"/>
      <c r="BF64" s="4"/>
      <c r="BG64" s="4"/>
      <c r="BH64" s="4"/>
      <c r="BI64" s="4"/>
      <c r="BJ64" s="4"/>
      <c r="BK64" s="4"/>
      <c r="BL64" s="4"/>
    </row>
    <row r="65" spans="1:64">
      <c r="A65" s="4"/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4"/>
      <c r="AD65" s="4"/>
      <c r="AE65" s="4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4"/>
      <c r="BE65" s="4"/>
      <c r="BF65" s="4"/>
      <c r="BG65" s="4"/>
      <c r="BH65" s="4"/>
      <c r="BI65" s="4"/>
      <c r="BJ65" s="4"/>
      <c r="BK65" s="4"/>
      <c r="BL65" s="4"/>
    </row>
    <row r="66" spans="1:64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4"/>
      <c r="AD66" s="4"/>
      <c r="AE66" s="4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4"/>
      <c r="BE66" s="4"/>
      <c r="BF66" s="4"/>
      <c r="BG66" s="4"/>
      <c r="BH66" s="4"/>
      <c r="BI66" s="4"/>
      <c r="BJ66" s="4"/>
      <c r="BK66" s="4"/>
      <c r="BL66" s="4"/>
    </row>
    <row r="67" spans="1:64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4"/>
      <c r="AD67" s="4"/>
      <c r="AE67" s="4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4"/>
      <c r="BE67" s="4"/>
      <c r="BF67" s="4"/>
      <c r="BG67" s="4"/>
      <c r="BH67" s="4"/>
      <c r="BI67" s="4"/>
      <c r="BJ67" s="4"/>
      <c r="BK67" s="4"/>
      <c r="BL67" s="4"/>
    </row>
    <row r="68" spans="1:64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4"/>
      <c r="AD68" s="4"/>
      <c r="AE68" s="4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4"/>
      <c r="BE68" s="4"/>
      <c r="BF68" s="4"/>
      <c r="BG68" s="4"/>
      <c r="BH68" s="4"/>
      <c r="BI68" s="4"/>
      <c r="BJ68" s="4"/>
      <c r="BK68" s="4"/>
      <c r="BL68" s="4"/>
    </row>
    <row r="69" spans="1:64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4"/>
      <c r="AD69" s="4"/>
      <c r="AE69" s="4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4"/>
      <c r="BE69" s="4"/>
      <c r="BF69" s="4"/>
      <c r="BG69" s="4"/>
      <c r="BH69" s="4"/>
      <c r="BI69" s="4"/>
      <c r="BJ69" s="4"/>
      <c r="BK69" s="4"/>
      <c r="BL69" s="4"/>
    </row>
    <row r="70" spans="1:64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4"/>
      <c r="AD70" s="4"/>
      <c r="AE70" s="4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4"/>
      <c r="BE70" s="4"/>
      <c r="BF70" s="4"/>
      <c r="BG70" s="4"/>
      <c r="BH70" s="4"/>
      <c r="BI70" s="4"/>
      <c r="BJ70" s="4"/>
      <c r="BK70" s="4"/>
      <c r="BL70" s="4"/>
    </row>
    <row r="71" spans="1:64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4"/>
      <c r="AD71" s="4"/>
      <c r="AE71" s="4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4"/>
      <c r="BE71" s="4"/>
      <c r="BF71" s="4"/>
      <c r="BG71" s="4"/>
      <c r="BH71" s="4"/>
      <c r="BI71" s="4"/>
      <c r="BJ71" s="4"/>
      <c r="BK71" s="4"/>
      <c r="BL7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I10" sqref="I10:J11"/>
    </sheetView>
  </sheetViews>
  <sheetFormatPr defaultColWidth="9" defaultRowHeight="15"/>
  <cols>
    <col min="1" max="2" width="26.54" customWidth="1"/>
    <col min="3" max="3" width="13.36" customWidth="1"/>
  </cols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 s="1">
        <v>883.3378968</v>
      </c>
      <c r="B2" s="1">
        <f t="shared" ref="B2:B6" si="0">A2*3600</f>
        <v>3180016.42848</v>
      </c>
      <c r="C2" s="1">
        <v>0.006841656</v>
      </c>
      <c r="D2" s="1">
        <f t="shared" ref="D2:D6" si="1">0.0069*0.000000005*EXP(B2*0.000000005)</f>
        <v>3.50529370571542e-11</v>
      </c>
    </row>
    <row r="3" spans="1:4">
      <c r="A3" s="1">
        <v>7645.906611</v>
      </c>
      <c r="B3" s="1">
        <f t="shared" si="0"/>
        <v>27525263.7996</v>
      </c>
      <c r="C3" s="1">
        <v>0.008317993</v>
      </c>
      <c r="D3" s="1">
        <f t="shared" si="1"/>
        <v>3.95903595547376e-11</v>
      </c>
    </row>
    <row r="4" spans="1:4">
      <c r="A4" s="1">
        <v>10516.22823</v>
      </c>
      <c r="B4" s="1">
        <f t="shared" si="0"/>
        <v>37858421.628</v>
      </c>
      <c r="C4" s="1">
        <v>0.008089998</v>
      </c>
      <c r="D4" s="1">
        <f t="shared" si="1"/>
        <v>4.16895889504917e-11</v>
      </c>
    </row>
    <row r="5" spans="1:4">
      <c r="A5" s="1">
        <v>14008.71964</v>
      </c>
      <c r="B5" s="1">
        <f t="shared" si="0"/>
        <v>50431390.704</v>
      </c>
      <c r="C5" s="1">
        <v>0.008376861</v>
      </c>
      <c r="D5" s="1">
        <f t="shared" si="1"/>
        <v>4.43945306173883e-11</v>
      </c>
    </row>
    <row r="6" spans="1:4">
      <c r="A6" s="1">
        <v>17141.89431</v>
      </c>
      <c r="B6" s="1">
        <f t="shared" si="0"/>
        <v>61710819.516</v>
      </c>
      <c r="C6" s="1">
        <v>0.009354873</v>
      </c>
      <c r="D6" s="1">
        <f t="shared" si="1"/>
        <v>4.69702029849765e-11</v>
      </c>
    </row>
    <row r="10" spans="9:10">
      <c r="I10" s="1">
        <f>B6-B2</f>
        <v>58530803.08752</v>
      </c>
      <c r="J10" s="1">
        <f>C6-C2</f>
        <v>0.002513217</v>
      </c>
    </row>
    <row r="11" spans="10:10">
      <c r="J11" s="1">
        <f>J10/I10</f>
        <v>4.29383652269735e-11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40" sqref="B40"/>
    </sheetView>
  </sheetViews>
  <sheetFormatPr defaultColWidth="9" defaultRowHeight="15" outlineLevelCol="6"/>
  <cols>
    <col min="1" max="2" width="26.54" customWidth="1"/>
    <col min="3" max="3" width="13.36" customWidth="1"/>
  </cols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 s="1">
        <v>740.537922</v>
      </c>
      <c r="B2" s="1">
        <f t="shared" ref="B2:B6" si="0">A2*3600</f>
        <v>2665936.5192</v>
      </c>
      <c r="C2" s="1">
        <v>0.002051855</v>
      </c>
      <c r="D2" s="1">
        <f>0.002*0.000000007*EXP(0.000000007*B2)</f>
        <v>1.42637147897328e-11</v>
      </c>
    </row>
    <row r="3" spans="1:4">
      <c r="A3" s="1">
        <v>7171.591651</v>
      </c>
      <c r="B3" s="1">
        <f t="shared" si="0"/>
        <v>25817729.9436</v>
      </c>
      <c r="C3" s="1">
        <v>0.002231513</v>
      </c>
      <c r="D3" s="1">
        <f t="shared" ref="D3:D6" si="1">0.002*0.000000007*EXP(0.000000007*B3)</f>
        <v>1.67731843112547e-11</v>
      </c>
    </row>
    <row r="4" spans="1:4">
      <c r="A4" s="1">
        <v>10242.42297</v>
      </c>
      <c r="B4" s="1">
        <f t="shared" si="0"/>
        <v>36872722.692</v>
      </c>
      <c r="C4" s="1">
        <v>0.002667074</v>
      </c>
      <c r="D4" s="1">
        <f t="shared" si="1"/>
        <v>1.812271979584e-11</v>
      </c>
    </row>
    <row r="5" spans="1:4">
      <c r="A5" s="1">
        <v>14368.45763</v>
      </c>
      <c r="B5" s="1">
        <f t="shared" si="0"/>
        <v>51726447.468</v>
      </c>
      <c r="C5" s="1">
        <v>0.002655595</v>
      </c>
      <c r="D5" s="1">
        <f t="shared" si="1"/>
        <v>2.01084969966951e-11</v>
      </c>
    </row>
    <row r="6" spans="1:4">
      <c r="A6" s="1">
        <v>17158.74387</v>
      </c>
      <c r="B6" s="1">
        <f t="shared" si="0"/>
        <v>61771477.932</v>
      </c>
      <c r="C6" s="1">
        <v>0.00315013</v>
      </c>
      <c r="D6" s="1">
        <f t="shared" si="1"/>
        <v>2.15733266684069e-11</v>
      </c>
    </row>
    <row r="11" spans="6:7">
      <c r="F11" s="1"/>
      <c r="G11" s="1"/>
    </row>
    <row r="12" spans="7:7">
      <c r="G12" s="1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T17" sqref="T17:U21"/>
    </sheetView>
  </sheetViews>
  <sheetFormatPr defaultColWidth="9" defaultRowHeight="15" outlineLevelCol="6"/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>
        <v>1028.665305</v>
      </c>
      <c r="B2" s="1">
        <f t="shared" ref="B2:B6" si="0">A2*3600</f>
        <v>3703195.098</v>
      </c>
      <c r="C2">
        <v>0.001450747</v>
      </c>
      <c r="D2" s="1">
        <f>0.0014*0.000000007*EXP(0.000000007*B2)</f>
        <v>1.005736046845e-11</v>
      </c>
    </row>
    <row r="3" spans="1:4">
      <c r="A3">
        <v>7392.320816</v>
      </c>
      <c r="B3" s="1">
        <f t="shared" si="0"/>
        <v>26612354.9376</v>
      </c>
      <c r="C3">
        <v>0.001449378</v>
      </c>
      <c r="D3" s="1">
        <f t="shared" ref="D3:D6" si="1">0.0014*0.000000007*EXP(0.000000007*B3)</f>
        <v>1.18067201102918e-11</v>
      </c>
    </row>
    <row r="4" spans="1:4">
      <c r="A4">
        <v>10531.81407</v>
      </c>
      <c r="B4" s="1">
        <f t="shared" si="0"/>
        <v>37914530.652</v>
      </c>
      <c r="C4">
        <v>0.00197561</v>
      </c>
      <c r="D4" s="1">
        <f t="shared" si="1"/>
        <v>1.27787559440553e-11</v>
      </c>
    </row>
    <row r="5" spans="1:4">
      <c r="A5">
        <v>14380.25232</v>
      </c>
      <c r="B5" s="1">
        <f t="shared" si="0"/>
        <v>51768908.352</v>
      </c>
      <c r="C5">
        <v>0.001812275</v>
      </c>
      <c r="D5" s="1">
        <f t="shared" si="1"/>
        <v>1.40801322598429e-11</v>
      </c>
    </row>
    <row r="6" spans="1:4">
      <c r="A6">
        <v>16963.28903</v>
      </c>
      <c r="B6" s="1">
        <f t="shared" si="0"/>
        <v>61067840.508</v>
      </c>
      <c r="C6">
        <v>0.00212515</v>
      </c>
      <c r="D6" s="1">
        <f t="shared" si="1"/>
        <v>1.5027130527928e-11</v>
      </c>
    </row>
    <row r="11" spans="5:7">
      <c r="E11" s="1">
        <f>B6-B2</f>
        <v>57364645.41</v>
      </c>
      <c r="F11" s="1">
        <f>C6-C2</f>
        <v>0.000674403</v>
      </c>
      <c r="G11" s="1">
        <f>F11/E11</f>
        <v>1.17564223604952e-11</v>
      </c>
    </row>
    <row r="12" spans="7:7">
      <c r="G12" s="1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7" sqref="$A7:$XFD1048576"/>
    </sheetView>
  </sheetViews>
  <sheetFormatPr defaultColWidth="9" defaultRowHeight="15" outlineLevelCol="6"/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>
        <v>511.8052191</v>
      </c>
      <c r="B2" s="1">
        <f>A2*3600</f>
        <v>1842498.78876</v>
      </c>
      <c r="C2">
        <v>0.003406243</v>
      </c>
      <c r="D2" s="1">
        <f>0.0033*0.000000008*EXP(0.000000008*B2)</f>
        <v>2.67920178158941e-11</v>
      </c>
    </row>
    <row r="3" spans="1:4">
      <c r="A3">
        <v>7011.520883</v>
      </c>
      <c r="B3" s="1">
        <f>A3*3600</f>
        <v>25241475.1788</v>
      </c>
      <c r="C3">
        <v>0.003676573</v>
      </c>
      <c r="D3" s="1">
        <f t="shared" ref="D3:D6" si="0">0.0033*0.000000008*EXP(0.000000008*B3)</f>
        <v>3.23073840216288e-11</v>
      </c>
    </row>
    <row r="4" spans="1:4">
      <c r="A4">
        <v>10351.52383</v>
      </c>
      <c r="B4" s="1">
        <f>A4*3600</f>
        <v>37265485.788</v>
      </c>
      <c r="C4">
        <v>0.004866362</v>
      </c>
      <c r="D4" s="1">
        <f t="shared" si="0"/>
        <v>3.55694774981771e-11</v>
      </c>
    </row>
    <row r="5" spans="1:4">
      <c r="A5">
        <v>14126.66653</v>
      </c>
      <c r="B5" s="1">
        <f>A5*3600</f>
        <v>50855999.508</v>
      </c>
      <c r="C5">
        <v>0.004943659</v>
      </c>
      <c r="D5" s="1">
        <f t="shared" si="0"/>
        <v>3.96548002456177e-11</v>
      </c>
    </row>
    <row r="6" spans="1:4">
      <c r="A6">
        <v>16849.55454</v>
      </c>
      <c r="B6" s="1">
        <f>A6*3600</f>
        <v>60658396.344</v>
      </c>
      <c r="C6">
        <v>0.005257166</v>
      </c>
      <c r="D6" s="1">
        <f t="shared" si="0"/>
        <v>4.28896775702964e-11</v>
      </c>
    </row>
    <row r="11" spans="5:7">
      <c r="E11" s="1"/>
      <c r="F11" s="1"/>
      <c r="G11" s="1"/>
    </row>
    <row r="12" spans="7:7">
      <c r="G12" s="1"/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A1" sqref="A1:A48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2.543e-16</v>
      </c>
    </row>
    <row r="36" spans="1:1">
      <c r="A36" s="1">
        <v>0.0012</v>
      </c>
    </row>
    <row r="37" spans="1:1">
      <c r="A37" s="1">
        <v>0.001</v>
      </c>
    </row>
    <row r="38" spans="1:1">
      <c r="A38">
        <v>0.3</v>
      </c>
    </row>
    <row r="39" spans="1:1">
      <c r="A39">
        <v>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Compiled</vt:lpstr>
      <vt:lpstr>773K_173MPa_512g</vt:lpstr>
      <vt:lpstr>773K_52MPa_512g</vt:lpstr>
      <vt:lpstr>773K_87MPa_512g</vt:lpstr>
      <vt:lpstr>773K_121MPa_512g</vt:lpstr>
      <vt:lpstr>Exp_773K_173MPa</vt:lpstr>
      <vt:lpstr>Exp_773K_87MPa</vt:lpstr>
      <vt:lpstr>Exp_773K_52MPa</vt:lpstr>
      <vt:lpstr>Exp_773K_121MPa</vt:lpstr>
      <vt:lpstr>props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2025-01-29T20:43:00Z</dcterms:created>
  <dcterms:modified xsi:type="dcterms:W3CDTF">2025-05-08T04:30:47Z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