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985" windowHeight="12525"/>
  </bookViews>
  <sheets>
    <sheet name="Compiled" sheetId="12" r:id="rId1"/>
    <sheet name="773K_173MPa_64g" sheetId="2" r:id="rId2"/>
    <sheet name="773K_52MPa_64g" sheetId="3" r:id="rId3"/>
    <sheet name="773K_87MPa_64g" sheetId="4" r:id="rId4"/>
    <sheet name="773K_121MPa_64g" sheetId="5" r:id="rId5"/>
    <sheet name="Exp_773K_173MPa" sheetId="8" r:id="rId6"/>
    <sheet name="Exp_773K_87MPa" sheetId="9" r:id="rId7"/>
    <sheet name="Exp_773K_52MPa" sheetId="10" r:id="rId8"/>
    <sheet name="Exp_773K_121MPa" sheetId="11" r:id="rId9"/>
    <sheet name="props" sheetId="13" r:id="rId10"/>
  </sheets>
  <calcPr calcId="144525"/>
</workbook>
</file>

<file path=xl/sharedStrings.xml><?xml version="1.0" encoding="utf-8"?>
<sst xmlns="http://schemas.openxmlformats.org/spreadsheetml/2006/main" count="272" uniqueCount="71">
  <si>
    <t>Stress</t>
  </si>
  <si>
    <t>Exp</t>
  </si>
  <si>
    <t>Sim</t>
  </si>
  <si>
    <t>Ratio</t>
  </si>
  <si>
    <t>time</t>
  </si>
  <si>
    <t>Ep_eff</t>
  </si>
  <si>
    <t>StrainRate</t>
  </si>
  <si>
    <t>cstrain_1</t>
  </si>
  <si>
    <t>cstrain_10</t>
  </si>
  <si>
    <t>cstrain_11</t>
  </si>
  <si>
    <t>cstrain_12</t>
  </si>
  <si>
    <t>cstrain_13</t>
  </si>
  <si>
    <t>cstrain_14</t>
  </si>
  <si>
    <t>cstrain_15</t>
  </si>
  <si>
    <t>cstrain_16</t>
  </si>
  <si>
    <t>cstrain_17</t>
  </si>
  <si>
    <t>cstrain_18</t>
  </si>
  <si>
    <t>cstrain_19</t>
  </si>
  <si>
    <t>cstrain_2</t>
  </si>
  <si>
    <t>cstrain_20</t>
  </si>
  <si>
    <t>cstrain_21</t>
  </si>
  <si>
    <t>cstrain_22</t>
  </si>
  <si>
    <t>cstrain_23</t>
  </si>
  <si>
    <t>cstrain_24</t>
  </si>
  <si>
    <t>cstrain_3</t>
  </si>
  <si>
    <t>cstrain_4</t>
  </si>
  <si>
    <t>cstrain_5</t>
  </si>
  <si>
    <t>cstrain_6</t>
  </si>
  <si>
    <t>cstrain_7</t>
  </si>
  <si>
    <t>cstrain_8</t>
  </si>
  <si>
    <t>cstrain_9</t>
  </si>
  <si>
    <t>cstrainfrac1</t>
  </si>
  <si>
    <t>cstrainfrac2</t>
  </si>
  <si>
    <t>eeq</t>
  </si>
  <si>
    <t>gstrain_1</t>
  </si>
  <si>
    <t>gstrain_10</t>
  </si>
  <si>
    <t>gstrain_11</t>
  </si>
  <si>
    <t>gstrain_12</t>
  </si>
  <si>
    <t>gstrain_13</t>
  </si>
  <si>
    <t>gstrain_14</t>
  </si>
  <si>
    <t>gstrain_15</t>
  </si>
  <si>
    <t>gstrain_16</t>
  </si>
  <si>
    <t>gstrain_17</t>
  </si>
  <si>
    <t>gstrain_18</t>
  </si>
  <si>
    <t>gstrain_19</t>
  </si>
  <si>
    <t>gstrain_2</t>
  </si>
  <si>
    <t>gstrain_20</t>
  </si>
  <si>
    <t>gstrain_21</t>
  </si>
  <si>
    <t>gstrain_22</t>
  </si>
  <si>
    <t>gstrain_23</t>
  </si>
  <si>
    <t>gstrain_24</t>
  </si>
  <si>
    <t>gstrain_3</t>
  </si>
  <si>
    <t>gstrain_4</t>
  </si>
  <si>
    <t>gstrain_5</t>
  </si>
  <si>
    <t>gstrain_6</t>
  </si>
  <si>
    <t>gstrain_7</t>
  </si>
  <si>
    <t>gstrain_8</t>
  </si>
  <si>
    <t>gstrain_9</t>
  </si>
  <si>
    <t>rho_i</t>
  </si>
  <si>
    <t>rho_m</t>
  </si>
  <si>
    <t>strain_xx</t>
  </si>
  <si>
    <t>strain_yy</t>
  </si>
  <si>
    <t>strain_zz</t>
  </si>
  <si>
    <t>stress_xx</t>
  </si>
  <si>
    <t>stress_yy</t>
  </si>
  <si>
    <t>stress_zz</t>
  </si>
  <si>
    <t>vonmises</t>
  </si>
  <si>
    <t>Time (Hours)</t>
  </si>
  <si>
    <t>Time (Seconds)</t>
  </si>
  <si>
    <t>Creep Strain</t>
  </si>
  <si>
    <t>CreepStrain Rate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</si>
</sst>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(&quot;$&quot;* #,##0.00_);_(&quot;$&quot;* \(#,##0.00\);_(&quot;$&quot;* &quot;-&quot;??_);_(@_)"/>
    <numFmt numFmtId="178" formatCode="_(&quot;$&quot;* #,##0_);_(&quot;$&quot;* \(#,##0\);_(&quot;$&quot;* &quot;-&quot;_);_(@_)"/>
    <numFmt numFmtId="179" formatCode="_ * #,##0.00_ ;_ * \-#,##0.00_ ;_ * &quot;-&quot;??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3" fillId="2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1" fillId="7" borderId="5" applyNumberFormat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0" fillId="8" borderId="4" applyNumberFormat="0" applyFont="0" applyAlignment="0" applyProtection="0">
      <alignment vertical="center"/>
    </xf>
    <xf numFmtId="0" fontId="7" fillId="5" borderId="3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9" fillId="7" borderId="3" applyNumberFormat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2" borderId="1" applyNumberForma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0" borderId="0" xfId="0" applyFo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/>
    </xf>
    <xf numFmtId="11" fontId="0" fillId="0" borderId="0" xfId="0" applyNumberFormat="1" applyFill="1" applyAlignment="1">
      <alignment vertical="center"/>
    </xf>
    <xf numFmtId="11" fontId="0" fillId="0" borderId="0" xfId="0" applyNumberFormat="1" applyFill="1" applyAlignment="1">
      <alignment vertical="center"/>
    </xf>
    <xf numFmtId="0" fontId="0" fillId="0" borderId="0" xfId="0" applyAlignment="1"/>
    <xf numFmtId="11" fontId="0" fillId="0" borderId="0" xfId="0" applyNumberFormat="1" applyAlignment="1"/>
    <xf numFmtId="2" fontId="0" fillId="0" borderId="0" xfId="0" applyNumberForma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'773K_173MPa_64g'!$A$2:$A$1309</c:f>
              <c:numCache>
                <c:formatCode>General</c:formatCode>
                <c:ptCount val="1308"/>
                <c:pt idx="0">
                  <c:v>0</c:v>
                </c:pt>
                <c:pt idx="1">
                  <c:v>0.39716411736214</c:v>
                </c:pt>
                <c:pt idx="2">
                  <c:v>3.9716411736214</c:v>
                </c:pt>
                <c:pt idx="3">
                  <c:v>39.716411736214</c:v>
                </c:pt>
                <c:pt idx="4">
                  <c:v>397.16411736214</c:v>
                </c:pt>
                <c:pt idx="5">
                  <c:v>3971.6411736214</c:v>
                </c:pt>
                <c:pt idx="6">
                  <c:v>39716.411736214</c:v>
                </c:pt>
                <c:pt idx="7">
                  <c:v>397164.11736214</c:v>
                </c:pt>
                <c:pt idx="8">
                  <c:v>44562.546906687</c:v>
                </c:pt>
                <c:pt idx="9">
                  <c:v>50000</c:v>
                </c:pt>
                <c:pt idx="10">
                  <c:v>56100.922715098</c:v>
                </c:pt>
                <c:pt idx="11">
                  <c:v>62946.270589709</c:v>
                </c:pt>
                <c:pt idx="12">
                  <c:v>70626.877231138</c:v>
                </c:pt>
                <c:pt idx="13">
                  <c:v>79244.659623056</c:v>
                </c:pt>
                <c:pt idx="14">
                  <c:v>88913.970501947</c:v>
                </c:pt>
                <c:pt idx="15">
                  <c:v>99763.115748445</c:v>
                </c:pt>
                <c:pt idx="16">
                  <c:v>111936.05692842</c:v>
                </c:pt>
                <c:pt idx="17">
                  <c:v>125594.32157548</c:v>
                </c:pt>
                <c:pt idx="18">
                  <c:v>140919.14656322</c:v>
                </c:pt>
                <c:pt idx="19">
                  <c:v>158113.88300842</c:v>
                </c:pt>
                <c:pt idx="20">
                  <c:v>177406.69461679</c:v>
                </c:pt>
                <c:pt idx="21">
                  <c:v>199053.58527675</c:v>
                </c:pt>
                <c:pt idx="22">
                  <c:v>223341.79607548</c:v>
                </c:pt>
                <c:pt idx="23">
                  <c:v>250593.61681364</c:v>
                </c:pt>
                <c:pt idx="24">
                  <c:v>281170.66259518</c:v>
                </c:pt>
                <c:pt idx="25">
                  <c:v>315478.6722401</c:v>
                </c:pt>
                <c:pt idx="26">
                  <c:v>353972.89219207</c:v>
                </c:pt>
                <c:pt idx="27">
                  <c:v>397164.11736215</c:v>
                </c:pt>
                <c:pt idx="28">
                  <c:v>445625.46906688</c:v>
                </c:pt>
                <c:pt idx="29">
                  <c:v>500000.00000001</c:v>
                </c:pt>
                <c:pt idx="30">
                  <c:v>561009.22715099</c:v>
                </c:pt>
                <c:pt idx="31">
                  <c:v>629462.7058971</c:v>
                </c:pt>
                <c:pt idx="32">
                  <c:v>706268.77231139</c:v>
                </c:pt>
                <c:pt idx="33">
                  <c:v>792446.59623057</c:v>
                </c:pt>
                <c:pt idx="34">
                  <c:v>889139.70501948</c:v>
                </c:pt>
                <c:pt idx="35">
                  <c:v>997631.15748446</c:v>
                </c:pt>
                <c:pt idx="36">
                  <c:v>1119360.5692842</c:v>
                </c:pt>
                <c:pt idx="37">
                  <c:v>1255943.2157548</c:v>
                </c:pt>
                <c:pt idx="38">
                  <c:v>1409191.4656323</c:v>
                </c:pt>
                <c:pt idx="39">
                  <c:v>1581138.8300842</c:v>
                </c:pt>
                <c:pt idx="40">
                  <c:v>1774066.9461679</c:v>
                </c:pt>
                <c:pt idx="41">
                  <c:v>1990535.8527675</c:v>
                </c:pt>
                <c:pt idx="42">
                  <c:v>2233417.9607549</c:v>
                </c:pt>
                <c:pt idx="43">
                  <c:v>2505936.1681364</c:v>
                </c:pt>
                <c:pt idx="44">
                  <c:v>2811706.6259518</c:v>
                </c:pt>
                <c:pt idx="45">
                  <c:v>3154786.7224011</c:v>
                </c:pt>
                <c:pt idx="46">
                  <c:v>3539728.9219208</c:v>
                </c:pt>
                <c:pt idx="47">
                  <c:v>3971641.1736215</c:v>
                </c:pt>
                <c:pt idx="48">
                  <c:v>4456254.6906689</c:v>
                </c:pt>
                <c:pt idx="49">
                  <c:v>5000000.0000001</c:v>
                </c:pt>
                <c:pt idx="50">
                  <c:v>5610092.27151</c:v>
                </c:pt>
                <c:pt idx="51">
                  <c:v>6294627.058971</c:v>
                </c:pt>
                <c:pt idx="52">
                  <c:v>7062687.723114</c:v>
                </c:pt>
                <c:pt idx="53">
                  <c:v>7924465.9623058</c:v>
                </c:pt>
                <c:pt idx="54">
                  <c:v>8891397.0501949</c:v>
                </c:pt>
                <c:pt idx="55">
                  <c:v>9976311.5748447</c:v>
                </c:pt>
                <c:pt idx="56">
                  <c:v>11193605.692842</c:v>
                </c:pt>
                <c:pt idx="57">
                  <c:v>12559432.157548</c:v>
                </c:pt>
                <c:pt idx="58">
                  <c:v>14091914.656323</c:v>
                </c:pt>
                <c:pt idx="59">
                  <c:v>15811388.300842</c:v>
                </c:pt>
                <c:pt idx="60">
                  <c:v>17740669.461679</c:v>
                </c:pt>
                <c:pt idx="61">
                  <c:v>19905358.527676</c:v>
                </c:pt>
                <c:pt idx="62">
                  <c:v>22334179.607549</c:v>
                </c:pt>
                <c:pt idx="63">
                  <c:v>25059361.681365</c:v>
                </c:pt>
                <c:pt idx="64">
                  <c:v>27084784.885595</c:v>
                </c:pt>
                <c:pt idx="65">
                  <c:v>29135422.661694</c:v>
                </c:pt>
                <c:pt idx="66">
                  <c:v>31074085.314428</c:v>
                </c:pt>
                <c:pt idx="67">
                  <c:v>33160900.893527</c:v>
                </c:pt>
                <c:pt idx="68">
                  <c:v>35101361.285603</c:v>
                </c:pt>
                <c:pt idx="69">
                  <c:v>37848582.464035</c:v>
                </c:pt>
                <c:pt idx="70">
                  <c:v>39951119.856248</c:v>
                </c:pt>
                <c:pt idx="71">
                  <c:v>42288920.205794</c:v>
                </c:pt>
                <c:pt idx="72">
                  <c:v>44229172.166529</c:v>
                </c:pt>
                <c:pt idx="73">
                  <c:v>47250191.572468</c:v>
                </c:pt>
                <c:pt idx="74">
                  <c:v>49077747.192267</c:v>
                </c:pt>
                <c:pt idx="78">
                  <c:v>47958386.6229828</c:v>
                </c:pt>
              </c:numCache>
            </c:numRef>
          </c:xVal>
          <c:yVal>
            <c:numRef>
              <c:f>'773K_173MPa_64g'!$BN$2:$BN$1309</c:f>
              <c:numCache>
                <c:formatCode>General</c:formatCode>
                <c:ptCount val="1308"/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3540533"/>
        <c:axId val="345369220"/>
      </c:scatterChart>
      <c:valAx>
        <c:axId val="58354053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5369220"/>
        <c:crosses val="autoZero"/>
        <c:crossBetween val="midCat"/>
      </c:valAx>
      <c:valAx>
        <c:axId val="345369220"/>
        <c:scaling>
          <c:orientation val="minMax"/>
          <c:max val="1e-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8354053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"/>
        <c:varyColors val="0"/>
        <c:ser>
          <c:idx val="0"/>
          <c:order val="0"/>
          <c:tx>
            <c:strRef>
              <c:f>'773K_173MPa_64g'!$B$1</c:f>
              <c:strCache>
                <c:ptCount val="1"/>
                <c:pt idx="0">
                  <c:v>Ep_eff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'773K_173MPa_64g'!$A$2:$A$353</c:f>
              <c:numCache>
                <c:formatCode>General</c:formatCode>
                <c:ptCount val="352"/>
                <c:pt idx="0">
                  <c:v>0</c:v>
                </c:pt>
                <c:pt idx="1">
                  <c:v>0.39716411736214</c:v>
                </c:pt>
                <c:pt idx="2">
                  <c:v>3.9716411736214</c:v>
                </c:pt>
                <c:pt idx="3">
                  <c:v>39.716411736214</c:v>
                </c:pt>
                <c:pt idx="4">
                  <c:v>397.16411736214</c:v>
                </c:pt>
                <c:pt idx="5">
                  <c:v>3971.6411736214</c:v>
                </c:pt>
                <c:pt idx="6">
                  <c:v>39716.411736214</c:v>
                </c:pt>
                <c:pt idx="7">
                  <c:v>397164.11736214</c:v>
                </c:pt>
                <c:pt idx="8">
                  <c:v>44562.546906687</c:v>
                </c:pt>
                <c:pt idx="9">
                  <c:v>50000</c:v>
                </c:pt>
                <c:pt idx="10">
                  <c:v>56100.922715098</c:v>
                </c:pt>
                <c:pt idx="11">
                  <c:v>62946.270589709</c:v>
                </c:pt>
                <c:pt idx="12">
                  <c:v>70626.877231138</c:v>
                </c:pt>
                <c:pt idx="13">
                  <c:v>79244.659623056</c:v>
                </c:pt>
                <c:pt idx="14">
                  <c:v>88913.970501947</c:v>
                </c:pt>
                <c:pt idx="15">
                  <c:v>99763.115748445</c:v>
                </c:pt>
                <c:pt idx="16">
                  <c:v>111936.05692842</c:v>
                </c:pt>
                <c:pt idx="17">
                  <c:v>125594.32157548</c:v>
                </c:pt>
                <c:pt idx="18">
                  <c:v>140919.14656322</c:v>
                </c:pt>
                <c:pt idx="19">
                  <c:v>158113.88300842</c:v>
                </c:pt>
                <c:pt idx="20">
                  <c:v>177406.69461679</c:v>
                </c:pt>
                <c:pt idx="21">
                  <c:v>199053.58527675</c:v>
                </c:pt>
                <c:pt idx="22">
                  <c:v>223341.79607548</c:v>
                </c:pt>
                <c:pt idx="23">
                  <c:v>250593.61681364</c:v>
                </c:pt>
                <c:pt idx="24">
                  <c:v>281170.66259518</c:v>
                </c:pt>
                <c:pt idx="25">
                  <c:v>315478.6722401</c:v>
                </c:pt>
                <c:pt idx="26">
                  <c:v>353972.89219207</c:v>
                </c:pt>
                <c:pt idx="27">
                  <c:v>397164.11736215</c:v>
                </c:pt>
                <c:pt idx="28">
                  <c:v>445625.46906688</c:v>
                </c:pt>
                <c:pt idx="29">
                  <c:v>500000.00000001</c:v>
                </c:pt>
                <c:pt idx="30">
                  <c:v>561009.22715099</c:v>
                </c:pt>
                <c:pt idx="31">
                  <c:v>629462.7058971</c:v>
                </c:pt>
                <c:pt idx="32">
                  <c:v>706268.77231139</c:v>
                </c:pt>
                <c:pt idx="33">
                  <c:v>792446.59623057</c:v>
                </c:pt>
                <c:pt idx="34">
                  <c:v>889139.70501948</c:v>
                </c:pt>
                <c:pt idx="35">
                  <c:v>997631.15748446</c:v>
                </c:pt>
                <c:pt idx="36">
                  <c:v>1119360.5692842</c:v>
                </c:pt>
                <c:pt idx="37">
                  <c:v>1255943.2157548</c:v>
                </c:pt>
                <c:pt idx="38">
                  <c:v>1409191.4656323</c:v>
                </c:pt>
                <c:pt idx="39">
                  <c:v>1581138.8300842</c:v>
                </c:pt>
                <c:pt idx="40">
                  <c:v>1774066.9461679</c:v>
                </c:pt>
                <c:pt idx="41">
                  <c:v>1990535.8527675</c:v>
                </c:pt>
                <c:pt idx="42">
                  <c:v>2233417.9607549</c:v>
                </c:pt>
                <c:pt idx="43">
                  <c:v>2505936.1681364</c:v>
                </c:pt>
                <c:pt idx="44">
                  <c:v>2811706.6259518</c:v>
                </c:pt>
                <c:pt idx="45">
                  <c:v>3154786.7224011</c:v>
                </c:pt>
                <c:pt idx="46">
                  <c:v>3539728.9219208</c:v>
                </c:pt>
                <c:pt idx="47">
                  <c:v>3971641.1736215</c:v>
                </c:pt>
                <c:pt idx="48">
                  <c:v>4456254.6906689</c:v>
                </c:pt>
                <c:pt idx="49">
                  <c:v>5000000.0000001</c:v>
                </c:pt>
                <c:pt idx="50">
                  <c:v>5610092.27151</c:v>
                </c:pt>
                <c:pt idx="51">
                  <c:v>6294627.058971</c:v>
                </c:pt>
                <c:pt idx="52">
                  <c:v>7062687.723114</c:v>
                </c:pt>
                <c:pt idx="53">
                  <c:v>7924465.9623058</c:v>
                </c:pt>
                <c:pt idx="54">
                  <c:v>8891397.0501949</c:v>
                </c:pt>
                <c:pt idx="55">
                  <c:v>9976311.5748447</c:v>
                </c:pt>
                <c:pt idx="56">
                  <c:v>11193605.692842</c:v>
                </c:pt>
                <c:pt idx="57">
                  <c:v>12559432.157548</c:v>
                </c:pt>
                <c:pt idx="58">
                  <c:v>14091914.656323</c:v>
                </c:pt>
                <c:pt idx="59">
                  <c:v>15811388.300842</c:v>
                </c:pt>
                <c:pt idx="60">
                  <c:v>17740669.461679</c:v>
                </c:pt>
                <c:pt idx="61">
                  <c:v>19905358.527676</c:v>
                </c:pt>
                <c:pt idx="62">
                  <c:v>22334179.607549</c:v>
                </c:pt>
                <c:pt idx="63">
                  <c:v>25059361.681365</c:v>
                </c:pt>
                <c:pt idx="64">
                  <c:v>27084784.885595</c:v>
                </c:pt>
                <c:pt idx="65">
                  <c:v>29135422.661694</c:v>
                </c:pt>
                <c:pt idx="66">
                  <c:v>31074085.314428</c:v>
                </c:pt>
                <c:pt idx="67">
                  <c:v>33160900.893527</c:v>
                </c:pt>
                <c:pt idx="68">
                  <c:v>35101361.285603</c:v>
                </c:pt>
                <c:pt idx="69">
                  <c:v>37848582.464035</c:v>
                </c:pt>
                <c:pt idx="70">
                  <c:v>39951119.856248</c:v>
                </c:pt>
                <c:pt idx="71">
                  <c:v>42288920.205794</c:v>
                </c:pt>
                <c:pt idx="72">
                  <c:v>44229172.166529</c:v>
                </c:pt>
                <c:pt idx="73">
                  <c:v>47250191.572468</c:v>
                </c:pt>
                <c:pt idx="74">
                  <c:v>49077747.192267</c:v>
                </c:pt>
                <c:pt idx="78">
                  <c:v>47958386.6229828</c:v>
                </c:pt>
              </c:numCache>
            </c:numRef>
          </c:xVal>
          <c:yVal>
            <c:numRef>
              <c:f>'773K_173MPa_64g'!$B$2:$B$353</c:f>
              <c:numCache>
                <c:formatCode>General</c:formatCode>
                <c:ptCount val="352"/>
                <c:pt idx="0">
                  <c:v>0</c:v>
                </c:pt>
                <c:pt idx="1" c:formatCode="0.00E+00">
                  <c:v>1.3035039982773e-14</c:v>
                </c:pt>
                <c:pt idx="2" c:formatCode="0.00E+00">
                  <c:v>1.3264095073045e-12</c:v>
                </c:pt>
                <c:pt idx="3" c:formatCode="0.00E+00">
                  <c:v>1.3490679162069e-10</c:v>
                </c:pt>
                <c:pt idx="4" c:formatCode="0.00E+00">
                  <c:v>4.5268777075686e-7</c:v>
                </c:pt>
                <c:pt idx="5" c:formatCode="0.00E+00">
                  <c:v>5.7176148508836e-6</c:v>
                </c:pt>
                <c:pt idx="6" c:formatCode="0.00E+00">
                  <c:v>3.5374998356745e-5</c:v>
                </c:pt>
                <c:pt idx="7">
                  <c:v>0.00016867572893532</c:v>
                </c:pt>
                <c:pt idx="8" c:formatCode="0.00E+00">
                  <c:v>3.8289098792647e-5</c:v>
                </c:pt>
                <c:pt idx="9" c:formatCode="0.00E+00">
                  <c:v>4.1436181715565e-5</c:v>
                </c:pt>
                <c:pt idx="10" c:formatCode="0.00E+00">
                  <c:v>4.4833228460144e-5</c:v>
                </c:pt>
                <c:pt idx="11" c:formatCode="0.00E+00">
                  <c:v>4.8498453206535e-5</c:v>
                </c:pt>
                <c:pt idx="12" c:formatCode="0.00E+00">
                  <c:v>5.2451455006516e-5</c:v>
                </c:pt>
                <c:pt idx="13" c:formatCode="0.00E+00">
                  <c:v>5.671332177639e-5</c:v>
                </c:pt>
                <c:pt idx="14" c:formatCode="0.00E+00">
                  <c:v>6.1306740238497e-5</c:v>
                </c:pt>
                <c:pt idx="15" c:formatCode="0.00E+00">
                  <c:v>6.625611177883e-5</c:v>
                </c:pt>
                <c:pt idx="16" c:formatCode="0.00E+00">
                  <c:v>7.1587674020845e-5</c:v>
                </c:pt>
                <c:pt idx="17" c:formatCode="0.00E+00">
                  <c:v>7.7329626738165e-5</c:v>
                </c:pt>
                <c:pt idx="18" c:formatCode="0.00E+00">
                  <c:v>8.3512260861987e-5</c:v>
                </c:pt>
                <c:pt idx="19" c:formatCode="0.00E+00">
                  <c:v>9.016809262462e-5</c:v>
                </c:pt>
                <c:pt idx="20" c:formatCode="0.00E+00">
                  <c:v>9.7332003514159e-5</c:v>
                </c:pt>
                <c:pt idx="21">
                  <c:v>0.00010504139331033</c:v>
                </c:pt>
                <c:pt idx="22">
                  <c:v>0.00011333636153591</c:v>
                </c:pt>
                <c:pt idx="23">
                  <c:v>0.00012225993686461</c:v>
                </c:pt>
                <c:pt idx="24">
                  <c:v>0.00013185837638573</c:v>
                </c:pt>
                <c:pt idx="25">
                  <c:v>0.0001421815475842</c:v>
                </c:pt>
                <c:pt idx="26">
                  <c:v>0.00015328339974054</c:v>
                </c:pt>
                <c:pt idx="27">
                  <c:v>0.00016522252307321</c:v>
                </c:pt>
                <c:pt idx="28">
                  <c:v>0.0001780627904115</c:v>
                </c:pt>
                <c:pt idx="29">
                  <c:v>0.00019187405769813</c:v>
                </c:pt>
                <c:pt idx="30">
                  <c:v>0.00020673290337602</c:v>
                </c:pt>
                <c:pt idx="31">
                  <c:v>0.00022272338383582</c:v>
                </c:pt>
                <c:pt idx="32">
                  <c:v>0.00023993778989461</c:v>
                </c:pt>
                <c:pt idx="33">
                  <c:v>0.00025847742770723</c:v>
                </c:pt>
                <c:pt idx="34">
                  <c:v>0.00027845349215544</c:v>
                </c:pt>
                <c:pt idx="35">
                  <c:v>0.00029998812509702</c:v>
                </c:pt>
                <c:pt idx="36">
                  <c:v>0.00032321572391652</c:v>
                </c:pt>
                <c:pt idx="37">
                  <c:v>0.00034828442394444</c:v>
                </c:pt>
                <c:pt idx="38">
                  <c:v>0.00037535764096252</c:v>
                </c:pt>
                <c:pt idx="39">
                  <c:v>0.0004046156769484</c:v>
                </c:pt>
                <c:pt idx="40">
                  <c:v>0.00043625779268438</c:v>
                </c:pt>
                <c:pt idx="41">
                  <c:v>0.00047050534983337</c:v>
                </c:pt>
                <c:pt idx="42">
                  <c:v>0.00050760642179709</c:v>
                </c:pt>
                <c:pt idx="43">
                  <c:v>0.00054784144006904</c:v>
                </c:pt>
                <c:pt idx="44">
                  <c:v>0.0005915287237084</c:v>
                </c:pt>
                <c:pt idx="45">
                  <c:v>0.00063902920698884</c:v>
                </c:pt>
                <c:pt idx="46">
                  <c:v>0.00069075122612706</c:v>
                </c:pt>
                <c:pt idx="47">
                  <c:v>0.00074715676791922</c:v>
                </c:pt>
                <c:pt idx="48">
                  <c:v>0.00080876931748599</c:v>
                </c:pt>
                <c:pt idx="49">
                  <c:v>0.00087618229049806</c:v>
                </c:pt>
                <c:pt idx="50">
                  <c:v>0.00095006818617316</c:v>
                </c:pt>
                <c:pt idx="51">
                  <c:v>0.001031189714265</c:v>
                </c:pt>
                <c:pt idx="52">
                  <c:v>0.001120411915277</c:v>
                </c:pt>
                <c:pt idx="53">
                  <c:v>0.0012187135234322</c:v>
                </c:pt>
                <c:pt idx="54">
                  <c:v>0.0013271987017119</c:v>
                </c:pt>
                <c:pt idx="55">
                  <c:v>0.0014471118881477</c:v>
                </c:pt>
                <c:pt idx="56">
                  <c:v>0.0015798564466406</c:v>
                </c:pt>
                <c:pt idx="57">
                  <c:v>0.0017270161854403</c:v>
                </c:pt>
                <c:pt idx="58">
                  <c:v>0.0018903757511322</c:v>
                </c:pt>
                <c:pt idx="59">
                  <c:v>0.0020719392533565</c:v>
                </c:pt>
                <c:pt idx="60">
                  <c:v>0.002273952994278</c:v>
                </c:pt>
                <c:pt idx="61">
                  <c:v>0.0024989364967894</c:v>
                </c:pt>
                <c:pt idx="62">
                  <c:v>0.0027497180059689</c:v>
                </c:pt>
                <c:pt idx="63">
                  <c:v>0.0030294750239552</c:v>
                </c:pt>
                <c:pt idx="64">
                  <c:v>0.0032365138753807</c:v>
                </c:pt>
                <c:pt idx="65">
                  <c:v>0.0034454841389453</c:v>
                </c:pt>
                <c:pt idx="66">
                  <c:v>0.0036425420780337</c:v>
                </c:pt>
                <c:pt idx="67">
                  <c:v>0.003854237260662</c:v>
                </c:pt>
                <c:pt idx="68">
                  <c:v>0.0040506468222609</c:v>
                </c:pt>
                <c:pt idx="69">
                  <c:v>0.0043282390284383</c:v>
                </c:pt>
                <c:pt idx="70">
                  <c:v>0.0045402967647229</c:v>
                </c:pt>
                <c:pt idx="71">
                  <c:v>0.00477573455699</c:v>
                </c:pt>
                <c:pt idx="72">
                  <c:v>0.0049708829527755</c:v>
                </c:pt>
                <c:pt idx="73">
                  <c:v>0.0052743734790619</c:v>
                </c:pt>
                <c:pt idx="74">
                  <c:v>0.0054577418984353</c:v>
                </c:pt>
                <c:pt idx="78">
                  <c:v>0.00513452617451878</c:v>
                </c:pt>
                <c:pt idx="79">
                  <c:v>1.07062112303382e-10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5430560"/>
        <c:axId val="635431872"/>
      </c:scatterChart>
      <c:valAx>
        <c:axId val="635430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35431872"/>
        <c:crosses val="autoZero"/>
        <c:crossBetween val="midCat"/>
      </c:valAx>
      <c:valAx>
        <c:axId val="63543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35430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"Exp"</c:f>
              <c:strCache>
                <c:ptCount val="1"/>
                <c:pt idx="0">
                  <c:v>Exp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1"/>
            <c:trendlineLbl>
              <c:layout>
                <c:manualLayout>
                  <c:x val="-0.132619203849519"/>
                  <c:y val="0.15724409448818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en-US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Exp_773K_173MPa!$B$2:$B$6</c:f>
              <c:numCache>
                <c:formatCode>0.00E+00</c:formatCode>
                <c:ptCount val="5"/>
                <c:pt idx="0">
                  <c:v>3180016.42848</c:v>
                </c:pt>
                <c:pt idx="1">
                  <c:v>27525263.7996</c:v>
                </c:pt>
                <c:pt idx="2">
                  <c:v>37858421.628</c:v>
                </c:pt>
                <c:pt idx="3">
                  <c:v>50431390.704</c:v>
                </c:pt>
                <c:pt idx="4">
                  <c:v>61710819.516</c:v>
                </c:pt>
              </c:numCache>
            </c:numRef>
          </c:xVal>
          <c:yVal>
            <c:numRef>
              <c:f>Exp_773K_173MPa!$C$2:$C$6</c:f>
              <c:numCache>
                <c:formatCode>0.00E+00</c:formatCode>
                <c:ptCount val="5"/>
                <c:pt idx="0">
                  <c:v>0.006841656</c:v>
                </c:pt>
                <c:pt idx="1">
                  <c:v>0.008317993</c:v>
                </c:pt>
                <c:pt idx="2">
                  <c:v>0.008089998</c:v>
                </c:pt>
                <c:pt idx="3">
                  <c:v>0.008376861</c:v>
                </c:pt>
                <c:pt idx="4">
                  <c:v>0.009354873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8800552"/>
        <c:axId val="528801536"/>
      </c:scatterChart>
      <c:valAx>
        <c:axId val="528800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8801536"/>
        <c:crosses val="autoZero"/>
        <c:crossBetween val="midCat"/>
      </c:valAx>
      <c:valAx>
        <c:axId val="52880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8800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"Exp"</c:f>
              <c:strCache>
                <c:ptCount val="1"/>
                <c:pt idx="0">
                  <c:v>Exp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1"/>
            <c:trendlineLbl>
              <c:layout>
                <c:manualLayout>
                  <c:x val="-0.132619203849519"/>
                  <c:y val="0.15724409448818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en-US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Exp_773K_87MPa!$B$2:$B$6</c:f>
              <c:numCache>
                <c:formatCode>0.00E+00</c:formatCode>
                <c:ptCount val="5"/>
                <c:pt idx="0">
                  <c:v>2665936.5192</c:v>
                </c:pt>
                <c:pt idx="1">
                  <c:v>25817729.9436</c:v>
                </c:pt>
                <c:pt idx="2">
                  <c:v>36872722.692</c:v>
                </c:pt>
                <c:pt idx="3">
                  <c:v>51726447.468</c:v>
                </c:pt>
                <c:pt idx="4">
                  <c:v>61771477.932</c:v>
                </c:pt>
              </c:numCache>
            </c:numRef>
          </c:xVal>
          <c:yVal>
            <c:numRef>
              <c:f>Exp_773K_87MPa!$C$2:$C$6</c:f>
              <c:numCache>
                <c:formatCode>0.00E+00</c:formatCode>
                <c:ptCount val="5"/>
                <c:pt idx="0">
                  <c:v>0.002051855</c:v>
                </c:pt>
                <c:pt idx="1">
                  <c:v>0.002231513</c:v>
                </c:pt>
                <c:pt idx="2">
                  <c:v>0.002667074</c:v>
                </c:pt>
                <c:pt idx="3">
                  <c:v>0.002655595</c:v>
                </c:pt>
                <c:pt idx="4">
                  <c:v>0.00315013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8800552"/>
        <c:axId val="528801536"/>
      </c:scatterChart>
      <c:valAx>
        <c:axId val="528800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8801536"/>
        <c:crosses val="autoZero"/>
        <c:crossBetween val="midCat"/>
      </c:valAx>
      <c:valAx>
        <c:axId val="52880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8800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"Exp"</c:f>
              <c:strCache>
                <c:ptCount val="1"/>
                <c:pt idx="0">
                  <c:v>Exp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1"/>
            <c:trendlineLbl>
              <c:layout>
                <c:manualLayout>
                  <c:x val="-0.132619203849519"/>
                  <c:y val="0.15724409448818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en-US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Exp_773K_52MPa!$B$2:$B$6</c:f>
              <c:numCache>
                <c:formatCode>0.00E+00</c:formatCode>
                <c:ptCount val="5"/>
                <c:pt idx="0">
                  <c:v>3703195.098</c:v>
                </c:pt>
                <c:pt idx="1">
                  <c:v>26612354.9376</c:v>
                </c:pt>
                <c:pt idx="2">
                  <c:v>37914530.652</c:v>
                </c:pt>
                <c:pt idx="3">
                  <c:v>51768908.352</c:v>
                </c:pt>
                <c:pt idx="4">
                  <c:v>61067840.508</c:v>
                </c:pt>
              </c:numCache>
            </c:numRef>
          </c:xVal>
          <c:yVal>
            <c:numRef>
              <c:f>Exp_773K_52MPa!$C$2:$C$6</c:f>
              <c:numCache>
                <c:formatCode>General</c:formatCode>
                <c:ptCount val="5"/>
                <c:pt idx="0">
                  <c:v>0.001450747</c:v>
                </c:pt>
                <c:pt idx="1">
                  <c:v>0.001449378</c:v>
                </c:pt>
                <c:pt idx="2">
                  <c:v>0.00197561</c:v>
                </c:pt>
                <c:pt idx="3">
                  <c:v>0.001812275</c:v>
                </c:pt>
                <c:pt idx="4">
                  <c:v>0.00212515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8800552"/>
        <c:axId val="528801536"/>
      </c:scatterChart>
      <c:valAx>
        <c:axId val="528800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8801536"/>
        <c:crosses val="autoZero"/>
        <c:crossBetween val="midCat"/>
      </c:valAx>
      <c:valAx>
        <c:axId val="52880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8800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"Exp"</c:f>
              <c:strCache>
                <c:ptCount val="1"/>
                <c:pt idx="0">
                  <c:v>Exp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1"/>
            <c:trendlineLbl>
              <c:layout>
                <c:manualLayout>
                  <c:x val="-0.132619203849519"/>
                  <c:y val="0.15724409448818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en-US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Exp_773K_121MPa!$B$2:$B$6</c:f>
              <c:numCache>
                <c:formatCode>0.00E+00</c:formatCode>
                <c:ptCount val="5"/>
                <c:pt idx="0">
                  <c:v>1842498.78876</c:v>
                </c:pt>
                <c:pt idx="1">
                  <c:v>25241475.1788</c:v>
                </c:pt>
                <c:pt idx="2">
                  <c:v>37265485.788</c:v>
                </c:pt>
                <c:pt idx="3">
                  <c:v>50855999.508</c:v>
                </c:pt>
                <c:pt idx="4">
                  <c:v>60658396.344</c:v>
                </c:pt>
              </c:numCache>
            </c:numRef>
          </c:xVal>
          <c:yVal>
            <c:numRef>
              <c:f>Exp_773K_121MPa!$C$2:$C$6</c:f>
              <c:numCache>
                <c:formatCode>General</c:formatCode>
                <c:ptCount val="5"/>
                <c:pt idx="0">
                  <c:v>0.003406243</c:v>
                </c:pt>
                <c:pt idx="1">
                  <c:v>0.003676573</c:v>
                </c:pt>
                <c:pt idx="2">
                  <c:v>0.004866362</c:v>
                </c:pt>
                <c:pt idx="3">
                  <c:v>0.004943659</c:v>
                </c:pt>
                <c:pt idx="4">
                  <c:v>0.005257166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8800552"/>
        <c:axId val="528801536"/>
      </c:scatterChart>
      <c:valAx>
        <c:axId val="528800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8801536"/>
        <c:crosses val="autoZero"/>
        <c:crossBetween val="midCat"/>
      </c:valAx>
      <c:valAx>
        <c:axId val="52880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8800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58</xdr:col>
      <xdr:colOff>104775</xdr:colOff>
      <xdr:row>96</xdr:row>
      <xdr:rowOff>127000</xdr:rowOff>
    </xdr:from>
    <xdr:to>
      <xdr:col>67</xdr:col>
      <xdr:colOff>399415</xdr:colOff>
      <xdr:row>120</xdr:row>
      <xdr:rowOff>41275</xdr:rowOff>
    </xdr:to>
    <xdr:graphicFrame>
      <xdr:nvGraphicFramePr>
        <xdr:cNvPr id="3" name="Chart 2"/>
        <xdr:cNvGraphicFramePr/>
      </xdr:nvGraphicFramePr>
      <xdr:xfrm>
        <a:off x="44554775" y="18415000"/>
        <a:ext cx="7719060" cy="44862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441325</xdr:colOff>
      <xdr:row>176</xdr:row>
      <xdr:rowOff>155575</xdr:rowOff>
    </xdr:from>
    <xdr:to>
      <xdr:col>26</xdr:col>
      <xdr:colOff>85725</xdr:colOff>
      <xdr:row>191</xdr:row>
      <xdr:rowOff>136525</xdr:rowOff>
    </xdr:to>
    <xdr:graphicFrame>
      <xdr:nvGraphicFramePr>
        <xdr:cNvPr id="2" name="Chart 1"/>
        <xdr:cNvGraphicFramePr/>
      </xdr:nvGraphicFramePr>
      <xdr:xfrm>
        <a:off x="14665325" y="33683575"/>
        <a:ext cx="5689600" cy="2838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0</xdr:colOff>
      <xdr:row>38</xdr:row>
      <xdr:rowOff>0</xdr:rowOff>
    </xdr:from>
    <xdr:to>
      <xdr:col>12</xdr:col>
      <xdr:colOff>304800</xdr:colOff>
      <xdr:row>52</xdr:row>
      <xdr:rowOff>165100</xdr:rowOff>
    </xdr:to>
    <xdr:graphicFrame>
      <xdr:nvGraphicFramePr>
        <xdr:cNvPr id="6" name="Chart 5"/>
        <xdr:cNvGraphicFramePr/>
      </xdr:nvGraphicFramePr>
      <xdr:xfrm>
        <a:off x="7239000" y="7239000"/>
        <a:ext cx="5705475" cy="28321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0</xdr:colOff>
      <xdr:row>38</xdr:row>
      <xdr:rowOff>0</xdr:rowOff>
    </xdr:from>
    <xdr:to>
      <xdr:col>12</xdr:col>
      <xdr:colOff>304800</xdr:colOff>
      <xdr:row>52</xdr:row>
      <xdr:rowOff>165100</xdr:rowOff>
    </xdr:to>
    <xdr:graphicFrame>
      <xdr:nvGraphicFramePr>
        <xdr:cNvPr id="2" name="Chart 1"/>
        <xdr:cNvGraphicFramePr/>
      </xdr:nvGraphicFramePr>
      <xdr:xfrm>
        <a:off x="7239000" y="7239000"/>
        <a:ext cx="5705475" cy="28321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0</xdr:colOff>
      <xdr:row>24</xdr:row>
      <xdr:rowOff>0</xdr:rowOff>
    </xdr:from>
    <xdr:to>
      <xdr:col>16</xdr:col>
      <xdr:colOff>304800</xdr:colOff>
      <xdr:row>38</xdr:row>
      <xdr:rowOff>165100</xdr:rowOff>
    </xdr:to>
    <xdr:graphicFrame>
      <xdr:nvGraphicFramePr>
        <xdr:cNvPr id="2" name="Chart 1"/>
        <xdr:cNvGraphicFramePr/>
      </xdr:nvGraphicFramePr>
      <xdr:xfrm>
        <a:off x="6943725" y="4572000"/>
        <a:ext cx="5705475" cy="28321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0</xdr:colOff>
      <xdr:row>24</xdr:row>
      <xdr:rowOff>0</xdr:rowOff>
    </xdr:from>
    <xdr:to>
      <xdr:col>16</xdr:col>
      <xdr:colOff>304800</xdr:colOff>
      <xdr:row>38</xdr:row>
      <xdr:rowOff>165100</xdr:rowOff>
    </xdr:to>
    <xdr:graphicFrame>
      <xdr:nvGraphicFramePr>
        <xdr:cNvPr id="2" name="Chart 1"/>
        <xdr:cNvGraphicFramePr/>
      </xdr:nvGraphicFramePr>
      <xdr:xfrm>
        <a:off x="6943725" y="4572000"/>
        <a:ext cx="5705475" cy="28321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selection activeCell="C3" sqref="C3"/>
    </sheetView>
  </sheetViews>
  <sheetFormatPr defaultColWidth="9" defaultRowHeight="15" outlineLevelRow="4" outlineLevelCol="3"/>
  <cols>
    <col min="3" max="3" width="11.8148148148148" style="1" customWidth="1"/>
  </cols>
  <sheetData>
    <row r="1" spans="1:4">
      <c r="A1" t="s">
        <v>0</v>
      </c>
      <c r="B1" t="s">
        <v>1</v>
      </c>
      <c r="C1" s="1" t="s">
        <v>2</v>
      </c>
      <c r="D1" t="s">
        <v>3</v>
      </c>
    </row>
    <row r="2" spans="1:4">
      <c r="A2">
        <v>173</v>
      </c>
      <c r="B2" s="1">
        <f>(Exp_773K_173MPa!C6-Exp_773K_173MPa!C2)/(Exp_773K_173MPa!B6-Exp_773K_173MPa!B2)</f>
        <v>4.29383652269735e-11</v>
      </c>
      <c r="C2" s="1">
        <v>1.07e-10</v>
      </c>
      <c r="D2" s="9">
        <f>C2/B2</f>
        <v>2.49194396280331</v>
      </c>
    </row>
    <row r="3" spans="1:4">
      <c r="A3">
        <v>121</v>
      </c>
      <c r="B3" s="1">
        <f>(Exp_773K_121MPa!C6-Exp_773K_121MPa!C2)/(Exp_773K_121MPa!B6-Exp_773K_121MPa!B2)</f>
        <v>3.14697739375925e-11</v>
      </c>
      <c r="C3" s="1">
        <f>('773K_121MPa_64g'!B71-'773K_121MPa_64g'!B51)/('773K_121MPa_64g'!A71-'773K_121MPa_64g'!A51)</f>
        <v>2.11376572762932e-11</v>
      </c>
      <c r="D3" s="9">
        <f t="shared" ref="D3:D5" si="0">C3/B3</f>
        <v>0.671681255741179</v>
      </c>
    </row>
    <row r="4" spans="1:4">
      <c r="A4">
        <v>87</v>
      </c>
      <c r="B4" s="1">
        <f>(Exp_773K_87MPa!C6-Exp_773K_87MPa!C2)/(Exp_773K_87MPa!B6-Exp_773K_87MPa!B2)</f>
        <v>1.85815910614797e-11</v>
      </c>
      <c r="C4" s="1">
        <f>('773K_87MPa_64g'!B71-'773K_87MPa_64g'!B51)/('773K_87MPa_64g'!A71-'773K_87MPa_64g'!A51)</f>
        <v>1.44680007712971e-11</v>
      </c>
      <c r="D4" s="9">
        <f t="shared" si="0"/>
        <v>0.778620125877693</v>
      </c>
    </row>
    <row r="5" spans="1:4">
      <c r="A5">
        <v>52</v>
      </c>
      <c r="B5" s="1">
        <f>(Exp_773K_52MPa!C6-Exp_773K_52MPa!C2)/(Exp_773K_52MPa!B6-Exp_773K_52MPa!B2)</f>
        <v>1.17564223604952e-11</v>
      </c>
      <c r="C5" s="1">
        <f>('773K_52MPa_64g'!B71-'773K_52MPa_64g'!B51)/('773K_52MPa_64g'!A71-'773K_52MPa_64g'!A51)</f>
        <v>8.52999245389797e-12</v>
      </c>
      <c r="D5" s="9">
        <f t="shared" si="0"/>
        <v>0.725560225069923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M353"/>
  <sheetViews>
    <sheetView topLeftCell="A46" workbookViewId="0">
      <selection activeCell="B82" sqref="B82"/>
    </sheetView>
  </sheetViews>
  <sheetFormatPr defaultColWidth="8.81481481481481" defaultRowHeight="15"/>
  <cols>
    <col min="1" max="1" width="12.4444444444444" style="1"/>
    <col min="2" max="2" width="12.4444444444444"/>
    <col min="66" max="71" width="12.4518518518519"/>
  </cols>
  <sheetData>
    <row r="1" spans="1:65">
      <c r="A1" s="3" t="s">
        <v>4</v>
      </c>
      <c r="B1" s="3" t="s">
        <v>5</v>
      </c>
      <c r="C1" s="4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19</v>
      </c>
      <c r="Q1" s="3" t="s">
        <v>20</v>
      </c>
      <c r="R1" s="3" t="s">
        <v>21</v>
      </c>
      <c r="S1" s="3" t="s">
        <v>22</v>
      </c>
      <c r="T1" s="3" t="s">
        <v>23</v>
      </c>
      <c r="U1" s="3" t="s">
        <v>24</v>
      </c>
      <c r="V1" s="3" t="s">
        <v>25</v>
      </c>
      <c r="W1" s="3" t="s">
        <v>26</v>
      </c>
      <c r="X1" s="3" t="s">
        <v>27</v>
      </c>
      <c r="Y1" s="3" t="s">
        <v>28</v>
      </c>
      <c r="Z1" s="3" t="s">
        <v>29</v>
      </c>
      <c r="AA1" s="3" t="s">
        <v>30</v>
      </c>
      <c r="AB1" s="3" t="s">
        <v>31</v>
      </c>
      <c r="AC1" s="3" t="s">
        <v>32</v>
      </c>
      <c r="AD1" s="3" t="s">
        <v>33</v>
      </c>
      <c r="AE1" s="3" t="s">
        <v>34</v>
      </c>
      <c r="AF1" s="3" t="s">
        <v>35</v>
      </c>
      <c r="AG1" s="3" t="s">
        <v>36</v>
      </c>
      <c r="AH1" s="3" t="s">
        <v>37</v>
      </c>
      <c r="AI1" s="3" t="s">
        <v>38</v>
      </c>
      <c r="AJ1" s="3" t="s">
        <v>39</v>
      </c>
      <c r="AK1" s="3" t="s">
        <v>40</v>
      </c>
      <c r="AL1" s="3" t="s">
        <v>41</v>
      </c>
      <c r="AM1" s="3" t="s">
        <v>42</v>
      </c>
      <c r="AN1" s="3" t="s">
        <v>43</v>
      </c>
      <c r="AO1" s="3" t="s">
        <v>44</v>
      </c>
      <c r="AP1" s="3" t="s">
        <v>45</v>
      </c>
      <c r="AQ1" s="3" t="s">
        <v>46</v>
      </c>
      <c r="AR1" s="3" t="s">
        <v>47</v>
      </c>
      <c r="AS1" s="3" t="s">
        <v>48</v>
      </c>
      <c r="AT1" s="3" t="s">
        <v>49</v>
      </c>
      <c r="AU1" s="3" t="s">
        <v>50</v>
      </c>
      <c r="AV1" s="3" t="s">
        <v>51</v>
      </c>
      <c r="AW1" s="3" t="s">
        <v>52</v>
      </c>
      <c r="AX1" s="3" t="s">
        <v>53</v>
      </c>
      <c r="AY1" s="3" t="s">
        <v>54</v>
      </c>
      <c r="AZ1" s="3" t="s">
        <v>55</v>
      </c>
      <c r="BA1" s="3" t="s">
        <v>56</v>
      </c>
      <c r="BB1" s="3" t="s">
        <v>57</v>
      </c>
      <c r="BC1" s="3" t="s">
        <v>58</v>
      </c>
      <c r="BD1" s="3" t="s">
        <v>59</v>
      </c>
      <c r="BE1" s="3" t="s">
        <v>60</v>
      </c>
      <c r="BF1" s="3" t="s">
        <v>61</v>
      </c>
      <c r="BG1" s="3" t="s">
        <v>62</v>
      </c>
      <c r="BH1" s="3" t="s">
        <v>63</v>
      </c>
      <c r="BI1" s="3" t="s">
        <v>64</v>
      </c>
      <c r="BJ1" s="3" t="s">
        <v>65</v>
      </c>
      <c r="BK1" s="3" t="s">
        <v>66</v>
      </c>
      <c r="BL1" s="4"/>
      <c r="BM1" s="7"/>
    </row>
    <row r="2" spans="1:65">
      <c r="A2" s="3">
        <v>0</v>
      </c>
      <c r="B2" s="3">
        <v>0</v>
      </c>
      <c r="C2" s="4"/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>
        <v>0</v>
      </c>
      <c r="AZ2" s="3">
        <v>0</v>
      </c>
      <c r="BA2" s="3">
        <v>0</v>
      </c>
      <c r="BB2" s="3">
        <v>0</v>
      </c>
      <c r="BC2" s="3">
        <v>0</v>
      </c>
      <c r="BD2" s="3">
        <v>0</v>
      </c>
      <c r="BE2" s="3">
        <v>0</v>
      </c>
      <c r="BF2" s="3">
        <v>0</v>
      </c>
      <c r="BG2" s="3">
        <v>0</v>
      </c>
      <c r="BH2" s="3">
        <v>0</v>
      </c>
      <c r="BI2" s="3">
        <v>0</v>
      </c>
      <c r="BJ2" s="3">
        <v>0</v>
      </c>
      <c r="BK2" s="3">
        <v>0</v>
      </c>
      <c r="BL2" s="4"/>
      <c r="BM2" s="7"/>
    </row>
    <row r="3" spans="1:65">
      <c r="A3" s="3">
        <v>0.39716411736214</v>
      </c>
      <c r="B3" s="5">
        <v>1.3035039982773e-14</v>
      </c>
      <c r="C3" s="6">
        <f t="shared" ref="C3:C66" si="0">(BF3-BF2)/(A3-A2)</f>
        <v>5.59964275956089e-6</v>
      </c>
      <c r="D3" s="5">
        <v>4.2762180211151e-15</v>
      </c>
      <c r="E3" s="5">
        <v>5.1716940088555e-15</v>
      </c>
      <c r="F3" s="5">
        <v>5.1716940088555e-15</v>
      </c>
      <c r="G3" s="5">
        <v>5.1716940088555e-15</v>
      </c>
      <c r="H3" s="5">
        <v>4.2762180211151e-15</v>
      </c>
      <c r="I3" s="5">
        <v>4.2762180211151e-15</v>
      </c>
      <c r="J3" s="5">
        <v>4.2762180211151e-15</v>
      </c>
      <c r="K3" s="5">
        <v>4.5333743529291e-15</v>
      </c>
      <c r="L3" s="5">
        <v>4.5333743529291e-15</v>
      </c>
      <c r="M3" s="5">
        <v>4.5333743529291e-15</v>
      </c>
      <c r="N3" s="5">
        <v>4.7240689453751e-15</v>
      </c>
      <c r="O3" s="5">
        <v>4.2762180211151e-15</v>
      </c>
      <c r="P3" s="5">
        <v>4.7240689453751e-15</v>
      </c>
      <c r="Q3" s="5">
        <v>4.7240689453751e-15</v>
      </c>
      <c r="R3" s="5">
        <v>5.1716940088555e-15</v>
      </c>
      <c r="S3" s="5">
        <v>5.1716940088555e-15</v>
      </c>
      <c r="T3" s="5">
        <v>5.1716940088555e-15</v>
      </c>
      <c r="U3" s="5">
        <v>4.2762180211151e-15</v>
      </c>
      <c r="V3" s="5">
        <v>4.5333743529291e-15</v>
      </c>
      <c r="W3" s="5">
        <v>4.5333743529291e-15</v>
      </c>
      <c r="X3" s="5">
        <v>4.5333743529291e-15</v>
      </c>
      <c r="Y3" s="5">
        <v>4.7240689453751e-15</v>
      </c>
      <c r="Z3" s="5">
        <v>4.7240689453751e-15</v>
      </c>
      <c r="AA3" s="5">
        <v>4.7240689453751e-15</v>
      </c>
      <c r="AB3" s="3">
        <v>0.99999999999975</v>
      </c>
      <c r="AC3" s="3">
        <v>0.99999999999966</v>
      </c>
      <c r="AD3" s="5">
        <v>2.1719977165069e-6</v>
      </c>
      <c r="AE3" s="5">
        <v>3.553429657189e-28</v>
      </c>
      <c r="AF3" s="5">
        <v>-3.0489455019435e-28</v>
      </c>
      <c r="AG3" s="5">
        <v>4.5374300346727e-28</v>
      </c>
      <c r="AH3" s="5">
        <v>-4.4524356859142e-28</v>
      </c>
      <c r="AI3" s="5">
        <v>-6.7852104549637e-29</v>
      </c>
      <c r="AJ3" s="5">
        <v>-3.1005517954336e-28</v>
      </c>
      <c r="AK3" s="5">
        <v>2.2466826002853e-28</v>
      </c>
      <c r="AL3" s="5">
        <v>2.6509987539021e-28</v>
      </c>
      <c r="AM3" s="5">
        <v>1.720345907731e-28</v>
      </c>
      <c r="AN3" s="5">
        <v>-3.9923604076627e-28</v>
      </c>
      <c r="AO3" s="5">
        <v>2.0875491489731e-28</v>
      </c>
      <c r="AP3" s="5">
        <v>-2.0885686415136e-28</v>
      </c>
      <c r="AQ3" s="5">
        <v>6.6761722039595e-28</v>
      </c>
      <c r="AR3" s="5">
        <v>-8.3446218209767e-28</v>
      </c>
      <c r="AS3" s="5">
        <v>4.105638533236e-28</v>
      </c>
      <c r="AT3" s="5">
        <v>6.9172388749745e-29</v>
      </c>
      <c r="AU3" s="5">
        <v>-4.7640056355661e-28</v>
      </c>
      <c r="AV3" s="5">
        <v>-2.0219835147561e-28</v>
      </c>
      <c r="AW3" s="5">
        <v>2.522355958362e-28</v>
      </c>
      <c r="AX3" s="5">
        <v>6.2596494027225e-29</v>
      </c>
      <c r="AY3" s="5">
        <v>-2.7172137603592e-28</v>
      </c>
      <c r="AZ3" s="5">
        <v>2.8967263914386e-28</v>
      </c>
      <c r="BA3" s="5">
        <v>6.0179855664787e-28</v>
      </c>
      <c r="BB3" s="5">
        <v>-8.7247492180099e-28</v>
      </c>
      <c r="BC3" s="3">
        <v>15999999.999981</v>
      </c>
      <c r="BD3" s="3">
        <v>3999999.999998</v>
      </c>
      <c r="BE3" s="5">
        <v>-1.0595459107092e-6</v>
      </c>
      <c r="BF3" s="5">
        <v>2.2239771741443e-6</v>
      </c>
      <c r="BG3" s="5">
        <v>6.3087333976102e-7</v>
      </c>
      <c r="BH3" s="5">
        <v>-1.4189680793533e-8</v>
      </c>
      <c r="BI3" s="3">
        <v>0.52894052794368</v>
      </c>
      <c r="BJ3" s="3">
        <v>0.26447038365068</v>
      </c>
      <c r="BK3" s="3">
        <v>0.48684515581216</v>
      </c>
      <c r="BL3" s="4"/>
      <c r="BM3" s="7"/>
    </row>
    <row r="4" spans="1:65">
      <c r="A4" s="3">
        <v>3.9716411736214</v>
      </c>
      <c r="B4" s="5">
        <v>1.3264095073045e-12</v>
      </c>
      <c r="C4" s="6">
        <f t="shared" si="0"/>
        <v>5.59885855682553e-6</v>
      </c>
      <c r="D4" s="5">
        <v>4.2847775312983e-14</v>
      </c>
      <c r="E4" s="5">
        <v>5.1831620745435e-14</v>
      </c>
      <c r="F4" s="5">
        <v>5.1831620745435e-14</v>
      </c>
      <c r="G4" s="5">
        <v>5.1831620745435e-14</v>
      </c>
      <c r="H4" s="5">
        <v>4.2847775312983e-14</v>
      </c>
      <c r="I4" s="5">
        <v>4.2847775312983e-14</v>
      </c>
      <c r="J4" s="5">
        <v>4.2847775312983e-14</v>
      </c>
      <c r="K4" s="5">
        <v>4.5418330023468e-14</v>
      </c>
      <c r="L4" s="5">
        <v>4.5418330023468e-14</v>
      </c>
      <c r="M4" s="5">
        <v>4.5418330023468e-14</v>
      </c>
      <c r="N4" s="5">
        <v>4.7339211933718e-14</v>
      </c>
      <c r="O4" s="5">
        <v>4.2847775312983e-14</v>
      </c>
      <c r="P4" s="5">
        <v>4.7339211933718e-14</v>
      </c>
      <c r="Q4" s="5">
        <v>4.7339211933718e-14</v>
      </c>
      <c r="R4" s="5">
        <v>5.1831620745435e-14</v>
      </c>
      <c r="S4" s="5">
        <v>5.1831620745435e-14</v>
      </c>
      <c r="T4" s="5">
        <v>5.1831620745435e-14</v>
      </c>
      <c r="U4" s="5">
        <v>4.2847775312983e-14</v>
      </c>
      <c r="V4" s="5">
        <v>4.5418330023468e-14</v>
      </c>
      <c r="W4" s="5">
        <v>4.5418330023468e-14</v>
      </c>
      <c r="X4" s="5">
        <v>4.5418330023468e-14</v>
      </c>
      <c r="Y4" s="5">
        <v>4.7339211933718e-14</v>
      </c>
      <c r="Z4" s="5">
        <v>4.7339211933718e-14</v>
      </c>
      <c r="AA4" s="5">
        <v>4.7339211933718e-14</v>
      </c>
      <c r="AB4" s="3">
        <v>0.99999999999899</v>
      </c>
      <c r="AC4" s="3">
        <v>0.99999999999794</v>
      </c>
      <c r="AD4" s="5">
        <v>2.1718030852947e-5</v>
      </c>
      <c r="AE4" s="5">
        <v>7.1492666518137e-27</v>
      </c>
      <c r="AF4" s="5">
        <v>3.2796171375759e-26</v>
      </c>
      <c r="AG4" s="5">
        <v>5.2111589517048e-26</v>
      </c>
      <c r="AH4" s="5">
        <v>2.4709375171752e-27</v>
      </c>
      <c r="AI4" s="5">
        <v>3.1723755761365e-27</v>
      </c>
      <c r="AJ4" s="5">
        <v>2.4144649404014e-27</v>
      </c>
      <c r="AK4" s="5">
        <v>1.9020785964082e-26</v>
      </c>
      <c r="AL4" s="5">
        <v>1.834870899246e-26</v>
      </c>
      <c r="AM4" s="5">
        <v>-8.5223944247809e-27</v>
      </c>
      <c r="AN4" s="5">
        <v>-6.2868989299229e-27</v>
      </c>
      <c r="AO4" s="5">
        <v>2.4445293687129e-26</v>
      </c>
      <c r="AP4" s="5">
        <v>-3.7251563966154e-27</v>
      </c>
      <c r="AQ4" s="5">
        <v>2.6900473882225e-26</v>
      </c>
      <c r="AR4" s="5">
        <v>-6.2560675814515e-26</v>
      </c>
      <c r="AS4" s="5">
        <v>7.1828656210668e-27</v>
      </c>
      <c r="AT4" s="5">
        <v>1.2474408944942e-26</v>
      </c>
      <c r="AU4" s="5">
        <v>-3.1879188560467e-26</v>
      </c>
      <c r="AV4" s="5">
        <v>-1.2333496675942e-26</v>
      </c>
      <c r="AW4" s="5">
        <v>5.500168225683e-27</v>
      </c>
      <c r="AX4" s="5">
        <v>2.5796019786604e-26</v>
      </c>
      <c r="AY4" s="5">
        <v>-5.0475572675301e-27</v>
      </c>
      <c r="AZ4" s="5">
        <v>-2.0288202627854e-26</v>
      </c>
      <c r="BA4" s="5">
        <v>2.8997001179048e-26</v>
      </c>
      <c r="BB4" s="5">
        <v>-7.5300347659929e-26</v>
      </c>
      <c r="BC4" s="3">
        <v>15999999.998742</v>
      </c>
      <c r="BD4" s="3">
        <v>3999999.9997927</v>
      </c>
      <c r="BE4" s="5">
        <v>-1.0595225416746e-5</v>
      </c>
      <c r="BF4" s="5">
        <v>2.2236968626758e-5</v>
      </c>
      <c r="BG4" s="5">
        <v>6.3089257973985e-6</v>
      </c>
      <c r="BH4" s="5">
        <v>-1.4192438662421e-6</v>
      </c>
      <c r="BI4" s="3">
        <v>5.28939299862</v>
      </c>
      <c r="BJ4" s="3">
        <v>2.6447084651966</v>
      </c>
      <c r="BK4" s="3">
        <v>4.8684002398807</v>
      </c>
      <c r="BL4" s="4"/>
      <c r="BM4" s="7"/>
    </row>
    <row r="5" spans="1:65">
      <c r="A5" s="3">
        <v>39.716411736214</v>
      </c>
      <c r="B5" s="5">
        <v>1.3490679162069e-10</v>
      </c>
      <c r="C5" s="6">
        <f t="shared" si="0"/>
        <v>5.59111032043974e-6</v>
      </c>
      <c r="D5" s="5">
        <v>4.3728322971347e-13</v>
      </c>
      <c r="E5" s="5">
        <v>5.3009475737863e-13</v>
      </c>
      <c r="F5" s="5">
        <v>5.3009475737863e-13</v>
      </c>
      <c r="G5" s="5">
        <v>5.3009475737863e-13</v>
      </c>
      <c r="H5" s="5">
        <v>4.3728322971347e-13</v>
      </c>
      <c r="I5" s="5">
        <v>4.3728322971347e-13</v>
      </c>
      <c r="J5" s="5">
        <v>4.3728322971347e-13</v>
      </c>
      <c r="K5" s="5">
        <v>4.6285308302118e-13</v>
      </c>
      <c r="L5" s="5">
        <v>4.6285308302118e-13</v>
      </c>
      <c r="M5" s="5">
        <v>4.6285308302118e-13</v>
      </c>
      <c r="N5" s="5">
        <v>4.8351525666021e-13</v>
      </c>
      <c r="O5" s="5">
        <v>4.3728322971347e-13</v>
      </c>
      <c r="P5" s="5">
        <v>4.8351525666021e-13</v>
      </c>
      <c r="Q5" s="5">
        <v>4.8351525666021e-13</v>
      </c>
      <c r="R5" s="5">
        <v>5.3009475737863e-13</v>
      </c>
      <c r="S5" s="5">
        <v>5.3009475737863e-13</v>
      </c>
      <c r="T5" s="5">
        <v>5.3009475737863e-13</v>
      </c>
      <c r="U5" s="5">
        <v>4.3728322971347e-13</v>
      </c>
      <c r="V5" s="5">
        <v>4.6285308302118e-13</v>
      </c>
      <c r="W5" s="5">
        <v>4.6285308302118e-13</v>
      </c>
      <c r="X5" s="5">
        <v>4.6285308302118e-13</v>
      </c>
      <c r="Y5" s="5">
        <v>4.8351525666021e-13</v>
      </c>
      <c r="Z5" s="5">
        <v>4.8351525666021e-13</v>
      </c>
      <c r="AA5" s="5">
        <v>4.8351525666021e-13</v>
      </c>
      <c r="AB5" s="3">
        <v>0.99999994646001</v>
      </c>
      <c r="AC5" s="3">
        <v>0.99999982229697</v>
      </c>
      <c r="AD5" s="3">
        <v>0.00021698604739029</v>
      </c>
      <c r="AE5" s="5">
        <v>-1.1553235792907e-20</v>
      </c>
      <c r="AF5" s="5">
        <v>6.8937176785549e-20</v>
      </c>
      <c r="AG5" s="5">
        <v>5.8369313229403e-20</v>
      </c>
      <c r="AH5" s="5">
        <v>8.4958859232291e-21</v>
      </c>
      <c r="AI5" s="5">
        <v>-1.7831054226598e-21</v>
      </c>
      <c r="AJ5" s="5">
        <v>1.6454729772736e-20</v>
      </c>
      <c r="AK5" s="5">
        <v>4.6317206785096e-21</v>
      </c>
      <c r="AL5" s="5">
        <v>1.8905846000487e-20</v>
      </c>
      <c r="AM5" s="5">
        <v>-2.5418800005006e-21</v>
      </c>
      <c r="AN5" s="5">
        <v>-4.811273139175e-22</v>
      </c>
      <c r="AO5" s="5">
        <v>2.2401116446553e-20</v>
      </c>
      <c r="AP5" s="5">
        <v>-6.59526693047e-22</v>
      </c>
      <c r="AQ5" s="5">
        <v>1.2237033838948e-20</v>
      </c>
      <c r="AR5" s="5">
        <v>-8.187958319316e-20</v>
      </c>
      <c r="AS5" s="5">
        <v>-8.6284449490445e-21</v>
      </c>
      <c r="AT5" s="5">
        <v>8.6639030185258e-21</v>
      </c>
      <c r="AU5" s="5">
        <v>-2.186206300171e-20</v>
      </c>
      <c r="AV5" s="5">
        <v>-1.5035810631286e-20</v>
      </c>
      <c r="AW5" s="5">
        <v>-5.2801793033788e-21</v>
      </c>
      <c r="AX5" s="5">
        <v>5.4433428624803e-20</v>
      </c>
      <c r="AY5" s="5">
        <v>1.0027286157838e-20</v>
      </c>
      <c r="AZ5" s="5">
        <v>-3.9296692405267e-20</v>
      </c>
      <c r="BA5" s="5">
        <v>4.1156315980209e-20</v>
      </c>
      <c r="BB5" s="5">
        <v>-1.3725096975702e-19</v>
      </c>
      <c r="BC5" s="3">
        <v>15999999.919676</v>
      </c>
      <c r="BD5" s="3">
        <v>3999999.978947</v>
      </c>
      <c r="BE5" s="3">
        <v>-0.00010592892755002</v>
      </c>
      <c r="BF5" s="3">
        <v>0.00022208992422102</v>
      </c>
      <c r="BG5" s="5">
        <v>6.31083997333e-5</v>
      </c>
      <c r="BH5" s="3">
        <v>-0.00014209929719954</v>
      </c>
      <c r="BI5" s="3">
        <v>52.892700964606</v>
      </c>
      <c r="BJ5" s="3">
        <v>26.447545132123</v>
      </c>
      <c r="BK5" s="3">
        <v>48.678880176233</v>
      </c>
      <c r="BL5" s="4"/>
      <c r="BM5" s="7"/>
    </row>
    <row r="6" spans="1:65">
      <c r="A6" s="3">
        <v>397.16411736214</v>
      </c>
      <c r="B6" s="5">
        <v>4.5268777075686e-7</v>
      </c>
      <c r="C6" s="6">
        <f t="shared" si="0"/>
        <v>1.7155076576305e-6</v>
      </c>
      <c r="D6" s="5">
        <v>2.2673140234381e-12</v>
      </c>
      <c r="E6" s="5">
        <v>2.7732975639863e-12</v>
      </c>
      <c r="F6" s="5">
        <v>2.7732908378555e-12</v>
      </c>
      <c r="G6" s="5">
        <v>2.7732768418604e-12</v>
      </c>
      <c r="H6" s="5">
        <v>2.2672961376703e-12</v>
      </c>
      <c r="I6" s="5">
        <v>2.2673007577851e-12</v>
      </c>
      <c r="J6" s="5">
        <v>2.2672975278009e-12</v>
      </c>
      <c r="K6" s="5">
        <v>2.3839266052249e-12</v>
      </c>
      <c r="L6" s="5">
        <v>2.3839404922019e-12</v>
      </c>
      <c r="M6" s="5">
        <v>2.3839239764945e-12</v>
      </c>
      <c r="N6" s="5">
        <v>2.5155089511391e-12</v>
      </c>
      <c r="O6" s="5">
        <v>2.2672963409952e-12</v>
      </c>
      <c r="P6" s="5">
        <v>2.5155025627575e-12</v>
      </c>
      <c r="Q6" s="5">
        <v>2.515564397479e-12</v>
      </c>
      <c r="R6" s="5">
        <v>2.7732771531492e-12</v>
      </c>
      <c r="S6" s="5">
        <v>2.7732727757398e-12</v>
      </c>
      <c r="T6" s="5">
        <v>2.7732765735818e-12</v>
      </c>
      <c r="U6" s="5">
        <v>2.2672977850393e-12</v>
      </c>
      <c r="V6" s="5">
        <v>2.3839346841234e-12</v>
      </c>
      <c r="W6" s="5">
        <v>2.3839481825793e-12</v>
      </c>
      <c r="X6" s="5">
        <v>2.3839319462555e-12</v>
      </c>
      <c r="Y6" s="5">
        <v>2.5155084800066e-12</v>
      </c>
      <c r="Z6" s="5">
        <v>2.5155693900106e-12</v>
      </c>
      <c r="AA6" s="5">
        <v>2.5155849653329e-12</v>
      </c>
      <c r="AB6" s="3">
        <v>0.39504736075572</v>
      </c>
      <c r="AC6" s="3">
        <v>0.20893613746248</v>
      </c>
      <c r="AD6" s="3">
        <v>0.00081720484669624</v>
      </c>
      <c r="AE6" s="5">
        <v>-3.505746385051e-11</v>
      </c>
      <c r="AF6" s="5">
        <v>1.9399995167678e-10</v>
      </c>
      <c r="AG6" s="5">
        <v>1.190463070081e-10</v>
      </c>
      <c r="AH6" s="5">
        <v>1.6380065822194e-12</v>
      </c>
      <c r="AI6" s="5">
        <v>-3.3535509706903e-12</v>
      </c>
      <c r="AJ6" s="5">
        <v>3.1109847641147e-11</v>
      </c>
      <c r="AK6" s="5">
        <v>-3.4641475023152e-13</v>
      </c>
      <c r="AL6" s="5">
        <v>2.1276012296887e-11</v>
      </c>
      <c r="AM6" s="5">
        <v>1.4589117022483e-11</v>
      </c>
      <c r="AN6" s="5">
        <v>-9.3339924835421e-12</v>
      </c>
      <c r="AO6" s="5">
        <v>3.4092050382649e-11</v>
      </c>
      <c r="AP6" s="5">
        <v>5.9973175211733e-13</v>
      </c>
      <c r="AQ6" s="5">
        <v>1.0281340304347e-11</v>
      </c>
      <c r="AR6" s="5">
        <v>-2.7912374335838e-10</v>
      </c>
      <c r="AS6" s="5">
        <v>-2.11130306247e-11</v>
      </c>
      <c r="AT6" s="5">
        <v>6.676703757567e-12</v>
      </c>
      <c r="AU6" s="5">
        <v>-2.9374825340209e-11</v>
      </c>
      <c r="AV6" s="5">
        <v>-2.1086003575535e-11</v>
      </c>
      <c r="AW6" s="5">
        <v>-1.8881395115588e-11</v>
      </c>
      <c r="AX6" s="5">
        <v>1.3483862980233e-10</v>
      </c>
      <c r="AY6" s="5">
        <v>2.6686017017005e-11</v>
      </c>
      <c r="AZ6" s="5">
        <v>-7.3384547575956e-11</v>
      </c>
      <c r="BA6" s="5">
        <v>2.1865333324568e-10</v>
      </c>
      <c r="BB6" s="5">
        <v>-5.8196135231429e-10</v>
      </c>
      <c r="BC6" s="3">
        <v>16000199.879753</v>
      </c>
      <c r="BD6" s="3">
        <v>4000043.3845691</v>
      </c>
      <c r="BE6" s="3">
        <v>-0.00040012104194938</v>
      </c>
      <c r="BF6" s="3">
        <v>0.00083529420042475</v>
      </c>
      <c r="BG6" s="3">
        <v>0.0002385651997589</v>
      </c>
      <c r="BH6" s="3">
        <v>-0.0020051850192067</v>
      </c>
      <c r="BI6" s="3">
        <v>199.74982970543</v>
      </c>
      <c r="BJ6" s="3">
        <v>99.891739115247</v>
      </c>
      <c r="BK6" s="3">
        <v>183.78480247178</v>
      </c>
      <c r="BL6" s="4"/>
      <c r="BM6" s="7"/>
    </row>
    <row r="7" spans="1:65">
      <c r="A7" s="3">
        <v>3971.6411736214</v>
      </c>
      <c r="B7" s="5">
        <v>5.7176148508836e-6</v>
      </c>
      <c r="C7" s="6">
        <f t="shared" si="0"/>
        <v>1.2181427497668e-9</v>
      </c>
      <c r="D7" s="5">
        <v>2.2683607844102e-12</v>
      </c>
      <c r="E7" s="5">
        <v>2.7727722735424e-12</v>
      </c>
      <c r="F7" s="5">
        <v>2.77268923878e-12</v>
      </c>
      <c r="G7" s="5">
        <v>2.7724400250047e-12</v>
      </c>
      <c r="H7" s="5">
        <v>2.2680389801676e-12</v>
      </c>
      <c r="I7" s="5">
        <v>2.2681217302453e-12</v>
      </c>
      <c r="J7" s="5">
        <v>2.2680643190901e-12</v>
      </c>
      <c r="K7" s="5">
        <v>2.383225467059e-12</v>
      </c>
      <c r="L7" s="5">
        <v>2.3834636489872e-12</v>
      </c>
      <c r="M7" s="5">
        <v>2.3831783955989e-12</v>
      </c>
      <c r="N7" s="5">
        <v>2.5161782329473e-12</v>
      </c>
      <c r="O7" s="5">
        <v>2.2680425474536e-12</v>
      </c>
      <c r="P7" s="5">
        <v>2.5160804885729e-12</v>
      </c>
      <c r="Q7" s="5">
        <v>2.516871689163e-12</v>
      </c>
      <c r="R7" s="5">
        <v>2.7724398526146e-12</v>
      </c>
      <c r="S7" s="5">
        <v>2.7723655230045e-12</v>
      </c>
      <c r="T7" s="5">
        <v>2.7724346212711e-12</v>
      </c>
      <c r="U7" s="5">
        <v>2.2680700476164e-12</v>
      </c>
      <c r="V7" s="5">
        <v>2.3833628528214e-12</v>
      </c>
      <c r="W7" s="5">
        <v>2.3835867026339e-12</v>
      </c>
      <c r="X7" s="5">
        <v>2.3833239406841e-12</v>
      </c>
      <c r="Y7" s="5">
        <v>2.5161871882679e-12</v>
      </c>
      <c r="Z7" s="5">
        <v>2.5170797167631e-12</v>
      </c>
      <c r="AA7" s="5">
        <v>2.5172061131523e-12</v>
      </c>
      <c r="AB7" s="3">
        <v>0.38883440387488</v>
      </c>
      <c r="AC7" s="3">
        <v>0.20428004125684</v>
      </c>
      <c r="AD7" s="3">
        <v>0.00082238384022698</v>
      </c>
      <c r="AE7" s="5">
        <v>-2.6606405243368e-11</v>
      </c>
      <c r="AF7" s="5">
        <v>1.4926977583891e-10</v>
      </c>
      <c r="AG7" s="5">
        <v>1.0697734409412e-10</v>
      </c>
      <c r="AH7" s="5">
        <v>3.8451949373346e-12</v>
      </c>
      <c r="AI7" s="5">
        <v>-3.3242177083109e-12</v>
      </c>
      <c r="AJ7" s="5">
        <v>2.6859086378413e-11</v>
      </c>
      <c r="AK7" s="5">
        <v>-5.5617226677563e-13</v>
      </c>
      <c r="AL7" s="5">
        <v>1.8533192729375e-11</v>
      </c>
      <c r="AM7" s="5">
        <v>1.2726067302204e-11</v>
      </c>
      <c r="AN7" s="5">
        <v>-7.6193678779418e-12</v>
      </c>
      <c r="AO7" s="5">
        <v>2.2086432527012e-11</v>
      </c>
      <c r="AP7" s="5">
        <v>3.5234404528331e-13</v>
      </c>
      <c r="AQ7" s="5">
        <v>6.023591670229e-12</v>
      </c>
      <c r="AR7" s="5">
        <v>-1.1851535829563e-10</v>
      </c>
      <c r="AS7" s="5">
        <v>-1.4521003174259e-11</v>
      </c>
      <c r="AT7" s="5">
        <v>5.0854930352959e-12</v>
      </c>
      <c r="AU7" s="5">
        <v>-2.6160207150927e-11</v>
      </c>
      <c r="AV7" s="5">
        <v>-2.1103861434448e-11</v>
      </c>
      <c r="AW7" s="5">
        <v>-1.4312221762419e-11</v>
      </c>
      <c r="AX7" s="5">
        <v>1.0544749798741e-10</v>
      </c>
      <c r="AY7" s="5">
        <v>2.3749058418169e-11</v>
      </c>
      <c r="AZ7" s="5">
        <v>-6.3195551328715e-11</v>
      </c>
      <c r="BA7" s="5">
        <v>1.2018471749456e-10</v>
      </c>
      <c r="BB7" s="5">
        <v>-3.0445421667426e-10</v>
      </c>
      <c r="BC7" s="3">
        <v>16002481.384957</v>
      </c>
      <c r="BD7" s="3">
        <v>4000553.7362198</v>
      </c>
      <c r="BE7" s="3">
        <v>-0.00040437399736883</v>
      </c>
      <c r="BF7" s="3">
        <v>0.00083964842373504</v>
      </c>
      <c r="BG7" s="3">
        <v>0.00023867239775542</v>
      </c>
      <c r="BH7" s="3">
        <v>-0.0021745863826281</v>
      </c>
      <c r="BI7" s="3">
        <v>199.74959768718</v>
      </c>
      <c r="BJ7" s="3">
        <v>99.891678830904</v>
      </c>
      <c r="BK7" s="3">
        <v>183.80809608256</v>
      </c>
      <c r="BL7" s="4"/>
      <c r="BM7" s="7"/>
    </row>
    <row r="8" spans="1:65">
      <c r="A8" s="3">
        <v>39716.411736214</v>
      </c>
      <c r="B8" s="5">
        <v>3.5374998356745e-5</v>
      </c>
      <c r="C8" s="6">
        <f t="shared" si="0"/>
        <v>6.81717661445316e-10</v>
      </c>
      <c r="D8" s="5">
        <v>2.2728119049557e-12</v>
      </c>
      <c r="E8" s="5">
        <v>2.7724154354207e-12</v>
      </c>
      <c r="F8" s="5">
        <v>2.772120379038e-12</v>
      </c>
      <c r="G8" s="5">
        <v>2.7704760396104e-12</v>
      </c>
      <c r="H8" s="5">
        <v>2.2703096470908e-12</v>
      </c>
      <c r="I8" s="5">
        <v>2.2709512133171e-12</v>
      </c>
      <c r="J8" s="5">
        <v>2.270523312595e-12</v>
      </c>
      <c r="K8" s="5">
        <v>2.3819535212616e-12</v>
      </c>
      <c r="L8" s="5">
        <v>2.383509490489e-12</v>
      </c>
      <c r="M8" s="5">
        <v>2.3815302067293e-12</v>
      </c>
      <c r="N8" s="5">
        <v>2.5178142249349e-12</v>
      </c>
      <c r="O8" s="5">
        <v>2.2703342069615e-12</v>
      </c>
      <c r="P8" s="5">
        <v>2.5172398234034e-12</v>
      </c>
      <c r="Q8" s="5">
        <v>2.5211957634796e-12</v>
      </c>
      <c r="R8" s="5">
        <v>2.7702593538589e-12</v>
      </c>
      <c r="S8" s="5">
        <v>2.7697295659216e-12</v>
      </c>
      <c r="T8" s="5">
        <v>2.7702711585618e-12</v>
      </c>
      <c r="U8" s="5">
        <v>2.2706228524662e-12</v>
      </c>
      <c r="V8" s="5">
        <v>2.3828357975848e-12</v>
      </c>
      <c r="W8" s="5">
        <v>2.3843517706906e-12</v>
      </c>
      <c r="X8" s="5">
        <v>2.3827403569657e-12</v>
      </c>
      <c r="Y8" s="5">
        <v>2.5180515403365e-12</v>
      </c>
      <c r="Z8" s="5">
        <v>2.5224823827691e-12</v>
      </c>
      <c r="AA8" s="5">
        <v>2.5236763102783e-12</v>
      </c>
      <c r="AB8" s="3">
        <v>0.36528927467812</v>
      </c>
      <c r="AC8" s="3">
        <v>0.18237294182823</v>
      </c>
      <c r="AD8" s="3">
        <v>0.00085062359246217</v>
      </c>
      <c r="AE8" s="5">
        <v>-4.5179108482401e-12</v>
      </c>
      <c r="AF8" s="5">
        <v>7.2319498893295e-11</v>
      </c>
      <c r="AG8" s="5">
        <v>5.8862500272573e-11</v>
      </c>
      <c r="AH8" s="5">
        <v>1.0031434346318e-11</v>
      </c>
      <c r="AI8" s="5">
        <v>-2.4918870251275e-12</v>
      </c>
      <c r="AJ8" s="5">
        <v>1.3747072172791e-11</v>
      </c>
      <c r="AK8" s="5">
        <v>-4.5348993561247e-13</v>
      </c>
      <c r="AL8" s="5">
        <v>1.2610560938115e-11</v>
      </c>
      <c r="AM8" s="5">
        <v>6.8074365586878e-12</v>
      </c>
      <c r="AN8" s="5">
        <v>-2.3431410183493e-12</v>
      </c>
      <c r="AO8" s="5">
        <v>7.0528510178218e-12</v>
      </c>
      <c r="AP8" s="5">
        <v>-9.1935645424091e-13</v>
      </c>
      <c r="AQ8" s="5">
        <v>3.2777603115718e-12</v>
      </c>
      <c r="AR8" s="5">
        <v>-4.7043165905042e-11</v>
      </c>
      <c r="AS8" s="5">
        <v>-4.2250786845693e-12</v>
      </c>
      <c r="AT8" s="5">
        <v>2.035532352961e-12</v>
      </c>
      <c r="AU8" s="5">
        <v>-1.3125975201516e-11</v>
      </c>
      <c r="AV8" s="5">
        <v>-1.8888784899174e-11</v>
      </c>
      <c r="AW8" s="5">
        <v>-4.2725293173481e-12</v>
      </c>
      <c r="AX8" s="5">
        <v>6.1413383621335e-11</v>
      </c>
      <c r="AY8" s="5">
        <v>1.5157581801255e-11</v>
      </c>
      <c r="AZ8" s="5">
        <v>-3.5483807720431e-11</v>
      </c>
      <c r="BA8" s="5">
        <v>3.1471095559149e-11</v>
      </c>
      <c r="BB8" s="5">
        <v>-1.2014818290134e-10</v>
      </c>
      <c r="BC8" s="3">
        <v>16014355.014959</v>
      </c>
      <c r="BD8" s="3">
        <v>4003391.9712242</v>
      </c>
      <c r="BE8" s="3">
        <v>-0.00042750123691219</v>
      </c>
      <c r="BF8" s="3">
        <v>0.00086401626513187</v>
      </c>
      <c r="BG8" s="3">
        <v>0.00023953616973235</v>
      </c>
      <c r="BH8" s="3">
        <v>-0.0028107797816417</v>
      </c>
      <c r="BI8" s="3">
        <v>199.74796353489</v>
      </c>
      <c r="BJ8" s="3">
        <v>99.891496026672</v>
      </c>
      <c r="BK8" s="3">
        <v>183.96751032828</v>
      </c>
      <c r="BL8" s="4"/>
      <c r="BM8" s="7"/>
    </row>
    <row r="9" spans="1:65">
      <c r="A9" s="3">
        <v>397164.11736214</v>
      </c>
      <c r="B9" s="3">
        <v>0.00016867572893532</v>
      </c>
      <c r="C9" s="6">
        <f t="shared" si="0"/>
        <v>3.09223711579485e-10</v>
      </c>
      <c r="D9" s="5">
        <v>2.2904849956692e-12</v>
      </c>
      <c r="E9" s="5">
        <v>2.7787188542045e-12</v>
      </c>
      <c r="F9" s="5">
        <v>2.7779043810561e-12</v>
      </c>
      <c r="G9" s="5">
        <v>2.7740280186969e-12</v>
      </c>
      <c r="H9" s="5">
        <v>2.2788987662957e-12</v>
      </c>
      <c r="I9" s="5">
        <v>2.2817813358558e-12</v>
      </c>
      <c r="J9" s="5">
        <v>2.2796393693723e-12</v>
      </c>
      <c r="K9" s="5">
        <v>2.3864020637196e-12</v>
      </c>
      <c r="L9" s="5">
        <v>2.3936440611966e-12</v>
      </c>
      <c r="M9" s="5">
        <v>2.3836150142618e-12</v>
      </c>
      <c r="N9" s="5">
        <v>2.5225133392556e-12</v>
      </c>
      <c r="O9" s="5">
        <v>2.2788827911088e-12</v>
      </c>
      <c r="P9" s="5">
        <v>2.5189611614841e-12</v>
      </c>
      <c r="Q9" s="5">
        <v>2.5332717208342e-12</v>
      </c>
      <c r="R9" s="5">
        <v>2.7703059703841e-12</v>
      </c>
      <c r="S9" s="5">
        <v>2.7678545792474e-12</v>
      </c>
      <c r="T9" s="5">
        <v>2.7707901238511e-12</v>
      </c>
      <c r="U9" s="5">
        <v>2.2811919296793e-12</v>
      </c>
      <c r="V9" s="5">
        <v>2.3900732394895e-12</v>
      </c>
      <c r="W9" s="5">
        <v>2.3982691259828e-12</v>
      </c>
      <c r="X9" s="5">
        <v>2.3907917050329e-12</v>
      </c>
      <c r="Y9" s="5">
        <v>2.5235205866119e-12</v>
      </c>
      <c r="Z9" s="5">
        <v>2.5386160602509e-12</v>
      </c>
      <c r="AA9" s="5">
        <v>2.5449808977884e-12</v>
      </c>
      <c r="AB9" s="3">
        <v>0.36279436846762</v>
      </c>
      <c r="AC9" s="3">
        <v>0.1406276979369</v>
      </c>
      <c r="AD9" s="3">
        <v>0.00097400494394652</v>
      </c>
      <c r="AE9" s="5">
        <v>2.3382704818806e-13</v>
      </c>
      <c r="AF9" s="5">
        <v>2.0730374304865e-11</v>
      </c>
      <c r="AG9" s="5">
        <v>1.9060744769191e-11</v>
      </c>
      <c r="AH9" s="5">
        <v>1.1171522335602e-11</v>
      </c>
      <c r="AI9" s="5">
        <v>-2.1222122630538e-13</v>
      </c>
      <c r="AJ9" s="5">
        <v>3.8208452660035e-12</v>
      </c>
      <c r="AK9" s="5">
        <v>9.7849094165811e-13</v>
      </c>
      <c r="AL9" s="5">
        <v>4.3803011874254e-12</v>
      </c>
      <c r="AM9" s="5">
        <v>1.1306759336978e-12</v>
      </c>
      <c r="AN9" s="5">
        <v>-9.3113498766841e-13</v>
      </c>
      <c r="AO9" s="5">
        <v>1.6202085665715e-12</v>
      </c>
      <c r="AP9" s="5">
        <v>-3.834633925779e-12</v>
      </c>
      <c r="AQ9" s="5">
        <v>2.2786206952304e-12</v>
      </c>
      <c r="AR9" s="5">
        <v>-1.458713353969e-11</v>
      </c>
      <c r="AS9" s="5">
        <v>1.4908440368891e-12</v>
      </c>
      <c r="AT9" s="5">
        <v>3.2468622956863e-13</v>
      </c>
      <c r="AU9" s="5">
        <v>-1.5986626682209e-12</v>
      </c>
      <c r="AV9" s="5">
        <v>-1.1488279453178e-11</v>
      </c>
      <c r="AW9" s="5">
        <v>-4.0724341862111e-12</v>
      </c>
      <c r="AX9" s="5">
        <v>2.4422067504988e-11</v>
      </c>
      <c r="AY9" s="5">
        <v>9.0779599362156e-12</v>
      </c>
      <c r="AZ9" s="5">
        <v>-1.6949604364333e-11</v>
      </c>
      <c r="BA9" s="5">
        <v>4.0211292636193e-12</v>
      </c>
      <c r="BB9" s="5">
        <v>-3.6418415190172e-11</v>
      </c>
      <c r="BC9" s="3">
        <v>16059218.533371</v>
      </c>
      <c r="BD9" s="3">
        <v>4015313.0751657</v>
      </c>
      <c r="BE9" s="3">
        <v>-0.00052537467124513</v>
      </c>
      <c r="BF9" s="3">
        <v>0.00097454757136109</v>
      </c>
      <c r="BG9" s="3">
        <v>0.000248159429073</v>
      </c>
      <c r="BH9" s="3">
        <v>-0.0049884339726797</v>
      </c>
      <c r="BI9" s="3">
        <v>199.74528897566</v>
      </c>
      <c r="BJ9" s="3">
        <v>99.891966049246</v>
      </c>
      <c r="BK9" s="3">
        <v>184.63053494518</v>
      </c>
      <c r="BL9" s="4"/>
      <c r="BM9" s="7"/>
    </row>
    <row r="10" spans="1:65">
      <c r="A10" s="3">
        <v>44562.546906687</v>
      </c>
      <c r="B10" s="5">
        <v>3.8289098792647e-5</v>
      </c>
      <c r="C10" s="6">
        <f t="shared" si="0"/>
        <v>3.06694056944543e-10</v>
      </c>
      <c r="D10" s="5">
        <v>2.2741852876345e-12</v>
      </c>
      <c r="E10" s="5">
        <v>2.7725257699703e-12</v>
      </c>
      <c r="F10" s="5">
        <v>2.772165017024e-12</v>
      </c>
      <c r="G10" s="5">
        <v>2.7701752427174e-12</v>
      </c>
      <c r="H10" s="5">
        <v>2.2709732366424e-12</v>
      </c>
      <c r="I10" s="5">
        <v>2.2717980384778e-12</v>
      </c>
      <c r="J10" s="5">
        <v>2.2712515493631e-12</v>
      </c>
      <c r="K10" s="5">
        <v>2.3819660845087e-12</v>
      </c>
      <c r="L10" s="5">
        <v>2.3839205157657e-12</v>
      </c>
      <c r="M10" s="5">
        <v>2.3813985977503e-12</v>
      </c>
      <c r="N10" s="5">
        <v>2.5181611257559e-12</v>
      </c>
      <c r="O10" s="5">
        <v>2.2710027478334e-12</v>
      </c>
      <c r="P10" s="5">
        <v>2.5174302870184e-12</v>
      </c>
      <c r="Q10" s="5">
        <v>2.5222584055538e-12</v>
      </c>
      <c r="R10" s="5">
        <v>2.7698181056542e-12</v>
      </c>
      <c r="S10" s="5">
        <v>2.7691427137339e-12</v>
      </c>
      <c r="T10" s="5">
        <v>2.7698391300278e-12</v>
      </c>
      <c r="U10" s="5">
        <v>2.2714025208967e-12</v>
      </c>
      <c r="V10" s="5">
        <v>2.3830645435206e-12</v>
      </c>
      <c r="W10" s="5">
        <v>2.3850135278888e-12</v>
      </c>
      <c r="X10" s="5">
        <v>2.3829838890128e-12</v>
      </c>
      <c r="Y10" s="5">
        <v>2.5184756332492e-12</v>
      </c>
      <c r="Z10" s="5">
        <v>2.5238355570623e-12</v>
      </c>
      <c r="AA10" s="5">
        <v>2.525441666656e-12</v>
      </c>
      <c r="AB10" s="3">
        <v>0.36109246631521</v>
      </c>
      <c r="AC10" s="3">
        <v>0.1769398292731</v>
      </c>
      <c r="AD10" s="3">
        <v>0.0008533443537249</v>
      </c>
      <c r="AE10" s="5">
        <v>-3.0298902035027e-12</v>
      </c>
      <c r="AF10" s="5">
        <v>6.2065668665373e-11</v>
      </c>
      <c r="AG10" s="5">
        <v>5.1199942362771e-11</v>
      </c>
      <c r="AH10" s="5">
        <v>1.0965147965323e-11</v>
      </c>
      <c r="AI10" s="5">
        <v>-2.2495303795593e-12</v>
      </c>
      <c r="AJ10" s="5">
        <v>1.200428475249e-11</v>
      </c>
      <c r="AK10" s="5">
        <v>-4.0367966331505e-13</v>
      </c>
      <c r="AL10" s="5">
        <v>1.1547020025247e-11</v>
      </c>
      <c r="AM10" s="5">
        <v>5.5354282211603e-12</v>
      </c>
      <c r="AN10" s="5">
        <v>-1.8423630126237e-12</v>
      </c>
      <c r="AO10" s="5">
        <v>5.8143575915016e-12</v>
      </c>
      <c r="AP10" s="5">
        <v>-1.269828493733e-12</v>
      </c>
      <c r="AQ10" s="5">
        <v>3.1413325401635e-12</v>
      </c>
      <c r="AR10" s="5">
        <v>-4.0954326989629e-11</v>
      </c>
      <c r="AS10" s="5">
        <v>-2.9385471843475e-12</v>
      </c>
      <c r="AT10" s="5">
        <v>1.619920673581e-12</v>
      </c>
      <c r="AU10" s="5">
        <v>-1.0919242864944e-11</v>
      </c>
      <c r="AV10" s="5">
        <v>-1.8143104074867e-11</v>
      </c>
      <c r="AW10" s="5">
        <v>-3.4899158335544e-12</v>
      </c>
      <c r="AX10" s="5">
        <v>5.5860599083191e-11</v>
      </c>
      <c r="AY10" s="5">
        <v>1.3785455612353e-11</v>
      </c>
      <c r="AZ10" s="5">
        <v>-3.1886974338096e-11</v>
      </c>
      <c r="BA10" s="5">
        <v>2.5075570878277e-11</v>
      </c>
      <c r="BB10" s="5">
        <v>-1.0277765943193e-10</v>
      </c>
      <c r="BC10" s="3">
        <v>16015451.534707</v>
      </c>
      <c r="BD10" s="3">
        <v>4003665.6541753</v>
      </c>
      <c r="BE10" s="3">
        <v>-0.00042971393270272</v>
      </c>
      <c r="BF10" s="3">
        <v>0.00086640676523309</v>
      </c>
      <c r="BG10" s="3">
        <v>0.00023964550733229</v>
      </c>
      <c r="BH10" s="3">
        <v>-0.002311404590628</v>
      </c>
      <c r="BI10" s="3">
        <v>199.74778866374</v>
      </c>
      <c r="BJ10" s="3">
        <v>99.891809771935</v>
      </c>
      <c r="BK10" s="3">
        <v>183.98262101704</v>
      </c>
      <c r="BL10" s="4"/>
      <c r="BM10" s="7"/>
    </row>
    <row r="11" spans="1:65">
      <c r="A11" s="3">
        <v>50000</v>
      </c>
      <c r="B11" s="5">
        <v>4.1436181715565e-5</v>
      </c>
      <c r="C11" s="6">
        <f t="shared" si="0"/>
        <v>4.75013359686061e-10</v>
      </c>
      <c r="D11" s="5">
        <v>2.2746990289404e-12</v>
      </c>
      <c r="E11" s="5">
        <v>2.7726049965601e-12</v>
      </c>
      <c r="F11" s="5">
        <v>2.77221959816e-12</v>
      </c>
      <c r="G11" s="5">
        <v>2.7701119620149e-12</v>
      </c>
      <c r="H11" s="5">
        <v>2.271214526535e-12</v>
      </c>
      <c r="I11" s="5">
        <v>2.2721094944719e-12</v>
      </c>
      <c r="J11" s="5">
        <v>2.2715174402826e-12</v>
      </c>
      <c r="K11" s="5">
        <v>2.3820041478688e-12</v>
      </c>
      <c r="L11" s="5">
        <v>2.3841122541741e-12</v>
      </c>
      <c r="M11" s="5">
        <v>2.3813781942011e-12</v>
      </c>
      <c r="N11" s="5">
        <v>2.5182994068135e-12</v>
      </c>
      <c r="O11" s="5">
        <v>2.2712454415967e-12</v>
      </c>
      <c r="P11" s="5">
        <v>2.5175050675054e-12</v>
      </c>
      <c r="Q11" s="5">
        <v>2.5226597159133e-12</v>
      </c>
      <c r="R11" s="5">
        <v>2.7696902989885e-12</v>
      </c>
      <c r="S11" s="5">
        <v>2.7689590343411e-12</v>
      </c>
      <c r="T11" s="5">
        <v>2.7697158876664e-12</v>
      </c>
      <c r="U11" s="5">
        <v>2.2716919416854e-12</v>
      </c>
      <c r="V11" s="5">
        <v>2.3831839846265e-12</v>
      </c>
      <c r="W11" s="5">
        <v>2.385305750739e-12</v>
      </c>
      <c r="X11" s="5">
        <v>2.3831128924716e-12</v>
      </c>
      <c r="Y11" s="5">
        <v>2.5186423350053e-12</v>
      </c>
      <c r="Z11" s="5">
        <v>2.5243465964043e-12</v>
      </c>
      <c r="AA11" s="5">
        <v>2.5261137173047e-12</v>
      </c>
      <c r="AB11" s="3">
        <v>0.35982469597124</v>
      </c>
      <c r="AC11" s="3">
        <v>0.17500933256536</v>
      </c>
      <c r="AD11" s="3">
        <v>0.00085628135359511</v>
      </c>
      <c r="AE11" s="5">
        <v>-2.6986345970769e-12</v>
      </c>
      <c r="AF11" s="5">
        <v>5.8817902889698e-11</v>
      </c>
      <c r="AG11" s="5">
        <v>4.8789340678224e-11</v>
      </c>
      <c r="AH11" s="5">
        <v>1.1218640276513e-11</v>
      </c>
      <c r="AI11" s="5">
        <v>-2.162151429244e-12</v>
      </c>
      <c r="AJ11" s="5">
        <v>1.145549291362e-11</v>
      </c>
      <c r="AK11" s="5">
        <v>-3.7422444350129e-13</v>
      </c>
      <c r="AL11" s="5">
        <v>1.1176782204446e-11</v>
      </c>
      <c r="AM11" s="5">
        <v>5.1311015215413e-12</v>
      </c>
      <c r="AN11" s="5">
        <v>-1.7116578224818e-12</v>
      </c>
      <c r="AO11" s="5">
        <v>5.4656171510261e-12</v>
      </c>
      <c r="AP11" s="5">
        <v>-1.395534087788e-12</v>
      </c>
      <c r="AQ11" s="5">
        <v>3.1041615566222e-12</v>
      </c>
      <c r="AR11" s="5">
        <v>-3.9037729008808e-11</v>
      </c>
      <c r="AS11" s="5">
        <v>-2.5331680070644e-12</v>
      </c>
      <c r="AT11" s="5">
        <v>1.4958439700911e-12</v>
      </c>
      <c r="AU11" s="5">
        <v>-1.0214359747399e-11</v>
      </c>
      <c r="AV11" s="5">
        <v>-1.7857733613011e-11</v>
      </c>
      <c r="AW11" s="5">
        <v>-3.3160341619936e-12</v>
      </c>
      <c r="AX11" s="5">
        <v>5.4031988396083e-11</v>
      </c>
      <c r="AY11" s="5">
        <v>1.3366061796119e-11</v>
      </c>
      <c r="AZ11" s="5">
        <v>-3.0786155708973e-11</v>
      </c>
      <c r="BA11" s="5">
        <v>2.3210259369642e-11</v>
      </c>
      <c r="BB11" s="5">
        <v>-9.7555107480084e-11</v>
      </c>
      <c r="BC11" s="3">
        <v>16016626.135247</v>
      </c>
      <c r="BD11" s="3">
        <v>4003960.3034145</v>
      </c>
      <c r="BE11" s="3">
        <v>-0.00043210126547943</v>
      </c>
      <c r="BF11" s="3">
        <v>0.00086898962809508</v>
      </c>
      <c r="BG11" s="3">
        <v>0.00023977185307899</v>
      </c>
      <c r="BH11" s="3">
        <v>-0.0023323936507966</v>
      </c>
      <c r="BI11" s="3">
        <v>199.74763999956</v>
      </c>
      <c r="BJ11" s="3">
        <v>99.891815817583</v>
      </c>
      <c r="BK11" s="3">
        <v>183.99939570256</v>
      </c>
      <c r="BL11" s="4"/>
      <c r="BM11" s="7"/>
    </row>
    <row r="12" spans="1:65">
      <c r="A12" s="3">
        <v>56100.922715098</v>
      </c>
      <c r="B12" s="5">
        <v>4.4833228460144e-5</v>
      </c>
      <c r="C12" s="6">
        <f t="shared" si="0"/>
        <v>4.5703405667305e-10</v>
      </c>
      <c r="D12" s="5">
        <v>2.2752505562773e-12</v>
      </c>
      <c r="E12" s="5">
        <v>2.772696977059e-12</v>
      </c>
      <c r="F12" s="5">
        <v>2.7722858703617e-12</v>
      </c>
      <c r="G12" s="5">
        <v>2.7700578977494e-12</v>
      </c>
      <c r="H12" s="5">
        <v>2.2714738952625e-12</v>
      </c>
      <c r="I12" s="5">
        <v>2.2724438665338e-12</v>
      </c>
      <c r="J12" s="5">
        <v>2.2718029272564e-12</v>
      </c>
      <c r="K12" s="5">
        <v>2.382132622803e-12</v>
      </c>
      <c r="L12" s="5">
        <v>2.3844063950165e-12</v>
      </c>
      <c r="M12" s="5">
        <v>2.3814426199687e-12</v>
      </c>
      <c r="N12" s="5">
        <v>2.5184460625556e-12</v>
      </c>
      <c r="O12" s="5">
        <v>2.2715060562491e-12</v>
      </c>
      <c r="P12" s="5">
        <v>2.5175817842507e-12</v>
      </c>
      <c r="Q12" s="5">
        <v>2.5230838213423e-12</v>
      </c>
      <c r="R12" s="5">
        <v>2.7695625649577e-12</v>
      </c>
      <c r="S12" s="5">
        <v>2.7687713862726e-12</v>
      </c>
      <c r="T12" s="5">
        <v>2.7695936670848e-12</v>
      </c>
      <c r="U12" s="5">
        <v>2.2720043598083e-12</v>
      </c>
      <c r="V12" s="5">
        <v>2.3833991961636e-12</v>
      </c>
      <c r="W12" s="5">
        <v>2.3857093493949e-12</v>
      </c>
      <c r="X12" s="5">
        <v>2.3833400632227e-12</v>
      </c>
      <c r="Y12" s="5">
        <v>2.51881894124e-12</v>
      </c>
      <c r="Z12" s="5">
        <v>2.5248882213923e-12</v>
      </c>
      <c r="AA12" s="5">
        <v>2.5268287025113e-12</v>
      </c>
      <c r="AB12" s="3">
        <v>0.35861834418835</v>
      </c>
      <c r="AC12" s="3">
        <v>0.1730142230494</v>
      </c>
      <c r="AD12" s="3">
        <v>0.0008594466543894</v>
      </c>
      <c r="AE12" s="5">
        <v>-2.4164233105176e-12</v>
      </c>
      <c r="AF12" s="5">
        <v>5.5632901446303e-11</v>
      </c>
      <c r="AG12" s="5">
        <v>4.6434723316316e-11</v>
      </c>
      <c r="AH12" s="5">
        <v>1.144534529213e-11</v>
      </c>
      <c r="AI12" s="5">
        <v>-2.0714692832279e-12</v>
      </c>
      <c r="AJ12" s="5">
        <v>1.0916145420988e-11</v>
      </c>
      <c r="AK12" s="5">
        <v>-3.3797207305503e-13</v>
      </c>
      <c r="AL12" s="5">
        <v>1.0798426002843e-11</v>
      </c>
      <c r="AM12" s="5">
        <v>4.7400976699346e-12</v>
      </c>
      <c r="AN12" s="5">
        <v>-1.5941725079612e-12</v>
      </c>
      <c r="AO12" s="5">
        <v>5.139294274137e-12</v>
      </c>
      <c r="AP12" s="5">
        <v>-1.5260610754332e-12</v>
      </c>
      <c r="AQ12" s="5">
        <v>3.0696161415304e-12</v>
      </c>
      <c r="AR12" s="5">
        <v>-3.715385271307e-11</v>
      </c>
      <c r="AS12" s="5">
        <v>-2.136573225831e-12</v>
      </c>
      <c r="AT12" s="5">
        <v>1.3772272995277e-12</v>
      </c>
      <c r="AU12" s="5">
        <v>-9.5218617147e-12</v>
      </c>
      <c r="AV12" s="5">
        <v>-1.7559418345604e-11</v>
      </c>
      <c r="AW12" s="5">
        <v>-3.1756945135053e-12</v>
      </c>
      <c r="AX12" s="5">
        <v>5.2199393690459e-11</v>
      </c>
      <c r="AY12" s="5">
        <v>1.2962664286335e-11</v>
      </c>
      <c r="AZ12" s="5">
        <v>-2.971616630631e-11</v>
      </c>
      <c r="BA12" s="5">
        <v>2.1438823820433e-11</v>
      </c>
      <c r="BB12" s="5">
        <v>-9.2511251288049e-11</v>
      </c>
      <c r="BC12" s="3">
        <v>16017883.382758</v>
      </c>
      <c r="BD12" s="3">
        <v>4004277.3093464</v>
      </c>
      <c r="BE12" s="3">
        <v>-0.00043467070385992</v>
      </c>
      <c r="BF12" s="3">
        <v>0.00087177795755301</v>
      </c>
      <c r="BG12" s="3">
        <v>0.00023991429424561</v>
      </c>
      <c r="BH12" s="3">
        <v>-0.0023546351015745</v>
      </c>
      <c r="BI12" s="3">
        <v>199.74748247511</v>
      </c>
      <c r="BJ12" s="3">
        <v>99.891822292215</v>
      </c>
      <c r="BK12" s="3">
        <v>184.01741594284</v>
      </c>
      <c r="BL12" s="4"/>
      <c r="BM12" s="7"/>
    </row>
    <row r="13" spans="1:65">
      <c r="A13" s="3">
        <v>62946.270589709</v>
      </c>
      <c r="B13" s="5">
        <v>4.8498453206535e-5</v>
      </c>
      <c r="C13" s="6">
        <f t="shared" si="0"/>
        <v>4.39570535203948e-10</v>
      </c>
      <c r="D13" s="5">
        <v>2.2758444534796e-12</v>
      </c>
      <c r="E13" s="5">
        <v>2.7728038291732e-12</v>
      </c>
      <c r="F13" s="5">
        <v>2.7723661842783e-12</v>
      </c>
      <c r="G13" s="5">
        <v>2.7700159380742e-12</v>
      </c>
      <c r="H13" s="5">
        <v>2.2717549587589e-12</v>
      </c>
      <c r="I13" s="5">
        <v>2.2728049109759e-12</v>
      </c>
      <c r="J13" s="5">
        <v>2.2721115591684e-12</v>
      </c>
      <c r="K13" s="5">
        <v>2.3822869273398e-12</v>
      </c>
      <c r="L13" s="5">
        <v>2.3847393047901e-12</v>
      </c>
      <c r="M13" s="5">
        <v>2.381526820362e-12</v>
      </c>
      <c r="N13" s="5">
        <v>2.5186001086144e-12</v>
      </c>
      <c r="O13" s="5">
        <v>2.271788146005e-12</v>
      </c>
      <c r="P13" s="5">
        <v>2.5176586965167e-12</v>
      </c>
      <c r="Q13" s="5">
        <v>2.5235299272769e-12</v>
      </c>
      <c r="R13" s="5">
        <v>2.7694367601007e-12</v>
      </c>
      <c r="S13" s="5">
        <v>2.7685813938709e-12</v>
      </c>
      <c r="T13" s="5">
        <v>2.7694745301176e-12</v>
      </c>
      <c r="U13" s="5">
        <v>2.2723438044819e-12</v>
      </c>
      <c r="V13" s="5">
        <v>2.383645905008e-12</v>
      </c>
      <c r="W13" s="5">
        <v>2.386161343102e-12</v>
      </c>
      <c r="X13" s="5">
        <v>2.3836014884641e-12</v>
      </c>
      <c r="Y13" s="5">
        <v>2.519004439425e-12</v>
      </c>
      <c r="Z13" s="5">
        <v>2.5254603224517e-12</v>
      </c>
      <c r="AA13" s="5">
        <v>2.5275869531798e-12</v>
      </c>
      <c r="AB13" s="3">
        <v>0.3574920285135</v>
      </c>
      <c r="AC13" s="3">
        <v>0.17095987804164</v>
      </c>
      <c r="AD13" s="3">
        <v>0.00086285667784186</v>
      </c>
      <c r="AE13" s="5">
        <v>-2.177571616316e-12</v>
      </c>
      <c r="AF13" s="5">
        <v>5.252389384263e-11</v>
      </c>
      <c r="AG13" s="5">
        <v>4.4142210770149e-11</v>
      </c>
      <c r="AH13" s="5">
        <v>1.1642030214174e-11</v>
      </c>
      <c r="AI13" s="5">
        <v>-1.9773720204231e-12</v>
      </c>
      <c r="AJ13" s="5">
        <v>1.0386514878577e-11</v>
      </c>
      <c r="AK13" s="5">
        <v>-2.9434195195773e-13</v>
      </c>
      <c r="AL13" s="5">
        <v>1.0411813452061e-11</v>
      </c>
      <c r="AM13" s="5">
        <v>4.3643103711277e-12</v>
      </c>
      <c r="AN13" s="5">
        <v>-1.4897975729326e-12</v>
      </c>
      <c r="AO13" s="5">
        <v>4.8348194164895e-12</v>
      </c>
      <c r="AP13" s="5">
        <v>-1.6609720995811e-12</v>
      </c>
      <c r="AQ13" s="5">
        <v>3.0369291487929e-12</v>
      </c>
      <c r="AR13" s="5">
        <v>-3.5305687099532e-11</v>
      </c>
      <c r="AS13" s="5">
        <v>-1.7511770422861e-12</v>
      </c>
      <c r="AT13" s="5">
        <v>1.2646939465175e-12</v>
      </c>
      <c r="AU13" s="5">
        <v>-8.844320233782e-12</v>
      </c>
      <c r="AV13" s="5">
        <v>-1.7248273757074e-11</v>
      </c>
      <c r="AW13" s="5">
        <v>-3.0689379237557e-12</v>
      </c>
      <c r="AX13" s="5">
        <v>5.0364536711984e-11</v>
      </c>
      <c r="AY13" s="5">
        <v>1.2578507466887e-11</v>
      </c>
      <c r="AZ13" s="5">
        <v>-2.8677942643945e-11</v>
      </c>
      <c r="BA13" s="5">
        <v>1.9761227717977e-11</v>
      </c>
      <c r="BB13" s="5">
        <v>-8.7650053813546e-11</v>
      </c>
      <c r="BC13" s="3">
        <v>16019228.078897</v>
      </c>
      <c r="BD13" s="3">
        <v>4004618.1477649</v>
      </c>
      <c r="BE13" s="3">
        <v>-0.00043743474544237</v>
      </c>
      <c r="BF13" s="3">
        <v>0.00087478697078191</v>
      </c>
      <c r="BG13" s="3">
        <v>0.00024007494904677</v>
      </c>
      <c r="BH13" s="3">
        <v>-0.0023781738879139</v>
      </c>
      <c r="BI13" s="3">
        <v>199.74731588825</v>
      </c>
      <c r="BJ13" s="3">
        <v>99.891829193728</v>
      </c>
      <c r="BK13" s="3">
        <v>184.03674957039</v>
      </c>
      <c r="BL13" s="4"/>
      <c r="BM13" s="7"/>
    </row>
    <row r="14" spans="1:65">
      <c r="A14" s="3">
        <v>70626.877231138</v>
      </c>
      <c r="B14" s="5">
        <v>5.2451455006516e-5</v>
      </c>
      <c r="C14" s="6">
        <f t="shared" si="0"/>
        <v>4.2264435846386e-10</v>
      </c>
      <c r="D14" s="5">
        <v>2.2764773309926e-12</v>
      </c>
      <c r="E14" s="5">
        <v>2.7729291035994e-12</v>
      </c>
      <c r="F14" s="5">
        <v>2.7724643584365e-12</v>
      </c>
      <c r="G14" s="5">
        <v>2.769990503556e-12</v>
      </c>
      <c r="H14" s="5">
        <v>2.2720533402656e-12</v>
      </c>
      <c r="I14" s="5">
        <v>2.2731883770468e-12</v>
      </c>
      <c r="J14" s="5">
        <v>2.2724388484269e-12</v>
      </c>
      <c r="K14" s="5">
        <v>2.3824600428109e-12</v>
      </c>
      <c r="L14" s="5">
        <v>2.3851050464898e-12</v>
      </c>
      <c r="M14" s="5">
        <v>2.3816232660916e-12</v>
      </c>
      <c r="N14" s="5">
        <v>2.5187617156989e-12</v>
      </c>
      <c r="O14" s="5">
        <v>2.2720872646507e-12</v>
      </c>
      <c r="P14" s="5">
        <v>2.5177351251806e-12</v>
      </c>
      <c r="Q14" s="5">
        <v>2.5239983197059e-12</v>
      </c>
      <c r="R14" s="5">
        <v>2.769316198341e-12</v>
      </c>
      <c r="S14" s="5">
        <v>2.7683921214396e-12</v>
      </c>
      <c r="T14" s="5">
        <v>2.7693620303556e-12</v>
      </c>
      <c r="U14" s="5">
        <v>2.272706331053e-12</v>
      </c>
      <c r="V14" s="5">
        <v>2.3839174367652e-12</v>
      </c>
      <c r="W14" s="5">
        <v>2.3866565198702e-12</v>
      </c>
      <c r="X14" s="5">
        <v>2.3838908794185e-12</v>
      </c>
      <c r="Y14" s="5">
        <v>2.5191989611199e-12</v>
      </c>
      <c r="Z14" s="5">
        <v>2.5260639608862e-12</v>
      </c>
      <c r="AA14" s="5">
        <v>2.5283899145865e-12</v>
      </c>
      <c r="AB14" s="3">
        <v>0.35646585633452</v>
      </c>
      <c r="AC14" s="3">
        <v>0.16885266518947</v>
      </c>
      <c r="AD14" s="3">
        <v>0.00086652916675745</v>
      </c>
      <c r="AE14" s="5">
        <v>-1.9755484626824e-12</v>
      </c>
      <c r="AF14" s="5">
        <v>4.9503647972e-11</v>
      </c>
      <c r="AG14" s="5">
        <v>4.191666951832e-11</v>
      </c>
      <c r="AH14" s="5">
        <v>1.1806164193115e-11</v>
      </c>
      <c r="AI14" s="5">
        <v>-1.8797393786039e-12</v>
      </c>
      <c r="AJ14" s="5">
        <v>9.8668355107474e-12</v>
      </c>
      <c r="AK14" s="5">
        <v>-2.4296277755924e-13</v>
      </c>
      <c r="AL14" s="5">
        <v>1.0016931397272e-11</v>
      </c>
      <c r="AM14" s="5">
        <v>4.0052350468728e-12</v>
      </c>
      <c r="AN14" s="5">
        <v>-1.3982698756118e-12</v>
      </c>
      <c r="AO14" s="5">
        <v>4.5511464007003e-12</v>
      </c>
      <c r="AP14" s="5">
        <v>-1.7997692756535e-12</v>
      </c>
      <c r="AQ14" s="5">
        <v>3.0051862416222e-12</v>
      </c>
      <c r="AR14" s="5">
        <v>-3.3496600167931e-11</v>
      </c>
      <c r="AS14" s="5">
        <v>-1.3794836079424e-12</v>
      </c>
      <c r="AT14" s="5">
        <v>1.1587186561881e-12</v>
      </c>
      <c r="AU14" s="5">
        <v>-8.1841039339076e-12</v>
      </c>
      <c r="AV14" s="5">
        <v>-1.6924506496433e-11</v>
      </c>
      <c r="AW14" s="5">
        <v>-2.9950919601933e-12</v>
      </c>
      <c r="AX14" s="5">
        <v>4.8528766153638e-11</v>
      </c>
      <c r="AY14" s="5">
        <v>1.2216250338616e-11</v>
      </c>
      <c r="AZ14" s="5">
        <v>-2.7671950615883e-11</v>
      </c>
      <c r="BA14" s="5">
        <v>1.8176447441543e-11</v>
      </c>
      <c r="BB14" s="5">
        <v>-8.2973200096889e-11</v>
      </c>
      <c r="BC14" s="3">
        <v>16020665.299294</v>
      </c>
      <c r="BD14" s="3">
        <v>4004984.3914703</v>
      </c>
      <c r="BE14" s="3">
        <v>-0.00044040680179472</v>
      </c>
      <c r="BF14" s="3">
        <v>0.00087803313584849</v>
      </c>
      <c r="BG14" s="3">
        <v>0.00024025618924999</v>
      </c>
      <c r="BH14" s="3">
        <v>-0.0024030545163271</v>
      </c>
      <c r="BI14" s="3">
        <v>199.74714005774</v>
      </c>
      <c r="BJ14" s="3">
        <v>99.891836514104</v>
      </c>
      <c r="BK14" s="3">
        <v>184.05746747147</v>
      </c>
      <c r="BL14" s="4"/>
      <c r="BM14" s="7"/>
    </row>
    <row r="15" spans="1:65">
      <c r="A15" s="3">
        <v>79244.659623056</v>
      </c>
      <c r="B15" s="5">
        <v>5.671332177639e-5</v>
      </c>
      <c r="C15" s="6">
        <f t="shared" si="0"/>
        <v>4.06271094017593e-10</v>
      </c>
      <c r="D15" s="5">
        <v>2.2771613888227e-12</v>
      </c>
      <c r="E15" s="5">
        <v>2.7730888320844e-12</v>
      </c>
      <c r="F15" s="5">
        <v>2.7725967133397e-12</v>
      </c>
      <c r="G15" s="5">
        <v>2.7699985893229e-12</v>
      </c>
      <c r="H15" s="5">
        <v>2.2723802332542e-12</v>
      </c>
      <c r="I15" s="5">
        <v>2.2736055730055e-12</v>
      </c>
      <c r="J15" s="5">
        <v>2.2727958257292e-12</v>
      </c>
      <c r="K15" s="5">
        <v>2.382648292491e-12</v>
      </c>
      <c r="L15" s="5">
        <v>2.3855010441677e-12</v>
      </c>
      <c r="M15" s="5">
        <v>2.3817277409719e-12</v>
      </c>
      <c r="N15" s="5">
        <v>2.5189357825962e-12</v>
      </c>
      <c r="O15" s="5">
        <v>2.2724145292602e-12</v>
      </c>
      <c r="P15" s="5">
        <v>2.5178150175119e-12</v>
      </c>
      <c r="Q15" s="5">
        <v>2.5244939298013e-12</v>
      </c>
      <c r="R15" s="5">
        <v>2.76921668844e-12</v>
      </c>
      <c r="S15" s="5">
        <v>2.7682191093274e-12</v>
      </c>
      <c r="T15" s="5">
        <v>2.7692722552011e-12</v>
      </c>
      <c r="U15" s="5">
        <v>2.2731035822783e-12</v>
      </c>
      <c r="V15" s="5">
        <v>2.3842105129907e-12</v>
      </c>
      <c r="W15" s="5">
        <v>2.3871929817882e-12</v>
      </c>
      <c r="X15" s="5">
        <v>2.3842053636894e-12</v>
      </c>
      <c r="Y15" s="5">
        <v>2.5194073564664e-12</v>
      </c>
      <c r="Z15" s="5">
        <v>2.5267049386199e-12</v>
      </c>
      <c r="AA15" s="5">
        <v>2.529243705064e-12</v>
      </c>
      <c r="AB15" s="3">
        <v>0.3555623350234</v>
      </c>
      <c r="AC15" s="3">
        <v>0.1667001586978</v>
      </c>
      <c r="AD15" s="3">
        <v>0.00087048330532368</v>
      </c>
      <c r="AE15" s="5">
        <v>-1.8032509272195e-12</v>
      </c>
      <c r="AF15" s="5">
        <v>4.6584192199566e-11</v>
      </c>
      <c r="AG15" s="5">
        <v>3.976181997513e-11</v>
      </c>
      <c r="AH15" s="5">
        <v>1.1936045525958e-11</v>
      </c>
      <c r="AI15" s="5">
        <v>-1.7784571625201e-12</v>
      </c>
      <c r="AJ15" s="5">
        <v>9.3573270762612e-12</v>
      </c>
      <c r="AK15" s="5">
        <v>-1.8370797073054e-13</v>
      </c>
      <c r="AL15" s="5">
        <v>9.6139584223912e-12</v>
      </c>
      <c r="AM15" s="5">
        <v>3.6639363715459e-12</v>
      </c>
      <c r="AN15" s="5">
        <v>-1.3191676767219e-12</v>
      </c>
      <c r="AO15" s="5">
        <v>4.2867655692937e-12</v>
      </c>
      <c r="AP15" s="5">
        <v>-1.9419040613003e-12</v>
      </c>
      <c r="AQ15" s="5">
        <v>2.9733507561908e-12</v>
      </c>
      <c r="AR15" s="5">
        <v>-3.1730302541778e-11</v>
      </c>
      <c r="AS15" s="5">
        <v>-1.02401885412e-12</v>
      </c>
      <c r="AT15" s="5">
        <v>1.059612660393e-12</v>
      </c>
      <c r="AU15" s="5">
        <v>-7.5433629945495e-12</v>
      </c>
      <c r="AV15" s="5">
        <v>-1.6588402288308e-11</v>
      </c>
      <c r="AW15" s="5">
        <v>-2.9528299974506e-12</v>
      </c>
      <c r="AX15" s="5">
        <v>4.6693104963657e-11</v>
      </c>
      <c r="AY15" s="5">
        <v>1.1877793252503e-11</v>
      </c>
      <c r="AZ15" s="5">
        <v>-2.6698289820578e-11</v>
      </c>
      <c r="BA15" s="5">
        <v>1.6682550795602e-11</v>
      </c>
      <c r="BB15" s="5">
        <v>-7.8480436371749e-11</v>
      </c>
      <c r="BC15" s="3">
        <v>16022200.407562</v>
      </c>
      <c r="BD15" s="3">
        <v>4005377.7163166</v>
      </c>
      <c r="BE15" s="3">
        <v>-0.00044360126464428</v>
      </c>
      <c r="BF15" s="3">
        <v>0.00088153429172886</v>
      </c>
      <c r="BG15" s="3">
        <v>0.0002404606610789</v>
      </c>
      <c r="BH15" s="3">
        <v>-0.0024293206645621</v>
      </c>
      <c r="BI15" s="3">
        <v>199.74695482541</v>
      </c>
      <c r="BJ15" s="3">
        <v>99.891844239047</v>
      </c>
      <c r="BK15" s="3">
        <v>184.07964394275</v>
      </c>
      <c r="BL15" s="4"/>
      <c r="BM15" s="7"/>
    </row>
    <row r="16" spans="1:65">
      <c r="A16" s="3">
        <v>88913.970501947</v>
      </c>
      <c r="B16" s="5">
        <v>6.1306740238497e-5</v>
      </c>
      <c r="C16" s="6">
        <f t="shared" si="0"/>
        <v>3.90460921696311e-10</v>
      </c>
      <c r="D16" s="5">
        <v>2.2778997517818e-12</v>
      </c>
      <c r="E16" s="5">
        <v>2.7732799923222e-12</v>
      </c>
      <c r="F16" s="5">
        <v>2.7727605177303e-12</v>
      </c>
      <c r="G16" s="5">
        <v>2.7700382221194e-12</v>
      </c>
      <c r="H16" s="5">
        <v>2.2727377351288e-12</v>
      </c>
      <c r="I16" s="5">
        <v>2.2740587056672e-12</v>
      </c>
      <c r="J16" s="5">
        <v>2.2731843682541e-12</v>
      </c>
      <c r="K16" s="5">
        <v>2.3828523820933e-12</v>
      </c>
      <c r="L16" s="5">
        <v>2.385929175004e-12</v>
      </c>
      <c r="M16" s="5">
        <v>2.3818403848364e-12</v>
      </c>
      <c r="N16" s="5">
        <v>2.5191304044473e-12</v>
      </c>
      <c r="O16" s="5">
        <v>2.2727719552582e-12</v>
      </c>
      <c r="P16" s="5">
        <v>2.5179054071736e-12</v>
      </c>
      <c r="Q16" s="5">
        <v>2.5250247947517e-12</v>
      </c>
      <c r="R16" s="5">
        <v>2.7691349840869e-12</v>
      </c>
      <c r="S16" s="5">
        <v>2.7680588233977e-12</v>
      </c>
      <c r="T16" s="5">
        <v>2.7692022815845e-12</v>
      </c>
      <c r="U16" s="5">
        <v>2.2735381196229e-12</v>
      </c>
      <c r="V16" s="5">
        <v>2.3845263043428e-12</v>
      </c>
      <c r="W16" s="5">
        <v>2.3877732762823e-12</v>
      </c>
      <c r="X16" s="5">
        <v>2.3845465321835e-12</v>
      </c>
      <c r="Y16" s="5">
        <v>2.5196376648001e-12</v>
      </c>
      <c r="Z16" s="5">
        <v>2.527392261855e-12</v>
      </c>
      <c r="AA16" s="5">
        <v>2.5301575693869e-12</v>
      </c>
      <c r="AB16" s="3">
        <v>0.3548041811881</v>
      </c>
      <c r="AC16" s="3">
        <v>0.16451094741622</v>
      </c>
      <c r="AD16" s="3">
        <v>0.0008747398500503</v>
      </c>
      <c r="AE16" s="5">
        <v>-1.6532954516305e-12</v>
      </c>
      <c r="AF16" s="5">
        <v>4.3776518580143e-11</v>
      </c>
      <c r="AG16" s="5">
        <v>3.768038826977e-11</v>
      </c>
      <c r="AH16" s="5">
        <v>1.2030871024912e-11</v>
      </c>
      <c r="AI16" s="5">
        <v>-1.6734329678607e-12</v>
      </c>
      <c r="AJ16" s="5">
        <v>8.8582034409449e-12</v>
      </c>
      <c r="AK16" s="5">
        <v>-1.1671417769975e-13</v>
      </c>
      <c r="AL16" s="5">
        <v>9.2033273734153e-12</v>
      </c>
      <c r="AM16" s="5">
        <v>3.3410707274442e-12</v>
      </c>
      <c r="AN16" s="5">
        <v>-1.2518899268271e-12</v>
      </c>
      <c r="AO16" s="5">
        <v>4.0397349623915e-12</v>
      </c>
      <c r="AP16" s="5">
        <v>-2.0867899190103e-12</v>
      </c>
      <c r="AQ16" s="5">
        <v>2.9403045898067e-12</v>
      </c>
      <c r="AR16" s="5">
        <v>-3.0010791512146e-11</v>
      </c>
      <c r="AS16" s="5">
        <v>-6.8724978731669e-13</v>
      </c>
      <c r="AT16" s="5">
        <v>9.6752088706559e-13</v>
      </c>
      <c r="AU16" s="5">
        <v>-6.9240180709488e-12</v>
      </c>
      <c r="AV16" s="5">
        <v>-1.6240291730546e-11</v>
      </c>
      <c r="AW16" s="5">
        <v>-2.9402721408047e-12</v>
      </c>
      <c r="AX16" s="5">
        <v>4.4858357198888e-11</v>
      </c>
      <c r="AY16" s="5">
        <v>1.1564131436182e-11</v>
      </c>
      <c r="AZ16" s="5">
        <v>-2.5756773779854e-11</v>
      </c>
      <c r="BA16" s="5">
        <v>1.5276799994118e-11</v>
      </c>
      <c r="BB16" s="5">
        <v>-7.4170005946649e-11</v>
      </c>
      <c r="BC16" s="3">
        <v>16023839.068697</v>
      </c>
      <c r="BD16" s="3">
        <v>4005799.9075106</v>
      </c>
      <c r="BE16" s="3">
        <v>-0.00044703357665121</v>
      </c>
      <c r="BF16" s="3">
        <v>0.0008853097797668</v>
      </c>
      <c r="BG16" s="3">
        <v>0.00024069130653361</v>
      </c>
      <c r="BH16" s="3">
        <v>-0.0024570150631669</v>
      </c>
      <c r="BI16" s="3">
        <v>199.74676005994</v>
      </c>
      <c r="BJ16" s="3">
        <v>99.891852347535</v>
      </c>
      <c r="BK16" s="3">
        <v>184.10335712178</v>
      </c>
      <c r="BL16" s="4"/>
      <c r="BM16" s="7"/>
    </row>
    <row r="17" spans="1:65">
      <c r="A17" s="3">
        <v>99763.115748445</v>
      </c>
      <c r="B17" s="5">
        <v>6.625611177883e-5</v>
      </c>
      <c r="C17" s="6">
        <f t="shared" si="0"/>
        <v>3.75219207552232e-10</v>
      </c>
      <c r="D17" s="5">
        <v>2.278690471355e-12</v>
      </c>
      <c r="E17" s="5">
        <v>2.7734980121266e-12</v>
      </c>
      <c r="F17" s="5">
        <v>2.7729514702858e-12</v>
      </c>
      <c r="G17" s="5">
        <v>2.7701059551656e-12</v>
      </c>
      <c r="H17" s="5">
        <v>2.2731228526013e-12</v>
      </c>
      <c r="I17" s="5">
        <v>2.2745448947954e-12</v>
      </c>
      <c r="J17" s="5">
        <v>2.2736011877573e-12</v>
      </c>
      <c r="K17" s="5">
        <v>2.3830836513024e-12</v>
      </c>
      <c r="L17" s="5">
        <v>2.3864021163528e-12</v>
      </c>
      <c r="M17" s="5">
        <v>2.3819719484116e-12</v>
      </c>
      <c r="N17" s="5">
        <v>2.5193339778836e-12</v>
      </c>
      <c r="O17" s="5">
        <v>2.2731564638098e-12</v>
      </c>
      <c r="P17" s="5">
        <v>2.5179935111791e-12</v>
      </c>
      <c r="Q17" s="5">
        <v>2.5255791566624e-12</v>
      </c>
      <c r="R17" s="5">
        <v>2.7690662692312e-12</v>
      </c>
      <c r="S17" s="5">
        <v>2.7679061406945e-12</v>
      </c>
      <c r="T17" s="5">
        <v>2.7691476681636e-12</v>
      </c>
      <c r="U17" s="5">
        <v>2.2740074252502e-12</v>
      </c>
      <c r="V17" s="5">
        <v>2.3848766956459e-12</v>
      </c>
      <c r="W17" s="5">
        <v>2.3884107916047e-12</v>
      </c>
      <c r="X17" s="5">
        <v>2.384926697151e-12</v>
      </c>
      <c r="Y17" s="5">
        <v>2.5198782228595e-12</v>
      </c>
      <c r="Z17" s="5">
        <v>2.5281152398673e-12</v>
      </c>
      <c r="AA17" s="5">
        <v>2.5311209697111e-12</v>
      </c>
      <c r="AB17" s="3">
        <v>0.35421428927999</v>
      </c>
      <c r="AC17" s="3">
        <v>0.16229472708986</v>
      </c>
      <c r="AD17" s="3">
        <v>0.00087932127129554</v>
      </c>
      <c r="AE17" s="5">
        <v>-1.5183204922958e-12</v>
      </c>
      <c r="AF17" s="5">
        <v>4.1090295208533e-11</v>
      </c>
      <c r="AG17" s="5">
        <v>3.5674288676521e-11</v>
      </c>
      <c r="AH17" s="5">
        <v>1.2090732394022e-11</v>
      </c>
      <c r="AI17" s="5">
        <v>-1.5646086709018e-12</v>
      </c>
      <c r="AJ17" s="5">
        <v>8.3696686505622e-12</v>
      </c>
      <c r="AK17" s="5">
        <v>-4.2381824947161e-14</v>
      </c>
      <c r="AL17" s="5">
        <v>8.7857842770794e-12</v>
      </c>
      <c r="AM17" s="5">
        <v>3.036972710153e-12</v>
      </c>
      <c r="AN17" s="5">
        <v>-1.1956234501399e-12</v>
      </c>
      <c r="AO17" s="5">
        <v>3.8077397734482e-12</v>
      </c>
      <c r="AP17" s="5">
        <v>-2.2338153324929e-12</v>
      </c>
      <c r="AQ17" s="5">
        <v>2.9049051308305e-12</v>
      </c>
      <c r="AR17" s="5">
        <v>-2.8342282436464e-11</v>
      </c>
      <c r="AS17" s="5">
        <v>-3.7149602385382e-13</v>
      </c>
      <c r="AT17" s="5">
        <v>8.8243390129381e-13</v>
      </c>
      <c r="AU17" s="5">
        <v>-6.327757619926e-12</v>
      </c>
      <c r="AV17" s="5">
        <v>-1.5880495760864e-11</v>
      </c>
      <c r="AW17" s="5">
        <v>-2.9551121300308e-12</v>
      </c>
      <c r="AX17" s="5">
        <v>4.3025294128895e-11</v>
      </c>
      <c r="AY17" s="5">
        <v>1.1275240827687e-11</v>
      </c>
      <c r="AZ17" s="5">
        <v>-2.4847000665025e-11</v>
      </c>
      <c r="BA17" s="5">
        <v>1.3955779802661e-11</v>
      </c>
      <c r="BB17" s="5">
        <v>-7.0039167173966e-11</v>
      </c>
      <c r="BC17" s="3">
        <v>16025587.26199</v>
      </c>
      <c r="BD17" s="3">
        <v>4006252.8661643</v>
      </c>
      <c r="BE17" s="3">
        <v>-0.00045072030731652</v>
      </c>
      <c r="BF17" s="3">
        <v>0.00088938058744881</v>
      </c>
      <c r="BG17" s="3">
        <v>0.00024095138537116</v>
      </c>
      <c r="BH17" s="3">
        <v>-0.0024861798330407</v>
      </c>
      <c r="BI17" s="3">
        <v>199.74655566434</v>
      </c>
      <c r="BJ17" s="3">
        <v>99.89186081219</v>
      </c>
      <c r="BK17" s="3">
        <v>184.12868943</v>
      </c>
      <c r="BL17" s="4"/>
      <c r="BM17" s="7"/>
    </row>
    <row r="18" spans="1:65">
      <c r="A18" s="3">
        <v>111936.05692842</v>
      </c>
      <c r="B18" s="5">
        <v>7.1587674020845e-5</v>
      </c>
      <c r="C18" s="6">
        <f t="shared" si="0"/>
        <v>3.60547028232575e-10</v>
      </c>
      <c r="D18" s="5">
        <v>2.2795302075964e-12</v>
      </c>
      <c r="E18" s="5">
        <v>2.7737471407261e-12</v>
      </c>
      <c r="F18" s="5">
        <v>2.7731740457668e-12</v>
      </c>
      <c r="G18" s="5">
        <v>2.7702072288599e-12</v>
      </c>
      <c r="H18" s="5">
        <v>2.2735311833849e-12</v>
      </c>
      <c r="I18" s="5">
        <v>2.2750598675955e-12</v>
      </c>
      <c r="J18" s="5">
        <v>2.2740415019701e-12</v>
      </c>
      <c r="K18" s="5">
        <v>2.3833310101126e-12</v>
      </c>
      <c r="L18" s="5">
        <v>2.3869101454796e-12</v>
      </c>
      <c r="M18" s="5">
        <v>2.3821107380102e-12</v>
      </c>
      <c r="N18" s="5">
        <v>2.5195465783883e-12</v>
      </c>
      <c r="O18" s="5">
        <v>2.2735635663572e-12</v>
      </c>
      <c r="P18" s="5">
        <v>2.5180780992862e-12</v>
      </c>
      <c r="Q18" s="5">
        <v>2.52615683679e-12</v>
      </c>
      <c r="R18" s="5">
        <v>2.7690145068658e-12</v>
      </c>
      <c r="S18" s="5">
        <v>2.7677646995422e-12</v>
      </c>
      <c r="T18" s="5">
        <v>2.7691128122725e-12</v>
      </c>
      <c r="U18" s="5">
        <v>2.2745075789878e-12</v>
      </c>
      <c r="V18" s="5">
        <v>2.3852512391008e-12</v>
      </c>
      <c r="W18" s="5">
        <v>2.3890964969295e-12</v>
      </c>
      <c r="X18" s="5">
        <v>2.3853358387721e-12</v>
      </c>
      <c r="Y18" s="5">
        <v>2.5201290458249e-12</v>
      </c>
      <c r="Z18" s="5">
        <v>2.5288748552395e-12</v>
      </c>
      <c r="AA18" s="5">
        <v>2.5321349511233e-12</v>
      </c>
      <c r="AB18" s="3">
        <v>0.35381633934093</v>
      </c>
      <c r="AC18" s="3">
        <v>0.16006252475678</v>
      </c>
      <c r="AD18" s="3">
        <v>0.0008842519059007</v>
      </c>
      <c r="AE18" s="5">
        <v>-1.3912998265391e-12</v>
      </c>
      <c r="AF18" s="5">
        <v>3.8533603157082e-11</v>
      </c>
      <c r="AG18" s="5">
        <v>3.374480708123e-11</v>
      </c>
      <c r="AH18" s="5">
        <v>1.2116530048064e-11</v>
      </c>
      <c r="AI18" s="5">
        <v>-1.4519729772322e-12</v>
      </c>
      <c r="AJ18" s="5">
        <v>7.8919051425027e-12</v>
      </c>
      <c r="AK18" s="5">
        <v>3.8640775667191e-14</v>
      </c>
      <c r="AL18" s="5">
        <v>8.3624368855923e-12</v>
      </c>
      <c r="AM18" s="5">
        <v>2.7518373645725e-12</v>
      </c>
      <c r="AN18" s="5">
        <v>-1.1493062635838e-12</v>
      </c>
      <c r="AO18" s="5">
        <v>3.5881792220663e-12</v>
      </c>
      <c r="AP18" s="5">
        <v>-2.3823528305393e-12</v>
      </c>
      <c r="AQ18" s="5">
        <v>2.8660561906918e-12</v>
      </c>
      <c r="AR18" s="5">
        <v>-2.6729131083998e-11</v>
      </c>
      <c r="AS18" s="5">
        <v>-7.884004566239e-14</v>
      </c>
      <c r="AT18" s="5">
        <v>8.0421411868665e-13</v>
      </c>
      <c r="AU18" s="5">
        <v>-5.7560456574948e-12</v>
      </c>
      <c r="AV18" s="5">
        <v>-1.5509257836607e-11</v>
      </c>
      <c r="AW18" s="5">
        <v>-2.9947499771062e-12</v>
      </c>
      <c r="AX18" s="5">
        <v>4.1194878305909e-11</v>
      </c>
      <c r="AY18" s="5">
        <v>1.1010020262852e-11</v>
      </c>
      <c r="AZ18" s="5">
        <v>-2.3968403100733e-11</v>
      </c>
      <c r="BA18" s="5">
        <v>1.2715573081884e-11</v>
      </c>
      <c r="BB18" s="5">
        <v>-6.6084737586823e-11</v>
      </c>
      <c r="BC18" s="3">
        <v>16027451.29198</v>
      </c>
      <c r="BD18" s="3">
        <v>4006738.6157138</v>
      </c>
      <c r="BE18" s="3">
        <v>-0.00045467923065102</v>
      </c>
      <c r="BF18" s="3">
        <v>0.0008937695052161</v>
      </c>
      <c r="BG18" s="3">
        <v>0.0002412444983878</v>
      </c>
      <c r="BH18" s="3">
        <v>-0.0025168568247142</v>
      </c>
      <c r="BI18" s="3">
        <v>199.74634158625</v>
      </c>
      <c r="BJ18" s="3">
        <v>99.891869599923</v>
      </c>
      <c r="BK18" s="3">
        <v>184.15572801026</v>
      </c>
      <c r="BL18" s="4"/>
      <c r="BM18" s="7"/>
    </row>
    <row r="19" spans="1:65">
      <c r="A19" s="3">
        <v>125594.32157548</v>
      </c>
      <c r="B19" s="5">
        <v>7.7329626738165e-5</v>
      </c>
      <c r="C19" s="6">
        <f t="shared" si="0"/>
        <v>3.46441676195563e-10</v>
      </c>
      <c r="D19" s="5">
        <v>2.2804214700822e-12</v>
      </c>
      <c r="E19" s="5">
        <v>2.7740333043753e-12</v>
      </c>
      <c r="F19" s="5">
        <v>2.7734343245965e-12</v>
      </c>
      <c r="G19" s="5">
        <v>2.7703492146024e-12</v>
      </c>
      <c r="H19" s="5">
        <v>2.2739641549943e-12</v>
      </c>
      <c r="I19" s="5">
        <v>2.2756052146069e-12</v>
      </c>
      <c r="J19" s="5">
        <v>2.2745062657811e-12</v>
      </c>
      <c r="K19" s="5">
        <v>2.3835854651433e-12</v>
      </c>
      <c r="L19" s="5">
        <v>2.3874456992782e-12</v>
      </c>
      <c r="M19" s="5">
        <v>2.3822471491504e-12</v>
      </c>
      <c r="N19" s="5">
        <v>2.519778991663e-12</v>
      </c>
      <c r="O19" s="5">
        <v>2.273994607298e-12</v>
      </c>
      <c r="P19" s="5">
        <v>2.5181685178464e-12</v>
      </c>
      <c r="Q19" s="5">
        <v>2.5267682664633e-12</v>
      </c>
      <c r="R19" s="5">
        <v>2.7689852693176e-12</v>
      </c>
      <c r="S19" s="5">
        <v>2.7676397319835e-12</v>
      </c>
      <c r="T19" s="5">
        <v>2.7691037895145e-12</v>
      </c>
      <c r="U19" s="5">
        <v>2.2750404903932e-12</v>
      </c>
      <c r="V19" s="5">
        <v>2.3856416960874e-12</v>
      </c>
      <c r="W19" s="5">
        <v>2.3898235090901e-12</v>
      </c>
      <c r="X19" s="5">
        <v>2.3857661389144e-12</v>
      </c>
      <c r="Y19" s="5">
        <v>2.5204008628282e-12</v>
      </c>
      <c r="Z19" s="5">
        <v>2.5296827873387e-12</v>
      </c>
      <c r="AA19" s="5">
        <v>2.5332111656368e-12</v>
      </c>
      <c r="AB19" s="3">
        <v>0.35363462410067</v>
      </c>
      <c r="AC19" s="3">
        <v>0.15782673155495</v>
      </c>
      <c r="AD19" s="3">
        <v>0.00088955812042903</v>
      </c>
      <c r="AE19" s="5">
        <v>-1.2658559120877e-12</v>
      </c>
      <c r="AF19" s="5">
        <v>3.6112714678786e-11</v>
      </c>
      <c r="AG19" s="5">
        <v>3.1892775420727e-11</v>
      </c>
      <c r="AH19" s="5">
        <v>1.2109804283417e-11</v>
      </c>
      <c r="AI19" s="5">
        <v>-1.3355740081335e-12</v>
      </c>
      <c r="AJ19" s="5">
        <v>7.4250593183211e-12</v>
      </c>
      <c r="AK19" s="5">
        <v>1.2548667267368e-13</v>
      </c>
      <c r="AL19" s="5">
        <v>7.9347999595455e-12</v>
      </c>
      <c r="AM19" s="5">
        <v>2.4859760989926e-12</v>
      </c>
      <c r="AN19" s="5">
        <v>-1.1116048238623e-12</v>
      </c>
      <c r="AO19" s="5">
        <v>3.3782793392168e-12</v>
      </c>
      <c r="AP19" s="5">
        <v>-2.5317625904445e-12</v>
      </c>
      <c r="AQ19" s="5">
        <v>2.8227887590717e-12</v>
      </c>
      <c r="AR19" s="5">
        <v>-2.5175749809907e-11</v>
      </c>
      <c r="AS19" s="5">
        <v>1.8895919177099e-13</v>
      </c>
      <c r="AT19" s="5">
        <v>7.3263401835156e-13</v>
      </c>
      <c r="AU19" s="5">
        <v>-5.2101457608733e-12</v>
      </c>
      <c r="AV19" s="5">
        <v>-1.5126679050675e-11</v>
      </c>
      <c r="AW19" s="5">
        <v>-3.0564062113661e-12</v>
      </c>
      <c r="AX19" s="5">
        <v>3.9368531626651e-11</v>
      </c>
      <c r="AY19" s="5">
        <v>1.0766263518833e-11</v>
      </c>
      <c r="AZ19" s="5">
        <v>-2.3120266438014e-11</v>
      </c>
      <c r="BA19" s="5">
        <v>1.155197403845e-11</v>
      </c>
      <c r="BB19" s="5">
        <v>-6.2303633818467e-11</v>
      </c>
      <c r="BC19" s="3">
        <v>16029437.797062</v>
      </c>
      <c r="BD19" s="3">
        <v>4007259.3081782</v>
      </c>
      <c r="BE19" s="3">
        <v>-0.0004589294050125</v>
      </c>
      <c r="BF19" s="3">
        <v>0.00089850129731435</v>
      </c>
      <c r="BG19" s="3">
        <v>0.00024157461114075</v>
      </c>
      <c r="BH19" s="3">
        <v>-0.002549088576773</v>
      </c>
      <c r="BI19" s="3">
        <v>199.74611783287</v>
      </c>
      <c r="BJ19" s="3">
        <v>99.891878672935</v>
      </c>
      <c r="BK19" s="3">
        <v>184.18456518411</v>
      </c>
      <c r="BL19" s="4"/>
      <c r="BM19" s="7"/>
    </row>
    <row r="20" spans="1:65">
      <c r="A20" s="3">
        <v>140919.14656322</v>
      </c>
      <c r="B20" s="5">
        <v>8.3512260861987e-5</v>
      </c>
      <c r="C20" s="6">
        <f t="shared" si="0"/>
        <v>3.3289702719811e-10</v>
      </c>
      <c r="D20" s="5">
        <v>2.2813659254231e-12</v>
      </c>
      <c r="E20" s="5">
        <v>2.7743700044725e-12</v>
      </c>
      <c r="F20" s="5">
        <v>2.7737458662012e-12</v>
      </c>
      <c r="G20" s="5">
        <v>2.7705466997451e-12</v>
      </c>
      <c r="H20" s="5">
        <v>2.2744223327092e-12</v>
      </c>
      <c r="I20" s="5">
        <v>2.2761817196144e-12</v>
      </c>
      <c r="J20" s="5">
        <v>2.2749954623678e-12</v>
      </c>
      <c r="K20" s="5">
        <v>2.383862007006e-12</v>
      </c>
      <c r="L20" s="5">
        <v>2.3880253005095e-12</v>
      </c>
      <c r="M20" s="5">
        <v>2.3823955616308e-12</v>
      </c>
      <c r="N20" s="5">
        <v>2.5200394558874e-12</v>
      </c>
      <c r="O20" s="5">
        <v>2.2744500770928e-12</v>
      </c>
      <c r="P20" s="5">
        <v>2.518271425503e-12</v>
      </c>
      <c r="Q20" s="5">
        <v>2.5274212336385e-12</v>
      </c>
      <c r="R20" s="5">
        <v>2.7689916095675e-12</v>
      </c>
      <c r="S20" s="5">
        <v>2.7675439377149e-12</v>
      </c>
      <c r="T20" s="5">
        <v>2.7691342350374e-12</v>
      </c>
      <c r="U20" s="5">
        <v>2.2756071970355e-12</v>
      </c>
      <c r="V20" s="5">
        <v>2.3860639389544e-12</v>
      </c>
      <c r="W20" s="5">
        <v>2.390609031725e-12</v>
      </c>
      <c r="X20" s="5">
        <v>2.3862338737143e-12</v>
      </c>
      <c r="Y20" s="5">
        <v>2.5207018637278e-12</v>
      </c>
      <c r="Z20" s="5">
        <v>2.5305481475392e-12</v>
      </c>
      <c r="AA20" s="5">
        <v>2.5343586146379e-12</v>
      </c>
      <c r="AB20" s="3">
        <v>0.35369305073384</v>
      </c>
      <c r="AC20" s="3">
        <v>0.15560121591467</v>
      </c>
      <c r="AD20" s="3">
        <v>0.00089526848381865</v>
      </c>
      <c r="AE20" s="5">
        <v>-1.1365672559932e-12</v>
      </c>
      <c r="AF20" s="5">
        <v>3.3831917264947e-11</v>
      </c>
      <c r="AG20" s="5">
        <v>3.0118715831453e-11</v>
      </c>
      <c r="AH20" s="5">
        <v>1.207249765728e-11</v>
      </c>
      <c r="AI20" s="5">
        <v>-1.2155341594113e-12</v>
      </c>
      <c r="AJ20" s="5">
        <v>6.9692331619064e-12</v>
      </c>
      <c r="AK20" s="5">
        <v>2.1710980604844e-13</v>
      </c>
      <c r="AL20" s="5">
        <v>7.5048216411859e-12</v>
      </c>
      <c r="AM20" s="5">
        <v>2.2400968081422e-12</v>
      </c>
      <c r="AN20" s="5">
        <v>-1.08092699732e-12</v>
      </c>
      <c r="AO20" s="5">
        <v>3.175223165899e-12</v>
      </c>
      <c r="AP20" s="5">
        <v>-2.6813874295494e-12</v>
      </c>
      <c r="AQ20" s="5">
        <v>2.7743422725707e-12</v>
      </c>
      <c r="AR20" s="5">
        <v>-2.3686505707636e-11</v>
      </c>
      <c r="AS20" s="5">
        <v>4.3054383940522e-13</v>
      </c>
      <c r="AT20" s="5">
        <v>6.6742102260267e-13</v>
      </c>
      <c r="AU20" s="5">
        <v>-4.6911619332218e-12</v>
      </c>
      <c r="AV20" s="5">
        <v>-1.473267859987e-11</v>
      </c>
      <c r="AW20" s="5">
        <v>-3.1371938839452e-12</v>
      </c>
      <c r="AX20" s="5">
        <v>3.7548408264602e-11</v>
      </c>
      <c r="AY20" s="5">
        <v>1.0540693375684e-11</v>
      </c>
      <c r="AZ20" s="5">
        <v>-2.2301707357189e-11</v>
      </c>
      <c r="BA20" s="5">
        <v>1.0460709007026e-11</v>
      </c>
      <c r="BB20" s="5">
        <v>-5.869330528218e-11</v>
      </c>
      <c r="BC20" s="3">
        <v>16031553.753984</v>
      </c>
      <c r="BD20" s="3">
        <v>4007817.2297069</v>
      </c>
      <c r="BE20" s="3">
        <v>-0.00046349125166953</v>
      </c>
      <c r="BF20" s="3">
        <v>0.0009036028859951</v>
      </c>
      <c r="BG20" s="3">
        <v>0.00024194608112933</v>
      </c>
      <c r="BH20" s="3">
        <v>-0.0025829195920042</v>
      </c>
      <c r="BI20" s="3">
        <v>199.74588449229</v>
      </c>
      <c r="BJ20" s="3">
        <v>99.891887990584</v>
      </c>
      <c r="BK20" s="3">
        <v>184.21529885585</v>
      </c>
      <c r="BL20" s="4"/>
      <c r="BM20" s="7"/>
    </row>
    <row r="21" spans="1:65">
      <c r="A21" s="3">
        <v>158113.88300842</v>
      </c>
      <c r="B21" s="5">
        <v>9.016809262462e-5</v>
      </c>
      <c r="C21" s="6">
        <f t="shared" si="0"/>
        <v>3.1990395141099e-10</v>
      </c>
      <c r="D21" s="5">
        <v>2.2823755284323e-12</v>
      </c>
      <c r="E21" s="5">
        <v>2.774753885235e-12</v>
      </c>
      <c r="F21" s="5">
        <v>2.7741052558078e-12</v>
      </c>
      <c r="G21" s="5">
        <v>2.7707976401968e-12</v>
      </c>
      <c r="H21" s="5">
        <v>2.2749165483312e-12</v>
      </c>
      <c r="I21" s="5">
        <v>2.2768005155845e-12</v>
      </c>
      <c r="J21" s="5">
        <v>2.2755192162527e-12</v>
      </c>
      <c r="K21" s="5">
        <v>2.3841485268086e-12</v>
      </c>
      <c r="L21" s="5">
        <v>2.3886384353044e-12</v>
      </c>
      <c r="M21" s="5">
        <v>2.3825432653441e-12</v>
      </c>
      <c r="N21" s="5">
        <v>2.5203115089315e-12</v>
      </c>
      <c r="O21" s="5">
        <v>2.2749407475913e-12</v>
      </c>
      <c r="P21" s="5">
        <v>2.5183686349446e-12</v>
      </c>
      <c r="Q21" s="5">
        <v>2.5280987401005e-12</v>
      </c>
      <c r="R21" s="5">
        <v>2.7690296024676e-12</v>
      </c>
      <c r="S21" s="5">
        <v>2.7674730277418e-12</v>
      </c>
      <c r="T21" s="5">
        <v>2.769200894477e-12</v>
      </c>
      <c r="U21" s="5">
        <v>2.2762189806851e-12</v>
      </c>
      <c r="V21" s="5">
        <v>2.3865068817501e-12</v>
      </c>
      <c r="W21" s="5">
        <v>2.3914432287041e-12</v>
      </c>
      <c r="X21" s="5">
        <v>2.3867283324814e-12</v>
      </c>
      <c r="Y21" s="5">
        <v>2.5210155506478e-12</v>
      </c>
      <c r="Z21" s="5">
        <v>2.5314553217725e-12</v>
      </c>
      <c r="AA21" s="5">
        <v>2.5355615063743e-12</v>
      </c>
      <c r="AB21" s="3">
        <v>0.35401411955297</v>
      </c>
      <c r="AC21" s="3">
        <v>0.15340124727951</v>
      </c>
      <c r="AD21" s="3">
        <v>0.00090141395243264</v>
      </c>
      <c r="AE21" s="5">
        <v>-9.9923458847134e-13</v>
      </c>
      <c r="AF21" s="5">
        <v>3.1693394989121e-11</v>
      </c>
      <c r="AG21" s="5">
        <v>2.8422948355502e-11</v>
      </c>
      <c r="AH21" s="5">
        <v>1.2006677404983e-11</v>
      </c>
      <c r="AI21" s="5">
        <v>-1.0920682499381e-12</v>
      </c>
      <c r="AJ21" s="5">
        <v>6.5244826995098e-12</v>
      </c>
      <c r="AK21" s="5">
        <v>3.1233243206993e-13</v>
      </c>
      <c r="AL21" s="5">
        <v>7.0748824623256e-12</v>
      </c>
      <c r="AM21" s="5">
        <v>2.0155025623676e-12</v>
      </c>
      <c r="AN21" s="5">
        <v>-1.0554931183353e-12</v>
      </c>
      <c r="AO21" s="5">
        <v>2.9762816850208e-12</v>
      </c>
      <c r="AP21" s="5">
        <v>-2.8305362549777e-12</v>
      </c>
      <c r="AQ21" s="5">
        <v>2.7202354059228e-12</v>
      </c>
      <c r="AR21" s="5">
        <v>-2.2265590181459e-11</v>
      </c>
      <c r="AS21" s="5">
        <v>6.4501931166717e-13</v>
      </c>
      <c r="AT21" s="5">
        <v>6.0830277149202e-13</v>
      </c>
      <c r="AU21" s="5">
        <v>-4.2000952357381e-12</v>
      </c>
      <c r="AV21" s="5">
        <v>-1.4326995010678e-11</v>
      </c>
      <c r="AW21" s="5">
        <v>-3.2341333930987e-12</v>
      </c>
      <c r="AX21" s="5">
        <v>3.573769410641e-11</v>
      </c>
      <c r="AY21" s="5">
        <v>1.0329069944436e-11</v>
      </c>
      <c r="AZ21" s="5">
        <v>-2.151160934058e-11</v>
      </c>
      <c r="BA21" s="5">
        <v>9.437634547761e-12</v>
      </c>
      <c r="BB21" s="5">
        <v>-5.5251993229517e-11</v>
      </c>
      <c r="BC21" s="3">
        <v>16033806.478708</v>
      </c>
      <c r="BD21" s="3">
        <v>4008414.8060792</v>
      </c>
      <c r="BE21" s="3">
        <v>-0.00046838664107809</v>
      </c>
      <c r="BF21" s="3">
        <v>0.00090910355012739</v>
      </c>
      <c r="BG21" s="3">
        <v>0.00024236368838619</v>
      </c>
      <c r="BH21" s="3">
        <v>-0.0026183977283024</v>
      </c>
      <c r="BI21" s="3">
        <v>199.74564176007</v>
      </c>
      <c r="BJ21" s="3">
        <v>99.891897512696</v>
      </c>
      <c r="BK21" s="3">
        <v>184.2480326007</v>
      </c>
      <c r="BL21" s="4"/>
      <c r="BM21" s="7"/>
    </row>
    <row r="22" spans="1:65">
      <c r="A22" s="3">
        <v>177406.69461679</v>
      </c>
      <c r="B22" s="5">
        <v>9.7332003514159e-5</v>
      </c>
      <c r="C22" s="6">
        <f t="shared" si="0"/>
        <v>3.07450807222244e-10</v>
      </c>
      <c r="D22" s="5">
        <v>2.2834436584751e-12</v>
      </c>
      <c r="E22" s="5">
        <v>2.7751912678312e-12</v>
      </c>
      <c r="F22" s="5">
        <v>2.774518624224e-12</v>
      </c>
      <c r="G22" s="5">
        <v>2.7711096767338e-12</v>
      </c>
      <c r="H22" s="5">
        <v>2.2754390304723e-12</v>
      </c>
      <c r="I22" s="5">
        <v>2.2774542479431e-12</v>
      </c>
      <c r="J22" s="5">
        <v>2.2760689067487e-12</v>
      </c>
      <c r="K22" s="5">
        <v>2.3844511878141e-12</v>
      </c>
      <c r="L22" s="5">
        <v>2.3892929067833e-12</v>
      </c>
      <c r="M22" s="5">
        <v>2.3826958398154e-12</v>
      </c>
      <c r="N22" s="5">
        <v>2.5205955066807e-12</v>
      </c>
      <c r="O22" s="5">
        <v>2.2754588108871e-12</v>
      </c>
      <c r="P22" s="5">
        <v>2.5184586273476e-12</v>
      </c>
      <c r="Q22" s="5">
        <v>2.5288005371549e-12</v>
      </c>
      <c r="R22" s="5">
        <v>2.769104854875e-12</v>
      </c>
      <c r="S22" s="5">
        <v>2.7674322359173e-12</v>
      </c>
      <c r="T22" s="5">
        <v>2.7693101423104e-12</v>
      </c>
      <c r="U22" s="5">
        <v>2.2768684791083e-12</v>
      </c>
      <c r="V22" s="5">
        <v>2.3869778639415e-12</v>
      </c>
      <c r="W22" s="5">
        <v>2.3923345851758e-12</v>
      </c>
      <c r="X22" s="5">
        <v>2.3872571844374e-12</v>
      </c>
      <c r="Y22" s="5">
        <v>2.5213422600163e-12</v>
      </c>
      <c r="Z22" s="5">
        <v>2.5324054888912e-12</v>
      </c>
      <c r="AA22" s="5">
        <v>2.5368207974018e-12</v>
      </c>
      <c r="AB22" s="3">
        <v>0.35461918795696</v>
      </c>
      <c r="AC22" s="3">
        <v>0.15124380568083</v>
      </c>
      <c r="AD22" s="3">
        <v>0.00090802806729359</v>
      </c>
      <c r="AE22" s="5">
        <v>-8.5108527583369e-13</v>
      </c>
      <c r="AF22" s="5">
        <v>2.9697161824713e-11</v>
      </c>
      <c r="AG22" s="5">
        <v>2.6805658776686e-11</v>
      </c>
      <c r="AH22" s="5">
        <v>1.1914255754642e-11</v>
      </c>
      <c r="AI22" s="5">
        <v>-9.6550585024882e-13</v>
      </c>
      <c r="AJ22" s="5">
        <v>6.0908247650285e-12</v>
      </c>
      <c r="AK22" s="5">
        <v>4.0989627527177e-13</v>
      </c>
      <c r="AL22" s="5">
        <v>6.6477457438649e-12</v>
      </c>
      <c r="AM22" s="5">
        <v>1.8140897431606e-12</v>
      </c>
      <c r="AN22" s="5">
        <v>-1.0334761542524e-12</v>
      </c>
      <c r="AO22" s="5">
        <v>2.7789236220518e-12</v>
      </c>
      <c r="AP22" s="5">
        <v>-2.9784536415334e-12</v>
      </c>
      <c r="AQ22" s="5">
        <v>2.6603136412065e-12</v>
      </c>
      <c r="AR22" s="5">
        <v>-2.0916857596717e-11</v>
      </c>
      <c r="AS22" s="5">
        <v>8.319989791591e-13</v>
      </c>
      <c r="AT22" s="5">
        <v>5.5504477249792e-13</v>
      </c>
      <c r="AU22" s="5">
        <v>-3.7379099520217e-12</v>
      </c>
      <c r="AV22" s="5">
        <v>-1.3909239882671e-11</v>
      </c>
      <c r="AW22" s="5">
        <v>-3.3441308463086e-12</v>
      </c>
      <c r="AX22" s="5">
        <v>3.3940843280486e-11</v>
      </c>
      <c r="AY22" s="5">
        <v>1.0126405099575e-11</v>
      </c>
      <c r="AZ22" s="5">
        <v>-2.074851767018e-11</v>
      </c>
      <c r="BA22" s="5">
        <v>8.4788841531767e-12</v>
      </c>
      <c r="BB22" s="5">
        <v>-5.1978761455963e-11</v>
      </c>
      <c r="BC22" s="3">
        <v>16036203.622665</v>
      </c>
      <c r="BD22" s="3">
        <v>4009054.6076578</v>
      </c>
      <c r="BE22" s="3">
        <v>-0.00047363898085611</v>
      </c>
      <c r="BF22" s="3">
        <v>0.00091503514062997</v>
      </c>
      <c r="BG22" s="3">
        <v>0.00024283267002805</v>
      </c>
      <c r="BH22" s="3">
        <v>-0.0026555759741385</v>
      </c>
      <c r="BI22" s="3">
        <v>199.74538997041</v>
      </c>
      <c r="BJ22" s="3">
        <v>99.891907202071</v>
      </c>
      <c r="BK22" s="3">
        <v>184.28287545741</v>
      </c>
      <c r="BL22" s="4"/>
      <c r="BM22" s="7"/>
    </row>
    <row r="23" spans="1:65">
      <c r="A23" s="3">
        <v>199053.58527675</v>
      </c>
      <c r="B23" s="3">
        <v>0.00010504139331033</v>
      </c>
      <c r="C23" s="6">
        <f t="shared" si="0"/>
        <v>2.95524095888875e-10</v>
      </c>
      <c r="D23" s="5">
        <v>2.2845688566636e-12</v>
      </c>
      <c r="E23" s="5">
        <v>2.7756892396869e-12</v>
      </c>
      <c r="F23" s="5">
        <v>2.7749927324719e-12</v>
      </c>
      <c r="G23" s="5">
        <v>2.7714912031819e-12</v>
      </c>
      <c r="H23" s="5">
        <v>2.2759871309304e-12</v>
      </c>
      <c r="I23" s="5">
        <v>2.2781408387975e-12</v>
      </c>
      <c r="J23" s="5">
        <v>2.2766408768132e-12</v>
      </c>
      <c r="K23" s="5">
        <v>2.3847572830867e-12</v>
      </c>
      <c r="L23" s="5">
        <v>2.3899776709805e-12</v>
      </c>
      <c r="M23" s="5">
        <v>2.3828400179969e-12</v>
      </c>
      <c r="N23" s="5">
        <v>2.5208945200007e-12</v>
      </c>
      <c r="O23" s="5">
        <v>2.2760016156379e-12</v>
      </c>
      <c r="P23" s="5">
        <v>2.518542447104e-12</v>
      </c>
      <c r="Q23" s="5">
        <v>2.5295290489312e-12</v>
      </c>
      <c r="R23" s="5">
        <v>2.7692235761416e-12</v>
      </c>
      <c r="S23" s="5">
        <v>2.767427388955e-12</v>
      </c>
      <c r="T23" s="5">
        <v>2.7694690575371e-12</v>
      </c>
      <c r="U23" s="5">
        <v>2.2775533926231e-12</v>
      </c>
      <c r="V23" s="5">
        <v>2.3874655187423e-12</v>
      </c>
      <c r="W23" s="5">
        <v>2.3932727544218e-12</v>
      </c>
      <c r="X23" s="5">
        <v>2.3878093226176e-12</v>
      </c>
      <c r="Y23" s="5">
        <v>2.5216850617987e-12</v>
      </c>
      <c r="Z23" s="5">
        <v>2.5334025248282e-12</v>
      </c>
      <c r="AA23" s="5">
        <v>2.5381401280226e-12</v>
      </c>
      <c r="AB23" s="3">
        <v>0.35552725629348</v>
      </c>
      <c r="AC23" s="3">
        <v>0.1491474340026</v>
      </c>
      <c r="AD23" s="3">
        <v>0.0009151471676808</v>
      </c>
      <c r="AE23" s="5">
        <v>-6.9087053913141e-13</v>
      </c>
      <c r="AF23" s="5">
        <v>2.7841107941305e-11</v>
      </c>
      <c r="AG23" s="5">
        <v>2.5266930047585e-11</v>
      </c>
      <c r="AH23" s="5">
        <v>1.1796756363678e-11</v>
      </c>
      <c r="AI23" s="5">
        <v>-8.3631983383084e-13</v>
      </c>
      <c r="AJ23" s="5">
        <v>5.6682518429309e-12</v>
      </c>
      <c r="AK23" s="5">
        <v>5.0851609889388e-13</v>
      </c>
      <c r="AL23" s="5">
        <v>6.2264506334554e-12</v>
      </c>
      <c r="AM23" s="5">
        <v>1.6380635148241e-12</v>
      </c>
      <c r="AN23" s="5">
        <v>-1.013201779871e-12</v>
      </c>
      <c r="AO23" s="5">
        <v>2.5808861625571e-12</v>
      </c>
      <c r="AP23" s="5">
        <v>-3.1242748053166e-12</v>
      </c>
      <c r="AQ23" s="5">
        <v>2.5947586880659e-12</v>
      </c>
      <c r="AR23" s="5">
        <v>-1.9643638724834e-11</v>
      </c>
      <c r="AS23" s="5">
        <v>9.9161501040977e-13</v>
      </c>
      <c r="AT23" s="5">
        <v>5.0747171682234e-13</v>
      </c>
      <c r="AU23" s="5">
        <v>-3.3055982351433e-12</v>
      </c>
      <c r="AV23" s="5">
        <v>-1.3479007290705e-11</v>
      </c>
      <c r="AW23" s="5">
        <v>-3.4639456992787e-12</v>
      </c>
      <c r="AX23" s="5">
        <v>3.2163690254711e-11</v>
      </c>
      <c r="AY23" s="5">
        <v>9.9272978023521e-12</v>
      </c>
      <c r="AZ23" s="5">
        <v>-2.0010527828101e-11</v>
      </c>
      <c r="BA23" s="5">
        <v>7.5809404890233e-12</v>
      </c>
      <c r="BB23" s="5">
        <v>-4.8873277657617e-11</v>
      </c>
      <c r="BC23" s="3">
        <v>16038753.166579</v>
      </c>
      <c r="BD23" s="3">
        <v>4009739.3543149</v>
      </c>
      <c r="BE23" s="3">
        <v>-0.00047927330833709</v>
      </c>
      <c r="BF23" s="3">
        <v>0.00092143231842106</v>
      </c>
      <c r="BG23" s="3">
        <v>0.00024335875907866</v>
      </c>
      <c r="BH23" s="3">
        <v>-0.0026945142368693</v>
      </c>
      <c r="BI23" s="3">
        <v>199.74512962895</v>
      </c>
      <c r="BJ23" s="3">
        <v>99.891917029632</v>
      </c>
      <c r="BK23" s="3">
        <v>184.31994104079</v>
      </c>
      <c r="BL23" s="4"/>
      <c r="BM23" s="7"/>
    </row>
    <row r="24" spans="1:65">
      <c r="A24" s="3">
        <v>223341.79607548</v>
      </c>
      <c r="B24" s="3">
        <v>0.00011333636153591</v>
      </c>
      <c r="C24" s="6">
        <f t="shared" si="0"/>
        <v>2.84109292092883e-10</v>
      </c>
      <c r="D24" s="5">
        <v>2.2857467232246e-12</v>
      </c>
      <c r="E24" s="5">
        <v>2.7762620104534e-12</v>
      </c>
      <c r="F24" s="5">
        <v>2.7755413342075e-12</v>
      </c>
      <c r="G24" s="5">
        <v>2.7719576962391e-12</v>
      </c>
      <c r="H24" s="5">
        <v>2.2765552035929e-12</v>
      </c>
      <c r="I24" s="5">
        <v>2.2788554080625e-12</v>
      </c>
      <c r="J24" s="5">
        <v>2.2772282947809e-12</v>
      </c>
      <c r="K24" s="5">
        <v>2.3850678589513e-12</v>
      </c>
      <c r="L24" s="5">
        <v>2.3906954389646e-12</v>
      </c>
      <c r="M24" s="5">
        <v>2.382976312148e-12</v>
      </c>
      <c r="N24" s="5">
        <v>2.5212172179032e-12</v>
      </c>
      <c r="O24" s="5">
        <v>2.2765635576836e-12</v>
      </c>
      <c r="P24" s="5">
        <v>2.518626583812e-12</v>
      </c>
      <c r="Q24" s="5">
        <v>2.5302922921141e-12</v>
      </c>
      <c r="R24" s="5">
        <v>2.7693989220509e-12</v>
      </c>
      <c r="S24" s="5">
        <v>2.7674712467574e-12</v>
      </c>
      <c r="T24" s="5">
        <v>2.7696917678115e-12</v>
      </c>
      <c r="U24" s="5">
        <v>2.2782683388094e-12</v>
      </c>
      <c r="V24" s="5">
        <v>2.3879724060032e-12</v>
      </c>
      <c r="W24" s="5">
        <v>2.3942611715833e-12</v>
      </c>
      <c r="X24" s="5">
        <v>2.3883874627668e-12</v>
      </c>
      <c r="Y24" s="5">
        <v>2.5220526423156e-12</v>
      </c>
      <c r="Z24" s="5">
        <v>2.5344559024328e-12</v>
      </c>
      <c r="AA24" s="5">
        <v>2.5395287606111e-12</v>
      </c>
      <c r="AB24" s="3">
        <v>0.35675541716398</v>
      </c>
      <c r="AC24" s="3">
        <v>0.14713249382485</v>
      </c>
      <c r="AD24" s="3">
        <v>0.00092281063221859</v>
      </c>
      <c r="AE24" s="5">
        <v>-5.1882266738575e-13</v>
      </c>
      <c r="AF24" s="5">
        <v>2.6121145886623e-11</v>
      </c>
      <c r="AG24" s="5">
        <v>2.3806734866586e-11</v>
      </c>
      <c r="AH24" s="5">
        <v>1.1655182066559e-11</v>
      </c>
      <c r="AI24" s="5">
        <v>-7.0516153894117e-13</v>
      </c>
      <c r="AJ24" s="5">
        <v>5.2567570550198e-12</v>
      </c>
      <c r="AK24" s="5">
        <v>6.0693419859104e-13</v>
      </c>
      <c r="AL24" s="5">
        <v>5.8141463037231e-12</v>
      </c>
      <c r="AM24" s="5">
        <v>1.4893522321451e-12</v>
      </c>
      <c r="AN24" s="5">
        <v>-9.9336799037419e-13</v>
      </c>
      <c r="AO24" s="5">
        <v>2.3801996627133e-12</v>
      </c>
      <c r="AP24" s="5">
        <v>-3.2669684128624e-12</v>
      </c>
      <c r="AQ24" s="5">
        <v>2.5240513454213e-12</v>
      </c>
      <c r="AR24" s="5">
        <v>-1.8448532475747e-11</v>
      </c>
      <c r="AS24" s="5">
        <v>1.1244968619549e-12</v>
      </c>
      <c r="AT24" s="5">
        <v>4.6546495348987e-13</v>
      </c>
      <c r="AU24" s="5">
        <v>-2.9042226382348e-12</v>
      </c>
      <c r="AV24" s="5">
        <v>-1.3036036059612e-11</v>
      </c>
      <c r="AW24" s="5">
        <v>-3.5901816244226e-12</v>
      </c>
      <c r="AX24" s="5">
        <v>3.0413391754219e-11</v>
      </c>
      <c r="AY24" s="5">
        <v>9.7263700743551e-12</v>
      </c>
      <c r="AZ24" s="5">
        <v>-1.9295198039738e-11</v>
      </c>
      <c r="BA24" s="5">
        <v>6.7406128209357e-12</v>
      </c>
      <c r="BB24" s="5">
        <v>-4.5935360716183e-11</v>
      </c>
      <c r="BC24" s="3">
        <v>16041463.417073</v>
      </c>
      <c r="BD24" s="3">
        <v>4010471.9217505</v>
      </c>
      <c r="BE24" s="3">
        <v>-0.00048531639900786</v>
      </c>
      <c r="BF24" s="3">
        <v>0.00092833282479729</v>
      </c>
      <c r="BG24" s="3">
        <v>0.00024394822857842</v>
      </c>
      <c r="BH24" s="3">
        <v>-0.0027352805682632</v>
      </c>
      <c r="BI24" s="3">
        <v>199.74486144356</v>
      </c>
      <c r="BJ24" s="3">
        <v>99.891926979801</v>
      </c>
      <c r="BK24" s="3">
        <v>184.35934583624</v>
      </c>
      <c r="BL24" s="4"/>
      <c r="BM24" s="7"/>
    </row>
    <row r="25" spans="1:65">
      <c r="A25" s="3">
        <v>250593.61681364</v>
      </c>
      <c r="B25" s="3">
        <v>0.00012225993686461</v>
      </c>
      <c r="C25" s="6">
        <f t="shared" si="0"/>
        <v>2.73191784201964e-10</v>
      </c>
      <c r="D25" s="5">
        <v>2.2869760636702e-12</v>
      </c>
      <c r="E25" s="5">
        <v>2.7769126511428e-12</v>
      </c>
      <c r="F25" s="5">
        <v>2.7761669328233e-12</v>
      </c>
      <c r="G25" s="5">
        <v>2.7725134223084e-12</v>
      </c>
      <c r="H25" s="5">
        <v>2.2771407221219e-12</v>
      </c>
      <c r="I25" s="5">
        <v>2.2795964355132e-12</v>
      </c>
      <c r="J25" s="5">
        <v>2.2778272565903e-12</v>
      </c>
      <c r="K25" s="5">
        <v>2.3853904274932e-12</v>
      </c>
      <c r="L25" s="5">
        <v>2.3914553748627e-12</v>
      </c>
      <c r="M25" s="5">
        <v>2.383111722597e-12</v>
      </c>
      <c r="N25" s="5">
        <v>2.5215548962633e-12</v>
      </c>
      <c r="O25" s="5">
        <v>2.2771422104653e-12</v>
      </c>
      <c r="P25" s="5">
        <v>2.5186999992749e-12</v>
      </c>
      <c r="Q25" s="5">
        <v>2.5310809476691e-12</v>
      </c>
      <c r="R25" s="5">
        <v>2.7696327297996e-12</v>
      </c>
      <c r="S25" s="5">
        <v>2.7675652295106e-12</v>
      </c>
      <c r="T25" s="5">
        <v>2.7699811777872e-12</v>
      </c>
      <c r="U25" s="5">
        <v>2.2790109450707e-12</v>
      </c>
      <c r="V25" s="5">
        <v>2.3885077331953e-12</v>
      </c>
      <c r="W25" s="5">
        <v>2.395309760357e-12</v>
      </c>
      <c r="X25" s="5">
        <v>2.3890008192794e-12</v>
      </c>
      <c r="Y25" s="5">
        <v>2.5224363286969e-12</v>
      </c>
      <c r="Z25" s="5">
        <v>2.5355577477178e-12</v>
      </c>
      <c r="AA25" s="5">
        <v>2.5409786699364e-12</v>
      </c>
      <c r="AB25" s="3">
        <v>0.35831775596465</v>
      </c>
      <c r="AC25" s="3">
        <v>0.14522108400851</v>
      </c>
      <c r="AD25" s="3">
        <v>0.00093106116055002</v>
      </c>
      <c r="AE25" s="5">
        <v>-3.3646222780711e-13</v>
      </c>
      <c r="AF25" s="5">
        <v>2.453148640624e-11</v>
      </c>
      <c r="AG25" s="5">
        <v>2.2424907475202e-11</v>
      </c>
      <c r="AH25" s="5">
        <v>1.1490016140404e-11</v>
      </c>
      <c r="AI25" s="5">
        <v>-5.729021177317e-13</v>
      </c>
      <c r="AJ25" s="5">
        <v>4.8563770333626e-12</v>
      </c>
      <c r="AK25" s="5">
        <v>7.0397317715076e-13</v>
      </c>
      <c r="AL25" s="5">
        <v>5.4139067621118e-12</v>
      </c>
      <c r="AM25" s="5">
        <v>1.3688656285189e-12</v>
      </c>
      <c r="AN25" s="5">
        <v>-9.7321914691172e-13</v>
      </c>
      <c r="AO25" s="5">
        <v>2.1751766395053e-12</v>
      </c>
      <c r="AP25" s="5">
        <v>-3.4052725042095e-12</v>
      </c>
      <c r="AQ25" s="5">
        <v>2.4488843290145e-12</v>
      </c>
      <c r="AR25" s="5">
        <v>-1.7333211587857e-11</v>
      </c>
      <c r="AS25" s="5">
        <v>1.2317136053911e-12</v>
      </c>
      <c r="AT25" s="5">
        <v>4.2893280113187e-13</v>
      </c>
      <c r="AU25" s="5">
        <v>-2.5349215786273e-12</v>
      </c>
      <c r="AV25" s="5">
        <v>-1.2580405264738e-11</v>
      </c>
      <c r="AW25" s="5">
        <v>-3.7193267357155e-12</v>
      </c>
      <c r="AX25" s="5">
        <v>2.8698105166834e-11</v>
      </c>
      <c r="AY25" s="5">
        <v>9.5187186482698e-12</v>
      </c>
      <c r="AZ25" s="5">
        <v>-1.8599551139083e-11</v>
      </c>
      <c r="BA25" s="5">
        <v>5.9549614185632e-12</v>
      </c>
      <c r="BB25" s="5">
        <v>-4.3164392740984e-11</v>
      </c>
      <c r="BC25" s="3">
        <v>16044343.012452</v>
      </c>
      <c r="BD25" s="3">
        <v>4011255.3507334</v>
      </c>
      <c r="BE25" s="3">
        <v>-0.00049179689898487</v>
      </c>
      <c r="BF25" s="3">
        <v>0.0009357777983275</v>
      </c>
      <c r="BG25" s="3">
        <v>0.00024460793939681</v>
      </c>
      <c r="BH25" s="3">
        <v>-0.0027779520442629</v>
      </c>
      <c r="BI25" s="3">
        <v>199.74458634391</v>
      </c>
      <c r="BJ25" s="3">
        <v>99.89193705546</v>
      </c>
      <c r="BK25" s="3">
        <v>184.40120631356</v>
      </c>
      <c r="BL25" s="4"/>
      <c r="BM25" s="7"/>
    </row>
    <row r="26" spans="1:65">
      <c r="A26" s="3">
        <v>281170.66259518</v>
      </c>
      <c r="B26" s="3">
        <v>0.00013185837638573</v>
      </c>
      <c r="C26" s="6">
        <f t="shared" si="0"/>
        <v>2.6275773071382e-10</v>
      </c>
      <c r="D26" s="5">
        <v>2.2882553057461e-12</v>
      </c>
      <c r="E26" s="5">
        <v>2.7776444692787e-12</v>
      </c>
      <c r="F26" s="5">
        <v>2.7768721845502e-12</v>
      </c>
      <c r="G26" s="5">
        <v>2.7731627736058e-12</v>
      </c>
      <c r="H26" s="5">
        <v>2.2777406552111e-12</v>
      </c>
      <c r="I26" s="5">
        <v>2.2803621798038e-12</v>
      </c>
      <c r="J26" s="5">
        <v>2.2784331491461e-12</v>
      </c>
      <c r="K26" s="5">
        <v>2.3857122452283e-12</v>
      </c>
      <c r="L26" s="5">
        <v>2.3922464342745e-12</v>
      </c>
      <c r="M26" s="5">
        <v>2.3832330018002e-12</v>
      </c>
      <c r="N26" s="5">
        <v>2.5219096217619e-12</v>
      </c>
      <c r="O26" s="5">
        <v>2.2777347130704e-12</v>
      </c>
      <c r="P26" s="5">
        <v>2.5187622672126e-12</v>
      </c>
      <c r="Q26" s="5">
        <v>2.5318965619473e-12</v>
      </c>
      <c r="R26" s="5">
        <v>2.7699268964955e-12</v>
      </c>
      <c r="S26" s="5">
        <v>2.7677107828341e-12</v>
      </c>
      <c r="T26" s="5">
        <v>2.7703403328676e-12</v>
      </c>
      <c r="U26" s="5">
        <v>2.2797782006751e-12</v>
      </c>
      <c r="V26" s="5">
        <v>2.3890606401685e-12</v>
      </c>
      <c r="W26" s="5">
        <v>2.3964083545052e-12</v>
      </c>
      <c r="X26" s="5">
        <v>2.3896383332439e-12</v>
      </c>
      <c r="Y26" s="5">
        <v>2.5228382232316e-12</v>
      </c>
      <c r="Z26" s="5">
        <v>2.5367110241769e-12</v>
      </c>
      <c r="AA26" s="5">
        <v>2.5424927728508e-12</v>
      </c>
      <c r="AB26" s="3">
        <v>0.36022530275542</v>
      </c>
      <c r="AC26" s="3">
        <v>0.14343701417063</v>
      </c>
      <c r="AD26" s="3">
        <v>0.00093994511459918</v>
      </c>
      <c r="AE26" s="5">
        <v>-1.4626780404911e-13</v>
      </c>
      <c r="AF26" s="5">
        <v>2.306503303582e-11</v>
      </c>
      <c r="AG26" s="5">
        <v>2.1121110366746e-11</v>
      </c>
      <c r="AH26" s="5">
        <v>1.1301393282083e-11</v>
      </c>
      <c r="AI26" s="5">
        <v>-4.4067790584211e-13</v>
      </c>
      <c r="AJ26" s="5">
        <v>4.4672654505151e-12</v>
      </c>
      <c r="AK26" s="5">
        <v>7.9858561485085e-13</v>
      </c>
      <c r="AL26" s="5">
        <v>5.0285668028326e-12</v>
      </c>
      <c r="AM26" s="5">
        <v>1.275871487251e-12</v>
      </c>
      <c r="AN26" s="5">
        <v>-9.5260975192253e-13</v>
      </c>
      <c r="AO26" s="5">
        <v>1.9643856453352e-12</v>
      </c>
      <c r="AP26" s="5">
        <v>-3.5376350837204e-12</v>
      </c>
      <c r="AQ26" s="5">
        <v>2.3700366734192e-12</v>
      </c>
      <c r="AR26" s="5">
        <v>-1.6298265849116e-11</v>
      </c>
      <c r="AS26" s="5">
        <v>1.3146855911541e-12</v>
      </c>
      <c r="AT26" s="5">
        <v>3.9775336675385e-13</v>
      </c>
      <c r="AU26" s="5">
        <v>-2.19886132747e-12</v>
      </c>
      <c r="AV26" s="5">
        <v>-1.2112750245943e-11</v>
      </c>
      <c r="AW26" s="5">
        <v>-3.8478208179118e-12</v>
      </c>
      <c r="AX26" s="5">
        <v>2.702643896003e-11</v>
      </c>
      <c r="AY26" s="5">
        <v>9.3003108677883e-12</v>
      </c>
      <c r="AZ26" s="5">
        <v>-1.7920201029616e-11</v>
      </c>
      <c r="BA26" s="5">
        <v>5.2211418514793e-12</v>
      </c>
      <c r="BB26" s="5">
        <v>-4.0558722281396e-11</v>
      </c>
      <c r="BC26" s="3">
        <v>16047400.945479</v>
      </c>
      <c r="BD26" s="3">
        <v>4012092.8614427</v>
      </c>
      <c r="BE26" s="3">
        <v>-0.00049874550071854</v>
      </c>
      <c r="BF26" s="3">
        <v>0.00094381215348899</v>
      </c>
      <c r="BG26" s="3">
        <v>0.00024534539391556</v>
      </c>
      <c r="BH26" s="3">
        <v>-0.0028226173232457</v>
      </c>
      <c r="BI26" s="3">
        <v>199.74430548787</v>
      </c>
      <c r="BJ26" s="3">
        <v>99.891947281625</v>
      </c>
      <c r="BK26" s="3">
        <v>184.44563479274</v>
      </c>
      <c r="BL26" s="4"/>
      <c r="BM26" s="7"/>
    </row>
    <row r="27" spans="1:65">
      <c r="A27" s="3">
        <v>315478.6722401</v>
      </c>
      <c r="B27" s="3">
        <v>0.0001421815475842</v>
      </c>
      <c r="C27" s="6">
        <f t="shared" si="0"/>
        <v>2.52794590865291e-10</v>
      </c>
      <c r="D27" s="5">
        <v>2.289596260111e-12</v>
      </c>
      <c r="E27" s="5">
        <v>2.7784677136305e-12</v>
      </c>
      <c r="F27" s="5">
        <v>2.7776666390657e-12</v>
      </c>
      <c r="G27" s="5">
        <v>2.7739169275e-12</v>
      </c>
      <c r="H27" s="5">
        <v>2.2783651695716e-12</v>
      </c>
      <c r="I27" s="5">
        <v>2.2811644215027e-12</v>
      </c>
      <c r="J27" s="5">
        <v>2.2790543470608e-12</v>
      </c>
      <c r="K27" s="5">
        <v>2.3860561197283e-12</v>
      </c>
      <c r="L27" s="5">
        <v>2.3930936401172e-12</v>
      </c>
      <c r="M27" s="5">
        <v>2.3833624204622e-12</v>
      </c>
      <c r="N27" s="5">
        <v>2.5222840791669e-12</v>
      </c>
      <c r="O27" s="5">
        <v>2.2783514847287e-12</v>
      </c>
      <c r="P27" s="5">
        <v>2.5188134114077e-12</v>
      </c>
      <c r="Q27" s="5">
        <v>2.5327414547437e-12</v>
      </c>
      <c r="R27" s="5">
        <v>2.7702900937595e-12</v>
      </c>
      <c r="S27" s="5">
        <v>2.7679160721694e-12</v>
      </c>
      <c r="T27" s="5">
        <v>2.7707791106485e-12</v>
      </c>
      <c r="U27" s="5">
        <v>2.2805801422454e-12</v>
      </c>
      <c r="V27" s="5">
        <v>2.3896559979094e-12</v>
      </c>
      <c r="W27" s="5">
        <v>2.3975835757546e-12</v>
      </c>
      <c r="X27" s="5">
        <v>2.3903244037774e-12</v>
      </c>
      <c r="Y27" s="5">
        <v>2.5232610358878e-12</v>
      </c>
      <c r="Z27" s="5">
        <v>2.5379194286333e-12</v>
      </c>
      <c r="AA27" s="5">
        <v>2.5440748606223e-12</v>
      </c>
      <c r="AB27" s="3">
        <v>0.36248653321994</v>
      </c>
      <c r="AC27" s="3">
        <v>0.14180578594605</v>
      </c>
      <c r="AD27" s="3">
        <v>0.00094951292871469</v>
      </c>
      <c r="AE27" s="5">
        <v>4.874630937939e-14</v>
      </c>
      <c r="AF27" s="5">
        <v>2.1713853705289e-11</v>
      </c>
      <c r="AG27" s="5">
        <v>1.9894802582161e-11</v>
      </c>
      <c r="AH27" s="5">
        <v>1.1089394670891e-11</v>
      </c>
      <c r="AI27" s="5">
        <v>-3.0992268537843e-13</v>
      </c>
      <c r="AJ27" s="5">
        <v>4.0898072512163e-12</v>
      </c>
      <c r="AK27" s="5">
        <v>8.8989642200747e-13</v>
      </c>
      <c r="AL27" s="5">
        <v>4.6606076184804e-12</v>
      </c>
      <c r="AM27" s="5">
        <v>1.2077542813726e-12</v>
      </c>
      <c r="AN27" s="5">
        <v>-9.3192108201962e-13</v>
      </c>
      <c r="AO27" s="5">
        <v>1.7466739927262e-12</v>
      </c>
      <c r="AP27" s="5">
        <v>-3.6621751787669e-12</v>
      </c>
      <c r="AQ27" s="5">
        <v>2.2882308794813e-12</v>
      </c>
      <c r="AR27" s="5">
        <v>-1.5343117831117e-11</v>
      </c>
      <c r="AS27" s="5">
        <v>1.3750837254598e-12</v>
      </c>
      <c r="AT27" s="5">
        <v>3.7170174874462e-13</v>
      </c>
      <c r="AU27" s="5">
        <v>-1.897131725953e-12</v>
      </c>
      <c r="AV27" s="5">
        <v>-1.1634463775449e-11</v>
      </c>
      <c r="AW27" s="5">
        <v>-3.9721118497357e-12</v>
      </c>
      <c r="AX27" s="5">
        <v>2.5406758599624e-11</v>
      </c>
      <c r="AY27" s="5">
        <v>9.0682723069949e-12</v>
      </c>
      <c r="AZ27" s="5">
        <v>-1.7253620381012e-11</v>
      </c>
      <c r="BA27" s="5">
        <v>4.5363350549532e-12</v>
      </c>
      <c r="BB27" s="5">
        <v>-3.8115182847933e-11</v>
      </c>
      <c r="BC27" s="3">
        <v>16050646.606142</v>
      </c>
      <c r="BD27" s="3">
        <v>4012987.8731765</v>
      </c>
      <c r="BE27" s="3">
        <v>-0.00050619515906418</v>
      </c>
      <c r="BF27" s="3">
        <v>0.00095248503275058</v>
      </c>
      <c r="BG27" s="3">
        <v>0.00024616879663658</v>
      </c>
      <c r="BH27" s="3">
        <v>-0.0028693780185416</v>
      </c>
      <c r="BI27" s="3">
        <v>199.74402025126</v>
      </c>
      <c r="BJ27" s="3">
        <v>99.891957708781</v>
      </c>
      <c r="BK27" s="3">
        <v>184.49273420663</v>
      </c>
      <c r="BL27" s="4"/>
      <c r="BM27" s="7"/>
    </row>
    <row r="28" spans="1:65">
      <c r="A28" s="3">
        <v>353972.89219207</v>
      </c>
      <c r="B28" s="3">
        <v>0.00015328339974054</v>
      </c>
      <c r="C28" s="6">
        <f t="shared" si="0"/>
        <v>2.43291245566873e-10</v>
      </c>
      <c r="D28" s="5">
        <v>2.2910089046106e-12</v>
      </c>
      <c r="E28" s="5">
        <v>2.7793855782847e-12</v>
      </c>
      <c r="F28" s="5">
        <v>2.7785527834917e-12</v>
      </c>
      <c r="G28" s="5">
        <v>2.7747798015193e-12</v>
      </c>
      <c r="H28" s="5">
        <v>2.2790223387798e-12</v>
      </c>
      <c r="I28" s="5">
        <v>2.2820132054327e-12</v>
      </c>
      <c r="J28" s="5">
        <v>2.2796969227238e-12</v>
      </c>
      <c r="K28" s="5">
        <v>2.3864217896155e-12</v>
      </c>
      <c r="L28" s="5">
        <v>2.3939985357277e-12</v>
      </c>
      <c r="M28" s="5">
        <v>2.3834991490162e-12</v>
      </c>
      <c r="N28" s="5">
        <v>2.5226961180142e-12</v>
      </c>
      <c r="O28" s="5">
        <v>2.2790009422684e-12</v>
      </c>
      <c r="P28" s="5">
        <v>2.518868364378e-12</v>
      </c>
      <c r="Q28" s="5">
        <v>2.5336332617586e-12</v>
      </c>
      <c r="R28" s="5">
        <v>2.7707237863493e-12</v>
      </c>
      <c r="S28" s="5">
        <v>2.7681819724655e-12</v>
      </c>
      <c r="T28" s="5">
        <v>2.7713002086917e-12</v>
      </c>
      <c r="U28" s="5">
        <v>2.2814245543273e-12</v>
      </c>
      <c r="V28" s="5">
        <v>2.3902958312727e-12</v>
      </c>
      <c r="W28" s="5">
        <v>2.398837913133e-12</v>
      </c>
      <c r="X28" s="5">
        <v>2.3910602431786e-12</v>
      </c>
      <c r="Y28" s="5">
        <v>2.5237225400371e-12</v>
      </c>
      <c r="Z28" s="5">
        <v>2.5392020477778e-12</v>
      </c>
      <c r="AA28" s="5">
        <v>2.5457441638974e-12</v>
      </c>
      <c r="AB28" s="3">
        <v>0.36510714800253</v>
      </c>
      <c r="AC28" s="3">
        <v>0.14035419568038</v>
      </c>
      <c r="AD28" s="3">
        <v>0.00095981960319568</v>
      </c>
      <c r="AE28" s="5">
        <v>2.4545985618812e-13</v>
      </c>
      <c r="AF28" s="5">
        <v>2.0469666549617e-11</v>
      </c>
      <c r="AG28" s="5">
        <v>1.8745219098577e-11</v>
      </c>
      <c r="AH28" s="5">
        <v>1.0854396289047e-11</v>
      </c>
      <c r="AI28" s="5">
        <v>-1.8235795769129e-13</v>
      </c>
      <c r="AJ28" s="5">
        <v>3.7247713889479e-12</v>
      </c>
      <c r="AK28" s="5">
        <v>9.7723205627471e-13</v>
      </c>
      <c r="AL28" s="5">
        <v>4.3120980694677e-12</v>
      </c>
      <c r="AM28" s="5">
        <v>1.1603465396905e-12</v>
      </c>
      <c r="AN28" s="5">
        <v>-9.1185073598502e-13</v>
      </c>
      <c r="AO28" s="5">
        <v>1.5213096959837e-12</v>
      </c>
      <c r="AP28" s="5">
        <v>-3.776683684566e-12</v>
      </c>
      <c r="AQ28" s="5">
        <v>2.2039986592809e-12</v>
      </c>
      <c r="AR28" s="5">
        <v>-1.4466032676906e-11</v>
      </c>
      <c r="AS28" s="5">
        <v>1.4147308082457e-12</v>
      </c>
      <c r="AT28" s="5">
        <v>3.5037901329805e-13</v>
      </c>
      <c r="AU28" s="5">
        <v>-1.6306047086453e-12</v>
      </c>
      <c r="AV28" s="5">
        <v>-1.1147830679823e-11</v>
      </c>
      <c r="AW28" s="5">
        <v>-4.0886683289425e-12</v>
      </c>
      <c r="AX28" s="5">
        <v>2.3846454684026e-11</v>
      </c>
      <c r="AY28" s="5">
        <v>8.8210574781834e-12</v>
      </c>
      <c r="AZ28" s="5">
        <v>-1.6596525823904e-11</v>
      </c>
      <c r="BA28" s="5">
        <v>3.8977855140728e-12</v>
      </c>
      <c r="BB28" s="5">
        <v>-3.582882770346e-11</v>
      </c>
      <c r="BC28" s="3">
        <v>16054089.845248</v>
      </c>
      <c r="BD28" s="3">
        <v>4013944.0302484</v>
      </c>
      <c r="BE28" s="3">
        <v>-0.00051418135909489</v>
      </c>
      <c r="BF28" s="3">
        <v>0.00096185033946982</v>
      </c>
      <c r="BG28" s="3">
        <v>0.00024708712499779</v>
      </c>
      <c r="BH28" s="3">
        <v>-0.0029183493975471</v>
      </c>
      <c r="BI28" s="3">
        <v>199.74373219489</v>
      </c>
      <c r="BJ28" s="3">
        <v>99.89196841018</v>
      </c>
      <c r="BK28" s="3">
        <v>184.54259210349</v>
      </c>
      <c r="BL28" s="4"/>
      <c r="BM28" s="7"/>
    </row>
    <row r="29" spans="1:65">
      <c r="A29" s="3">
        <v>397164.11736215</v>
      </c>
      <c r="B29" s="3">
        <v>0.00016522252307321</v>
      </c>
      <c r="C29" s="6">
        <f t="shared" si="0"/>
        <v>2.34237636418297e-10</v>
      </c>
      <c r="D29" s="5">
        <v>2.2924705924911e-12</v>
      </c>
      <c r="E29" s="5">
        <v>2.7804110372005e-12</v>
      </c>
      <c r="F29" s="5">
        <v>2.7795429190069e-12</v>
      </c>
      <c r="G29" s="5">
        <v>2.7757648406599e-12</v>
      </c>
      <c r="H29" s="5">
        <v>2.2796872593843e-12</v>
      </c>
      <c r="I29" s="5">
        <v>2.2828859811475e-12</v>
      </c>
      <c r="J29" s="5">
        <v>2.2803337717943e-12</v>
      </c>
      <c r="K29" s="5">
        <v>2.3868129567262e-12</v>
      </c>
      <c r="L29" s="5">
        <v>2.3949662393436e-12</v>
      </c>
      <c r="M29" s="5">
        <v>2.3836462353981e-12</v>
      </c>
      <c r="N29" s="5">
        <v>2.5231380256998e-12</v>
      </c>
      <c r="O29" s="5">
        <v>2.2796586196535e-12</v>
      </c>
      <c r="P29" s="5">
        <v>2.518916396798e-12</v>
      </c>
      <c r="Q29" s="5">
        <v>2.53456445039e-12</v>
      </c>
      <c r="R29" s="5">
        <v>2.7712390856784e-12</v>
      </c>
      <c r="S29" s="5">
        <v>2.7685188819513e-12</v>
      </c>
      <c r="T29" s="5">
        <v>2.771915962178e-12</v>
      </c>
      <c r="U29" s="5">
        <v>2.2822860888751e-12</v>
      </c>
      <c r="V29" s="5">
        <v>2.3909863505576e-12</v>
      </c>
      <c r="W29" s="5">
        <v>2.4001768232875e-12</v>
      </c>
      <c r="X29" s="5">
        <v>2.3918508531451e-12</v>
      </c>
      <c r="Y29" s="5">
        <v>2.5242150037024e-12</v>
      </c>
      <c r="Z29" s="5">
        <v>2.5405525590003e-12</v>
      </c>
      <c r="AA29" s="5">
        <v>2.5474948937513e-12</v>
      </c>
      <c r="AB29" s="3">
        <v>0.36808890200408</v>
      </c>
      <c r="AC29" s="3">
        <v>0.13910971485567</v>
      </c>
      <c r="AD29" s="3">
        <v>0.00097092529289611</v>
      </c>
      <c r="AE29" s="5">
        <v>4.4099469193141e-13</v>
      </c>
      <c r="AF29" s="5">
        <v>1.9324279055938e-11</v>
      </c>
      <c r="AG29" s="5">
        <v>1.7671391750076e-11</v>
      </c>
      <c r="AH29" s="5">
        <v>1.0597431741732e-11</v>
      </c>
      <c r="AI29" s="5">
        <v>-5.9924875250641e-14</v>
      </c>
      <c r="AJ29" s="5">
        <v>3.3734708065142e-12</v>
      </c>
      <c r="AK29" s="5">
        <v>1.0601310502355e-12</v>
      </c>
      <c r="AL29" s="5">
        <v>3.9846917434318e-12</v>
      </c>
      <c r="AM29" s="5">
        <v>1.1287082049715e-12</v>
      </c>
      <c r="AN29" s="5">
        <v>-8.9314716688414e-13</v>
      </c>
      <c r="AO29" s="5">
        <v>1.2882990881512e-12</v>
      </c>
      <c r="AP29" s="5">
        <v>-3.8786882046824e-12</v>
      </c>
      <c r="AQ29" s="5">
        <v>2.1175905421659e-12</v>
      </c>
      <c r="AR29" s="5">
        <v>-1.3664221447907e-11</v>
      </c>
      <c r="AS29" s="5">
        <v>1.4355320223603e-12</v>
      </c>
      <c r="AT29" s="5">
        <v>3.3316344739095e-13</v>
      </c>
      <c r="AU29" s="5">
        <v>-1.3997621038251e-12</v>
      </c>
      <c r="AV29" s="5">
        <v>-1.0656063601211e-11</v>
      </c>
      <c r="AW29" s="5">
        <v>-4.1939546988493e-12</v>
      </c>
      <c r="AX29" s="5">
        <v>2.2351385536766e-11</v>
      </c>
      <c r="AY29" s="5">
        <v>8.5584878830583e-12</v>
      </c>
      <c r="AZ29" s="5">
        <v>-1.5946296145463e-11</v>
      </c>
      <c r="BA29" s="5">
        <v>3.303011869649e-12</v>
      </c>
      <c r="BB29" s="5">
        <v>-3.3692928921012e-11</v>
      </c>
      <c r="BC29" s="3">
        <v>16057741.059932</v>
      </c>
      <c r="BD29" s="3">
        <v>4014965.2353121</v>
      </c>
      <c r="BE29" s="3">
        <v>-0.00052274246217404</v>
      </c>
      <c r="BF29" s="3">
        <v>0.00097196734996767</v>
      </c>
      <c r="BG29" s="3">
        <v>0.00024811022357242</v>
      </c>
      <c r="BH29" s="3">
        <v>-0.0029696658423257</v>
      </c>
      <c r="BI29" s="3">
        <v>199.74344301655</v>
      </c>
      <c r="BJ29" s="3">
        <v>99.89197947441</v>
      </c>
      <c r="BK29" s="3">
        <v>184.5952741103</v>
      </c>
      <c r="BL29" s="4"/>
      <c r="BM29" s="7"/>
    </row>
    <row r="30" spans="1:65">
      <c r="A30" s="3">
        <v>445625.46906688</v>
      </c>
      <c r="B30" s="3">
        <v>0.0001780627904115</v>
      </c>
      <c r="C30" s="6">
        <f t="shared" si="0"/>
        <v>2.25624126001481e-10</v>
      </c>
      <c r="D30" s="5">
        <v>2.2939811066142e-12</v>
      </c>
      <c r="E30" s="5">
        <v>2.7815337363442e-12</v>
      </c>
      <c r="F30" s="5">
        <v>2.7806260984632e-12</v>
      </c>
      <c r="G30" s="5">
        <v>2.7768618715729e-12</v>
      </c>
      <c r="H30" s="5">
        <v>2.2803570025655e-12</v>
      </c>
      <c r="I30" s="5">
        <v>2.2837825673143e-12</v>
      </c>
      <c r="J30" s="5">
        <v>2.2809595814946e-12</v>
      </c>
      <c r="K30" s="5">
        <v>2.38723287357e-12</v>
      </c>
      <c r="L30" s="5">
        <v>2.3960020455176e-12</v>
      </c>
      <c r="M30" s="5">
        <v>2.3838061054348e-12</v>
      </c>
      <c r="N30" s="5">
        <v>2.5236122673789e-12</v>
      </c>
      <c r="O30" s="5">
        <v>2.2803221148869e-12</v>
      </c>
      <c r="P30" s="5">
        <v>2.5189566981142e-12</v>
      </c>
      <c r="Q30" s="5">
        <v>2.5355379979967e-12</v>
      </c>
      <c r="R30" s="5">
        <v>2.7718236670187e-12</v>
      </c>
      <c r="S30" s="5">
        <v>2.7689135862217e-12</v>
      </c>
      <c r="T30" s="5">
        <v>2.7726152234942e-12</v>
      </c>
      <c r="U30" s="5">
        <v>2.2831612318003e-12</v>
      </c>
      <c r="V30" s="5">
        <v>2.3917335133605e-12</v>
      </c>
      <c r="W30" s="5">
        <v>2.4016065007498e-12</v>
      </c>
      <c r="X30" s="5">
        <v>2.3927005268572e-12</v>
      </c>
      <c r="Y30" s="5">
        <v>2.5247407802975e-12</v>
      </c>
      <c r="Z30" s="5">
        <v>2.5419751205351e-12</v>
      </c>
      <c r="AA30" s="5">
        <v>2.5493319355853e-12</v>
      </c>
      <c r="AB30" s="3">
        <v>0.37143039635107</v>
      </c>
      <c r="AC30" s="3">
        <v>0.13810041479309</v>
      </c>
      <c r="AD30" s="3">
        <v>0.00098289598683348</v>
      </c>
      <c r="AE30" s="5">
        <v>6.3291510187833e-13</v>
      </c>
      <c r="AF30" s="5">
        <v>1.8269877922845e-11</v>
      </c>
      <c r="AG30" s="5">
        <v>1.6672171943905e-11</v>
      </c>
      <c r="AH30" s="5">
        <v>1.0320381830317e-11</v>
      </c>
      <c r="AI30" s="5">
        <v>5.5370241581734e-14</v>
      </c>
      <c r="AJ30" s="5">
        <v>3.0378602971043e-12</v>
      </c>
      <c r="AK30" s="5">
        <v>1.138329056464e-12</v>
      </c>
      <c r="AL30" s="5">
        <v>3.6796618932477e-12</v>
      </c>
      <c r="AM30" s="5">
        <v>1.1081240802534e-12</v>
      </c>
      <c r="AN30" s="5">
        <v>-8.7641200258461e-13</v>
      </c>
      <c r="AO30" s="5">
        <v>1.0488819479095e-12</v>
      </c>
      <c r="AP30" s="5">
        <v>-3.9655668565148e-12</v>
      </c>
      <c r="AQ30" s="5">
        <v>2.0289460418423e-12</v>
      </c>
      <c r="AR30" s="5">
        <v>-1.2934040220815e-11</v>
      </c>
      <c r="AS30" s="5">
        <v>1.4394277711432e-12</v>
      </c>
      <c r="AT30" s="5">
        <v>3.1918717452923e-13</v>
      </c>
      <c r="AU30" s="5">
        <v>-1.2045649648101e-12</v>
      </c>
      <c r="AV30" s="5">
        <v>-1.0163183287992e-11</v>
      </c>
      <c r="AW30" s="5">
        <v>-4.284375956549e-12</v>
      </c>
      <c r="AX30" s="5">
        <v>2.0925606124859e-11</v>
      </c>
      <c r="AY30" s="5">
        <v>8.281624808921e-12</v>
      </c>
      <c r="AZ30" s="5">
        <v>-1.5301344211616e-11</v>
      </c>
      <c r="BA30" s="5">
        <v>2.7502014512976e-12</v>
      </c>
      <c r="BB30" s="5">
        <v>-3.1699252326582e-11</v>
      </c>
      <c r="BC30" s="3">
        <v>16061611.289725</v>
      </c>
      <c r="BD30" s="3">
        <v>4016055.6869874</v>
      </c>
      <c r="BE30" s="3">
        <v>-0.00053192011048397</v>
      </c>
      <c r="BF30" s="3">
        <v>0.0009829014000909</v>
      </c>
      <c r="BG30" s="3">
        <v>0.00024924893246642</v>
      </c>
      <c r="BH30" s="3">
        <v>-0.0030234850260217</v>
      </c>
      <c r="BI30" s="3">
        <v>199.74315447951</v>
      </c>
      <c r="BJ30" s="3">
        <v>99.891991001742</v>
      </c>
      <c r="BK30" s="3">
        <v>184.65081806938</v>
      </c>
      <c r="BL30" s="4"/>
      <c r="BM30" s="7"/>
    </row>
    <row r="31" spans="1:65">
      <c r="A31" s="3">
        <v>500000.00000001</v>
      </c>
      <c r="B31" s="3">
        <v>0.00019187405769813</v>
      </c>
      <c r="C31" s="6">
        <f t="shared" si="0"/>
        <v>2.17440634456968e-10</v>
      </c>
      <c r="D31" s="5">
        <v>2.2955413804887e-12</v>
      </c>
      <c r="E31" s="5">
        <v>2.7827571017177e-12</v>
      </c>
      <c r="F31" s="5">
        <v>2.7818052883108e-12</v>
      </c>
      <c r="G31" s="5">
        <v>2.7780741892388e-12</v>
      </c>
      <c r="H31" s="5">
        <v>2.2810292319812e-12</v>
      </c>
      <c r="I31" s="5">
        <v>2.2847037661214e-12</v>
      </c>
      <c r="J31" s="5">
        <v>2.2815694694464e-12</v>
      </c>
      <c r="K31" s="5">
        <v>2.387655365089e-12</v>
      </c>
      <c r="L31" s="5">
        <v>2.3970821018993e-12</v>
      </c>
      <c r="M31" s="5">
        <v>2.3839515506537e-12</v>
      </c>
      <c r="N31" s="5">
        <v>2.5241263451726e-12</v>
      </c>
      <c r="O31" s="5">
        <v>2.2809896915322e-12</v>
      </c>
      <c r="P31" s="5">
        <v>2.5189932465815e-12</v>
      </c>
      <c r="Q31" s="5">
        <v>2.5365623569095e-12</v>
      </c>
      <c r="R31" s="5">
        <v>2.772478914754e-12</v>
      </c>
      <c r="S31" s="5">
        <v>2.7693663348882e-12</v>
      </c>
      <c r="T31" s="5">
        <v>2.7734004713887e-12</v>
      </c>
      <c r="U31" s="5">
        <v>2.2840469438894e-12</v>
      </c>
      <c r="V31" s="5">
        <v>2.3925140649334e-12</v>
      </c>
      <c r="W31" s="5">
        <v>2.4031040004867e-12</v>
      </c>
      <c r="X31" s="5">
        <v>2.3935838893159e-12</v>
      </c>
      <c r="Y31" s="5">
        <v>2.525307194849e-12</v>
      </c>
      <c r="Z31" s="5">
        <v>2.5434792686037e-12</v>
      </c>
      <c r="AA31" s="5">
        <v>2.5512658265731e-12</v>
      </c>
      <c r="AB31" s="3">
        <v>0.37512580822118</v>
      </c>
      <c r="AC31" s="3">
        <v>0.13735433106882</v>
      </c>
      <c r="AD31" s="3">
        <v>0.00099580427438414</v>
      </c>
      <c r="AE31" s="5">
        <v>8.192543316744e-13</v>
      </c>
      <c r="AF31" s="5">
        <v>1.7299187802275e-11</v>
      </c>
      <c r="AG31" s="5">
        <v>1.5746266653118e-11</v>
      </c>
      <c r="AH31" s="5">
        <v>1.0025929983388e-11</v>
      </c>
      <c r="AI31" s="5">
        <v>1.616798304711e-13</v>
      </c>
      <c r="AJ31" s="5">
        <v>2.7204959111943e-12</v>
      </c>
      <c r="AK31" s="5">
        <v>1.2117151139773e-12</v>
      </c>
      <c r="AL31" s="5">
        <v>3.3979611168822e-12</v>
      </c>
      <c r="AM31" s="5">
        <v>1.0950113832091e-12</v>
      </c>
      <c r="AN31" s="5">
        <v>-8.620546799958e-13</v>
      </c>
      <c r="AO31" s="5">
        <v>8.0607371630996e-13</v>
      </c>
      <c r="AP31" s="5">
        <v>-4.0346973144342e-12</v>
      </c>
      <c r="AQ31" s="5">
        <v>1.9377329462644e-12</v>
      </c>
      <c r="AR31" s="5">
        <v>-1.2271241077276e-11</v>
      </c>
      <c r="AS31" s="5">
        <v>1.4283696693988e-12</v>
      </c>
      <c r="AT31" s="5">
        <v>3.0735376521475e-13</v>
      </c>
      <c r="AU31" s="5">
        <v>-1.0443925548883e-12</v>
      </c>
      <c r="AV31" s="5">
        <v>-9.673728391905e-12</v>
      </c>
      <c r="AW31" s="5">
        <v>-4.3562560888897e-12</v>
      </c>
      <c r="AX31" s="5">
        <v>1.957137361576e-11</v>
      </c>
      <c r="AY31" s="5">
        <v>7.9924179337404e-12</v>
      </c>
      <c r="AZ31" s="5">
        <v>-1.46613270017e-11</v>
      </c>
      <c r="BA31" s="5">
        <v>2.2386775761457e-12</v>
      </c>
      <c r="BB31" s="5">
        <v>-2.983850575162e-11</v>
      </c>
      <c r="BC31" s="3">
        <v>16065712.31326</v>
      </c>
      <c r="BD31" s="3">
        <v>4017219.9196141</v>
      </c>
      <c r="BE31" s="3">
        <v>-0.00054175968595863</v>
      </c>
      <c r="BF31" s="3">
        <v>0.0009947246325953</v>
      </c>
      <c r="BG31" s="3">
        <v>0.00025051526301559</v>
      </c>
      <c r="BH31" s="3">
        <v>-0.0030799914410191</v>
      </c>
      <c r="BI31" s="3">
        <v>199.74286832959</v>
      </c>
      <c r="BJ31" s="3">
        <v>99.892003099225</v>
      </c>
      <c r="BK31" s="3">
        <v>184.70922944262</v>
      </c>
      <c r="BL31" s="4"/>
      <c r="BM31" s="7"/>
    </row>
    <row r="32" spans="1:65">
      <c r="A32" s="3">
        <v>561009.22715099</v>
      </c>
      <c r="B32" s="3">
        <v>0.00020673290337602</v>
      </c>
      <c r="C32" s="6">
        <f t="shared" si="0"/>
        <v>2.09675790631525e-10</v>
      </c>
      <c r="D32" s="5">
        <v>2.2971551320382e-12</v>
      </c>
      <c r="E32" s="5">
        <v>2.7840989813257e-12</v>
      </c>
      <c r="F32" s="5">
        <v>2.7830980773358e-12</v>
      </c>
      <c r="G32" s="5">
        <v>2.7794191938447e-12</v>
      </c>
      <c r="H32" s="5">
        <v>2.2817037486177e-12</v>
      </c>
      <c r="I32" s="5">
        <v>2.2856528829693e-12</v>
      </c>
      <c r="J32" s="5">
        <v>2.2821605499538e-12</v>
      </c>
      <c r="K32" s="5">
        <v>2.3880756229481e-12</v>
      </c>
      <c r="L32" s="5">
        <v>2.3982042558198e-12</v>
      </c>
      <c r="M32" s="5">
        <v>2.3840764495908e-12</v>
      </c>
      <c r="N32" s="5">
        <v>2.5246902165837e-12</v>
      </c>
      <c r="O32" s="5">
        <v>2.2816617918987e-12</v>
      </c>
      <c r="P32" s="5">
        <v>2.5190322482796e-12</v>
      </c>
      <c r="Q32" s="5">
        <v>2.5376489755231e-12</v>
      </c>
      <c r="R32" s="5">
        <v>2.7732206174351e-12</v>
      </c>
      <c r="S32" s="5">
        <v>2.7698914532393e-12</v>
      </c>
      <c r="T32" s="5">
        <v>2.7742884740319e-12</v>
      </c>
      <c r="U32" s="5">
        <v>2.2849422311129e-12</v>
      </c>
      <c r="V32" s="5">
        <v>2.3933262928284e-12</v>
      </c>
      <c r="W32" s="5">
        <v>2.4046681115589e-12</v>
      </c>
      <c r="X32" s="5">
        <v>2.3944966954608e-12</v>
      </c>
      <c r="Y32" s="5">
        <v>2.5259240012789e-12</v>
      </c>
      <c r="Z32" s="5">
        <v>2.545077380879e-12</v>
      </c>
      <c r="AA32" s="5">
        <v>2.5533102882742e-12</v>
      </c>
      <c r="AB32" s="3">
        <v>0.37916548026382</v>
      </c>
      <c r="AC32" s="3">
        <v>0.13689897365238</v>
      </c>
      <c r="AD32" s="3">
        <v>0.0010097301898017</v>
      </c>
      <c r="AE32" s="5">
        <v>9.9841732554637e-13</v>
      </c>
      <c r="AF32" s="5">
        <v>1.6405486722954e-11</v>
      </c>
      <c r="AG32" s="5">
        <v>1.4892246483854e-11</v>
      </c>
      <c r="AH32" s="5">
        <v>9.7172669595928e-12</v>
      </c>
      <c r="AI32" s="5">
        <v>2.5753526554827e-13</v>
      </c>
      <c r="AJ32" s="5">
        <v>2.4243128658064e-12</v>
      </c>
      <c r="AK32" s="5">
        <v>1.2802683965489e-12</v>
      </c>
      <c r="AL32" s="5">
        <v>3.1402913045807e-12</v>
      </c>
      <c r="AM32" s="5">
        <v>1.0874375204298e-12</v>
      </c>
      <c r="AN32" s="5">
        <v>-8.5041724950438e-13</v>
      </c>
      <c r="AO32" s="5">
        <v>5.6502326392286e-13</v>
      </c>
      <c r="AP32" s="5">
        <v>-4.0835867562673e-12</v>
      </c>
      <c r="AQ32" s="5">
        <v>1.84345066189e-12</v>
      </c>
      <c r="AR32" s="5">
        <v>-1.1671227286807e-11</v>
      </c>
      <c r="AS32" s="5">
        <v>1.4042995295032e-12</v>
      </c>
      <c r="AT32" s="5">
        <v>2.9639188988025e-13</v>
      </c>
      <c r="AU32" s="5">
        <v>-9.1806561476081e-13</v>
      </c>
      <c r="AV32" s="5">
        <v>-9.1923329106609e-12</v>
      </c>
      <c r="AW32" s="5">
        <v>-4.4058889674892e-12</v>
      </c>
      <c r="AX32" s="5">
        <v>1.8289439247638e-11</v>
      </c>
      <c r="AY32" s="5">
        <v>7.6931690822274e-12</v>
      </c>
      <c r="AZ32" s="5">
        <v>-1.4027111594635e-11</v>
      </c>
      <c r="BA32" s="5">
        <v>1.7691991941257e-12</v>
      </c>
      <c r="BB32" s="5">
        <v>-2.8100884239463e-11</v>
      </c>
      <c r="BC32" s="3">
        <v>16070056.731211</v>
      </c>
      <c r="BD32" s="3">
        <v>4018462.8418894</v>
      </c>
      <c r="BE32" s="3">
        <v>-0.00055231081352052</v>
      </c>
      <c r="BF32" s="3">
        <v>0.001007516790534</v>
      </c>
      <c r="BG32" s="3">
        <v>0.00025192263196608</v>
      </c>
      <c r="BH32" s="3">
        <v>-0.0031394037104014</v>
      </c>
      <c r="BI32" s="3">
        <v>199.74258619032</v>
      </c>
      <c r="BJ32" s="3">
        <v>99.892015876055</v>
      </c>
      <c r="BK32" s="3">
        <v>184.77047917789</v>
      </c>
      <c r="BL32" s="4"/>
      <c r="BM32" s="7"/>
    </row>
    <row r="33" spans="1:65">
      <c r="A33" s="3">
        <v>629462.7058971</v>
      </c>
      <c r="B33" s="3">
        <v>0.00022272338383582</v>
      </c>
      <c r="C33" s="6">
        <f t="shared" si="0"/>
        <v>2.02316238550359e-10</v>
      </c>
      <c r="D33" s="5">
        <v>2.2988211969169e-12</v>
      </c>
      <c r="E33" s="5">
        <v>2.7855588496702e-12</v>
      </c>
      <c r="F33" s="5">
        <v>2.7845039695531e-12</v>
      </c>
      <c r="G33" s="5">
        <v>2.7808956033881e-12</v>
      </c>
      <c r="H33" s="5">
        <v>2.2823747621682e-12</v>
      </c>
      <c r="I33" s="5">
        <v>2.2866279461628e-12</v>
      </c>
      <c r="J33" s="5">
        <v>2.2827242247491e-12</v>
      </c>
      <c r="K33" s="5">
        <v>2.3884943256191e-12</v>
      </c>
      <c r="L33" s="5">
        <v>2.3993722444247e-12</v>
      </c>
      <c r="M33" s="5">
        <v>2.3841798652932e-12</v>
      </c>
      <c r="N33" s="5">
        <v>2.5253029779446e-12</v>
      </c>
      <c r="O33" s="5">
        <v>2.2823332582863e-12</v>
      </c>
      <c r="P33" s="5">
        <v>2.5190688744188e-12</v>
      </c>
      <c r="Q33" s="5">
        <v>2.5387990653524e-12</v>
      </c>
      <c r="R33" s="5">
        <v>2.7740462467421e-12</v>
      </c>
      <c r="S33" s="5">
        <v>2.7704845276431e-12</v>
      </c>
      <c r="T33" s="5">
        <v>2.775277543113e-12</v>
      </c>
      <c r="U33" s="5">
        <v>2.2858404372679e-12</v>
      </c>
      <c r="V33" s="5">
        <v>2.3941741212167e-12</v>
      </c>
      <c r="W33" s="5">
        <v>2.4063035846007e-12</v>
      </c>
      <c r="X33" s="5">
        <v>2.3954400046182e-12</v>
      </c>
      <c r="Y33" s="5">
        <v>2.526590130976e-12</v>
      </c>
      <c r="Z33" s="5">
        <v>2.5467714095318e-12</v>
      </c>
      <c r="AA33" s="5">
        <v>2.5554690358035e-12</v>
      </c>
      <c r="AB33" s="3">
        <v>0.38353382863257</v>
      </c>
      <c r="AC33" s="3">
        <v>0.13676024747291</v>
      </c>
      <c r="AD33" s="3">
        <v>0.0010247621165757</v>
      </c>
      <c r="AE33" s="5">
        <v>1.1690131037495e-12</v>
      </c>
      <c r="AF33" s="5">
        <v>1.5582504839173e-11</v>
      </c>
      <c r="AG33" s="5">
        <v>1.4108498965339e-11</v>
      </c>
      <c r="AH33" s="5">
        <v>9.3976140051152e-12</v>
      </c>
      <c r="AI33" s="5">
        <v>3.4196365209806e-13</v>
      </c>
      <c r="AJ33" s="5">
        <v>2.1522604356347e-12</v>
      </c>
      <c r="AK33" s="5">
        <v>1.3439801507856e-12</v>
      </c>
      <c r="AL33" s="5">
        <v>2.9071559632981e-12</v>
      </c>
      <c r="AM33" s="5">
        <v>1.0851410384915e-12</v>
      </c>
      <c r="AN33" s="5">
        <v>-8.4198590070169e-13</v>
      </c>
      <c r="AO33" s="5">
        <v>3.3290322673503e-13</v>
      </c>
      <c r="AP33" s="5">
        <v>-4.1099156388852e-12</v>
      </c>
      <c r="AQ33" s="5">
        <v>1.7455759465149e-12</v>
      </c>
      <c r="AR33" s="5">
        <v>-1.1129259970275e-11</v>
      </c>
      <c r="AS33" s="5">
        <v>1.3691184595044e-12</v>
      </c>
      <c r="AT33" s="5">
        <v>2.849289169896e-13</v>
      </c>
      <c r="AU33" s="5">
        <v>-8.2394712499839e-13</v>
      </c>
      <c r="AV33" s="5">
        <v>-8.7232448857367e-12</v>
      </c>
      <c r="AW33" s="5">
        <v>-4.4296982113537e-12</v>
      </c>
      <c r="AX33" s="5">
        <v>1.7079458779783e-11</v>
      </c>
      <c r="AY33" s="5">
        <v>7.3859582363718e-12</v>
      </c>
      <c r="AZ33" s="5">
        <v>-1.3400516724815e-11</v>
      </c>
      <c r="BA33" s="5">
        <v>1.343872268058e-12</v>
      </c>
      <c r="BB33" s="5">
        <v>-2.6476615979474e-11</v>
      </c>
      <c r="BC33" s="3">
        <v>16074658.017268</v>
      </c>
      <c r="BD33" s="3">
        <v>4019789.7701548</v>
      </c>
      <c r="BE33" s="3">
        <v>-0.00056362788603065</v>
      </c>
      <c r="BF33" s="3">
        <v>0.0010213660408696</v>
      </c>
      <c r="BG33" s="3">
        <v>0.00025348615290314</v>
      </c>
      <c r="BH33" s="3">
        <v>-0.0032019826250729</v>
      </c>
      <c r="BI33" s="3">
        <v>199.74230945235</v>
      </c>
      <c r="BJ33" s="3">
        <v>99.892029440561</v>
      </c>
      <c r="BK33" s="3">
        <v>184.83450446545</v>
      </c>
      <c r="BL33" s="4"/>
      <c r="BM33" s="7"/>
    </row>
    <row r="34" spans="1:65">
      <c r="A34" s="3">
        <v>706268.77231139</v>
      </c>
      <c r="B34" s="3">
        <v>0.00023993778989461</v>
      </c>
      <c r="C34" s="6">
        <f t="shared" si="0"/>
        <v>1.95346291511273e-10</v>
      </c>
      <c r="D34" s="5">
        <v>2.3005427695086e-12</v>
      </c>
      <c r="E34" s="5">
        <v>2.7871234215153e-12</v>
      </c>
      <c r="F34" s="5">
        <v>2.7860101098717e-12</v>
      </c>
      <c r="G34" s="5">
        <v>2.7824890788644e-12</v>
      </c>
      <c r="H34" s="5">
        <v>2.2830401080705e-12</v>
      </c>
      <c r="I34" s="5">
        <v>2.287630845425e-12</v>
      </c>
      <c r="J34" s="5">
        <v>2.283255417792e-12</v>
      </c>
      <c r="K34" s="5">
        <v>2.3889431686313e-12</v>
      </c>
      <c r="L34" s="5">
        <v>2.4006212716645e-12</v>
      </c>
      <c r="M34" s="5">
        <v>2.3842915778618e-12</v>
      </c>
      <c r="N34" s="5">
        <v>2.5259943577132e-12</v>
      </c>
      <c r="O34" s="5">
        <v>2.2830024800242e-12</v>
      </c>
      <c r="P34" s="5">
        <v>2.5191290481453e-12</v>
      </c>
      <c r="Q34" s="5">
        <v>2.5400460556398e-12</v>
      </c>
      <c r="R34" s="5">
        <v>2.7749406658703e-12</v>
      </c>
      <c r="S34" s="5">
        <v>2.7711280191838e-12</v>
      </c>
      <c r="T34" s="5">
        <v>2.7763532280356e-12</v>
      </c>
      <c r="U34" s="5">
        <v>2.2867384734837e-12</v>
      </c>
      <c r="V34" s="5">
        <v>2.3950925912784e-12</v>
      </c>
      <c r="W34" s="5">
        <v>2.4080467604568e-12</v>
      </c>
      <c r="X34" s="5">
        <v>2.3964457925256e-12</v>
      </c>
      <c r="Y34" s="5">
        <v>2.527335288083e-12</v>
      </c>
      <c r="Z34" s="5">
        <v>2.548594447884e-12</v>
      </c>
      <c r="AA34" s="5">
        <v>2.5577819593233e-12</v>
      </c>
      <c r="AB34" s="3">
        <v>0.38821109963448</v>
      </c>
      <c r="AC34" s="3">
        <v>0.13696157347005</v>
      </c>
      <c r="AD34" s="3">
        <v>0.0010409977261591</v>
      </c>
      <c r="AE34" s="5">
        <v>1.3297368170695e-12</v>
      </c>
      <c r="AF34" s="5">
        <v>1.4824215015933e-11</v>
      </c>
      <c r="AG34" s="5">
        <v>1.3393124579493e-11</v>
      </c>
      <c r="AH34" s="5">
        <v>9.0697774150663e-12</v>
      </c>
      <c r="AI34" s="5">
        <v>4.1441717755196e-13</v>
      </c>
      <c r="AJ34" s="5">
        <v>1.9068947787976e-12</v>
      </c>
      <c r="AK34" s="5">
        <v>1.4027850492872e-12</v>
      </c>
      <c r="AL34" s="5">
        <v>2.6988477865496e-12</v>
      </c>
      <c r="AM34" s="5">
        <v>1.0890839888859e-12</v>
      </c>
      <c r="AN34" s="5">
        <v>-8.375568379412e-13</v>
      </c>
      <c r="AO34" s="5">
        <v>1.1820559650007e-13</v>
      </c>
      <c r="AP34" s="5">
        <v>-4.1114737680786e-12</v>
      </c>
      <c r="AQ34" s="5">
        <v>1.643730824751e-12</v>
      </c>
      <c r="AR34" s="5">
        <v>-1.0640587063618e-11</v>
      </c>
      <c r="AS34" s="5">
        <v>1.3246489857647e-12</v>
      </c>
      <c r="AT34" s="5">
        <v>2.7156710928395e-13</v>
      </c>
      <c r="AU34" s="5">
        <v>-7.6008184037648e-13</v>
      </c>
      <c r="AV34" s="5">
        <v>-8.2698899597499e-12</v>
      </c>
      <c r="AW34" s="5">
        <v>-4.4244904946787e-12</v>
      </c>
      <c r="AX34" s="5">
        <v>1.5940363044508e-11</v>
      </c>
      <c r="AY34" s="5">
        <v>7.0722175769343e-12</v>
      </c>
      <c r="AZ34" s="5">
        <v>-1.2783864932125e-11</v>
      </c>
      <c r="BA34" s="5">
        <v>9.6549315702695e-13</v>
      </c>
      <c r="BB34" s="5">
        <v>-2.4956464954361e-11</v>
      </c>
      <c r="BC34" s="3">
        <v>16079530.521126</v>
      </c>
      <c r="BD34" s="3">
        <v>4021206.4525346</v>
      </c>
      <c r="BE34" s="3">
        <v>-0.00057577058279251</v>
      </c>
      <c r="BF34" s="3">
        <v>0.0010363698211092</v>
      </c>
      <c r="BG34" s="3">
        <v>0.0002552229656643</v>
      </c>
      <c r="BH34" s="3">
        <v>-0.0032680326392451</v>
      </c>
      <c r="BI34" s="3">
        <v>199.74203915318</v>
      </c>
      <c r="BJ34" s="3">
        <v>99.892043900427</v>
      </c>
      <c r="BK34" s="3">
        <v>184.90121276095</v>
      </c>
      <c r="BL34" s="4"/>
      <c r="BM34" s="7"/>
    </row>
    <row r="35" spans="1:65">
      <c r="A35" s="3">
        <v>792446.59623057</v>
      </c>
      <c r="B35" s="3">
        <v>0.00025847742770723</v>
      </c>
      <c r="C35" s="6">
        <f t="shared" si="0"/>
        <v>1.88747989923191e-10</v>
      </c>
      <c r="D35" s="5">
        <v>2.3023231766789e-12</v>
      </c>
      <c r="E35" s="5">
        <v>2.788802642107e-12</v>
      </c>
      <c r="F35" s="5">
        <v>2.7876274114823e-12</v>
      </c>
      <c r="G35" s="5">
        <v>2.7842082235008e-12</v>
      </c>
      <c r="H35" s="5">
        <v>2.2836970376734e-12</v>
      </c>
      <c r="I35" s="5">
        <v>2.2886630226827e-12</v>
      </c>
      <c r="J35" s="5">
        <v>2.2837483860072e-12</v>
      </c>
      <c r="K35" s="5">
        <v>2.3893990797546e-12</v>
      </c>
      <c r="L35" s="5">
        <v>2.4019322895084e-12</v>
      </c>
      <c r="M35" s="5">
        <v>2.3843863742864e-12</v>
      </c>
      <c r="N35" s="5">
        <v>2.5267753218942e-12</v>
      </c>
      <c r="O35" s="5">
        <v>2.2836670958988e-12</v>
      </c>
      <c r="P35" s="5">
        <v>2.5192198313269e-12</v>
      </c>
      <c r="Q35" s="5">
        <v>2.5414047646748e-12</v>
      </c>
      <c r="R35" s="5">
        <v>2.7759122256645e-12</v>
      </c>
      <c r="S35" s="5">
        <v>2.7718272789838e-12</v>
      </c>
      <c r="T35" s="5">
        <v>2.7775244175981e-12</v>
      </c>
      <c r="U35" s="5">
        <v>2.2876326113183e-12</v>
      </c>
      <c r="V35" s="5">
        <v>2.3960620488002e-12</v>
      </c>
      <c r="W35" s="5">
        <v>2.4098799019863e-12</v>
      </c>
      <c r="X35" s="5">
        <v>2.397491308213e-12</v>
      </c>
      <c r="Y35" s="5">
        <v>2.5281706811368e-12</v>
      </c>
      <c r="Z35" s="5">
        <v>2.5505614167167e-12</v>
      </c>
      <c r="AA35" s="5">
        <v>2.5602667580441e-12</v>
      </c>
      <c r="AB35" s="3">
        <v>0.39317152486092</v>
      </c>
      <c r="AC35" s="3">
        <v>0.13752261398759</v>
      </c>
      <c r="AD35" s="3">
        <v>0.0010585449370192</v>
      </c>
      <c r="AE35" s="5">
        <v>1.479312738479e-12</v>
      </c>
      <c r="AF35" s="5">
        <v>1.4124550730202e-11</v>
      </c>
      <c r="AG35" s="5">
        <v>1.2743799656749e-11</v>
      </c>
      <c r="AH35" s="5">
        <v>8.7360154557745e-12</v>
      </c>
      <c r="AI35" s="5">
        <v>4.7450720507205e-13</v>
      </c>
      <c r="AJ35" s="5">
        <v>1.6900501271193e-12</v>
      </c>
      <c r="AK35" s="5">
        <v>1.4565180725826e-12</v>
      </c>
      <c r="AL35" s="5">
        <v>2.5153693403596e-12</v>
      </c>
      <c r="AM35" s="5">
        <v>1.100707514431e-12</v>
      </c>
      <c r="AN35" s="5">
        <v>-8.3824993414754e-13</v>
      </c>
      <c r="AO35" s="5">
        <v>-7.0539583701138e-14</v>
      </c>
      <c r="AP35" s="5">
        <v>-4.0860705534007e-12</v>
      </c>
      <c r="AQ35" s="5">
        <v>1.5378418573519e-12</v>
      </c>
      <c r="AR35" s="5">
        <v>-1.0200554618808e-11</v>
      </c>
      <c r="AS35" s="5">
        <v>1.2726034241694e-12</v>
      </c>
      <c r="AT35" s="5">
        <v>2.5493329908741e-13</v>
      </c>
      <c r="AU35" s="5">
        <v>-7.2433200292249e-13</v>
      </c>
      <c r="AV35" s="5">
        <v>-7.8345754215388e-12</v>
      </c>
      <c r="AW35" s="5">
        <v>-4.387787578322e-12</v>
      </c>
      <c r="AX35" s="5">
        <v>1.4870569934948e-11</v>
      </c>
      <c r="AY35" s="5">
        <v>6.7526085503338e-12</v>
      </c>
      <c r="AZ35" s="5">
        <v>-1.217947958002e-11</v>
      </c>
      <c r="BA35" s="5">
        <v>6.3651879880887e-13</v>
      </c>
      <c r="BB35" s="5">
        <v>-2.3532133064261e-11</v>
      </c>
      <c r="BC35" s="3">
        <v>16084689.408639</v>
      </c>
      <c r="BD35" s="3">
        <v>4022719.0798958</v>
      </c>
      <c r="BE35" s="3">
        <v>-0.00058880434101805</v>
      </c>
      <c r="BF35" s="3">
        <v>0.0010526357121499</v>
      </c>
      <c r="BG35" s="3">
        <v>0.00025715259080855</v>
      </c>
      <c r="BH35" s="3">
        <v>-0.0033379198066301</v>
      </c>
      <c r="BI35" s="3">
        <v>199.74177587856</v>
      </c>
      <c r="BJ35" s="3">
        <v>99.89205935816</v>
      </c>
      <c r="BK35" s="3">
        <v>184.9704877018</v>
      </c>
      <c r="BL35" s="4"/>
      <c r="BM35" s="7"/>
    </row>
    <row r="36" spans="1:65">
      <c r="A36" s="3">
        <v>889139.70501948</v>
      </c>
      <c r="B36" s="3">
        <v>0.00027845349215544</v>
      </c>
      <c r="C36" s="6">
        <f t="shared" si="0"/>
        <v>1.82501742931075e-10</v>
      </c>
      <c r="D36" s="5">
        <v>2.3041914239478e-12</v>
      </c>
      <c r="E36" s="5">
        <v>2.790635267657e-12</v>
      </c>
      <c r="F36" s="5">
        <v>2.7893962932718e-12</v>
      </c>
      <c r="G36" s="5">
        <v>2.7860901770842e-12</v>
      </c>
      <c r="H36" s="5">
        <v>2.2843678239382e-12</v>
      </c>
      <c r="I36" s="5">
        <v>2.2897509675012e-12</v>
      </c>
      <c r="J36" s="5">
        <v>2.2842223537676e-12</v>
      </c>
      <c r="K36" s="5">
        <v>2.3898585528233e-12</v>
      </c>
      <c r="L36" s="5">
        <v>2.4033063380661e-12</v>
      </c>
      <c r="M36" s="5">
        <v>2.3844584508124e-12</v>
      </c>
      <c r="N36" s="5">
        <v>2.5276345731316e-12</v>
      </c>
      <c r="O36" s="5">
        <v>2.2843495037507e-12</v>
      </c>
      <c r="P36" s="5">
        <v>2.5193261697428e-12</v>
      </c>
      <c r="Q36" s="5">
        <v>2.5428682725645e-12</v>
      </c>
      <c r="R36" s="5">
        <v>2.7769984399115e-12</v>
      </c>
      <c r="S36" s="5">
        <v>2.7726161797455e-12</v>
      </c>
      <c r="T36" s="5">
        <v>2.7788290569038e-12</v>
      </c>
      <c r="U36" s="5">
        <v>2.2885440811829e-12</v>
      </c>
      <c r="V36" s="5">
        <v>2.3970824126204e-12</v>
      </c>
      <c r="W36" s="5">
        <v>2.4118056227595e-12</v>
      </c>
      <c r="X36" s="5">
        <v>2.398573517263e-12</v>
      </c>
      <c r="Y36" s="5">
        <v>2.5290856482866e-12</v>
      </c>
      <c r="Z36" s="5">
        <v>2.5526656534287e-12</v>
      </c>
      <c r="AA36" s="5">
        <v>2.5629171030458e-12</v>
      </c>
      <c r="AB36" s="3">
        <v>0.39838831625302</v>
      </c>
      <c r="AC36" s="3">
        <v>0.13845803829564</v>
      </c>
      <c r="AD36" s="3">
        <v>0.001077522916408</v>
      </c>
      <c r="AE36" s="5">
        <v>1.6164844149605e-12</v>
      </c>
      <c r="AF36" s="5">
        <v>1.3477142969476e-11</v>
      </c>
      <c r="AG36" s="5">
        <v>1.2157637362773e-11</v>
      </c>
      <c r="AH36" s="5">
        <v>8.3983701631366e-12</v>
      </c>
      <c r="AI36" s="5">
        <v>5.216887203194e-13</v>
      </c>
      <c r="AJ36" s="5">
        <v>1.5026398600898e-12</v>
      </c>
      <c r="AK36" s="5">
        <v>1.5049110933705e-12</v>
      </c>
      <c r="AL36" s="5">
        <v>2.3562939442228e-12</v>
      </c>
      <c r="AM36" s="5">
        <v>1.1210799177954e-12</v>
      </c>
      <c r="AN36" s="5">
        <v>-8.4535212794066e-13</v>
      </c>
      <c r="AO36" s="5">
        <v>-2.2645155546036e-13</v>
      </c>
      <c r="AP36" s="5">
        <v>-4.0315851937553e-12</v>
      </c>
      <c r="AQ36" s="5">
        <v>1.4282706502963e-12</v>
      </c>
      <c r="AR36" s="5">
        <v>-9.8047358483451e-12</v>
      </c>
      <c r="AS36" s="5">
        <v>1.2145426833113e-12</v>
      </c>
      <c r="AT36" s="5">
        <v>2.3369252975065e-13</v>
      </c>
      <c r="AU36" s="5">
        <v>-7.1447153981516e-13</v>
      </c>
      <c r="AV36" s="5">
        <v>-7.4183667436243e-12</v>
      </c>
      <c r="AW36" s="5">
        <v>-4.3181891636725e-12</v>
      </c>
      <c r="AX36" s="5">
        <v>1.3868056610168e-11</v>
      </c>
      <c r="AY36" s="5">
        <v>6.4272832325728e-12</v>
      </c>
      <c r="AZ36" s="5">
        <v>-1.158926550477e-11</v>
      </c>
      <c r="BA36" s="5">
        <v>3.5798646899259e-13</v>
      </c>
      <c r="BB36" s="5">
        <v>-2.2196547364238e-11</v>
      </c>
      <c r="BC36" s="3">
        <v>16090150.557258</v>
      </c>
      <c r="BD36" s="3">
        <v>4024334.2903002</v>
      </c>
      <c r="BE36" s="3">
        <v>-0.00060280081556558</v>
      </c>
      <c r="BF36" s="3">
        <v>0.0010702823730333</v>
      </c>
      <c r="BG36" s="3">
        <v>0.00025929727809549</v>
      </c>
      <c r="BH36" s="3">
        <v>-0.0034120465156955</v>
      </c>
      <c r="BI36" s="3">
        <v>199.74151962209</v>
      </c>
      <c r="BJ36" s="3">
        <v>99.892075925197</v>
      </c>
      <c r="BK36" s="3">
        <v>185.04219432353</v>
      </c>
      <c r="BL36" s="4"/>
      <c r="BM36" s="7"/>
    </row>
    <row r="37" spans="1:65">
      <c r="A37" s="3">
        <v>997631.15748446</v>
      </c>
      <c r="B37" s="3">
        <v>0.00029998812509702</v>
      </c>
      <c r="C37" s="6">
        <f t="shared" si="0"/>
        <v>1.76587634358421e-10</v>
      </c>
      <c r="D37" s="5">
        <v>2.306118795148e-12</v>
      </c>
      <c r="E37" s="5">
        <v>2.7925863846883e-12</v>
      </c>
      <c r="F37" s="5">
        <v>2.7912843719515e-12</v>
      </c>
      <c r="G37" s="5">
        <v>2.788098192096e-12</v>
      </c>
      <c r="H37" s="5">
        <v>2.2850164629775e-12</v>
      </c>
      <c r="I37" s="5">
        <v>2.290862806088e-12</v>
      </c>
      <c r="J37" s="5">
        <v>2.2846382549688e-12</v>
      </c>
      <c r="K37" s="5">
        <v>2.3903263203532e-12</v>
      </c>
      <c r="L37" s="5">
        <v>2.4047531793171e-12</v>
      </c>
      <c r="M37" s="5">
        <v>2.3845101761707e-12</v>
      </c>
      <c r="N37" s="5">
        <v>2.5285771699132e-12</v>
      </c>
      <c r="O37" s="5">
        <v>2.2850134745945e-12</v>
      </c>
      <c r="P37" s="5">
        <v>2.5194499083845e-12</v>
      </c>
      <c r="Q37" s="5">
        <v>2.5444477533237e-12</v>
      </c>
      <c r="R37" s="5">
        <v>2.7781635558214e-12</v>
      </c>
      <c r="S37" s="5">
        <v>2.773454718048e-12</v>
      </c>
      <c r="T37" s="5">
        <v>2.7802318288382e-12</v>
      </c>
      <c r="U37" s="5">
        <v>2.2894357653506e-12</v>
      </c>
      <c r="V37" s="5">
        <v>2.398161787158e-12</v>
      </c>
      <c r="W37" s="5">
        <v>2.4138356665436e-12</v>
      </c>
      <c r="X37" s="5">
        <v>2.3996978739821e-12</v>
      </c>
      <c r="Y37" s="5">
        <v>2.5300863379959e-12</v>
      </c>
      <c r="Z37" s="5">
        <v>2.5549175958952e-12</v>
      </c>
      <c r="AA37" s="5">
        <v>2.5657477750965e-12</v>
      </c>
      <c r="AB37" s="3">
        <v>0.40383370391732</v>
      </c>
      <c r="AC37" s="3">
        <v>0.13977534277506</v>
      </c>
      <c r="AD37" s="3">
        <v>0.0010980631417611</v>
      </c>
      <c r="AE37" s="5">
        <v>1.740033292927e-12</v>
      </c>
      <c r="AF37" s="5">
        <v>1.2875226503717e-11</v>
      </c>
      <c r="AG37" s="5">
        <v>1.1631115965407e-11</v>
      </c>
      <c r="AH37" s="5">
        <v>8.0592037656667e-12</v>
      </c>
      <c r="AI37" s="5">
        <v>5.5513131945239e-13</v>
      </c>
      <c r="AJ37" s="5">
        <v>1.3445687169172e-12</v>
      </c>
      <c r="AK37" s="5">
        <v>1.5476365085941e-12</v>
      </c>
      <c r="AL37" s="5">
        <v>2.2206142418445e-12</v>
      </c>
      <c r="AM37" s="5">
        <v>1.1501389327581e-12</v>
      </c>
      <c r="AN37" s="5">
        <v>-8.6005559863477e-13</v>
      </c>
      <c r="AO37" s="5">
        <v>-3.4588071199282e-13</v>
      </c>
      <c r="AP37" s="5">
        <v>-3.946303696012e-12</v>
      </c>
      <c r="AQ37" s="5">
        <v>1.3158601189785e-12</v>
      </c>
      <c r="AR37" s="5">
        <v>-9.4490650506832e-12</v>
      </c>
      <c r="AS37" s="5">
        <v>1.1518377539765e-12</v>
      </c>
      <c r="AT37" s="5">
        <v>2.0659493302329e-13</v>
      </c>
      <c r="AU37" s="5">
        <v>-7.2825090996958e-13</v>
      </c>
      <c r="AV37" s="5">
        <v>-7.0212055959956e-12</v>
      </c>
      <c r="AW37" s="5">
        <v>-4.2157314036162e-12</v>
      </c>
      <c r="AX37" s="5">
        <v>1.2930462789364e-11</v>
      </c>
      <c r="AY37" s="5">
        <v>6.0964395391428e-12</v>
      </c>
      <c r="AZ37" s="5">
        <v>-1.1014594703407e-11</v>
      </c>
      <c r="BA37" s="5">
        <v>1.2890531849958e-13</v>
      </c>
      <c r="BB37" s="5">
        <v>-2.0943901870702e-11</v>
      </c>
      <c r="BC37" s="3">
        <v>16095930.438652</v>
      </c>
      <c r="BD37" s="3">
        <v>4026059.1735241</v>
      </c>
      <c r="BE37" s="3">
        <v>-0.00061783831496858</v>
      </c>
      <c r="BF37" s="3">
        <v>0.0010894406219722</v>
      </c>
      <c r="BG37" s="3">
        <v>0.00026168229180166</v>
      </c>
      <c r="BH37" s="3">
        <v>-0.0034908860660208</v>
      </c>
      <c r="BI37" s="3">
        <v>199.74126974517</v>
      </c>
      <c r="BJ37" s="3">
        <v>99.892093725556</v>
      </c>
      <c r="BK37" s="3">
        <v>185.11618135489</v>
      </c>
      <c r="BL37" s="4"/>
      <c r="BM37" s="7"/>
    </row>
    <row r="38" spans="1:65">
      <c r="A38" s="3">
        <v>1119360.5692842</v>
      </c>
      <c r="B38" s="3">
        <v>0.00032321572391652</v>
      </c>
      <c r="C38" s="6">
        <f t="shared" si="0"/>
        <v>1.70986734338632e-10</v>
      </c>
      <c r="D38" s="5">
        <v>2.308107736358e-12</v>
      </c>
      <c r="E38" s="5">
        <v>2.794647627265e-12</v>
      </c>
      <c r="F38" s="5">
        <v>2.7932868547302e-12</v>
      </c>
      <c r="G38" s="5">
        <v>2.7902219609909e-12</v>
      </c>
      <c r="H38" s="5">
        <v>2.2856377381153e-12</v>
      </c>
      <c r="I38" s="5">
        <v>2.291997214018e-12</v>
      </c>
      <c r="J38" s="5">
        <v>2.2849877954829e-12</v>
      </c>
      <c r="K38" s="5">
        <v>2.3908081249814e-12</v>
      </c>
      <c r="L38" s="5">
        <v>2.406283963827e-12</v>
      </c>
      <c r="M38" s="5">
        <v>2.3845449414591e-12</v>
      </c>
      <c r="N38" s="5">
        <v>2.5296291429903e-12</v>
      </c>
      <c r="O38" s="5">
        <v>2.2856531294015e-12</v>
      </c>
      <c r="P38" s="5">
        <v>2.5196142912074e-12</v>
      </c>
      <c r="Q38" s="5">
        <v>2.5461764849994e-12</v>
      </c>
      <c r="R38" s="5">
        <v>2.7793987298011e-12</v>
      </c>
      <c r="S38" s="5">
        <v>2.7743293317596e-12</v>
      </c>
      <c r="T38" s="5">
        <v>2.7817245418486e-12</v>
      </c>
      <c r="U38" s="5">
        <v>2.2903012203878e-12</v>
      </c>
      <c r="V38" s="5">
        <v>2.3993091668466e-12</v>
      </c>
      <c r="W38" s="5">
        <v>2.4159838048163e-12</v>
      </c>
      <c r="X38" s="5">
        <v>2.4008711012457e-12</v>
      </c>
      <c r="Y38" s="5">
        <v>2.531200275997e-12</v>
      </c>
      <c r="Z38" s="5">
        <v>2.55734940711e-12</v>
      </c>
      <c r="AA38" s="5">
        <v>2.5687959713856e-12</v>
      </c>
      <c r="AB38" s="3">
        <v>0.40948368746773</v>
      </c>
      <c r="AC38" s="3">
        <v>0.14147467406089</v>
      </c>
      <c r="AD38" s="3">
        <v>0.0011203106101799</v>
      </c>
      <c r="AE38" s="5">
        <v>1.8489371478845e-12</v>
      </c>
      <c r="AF38" s="5">
        <v>1.2311769646318e-11</v>
      </c>
      <c r="AG38" s="5">
        <v>1.1160035491378e-11</v>
      </c>
      <c r="AH38" s="5">
        <v>7.7214675898522e-12</v>
      </c>
      <c r="AI38" s="5">
        <v>5.7398044434672e-13</v>
      </c>
      <c r="AJ38" s="5">
        <v>1.2147753379987e-12</v>
      </c>
      <c r="AK38" s="5">
        <v>1.5844016184327e-12</v>
      </c>
      <c r="AL38" s="5">
        <v>2.1066294740542e-12</v>
      </c>
      <c r="AM38" s="5">
        <v>1.1862865689871e-12</v>
      </c>
      <c r="AN38" s="5">
        <v>-8.8315433216654e-13</v>
      </c>
      <c r="AO38" s="5">
        <v>-4.2947232033089e-13</v>
      </c>
      <c r="AP38" s="5">
        <v>-3.82948228306e-12</v>
      </c>
      <c r="AQ38" s="5">
        <v>1.2018832346367e-12</v>
      </c>
      <c r="AR38" s="5">
        <v>-9.1298108866114e-12</v>
      </c>
      <c r="AS38" s="5">
        <v>1.0855637207877e-12</v>
      </c>
      <c r="AT38" s="5">
        <v>1.7269927783743e-13</v>
      </c>
      <c r="AU38" s="5">
        <v>-7.6343059473784e-13</v>
      </c>
      <c r="AV38" s="5">
        <v>-6.6421943138318e-12</v>
      </c>
      <c r="AW38" s="5">
        <v>-4.0822218685611e-12</v>
      </c>
      <c r="AX38" s="5">
        <v>1.205529173236e-11</v>
      </c>
      <c r="AY38" s="5">
        <v>5.761184372384e-12</v>
      </c>
      <c r="AZ38" s="5">
        <v>-1.0456397303903e-11</v>
      </c>
      <c r="BA38" s="5">
        <v>-5.3708373541022e-14</v>
      </c>
      <c r="BB38" s="5">
        <v>-1.9769468766418e-11</v>
      </c>
      <c r="BC38" s="3">
        <v>16102046.028777</v>
      </c>
      <c r="BD38" s="3">
        <v>4027901.2880293</v>
      </c>
      <c r="BE38" s="3">
        <v>-0.0006340023059997</v>
      </c>
      <c r="BF38" s="3">
        <v>0.0011102547365688</v>
      </c>
      <c r="BG38" s="3">
        <v>0.00026433614651943</v>
      </c>
      <c r="BH38" s="3">
        <v>-0.0035749468316002</v>
      </c>
      <c r="BI38" s="3">
        <v>199.7410248832</v>
      </c>
      <c r="BJ38" s="3">
        <v>99.89211291043</v>
      </c>
      <c r="BK38" s="3">
        <v>185.19227955593</v>
      </c>
      <c r="BL38" s="4"/>
      <c r="BM38" s="7"/>
    </row>
    <row r="39" spans="1:65">
      <c r="A39" s="3">
        <v>1255943.2157548</v>
      </c>
      <c r="B39" s="3">
        <v>0.00034828442394444</v>
      </c>
      <c r="C39" s="6">
        <f t="shared" si="0"/>
        <v>1.65682018647742e-10</v>
      </c>
      <c r="D39" s="5">
        <v>2.3102060273938e-12</v>
      </c>
      <c r="E39" s="5">
        <v>2.796786357545e-12</v>
      </c>
      <c r="F39" s="5">
        <v>2.7953758670098e-12</v>
      </c>
      <c r="G39" s="5">
        <v>2.7924269471643e-12</v>
      </c>
      <c r="H39" s="5">
        <v>2.286273622375e-12</v>
      </c>
      <c r="I39" s="5">
        <v>2.2931976297729e-12</v>
      </c>
      <c r="J39" s="5">
        <v>2.2853077795204e-12</v>
      </c>
      <c r="K39" s="5">
        <v>2.3913097848434e-12</v>
      </c>
      <c r="L39" s="5">
        <v>2.4079101064877e-12</v>
      </c>
      <c r="M39" s="5">
        <v>2.3845662659709e-12</v>
      </c>
      <c r="N39" s="5">
        <v>2.530787003274e-12</v>
      </c>
      <c r="O39" s="5">
        <v>2.2863074188381e-12</v>
      </c>
      <c r="P39" s="5">
        <v>2.5198133340972e-12</v>
      </c>
      <c r="Q39" s="5">
        <v>2.5480591640519e-12</v>
      </c>
      <c r="R39" s="5">
        <v>2.780671028475e-12</v>
      </c>
      <c r="S39" s="5">
        <v>2.7752021675213e-12</v>
      </c>
      <c r="T39" s="5">
        <v>2.7832754729339e-12</v>
      </c>
      <c r="U39" s="5">
        <v>2.2911792289817e-12</v>
      </c>
      <c r="V39" s="5">
        <v>2.4005334354059e-12</v>
      </c>
      <c r="W39" s="5">
        <v>2.4182650349676e-12</v>
      </c>
      <c r="X39" s="5">
        <v>2.402100109833e-12</v>
      </c>
      <c r="Y39" s="5">
        <v>2.5324256912511e-12</v>
      </c>
      <c r="Z39" s="5">
        <v>2.5599644160428e-12</v>
      </c>
      <c r="AA39" s="5">
        <v>2.5720706415136e-12</v>
      </c>
      <c r="AB39" s="3">
        <v>0.41531588053355</v>
      </c>
      <c r="AC39" s="3">
        <v>0.14354901516262</v>
      </c>
      <c r="AD39" s="3">
        <v>0.0011444252200057</v>
      </c>
      <c r="AE39" s="5">
        <v>1.9427233313174e-12</v>
      </c>
      <c r="AF39" s="5">
        <v>1.177996178687e-11</v>
      </c>
      <c r="AG39" s="5">
        <v>1.0739510298147e-11</v>
      </c>
      <c r="AH39" s="5">
        <v>7.3882260051079e-12</v>
      </c>
      <c r="AI39" s="5">
        <v>5.7793391883165e-13</v>
      </c>
      <c r="AJ39" s="5">
        <v>1.1112928098627e-12</v>
      </c>
      <c r="AK39" s="5">
        <v>1.6151042036575e-12</v>
      </c>
      <c r="AL39" s="5">
        <v>2.0119070075018e-12</v>
      </c>
      <c r="AM39" s="5">
        <v>1.2266145411307e-12</v>
      </c>
      <c r="AN39" s="5">
        <v>-9.1476357128322e-13</v>
      </c>
      <c r="AO39" s="5">
        <v>-4.8209262121448e-13</v>
      </c>
      <c r="AP39" s="5">
        <v>-3.681878464541e-12</v>
      </c>
      <c r="AQ39" s="5">
        <v>1.0878877517575e-12</v>
      </c>
      <c r="AR39" s="5">
        <v>-8.8432271961254e-12</v>
      </c>
      <c r="AS39" s="5">
        <v>1.0163510704429e-12</v>
      </c>
      <c r="AT39" s="5">
        <v>1.318760826857e-13</v>
      </c>
      <c r="AU39" s="5">
        <v>-8.1781548609089e-13</v>
      </c>
      <c r="AV39" s="5">
        <v>-6.2799377481111e-12</v>
      </c>
      <c r="AW39" s="5">
        <v>-3.9214058753199e-12</v>
      </c>
      <c r="AX39" s="5">
        <v>1.123989804813e-11</v>
      </c>
      <c r="AY39" s="5">
        <v>5.4241899707597e-12</v>
      </c>
      <c r="AZ39" s="5">
        <v>-9.9154523815012e-12</v>
      </c>
      <c r="BA39" s="5">
        <v>-1.943115660429e-13</v>
      </c>
      <c r="BB39" s="5">
        <v>-1.8669294440707e-11</v>
      </c>
      <c r="BC39" s="3">
        <v>16108514.741032</v>
      </c>
      <c r="BD39" s="3">
        <v>4029868.6879515</v>
      </c>
      <c r="BE39" s="3">
        <v>-0.00065138595247617</v>
      </c>
      <c r="BF39" s="3">
        <v>0.0011328840251483</v>
      </c>
      <c r="BG39" s="3">
        <v>0.00026729080242317</v>
      </c>
      <c r="BH39" s="3">
        <v>-0.0036647779565588</v>
      </c>
      <c r="BI39" s="3">
        <v>199.74078297261</v>
      </c>
      <c r="BJ39" s="3">
        <v>99.892133691269</v>
      </c>
      <c r="BK39" s="3">
        <v>185.27029612884</v>
      </c>
      <c r="BL39" s="4"/>
      <c r="BM39" s="7"/>
    </row>
    <row r="40" spans="1:65">
      <c r="A40" s="3">
        <v>1409191.4656323</v>
      </c>
      <c r="B40" s="3">
        <v>0.00037535764096252</v>
      </c>
      <c r="C40" s="6">
        <f t="shared" si="0"/>
        <v>1.60658383387613e-10</v>
      </c>
      <c r="D40" s="5">
        <v>2.3124134190485e-12</v>
      </c>
      <c r="E40" s="5">
        <v>2.7989916851155e-12</v>
      </c>
      <c r="F40" s="5">
        <v>2.797546540572e-12</v>
      </c>
      <c r="G40" s="5">
        <v>2.7947005081284e-12</v>
      </c>
      <c r="H40" s="5">
        <v>2.2869137559834e-12</v>
      </c>
      <c r="I40" s="5">
        <v>2.2944588724121e-12</v>
      </c>
      <c r="J40" s="5">
        <v>2.2855867826485e-12</v>
      </c>
      <c r="K40" s="5">
        <v>2.3918364009637e-12</v>
      </c>
      <c r="L40" s="5">
        <v>2.4096422931848e-12</v>
      </c>
      <c r="M40" s="5">
        <v>2.3845769880933e-12</v>
      </c>
      <c r="N40" s="5">
        <v>2.5320443970378e-12</v>
      </c>
      <c r="O40" s="5">
        <v>2.2869664864136e-12</v>
      </c>
      <c r="P40" s="5">
        <v>2.5200382325608e-12</v>
      </c>
      <c r="Q40" s="5">
        <v>2.5500981988072e-12</v>
      </c>
      <c r="R40" s="5">
        <v>2.781969120779e-12</v>
      </c>
      <c r="S40" s="5">
        <v>2.7760571138977e-12</v>
      </c>
      <c r="T40" s="5">
        <v>2.7848755045752e-12</v>
      </c>
      <c r="U40" s="5">
        <v>2.2920597162552e-12</v>
      </c>
      <c r="V40" s="5">
        <v>2.4018425094037e-12</v>
      </c>
      <c r="W40" s="5">
        <v>2.4206949550811e-12</v>
      </c>
      <c r="X40" s="5">
        <v>2.4033908761132e-12</v>
      </c>
      <c r="Y40" s="5">
        <v>2.5337578970127e-12</v>
      </c>
      <c r="Z40" s="5">
        <v>2.5627636533232e-12</v>
      </c>
      <c r="AA40" s="5">
        <v>2.5755788613379e-12</v>
      </c>
      <c r="AB40" s="3">
        <v>0.42130168244698</v>
      </c>
      <c r="AC40" s="3">
        <v>0.14598681943008</v>
      </c>
      <c r="AD40" s="3">
        <v>0.001170583371592</v>
      </c>
      <c r="AE40" s="5">
        <v>2.0219226584469e-12</v>
      </c>
      <c r="AF40" s="5">
        <v>1.1273996482696e-11</v>
      </c>
      <c r="AG40" s="5">
        <v>1.0363986325403e-11</v>
      </c>
      <c r="AH40" s="5">
        <v>7.0616925904429e-12</v>
      </c>
      <c r="AI40" s="5">
        <v>5.6776182684664e-13</v>
      </c>
      <c r="AJ40" s="5">
        <v>1.031363225348e-12</v>
      </c>
      <c r="AK40" s="5">
        <v>1.639969189658e-12</v>
      </c>
      <c r="AL40" s="5">
        <v>1.9333911475705e-12</v>
      </c>
      <c r="AM40" s="5">
        <v>1.2679498976602e-12</v>
      </c>
      <c r="AN40" s="5">
        <v>-9.5411542740247e-13</v>
      </c>
      <c r="AO40" s="5">
        <v>-5.1153204541672e-13</v>
      </c>
      <c r="AP40" s="5">
        <v>-3.5060285659443e-12</v>
      </c>
      <c r="AQ40" s="5">
        <v>9.754710897775e-13</v>
      </c>
      <c r="AR40" s="5">
        <v>-8.5848457365184e-12</v>
      </c>
      <c r="AS40" s="5">
        <v>9.4431100505119e-13</v>
      </c>
      <c r="AT40" s="5">
        <v>8.5420353916582e-14</v>
      </c>
      <c r="AU40" s="5">
        <v>-8.892528482131e-13</v>
      </c>
      <c r="AV40" s="5">
        <v>-5.9329377410065e-12</v>
      </c>
      <c r="AW40" s="5">
        <v>-3.7389251962801e-12</v>
      </c>
      <c r="AX40" s="5">
        <v>1.0481023454909e-11</v>
      </c>
      <c r="AY40" s="5">
        <v>5.0896074906359e-12</v>
      </c>
      <c r="AZ40" s="5">
        <v>-9.392808446687e-12</v>
      </c>
      <c r="BA40" s="5">
        <v>-2.9812596793816e-13</v>
      </c>
      <c r="BB40" s="5">
        <v>-1.7639825041961e-11</v>
      </c>
      <c r="BC40" s="3">
        <v>16115354.402924</v>
      </c>
      <c r="BD40" s="3">
        <v>4031969.9743552</v>
      </c>
      <c r="BE40" s="3">
        <v>-0.00067009089871516</v>
      </c>
      <c r="BF40" s="3">
        <v>0.0011575046412306</v>
      </c>
      <c r="BG40" s="3">
        <v>0.00027058192424701</v>
      </c>
      <c r="BH40" s="3">
        <v>-0.0037609848310206</v>
      </c>
      <c r="BI40" s="3">
        <v>199.7405413597</v>
      </c>
      <c r="BJ40" s="3">
        <v>99.892156335586</v>
      </c>
      <c r="BK40" s="3">
        <v>185.35000737068</v>
      </c>
      <c r="BL40" s="4"/>
      <c r="BM40" s="7"/>
    </row>
    <row r="41" spans="1:65">
      <c r="A41" s="3">
        <v>1581138.8300842</v>
      </c>
      <c r="B41" s="3">
        <v>0.0004046156769484</v>
      </c>
      <c r="C41" s="6">
        <f t="shared" si="0"/>
        <v>1.55902645712251e-10</v>
      </c>
      <c r="D41" s="5">
        <v>2.3147059743984e-12</v>
      </c>
      <c r="E41" s="5">
        <v>2.8012712806647e-12</v>
      </c>
      <c r="F41" s="5">
        <v>2.7998137596793e-12</v>
      </c>
      <c r="G41" s="5">
        <v>2.7970486689992e-12</v>
      </c>
      <c r="H41" s="5">
        <v>2.287525199918e-12</v>
      </c>
      <c r="I41" s="5">
        <v>2.2957513445415e-12</v>
      </c>
      <c r="J41" s="5">
        <v>2.2857892624436e-12</v>
      </c>
      <c r="K41" s="5">
        <v>2.3923922510584e-12</v>
      </c>
      <c r="L41" s="5">
        <v>2.4114902688589e-12</v>
      </c>
      <c r="M41" s="5">
        <v>2.3845790739741e-12</v>
      </c>
      <c r="N41" s="5">
        <v>2.5333854751784e-12</v>
      </c>
      <c r="O41" s="5">
        <v>2.2875965135375e-12</v>
      </c>
      <c r="P41" s="5">
        <v>2.5202704486745e-12</v>
      </c>
      <c r="Q41" s="5">
        <v>2.5522865686987e-12</v>
      </c>
      <c r="R41" s="5">
        <v>2.7832996718621e-12</v>
      </c>
      <c r="S41" s="5">
        <v>2.776896489421e-12</v>
      </c>
      <c r="T41" s="5">
        <v>2.7865349683153e-12</v>
      </c>
      <c r="U41" s="5">
        <v>2.2929086052598e-12</v>
      </c>
      <c r="V41" s="5">
        <v>2.4032431747657e-12</v>
      </c>
      <c r="W41" s="5">
        <v>2.4232899090566e-12</v>
      </c>
      <c r="X41" s="5">
        <v>2.4047478936616e-12</v>
      </c>
      <c r="Y41" s="5">
        <v>2.5351823653265e-12</v>
      </c>
      <c r="Z41" s="5">
        <v>2.5657390841086e-12</v>
      </c>
      <c r="AA41" s="5">
        <v>2.5793188863568e-12</v>
      </c>
      <c r="AB41" s="3">
        <v>0.42740759613289</v>
      </c>
      <c r="AC41" s="3">
        <v>0.14877745969369</v>
      </c>
      <c r="AD41" s="3">
        <v>0.0011989798256176</v>
      </c>
      <c r="AE41" s="5">
        <v>2.0883303050651e-12</v>
      </c>
      <c r="AF41" s="5">
        <v>1.0789950700375e-11</v>
      </c>
      <c r="AG41" s="5">
        <v>1.0027367078682e-11</v>
      </c>
      <c r="AH41" s="5">
        <v>6.7426519628749e-12</v>
      </c>
      <c r="AI41" s="5">
        <v>5.4537520605645e-13</v>
      </c>
      <c r="AJ41" s="5">
        <v>9.7165306064023e-13</v>
      </c>
      <c r="AK41" s="5">
        <v>1.6596166876702e-12</v>
      </c>
      <c r="AL41" s="5">
        <v>1.8675893567417e-12</v>
      </c>
      <c r="AM41" s="5">
        <v>1.3080452168265e-12</v>
      </c>
      <c r="AN41" s="5">
        <v>-9.9950668486726e-13</v>
      </c>
      <c r="AO41" s="5">
        <v>-5.2657800378987e-13</v>
      </c>
      <c r="AP41" s="5">
        <v>-3.3061835138276e-12</v>
      </c>
      <c r="AQ41" s="5">
        <v>8.6607012923789e-13</v>
      </c>
      <c r="AR41" s="5">
        <v>-8.3489948924236e-12</v>
      </c>
      <c r="AS41" s="5">
        <v>8.6920806433062e-13</v>
      </c>
      <c r="AT41" s="5">
        <v>3.6304182004613e-14</v>
      </c>
      <c r="AU41" s="5">
        <v>-9.7559336885899e-13</v>
      </c>
      <c r="AV41" s="5">
        <v>-5.5999389279517e-12</v>
      </c>
      <c r="AW41" s="5">
        <v>-3.5419936272906e-12</v>
      </c>
      <c r="AX41" s="5">
        <v>9.7740774129987e-12</v>
      </c>
      <c r="AY41" s="5">
        <v>4.7620920783898e-12</v>
      </c>
      <c r="AZ41" s="5">
        <v>-8.8901836267365e-12</v>
      </c>
      <c r="BA41" s="5">
        <v>-3.7047897075243e-13</v>
      </c>
      <c r="BB41" s="5">
        <v>-1.6677674234312e-11</v>
      </c>
      <c r="BC41" s="3">
        <v>16122583.290381</v>
      </c>
      <c r="BD41" s="3">
        <v>4034214.3716864</v>
      </c>
      <c r="BE41" s="3">
        <v>-0.00069022827546801</v>
      </c>
      <c r="BF41" s="3">
        <v>0.0011843116902719</v>
      </c>
      <c r="BG41" s="3">
        <v>0.00027424928037765</v>
      </c>
      <c r="BH41" s="3">
        <v>-0.0038641832041878</v>
      </c>
      <c r="BI41" s="3">
        <v>199.74029694858</v>
      </c>
      <c r="BJ41" s="3">
        <v>99.892181173805</v>
      </c>
      <c r="BK41" s="3">
        <v>185.43114597764</v>
      </c>
      <c r="BL41" s="4"/>
      <c r="BM41" s="7"/>
    </row>
    <row r="42" spans="1:65">
      <c r="A42" s="3">
        <v>1774066.9461679</v>
      </c>
      <c r="B42" s="3">
        <v>0.00043625779268438</v>
      </c>
      <c r="C42" s="6">
        <f t="shared" si="0"/>
        <v>1.51403961683467e-10</v>
      </c>
      <c r="D42" s="5">
        <v>2.3170950024593e-12</v>
      </c>
      <c r="E42" s="5">
        <v>2.8036183843005e-12</v>
      </c>
      <c r="F42" s="5">
        <v>2.8021788990255e-12</v>
      </c>
      <c r="G42" s="5">
        <v>2.7994629073732e-12</v>
      </c>
      <c r="H42" s="5">
        <v>2.2881092585218e-12</v>
      </c>
      <c r="I42" s="5">
        <v>2.297079715597e-12</v>
      </c>
      <c r="J42" s="5">
        <v>2.2859140446865e-12</v>
      </c>
      <c r="K42" s="5">
        <v>2.3929812935257e-12</v>
      </c>
      <c r="L42" s="5">
        <v>2.413463400603e-12</v>
      </c>
      <c r="M42" s="5">
        <v>2.3845739824623e-12</v>
      </c>
      <c r="N42" s="5">
        <v>2.5347913243648e-12</v>
      </c>
      <c r="O42" s="5">
        <v>2.2881985155645e-12</v>
      </c>
      <c r="P42" s="5">
        <v>2.5204878693061e-12</v>
      </c>
      <c r="Q42" s="5">
        <v>2.5546136959208e-12</v>
      </c>
      <c r="R42" s="5">
        <v>2.7846539313024e-12</v>
      </c>
      <c r="S42" s="5">
        <v>2.7777077398878e-12</v>
      </c>
      <c r="T42" s="5">
        <v>2.7882505477544e-12</v>
      </c>
      <c r="U42" s="5">
        <v>2.2937261732256e-12</v>
      </c>
      <c r="V42" s="5">
        <v>2.4047415601546e-12</v>
      </c>
      <c r="W42" s="5">
        <v>2.426067817529e-12</v>
      </c>
      <c r="X42" s="5">
        <v>2.4061742777579e-12</v>
      </c>
      <c r="Y42" s="5">
        <v>2.5366809006349e-12</v>
      </c>
      <c r="Z42" s="5">
        <v>2.5688799085418e-12</v>
      </c>
      <c r="AA42" s="5">
        <v>2.5832863366783e-12</v>
      </c>
      <c r="AB42" s="3">
        <v>0.43359358845762</v>
      </c>
      <c r="AC42" s="3">
        <v>0.15191704817736</v>
      </c>
      <c r="AD42" s="3">
        <v>0.0012298300101686</v>
      </c>
      <c r="AE42" s="5">
        <v>2.1448243338386e-12</v>
      </c>
      <c r="AF42" s="5">
        <v>1.0326442670382e-11</v>
      </c>
      <c r="AG42" s="5">
        <v>9.7234505931044e-12</v>
      </c>
      <c r="AH42" s="5">
        <v>6.4310253699856e-12</v>
      </c>
      <c r="AI42" s="5">
        <v>5.1338836289114e-13</v>
      </c>
      <c r="AJ42" s="5">
        <v>9.28421253097e-13</v>
      </c>
      <c r="AK42" s="5">
        <v>1.6750443053119e-12</v>
      </c>
      <c r="AL42" s="5">
        <v>1.8109201517009e-12</v>
      </c>
      <c r="AM42" s="5">
        <v>1.34620967391e-12</v>
      </c>
      <c r="AN42" s="5">
        <v>-1.0484813753944e-12</v>
      </c>
      <c r="AO42" s="5">
        <v>-5.3522079319296e-13</v>
      </c>
      <c r="AP42" s="5">
        <v>-3.0879643353701e-12</v>
      </c>
      <c r="AQ42" s="5">
        <v>7.6088634451836e-13</v>
      </c>
      <c r="AR42" s="5">
        <v>-8.1293425920595e-12</v>
      </c>
      <c r="AS42" s="5">
        <v>7.908781801042e-13</v>
      </c>
      <c r="AT42" s="5">
        <v>-1.1358798154383e-14</v>
      </c>
      <c r="AU42" s="5">
        <v>-1.074715405897e-12</v>
      </c>
      <c r="AV42" s="5">
        <v>-5.2802061569109e-12</v>
      </c>
      <c r="AW42" s="5">
        <v>-3.3386440578921e-12</v>
      </c>
      <c r="AX42" s="5">
        <v>9.1130465070342e-12</v>
      </c>
      <c r="AY42" s="5">
        <v>4.4454936952174e-12</v>
      </c>
      <c r="AZ42" s="5">
        <v>-8.4101806057301e-12</v>
      </c>
      <c r="BA42" s="5">
        <v>-4.1620942082021e-13</v>
      </c>
      <c r="BB42" s="5">
        <v>-1.5779587646194e-11</v>
      </c>
      <c r="BC42" s="3">
        <v>16130220.334999</v>
      </c>
      <c r="BD42" s="3">
        <v>4036611.8640667</v>
      </c>
      <c r="BE42" s="3">
        <v>-0.00071192017610826</v>
      </c>
      <c r="BF42" s="3">
        <v>0.0012135217713671</v>
      </c>
      <c r="BG42" s="3">
        <v>0.00027833732022276</v>
      </c>
      <c r="BH42" s="3">
        <v>-0.0039750462623252</v>
      </c>
      <c r="BI42" s="3">
        <v>199.74004650842</v>
      </c>
      <c r="BJ42" s="3">
        <v>99.892208560628</v>
      </c>
      <c r="BK42" s="3">
        <v>185.51338225158</v>
      </c>
      <c r="BL42" s="4"/>
      <c r="BM42" s="7"/>
    </row>
    <row r="43" spans="1:65">
      <c r="A43" s="3">
        <v>1990535.8527675</v>
      </c>
      <c r="B43" s="3">
        <v>0.00047050534983337</v>
      </c>
      <c r="C43" s="6">
        <f t="shared" si="0"/>
        <v>1.4715463594049e-10</v>
      </c>
      <c r="D43" s="5">
        <v>2.3195924220113e-12</v>
      </c>
      <c r="E43" s="5">
        <v>2.8060215914301e-12</v>
      </c>
      <c r="F43" s="5">
        <v>2.8046391642325e-12</v>
      </c>
      <c r="G43" s="5">
        <v>2.8019295744689e-12</v>
      </c>
      <c r="H43" s="5">
        <v>2.2886664648798e-12</v>
      </c>
      <c r="I43" s="5">
        <v>2.298448016145e-12</v>
      </c>
      <c r="J43" s="5">
        <v>2.2859590453392e-12</v>
      </c>
      <c r="K43" s="5">
        <v>2.3936354591726e-12</v>
      </c>
      <c r="L43" s="5">
        <v>2.4155991977387e-12</v>
      </c>
      <c r="M43" s="5">
        <v>2.384590800745e-12</v>
      </c>
      <c r="N43" s="5">
        <v>2.536247987625e-12</v>
      </c>
      <c r="O43" s="5">
        <v>2.2887735877377e-12</v>
      </c>
      <c r="P43" s="5">
        <v>2.5206725849317e-12</v>
      </c>
      <c r="Q43" s="5">
        <v>2.5570730962658e-12</v>
      </c>
      <c r="R43" s="5">
        <v>2.7860171924577e-12</v>
      </c>
      <c r="S43" s="5">
        <v>2.7784727583411e-12</v>
      </c>
      <c r="T43" s="5">
        <v>2.7900146914455e-12</v>
      </c>
      <c r="U43" s="5">
        <v>2.2945119214638e-12</v>
      </c>
      <c r="V43" s="5">
        <v>2.4063714306914e-12</v>
      </c>
      <c r="W43" s="5">
        <v>2.429076841525e-12</v>
      </c>
      <c r="X43" s="5">
        <v>2.4076998256178e-12</v>
      </c>
      <c r="Y43" s="5">
        <v>2.5382394889136e-12</v>
      </c>
      <c r="Z43" s="5">
        <v>2.5721804959739e-12</v>
      </c>
      <c r="AA43" s="5">
        <v>2.5874821385052e-12</v>
      </c>
      <c r="AB43" s="3">
        <v>0.43981617391724</v>
      </c>
      <c r="AC43" s="3">
        <v>0.15541002659342</v>
      </c>
      <c r="AD43" s="3">
        <v>0.001263373002864</v>
      </c>
      <c r="AE43" s="5">
        <v>2.1945266025236e-12</v>
      </c>
      <c r="AF43" s="5">
        <v>9.8847378101243e-12</v>
      </c>
      <c r="AG43" s="5">
        <v>9.4466245090048e-12</v>
      </c>
      <c r="AH43" s="5">
        <v>6.1272569443034e-12</v>
      </c>
      <c r="AI43" s="5">
        <v>4.746091349002e-13</v>
      </c>
      <c r="AJ43" s="5">
        <v>8.9771025412916e-13</v>
      </c>
      <c r="AK43" s="5">
        <v>1.6875120917915e-12</v>
      </c>
      <c r="AL43" s="5">
        <v>1.7601618993683e-12</v>
      </c>
      <c r="AM43" s="5">
        <v>1.3829983332079e-12</v>
      </c>
      <c r="AN43" s="5">
        <v>-1.0982297561297e-12</v>
      </c>
      <c r="AO43" s="5">
        <v>-5.4341568376347e-13</v>
      </c>
      <c r="AP43" s="5">
        <v>-2.8578816496497e-12</v>
      </c>
      <c r="AQ43" s="5">
        <v>6.6105268724394e-13</v>
      </c>
      <c r="AR43" s="5">
        <v>-7.9206052748321e-12</v>
      </c>
      <c r="AS43" s="5">
        <v>7.0955615008334e-13</v>
      </c>
      <c r="AT43" s="5">
        <v>-5.3466435266876e-14</v>
      </c>
      <c r="AU43" s="5">
        <v>-1.1844539633578e-12</v>
      </c>
      <c r="AV43" s="5">
        <v>-4.9737313231913e-12</v>
      </c>
      <c r="AW43" s="5">
        <v>-3.1366893341296e-12</v>
      </c>
      <c r="AX43" s="5">
        <v>8.4915848489534e-12</v>
      </c>
      <c r="AY43" s="5">
        <v>4.142133153215e-12</v>
      </c>
      <c r="AZ43" s="5">
        <v>-7.9562494649616e-12</v>
      </c>
      <c r="BA43" s="5">
        <v>-4.3919804967789e-13</v>
      </c>
      <c r="BB43" s="5">
        <v>-1.4942597325237e-11</v>
      </c>
      <c r="BC43" s="3">
        <v>16138285.602937</v>
      </c>
      <c r="BD43" s="3">
        <v>4039173.4139729</v>
      </c>
      <c r="BE43" s="3">
        <v>-0.00073530165781747</v>
      </c>
      <c r="BF43" s="3">
        <v>0.0012453761745102</v>
      </c>
      <c r="BG43" s="3">
        <v>0.00028289589754606</v>
      </c>
      <c r="BH43" s="3">
        <v>-0.0040942519009607</v>
      </c>
      <c r="BI43" s="3">
        <v>199.73978684958</v>
      </c>
      <c r="BJ43" s="3">
        <v>99.892238853157</v>
      </c>
      <c r="BK43" s="3">
        <v>185.59630199037</v>
      </c>
      <c r="BL43" s="4"/>
      <c r="BM43" s="7"/>
    </row>
    <row r="44" spans="1:65">
      <c r="A44" s="3">
        <v>2233417.9607549</v>
      </c>
      <c r="B44" s="3">
        <v>0.00050760642179709</v>
      </c>
      <c r="C44" s="6">
        <f t="shared" si="0"/>
        <v>1.43150441384113e-10</v>
      </c>
      <c r="D44" s="5">
        <v>2.3222091723177e-12</v>
      </c>
      <c r="E44" s="5">
        <v>2.8084915550477e-12</v>
      </c>
      <c r="F44" s="5">
        <v>2.8072137657653e-12</v>
      </c>
      <c r="G44" s="5">
        <v>2.8044562274211e-12</v>
      </c>
      <c r="H44" s="5">
        <v>2.2891948183499e-12</v>
      </c>
      <c r="I44" s="5">
        <v>2.2998579546412e-12</v>
      </c>
      <c r="J44" s="5">
        <v>2.2859190393085e-12</v>
      </c>
      <c r="K44" s="5">
        <v>2.3943757925185e-12</v>
      </c>
      <c r="L44" s="5">
        <v>2.4179248496173e-12</v>
      </c>
      <c r="M44" s="5">
        <v>2.384647315687e-12</v>
      </c>
      <c r="N44" s="5">
        <v>2.5377878845329e-12</v>
      </c>
      <c r="O44" s="5">
        <v>2.289321215474e-12</v>
      </c>
      <c r="P44" s="5">
        <v>2.5208500663616e-12</v>
      </c>
      <c r="Q44" s="5">
        <v>2.5597019939448e-12</v>
      </c>
      <c r="R44" s="5">
        <v>2.7873952313605e-12</v>
      </c>
      <c r="S44" s="5">
        <v>2.7791940334055e-12</v>
      </c>
      <c r="T44" s="5">
        <v>2.7918418820986e-12</v>
      </c>
      <c r="U44" s="5">
        <v>2.2952625550799e-12</v>
      </c>
      <c r="V44" s="5">
        <v>2.4081554396396e-12</v>
      </c>
      <c r="W44" s="5">
        <v>2.4323569428045e-12</v>
      </c>
      <c r="X44" s="5">
        <v>2.4093421379169e-12</v>
      </c>
      <c r="Y44" s="5">
        <v>2.539887691825e-12</v>
      </c>
      <c r="Z44" s="5">
        <v>2.5756848467631e-12</v>
      </c>
      <c r="AA44" s="5">
        <v>2.591952096608e-12</v>
      </c>
      <c r="AB44" s="3">
        <v>0.44603775638313</v>
      </c>
      <c r="AC44" s="3">
        <v>0.15926173492987</v>
      </c>
      <c r="AD44" s="3">
        <v>0.0012998753588557</v>
      </c>
      <c r="AE44" s="5">
        <v>2.2393542392899e-12</v>
      </c>
      <c r="AF44" s="5">
        <v>9.4682776245051e-12</v>
      </c>
      <c r="AG44" s="5">
        <v>9.1925733463207e-12</v>
      </c>
      <c r="AH44" s="5">
        <v>5.8332685192984e-12</v>
      </c>
      <c r="AI44" s="5">
        <v>4.3186741083667e-13</v>
      </c>
      <c r="AJ44" s="5">
        <v>8.7568830884175e-13</v>
      </c>
      <c r="AK44" s="5">
        <v>1.698340263884e-12</v>
      </c>
      <c r="AL44" s="5">
        <v>1.7129874774535e-12</v>
      </c>
      <c r="AM44" s="5">
        <v>1.4193782848526e-12</v>
      </c>
      <c r="AN44" s="5">
        <v>-1.1460588792706e-12</v>
      </c>
      <c r="AO44" s="5">
        <v>-5.5447273474663e-13</v>
      </c>
      <c r="AP44" s="5">
        <v>-2.6227515833495e-12</v>
      </c>
      <c r="AQ44" s="5">
        <v>5.6797212330151e-13</v>
      </c>
      <c r="AR44" s="5">
        <v>-7.7202830553183e-12</v>
      </c>
      <c r="AS44" s="5">
        <v>6.2595411651681e-13</v>
      </c>
      <c r="AT44" s="5">
        <v>-8.6954586693095e-14</v>
      </c>
      <c r="AU44" s="5">
        <v>-1.3025903761728e-12</v>
      </c>
      <c r="AV44" s="5">
        <v>-4.6813672428677e-12</v>
      </c>
      <c r="AW44" s="5">
        <v>-2.9427010035883e-12</v>
      </c>
      <c r="AX44" s="5">
        <v>7.9046763899038e-12</v>
      </c>
      <c r="AY44" s="5">
        <v>3.853061650268e-12</v>
      </c>
      <c r="AZ44" s="5">
        <v>-7.532439551822e-12</v>
      </c>
      <c r="BA44" s="5">
        <v>-4.4221060298504e-13</v>
      </c>
      <c r="BB44" s="5">
        <v>-1.4164278824228e-11</v>
      </c>
      <c r="BC44" s="3">
        <v>16146801.037956</v>
      </c>
      <c r="BD44" s="3">
        <v>4041911.2643763</v>
      </c>
      <c r="BE44" s="3">
        <v>-0.00076052334664533</v>
      </c>
      <c r="BF44" s="3">
        <v>0.0012801448554729</v>
      </c>
      <c r="BG44" s="3">
        <v>0.0002879810933125</v>
      </c>
      <c r="BH44" s="3">
        <v>-0.0042224532411221</v>
      </c>
      <c r="BI44" s="3">
        <v>199.73951499887</v>
      </c>
      <c r="BJ44" s="3">
        <v>99.892272389867</v>
      </c>
      <c r="BK44" s="3">
        <v>185.67939557356</v>
      </c>
      <c r="BL44" s="4"/>
      <c r="BM44" s="7"/>
    </row>
    <row r="45" spans="1:65">
      <c r="A45" s="3">
        <v>2505936.1681364</v>
      </c>
      <c r="B45" s="3">
        <v>0.00054784144006904</v>
      </c>
      <c r="C45" s="6">
        <f t="shared" si="0"/>
        <v>1.39389329264239e-10</v>
      </c>
      <c r="D45" s="5">
        <v>2.3249673495394e-12</v>
      </c>
      <c r="E45" s="5">
        <v>2.811030932991e-12</v>
      </c>
      <c r="F45" s="5">
        <v>2.8099133550336e-12</v>
      </c>
      <c r="G45" s="5">
        <v>2.8070412399271e-12</v>
      </c>
      <c r="H45" s="5">
        <v>2.2897026062038e-12</v>
      </c>
      <c r="I45" s="5">
        <v>2.301321398476e-12</v>
      </c>
      <c r="J45" s="5">
        <v>2.285797431442e-12</v>
      </c>
      <c r="K45" s="5">
        <v>2.395171864523e-12</v>
      </c>
      <c r="L45" s="5">
        <v>2.4204171983953e-12</v>
      </c>
      <c r="M45" s="5">
        <v>2.3847095561625e-12</v>
      </c>
      <c r="N45" s="5">
        <v>2.5394182468805e-12</v>
      </c>
      <c r="O45" s="5">
        <v>2.2898515992375e-12</v>
      </c>
      <c r="P45" s="5">
        <v>2.521018874006e-12</v>
      </c>
      <c r="Q45" s="5">
        <v>2.5625118784826e-12</v>
      </c>
      <c r="R45" s="5">
        <v>2.788783959403e-12</v>
      </c>
      <c r="S45" s="5">
        <v>2.7798640165504e-12</v>
      </c>
      <c r="T45" s="5">
        <v>2.7937380802412e-12</v>
      </c>
      <c r="U45" s="5">
        <v>2.2959839796792e-12</v>
      </c>
      <c r="V45" s="5">
        <v>2.4100648644485e-12</v>
      </c>
      <c r="W45" s="5">
        <v>2.4358996990695e-12</v>
      </c>
      <c r="X45" s="5">
        <v>2.4110662161302e-12</v>
      </c>
      <c r="Y45" s="5">
        <v>2.5416288173668e-12</v>
      </c>
      <c r="Z45" s="5">
        <v>2.5794121496867e-12</v>
      </c>
      <c r="AA45" s="5">
        <v>2.5967172673336e-12</v>
      </c>
      <c r="AB45" s="3">
        <v>0.45223128050168</v>
      </c>
      <c r="AC45" s="3">
        <v>0.1634624243478</v>
      </c>
      <c r="AD45" s="3">
        <v>0.0013396356013025</v>
      </c>
      <c r="AE45" s="5">
        <v>2.2786951192164e-12</v>
      </c>
      <c r="AF45" s="5">
        <v>9.0816554634397e-12</v>
      </c>
      <c r="AG45" s="5">
        <v>8.9585429750322e-12</v>
      </c>
      <c r="AH45" s="5">
        <v>5.5522987315308e-12</v>
      </c>
      <c r="AI45" s="5">
        <v>3.879534670903e-13</v>
      </c>
      <c r="AJ45" s="5">
        <v>8.5894021325365e-13</v>
      </c>
      <c r="AK45" s="5">
        <v>1.7085738116296e-12</v>
      </c>
      <c r="AL45" s="5">
        <v>1.6684845501404e-12</v>
      </c>
      <c r="AM45" s="5">
        <v>1.4559362830862e-12</v>
      </c>
      <c r="AN45" s="5">
        <v>-1.1897517654372e-12</v>
      </c>
      <c r="AO45" s="5">
        <v>-5.6908935806718e-13</v>
      </c>
      <c r="AP45" s="5">
        <v>-2.3889857729318e-12</v>
      </c>
      <c r="AQ45" s="5">
        <v>4.8357745321466e-13</v>
      </c>
      <c r="AR45" s="5">
        <v>-7.5288901244771e-12</v>
      </c>
      <c r="AS45" s="5">
        <v>5.4118882343002e-13</v>
      </c>
      <c r="AT45" s="5">
        <v>-1.1018412357145e-13</v>
      </c>
      <c r="AU45" s="5">
        <v>-1.426746249157e-12</v>
      </c>
      <c r="AV45" s="5">
        <v>-4.4047942917199e-12</v>
      </c>
      <c r="AW45" s="5">
        <v>-2.7613090893408e-12</v>
      </c>
      <c r="AX45" s="5">
        <v>7.3501197222442e-12</v>
      </c>
      <c r="AY45" s="5">
        <v>3.5788039563429e-12</v>
      </c>
      <c r="AZ45" s="5">
        <v>-7.1427648359798e-12</v>
      </c>
      <c r="BA45" s="5">
        <v>-4.2781081761527e-13</v>
      </c>
      <c r="BB45" s="5">
        <v>-1.3442933071462e-11</v>
      </c>
      <c r="BC45" s="3">
        <v>16155791.215133</v>
      </c>
      <c r="BD45" s="3">
        <v>4044839.2659406</v>
      </c>
      <c r="BE45" s="3">
        <v>-0.00078775454097497</v>
      </c>
      <c r="BF45" s="3">
        <v>0.0013181309856121</v>
      </c>
      <c r="BG45" s="3">
        <v>0.0002936561708622</v>
      </c>
      <c r="BH45" s="3">
        <v>-0.0043603303529456</v>
      </c>
      <c r="BI45" s="3">
        <v>199.73922821272</v>
      </c>
      <c r="BJ45" s="3">
        <v>99.892309514706</v>
      </c>
      <c r="BK45" s="3">
        <v>185.76208678541</v>
      </c>
      <c r="BL45" s="4"/>
      <c r="BM45" s="7"/>
    </row>
    <row r="46" spans="1:65">
      <c r="A46" s="3">
        <v>2811706.6259518</v>
      </c>
      <c r="B46" s="3">
        <v>0.0005915287237084</v>
      </c>
      <c r="C46" s="6">
        <f t="shared" si="0"/>
        <v>1.35869004411085e-10</v>
      </c>
      <c r="D46" s="5">
        <v>2.3278841887784e-12</v>
      </c>
      <c r="E46" s="5">
        <v>2.8136014056565e-12</v>
      </c>
      <c r="F46" s="5">
        <v>2.8127066759702e-12</v>
      </c>
      <c r="G46" s="5">
        <v>2.809640612261e-12</v>
      </c>
      <c r="H46" s="5">
        <v>2.2901921874324e-12</v>
      </c>
      <c r="I46" s="5">
        <v>2.3028451823004e-12</v>
      </c>
      <c r="J46" s="5">
        <v>2.2855902942033e-12</v>
      </c>
      <c r="K46" s="5">
        <v>2.3960480101295e-12</v>
      </c>
      <c r="L46" s="5">
        <v>2.4231097208913e-12</v>
      </c>
      <c r="M46" s="5">
        <v>2.3847984274246e-12</v>
      </c>
      <c r="N46" s="5">
        <v>2.5410833043759e-12</v>
      </c>
      <c r="O46" s="5">
        <v>2.2903699666801e-12</v>
      </c>
      <c r="P46" s="5">
        <v>2.5211173107936e-12</v>
      </c>
      <c r="Q46" s="5">
        <v>2.5654560615215e-12</v>
      </c>
      <c r="R46" s="5">
        <v>2.7901361033997e-12</v>
      </c>
      <c r="S46" s="5">
        <v>2.7804316750925e-12</v>
      </c>
      <c r="T46" s="5">
        <v>2.7956673277371e-12</v>
      </c>
      <c r="U46" s="5">
        <v>2.296675287852e-12</v>
      </c>
      <c r="V46" s="5">
        <v>2.4121264559123e-12</v>
      </c>
      <c r="W46" s="5">
        <v>2.4397547947875e-12</v>
      </c>
      <c r="X46" s="5">
        <v>2.4128911347095e-12</v>
      </c>
      <c r="Y46" s="5">
        <v>2.5434072744073e-12</v>
      </c>
      <c r="Z46" s="5">
        <v>2.5833114864681e-12</v>
      </c>
      <c r="AA46" s="5">
        <v>2.6017413291241e-12</v>
      </c>
      <c r="AB46" s="3">
        <v>0.45837383686837</v>
      </c>
      <c r="AC46" s="3">
        <v>0.1679728616637</v>
      </c>
      <c r="AD46" s="3">
        <v>0.0013829890859205</v>
      </c>
      <c r="AE46" s="5">
        <v>2.3095443840082e-12</v>
      </c>
      <c r="AF46" s="5">
        <v>8.7292965564844e-12</v>
      </c>
      <c r="AG46" s="5">
        <v>8.7428625678523e-12</v>
      </c>
      <c r="AH46" s="5">
        <v>5.2880655163182e-12</v>
      </c>
      <c r="AI46" s="5">
        <v>3.4554040560107e-13</v>
      </c>
      <c r="AJ46" s="5">
        <v>8.4457371156604e-13</v>
      </c>
      <c r="AK46" s="5">
        <v>1.7185060011486e-12</v>
      </c>
      <c r="AL46" s="5">
        <v>1.6272231247351e-12</v>
      </c>
      <c r="AM46" s="5">
        <v>1.492266246483e-12</v>
      </c>
      <c r="AN46" s="5">
        <v>-1.2276824688354e-12</v>
      </c>
      <c r="AO46" s="5">
        <v>-5.8626195252753e-13</v>
      </c>
      <c r="AP46" s="5">
        <v>-2.1618369846648e-12</v>
      </c>
      <c r="AQ46" s="5">
        <v>4.099436074075e-13</v>
      </c>
      <c r="AR46" s="5">
        <v>-7.3484945826364e-12</v>
      </c>
      <c r="AS46" s="5">
        <v>4.5665809595166e-13</v>
      </c>
      <c r="AT46" s="5">
        <v>-1.2281638250245e-13</v>
      </c>
      <c r="AU46" s="5">
        <v>-1.5541094180078e-12</v>
      </c>
      <c r="AV46" s="5">
        <v>-4.1460067235801e-12</v>
      </c>
      <c r="AW46" s="5">
        <v>-2.5951466804199e-12</v>
      </c>
      <c r="AX46" s="5">
        <v>6.8287354304646e-12</v>
      </c>
      <c r="AY46" s="5">
        <v>3.3200151502114e-12</v>
      </c>
      <c r="AZ46" s="5">
        <v>-6.7902803665544e-12</v>
      </c>
      <c r="BA46" s="5">
        <v>-3.9954247060789e-13</v>
      </c>
      <c r="BB46" s="5">
        <v>-1.2777144088695e-11</v>
      </c>
      <c r="BC46" s="3">
        <v>16165283.741209</v>
      </c>
      <c r="BD46" s="3">
        <v>4047973.1506266</v>
      </c>
      <c r="BE46" s="3">
        <v>-0.00081718646226024</v>
      </c>
      <c r="BF46" s="3">
        <v>0.0013596757132938</v>
      </c>
      <c r="BG46" s="3">
        <v>0.00029999257194974</v>
      </c>
      <c r="BH46" s="3">
        <v>-0.0045086163062856</v>
      </c>
      <c r="BI46" s="3">
        <v>199.73892396274</v>
      </c>
      <c r="BJ46" s="3">
        <v>99.892350613876</v>
      </c>
      <c r="BK46" s="3">
        <v>185.84379857611</v>
      </c>
      <c r="BL46" s="4"/>
      <c r="BM46" s="7"/>
    </row>
    <row r="47" spans="1:65">
      <c r="A47" s="3">
        <v>3154786.7224011</v>
      </c>
      <c r="B47" s="3">
        <v>0.00063902920698884</v>
      </c>
      <c r="C47" s="6">
        <f t="shared" si="0"/>
        <v>1.32585166321714e-10</v>
      </c>
      <c r="D47" s="5">
        <v>2.330967755028e-12</v>
      </c>
      <c r="E47" s="5">
        <v>2.8161963821721e-12</v>
      </c>
      <c r="F47" s="5">
        <v>2.8155931071862e-12</v>
      </c>
      <c r="G47" s="5">
        <v>2.8122406780395e-12</v>
      </c>
      <c r="H47" s="5">
        <v>2.2906556504016e-12</v>
      </c>
      <c r="I47" s="5">
        <v>2.3044277029303e-12</v>
      </c>
      <c r="J47" s="5">
        <v>2.2852823552936e-12</v>
      </c>
      <c r="K47" s="5">
        <v>2.3970460402009e-12</v>
      </c>
      <c r="L47" s="5">
        <v>2.4260557567362e-12</v>
      </c>
      <c r="M47" s="5">
        <v>2.38495282563e-12</v>
      </c>
      <c r="N47" s="5">
        <v>2.5427477613127e-12</v>
      </c>
      <c r="O47" s="5">
        <v>2.290872441169e-12</v>
      </c>
      <c r="P47" s="5">
        <v>2.5210988081838e-12</v>
      </c>
      <c r="Q47" s="5">
        <v>2.5685063033681e-12</v>
      </c>
      <c r="R47" s="5">
        <v>2.79143360615e-12</v>
      </c>
      <c r="S47" s="5">
        <v>2.7808749867882e-12</v>
      </c>
      <c r="T47" s="5">
        <v>2.7976242786143e-12</v>
      </c>
      <c r="U47" s="5">
        <v>2.2973244386937e-12</v>
      </c>
      <c r="V47" s="5">
        <v>2.4143857431563e-12</v>
      </c>
      <c r="W47" s="5">
        <v>2.4439926313228e-12</v>
      </c>
      <c r="X47" s="5">
        <v>2.4148533602336e-12</v>
      </c>
      <c r="Y47" s="5">
        <v>2.5451846798518e-12</v>
      </c>
      <c r="Z47" s="5">
        <v>2.5873568183693e-12</v>
      </c>
      <c r="AA47" s="5">
        <v>2.6070065295446e-12</v>
      </c>
      <c r="AB47" s="3">
        <v>0.46443893320127</v>
      </c>
      <c r="AC47" s="3">
        <v>0.17272202599452</v>
      </c>
      <c r="AD47" s="3">
        <v>0.0014303128632428</v>
      </c>
      <c r="AE47" s="5">
        <v>2.3286354561425e-12</v>
      </c>
      <c r="AF47" s="5">
        <v>8.4142804197947e-12</v>
      </c>
      <c r="AG47" s="5">
        <v>8.5439604533858e-12</v>
      </c>
      <c r="AH47" s="5">
        <v>5.0439488416396e-12</v>
      </c>
      <c r="AI47" s="5">
        <v>3.0689073185324e-13</v>
      </c>
      <c r="AJ47" s="5">
        <v>8.3001135527351e-13</v>
      </c>
      <c r="AK47" s="5">
        <v>1.7273140986185e-12</v>
      </c>
      <c r="AL47" s="5">
        <v>1.590449939846e-12</v>
      </c>
      <c r="AM47" s="5">
        <v>1.5267815335934e-12</v>
      </c>
      <c r="AN47" s="5">
        <v>-1.2587719745052e-12</v>
      </c>
      <c r="AO47" s="5">
        <v>-6.0463992071417e-13</v>
      </c>
      <c r="AP47" s="5">
        <v>-1.9450037936248e-12</v>
      </c>
      <c r="AQ47" s="5">
        <v>3.4832791578526e-13</v>
      </c>
      <c r="AR47" s="5">
        <v>-7.1810935042278e-12</v>
      </c>
      <c r="AS47" s="5">
        <v>3.7393143860212e-13</v>
      </c>
      <c r="AT47" s="5">
        <v>-1.2548774949541e-13</v>
      </c>
      <c r="AU47" s="5">
        <v>-1.6810372716853e-12</v>
      </c>
      <c r="AV47" s="5">
        <v>-3.906253325112e-12</v>
      </c>
      <c r="AW47" s="5">
        <v>-2.4452181219444e-12</v>
      </c>
      <c r="AX47" s="5">
        <v>6.3434554039365e-12</v>
      </c>
      <c r="AY47" s="5">
        <v>3.0778011488392e-12</v>
      </c>
      <c r="AZ47" s="5">
        <v>-6.4761809881085e-12</v>
      </c>
      <c r="BA47" s="5">
        <v>-3.6189723450391e-13</v>
      </c>
      <c r="BB47" s="5">
        <v>-1.2165310113276e-11</v>
      </c>
      <c r="BC47" s="3">
        <v>16175309.132041</v>
      </c>
      <c r="BD47" s="3">
        <v>4051330.6955027</v>
      </c>
      <c r="BE47" s="3">
        <v>-0.00084903503906745</v>
      </c>
      <c r="BF47" s="3">
        <v>0.0014051630449432</v>
      </c>
      <c r="BG47" s="3">
        <v>0.00030707087366241</v>
      </c>
      <c r="BH47" s="3">
        <v>-0.0046680410401387</v>
      </c>
      <c r="BI47" s="3">
        <v>199.73859980463</v>
      </c>
      <c r="BJ47" s="3">
        <v>99.892396053586</v>
      </c>
      <c r="BK47" s="3">
        <v>185.92404359106</v>
      </c>
      <c r="BL47" s="4"/>
      <c r="BM47" s="7"/>
    </row>
    <row r="48" spans="1:65">
      <c r="A48" s="3">
        <v>3539728.9219208</v>
      </c>
      <c r="B48" s="3">
        <v>0.00069075122612706</v>
      </c>
      <c r="C48" s="6">
        <f t="shared" si="0"/>
        <v>1.2953127228481e-10</v>
      </c>
      <c r="D48" s="5">
        <v>2.3342312766432e-12</v>
      </c>
      <c r="E48" s="5">
        <v>2.8188073279811e-12</v>
      </c>
      <c r="F48" s="5">
        <v>2.8185689649297e-12</v>
      </c>
      <c r="G48" s="5">
        <v>2.814824569294e-12</v>
      </c>
      <c r="H48" s="5">
        <v>2.2910900365025e-12</v>
      </c>
      <c r="I48" s="5">
        <v>2.3060733986769e-12</v>
      </c>
      <c r="J48" s="5">
        <v>2.2848613288351e-12</v>
      </c>
      <c r="K48" s="5">
        <v>2.3981816932366e-12</v>
      </c>
      <c r="L48" s="5">
        <v>2.4292865044051e-12</v>
      </c>
      <c r="M48" s="5">
        <v>2.3851877764237e-12</v>
      </c>
      <c r="N48" s="5">
        <v>2.5444482155226e-12</v>
      </c>
      <c r="O48" s="5">
        <v>2.2913597104825e-12</v>
      </c>
      <c r="P48" s="5">
        <v>2.5209817768026e-12</v>
      </c>
      <c r="Q48" s="5">
        <v>2.571704102361e-12</v>
      </c>
      <c r="R48" s="5">
        <v>2.7926537263953e-12</v>
      </c>
      <c r="S48" s="5">
        <v>2.7811673290733e-12</v>
      </c>
      <c r="T48" s="5">
        <v>2.7996004777235e-12</v>
      </c>
      <c r="U48" s="5">
        <v>2.2979222293731e-12</v>
      </c>
      <c r="V48" s="5">
        <v>2.4168653330261e-12</v>
      </c>
      <c r="W48" s="5">
        <v>2.4486616836336e-12</v>
      </c>
      <c r="X48" s="5">
        <v>2.4169637833597e-12</v>
      </c>
      <c r="Y48" s="5">
        <v>2.5469901002909e-12</v>
      </c>
      <c r="Z48" s="5">
        <v>2.5916155944595e-12</v>
      </c>
      <c r="AA48" s="5">
        <v>2.6125637958314e-12</v>
      </c>
      <c r="AB48" s="3">
        <v>0.47039055618382</v>
      </c>
      <c r="AC48" s="3">
        <v>0.1776180092973</v>
      </c>
      <c r="AD48" s="3">
        <v>0.001482030849825</v>
      </c>
      <c r="AE48" s="5">
        <v>2.3348010461864e-12</v>
      </c>
      <c r="AF48" s="5">
        <v>8.1373520562149e-12</v>
      </c>
      <c r="AG48" s="5">
        <v>8.3595312300562e-12</v>
      </c>
      <c r="AH48" s="5">
        <v>4.822440894018e-12</v>
      </c>
      <c r="AI48" s="5">
        <v>2.7359512663745e-13</v>
      </c>
      <c r="AJ48" s="5">
        <v>8.1280654831612e-13</v>
      </c>
      <c r="AK48" s="5">
        <v>1.7332441162125e-12</v>
      </c>
      <c r="AL48" s="5">
        <v>1.5586850760311e-12</v>
      </c>
      <c r="AM48" s="5">
        <v>1.5571318622422e-12</v>
      </c>
      <c r="AN48" s="5">
        <v>-1.2823919709284e-12</v>
      </c>
      <c r="AO48" s="5">
        <v>-6.2359349941113e-13</v>
      </c>
      <c r="AP48" s="5">
        <v>-1.7408659667676e-12</v>
      </c>
      <c r="AQ48" s="5">
        <v>2.9837803984453e-13</v>
      </c>
      <c r="AR48" s="5">
        <v>-7.0279096468092e-12</v>
      </c>
      <c r="AS48" s="5">
        <v>2.9468471269899e-13</v>
      </c>
      <c r="AT48" s="5">
        <v>-1.1949609040373e-13</v>
      </c>
      <c r="AU48" s="5">
        <v>-1.8028371485719e-12</v>
      </c>
      <c r="AV48" s="5">
        <v>-3.6850261427683e-12</v>
      </c>
      <c r="AW48" s="5">
        <v>-2.3113334961814e-12</v>
      </c>
      <c r="AX48" s="5">
        <v>5.8977154735548e-12</v>
      </c>
      <c r="AY48" s="5">
        <v>2.8536087963923e-12</v>
      </c>
      <c r="AZ48" s="5">
        <v>-6.1992972028254e-12</v>
      </c>
      <c r="BA48" s="5">
        <v>-3.1843357956244e-13</v>
      </c>
      <c r="BB48" s="5">
        <v>-1.1605039017167e-11</v>
      </c>
      <c r="BC48" s="3">
        <v>16185900.521083</v>
      </c>
      <c r="BD48" s="3">
        <v>4054931.8791765</v>
      </c>
      <c r="BE48" s="3">
        <v>-0.00088354364873029</v>
      </c>
      <c r="BF48" s="3">
        <v>0.0014550250978031</v>
      </c>
      <c r="BG48" s="3">
        <v>0.00031498170279909</v>
      </c>
      <c r="BH48" s="3">
        <v>-0.0048393009440084</v>
      </c>
      <c r="BI48" s="3">
        <v>199.73825320101</v>
      </c>
      <c r="BJ48" s="3">
        <v>99.892446156705</v>
      </c>
      <c r="BK48" s="3">
        <v>186.00248127516</v>
      </c>
      <c r="BL48" s="4"/>
      <c r="BM48" s="7"/>
    </row>
    <row r="49" spans="1:65">
      <c r="A49" s="3">
        <v>3971641.1736215</v>
      </c>
      <c r="B49" s="3">
        <v>0.00074715676791922</v>
      </c>
      <c r="C49" s="6">
        <f t="shared" si="0"/>
        <v>1.26699378612721e-10</v>
      </c>
      <c r="D49" s="5">
        <v>2.3377182054889e-12</v>
      </c>
      <c r="E49" s="5">
        <v>2.821452413525e-12</v>
      </c>
      <c r="F49" s="5">
        <v>2.8216561427953e-12</v>
      </c>
      <c r="G49" s="5">
        <v>2.8174009875578e-12</v>
      </c>
      <c r="H49" s="5">
        <v>2.2915206592631e-12</v>
      </c>
      <c r="I49" s="5">
        <v>2.3078167084597e-12</v>
      </c>
      <c r="J49" s="5">
        <v>2.2843422789294e-12</v>
      </c>
      <c r="K49" s="5">
        <v>2.3994442081023e-12</v>
      </c>
      <c r="L49" s="5">
        <v>2.4328097628839e-12</v>
      </c>
      <c r="M49" s="5">
        <v>2.385493619797e-12</v>
      </c>
      <c r="N49" s="5">
        <v>2.5461157103121e-12</v>
      </c>
      <c r="O49" s="5">
        <v>2.2918598923208e-12</v>
      </c>
      <c r="P49" s="5">
        <v>2.5206820164169e-12</v>
      </c>
      <c r="Q49" s="5">
        <v>2.574989660935e-12</v>
      </c>
      <c r="R49" s="5">
        <v>2.7937975816529e-12</v>
      </c>
      <c r="S49" s="5">
        <v>2.7813063355394e-12</v>
      </c>
      <c r="T49" s="5">
        <v>2.8016128756043e-12</v>
      </c>
      <c r="U49" s="5">
        <v>2.2984862758992e-12</v>
      </c>
      <c r="V49" s="5">
        <v>2.4195638153569e-12</v>
      </c>
      <c r="W49" s="5">
        <v>2.4537868763048e-12</v>
      </c>
      <c r="X49" s="5">
        <v>2.4192073258701e-12</v>
      </c>
      <c r="Y49" s="5">
        <v>2.5487523922503e-12</v>
      </c>
      <c r="Z49" s="5">
        <v>2.5960160338658e-12</v>
      </c>
      <c r="AA49" s="5">
        <v>2.6183653405444e-12</v>
      </c>
      <c r="AB49" s="3">
        <v>0.47618426161833</v>
      </c>
      <c r="AC49" s="3">
        <v>0.18256421619107</v>
      </c>
      <c r="AD49" s="3">
        <v>0.0015386196779486</v>
      </c>
      <c r="AE49" s="5">
        <v>2.3291830475604e-12</v>
      </c>
      <c r="AF49" s="5">
        <v>7.8966527501449e-12</v>
      </c>
      <c r="AG49" s="5">
        <v>8.1864040626765e-12</v>
      </c>
      <c r="AH49" s="5">
        <v>4.6248256182712e-12</v>
      </c>
      <c r="AI49" s="5">
        <v>2.464774305e-13</v>
      </c>
      <c r="AJ49" s="5">
        <v>7.9095269861105e-13</v>
      </c>
      <c r="AK49" s="5">
        <v>1.7342847287805e-12</v>
      </c>
      <c r="AL49" s="5">
        <v>1.5308636158514e-12</v>
      </c>
      <c r="AM49" s="5">
        <v>1.5812291894169e-12</v>
      </c>
      <c r="AN49" s="5">
        <v>-1.2982588445738e-12</v>
      </c>
      <c r="AO49" s="5">
        <v>-6.432772107699e-13</v>
      </c>
      <c r="AP49" s="5">
        <v>-1.5507808402548e-12</v>
      </c>
      <c r="AQ49" s="5">
        <v>2.5823353397458e-13</v>
      </c>
      <c r="AR49" s="5">
        <v>-6.8894012983537e-12</v>
      </c>
      <c r="AS49" s="5">
        <v>2.2062440667113e-13</v>
      </c>
      <c r="AT49" s="5">
        <v>-1.0644675989545e-13</v>
      </c>
      <c r="AU49" s="5">
        <v>-1.9140033260121e-12</v>
      </c>
      <c r="AV49" s="5">
        <v>-3.4800610721759e-12</v>
      </c>
      <c r="AW49" s="5">
        <v>-2.1924313664907e-12</v>
      </c>
      <c r="AX49" s="5">
        <v>5.4944232377229e-12</v>
      </c>
      <c r="AY49" s="5">
        <v>2.6487403075782e-12</v>
      </c>
      <c r="AZ49" s="5">
        <v>-5.9567621357906e-12</v>
      </c>
      <c r="BA49" s="5">
        <v>-2.7017294509314e-13</v>
      </c>
      <c r="BB49" s="5">
        <v>-1.1092980852088e-11</v>
      </c>
      <c r="BC49" s="3">
        <v>16197093.529242</v>
      </c>
      <c r="BD49" s="3">
        <v>4058799.1225453</v>
      </c>
      <c r="BE49" s="3">
        <v>-0.00092098621035876</v>
      </c>
      <c r="BF49" s="3">
        <v>0.0015097481117088</v>
      </c>
      <c r="BG49" s="3">
        <v>0.00032382662357697</v>
      </c>
      <c r="BH49" s="3">
        <v>-0.0050230939221444</v>
      </c>
      <c r="BI49" s="3">
        <v>199.73788143167</v>
      </c>
      <c r="BJ49" s="3">
        <v>99.892501097333</v>
      </c>
      <c r="BK49" s="3">
        <v>186.078909053</v>
      </c>
      <c r="BL49" s="4"/>
      <c r="BM49" s="7"/>
    </row>
    <row r="50" spans="1:65">
      <c r="A50" s="3">
        <v>4456254.6906689</v>
      </c>
      <c r="B50" s="3">
        <v>0.00080876931748599</v>
      </c>
      <c r="C50" s="6">
        <f t="shared" si="0"/>
        <v>1.24080602687602e-10</v>
      </c>
      <c r="D50" s="5">
        <v>2.3414293100318e-12</v>
      </c>
      <c r="E50" s="5">
        <v>2.8241046135339e-12</v>
      </c>
      <c r="F50" s="5">
        <v>2.8248302833392e-12</v>
      </c>
      <c r="G50" s="5">
        <v>2.8199324152639e-12</v>
      </c>
      <c r="H50" s="5">
        <v>2.2919271048698e-12</v>
      </c>
      <c r="I50" s="5">
        <v>2.3096474913204e-12</v>
      </c>
      <c r="J50" s="5">
        <v>2.2836937926082e-12</v>
      </c>
      <c r="K50" s="5">
        <v>2.4008154717377e-12</v>
      </c>
      <c r="L50" s="5">
        <v>2.4366292462521e-12</v>
      </c>
      <c r="M50" s="5">
        <v>2.3858556523088e-12</v>
      </c>
      <c r="N50" s="5">
        <v>2.5477244925882e-12</v>
      </c>
      <c r="O50" s="5">
        <v>2.2923533458917e-12</v>
      </c>
      <c r="P50" s="5">
        <v>2.5201544886996e-12</v>
      </c>
      <c r="Q50" s="5">
        <v>2.5783460325645e-12</v>
      </c>
      <c r="R50" s="5">
        <v>2.794818335068e-12</v>
      </c>
      <c r="S50" s="5">
        <v>2.7812422467922e-12</v>
      </c>
      <c r="T50" s="5">
        <v>2.8036316403824e-12</v>
      </c>
      <c r="U50" s="5">
        <v>2.2989872415417e-12</v>
      </c>
      <c r="V50" s="5">
        <v>2.4224753129937e-12</v>
      </c>
      <c r="W50" s="5">
        <v>2.4593884152899e-12</v>
      </c>
      <c r="X50" s="5">
        <v>2.4215618923221e-12</v>
      </c>
      <c r="Y50" s="5">
        <v>2.550441738392e-12</v>
      </c>
      <c r="Z50" s="5">
        <v>2.6005373646802e-12</v>
      </c>
      <c r="AA50" s="5">
        <v>2.6244067771605e-12</v>
      </c>
      <c r="AB50" s="3">
        <v>0.4817781921162</v>
      </c>
      <c r="AC50" s="3">
        <v>0.1874728222163</v>
      </c>
      <c r="AD50" s="3">
        <v>0.0016006154652789</v>
      </c>
      <c r="AE50" s="5">
        <v>2.3136662669411e-12</v>
      </c>
      <c r="AF50" s="5">
        <v>7.6882395805438e-12</v>
      </c>
      <c r="AG50" s="5">
        <v>8.021086020067e-12</v>
      </c>
      <c r="AH50" s="5">
        <v>4.4511102020419e-12</v>
      </c>
      <c r="AI50" s="5">
        <v>2.2523532395695e-13</v>
      </c>
      <c r="AJ50" s="5">
        <v>7.635639909715e-13</v>
      </c>
      <c r="AK50" s="5">
        <v>1.728841623299e-12</v>
      </c>
      <c r="AL50" s="5">
        <v>1.5046690123647e-12</v>
      </c>
      <c r="AM50" s="5">
        <v>1.598161307171e-12</v>
      </c>
      <c r="AN50" s="5">
        <v>-1.3063221378566e-12</v>
      </c>
      <c r="AO50" s="5">
        <v>-6.6412518583238e-13</v>
      </c>
      <c r="AP50" s="5">
        <v>-1.3750126101104e-12</v>
      </c>
      <c r="AQ50" s="5">
        <v>2.2537884067602e-13</v>
      </c>
      <c r="AR50" s="5">
        <v>-6.7650998173982e-12</v>
      </c>
      <c r="AS50" s="5">
        <v>1.5330841481461e-13</v>
      </c>
      <c r="AT50" s="5">
        <v>-8.7951379657943e-14</v>
      </c>
      <c r="AU50" s="5">
        <v>-2.0089136483168e-12</v>
      </c>
      <c r="AV50" s="5">
        <v>-3.2882958392896e-12</v>
      </c>
      <c r="AW50" s="5">
        <v>-2.0869494631774e-12</v>
      </c>
      <c r="AX50" s="5">
        <v>5.1360734255903e-12</v>
      </c>
      <c r="AY50" s="5">
        <v>2.4638072029502e-12</v>
      </c>
      <c r="AZ50" s="5">
        <v>-5.7449470835364e-12</v>
      </c>
      <c r="BA50" s="5">
        <v>-2.1711345802163e-13</v>
      </c>
      <c r="BB50" s="5">
        <v>-1.0625204063409e-11</v>
      </c>
      <c r="BC50" s="3">
        <v>16208926.170924</v>
      </c>
      <c r="BD50" s="3">
        <v>4062957.6008347</v>
      </c>
      <c r="BE50" s="3">
        <v>-0.00096167097732273</v>
      </c>
      <c r="BF50" s="3">
        <v>0.0015698792489746</v>
      </c>
      <c r="BG50" s="3">
        <v>0.00033371921572965</v>
      </c>
      <c r="BH50" s="3">
        <v>-0.0052202438901743</v>
      </c>
      <c r="BI50" s="3">
        <v>199.73748133595</v>
      </c>
      <c r="BJ50" s="3">
        <v>99.892560952239</v>
      </c>
      <c r="BK50" s="3">
        <v>186.15321248978</v>
      </c>
      <c r="BL50" s="4"/>
      <c r="BM50" s="7"/>
    </row>
    <row r="51" spans="1:65">
      <c r="A51" s="3">
        <v>5000000.0000001</v>
      </c>
      <c r="B51" s="3">
        <v>0.00087618229049806</v>
      </c>
      <c r="C51" s="6">
        <f t="shared" si="0"/>
        <v>1.216650682009e-10</v>
      </c>
      <c r="D51" s="5">
        <v>2.3453872378598e-12</v>
      </c>
      <c r="E51" s="5">
        <v>2.8267418838196e-12</v>
      </c>
      <c r="F51" s="5">
        <v>2.8280713221146e-12</v>
      </c>
      <c r="G51" s="5">
        <v>2.8223852638718e-12</v>
      </c>
      <c r="H51" s="5">
        <v>2.2923079384714e-12</v>
      </c>
      <c r="I51" s="5">
        <v>2.3115743478413e-12</v>
      </c>
      <c r="J51" s="5">
        <v>2.2829019825569e-12</v>
      </c>
      <c r="K51" s="5">
        <v>2.402312764525e-12</v>
      </c>
      <c r="L51" s="5">
        <v>2.4407872994582e-12</v>
      </c>
      <c r="M51" s="5">
        <v>2.3862969454308e-12</v>
      </c>
      <c r="N51" s="5">
        <v>2.5492739657742e-12</v>
      </c>
      <c r="O51" s="5">
        <v>2.2928363452735e-12</v>
      </c>
      <c r="P51" s="5">
        <v>2.5193757080567e-12</v>
      </c>
      <c r="Q51" s="5">
        <v>2.5817813918234e-12</v>
      </c>
      <c r="R51" s="5">
        <v>2.7956716864932e-12</v>
      </c>
      <c r="S51" s="5">
        <v>2.7809282550166e-12</v>
      </c>
      <c r="T51" s="5">
        <v>2.8056299003019e-12</v>
      </c>
      <c r="U51" s="5">
        <v>2.2994132597645e-12</v>
      </c>
      <c r="V51" s="5">
        <v>2.425631816018e-12</v>
      </c>
      <c r="W51" s="5">
        <v>2.4655240572329e-12</v>
      </c>
      <c r="X51" s="5">
        <v>2.4240409891522e-12</v>
      </c>
      <c r="Y51" s="5">
        <v>2.5520518314768e-12</v>
      </c>
      <c r="Z51" s="5">
        <v>2.6051901383564e-12</v>
      </c>
      <c r="AA51" s="5">
        <v>2.6307100547957e-12</v>
      </c>
      <c r="AB51" s="3">
        <v>0.48713841974218</v>
      </c>
      <c r="AC51" s="3">
        <v>0.19227236178926</v>
      </c>
      <c r="AD51" s="3">
        <v>0.0016686212396683</v>
      </c>
      <c r="AE51" s="5">
        <v>2.2893304339772e-12</v>
      </c>
      <c r="AF51" s="5">
        <v>7.5074832099991e-12</v>
      </c>
      <c r="AG51" s="5">
        <v>7.8606095642749e-12</v>
      </c>
      <c r="AH51" s="5">
        <v>4.3001733257494e-12</v>
      </c>
      <c r="AI51" s="5">
        <v>2.0802153340256e-13</v>
      </c>
      <c r="AJ51" s="5">
        <v>7.3108850052961e-13</v>
      </c>
      <c r="AK51" s="5">
        <v>1.7159457798956e-12</v>
      </c>
      <c r="AL51" s="5">
        <v>1.477371835835e-12</v>
      </c>
      <c r="AM51" s="5">
        <v>1.6084931932744e-12</v>
      </c>
      <c r="AN51" s="5">
        <v>-1.3066604796309e-12</v>
      </c>
      <c r="AO51" s="5">
        <v>-6.8638068446131e-13</v>
      </c>
      <c r="AP51" s="5">
        <v>-1.2127464600268e-12</v>
      </c>
      <c r="AQ51" s="5">
        <v>1.9743307609714e-13</v>
      </c>
      <c r="AR51" s="5">
        <v>-6.653622627478e-12</v>
      </c>
      <c r="AS51" s="5">
        <v>9.3825791757882e-14</v>
      </c>
      <c r="AT51" s="5">
        <v>-6.5390193697809e-14</v>
      </c>
      <c r="AU51" s="5">
        <v>-2.0827275282981e-12</v>
      </c>
      <c r="AV51" s="5">
        <v>-3.1068443247587e-12</v>
      </c>
      <c r="AW51" s="5">
        <v>-1.9934020631267e-12</v>
      </c>
      <c r="AX51" s="5">
        <v>4.8238844516855e-12</v>
      </c>
      <c r="AY51" s="5">
        <v>2.2982275547895e-12</v>
      </c>
      <c r="AZ51" s="5">
        <v>-5.5600288666998e-12</v>
      </c>
      <c r="BA51" s="5">
        <v>-1.6023210767975e-13</v>
      </c>
      <c r="BB51" s="5">
        <v>-1.0197777521224e-11</v>
      </c>
      <c r="BC51" s="3">
        <v>16221438.460077</v>
      </c>
      <c r="BD51" s="3">
        <v>4067435.536414</v>
      </c>
      <c r="BE51" s="3">
        <v>-0.0010059445412114</v>
      </c>
      <c r="BF51" s="3">
        <v>0.0016360340591183</v>
      </c>
      <c r="BG51" s="3">
        <v>0.0003447863151652</v>
      </c>
      <c r="BH51" s="3">
        <v>-0.0054318782981549</v>
      </c>
      <c r="BI51" s="3">
        <v>199.73704912464</v>
      </c>
      <c r="BJ51" s="3">
        <v>99.892625727475</v>
      </c>
      <c r="BK51" s="3">
        <v>186.22533343309</v>
      </c>
      <c r="BL51" s="4"/>
      <c r="BM51" s="7"/>
    </row>
    <row r="52" spans="1:65">
      <c r="A52" s="3">
        <v>5610092.27151</v>
      </c>
      <c r="B52" s="3">
        <v>0.00095006818617316</v>
      </c>
      <c r="C52" s="6">
        <f t="shared" si="0"/>
        <v>1.19442171500475e-10</v>
      </c>
      <c r="D52" s="5">
        <v>2.3495982328161e-12</v>
      </c>
      <c r="E52" s="5">
        <v>2.8293706882807e-12</v>
      </c>
      <c r="F52" s="5">
        <v>2.8313877479408e-12</v>
      </c>
      <c r="G52" s="5">
        <v>2.8247532735718e-12</v>
      </c>
      <c r="H52" s="5">
        <v>2.2926442038349e-12</v>
      </c>
      <c r="I52" s="5">
        <v>2.3135862441346e-12</v>
      </c>
      <c r="J52" s="5">
        <v>2.2819324608411e-12</v>
      </c>
      <c r="K52" s="5">
        <v>2.4038982463663e-12</v>
      </c>
      <c r="L52" s="5">
        <v>2.4452747236317e-12</v>
      </c>
      <c r="M52" s="5">
        <v>2.3867877125181e-12</v>
      </c>
      <c r="N52" s="5">
        <v>2.5507744058081e-12</v>
      </c>
      <c r="O52" s="5">
        <v>2.2932837828488e-12</v>
      </c>
      <c r="P52" s="5">
        <v>2.5183304430621e-12</v>
      </c>
      <c r="Q52" s="5">
        <v>2.5853155422951e-12</v>
      </c>
      <c r="R52" s="5">
        <v>2.796339784665e-12</v>
      </c>
      <c r="S52" s="5">
        <v>2.7803438716197e-12</v>
      </c>
      <c r="T52" s="5">
        <v>2.8076067717479e-12</v>
      </c>
      <c r="U52" s="5">
        <v>2.299732507891e-12</v>
      </c>
      <c r="V52" s="5">
        <v>2.4290121663036e-12</v>
      </c>
      <c r="W52" s="5">
        <v>2.47219887702e-12</v>
      </c>
      <c r="X52" s="5">
        <v>2.4266034267643e-12</v>
      </c>
      <c r="Y52" s="5">
        <v>2.5535863726909e-12</v>
      </c>
      <c r="Z52" s="5">
        <v>2.609996815144e-12</v>
      </c>
      <c r="AA52" s="5">
        <v>2.6373105681941e-12</v>
      </c>
      <c r="AB52" s="3">
        <v>0.49223468521811</v>
      </c>
      <c r="AC52" s="3">
        <v>0.1969082234303</v>
      </c>
      <c r="AD52" s="3">
        <v>0.0017433152911931</v>
      </c>
      <c r="AE52" s="5">
        <v>2.2558354457234e-12</v>
      </c>
      <c r="AF52" s="5">
        <v>7.3506033074991e-12</v>
      </c>
      <c r="AG52" s="5">
        <v>7.7031295891649e-12</v>
      </c>
      <c r="AH52" s="5">
        <v>4.1700511231284e-12</v>
      </c>
      <c r="AI52" s="5">
        <v>1.9153661337786e-13</v>
      </c>
      <c r="AJ52" s="5">
        <v>6.9509823382756e-13</v>
      </c>
      <c r="AK52" s="5">
        <v>1.6952891097928e-12</v>
      </c>
      <c r="AL52" s="5">
        <v>1.4463112302077e-12</v>
      </c>
      <c r="AM52" s="5">
        <v>1.6142576488792e-12</v>
      </c>
      <c r="AN52" s="5">
        <v>-1.2994749579715e-12</v>
      </c>
      <c r="AO52" s="5">
        <v>-7.1024525768537e-13</v>
      </c>
      <c r="AP52" s="5">
        <v>-1.0628227215098e-12</v>
      </c>
      <c r="AQ52" s="5">
        <v>1.7254290625564e-13</v>
      </c>
      <c r="AR52" s="5">
        <v>-6.5534345447599e-12</v>
      </c>
      <c r="AS52" s="5">
        <v>4.2348231225157e-14</v>
      </c>
      <c r="AT52" s="5">
        <v>-3.9797069358961e-14</v>
      </c>
      <c r="AU52" s="5">
        <v>-2.1322103305079e-12</v>
      </c>
      <c r="AV52" s="5">
        <v>-2.933707430286e-12</v>
      </c>
      <c r="AW52" s="5">
        <v>-1.9107137659645e-12</v>
      </c>
      <c r="AX52" s="5">
        <v>4.5555017022631e-12</v>
      </c>
      <c r="AY52" s="5">
        <v>2.1504729728029e-12</v>
      </c>
      <c r="AZ52" s="5">
        <v>-5.3983878888313e-12</v>
      </c>
      <c r="BA52" s="5">
        <v>-1.013987299741e-13</v>
      </c>
      <c r="BB52" s="5">
        <v>-9.807687794738e-12</v>
      </c>
      <c r="BC52" s="3">
        <v>16234671.987476</v>
      </c>
      <c r="BD52" s="3">
        <v>4072264.5548233</v>
      </c>
      <c r="BE52" s="3">
        <v>-0.0010541963077253</v>
      </c>
      <c r="BF52" s="3">
        <v>0.0017089048048431</v>
      </c>
      <c r="BG52" s="3">
        <v>0.00035716968168586</v>
      </c>
      <c r="BH52" s="3">
        <v>-0.005659473431639</v>
      </c>
      <c r="BI52" s="3">
        <v>199.73658021096</v>
      </c>
      <c r="BJ52" s="3">
        <v>99.89269517427</v>
      </c>
      <c r="BK52" s="3">
        <v>186.29527091572</v>
      </c>
      <c r="BL52" s="4"/>
      <c r="BM52" s="7"/>
    </row>
    <row r="53" spans="1:65">
      <c r="A53" s="3">
        <v>6294627.058971</v>
      </c>
      <c r="B53" s="3">
        <v>0.001031189714265</v>
      </c>
      <c r="C53" s="6">
        <f t="shared" si="0"/>
        <v>1.17402000380848e-10</v>
      </c>
      <c r="D53" s="5">
        <v>2.3540718011661e-12</v>
      </c>
      <c r="E53" s="5">
        <v>2.8320279555777e-12</v>
      </c>
      <c r="F53" s="5">
        <v>2.8348193395038e-12</v>
      </c>
      <c r="G53" s="5">
        <v>2.8270590623322e-12</v>
      </c>
      <c r="H53" s="5">
        <v>2.2929213922962e-12</v>
      </c>
      <c r="I53" s="5">
        <v>2.315673109741e-12</v>
      </c>
      <c r="J53" s="5">
        <v>2.280750825783e-12</v>
      </c>
      <c r="K53" s="5">
        <v>2.4055664632703e-12</v>
      </c>
      <c r="L53" s="5">
        <v>2.450119393422e-12</v>
      </c>
      <c r="M53" s="5">
        <v>2.3873323637241e-12</v>
      </c>
      <c r="N53" s="5">
        <v>2.5522366236404e-12</v>
      </c>
      <c r="O53" s="5">
        <v>2.2936704115915e-12</v>
      </c>
      <c r="P53" s="5">
        <v>2.5170015065618e-12</v>
      </c>
      <c r="Q53" s="5">
        <v>2.5889702113897e-12</v>
      </c>
      <c r="R53" s="5">
        <v>2.7968332365723e-12</v>
      </c>
      <c r="S53" s="5">
        <v>2.7794961620574e-12</v>
      </c>
      <c r="T53" s="5">
        <v>2.8095888688448e-12</v>
      </c>
      <c r="U53" s="5">
        <v>2.2999143252107e-12</v>
      </c>
      <c r="V53" s="5">
        <v>2.4326337320149e-12</v>
      </c>
      <c r="W53" s="5">
        <v>2.4794540628066e-12</v>
      </c>
      <c r="X53" s="5">
        <v>2.4292409241187e-12</v>
      </c>
      <c r="Y53" s="5">
        <v>2.5550487269087e-12</v>
      </c>
      <c r="Z53" s="5">
        <v>2.6149820179269e-12</v>
      </c>
      <c r="AA53" s="5">
        <v>2.6442474237029e-12</v>
      </c>
      <c r="AB53" s="3">
        <v>0.49704622551583</v>
      </c>
      <c r="AC53" s="3">
        <v>0.2013407888865</v>
      </c>
      <c r="AD53" s="3">
        <v>0.0018254614291455</v>
      </c>
      <c r="AE53" s="5">
        <v>2.2122853438648e-12</v>
      </c>
      <c r="AF53" s="5">
        <v>7.2150908351662e-12</v>
      </c>
      <c r="AG53" s="5">
        <v>7.5480383057031e-12</v>
      </c>
      <c r="AH53" s="5">
        <v>4.0583022352234e-12</v>
      </c>
      <c r="AI53" s="5">
        <v>1.722112961191e-13</v>
      </c>
      <c r="AJ53" s="5">
        <v>6.57603541854e-13</v>
      </c>
      <c r="AK53" s="5">
        <v>1.6673401099499e-12</v>
      </c>
      <c r="AL53" s="5">
        <v>1.4092257324357e-12</v>
      </c>
      <c r="AM53" s="5">
        <v>1.6184232676709e-12</v>
      </c>
      <c r="AN53" s="5">
        <v>-1.2852670293093e-12</v>
      </c>
      <c r="AO53" s="5">
        <v>-7.3610168541115e-13</v>
      </c>
      <c r="AP53" s="5">
        <v>-9.2472644655764e-13</v>
      </c>
      <c r="AQ53" s="5">
        <v>1.494717375467e-13</v>
      </c>
      <c r="AR53" s="5">
        <v>-6.4636306287797e-12</v>
      </c>
      <c r="AS53" s="5">
        <v>-1.9196090924888e-15</v>
      </c>
      <c r="AT53" s="5">
        <v>-1.1947148724919e-14</v>
      </c>
      <c r="AU53" s="5">
        <v>-2.1563851615311e-12</v>
      </c>
      <c r="AV53" s="5">
        <v>-2.7680252621645e-12</v>
      </c>
      <c r="AW53" s="5">
        <v>-1.8375237448062e-12</v>
      </c>
      <c r="AX53" s="5">
        <v>4.3249355619103e-12</v>
      </c>
      <c r="AY53" s="5">
        <v>2.0184398788053e-12</v>
      </c>
      <c r="AZ53" s="5">
        <v>-5.2570390512965e-12</v>
      </c>
      <c r="BA53" s="5">
        <v>-4.23361632684e-14</v>
      </c>
      <c r="BB53" s="5">
        <v>-9.4529156962411e-12</v>
      </c>
      <c r="BC53" s="3">
        <v>16248669.954655</v>
      </c>
      <c r="BD53" s="3">
        <v>4077480.2507028</v>
      </c>
      <c r="BE53" s="3">
        <v>-0.001106864517459</v>
      </c>
      <c r="BF53" s="3">
        <v>0.0017892705582213</v>
      </c>
      <c r="BG53" s="3">
        <v>0.00037102789604358</v>
      </c>
      <c r="BH53" s="3">
        <v>-0.0059048315449207</v>
      </c>
      <c r="BI53" s="3">
        <v>199.73606871206</v>
      </c>
      <c r="BJ53" s="3">
        <v>99.892768772902</v>
      </c>
      <c r="BK53" s="3">
        <v>186.36307856527</v>
      </c>
      <c r="BL53" s="4"/>
      <c r="BM53" s="7"/>
    </row>
    <row r="54" spans="1:65">
      <c r="A54" s="3">
        <v>7062687.723114</v>
      </c>
      <c r="B54" s="3">
        <v>0.001120411915277</v>
      </c>
      <c r="C54" s="6">
        <f t="shared" si="0"/>
        <v>1.15535671858048e-10</v>
      </c>
      <c r="D54" s="5">
        <v>2.3588269210234e-12</v>
      </c>
      <c r="E54" s="5">
        <v>2.8347036306556e-12</v>
      </c>
      <c r="F54" s="5">
        <v>2.8383604136468e-12</v>
      </c>
      <c r="G54" s="5">
        <v>2.8292765276719e-12</v>
      </c>
      <c r="H54" s="5">
        <v>2.2931360658228e-12</v>
      </c>
      <c r="I54" s="5">
        <v>2.3178328280711e-12</v>
      </c>
      <c r="J54" s="5">
        <v>2.2793293116203e-12</v>
      </c>
      <c r="K54" s="5">
        <v>2.4073115581006e-12</v>
      </c>
      <c r="L54" s="5">
        <v>2.4553525592873e-12</v>
      </c>
      <c r="M54" s="5">
        <v>2.3879355129791e-12</v>
      </c>
      <c r="N54" s="5">
        <v>2.5536914972739e-12</v>
      </c>
      <c r="O54" s="5">
        <v>2.2939771873245e-12</v>
      </c>
      <c r="P54" s="5">
        <v>2.5153893805946e-12</v>
      </c>
      <c r="Q54" s="5">
        <v>2.5927891485963e-12</v>
      </c>
      <c r="R54" s="5">
        <v>2.7971136510659e-12</v>
      </c>
      <c r="S54" s="5">
        <v>2.7783415359075e-12</v>
      </c>
      <c r="T54" s="5">
        <v>2.8115532856636e-12</v>
      </c>
      <c r="U54" s="5">
        <v>2.299936207395e-12</v>
      </c>
      <c r="V54" s="5">
        <v>2.4365119844434e-12</v>
      </c>
      <c r="W54" s="5">
        <v>2.4873349334962e-12</v>
      </c>
      <c r="X54" s="5">
        <v>2.4319454445725e-12</v>
      </c>
      <c r="Y54" s="5">
        <v>2.5564616989102e-12</v>
      </c>
      <c r="Z54" s="5">
        <v>2.6201927842026e-12</v>
      </c>
      <c r="AA54" s="5">
        <v>2.6515831888534e-12</v>
      </c>
      <c r="AB54" s="3">
        <v>0.50156354647598</v>
      </c>
      <c r="AC54" s="3">
        <v>0.20554324113063</v>
      </c>
      <c r="AD54" s="3">
        <v>0.0019159209404281</v>
      </c>
      <c r="AE54" s="5">
        <v>2.1588924947912e-12</v>
      </c>
      <c r="AF54" s="5">
        <v>7.0983222279168e-12</v>
      </c>
      <c r="AG54" s="5">
        <v>7.3955646855342e-12</v>
      </c>
      <c r="AH54" s="5">
        <v>3.9622304489914e-12</v>
      </c>
      <c r="AI54" s="5">
        <v>1.4834176486854e-13</v>
      </c>
      <c r="AJ54" s="5">
        <v>6.202857145169e-13</v>
      </c>
      <c r="AK54" s="5">
        <v>1.6333983671446e-12</v>
      </c>
      <c r="AL54" s="5">
        <v>1.3644447408609e-12</v>
      </c>
      <c r="AM54" s="5">
        <v>1.6235522193365e-12</v>
      </c>
      <c r="AN54" s="5">
        <v>-1.2650706391287e-12</v>
      </c>
      <c r="AO54" s="5">
        <v>-7.6467937680826e-13</v>
      </c>
      <c r="AP54" s="5">
        <v>-7.991761522709e-13</v>
      </c>
      <c r="AQ54" s="5">
        <v>1.2764470893649e-13</v>
      </c>
      <c r="AR54" s="5">
        <v>-6.3836544489333e-12</v>
      </c>
      <c r="AS54" s="5">
        <v>-4.0277430511396e-14</v>
      </c>
      <c r="AT54" s="5">
        <v>1.7378810922173e-14</v>
      </c>
      <c r="AU54" s="5">
        <v>-2.1568251218943e-12</v>
      </c>
      <c r="AV54" s="5">
        <v>-2.6098962905461e-12</v>
      </c>
      <c r="AW54" s="5">
        <v>-1.7712416425854e-12</v>
      </c>
      <c r="AX54" s="5">
        <v>4.1252659962141e-12</v>
      </c>
      <c r="AY54" s="5">
        <v>1.8998504675633e-12</v>
      </c>
      <c r="AZ54" s="5">
        <v>-5.1332172653914e-12</v>
      </c>
      <c r="BA54" s="5">
        <v>1.4900136199487e-14</v>
      </c>
      <c r="BB54" s="5">
        <v>-9.1320298220037e-12</v>
      </c>
      <c r="BC54" s="3">
        <v>16263476.868602</v>
      </c>
      <c r="BD54" s="3">
        <v>4083122.7382032</v>
      </c>
      <c r="BE54" s="3">
        <v>-0.0011644431045281</v>
      </c>
      <c r="BF54" s="3">
        <v>0.0018780089630808</v>
      </c>
      <c r="BG54" s="3">
        <v>0.00038653848075408</v>
      </c>
      <c r="BH54" s="3">
        <v>-0.0061699900693033</v>
      </c>
      <c r="BI54" s="3">
        <v>199.73550746994</v>
      </c>
      <c r="BJ54" s="3">
        <v>99.892845259036</v>
      </c>
      <c r="BK54" s="3">
        <v>186.42885550891</v>
      </c>
      <c r="BL54" s="4"/>
      <c r="BM54" s="7"/>
    </row>
    <row r="55" spans="1:65">
      <c r="A55" s="3">
        <v>7924465.9623058</v>
      </c>
      <c r="B55" s="3">
        <v>0.0012187135234322</v>
      </c>
      <c r="C55" s="6">
        <f t="shared" si="0"/>
        <v>1.13833841738102e-10</v>
      </c>
      <c r="D55" s="5">
        <v>2.3638747985779e-12</v>
      </c>
      <c r="E55" s="5">
        <v>2.837431682605e-12</v>
      </c>
      <c r="F55" s="5">
        <v>2.8420516243249e-12</v>
      </c>
      <c r="G55" s="5">
        <v>2.8314226283225e-12</v>
      </c>
      <c r="H55" s="5">
        <v>2.2932756231327e-12</v>
      </c>
      <c r="I55" s="5">
        <v>2.3200538595694e-12</v>
      </c>
      <c r="J55" s="5">
        <v>2.2776290676158e-12</v>
      </c>
      <c r="K55" s="5">
        <v>2.4091131606358e-12</v>
      </c>
      <c r="L55" s="5">
        <v>2.4609922895172e-12</v>
      </c>
      <c r="M55" s="5">
        <v>2.3885863486797e-12</v>
      </c>
      <c r="N55" s="5">
        <v>2.5551933526915e-12</v>
      </c>
      <c r="O55" s="5">
        <v>2.2941719040346e-12</v>
      </c>
      <c r="P55" s="5">
        <v>2.5135141205183e-12</v>
      </c>
      <c r="Q55" s="5">
        <v>2.5968397008793e-12</v>
      </c>
      <c r="R55" s="5">
        <v>2.7971852023687e-12</v>
      </c>
      <c r="S55" s="5">
        <v>2.7768768893742e-12</v>
      </c>
      <c r="T55" s="5">
        <v>2.813520722714e-12</v>
      </c>
      <c r="U55" s="5">
        <v>2.2997659971769e-12</v>
      </c>
      <c r="V55" s="5">
        <v>2.440633001134e-12</v>
      </c>
      <c r="W55" s="5">
        <v>2.4958758331116e-12</v>
      </c>
      <c r="X55" s="5">
        <v>2.4346949178449e-12</v>
      </c>
      <c r="Y55" s="5">
        <v>2.5578714864068e-12</v>
      </c>
      <c r="Z55" s="5">
        <v>2.6257001616541e-12</v>
      </c>
      <c r="AA55" s="5">
        <v>2.6594058213365e-12</v>
      </c>
      <c r="AB55" s="3">
        <v>0.50579192302643</v>
      </c>
      <c r="AC55" s="3">
        <v>0.20949932706018</v>
      </c>
      <c r="AD55" s="3">
        <v>0.0020156652056763</v>
      </c>
      <c r="AE55" s="5">
        <v>2.097541454265e-12</v>
      </c>
      <c r="AF55" s="5">
        <v>6.996281502413e-12</v>
      </c>
      <c r="AG55" s="5">
        <v>7.2466394918767e-12</v>
      </c>
      <c r="AH55" s="5">
        <v>3.8789723677208e-12</v>
      </c>
      <c r="AI55" s="5">
        <v>1.2165867530413e-13</v>
      </c>
      <c r="AJ55" s="5">
        <v>5.8418278822809e-13</v>
      </c>
      <c r="AK55" s="5">
        <v>1.5953325156052e-12</v>
      </c>
      <c r="AL55" s="5">
        <v>1.3111286615061e-12</v>
      </c>
      <c r="AM55" s="5">
        <v>1.6301091990843e-12</v>
      </c>
      <c r="AN55" s="5">
        <v>-1.2403010117371e-12</v>
      </c>
      <c r="AO55" s="5">
        <v>-7.9692391033756e-13</v>
      </c>
      <c r="AP55" s="5">
        <v>-6.8828704231737e-13</v>
      </c>
      <c r="AQ55" s="5">
        <v>1.0711182058663e-13</v>
      </c>
      <c r="AR55" s="5">
        <v>-6.3124894281612e-12</v>
      </c>
      <c r="AS55" s="5">
        <v>-7.3833322609968e-14</v>
      </c>
      <c r="AT55" s="5">
        <v>4.7210322697113e-14</v>
      </c>
      <c r="AU55" s="5">
        <v>-2.1375595889258e-12</v>
      </c>
      <c r="AV55" s="5">
        <v>-2.4598146591468e-12</v>
      </c>
      <c r="AW55" s="5">
        <v>-1.7090372687774e-12</v>
      </c>
      <c r="AX55" s="5">
        <v>3.9512872775307e-12</v>
      </c>
      <c r="AY55" s="5">
        <v>1.7924068924965e-12</v>
      </c>
      <c r="AZ55" s="5">
        <v>-5.0231675821714e-12</v>
      </c>
      <c r="BA55" s="5">
        <v>6.7880052634524e-14</v>
      </c>
      <c r="BB55" s="5">
        <v>-8.8430387060694e-12</v>
      </c>
      <c r="BC55" s="3">
        <v>16279136.966302</v>
      </c>
      <c r="BD55" s="3">
        <v>4089236.9708871</v>
      </c>
      <c r="BE55" s="3">
        <v>-0.0012274886816131</v>
      </c>
      <c r="BF55" s="3">
        <v>0.0019761084907743</v>
      </c>
      <c r="BG55" s="3">
        <v>0.00040390019967245</v>
      </c>
      <c r="BH55" s="3">
        <v>-0.00645728217048</v>
      </c>
      <c r="BI55" s="3">
        <v>199.73488787148</v>
      </c>
      <c r="BJ55" s="3">
        <v>99.892922840092</v>
      </c>
      <c r="BK55" s="3">
        <v>186.49275164367</v>
      </c>
      <c r="BL55" s="4"/>
      <c r="BM55" s="7"/>
    </row>
    <row r="56" spans="1:65">
      <c r="A56" s="3">
        <v>8891397.0501949</v>
      </c>
      <c r="B56" s="3">
        <v>0.0013271987017119</v>
      </c>
      <c r="C56" s="6">
        <f t="shared" si="0"/>
        <v>1.12285736961901e-10</v>
      </c>
      <c r="D56" s="5">
        <v>2.3691990267046e-12</v>
      </c>
      <c r="E56" s="5">
        <v>2.8402250091525e-12</v>
      </c>
      <c r="F56" s="5">
        <v>2.8459154673772e-12</v>
      </c>
      <c r="G56" s="5">
        <v>2.8334933369566e-12</v>
      </c>
      <c r="H56" s="5">
        <v>2.2932960026493e-12</v>
      </c>
      <c r="I56" s="5">
        <v>2.3222974973349e-12</v>
      </c>
      <c r="J56" s="5">
        <v>2.2755793617989e-12</v>
      </c>
      <c r="K56" s="5">
        <v>2.4109398118696e-12</v>
      </c>
      <c r="L56" s="5">
        <v>2.467050086712e-12</v>
      </c>
      <c r="M56" s="5">
        <v>2.3892629936683e-12</v>
      </c>
      <c r="N56" s="5">
        <v>2.5567760084738e-12</v>
      </c>
      <c r="O56" s="5">
        <v>2.2941888263562e-12</v>
      </c>
      <c r="P56" s="5">
        <v>2.5113735978106e-12</v>
      </c>
      <c r="Q56" s="5">
        <v>2.6011702803848e-12</v>
      </c>
      <c r="R56" s="5">
        <v>2.797030304404e-12</v>
      </c>
      <c r="S56" s="5">
        <v>2.7750753006356e-12</v>
      </c>
      <c r="T56" s="5">
        <v>2.8154934553085e-12</v>
      </c>
      <c r="U56" s="5">
        <v>2.2993429034413e-12</v>
      </c>
      <c r="V56" s="5">
        <v>2.4449800188356e-12</v>
      </c>
      <c r="W56" s="5">
        <v>2.505102268342e-12</v>
      </c>
      <c r="X56" s="5">
        <v>2.4374554321196e-12</v>
      </c>
      <c r="Y56" s="5">
        <v>2.5593020387411e-12</v>
      </c>
      <c r="Z56" s="5">
        <v>2.6315567201197e-12</v>
      </c>
      <c r="AA56" s="5">
        <v>2.6677871187521e-12</v>
      </c>
      <c r="AB56" s="3">
        <v>0.50973434281748</v>
      </c>
      <c r="AC56" s="3">
        <v>0.21319951303979</v>
      </c>
      <c r="AD56" s="3">
        <v>0.0021257889397704</v>
      </c>
      <c r="AE56" s="5">
        <v>2.0308659884011e-12</v>
      </c>
      <c r="AF56" s="5">
        <v>6.904687191786e-12</v>
      </c>
      <c r="AG56" s="5">
        <v>7.1028142914985e-12</v>
      </c>
      <c r="AH56" s="5">
        <v>3.8055354384991e-12</v>
      </c>
      <c r="AI56" s="5">
        <v>9.57368333371e-14</v>
      </c>
      <c r="AJ56" s="5">
        <v>5.4962823858796e-13</v>
      </c>
      <c r="AK56" s="5">
        <v>1.5548898062876e-12</v>
      </c>
      <c r="AL56" s="5">
        <v>1.249463595451e-12</v>
      </c>
      <c r="AM56" s="5">
        <v>1.6365078336578e-12</v>
      </c>
      <c r="AN56" s="5">
        <v>-1.212427856153e-12</v>
      </c>
      <c r="AO56" s="5">
        <v>-8.3366169299183e-13</v>
      </c>
      <c r="AP56" s="5">
        <v>-5.9477395137576e-13</v>
      </c>
      <c r="AQ56" s="5">
        <v>8.8324330920707e-14</v>
      </c>
      <c r="AR56" s="5">
        <v>-6.2486737866805e-12</v>
      </c>
      <c r="AS56" s="5">
        <v>-1.0309806642998e-13</v>
      </c>
      <c r="AT56" s="5">
        <v>7.6469686077844e-14</v>
      </c>
      <c r="AU56" s="5">
        <v>-2.1043336577663e-12</v>
      </c>
      <c r="AV56" s="5">
        <v>-2.3182606787879e-12</v>
      </c>
      <c r="AW56" s="5">
        <v>-1.6502321495846e-12</v>
      </c>
      <c r="AX56" s="5">
        <v>3.7997016474036e-12</v>
      </c>
      <c r="AY56" s="5">
        <v>1.6939389996489e-12</v>
      </c>
      <c r="AZ56" s="5">
        <v>-4.9220294781012e-12</v>
      </c>
      <c r="BA56" s="5">
        <v>1.1491870532514e-13</v>
      </c>
      <c r="BB56" s="5">
        <v>-8.5825831607127e-12</v>
      </c>
      <c r="BC56" s="3">
        <v>16295692.036982</v>
      </c>
      <c r="BD56" s="3">
        <v>4095872.9990743</v>
      </c>
      <c r="BE56" s="3">
        <v>-0.001296627798277</v>
      </c>
      <c r="BF56" s="3">
        <v>0.0020846810605693</v>
      </c>
      <c r="BG56" s="3">
        <v>0.00042333619615936</v>
      </c>
      <c r="BH56" s="3">
        <v>-0.0067694521553429</v>
      </c>
      <c r="BI56" s="3">
        <v>199.73419980702</v>
      </c>
      <c r="BJ56" s="3">
        <v>99.892999306227</v>
      </c>
      <c r="BK56" s="3">
        <v>186.55501107449</v>
      </c>
      <c r="BL56" s="4"/>
      <c r="BM56" s="7"/>
    </row>
    <row r="57" spans="1:65">
      <c r="A57" s="3">
        <v>9976311.5748447</v>
      </c>
      <c r="B57" s="3">
        <v>0.0014471118881477</v>
      </c>
      <c r="C57" s="6">
        <f t="shared" si="0"/>
        <v>1.10880178488559e-10</v>
      </c>
      <c r="D57" s="5">
        <v>2.3749295554498e-12</v>
      </c>
      <c r="E57" s="5">
        <v>2.8431003908615e-12</v>
      </c>
      <c r="F57" s="5">
        <v>2.8499805033981e-12</v>
      </c>
      <c r="G57" s="5">
        <v>2.8354883473172e-12</v>
      </c>
      <c r="H57" s="5">
        <v>2.2932888797838e-12</v>
      </c>
      <c r="I57" s="5">
        <v>2.3246685283207e-12</v>
      </c>
      <c r="J57" s="5">
        <v>2.2732491892963e-12</v>
      </c>
      <c r="K57" s="5">
        <v>2.4128020446204e-12</v>
      </c>
      <c r="L57" s="5">
        <v>2.4735828840985e-12</v>
      </c>
      <c r="M57" s="5">
        <v>2.389985529082e-12</v>
      </c>
      <c r="N57" s="5">
        <v>2.5584446196062e-12</v>
      </c>
      <c r="O57" s="5">
        <v>2.2940976273017e-12</v>
      </c>
      <c r="P57" s="5">
        <v>2.5089318940453e-12</v>
      </c>
      <c r="Q57" s="5">
        <v>2.605799361513e-12</v>
      </c>
      <c r="R57" s="5">
        <v>2.7966346145769e-12</v>
      </c>
      <c r="S57" s="5">
        <v>2.7729111138429e-12</v>
      </c>
      <c r="T57" s="5">
        <v>2.8174821537397e-12</v>
      </c>
      <c r="U57" s="5">
        <v>2.2987474810194e-12</v>
      </c>
      <c r="V57" s="5">
        <v>2.4495796039213e-12</v>
      </c>
      <c r="W57" s="5">
        <v>2.5150836859019e-12</v>
      </c>
      <c r="X57" s="5">
        <v>2.4402347924552e-12</v>
      </c>
      <c r="Y57" s="5">
        <v>2.5607470633361e-12</v>
      </c>
      <c r="Z57" s="5">
        <v>2.6377845864557e-12</v>
      </c>
      <c r="AA57" s="5">
        <v>2.676772956264e-12</v>
      </c>
      <c r="AB57" s="3">
        <v>0.51339675558959</v>
      </c>
      <c r="AC57" s="3">
        <v>0.21663958844264</v>
      </c>
      <c r="AD57" s="3">
        <v>0.002247524689817</v>
      </c>
      <c r="AE57" s="5">
        <v>1.9609629775796e-12</v>
      </c>
      <c r="AF57" s="5">
        <v>6.8210325614096e-12</v>
      </c>
      <c r="AG57" s="5">
        <v>6.9653646110131e-12</v>
      </c>
      <c r="AH57" s="5">
        <v>3.7390749957178e-12</v>
      </c>
      <c r="AI57" s="5">
        <v>7.2993007185796e-14</v>
      </c>
      <c r="AJ57" s="5">
        <v>5.1647147853272e-13</v>
      </c>
      <c r="AK57" s="5">
        <v>1.5131297613497e-12</v>
      </c>
      <c r="AL57" s="5">
        <v>1.1806431248305e-12</v>
      </c>
      <c r="AM57" s="5">
        <v>1.6406991646152e-12</v>
      </c>
      <c r="AN57" s="5">
        <v>-1.1826233819029e-12</v>
      </c>
      <c r="AO57" s="5">
        <v>-8.7486820661469e-13</v>
      </c>
      <c r="AP57" s="5">
        <v>-5.2050352458033e-13</v>
      </c>
      <c r="AQ57" s="5">
        <v>7.1619606821509e-14</v>
      </c>
      <c r="AR57" s="5">
        <v>-6.1910379180349e-12</v>
      </c>
      <c r="AS57" s="5">
        <v>-1.2808625711918e-13</v>
      </c>
      <c r="AT57" s="5">
        <v>1.041363162611e-13</v>
      </c>
      <c r="AU57" s="5">
        <v>-2.063156748762e-12</v>
      </c>
      <c r="AV57" s="5">
        <v>-2.1854820685392e-12</v>
      </c>
      <c r="AW57" s="5">
        <v>-1.5968615252252e-12</v>
      </c>
      <c r="AX57" s="5">
        <v>3.6691196924498e-12</v>
      </c>
      <c r="AY57" s="5">
        <v>1.6025749708907e-12</v>
      </c>
      <c r="AZ57" s="5">
        <v>-4.8258423407255e-12</v>
      </c>
      <c r="BA57" s="5">
        <v>1.5601221477763e-13</v>
      </c>
      <c r="BB57" s="5">
        <v>-8.3464655703551e-12</v>
      </c>
      <c r="BC57" s="3">
        <v>16313180.007518</v>
      </c>
      <c r="BD57" s="3">
        <v>4103086.5425412</v>
      </c>
      <c r="BE57" s="3">
        <v>-0.0013725651973681</v>
      </c>
      <c r="BF57" s="3">
        <v>0.0022049765767073</v>
      </c>
      <c r="BG57" s="3">
        <v>0.00044509768012603</v>
      </c>
      <c r="BH57" s="3">
        <v>-0.007110658659196</v>
      </c>
      <c r="BI57" s="3">
        <v>199.7334317204</v>
      </c>
      <c r="BJ57" s="3">
        <v>99.893072395711</v>
      </c>
      <c r="BK57" s="3">
        <v>186.61599125293</v>
      </c>
      <c r="BL57" s="4"/>
      <c r="BM57" s="7"/>
    </row>
    <row r="58" spans="1:65">
      <c r="A58" s="3">
        <v>11193605.692842</v>
      </c>
      <c r="B58" s="3">
        <v>0.0015798564466406</v>
      </c>
      <c r="C58" s="6">
        <f t="shared" si="0"/>
        <v>1.09607255550787e-10</v>
      </c>
      <c r="D58" s="5">
        <v>2.3810884137998e-12</v>
      </c>
      <c r="E58" s="5">
        <v>2.8460760047049e-12</v>
      </c>
      <c r="F58" s="5">
        <v>2.8542767595386e-12</v>
      </c>
      <c r="G58" s="5">
        <v>2.8374072020189e-12</v>
      </c>
      <c r="H58" s="5">
        <v>2.2932280092537e-12</v>
      </c>
      <c r="I58" s="5">
        <v>2.3271620584248e-12</v>
      </c>
      <c r="J58" s="5">
        <v>2.2705923198359e-12</v>
      </c>
      <c r="K58" s="5">
        <v>2.4146942421625e-12</v>
      </c>
      <c r="L58" s="5">
        <v>2.480636186434e-12</v>
      </c>
      <c r="M58" s="5">
        <v>2.3907581498956e-12</v>
      </c>
      <c r="N58" s="5">
        <v>2.5602289951185e-12</v>
      </c>
      <c r="O58" s="5">
        <v>2.2938510991108e-12</v>
      </c>
      <c r="P58" s="5">
        <v>2.5061735166762e-12</v>
      </c>
      <c r="Q58" s="5">
        <v>2.6107685984354e-12</v>
      </c>
      <c r="R58" s="5">
        <v>2.7959838809014e-12</v>
      </c>
      <c r="S58" s="5">
        <v>2.7703568178057e-12</v>
      </c>
      <c r="T58" s="5">
        <v>2.8195036589394e-12</v>
      </c>
      <c r="U58" s="5">
        <v>2.2979450522363e-12</v>
      </c>
      <c r="V58" s="5">
        <v>2.4544470737785e-12</v>
      </c>
      <c r="W58" s="5">
        <v>2.5258762523504e-12</v>
      </c>
      <c r="X58" s="5">
        <v>2.4430246380548e-12</v>
      </c>
      <c r="Y58" s="5">
        <v>2.5622226512131e-12</v>
      </c>
      <c r="Z58" s="5">
        <v>2.6444300712134e-12</v>
      </c>
      <c r="AA58" s="5">
        <v>2.6864368560223e-12</v>
      </c>
      <c r="AB58" s="3">
        <v>0.51677941357789</v>
      </c>
      <c r="AC58" s="3">
        <v>0.21981613232055</v>
      </c>
      <c r="AD58" s="3">
        <v>0.0023822602662592</v>
      </c>
      <c r="AE58" s="5">
        <v>1.8893406434804e-12</v>
      </c>
      <c r="AF58" s="5">
        <v>6.7447740251009e-12</v>
      </c>
      <c r="AG58" s="5">
        <v>6.8347413222631e-12</v>
      </c>
      <c r="AH58" s="5">
        <v>3.6771633481386e-12</v>
      </c>
      <c r="AI58" s="5">
        <v>5.3105433952064e-14</v>
      </c>
      <c r="AJ58" s="5">
        <v>4.8429202461548e-13</v>
      </c>
      <c r="AK58" s="5">
        <v>1.4704233120388e-12</v>
      </c>
      <c r="AL58" s="5">
        <v>1.1063394341067e-12</v>
      </c>
      <c r="AM58" s="5">
        <v>1.6417901775654e-12</v>
      </c>
      <c r="AN58" s="5">
        <v>-1.151953850256e-12</v>
      </c>
      <c r="AO58" s="5">
        <v>-9.1931958670866e-13</v>
      </c>
      <c r="AP58" s="5">
        <v>-4.6521957309852e-13</v>
      </c>
      <c r="AQ58" s="5">
        <v>5.6832620386493e-14</v>
      </c>
      <c r="AR58" s="5">
        <v>-6.1389689957721e-12</v>
      </c>
      <c r="AS58" s="5">
        <v>-1.4847506948011e-13</v>
      </c>
      <c r="AT58" s="5">
        <v>1.2931300619293e-13</v>
      </c>
      <c r="AU58" s="5">
        <v>-2.0190910542508e-12</v>
      </c>
      <c r="AV58" s="5">
        <v>-2.0615442618443e-12</v>
      </c>
      <c r="AW58" s="5">
        <v>-1.5513423469914e-12</v>
      </c>
      <c r="AX58" s="5">
        <v>3.55883780372e-12</v>
      </c>
      <c r="AY58" s="5">
        <v>1.5172154848507e-12</v>
      </c>
      <c r="AZ58" s="5">
        <v>-4.7338873655319e-12</v>
      </c>
      <c r="BA58" s="5">
        <v>1.9224837110915e-13</v>
      </c>
      <c r="BB58" s="5">
        <v>-8.1311029954685e-12</v>
      </c>
      <c r="BC58" s="3">
        <v>16331634.081576</v>
      </c>
      <c r="BD58" s="3">
        <v>4110939.8788241</v>
      </c>
      <c r="BE58" s="3">
        <v>-0.0014560941074735</v>
      </c>
      <c r="BF58" s="3">
        <v>0.0023384008441791</v>
      </c>
      <c r="BG58" s="3">
        <v>0.00046946775931223</v>
      </c>
      <c r="BH58" s="3">
        <v>-0.0074834466724607</v>
      </c>
      <c r="BI58" s="3">
        <v>199.73256724813</v>
      </c>
      <c r="BJ58" s="3">
        <v>99.893139241712</v>
      </c>
      <c r="BK58" s="3">
        <v>186.67608848764</v>
      </c>
      <c r="BL58" s="4"/>
      <c r="BM58" s="7"/>
    </row>
    <row r="59" spans="1:65">
      <c r="A59" s="3">
        <v>12559432.157548</v>
      </c>
      <c r="B59" s="3">
        <v>0.0017270161854403</v>
      </c>
      <c r="C59" s="6">
        <f t="shared" si="0"/>
        <v>1.08458823186361e-10</v>
      </c>
      <c r="D59" s="5">
        <v>2.3876968856475e-12</v>
      </c>
      <c r="E59" s="5">
        <v>2.8491722824352e-12</v>
      </c>
      <c r="F59" s="5">
        <v>2.8588348141767e-12</v>
      </c>
      <c r="G59" s="5">
        <v>2.8392487176068e-12</v>
      </c>
      <c r="H59" s="5">
        <v>2.2930806469227e-12</v>
      </c>
      <c r="I59" s="5">
        <v>2.329771748012e-12</v>
      </c>
      <c r="J59" s="5">
        <v>2.2675563580301e-12</v>
      </c>
      <c r="K59" s="5">
        <v>2.4166006738581e-12</v>
      </c>
      <c r="L59" s="5">
        <v>2.4882513102693e-12</v>
      </c>
      <c r="M59" s="5">
        <v>2.3915747631387e-12</v>
      </c>
      <c r="N59" s="5">
        <v>2.5621710183681e-12</v>
      </c>
      <c r="O59" s="5">
        <v>2.2933973450821e-12</v>
      </c>
      <c r="P59" s="5">
        <v>2.5030923906037e-12</v>
      </c>
      <c r="Q59" s="5">
        <v>2.6161330859653e-12</v>
      </c>
      <c r="R59" s="5">
        <v>2.7950643611763e-12</v>
      </c>
      <c r="S59" s="5">
        <v>2.7673834664572e-12</v>
      </c>
      <c r="T59" s="5">
        <v>2.8215812849155e-12</v>
      </c>
      <c r="U59" s="5">
        <v>2.2968964735553e-12</v>
      </c>
      <c r="V59" s="5">
        <v>2.4595941614292e-12</v>
      </c>
      <c r="W59" s="5">
        <v>2.537531155627e-12</v>
      </c>
      <c r="X59" s="5">
        <v>2.4458074256221e-12</v>
      </c>
      <c r="Y59" s="5">
        <v>2.563754927837e-12</v>
      </c>
      <c r="Z59" s="5">
        <v>2.6515529806512e-12</v>
      </c>
      <c r="AA59" s="5">
        <v>2.6968712373996e-12</v>
      </c>
      <c r="AB59" s="3">
        <v>0.51988982154919</v>
      </c>
      <c r="AC59" s="3">
        <v>0.22272606711297</v>
      </c>
      <c r="AD59" s="3">
        <v>0.0025315603317015</v>
      </c>
      <c r="AE59" s="5">
        <v>1.8184591472071e-12</v>
      </c>
      <c r="AF59" s="5">
        <v>6.6748726238625e-12</v>
      </c>
      <c r="AG59" s="5">
        <v>6.7106514107363e-12</v>
      </c>
      <c r="AH59" s="5">
        <v>3.6179646200902e-12</v>
      </c>
      <c r="AI59" s="5">
        <v>3.3920997478325e-14</v>
      </c>
      <c r="AJ59" s="5">
        <v>4.5267488231038e-13</v>
      </c>
      <c r="AK59" s="5">
        <v>1.4268961742864e-12</v>
      </c>
      <c r="AL59" s="5">
        <v>1.0282381475948e-12</v>
      </c>
      <c r="AM59" s="5">
        <v>1.6405361678325e-12</v>
      </c>
      <c r="AN59" s="5">
        <v>-1.1220819312524e-12</v>
      </c>
      <c r="AO59" s="5">
        <v>-9.6534095134651e-13</v>
      </c>
      <c r="AP59" s="5">
        <v>-4.2664039760504e-13</v>
      </c>
      <c r="AQ59" s="5">
        <v>4.323120351207e-14</v>
      </c>
      <c r="AR59" s="5">
        <v>-6.0924219371543e-12</v>
      </c>
      <c r="AS59" s="5">
        <v>-1.6383532139691e-13</v>
      </c>
      <c r="AT59" s="5">
        <v>1.5110618401019e-13</v>
      </c>
      <c r="AU59" s="5">
        <v>-1.9757919445846e-12</v>
      </c>
      <c r="AV59" s="5">
        <v>-1.9466255330672e-12</v>
      </c>
      <c r="AW59" s="5">
        <v>-1.5130729086096e-12</v>
      </c>
      <c r="AX59" s="5">
        <v>3.4671948031838e-12</v>
      </c>
      <c r="AY59" s="5">
        <v>1.4377786378292e-12</v>
      </c>
      <c r="AZ59" s="5">
        <v>-4.6489136916692e-12</v>
      </c>
      <c r="BA59" s="5">
        <v>2.2490855467794e-13</v>
      </c>
      <c r="BB59" s="5">
        <v>-7.9347341969456e-12</v>
      </c>
      <c r="BC59" s="3">
        <v>16351081.034559</v>
      </c>
      <c r="BD59" s="3">
        <v>4119502.6978237</v>
      </c>
      <c r="BE59" s="3">
        <v>-0.0015481094613693</v>
      </c>
      <c r="BF59" s="3">
        <v>0.0024865367752179</v>
      </c>
      <c r="BG59" s="3">
        <v>0.00049676529109135</v>
      </c>
      <c r="BH59" s="3">
        <v>-0.0078918171843611</v>
      </c>
      <c r="BI59" s="3">
        <v>199.7315871297</v>
      </c>
      <c r="BJ59" s="3">
        <v>99.893196869621</v>
      </c>
      <c r="BK59" s="3">
        <v>186.73560502114</v>
      </c>
      <c r="BL59" s="4"/>
      <c r="BM59" s="7"/>
    </row>
    <row r="60" spans="1:65">
      <c r="A60" s="3">
        <v>14091914.656323</v>
      </c>
      <c r="B60" s="3">
        <v>0.0018903757511322</v>
      </c>
      <c r="C60" s="6">
        <f t="shared" si="0"/>
        <v>1.0742656239983e-10</v>
      </c>
      <c r="D60" s="5">
        <v>2.3948161260614e-12</v>
      </c>
      <c r="E60" s="5">
        <v>2.8524035581223e-12</v>
      </c>
      <c r="F60" s="5">
        <v>2.863678210787e-12</v>
      </c>
      <c r="G60" s="5">
        <v>2.8410033177515e-12</v>
      </c>
      <c r="H60" s="5">
        <v>2.2928519246755e-12</v>
      </c>
      <c r="I60" s="5">
        <v>2.3325313947608e-12</v>
      </c>
      <c r="J60" s="5">
        <v>2.2641256485188e-12</v>
      </c>
      <c r="K60" s="5">
        <v>2.4185325744397e-12</v>
      </c>
      <c r="L60" s="5">
        <v>2.4965033502158e-12</v>
      </c>
      <c r="M60" s="5">
        <v>2.3924553395362e-12</v>
      </c>
      <c r="N60" s="5">
        <v>2.5643163544003e-12</v>
      </c>
      <c r="O60" s="5">
        <v>2.2927259674279e-12</v>
      </c>
      <c r="P60" s="5">
        <v>2.4996840407486e-12</v>
      </c>
      <c r="Q60" s="5">
        <v>2.621955099942e-12</v>
      </c>
      <c r="R60" s="5">
        <v>2.7938556877248e-12</v>
      </c>
      <c r="S60" s="5">
        <v>2.7639538390529e-12</v>
      </c>
      <c r="T60" s="5">
        <v>2.823737640075e-12</v>
      </c>
      <c r="U60" s="5">
        <v>2.2956000256607e-12</v>
      </c>
      <c r="V60" s="5">
        <v>2.4650642494505e-12</v>
      </c>
      <c r="W60" s="5">
        <v>2.5501338295382e-12</v>
      </c>
      <c r="X60" s="5">
        <v>2.4485942660606e-12</v>
      </c>
      <c r="Y60" s="5">
        <v>2.5653719835957e-12</v>
      </c>
      <c r="Z60" s="5">
        <v>2.6592189391124e-12</v>
      </c>
      <c r="AA60" s="5">
        <v>2.7081820855831e-12</v>
      </c>
      <c r="AB60" s="3">
        <v>0.52274903209945</v>
      </c>
      <c r="AC60" s="3">
        <v>0.22537340873996</v>
      </c>
      <c r="AD60" s="3">
        <v>0.0026971887390991</v>
      </c>
      <c r="AE60" s="5">
        <v>1.7529378003422e-12</v>
      </c>
      <c r="AF60" s="5">
        <v>6.607812271586e-12</v>
      </c>
      <c r="AG60" s="5">
        <v>6.5924833100889e-12</v>
      </c>
      <c r="AH60" s="5">
        <v>3.5604776816394e-12</v>
      </c>
      <c r="AI60" s="5">
        <v>1.2983220820926e-14</v>
      </c>
      <c r="AJ60" s="5">
        <v>4.2133310314071e-13</v>
      </c>
      <c r="AK60" s="5">
        <v>1.3831617585731e-12</v>
      </c>
      <c r="AL60" s="5">
        <v>9.4837667475418e-13</v>
      </c>
      <c r="AM60" s="5">
        <v>1.6385533700427e-12</v>
      </c>
      <c r="AN60" s="5">
        <v>-1.0954533343473e-12</v>
      </c>
      <c r="AO60" s="5">
        <v>-1.0116079230236e-12</v>
      </c>
      <c r="AP60" s="5">
        <v>-4.0171646673387e-13</v>
      </c>
      <c r="AQ60" s="5">
        <v>3.000291341931e-14</v>
      </c>
      <c r="AR60" s="5">
        <v>-6.051796755366e-12</v>
      </c>
      <c r="AS60" s="5">
        <v>-1.7437890895371e-13</v>
      </c>
      <c r="AT60" s="5">
        <v>1.6844178686945e-13</v>
      </c>
      <c r="AU60" s="5">
        <v>-1.9354672917162e-12</v>
      </c>
      <c r="AV60" s="5">
        <v>-1.8415735145126e-12</v>
      </c>
      <c r="AW60" s="5">
        <v>-1.4772224918794e-12</v>
      </c>
      <c r="AX60" s="5">
        <v>3.3925401465132e-12</v>
      </c>
      <c r="AY60" s="5">
        <v>1.3647111338316e-12</v>
      </c>
      <c r="AZ60" s="5">
        <v>-4.5748057719798e-12</v>
      </c>
      <c r="BA60" s="5">
        <v>2.5498396031328e-13</v>
      </c>
      <c r="BB60" s="5">
        <v>-7.7571300776069e-12</v>
      </c>
      <c r="BC60" s="3">
        <v>16371535.974728</v>
      </c>
      <c r="BD60" s="3">
        <v>4128852.0672814</v>
      </c>
      <c r="BE60" s="3">
        <v>-0.0016496196831545</v>
      </c>
      <c r="BF60" s="3">
        <v>0.0026511661019992</v>
      </c>
      <c r="BG60" s="3">
        <v>0.00052734928215164</v>
      </c>
      <c r="BH60" s="3">
        <v>-0.0083407571402024</v>
      </c>
      <c r="BI60" s="3">
        <v>199.73046974637</v>
      </c>
      <c r="BJ60" s="3">
        <v>99.893241869672</v>
      </c>
      <c r="BK60" s="3">
        <v>186.79479603168</v>
      </c>
      <c r="BL60" s="4"/>
      <c r="BM60" s="7"/>
    </row>
    <row r="61" spans="1:65">
      <c r="A61" s="3">
        <v>15811388.300842</v>
      </c>
      <c r="B61" s="3">
        <v>0.0020719392533565</v>
      </c>
      <c r="C61" s="6">
        <f t="shared" si="0"/>
        <v>1.06500497500401e-10</v>
      </c>
      <c r="D61" s="5">
        <v>2.4025371637302e-12</v>
      </c>
      <c r="E61" s="5">
        <v>2.855808503258e-12</v>
      </c>
      <c r="F61" s="5">
        <v>2.8688564622641e-12</v>
      </c>
      <c r="G61" s="5">
        <v>2.8426875949572e-12</v>
      </c>
      <c r="H61" s="5">
        <v>2.2925758039637e-12</v>
      </c>
      <c r="I61" s="5">
        <v>2.3355046667635e-12</v>
      </c>
      <c r="J61" s="5">
        <v>2.2603121142562e-12</v>
      </c>
      <c r="K61" s="5">
        <v>2.4205431237569e-12</v>
      </c>
      <c r="L61" s="5">
        <v>2.5055128008695e-12</v>
      </c>
      <c r="M61" s="5">
        <v>2.3934572096256e-12</v>
      </c>
      <c r="N61" s="5">
        <v>2.5667430470191e-12</v>
      </c>
      <c r="O61" s="5">
        <v>2.2918606568335e-12</v>
      </c>
      <c r="P61" s="5">
        <v>2.4959732313231e-12</v>
      </c>
      <c r="Q61" s="5">
        <v>2.6283334602627e-12</v>
      </c>
      <c r="R61" s="5">
        <v>2.7923634337197e-12</v>
      </c>
      <c r="S61" s="5">
        <v>2.7600552052889e-12</v>
      </c>
      <c r="T61" s="5">
        <v>2.8260319997002e-12</v>
      </c>
      <c r="U61" s="5">
        <v>2.2940810022143e-12</v>
      </c>
      <c r="V61" s="5">
        <v>2.4709402609341e-12</v>
      </c>
      <c r="W61" s="5">
        <v>2.5638168114228e-12</v>
      </c>
      <c r="X61" s="5">
        <v>2.4514366030996e-12</v>
      </c>
      <c r="Y61" s="5">
        <v>2.5671332624758e-12</v>
      </c>
      <c r="Z61" s="5">
        <v>2.6675281303542e-12</v>
      </c>
      <c r="AA61" s="5">
        <v>2.7205144546008e-12</v>
      </c>
      <c r="AB61" s="3">
        <v>0.52538652805853</v>
      </c>
      <c r="AC61" s="3">
        <v>0.22777089504838</v>
      </c>
      <c r="AD61" s="3">
        <v>0.0028811299717918</v>
      </c>
      <c r="AE61" s="5">
        <v>1.6975732485421e-12</v>
      </c>
      <c r="AF61" s="5">
        <v>6.5404396099161e-12</v>
      </c>
      <c r="AG61" s="5">
        <v>6.479587522859e-12</v>
      </c>
      <c r="AH61" s="5">
        <v>3.5042919210558e-12</v>
      </c>
      <c r="AI61" s="5">
        <v>-1.1617239633748e-14</v>
      </c>
      <c r="AJ61" s="5">
        <v>3.9015035321591e-13</v>
      </c>
      <c r="AK61" s="5">
        <v>1.3402898137888e-12</v>
      </c>
      <c r="AL61" s="5">
        <v>8.6925863957381e-13</v>
      </c>
      <c r="AM61" s="5">
        <v>1.636914422242e-12</v>
      </c>
      <c r="AN61" s="5">
        <v>-1.0746621451759e-12</v>
      </c>
      <c r="AO61" s="5">
        <v>-1.0573860815229e-12</v>
      </c>
      <c r="AP61" s="5">
        <v>-3.8719560563383e-13</v>
      </c>
      <c r="AQ61" s="5">
        <v>1.6905733720436e-14</v>
      </c>
      <c r="AR61" s="5">
        <v>-6.0179621240422e-12</v>
      </c>
      <c r="AS61" s="5">
        <v>-1.8168949658647e-13</v>
      </c>
      <c r="AT61" s="5">
        <v>1.8021114778415e-13</v>
      </c>
      <c r="AU61" s="5">
        <v>-1.8990800046023e-12</v>
      </c>
      <c r="AV61" s="5">
        <v>-1.7476414613137e-12</v>
      </c>
      <c r="AW61" s="5">
        <v>-1.438596572287e-12</v>
      </c>
      <c r="AX61" s="5">
        <v>3.3340833084363e-12</v>
      </c>
      <c r="AY61" s="5">
        <v>1.2984100906613e-12</v>
      </c>
      <c r="AZ61" s="5">
        <v>-4.5137530260069e-12</v>
      </c>
      <c r="BA61" s="5">
        <v>2.8354582748951e-13</v>
      </c>
      <c r="BB61" s="5">
        <v>-7.5981342023404e-12</v>
      </c>
      <c r="BC61" s="3">
        <v>16392994.428023</v>
      </c>
      <c r="BD61" s="3">
        <v>4139071.7205424</v>
      </c>
      <c r="BE61" s="3">
        <v>-0.0017617557420818</v>
      </c>
      <c r="BF61" s="3">
        <v>0.0028342909005793</v>
      </c>
      <c r="BG61" s="3">
        <v>0.00056162297255045</v>
      </c>
      <c r="BH61" s="3">
        <v>-0.008838336035235</v>
      </c>
      <c r="BI61" s="3">
        <v>199.72919321821</v>
      </c>
      <c r="BJ61" s="3">
        <v>99.893272202201</v>
      </c>
      <c r="BK61" s="3">
        <v>186.85408747448</v>
      </c>
      <c r="BL61" s="4"/>
      <c r="BM61" s="7"/>
    </row>
    <row r="62" spans="1:65">
      <c r="A62" s="3">
        <v>17740669.461679</v>
      </c>
      <c r="B62" s="3">
        <v>0.002273952994278</v>
      </c>
      <c r="C62" s="6">
        <f t="shared" si="0"/>
        <v>1.05670021654622e-10</v>
      </c>
      <c r="D62" s="5">
        <v>2.410934271314e-12</v>
      </c>
      <c r="E62" s="5">
        <v>2.8593779302185e-12</v>
      </c>
      <c r="F62" s="5">
        <v>2.8743728320817e-12</v>
      </c>
      <c r="G62" s="5">
        <v>2.8442669637106e-12</v>
      </c>
      <c r="H62" s="5">
        <v>2.2922682324871e-12</v>
      </c>
      <c r="I62" s="5">
        <v>2.338737531261e-12</v>
      </c>
      <c r="J62" s="5">
        <v>2.2561079584465e-12</v>
      </c>
      <c r="K62" s="5">
        <v>2.4225567555037e-12</v>
      </c>
      <c r="L62" s="5">
        <v>2.5152731629945e-12</v>
      </c>
      <c r="M62" s="5">
        <v>2.3945043816899e-12</v>
      </c>
      <c r="N62" s="5">
        <v>2.5695584960587e-12</v>
      </c>
      <c r="O62" s="5">
        <v>2.2908118682093e-12</v>
      </c>
      <c r="P62" s="5">
        <v>2.4920087857736e-12</v>
      </c>
      <c r="Q62" s="5">
        <v>2.6354013237938e-12</v>
      </c>
      <c r="R62" s="5">
        <v>2.7905468569271e-12</v>
      </c>
      <c r="S62" s="5">
        <v>2.7556265484725e-12</v>
      </c>
      <c r="T62" s="5">
        <v>2.8284795563006e-12</v>
      </c>
      <c r="U62" s="5">
        <v>2.29234273667e-12</v>
      </c>
      <c r="V62" s="5">
        <v>2.477172764335e-12</v>
      </c>
      <c r="W62" s="5">
        <v>2.5785867169032e-12</v>
      </c>
      <c r="X62" s="5">
        <v>2.4542537920865e-12</v>
      </c>
      <c r="Y62" s="5">
        <v>2.569127450199e-12</v>
      </c>
      <c r="Z62" s="5">
        <v>2.6766108476179e-12</v>
      </c>
      <c r="AA62" s="5">
        <v>2.7340440527169e-12</v>
      </c>
      <c r="AB62" s="3">
        <v>0.52781534358825</v>
      </c>
      <c r="AC62" s="3">
        <v>0.2299337380834</v>
      </c>
      <c r="AD62" s="3">
        <v>0.0030856115820325</v>
      </c>
      <c r="AE62" s="5">
        <v>1.653914095398e-12</v>
      </c>
      <c r="AF62" s="5">
        <v>6.4724803405893e-12</v>
      </c>
      <c r="AG62" s="5">
        <v>6.3712806312879e-12</v>
      </c>
      <c r="AH62" s="5">
        <v>3.4495325742268e-12</v>
      </c>
      <c r="AI62" s="5">
        <v>-4.1014084674901e-14</v>
      </c>
      <c r="AJ62" s="5">
        <v>3.5927352477258e-13</v>
      </c>
      <c r="AK62" s="5">
        <v>1.2989858053017e-12</v>
      </c>
      <c r="AL62" s="5">
        <v>7.9325442913204e-13</v>
      </c>
      <c r="AM62" s="5">
        <v>1.6357909638583e-12</v>
      </c>
      <c r="AN62" s="5">
        <v>-1.0613168379362e-12</v>
      </c>
      <c r="AO62" s="5">
        <v>-1.1030756426542e-12</v>
      </c>
      <c r="AP62" s="5">
        <v>-3.7994067424904e-13</v>
      </c>
      <c r="AQ62" s="5">
        <v>4.1703477234366e-15</v>
      </c>
      <c r="AR62" s="5">
        <v>-5.9915931047389e-12</v>
      </c>
      <c r="AS62" s="5">
        <v>-1.8774274499924e-13</v>
      </c>
      <c r="AT62" s="5">
        <v>1.8574487026955e-13</v>
      </c>
      <c r="AU62" s="5">
        <v>-1.8664852794303e-12</v>
      </c>
      <c r="AV62" s="5">
        <v>-1.6655470158336e-12</v>
      </c>
      <c r="AW62" s="5">
        <v>-1.3957929308946e-12</v>
      </c>
      <c r="AX62" s="5">
        <v>3.2911100093924e-12</v>
      </c>
      <c r="AY62" s="5">
        <v>1.2389501213495e-12</v>
      </c>
      <c r="AZ62" s="5">
        <v>-4.4655673468042e-12</v>
      </c>
      <c r="BA62" s="5">
        <v>3.1146515768649e-13</v>
      </c>
      <c r="BB62" s="5">
        <v>-7.4565868794397e-12</v>
      </c>
      <c r="BC62" s="3">
        <v>16415425.695819</v>
      </c>
      <c r="BD62" s="3">
        <v>4150251.6876511</v>
      </c>
      <c r="BE62" s="3">
        <v>-0.0018857805784512</v>
      </c>
      <c r="BF62" s="3">
        <v>0.0030381580826228</v>
      </c>
      <c r="BG62" s="3">
        <v>0.00060003796886166</v>
      </c>
      <c r="BH62" s="3">
        <v>-0.0093923622121997</v>
      </c>
      <c r="BI62" s="3">
        <v>199.72773633393</v>
      </c>
      <c r="BJ62" s="3">
        <v>99.893283085337</v>
      </c>
      <c r="BK62" s="3">
        <v>186.91421363133</v>
      </c>
      <c r="BL62" s="4"/>
      <c r="BM62" s="7"/>
    </row>
    <row r="63" spans="1:65">
      <c r="A63" s="3">
        <v>19905358.527676</v>
      </c>
      <c r="B63" s="3">
        <v>0.0024989364967894</v>
      </c>
      <c r="C63" s="6">
        <f t="shared" si="0"/>
        <v>1.04926008882476e-10</v>
      </c>
      <c r="D63" s="5">
        <v>2.4200975002648e-12</v>
      </c>
      <c r="E63" s="5">
        <v>2.8630342869099e-12</v>
      </c>
      <c r="F63" s="5">
        <v>2.8801611083412e-12</v>
      </c>
      <c r="G63" s="5">
        <v>2.845630612138e-12</v>
      </c>
      <c r="H63" s="5">
        <v>2.2919593188421e-12</v>
      </c>
      <c r="I63" s="5">
        <v>2.3422904878044e-12</v>
      </c>
      <c r="J63" s="5">
        <v>2.2515179774149e-12</v>
      </c>
      <c r="K63" s="5">
        <v>2.424567092174e-12</v>
      </c>
      <c r="L63" s="5">
        <v>2.5258488954346e-12</v>
      </c>
      <c r="M63" s="5">
        <v>2.3955870416083e-12</v>
      </c>
      <c r="N63" s="5">
        <v>2.572765603502e-12</v>
      </c>
      <c r="O63" s="5">
        <v>2.2896073860984e-12</v>
      </c>
      <c r="P63" s="5">
        <v>2.4877300316595e-12</v>
      </c>
      <c r="Q63" s="5">
        <v>2.6431783169924e-12</v>
      </c>
      <c r="R63" s="5">
        <v>2.7882966130636e-12</v>
      </c>
      <c r="S63" s="5">
        <v>2.7505354013497e-12</v>
      </c>
      <c r="T63" s="5">
        <v>2.8310260318323e-12</v>
      </c>
      <c r="U63" s="5">
        <v>2.2903995685969e-12</v>
      </c>
      <c r="V63" s="5">
        <v>2.4837813225514e-12</v>
      </c>
      <c r="W63" s="5">
        <v>2.5945192487232e-12</v>
      </c>
      <c r="X63" s="5">
        <v>2.457030359371e-12</v>
      </c>
      <c r="Y63" s="5">
        <v>2.5713409640279e-12</v>
      </c>
      <c r="Z63" s="5">
        <v>2.6864844167426e-12</v>
      </c>
      <c r="AA63" s="5">
        <v>2.7488393810221e-12</v>
      </c>
      <c r="AB63" s="3">
        <v>0.53004488450541</v>
      </c>
      <c r="AC63" s="3">
        <v>0.23187683861164</v>
      </c>
      <c r="AD63" s="3">
        <v>0.003313133586733</v>
      </c>
      <c r="AE63" s="5">
        <v>1.6199823237519e-12</v>
      </c>
      <c r="AF63" s="5">
        <v>6.4054112074342e-12</v>
      </c>
      <c r="AG63" s="5">
        <v>6.2670530880982e-12</v>
      </c>
      <c r="AH63" s="5">
        <v>3.3967181091773e-12</v>
      </c>
      <c r="AI63" s="5">
        <v>-7.5386575785167e-14</v>
      </c>
      <c r="AJ63" s="5">
        <v>3.2899959248609e-13</v>
      </c>
      <c r="AK63" s="5">
        <v>1.2586966038005e-12</v>
      </c>
      <c r="AL63" s="5">
        <v>7.2200275124562e-13</v>
      </c>
      <c r="AM63" s="5">
        <v>1.6349330653927e-12</v>
      </c>
      <c r="AN63" s="5">
        <v>-1.0555651967261e-12</v>
      </c>
      <c r="AO63" s="5">
        <v>-1.1491005899465e-12</v>
      </c>
      <c r="AP63" s="5">
        <v>-3.7746938566086e-13</v>
      </c>
      <c r="AQ63" s="5">
        <v>-8.0985320420967e-15</v>
      </c>
      <c r="AR63" s="5">
        <v>-5.9727752572612e-12</v>
      </c>
      <c r="AS63" s="5">
        <v>-1.9309054749494e-13</v>
      </c>
      <c r="AT63" s="5">
        <v>1.849251518726e-13</v>
      </c>
      <c r="AU63" s="5">
        <v>-1.8369732834509e-12</v>
      </c>
      <c r="AV63" s="5">
        <v>-1.5943612058155e-12</v>
      </c>
      <c r="AW63" s="5">
        <v>-1.3504398724382e-12</v>
      </c>
      <c r="AX63" s="5">
        <v>3.2634839310047e-12</v>
      </c>
      <c r="AY63" s="5">
        <v>1.1861130828396e-12</v>
      </c>
      <c r="AZ63" s="5">
        <v>-4.4288425953412e-12</v>
      </c>
      <c r="BA63" s="5">
        <v>3.3961945143e-13</v>
      </c>
      <c r="BB63" s="5">
        <v>-7.3304823173159e-12</v>
      </c>
      <c r="BC63" s="3">
        <v>16438768.975857</v>
      </c>
      <c r="BD63" s="3">
        <v>4162488.8159341</v>
      </c>
      <c r="BE63" s="3">
        <v>-0.0020231063602223</v>
      </c>
      <c r="BF63" s="3">
        <v>0.0032652902667894</v>
      </c>
      <c r="BG63" s="3">
        <v>0.00064309798441565</v>
      </c>
      <c r="BH63" s="3">
        <v>-0.010016438435413</v>
      </c>
      <c r="BI63" s="3">
        <v>199.72607720751</v>
      </c>
      <c r="BJ63" s="3">
        <v>99.893274569377</v>
      </c>
      <c r="BK63" s="3">
        <v>186.97608112053</v>
      </c>
      <c r="BL63" s="4"/>
      <c r="BM63" s="7"/>
    </row>
    <row r="64" spans="1:65">
      <c r="A64" s="3">
        <v>22334179.607549</v>
      </c>
      <c r="B64" s="3">
        <v>0.0027497180059689</v>
      </c>
      <c r="C64" s="6">
        <f t="shared" si="0"/>
        <v>1.0426082525393e-10</v>
      </c>
      <c r="D64" s="5">
        <v>2.4301190939846e-12</v>
      </c>
      <c r="E64" s="5">
        <v>2.8667946128198e-12</v>
      </c>
      <c r="F64" s="5">
        <v>2.8862483459446e-12</v>
      </c>
      <c r="G64" s="5">
        <v>2.8467574078375e-12</v>
      </c>
      <c r="H64" s="5">
        <v>2.2916800740923e-12</v>
      </c>
      <c r="I64" s="5">
        <v>2.3462252233407e-12</v>
      </c>
      <c r="J64" s="5">
        <v>2.2465456985526e-12</v>
      </c>
      <c r="K64" s="5">
        <v>2.4266221924378e-12</v>
      </c>
      <c r="L64" s="5">
        <v>2.5373605821324e-12</v>
      </c>
      <c r="M64" s="5">
        <v>2.3967471282417e-12</v>
      </c>
      <c r="N64" s="5">
        <v>2.5764279103696e-12</v>
      </c>
      <c r="O64" s="5">
        <v>2.2882767513474e-12</v>
      </c>
      <c r="P64" s="5">
        <v>2.4831350755608e-12</v>
      </c>
      <c r="Q64" s="5">
        <v>2.6517562688724e-12</v>
      </c>
      <c r="R64" s="5">
        <v>2.7855963569887e-12</v>
      </c>
      <c r="S64" s="5">
        <v>2.7447386803137e-12</v>
      </c>
      <c r="T64" s="5">
        <v>2.8337327086001e-12</v>
      </c>
      <c r="U64" s="5">
        <v>2.2882637361542e-12</v>
      </c>
      <c r="V64" s="5">
        <v>2.4908409853149e-12</v>
      </c>
      <c r="W64" s="5">
        <v>2.6117409502455e-12</v>
      </c>
      <c r="X64" s="5">
        <v>2.459800009887e-12</v>
      </c>
      <c r="Y64" s="5">
        <v>2.5738274356231e-12</v>
      </c>
      <c r="Z64" s="5">
        <v>2.6972260295317e-12</v>
      </c>
      <c r="AA64" s="5">
        <v>2.7650262826306e-12</v>
      </c>
      <c r="AB64" s="3">
        <v>0.53208634538627</v>
      </c>
      <c r="AC64" s="3">
        <v>0.23361721742794</v>
      </c>
      <c r="AD64" s="3">
        <v>0.0035665021515887</v>
      </c>
      <c r="AE64" s="5">
        <v>1.5928465276797e-12</v>
      </c>
      <c r="AF64" s="5">
        <v>6.3411002804373e-12</v>
      </c>
      <c r="AG64" s="5">
        <v>6.166403495902e-12</v>
      </c>
      <c r="AH64" s="5">
        <v>3.3462615063616e-12</v>
      </c>
      <c r="AI64" s="5">
        <v>-1.1422449179023e-13</v>
      </c>
      <c r="AJ64" s="5">
        <v>2.9914189872211e-13</v>
      </c>
      <c r="AK64" s="5">
        <v>1.2181477672866e-12</v>
      </c>
      <c r="AL64" s="5">
        <v>6.5624012839916e-13</v>
      </c>
      <c r="AM64" s="5">
        <v>1.6336196159444e-12</v>
      </c>
      <c r="AN64" s="5">
        <v>-1.0563480662196e-12</v>
      </c>
      <c r="AO64" s="5">
        <v>-1.1954218780608e-12</v>
      </c>
      <c r="AP64" s="5">
        <v>-3.787148403749e-13</v>
      </c>
      <c r="AQ64" s="5">
        <v>-2.0215287978057e-14</v>
      </c>
      <c r="AR64" s="5">
        <v>-5.9607394500538e-12</v>
      </c>
      <c r="AS64" s="5">
        <v>-1.9694675353303e-13</v>
      </c>
      <c r="AT64" s="5">
        <v>1.7837531650145e-13</v>
      </c>
      <c r="AU64" s="5">
        <v>-1.8099473656288e-12</v>
      </c>
      <c r="AV64" s="5">
        <v>-1.5325567288731e-12</v>
      </c>
      <c r="AW64" s="5">
        <v>-1.3044641425348e-12</v>
      </c>
      <c r="AX64" s="5">
        <v>3.2507504254256e-12</v>
      </c>
      <c r="AY64" s="5">
        <v>1.1393089801574e-12</v>
      </c>
      <c r="AZ64" s="5">
        <v>-4.4020220488096e-12</v>
      </c>
      <c r="BA64" s="5">
        <v>3.6892234775739e-13</v>
      </c>
      <c r="BB64" s="5">
        <v>-7.2179958670422e-12</v>
      </c>
      <c r="BC64" s="3">
        <v>16462928.174732</v>
      </c>
      <c r="BD64" s="3">
        <v>4175886.7013266</v>
      </c>
      <c r="BE64" s="3">
        <v>-0.0021753122043399</v>
      </c>
      <c r="BF64" s="3">
        <v>0.0035185211569711</v>
      </c>
      <c r="BG64" s="3">
        <v>0.0006913658938306</v>
      </c>
      <c r="BH64" s="3">
        <v>-0.010729101669919</v>
      </c>
      <c r="BI64" s="3">
        <v>199.72419005988</v>
      </c>
      <c r="BJ64" s="3">
        <v>99.893245859761</v>
      </c>
      <c r="BK64" s="3">
        <v>187.0405597572</v>
      </c>
      <c r="BL64" s="4"/>
      <c r="BM64" s="7"/>
    </row>
    <row r="65" spans="1:65">
      <c r="A65" s="3">
        <v>25059361.681365</v>
      </c>
      <c r="B65" s="3">
        <v>0.0030294750239552</v>
      </c>
      <c r="C65" s="6">
        <f t="shared" si="0"/>
        <v>1.03667835060835e-10</v>
      </c>
      <c r="D65" s="5">
        <v>2.4411135480765e-12</v>
      </c>
      <c r="E65" s="5">
        <v>2.8706501267265e-12</v>
      </c>
      <c r="F65" s="5">
        <v>2.8926273575131e-12</v>
      </c>
      <c r="G65" s="5">
        <v>2.8475903880309e-12</v>
      </c>
      <c r="H65" s="5">
        <v>2.2914901310408e-12</v>
      </c>
      <c r="I65" s="5">
        <v>2.3506247235397e-12</v>
      </c>
      <c r="J65" s="5">
        <v>2.241213369396e-12</v>
      </c>
      <c r="K65" s="5">
        <v>2.4286782227569e-12</v>
      </c>
      <c r="L65" s="5">
        <v>2.5498457584707e-12</v>
      </c>
      <c r="M65" s="5">
        <v>2.3979407639596e-12</v>
      </c>
      <c r="N65" s="5">
        <v>2.5806569181027e-12</v>
      </c>
      <c r="O65" s="5">
        <v>2.2868719601222e-12</v>
      </c>
      <c r="P65" s="5">
        <v>2.4782734240493e-12</v>
      </c>
      <c r="Q65" s="5">
        <v>2.6612824133194e-12</v>
      </c>
      <c r="R65" s="5">
        <v>2.7824010561197e-12</v>
      </c>
      <c r="S65" s="5">
        <v>2.7381613449591e-12</v>
      </c>
      <c r="T65" s="5">
        <v>2.8366277674227e-12</v>
      </c>
      <c r="U65" s="5">
        <v>2.2859675497204e-12</v>
      </c>
      <c r="V65" s="5">
        <v>2.4983430285487e-12</v>
      </c>
      <c r="W65" s="5">
        <v>2.6302876330799e-12</v>
      </c>
      <c r="X65" s="5">
        <v>2.4625055352157e-12</v>
      </c>
      <c r="Y65" s="5">
        <v>2.5766991167256e-12</v>
      </c>
      <c r="Z65" s="5">
        <v>2.7089574656743e-12</v>
      </c>
      <c r="AA65" s="5">
        <v>2.7827748933393e-12</v>
      </c>
      <c r="AB65" s="3">
        <v>0.53395054115569</v>
      </c>
      <c r="AC65" s="3">
        <v>0.23517112788588</v>
      </c>
      <c r="AD65" s="3">
        <v>0.003848870262938</v>
      </c>
      <c r="AE65" s="5">
        <v>1.5705089388493e-12</v>
      </c>
      <c r="AF65" s="5">
        <v>6.281357887418e-12</v>
      </c>
      <c r="AG65" s="5">
        <v>6.0688322706694e-12</v>
      </c>
      <c r="AH65" s="5">
        <v>3.2982603437292e-12</v>
      </c>
      <c r="AI65" s="5">
        <v>-1.5640426512519e-13</v>
      </c>
      <c r="AJ65" s="5">
        <v>2.6889006698239e-13</v>
      </c>
      <c r="AK65" s="5">
        <v>1.1763339541326e-12</v>
      </c>
      <c r="AL65" s="5">
        <v>5.9617370131073e-13</v>
      </c>
      <c r="AM65" s="5">
        <v>1.6303993691379e-12</v>
      </c>
      <c r="AN65" s="5">
        <v>-1.0621328332012e-12</v>
      </c>
      <c r="AO65" s="5">
        <v>-1.2418370279796e-12</v>
      </c>
      <c r="AP65" s="5">
        <v>-3.8409819889412e-13</v>
      </c>
      <c r="AQ65" s="5">
        <v>-3.2778687080798e-14</v>
      </c>
      <c r="AR65" s="5">
        <v>-5.9545671424379e-12</v>
      </c>
      <c r="AS65" s="5">
        <v>-1.9874022906447e-13</v>
      </c>
      <c r="AT65" s="5">
        <v>1.6736636746078e-13</v>
      </c>
      <c r="AU65" s="5">
        <v>-1.7853113891733e-12</v>
      </c>
      <c r="AV65" s="5">
        <v>-1.4786233343324e-12</v>
      </c>
      <c r="AW65" s="5">
        <v>-1.2589770071981e-12</v>
      </c>
      <c r="AX65" s="5">
        <v>3.2516877914776e-12</v>
      </c>
      <c r="AY65" s="5">
        <v>1.0977015110502e-12</v>
      </c>
      <c r="AZ65" s="5">
        <v>-4.3834227879091e-12</v>
      </c>
      <c r="BA65" s="5">
        <v>4.0017578862929e-13</v>
      </c>
      <c r="BB65" s="5">
        <v>-7.1182486631321e-12</v>
      </c>
      <c r="BC65" s="3">
        <v>16487765.542873</v>
      </c>
      <c r="BD65" s="3">
        <v>4190555.0486613</v>
      </c>
      <c r="BE65" s="3">
        <v>-0.0023441661126911</v>
      </c>
      <c r="BF65" s="3">
        <v>0.0038010348827102</v>
      </c>
      <c r="BG65" s="3">
        <v>0.00074547412651415</v>
      </c>
      <c r="BH65" s="3">
        <v>-0.011579838935389</v>
      </c>
      <c r="BI65" s="3">
        <v>199.72208451008</v>
      </c>
      <c r="BJ65" s="3">
        <v>99.893197779746</v>
      </c>
      <c r="BK65" s="3">
        <v>187.10830304618</v>
      </c>
      <c r="BL65" s="4"/>
      <c r="BM65" s="7"/>
    </row>
    <row r="66" spans="1:65">
      <c r="A66" s="3">
        <v>27084784.885595</v>
      </c>
      <c r="B66" s="3">
        <v>0.0032365138753807</v>
      </c>
      <c r="C66" s="6">
        <f t="shared" si="0"/>
        <v>1.03224158052036e-10</v>
      </c>
      <c r="D66" s="5">
        <v>2.44987173247e-12</v>
      </c>
      <c r="E66" s="5">
        <v>2.87348976428e-12</v>
      </c>
      <c r="F66" s="5">
        <v>2.8974434649927e-12</v>
      </c>
      <c r="G66" s="5">
        <v>2.8479291785782e-12</v>
      </c>
      <c r="H66" s="5">
        <v>2.2914166808168e-12</v>
      </c>
      <c r="I66" s="5">
        <v>2.3541899701468e-12</v>
      </c>
      <c r="J66" s="5">
        <v>2.2370619776625e-12</v>
      </c>
      <c r="K66" s="5">
        <v>2.430180653885e-12</v>
      </c>
      <c r="L66" s="5">
        <v>2.559684420337e-12</v>
      </c>
      <c r="M66" s="5">
        <v>2.398833332041e-12</v>
      </c>
      <c r="N66" s="5">
        <v>2.58412520438e-12</v>
      </c>
      <c r="O66" s="5">
        <v>2.2858062390808e-12</v>
      </c>
      <c r="P66" s="5">
        <v>2.4745006558165e-12</v>
      </c>
      <c r="Q66" s="5">
        <v>2.6689180983729e-12</v>
      </c>
      <c r="R66" s="5">
        <v>2.7796602466813e-12</v>
      </c>
      <c r="S66" s="5">
        <v>2.7327348600481e-12</v>
      </c>
      <c r="T66" s="5">
        <v>2.8388346352838e-12</v>
      </c>
      <c r="U66" s="5">
        <v>2.2841821884591e-12</v>
      </c>
      <c r="V66" s="5">
        <v>2.5041531569437e-12</v>
      </c>
      <c r="W66" s="5">
        <v>2.6448034768036e-12</v>
      </c>
      <c r="X66" s="5">
        <v>2.4644331807745e-12</v>
      </c>
      <c r="Y66" s="5">
        <v>2.5790667695114e-12</v>
      </c>
      <c r="Z66" s="5">
        <v>2.7182193934989e-12</v>
      </c>
      <c r="AA66" s="5">
        <v>2.7968507575044e-12</v>
      </c>
      <c r="AB66" s="3">
        <v>0.5352293024515</v>
      </c>
      <c r="AC66" s="3">
        <v>0.2362173048029</v>
      </c>
      <c r="AD66" s="3">
        <v>0.0040576659751905</v>
      </c>
      <c r="AE66" s="5">
        <v>1.5502550696877e-12</v>
      </c>
      <c r="AF66" s="5">
        <v>6.2393219561785e-12</v>
      </c>
      <c r="AG66" s="5">
        <v>5.9982062193639e-12</v>
      </c>
      <c r="AH66" s="5">
        <v>3.2642019757246e-12</v>
      </c>
      <c r="AI66" s="5">
        <v>-1.8943109242431e-13</v>
      </c>
      <c r="AJ66" s="5">
        <v>2.4469910333756e-13</v>
      </c>
      <c r="AK66" s="5">
        <v>1.1433557867302e-12</v>
      </c>
      <c r="AL66" s="5">
        <v>5.551776651502e-13</v>
      </c>
      <c r="AM66" s="5">
        <v>1.6240608502641e-12</v>
      </c>
      <c r="AN66" s="5">
        <v>-1.0685974650652e-12</v>
      </c>
      <c r="AO66" s="5">
        <v>-1.2771573927904e-12</v>
      </c>
      <c r="AP66" s="5">
        <v>-3.9151067190521e-13</v>
      </c>
      <c r="AQ66" s="5">
        <v>-4.2805580005735e-14</v>
      </c>
      <c r="AR66" s="5">
        <v>-5.9521611404862e-12</v>
      </c>
      <c r="AS66" s="5">
        <v>-1.9900557479112e-13</v>
      </c>
      <c r="AT66" s="5">
        <v>1.5680060445965e-13</v>
      </c>
      <c r="AU66" s="5">
        <v>-1.7696807587173e-12</v>
      </c>
      <c r="AV66" s="5">
        <v>-1.4433289787098e-12</v>
      </c>
      <c r="AW66" s="5">
        <v>-1.2277407342672e-12</v>
      </c>
      <c r="AX66" s="5">
        <v>3.2602484911737e-12</v>
      </c>
      <c r="AY66" s="5">
        <v>1.0696699510104e-12</v>
      </c>
      <c r="AZ66" s="5">
        <v>-4.374599342804e-12</v>
      </c>
      <c r="BA66" s="5">
        <v>4.2326922472348e-13</v>
      </c>
      <c r="BB66" s="5">
        <v>-7.0531608436595e-12</v>
      </c>
      <c r="BC66" s="3">
        <v>16504821.555763</v>
      </c>
      <c r="BD66" s="3">
        <v>4201233.9954138</v>
      </c>
      <c r="BE66" s="3">
        <v>-0.0024685635956378</v>
      </c>
      <c r="BF66" s="3">
        <v>0.0040101074876659</v>
      </c>
      <c r="BG66" s="3">
        <v>0.00078565843930946</v>
      </c>
      <c r="BH66" s="3">
        <v>-0.011765501436931</v>
      </c>
      <c r="BI66" s="3">
        <v>199.72025225028</v>
      </c>
      <c r="BJ66" s="3">
        <v>99.89293771707</v>
      </c>
      <c r="BK66" s="3">
        <v>187.15520195078</v>
      </c>
      <c r="BL66" s="4"/>
      <c r="BM66" s="7"/>
    </row>
    <row r="67" spans="1:65">
      <c r="A67" s="3">
        <v>29135422.661694</v>
      </c>
      <c r="B67" s="3">
        <v>0.0034454841389453</v>
      </c>
      <c r="C67" s="6">
        <f t="shared" ref="C67:C71" si="1">(BF67-BF66)/(A67-A66)</f>
        <v>1.02899791951318e-10</v>
      </c>
      <c r="D67" s="5">
        <v>2.4574086703461e-12</v>
      </c>
      <c r="E67" s="5">
        <v>2.8758090653718e-12</v>
      </c>
      <c r="F67" s="5">
        <v>2.9014267201925e-12</v>
      </c>
      <c r="G67" s="5">
        <v>2.8480295737274e-12</v>
      </c>
      <c r="H67" s="5">
        <v>2.2914187552666e-12</v>
      </c>
      <c r="I67" s="5">
        <v>2.3573082462643e-12</v>
      </c>
      <c r="J67" s="5">
        <v>2.2335734741898e-12</v>
      </c>
      <c r="K67" s="5">
        <v>2.4313853058278e-12</v>
      </c>
      <c r="L67" s="5">
        <v>2.5680757894214e-12</v>
      </c>
      <c r="M67" s="5">
        <v>2.3995609933605e-12</v>
      </c>
      <c r="N67" s="5">
        <v>2.5871594714142e-12</v>
      </c>
      <c r="O67" s="5">
        <v>2.2849448905889e-12</v>
      </c>
      <c r="P67" s="5">
        <v>2.4713150361424e-12</v>
      </c>
      <c r="Q67" s="5">
        <v>2.6755017851082e-12</v>
      </c>
      <c r="R67" s="5">
        <v>2.777206081515e-12</v>
      </c>
      <c r="S67" s="5">
        <v>2.7279732126326e-12</v>
      </c>
      <c r="T67" s="5">
        <v>2.8406943599129e-12</v>
      </c>
      <c r="U67" s="5">
        <v>2.2826929418839e-12</v>
      </c>
      <c r="V67" s="5">
        <v>2.5090427237762e-12</v>
      </c>
      <c r="W67" s="5">
        <v>2.657109783091e-12</v>
      </c>
      <c r="X67" s="5">
        <v>2.4659478332634e-12</v>
      </c>
      <c r="Y67" s="5">
        <v>2.5811429650095e-12</v>
      </c>
      <c r="Z67" s="5">
        <v>2.7261102909911e-12</v>
      </c>
      <c r="AA67" s="5">
        <v>2.8088901306937e-12</v>
      </c>
      <c r="AB67" s="3">
        <v>0.53619395837307</v>
      </c>
      <c r="AC67" s="3">
        <v>0.23699469872385</v>
      </c>
      <c r="AD67" s="3">
        <v>0.0042682776414465</v>
      </c>
      <c r="AE67" s="5">
        <v>1.5411532648911e-12</v>
      </c>
      <c r="AF67" s="5">
        <v>6.2092541781525e-12</v>
      </c>
      <c r="AG67" s="5">
        <v>5.9428491469172e-12</v>
      </c>
      <c r="AH67" s="5">
        <v>3.2373701214596e-12</v>
      </c>
      <c r="AI67" s="5">
        <v>-2.1539127196515e-13</v>
      </c>
      <c r="AJ67" s="5">
        <v>2.2607794777188e-13</v>
      </c>
      <c r="AK67" s="5">
        <v>1.1171880263541e-12</v>
      </c>
      <c r="AL67" s="5">
        <v>5.2500739258055e-13</v>
      </c>
      <c r="AM67" s="5">
        <v>1.6194238990667e-12</v>
      </c>
      <c r="AN67" s="5">
        <v>-1.0754378779147e-12</v>
      </c>
      <c r="AO67" s="5">
        <v>-1.3039305094226e-12</v>
      </c>
      <c r="AP67" s="5">
        <v>-3.9979352311645e-13</v>
      </c>
      <c r="AQ67" s="5">
        <v>-5.1313903472921e-14</v>
      </c>
      <c r="AR67" s="5">
        <v>-5.952614172761e-12</v>
      </c>
      <c r="AS67" s="5">
        <v>-1.9901227438061e-13</v>
      </c>
      <c r="AT67" s="5">
        <v>1.4769525631945e-13</v>
      </c>
      <c r="AU67" s="5">
        <v>-1.7578305173894e-12</v>
      </c>
      <c r="AV67" s="5">
        <v>-1.4169522998831e-12</v>
      </c>
      <c r="AW67" s="5">
        <v>-1.2019519800009e-12</v>
      </c>
      <c r="AX67" s="5">
        <v>3.2701172310218e-12</v>
      </c>
      <c r="AY67" s="5">
        <v>1.0490825924151e-12</v>
      </c>
      <c r="AZ67" s="5">
        <v>-4.3686031015292e-12</v>
      </c>
      <c r="BA67" s="5">
        <v>4.4386088710272e-13</v>
      </c>
      <c r="BB67" s="5">
        <v>-7.0051258047627e-12</v>
      </c>
      <c r="BC67" s="3">
        <v>16520970.725758</v>
      </c>
      <c r="BD67" s="3">
        <v>4211866.4383853</v>
      </c>
      <c r="BE67" s="3">
        <v>-0.0025936892801492</v>
      </c>
      <c r="BF67" s="3">
        <v>0.004221117688194</v>
      </c>
      <c r="BG67" s="3">
        <v>0.00082633170765987</v>
      </c>
      <c r="BH67" s="3">
        <v>-0.012364430001976</v>
      </c>
      <c r="BI67" s="3">
        <v>199.71854981866</v>
      </c>
      <c r="BJ67" s="3">
        <v>99.892913237384</v>
      </c>
      <c r="BK67" s="3">
        <v>187.20080517694</v>
      </c>
      <c r="BL67" s="4"/>
      <c r="BM67" s="7"/>
    </row>
    <row r="68" spans="1:65">
      <c r="A68" s="3">
        <v>31074085.314428</v>
      </c>
      <c r="B68" s="3">
        <v>0.0036425420780337</v>
      </c>
      <c r="C68" s="6">
        <f t="shared" si="1"/>
        <v>1.02628460089079e-10</v>
      </c>
      <c r="D68" s="5">
        <v>2.4659025159584e-12</v>
      </c>
      <c r="E68" s="5">
        <v>2.8782573244797e-12</v>
      </c>
      <c r="F68" s="5">
        <v>2.905708276501e-12</v>
      </c>
      <c r="G68" s="5">
        <v>2.8479020009532e-12</v>
      </c>
      <c r="H68" s="5">
        <v>2.2914719685579e-12</v>
      </c>
      <c r="I68" s="5">
        <v>2.3608654653749e-12</v>
      </c>
      <c r="J68" s="5">
        <v>2.2297096221753e-12</v>
      </c>
      <c r="K68" s="5">
        <v>2.4326517279154e-12</v>
      </c>
      <c r="L68" s="5">
        <v>2.577464684546e-12</v>
      </c>
      <c r="M68" s="5">
        <v>2.4003389244925e-12</v>
      </c>
      <c r="N68" s="5">
        <v>2.590617931975e-12</v>
      </c>
      <c r="O68" s="5">
        <v>2.2840196419172e-12</v>
      </c>
      <c r="P68" s="5">
        <v>2.4677753252835e-12</v>
      </c>
      <c r="Q68" s="5">
        <v>2.6829392477472e-12</v>
      </c>
      <c r="R68" s="5">
        <v>2.7742970575634e-12</v>
      </c>
      <c r="S68" s="5">
        <v>2.722463175802e-12</v>
      </c>
      <c r="T68" s="5">
        <v>2.8427140805923e-12</v>
      </c>
      <c r="U68" s="5">
        <v>2.2810491813189e-12</v>
      </c>
      <c r="V68" s="5">
        <v>2.5144499649239e-12</v>
      </c>
      <c r="W68" s="5">
        <v>2.6708036958899e-12</v>
      </c>
      <c r="X68" s="5">
        <v>2.4675082155185e-12</v>
      </c>
      <c r="Y68" s="5">
        <v>2.5835222928759e-12</v>
      </c>
      <c r="Z68" s="5">
        <v>2.7349199360049e-12</v>
      </c>
      <c r="AA68" s="5">
        <v>2.8223824312492e-12</v>
      </c>
      <c r="AB68" s="3">
        <v>0.5371073915129</v>
      </c>
      <c r="AC68" s="3">
        <v>0.23771739410704</v>
      </c>
      <c r="AD68" s="3">
        <v>0.0044667706457321</v>
      </c>
      <c r="AE68" s="5">
        <v>1.5334334831248e-12</v>
      </c>
      <c r="AF68" s="5">
        <v>6.1814935971262e-12</v>
      </c>
      <c r="AG68" s="5">
        <v>5.8876565784755e-12</v>
      </c>
      <c r="AH68" s="5">
        <v>3.2107143914461e-12</v>
      </c>
      <c r="AI68" s="5">
        <v>-2.4246660353212e-13</v>
      </c>
      <c r="AJ68" s="5">
        <v>2.0690777767957e-13</v>
      </c>
      <c r="AK68" s="5">
        <v>1.0893369684584e-12</v>
      </c>
      <c r="AL68" s="5">
        <v>4.9610067857186e-13</v>
      </c>
      <c r="AM68" s="5">
        <v>1.6144434490324e-12</v>
      </c>
      <c r="AN68" s="5">
        <v>-1.0841097877187e-12</v>
      </c>
      <c r="AO68" s="5">
        <v>-1.3311054163781e-12</v>
      </c>
      <c r="AP68" s="5">
        <v>-4.113631211777e-13</v>
      </c>
      <c r="AQ68" s="5">
        <v>-6.1083331031523e-14</v>
      </c>
      <c r="AR68" s="5">
        <v>-5.9531922265754e-12</v>
      </c>
      <c r="AS68" s="5">
        <v>-1.9925759866776e-13</v>
      </c>
      <c r="AT68" s="5">
        <v>1.3755431623322e-13</v>
      </c>
      <c r="AU68" s="5">
        <v>-1.7466731678249e-12</v>
      </c>
      <c r="AV68" s="5">
        <v>-1.3914502107921e-12</v>
      </c>
      <c r="AW68" s="5">
        <v>-1.1737784811996e-12</v>
      </c>
      <c r="AX68" s="5">
        <v>3.2860132010143e-12</v>
      </c>
      <c r="AY68" s="5">
        <v>1.0302840677186e-12</v>
      </c>
      <c r="AZ68" s="5">
        <v>-4.36599548492e-12</v>
      </c>
      <c r="BA68" s="5">
        <v>4.6589182320323e-13</v>
      </c>
      <c r="BB68" s="5">
        <v>-6.9595897536129e-12</v>
      </c>
      <c r="BC68" s="3">
        <v>16535280.644094</v>
      </c>
      <c r="BD68" s="3">
        <v>4221763.5570619</v>
      </c>
      <c r="BE68" s="3">
        <v>-0.0027113185178341</v>
      </c>
      <c r="BF68" s="3">
        <v>0.0044200796508763</v>
      </c>
      <c r="BG68" s="3">
        <v>0.00086477205597831</v>
      </c>
      <c r="BH68" s="3">
        <v>-0.012803429054356</v>
      </c>
      <c r="BI68" s="3">
        <v>199.7169282067</v>
      </c>
      <c r="BJ68" s="3">
        <v>99.892757414267</v>
      </c>
      <c r="BK68" s="3">
        <v>187.24163359679</v>
      </c>
      <c r="BL68" s="4"/>
      <c r="BM68" s="7"/>
    </row>
    <row r="69" spans="1:65">
      <c r="A69" s="3">
        <v>33160900.893527</v>
      </c>
      <c r="B69" s="3">
        <v>0.003854237260662</v>
      </c>
      <c r="C69" s="6">
        <f t="shared" si="1"/>
        <v>1.0240382299957e-10</v>
      </c>
      <c r="D69" s="5">
        <v>2.4738292074878e-12</v>
      </c>
      <c r="E69" s="5">
        <v>2.8803976793485e-12</v>
      </c>
      <c r="F69" s="5">
        <v>2.9095106314629e-12</v>
      </c>
      <c r="G69" s="5">
        <v>2.8475793459627e-12</v>
      </c>
      <c r="H69" s="5">
        <v>2.2915768789034e-12</v>
      </c>
      <c r="I69" s="5">
        <v>2.3642248625788e-12</v>
      </c>
      <c r="J69" s="5">
        <v>2.2261840140435e-12</v>
      </c>
      <c r="K69" s="5">
        <v>2.433778095921e-12</v>
      </c>
      <c r="L69" s="5">
        <v>2.5861765018143e-12</v>
      </c>
      <c r="M69" s="5">
        <v>2.401051588847e-12</v>
      </c>
      <c r="N69" s="5">
        <v>2.5938684114994e-12</v>
      </c>
      <c r="O69" s="5">
        <v>2.2832110952393e-12</v>
      </c>
      <c r="P69" s="5">
        <v>2.4645396551257e-12</v>
      </c>
      <c r="Q69" s="5">
        <v>2.689893135778e-12</v>
      </c>
      <c r="R69" s="5">
        <v>2.7714706142196e-12</v>
      </c>
      <c r="S69" s="5">
        <v>2.7172157823082e-12</v>
      </c>
      <c r="T69" s="5">
        <v>2.8445387844013e-12</v>
      </c>
      <c r="U69" s="5">
        <v>2.2795629740655e-12</v>
      </c>
      <c r="V69" s="5">
        <v>2.5194255018533e-12</v>
      </c>
      <c r="W69" s="5">
        <v>2.6834300398517e-12</v>
      </c>
      <c r="X69" s="5">
        <v>2.4688560455617e-12</v>
      </c>
      <c r="Y69" s="5">
        <v>2.5857924226625e-12</v>
      </c>
      <c r="Z69" s="5">
        <v>2.74305514681e-12</v>
      </c>
      <c r="AA69" s="5">
        <v>2.834877922376e-12</v>
      </c>
      <c r="AB69" s="3">
        <v>0.537984645493</v>
      </c>
      <c r="AC69" s="3">
        <v>0.23840829358125</v>
      </c>
      <c r="AD69" s="3">
        <v>0.0046798911087029</v>
      </c>
      <c r="AE69" s="5">
        <v>1.5223432590408e-12</v>
      </c>
      <c r="AF69" s="5">
        <v>6.1552983174682e-12</v>
      </c>
      <c r="AG69" s="5">
        <v>5.8353047546567e-12</v>
      </c>
      <c r="AH69" s="5">
        <v>3.1837820104333e-12</v>
      </c>
      <c r="AI69" s="5">
        <v>-2.6664863599482e-13</v>
      </c>
      <c r="AJ69" s="5">
        <v>1.8594737652015e-13</v>
      </c>
      <c r="AK69" s="5">
        <v>1.0628574443402e-12</v>
      </c>
      <c r="AL69" s="5">
        <v>4.7035173850015e-13</v>
      </c>
      <c r="AM69" s="5">
        <v>1.6006753155374e-12</v>
      </c>
      <c r="AN69" s="5">
        <v>-1.0919307623941e-12</v>
      </c>
      <c r="AO69" s="5">
        <v>-1.3595145706465e-12</v>
      </c>
      <c r="AP69" s="5">
        <v>-4.2414299143916e-13</v>
      </c>
      <c r="AQ69" s="5">
        <v>-7.0950084174539e-14</v>
      </c>
      <c r="AR69" s="5">
        <v>-5.9569676793758e-12</v>
      </c>
      <c r="AS69" s="5">
        <v>-2.0058378009313e-13</v>
      </c>
      <c r="AT69" s="5">
        <v>1.274256743307e-13</v>
      </c>
      <c r="AU69" s="5">
        <v>-1.7390824463163e-12</v>
      </c>
      <c r="AV69" s="5">
        <v>-1.3686717771301e-12</v>
      </c>
      <c r="AW69" s="5">
        <v>-1.1535499049111e-12</v>
      </c>
      <c r="AX69" s="5">
        <v>3.3000450619088e-12</v>
      </c>
      <c r="AY69" s="5">
        <v>1.0127453790948e-12</v>
      </c>
      <c r="AZ69" s="5">
        <v>-4.3630010745146e-12</v>
      </c>
      <c r="BA69" s="5">
        <v>4.8441290618931e-13</v>
      </c>
      <c r="BB69" s="5">
        <v>-6.9222921389004e-12</v>
      </c>
      <c r="BC69" s="3">
        <v>16549726.127277</v>
      </c>
      <c r="BD69" s="3">
        <v>4232263.1854589</v>
      </c>
      <c r="BE69" s="3">
        <v>-0.0028373363397723</v>
      </c>
      <c r="BF69" s="3">
        <v>0.0046337775440711</v>
      </c>
      <c r="BG69" s="3">
        <v>0.00090615265910906</v>
      </c>
      <c r="BH69" s="3">
        <v>-0.013007239053111</v>
      </c>
      <c r="BI69" s="3">
        <v>199.71519980751</v>
      </c>
      <c r="BJ69" s="3">
        <v>99.8923337227</v>
      </c>
      <c r="BK69" s="3">
        <v>187.2833397281</v>
      </c>
      <c r="BL69" s="4"/>
      <c r="BM69" s="7"/>
    </row>
    <row r="70" spans="1:65">
      <c r="A70" s="3">
        <v>35101361.285603</v>
      </c>
      <c r="B70" s="3">
        <v>0.0040506468222609</v>
      </c>
      <c r="C70" s="6">
        <f t="shared" si="1"/>
        <v>1.0216442254382e-10</v>
      </c>
      <c r="D70" s="5">
        <v>2.4801044487371e-12</v>
      </c>
      <c r="E70" s="5">
        <v>2.8820305756414e-12</v>
      </c>
      <c r="F70" s="5">
        <v>2.9124218290935e-12</v>
      </c>
      <c r="G70" s="5">
        <v>2.8472090744976e-12</v>
      </c>
      <c r="H70" s="5">
        <v>2.291691064476e-12</v>
      </c>
      <c r="I70" s="5">
        <v>2.3669169726272e-12</v>
      </c>
      <c r="J70" s="5">
        <v>2.223436002828e-12</v>
      </c>
      <c r="K70" s="5">
        <v>2.4346078325447e-12</v>
      </c>
      <c r="L70" s="5">
        <v>2.5930306651488e-12</v>
      </c>
      <c r="M70" s="5">
        <v>2.4015799974391e-12</v>
      </c>
      <c r="N70" s="5">
        <v>2.5964649194492e-12</v>
      </c>
      <c r="O70" s="5">
        <v>2.2826049509911e-12</v>
      </c>
      <c r="P70" s="5">
        <v>2.462012640057e-12</v>
      </c>
      <c r="Q70" s="5">
        <v>2.6953989404658e-12</v>
      </c>
      <c r="R70" s="5">
        <v>2.7691812379476e-12</v>
      </c>
      <c r="S70" s="5">
        <v>2.7130080169035e-12</v>
      </c>
      <c r="T70" s="5">
        <v>2.8459608127351e-12</v>
      </c>
      <c r="U70" s="5">
        <v>2.2784099664377e-12</v>
      </c>
      <c r="V70" s="5">
        <v>2.5232989534019e-12</v>
      </c>
      <c r="W70" s="5">
        <v>2.6932926491262e-12</v>
      </c>
      <c r="X70" s="5">
        <v>2.4698353173011e-12</v>
      </c>
      <c r="Y70" s="5">
        <v>2.5876148299141e-12</v>
      </c>
      <c r="Z70" s="5">
        <v>2.7494465748424e-12</v>
      </c>
      <c r="AA70" s="5">
        <v>2.844717030456e-12</v>
      </c>
      <c r="AB70" s="3">
        <v>0.53858430396431</v>
      </c>
      <c r="AC70" s="3">
        <v>0.23886823909232</v>
      </c>
      <c r="AD70" s="3">
        <v>0.0048775301672961</v>
      </c>
      <c r="AE70" s="5">
        <v>1.5154879900962e-12</v>
      </c>
      <c r="AF70" s="5">
        <v>6.1372010401878e-12</v>
      </c>
      <c r="AG70" s="5">
        <v>5.7997682473621e-12</v>
      </c>
      <c r="AH70" s="5">
        <v>3.165502519591e-12</v>
      </c>
      <c r="AI70" s="5">
        <v>-2.8414360107076e-13</v>
      </c>
      <c r="AJ70" s="5">
        <v>1.739820811237e-13</v>
      </c>
      <c r="AK70" s="5">
        <v>1.042942409241e-12</v>
      </c>
      <c r="AL70" s="5">
        <v>4.5342760751724e-13</v>
      </c>
      <c r="AM70" s="5">
        <v>1.5957186804471e-12</v>
      </c>
      <c r="AN70" s="5">
        <v>-1.098397909794e-12</v>
      </c>
      <c r="AO70" s="5">
        <v>-1.3755630504459e-12</v>
      </c>
      <c r="AP70" s="5">
        <v>-4.3435417174014e-13</v>
      </c>
      <c r="AQ70" s="5">
        <v>-7.8454184027127e-14</v>
      </c>
      <c r="AR70" s="5">
        <v>-5.9568360946819e-12</v>
      </c>
      <c r="AS70" s="5">
        <v>-2.0145563153858e-13</v>
      </c>
      <c r="AT70" s="5">
        <v>1.1977850769748e-13</v>
      </c>
      <c r="AU70" s="5">
        <v>-1.7330738719842e-12</v>
      </c>
      <c r="AV70" s="5">
        <v>-1.3532047011834e-12</v>
      </c>
      <c r="AW70" s="5">
        <v>-1.1355178075862e-12</v>
      </c>
      <c r="AX70" s="5">
        <v>3.3121198619443e-12</v>
      </c>
      <c r="AY70" s="5">
        <v>1.0027337062614e-12</v>
      </c>
      <c r="AZ70" s="5">
        <v>-4.3622027845386e-12</v>
      </c>
      <c r="BA70" s="5">
        <v>4.9885051172673e-13</v>
      </c>
      <c r="BB70" s="5">
        <v>-6.8952475158745e-12</v>
      </c>
      <c r="BC70" s="3">
        <v>16562282.324899</v>
      </c>
      <c r="BD70" s="3">
        <v>4241875.7069813</v>
      </c>
      <c r="BE70" s="3">
        <v>-0.0029539351572919</v>
      </c>
      <c r="BF70" s="3">
        <v>0.0048320235594967</v>
      </c>
      <c r="BG70" s="3">
        <v>0.00094463819916265</v>
      </c>
      <c r="BH70" s="3">
        <v>-0.013950367863241</v>
      </c>
      <c r="BI70" s="3">
        <v>199.71348423207</v>
      </c>
      <c r="BJ70" s="3">
        <v>99.892643838288</v>
      </c>
      <c r="BK70" s="3">
        <v>187.31998430381</v>
      </c>
      <c r="BL70" s="4"/>
      <c r="BM70" s="7"/>
    </row>
    <row r="71" spans="1:65">
      <c r="A71" s="3">
        <v>37848582.464035</v>
      </c>
      <c r="B71" s="3">
        <v>0.0043282390284383</v>
      </c>
      <c r="C71" s="6">
        <f t="shared" si="1"/>
        <v>1.01966592736695e-10</v>
      </c>
      <c r="D71" s="5">
        <v>2.4899466056093e-12</v>
      </c>
      <c r="E71" s="5">
        <v>2.8844654970876e-12</v>
      </c>
      <c r="F71" s="5">
        <v>2.9167903537192e-12</v>
      </c>
      <c r="G71" s="5">
        <v>2.8464350577715e-12</v>
      </c>
      <c r="H71" s="5">
        <v>2.2919479396338e-12</v>
      </c>
      <c r="I71" s="5">
        <v>2.3711960603877e-12</v>
      </c>
      <c r="J71" s="5">
        <v>2.2192408405946e-12</v>
      </c>
      <c r="K71" s="5">
        <v>2.4358521042874e-12</v>
      </c>
      <c r="L71" s="5">
        <v>2.6037181934369e-12</v>
      </c>
      <c r="M71" s="5">
        <v>2.40238982775e-12</v>
      </c>
      <c r="N71" s="5">
        <v>2.6005072694403e-12</v>
      </c>
      <c r="O71" s="5">
        <v>2.2817405458176e-12</v>
      </c>
      <c r="P71" s="5">
        <v>2.4580830197574e-12</v>
      </c>
      <c r="Q71" s="5">
        <v>2.7040400846386e-12</v>
      </c>
      <c r="R71" s="5">
        <v>2.7655026433245e-12</v>
      </c>
      <c r="S71" s="5">
        <v>2.7063284254296e-12</v>
      </c>
      <c r="T71" s="5">
        <v>2.8481820814146e-12</v>
      </c>
      <c r="U71" s="5">
        <v>2.2766806558843e-12</v>
      </c>
      <c r="V71" s="5">
        <v>2.529306306853e-12</v>
      </c>
      <c r="W71" s="5">
        <v>2.7086373246018e-12</v>
      </c>
      <c r="X71" s="5">
        <v>2.4712497520881e-12</v>
      </c>
      <c r="Y71" s="5">
        <v>2.5904698355338e-12</v>
      </c>
      <c r="Z71" s="5">
        <v>2.7593184589573e-12</v>
      </c>
      <c r="AA71" s="5">
        <v>2.8599811966096e-12</v>
      </c>
      <c r="AB71" s="3">
        <v>0.539444975702</v>
      </c>
      <c r="AC71" s="3">
        <v>0.23952017553996</v>
      </c>
      <c r="AD71" s="3">
        <v>0.0051567309020091</v>
      </c>
      <c r="AE71" s="5">
        <v>1.508499125694e-12</v>
      </c>
      <c r="AF71" s="5">
        <v>6.112732868248e-12</v>
      </c>
      <c r="AG71" s="5">
        <v>5.7480471860509e-12</v>
      </c>
      <c r="AH71" s="5">
        <v>3.1369402829046e-12</v>
      </c>
      <c r="AI71" s="5">
        <v>-3.0886662740226e-13</v>
      </c>
      <c r="AJ71" s="5">
        <v>1.5511169091128e-13</v>
      </c>
      <c r="AK71" s="5">
        <v>1.0137340010967e-12</v>
      </c>
      <c r="AL71" s="5">
        <v>4.2979503561657e-13</v>
      </c>
      <c r="AM71" s="5">
        <v>1.5840451033295e-12</v>
      </c>
      <c r="AN71" s="5">
        <v>-1.1083909656843e-12</v>
      </c>
      <c r="AO71" s="5">
        <v>-1.4014565066315e-12</v>
      </c>
      <c r="AP71" s="5">
        <v>-4.5184569152497e-13</v>
      </c>
      <c r="AQ71" s="5">
        <v>-9.0989244928682e-14</v>
      </c>
      <c r="AR71" s="5">
        <v>-5.9592680751231e-12</v>
      </c>
      <c r="AS71" s="5">
        <v>-2.0380731616478e-13</v>
      </c>
      <c r="AT71" s="5">
        <v>1.0803869178198e-13</v>
      </c>
      <c r="AU71" s="5">
        <v>-1.7262275845826e-12</v>
      </c>
      <c r="AV71" s="5">
        <v>-1.3303168573068e-12</v>
      </c>
      <c r="AW71" s="5">
        <v>-1.1102797790804e-12</v>
      </c>
      <c r="AX71" s="5">
        <v>3.3311974015059e-12</v>
      </c>
      <c r="AY71" s="5">
        <v>9.8903571604212e-13</v>
      </c>
      <c r="AZ71" s="5">
        <v>-4.3628458687452e-12</v>
      </c>
      <c r="BA71" s="5">
        <v>5.2014407793224e-13</v>
      </c>
      <c r="BB71" s="5">
        <v>-6.8590659868911e-12</v>
      </c>
      <c r="BC71" s="3">
        <v>16578780.300263</v>
      </c>
      <c r="BD71" s="3">
        <v>4255268.264462</v>
      </c>
      <c r="BE71" s="3">
        <v>-0.0031182991648148</v>
      </c>
      <c r="BF71" s="3">
        <v>0.0051121483425555</v>
      </c>
      <c r="BG71" s="3">
        <v>0.00099913978494839</v>
      </c>
      <c r="BH71" s="3">
        <v>-0.017921776761206</v>
      </c>
      <c r="BI71" s="3">
        <v>199.71215916334</v>
      </c>
      <c r="BJ71" s="3">
        <v>99.89209081267</v>
      </c>
      <c r="BK71" s="3">
        <v>187.3722687318</v>
      </c>
      <c r="BL71" s="4"/>
      <c r="BM71" s="7"/>
    </row>
    <row r="72" spans="1:65">
      <c r="A72" s="3">
        <v>39951119.856248</v>
      </c>
      <c r="B72" s="3">
        <v>0.0045402967647229</v>
      </c>
      <c r="C72" s="6">
        <f>(BF72-BF71)/(A72-A71)</f>
        <v>1.01749278834432e-10</v>
      </c>
      <c r="D72" s="5">
        <v>2.4991172761378e-12</v>
      </c>
      <c r="E72" s="5">
        <v>2.8865655110502e-12</v>
      </c>
      <c r="F72" s="5">
        <v>2.9206055241406e-12</v>
      </c>
      <c r="G72" s="5">
        <v>2.8454736729895e-12</v>
      </c>
      <c r="H72" s="5">
        <v>2.2922742195714e-12</v>
      </c>
      <c r="I72" s="5">
        <v>2.3752497995859e-12</v>
      </c>
      <c r="J72" s="5">
        <v>2.2154598033236e-12</v>
      </c>
      <c r="K72" s="5">
        <v>2.4369348440564e-12</v>
      </c>
      <c r="L72" s="5">
        <v>2.613593610463e-12</v>
      </c>
      <c r="M72" s="5">
        <v>2.4031043612657e-12</v>
      </c>
      <c r="N72" s="5">
        <v>2.6042107679089e-12</v>
      </c>
      <c r="O72" s="5">
        <v>2.2810349527841e-12</v>
      </c>
      <c r="P72" s="5">
        <v>2.4544470427952e-12</v>
      </c>
      <c r="Q72" s="5">
        <v>2.7120238828755e-12</v>
      </c>
      <c r="R72" s="5">
        <v>2.7619522440257e-12</v>
      </c>
      <c r="S72" s="5">
        <v>2.699990669906e-12</v>
      </c>
      <c r="T72" s="5">
        <v>2.850168766557e-12</v>
      </c>
      <c r="U72" s="5">
        <v>2.2751554495002e-12</v>
      </c>
      <c r="V72" s="5">
        <v>2.5348355573971e-12</v>
      </c>
      <c r="W72" s="5">
        <v>2.7227117359787e-12</v>
      </c>
      <c r="X72" s="5">
        <v>2.472460774428e-12</v>
      </c>
      <c r="Y72" s="5">
        <v>2.5931103562714e-12</v>
      </c>
      <c r="Z72" s="5">
        <v>2.7683286946865e-12</v>
      </c>
      <c r="AA72" s="5">
        <v>2.8739852914989e-12</v>
      </c>
      <c r="AB72" s="3">
        <v>0.54016082957118</v>
      </c>
      <c r="AC72" s="3">
        <v>0.24005034899015</v>
      </c>
      <c r="AD72" s="3">
        <v>0.0053698882360419</v>
      </c>
      <c r="AE72" s="5">
        <v>1.4999086791863e-12</v>
      </c>
      <c r="AF72" s="5">
        <v>6.0924040051112e-12</v>
      </c>
      <c r="AG72" s="5">
        <v>5.7040944840143e-12</v>
      </c>
      <c r="AH72" s="5">
        <v>3.1114167427365e-12</v>
      </c>
      <c r="AI72" s="5">
        <v>-3.304164694876e-13</v>
      </c>
      <c r="AJ72" s="5">
        <v>1.3739305272213e-13</v>
      </c>
      <c r="AK72" s="5">
        <v>9.8746813271631e-13</v>
      </c>
      <c r="AL72" s="5">
        <v>4.1014066268075e-13</v>
      </c>
      <c r="AM72" s="5">
        <v>1.5677232958915e-12</v>
      </c>
      <c r="AN72" s="5">
        <v>-1.1173839283945e-12</v>
      </c>
      <c r="AO72" s="5">
        <v>-1.4266603116548e-12</v>
      </c>
      <c r="AP72" s="5">
        <v>-4.6901337738438e-13</v>
      </c>
      <c r="AQ72" s="5">
        <v>-1.0297142569504e-13</v>
      </c>
      <c r="AR72" s="5">
        <v>-5.9650855178917e-12</v>
      </c>
      <c r="AS72" s="5">
        <v>-2.0729166534424e-13</v>
      </c>
      <c r="AT72" s="5">
        <v>9.6961452682397e-14</v>
      </c>
      <c r="AU72" s="5">
        <v>-1.7225982713838e-12</v>
      </c>
      <c r="AV72" s="5">
        <v>-1.3113865574981e-12</v>
      </c>
      <c r="AW72" s="5">
        <v>-1.0898224280879e-12</v>
      </c>
      <c r="AX72" s="5">
        <v>3.3523044811768e-12</v>
      </c>
      <c r="AY72" s="5">
        <v>9.7911976965375e-13</v>
      </c>
      <c r="AZ72" s="5">
        <v>-4.3646958092485e-12</v>
      </c>
      <c r="BA72" s="5">
        <v>5.3574357455583e-13</v>
      </c>
      <c r="BB72" s="5">
        <v>-6.8339985043763e-12</v>
      </c>
      <c r="BC72" s="3">
        <v>16590419.603867</v>
      </c>
      <c r="BD72" s="3">
        <v>4265341.2069298</v>
      </c>
      <c r="BE72" s="3">
        <v>-0.0032434835516649</v>
      </c>
      <c r="BF72" s="3">
        <v>0.0053260800059356</v>
      </c>
      <c r="BG72" s="3">
        <v>0.0010408591817064</v>
      </c>
      <c r="BH72" s="3">
        <v>-0.014853878274383</v>
      </c>
      <c r="BI72" s="3">
        <v>199.70931404113</v>
      </c>
      <c r="BJ72" s="3">
        <v>99.891937291428</v>
      </c>
      <c r="BK72" s="3">
        <v>187.40247116171</v>
      </c>
      <c r="BL72" s="4"/>
      <c r="BM72" s="7"/>
    </row>
    <row r="73" spans="1:65">
      <c r="A73" s="3">
        <v>42288920.205794</v>
      </c>
      <c r="B73" s="3">
        <v>0.00477573455699</v>
      </c>
      <c r="C73" s="6">
        <f>(BF73-BF72)/(A73-A72)</f>
        <v>1.01583220777266e-10</v>
      </c>
      <c r="D73" s="5">
        <v>2.506336526498e-12</v>
      </c>
      <c r="E73" s="5">
        <v>2.8881506389771e-12</v>
      </c>
      <c r="F73" s="5">
        <v>2.9234848127154e-12</v>
      </c>
      <c r="G73" s="5">
        <v>2.8445777039151e-12</v>
      </c>
      <c r="H73" s="5">
        <v>2.2925689518373e-12</v>
      </c>
      <c r="I73" s="5">
        <v>2.3784851390978e-12</v>
      </c>
      <c r="J73" s="5">
        <v>2.2125249483419e-12</v>
      </c>
      <c r="K73" s="5">
        <v>2.4377341355411e-12</v>
      </c>
      <c r="L73" s="5">
        <v>2.6213609512604e-12</v>
      </c>
      <c r="M73" s="5">
        <v>2.4036322332043e-12</v>
      </c>
      <c r="N73" s="5">
        <v>2.6071223789801e-12</v>
      </c>
      <c r="O73" s="5">
        <v>2.2805221293963e-12</v>
      </c>
      <c r="P73" s="5">
        <v>2.4515866714487e-12</v>
      </c>
      <c r="Q73" s="5">
        <v>2.7183263358934e-12</v>
      </c>
      <c r="R73" s="5">
        <v>2.7590848128741e-12</v>
      </c>
      <c r="S73" s="5">
        <v>2.6949163048744e-12</v>
      </c>
      <c r="T73" s="5">
        <v>2.8517214565787e-12</v>
      </c>
      <c r="U73" s="5">
        <v>2.2739840954373e-12</v>
      </c>
      <c r="V73" s="5">
        <v>2.5391536999592e-12</v>
      </c>
      <c r="W73" s="5">
        <v>2.7337182760983e-12</v>
      </c>
      <c r="X73" s="5">
        <v>2.4733256472255e-12</v>
      </c>
      <c r="Y73" s="5">
        <v>2.59519355023e-12</v>
      </c>
      <c r="Z73" s="5">
        <v>2.7753599464683e-12</v>
      </c>
      <c r="AA73" s="5">
        <v>2.8849466948141e-12</v>
      </c>
      <c r="AB73" s="3">
        <v>0.54069519946459</v>
      </c>
      <c r="AC73" s="3">
        <v>0.24043949514835</v>
      </c>
      <c r="AD73" s="3">
        <v>0.0056064805536613</v>
      </c>
      <c r="AE73" s="5">
        <v>1.4964840541182e-12</v>
      </c>
      <c r="AF73" s="5">
        <v>6.0775409794188e-12</v>
      </c>
      <c r="AG73" s="5">
        <v>5.6722819655114e-12</v>
      </c>
      <c r="AH73" s="5">
        <v>3.091949016773e-12</v>
      </c>
      <c r="AI73" s="5">
        <v>-3.4566506776151e-13</v>
      </c>
      <c r="AJ73" s="5">
        <v>1.2652662485455e-13</v>
      </c>
      <c r="AK73" s="5">
        <v>9.6809604659406e-13</v>
      </c>
      <c r="AL73" s="5">
        <v>3.9654356053061e-13</v>
      </c>
      <c r="AM73" s="5">
        <v>1.5587008236936e-12</v>
      </c>
      <c r="AN73" s="5">
        <v>-1.1245506781824e-12</v>
      </c>
      <c r="AO73" s="5">
        <v>-1.442114481659e-12</v>
      </c>
      <c r="AP73" s="5">
        <v>-4.8237223282246e-13</v>
      </c>
      <c r="AQ73" s="5">
        <v>-1.1249032239965e-13</v>
      </c>
      <c r="AR73" s="5">
        <v>-5.9674852670899e-12</v>
      </c>
      <c r="AS73" s="5">
        <v>-2.1017207602041e-13</v>
      </c>
      <c r="AT73" s="5">
        <v>8.8685226693821e-14</v>
      </c>
      <c r="AU73" s="5">
        <v>-1.7199933234465e-12</v>
      </c>
      <c r="AV73" s="5">
        <v>-1.2976307760913e-12</v>
      </c>
      <c r="AW73" s="5">
        <v>-1.0741291047442e-12</v>
      </c>
      <c r="AX73" s="5">
        <v>3.3648442830661e-12</v>
      </c>
      <c r="AY73" s="5">
        <v>9.7297109423905e-13</v>
      </c>
      <c r="AZ73" s="5">
        <v>-4.366751061293e-12</v>
      </c>
      <c r="BA73" s="5">
        <v>5.486282472029e-13</v>
      </c>
      <c r="BB73" s="5">
        <v>-6.8145791716413e-12</v>
      </c>
      <c r="BC73" s="3">
        <v>16602417.743581</v>
      </c>
      <c r="BD73" s="3">
        <v>4276366.1680868</v>
      </c>
      <c r="BE73" s="3">
        <v>-0.0033821808823597</v>
      </c>
      <c r="BF73" s="3">
        <v>0.0055635612949767</v>
      </c>
      <c r="BG73" s="3">
        <v>0.0010872790782913</v>
      </c>
      <c r="BH73" s="3">
        <v>-0.017592088881125</v>
      </c>
      <c r="BI73" s="3">
        <v>199.70799313572</v>
      </c>
      <c r="BJ73" s="3">
        <v>99.891655750364</v>
      </c>
      <c r="BK73" s="3">
        <v>187.44071304488</v>
      </c>
      <c r="BL73" s="4"/>
      <c r="BM73" s="7"/>
    </row>
    <row r="74" spans="1:65">
      <c r="A74" s="3">
        <v>44229172.166529</v>
      </c>
      <c r="B74" s="3">
        <v>0.0049708829527755</v>
      </c>
      <c r="C74" s="6">
        <f>(BF74-BF73)/(A74-A73)</f>
        <v>1.01427544477909e-10</v>
      </c>
      <c r="D74" s="5">
        <v>2.5142718788732e-12</v>
      </c>
      <c r="E74" s="5">
        <v>2.8897792506319e-12</v>
      </c>
      <c r="F74" s="5">
        <v>2.9264735804959e-12</v>
      </c>
      <c r="G74" s="5">
        <v>2.8434353238994e-12</v>
      </c>
      <c r="H74" s="5">
        <v>2.2929096296095e-12</v>
      </c>
      <c r="I74" s="5">
        <v>2.3820475420864e-12</v>
      </c>
      <c r="J74" s="5">
        <v>2.209351108947e-12</v>
      </c>
      <c r="K74" s="5">
        <v>2.438554748988e-12</v>
      </c>
      <c r="L74" s="5">
        <v>2.629821591126e-12</v>
      </c>
      <c r="M74" s="5">
        <v>2.4041757878377e-12</v>
      </c>
      <c r="N74" s="5">
        <v>2.6102826221526e-12</v>
      </c>
      <c r="O74" s="5">
        <v>2.279985686284e-12</v>
      </c>
      <c r="P74" s="5">
        <v>2.4484692075795e-12</v>
      </c>
      <c r="Q74" s="5">
        <v>2.7252338146362e-12</v>
      </c>
      <c r="R74" s="5">
        <v>2.7558540302931e-12</v>
      </c>
      <c r="S74" s="5">
        <v>2.6892631188901e-12</v>
      </c>
      <c r="T74" s="5">
        <v>2.8533774666195e-12</v>
      </c>
      <c r="U74" s="5">
        <v>2.2727157229229e-12</v>
      </c>
      <c r="V74" s="5">
        <v>2.5438386181101e-12</v>
      </c>
      <c r="W74" s="5">
        <v>2.7456601569275e-12</v>
      </c>
      <c r="X74" s="5">
        <v>2.4741863592324e-12</v>
      </c>
      <c r="Y74" s="5">
        <v>2.5974724362822e-12</v>
      </c>
      <c r="Z74" s="5">
        <v>2.7829700952694e-12</v>
      </c>
      <c r="AA74" s="5">
        <v>2.8968530348303e-12</v>
      </c>
      <c r="AB74" s="3">
        <v>0.5412488810065</v>
      </c>
      <c r="AC74" s="3">
        <v>0.24083598135638</v>
      </c>
      <c r="AD74" s="3">
        <v>0.0058025031833239</v>
      </c>
      <c r="AE74" s="5">
        <v>1.4917731404759e-12</v>
      </c>
      <c r="AF74" s="5">
        <v>6.0625609262658e-12</v>
      </c>
      <c r="AG74" s="5">
        <v>5.6389949699813e-12</v>
      </c>
      <c r="AH74" s="5">
        <v>3.0708499916237e-12</v>
      </c>
      <c r="AI74" s="5">
        <v>-3.617333476637e-13</v>
      </c>
      <c r="AJ74" s="5">
        <v>1.1373045832627e-13</v>
      </c>
      <c r="AK74" s="5">
        <v>9.4767738257228e-13</v>
      </c>
      <c r="AL74" s="5">
        <v>3.8251203626378e-13</v>
      </c>
      <c r="AM74" s="5">
        <v>1.5447755629631e-12</v>
      </c>
      <c r="AN74" s="5">
        <v>-1.1318626917111e-12</v>
      </c>
      <c r="AO74" s="5">
        <v>-1.4613284079546e-12</v>
      </c>
      <c r="AP74" s="5">
        <v>-4.9728409426528e-13</v>
      </c>
      <c r="AQ74" s="5">
        <v>-1.2304353784353e-13</v>
      </c>
      <c r="AR74" s="5">
        <v>-5.9723647338266e-12</v>
      </c>
      <c r="AS74" s="5">
        <v>-2.1427413450333e-13</v>
      </c>
      <c r="AT74" s="5">
        <v>7.9724334620349e-14</v>
      </c>
      <c r="AU74" s="5">
        <v>-1.7187931837147e-12</v>
      </c>
      <c r="AV74" s="5">
        <v>-1.2840783449713e-12</v>
      </c>
      <c r="AW74" s="5">
        <v>-1.0574377181967e-12</v>
      </c>
      <c r="AX74" s="5">
        <v>3.381259112268e-12</v>
      </c>
      <c r="AY74" s="5">
        <v>9.6779069563337e-13</v>
      </c>
      <c r="AZ74" s="5">
        <v>-4.36945986487e-12</v>
      </c>
      <c r="BA74" s="5">
        <v>5.5981898580074e-13</v>
      </c>
      <c r="BB74" s="5">
        <v>-6.7978394624092e-12</v>
      </c>
      <c r="BC74" s="3">
        <v>16611664.396501</v>
      </c>
      <c r="BD74" s="3">
        <v>4285379.204323</v>
      </c>
      <c r="BE74" s="3">
        <v>-0.0034968834542381</v>
      </c>
      <c r="BF74" s="3">
        <v>0.0057603562870225</v>
      </c>
      <c r="BG74" s="3">
        <v>0.001125816707165</v>
      </c>
      <c r="BH74" s="3">
        <v>-0.016184467867064</v>
      </c>
      <c r="BI74" s="3">
        <v>199.70549757629</v>
      </c>
      <c r="BJ74" s="3">
        <v>99.891831999752</v>
      </c>
      <c r="BK74" s="3">
        <v>187.46608094206</v>
      </c>
      <c r="BL74" s="4"/>
      <c r="BM74" s="7"/>
    </row>
    <row r="75" spans="1:65">
      <c r="A75" s="3">
        <v>47250191.572468</v>
      </c>
      <c r="B75" s="3">
        <v>0.0052743734790619</v>
      </c>
      <c r="C75" s="6">
        <f>(BF75-BF74)/(A75-A74)</f>
        <v>1.0128674847426e-10</v>
      </c>
      <c r="D75" s="5">
        <v>2.5232532460138e-12</v>
      </c>
      <c r="E75" s="5">
        <v>2.8915621197449e-12</v>
      </c>
      <c r="F75" s="5">
        <v>2.9297347878698e-12</v>
      </c>
      <c r="G75" s="5">
        <v>2.84198552905e-12</v>
      </c>
      <c r="H75" s="5">
        <v>2.293322866358e-12</v>
      </c>
      <c r="I75" s="5">
        <v>2.38612416243e-12</v>
      </c>
      <c r="J75" s="5">
        <v>2.2057694904798e-12</v>
      </c>
      <c r="K75" s="5">
        <v>2.4394234659326e-12</v>
      </c>
      <c r="L75" s="5">
        <v>2.639435846493e-12</v>
      </c>
      <c r="M75" s="5">
        <v>2.4047438193216e-12</v>
      </c>
      <c r="N75" s="5">
        <v>2.6138640885512e-12</v>
      </c>
      <c r="O75" s="5">
        <v>2.2794093928917e-12</v>
      </c>
      <c r="P75" s="5">
        <v>2.4449229895876e-12</v>
      </c>
      <c r="Q75" s="5">
        <v>2.7331386438742e-12</v>
      </c>
      <c r="R75" s="5">
        <v>2.7521136718297e-12</v>
      </c>
      <c r="S75" s="5">
        <v>2.6827453707681e-12</v>
      </c>
      <c r="T75" s="5">
        <v>2.85526565835e-12</v>
      </c>
      <c r="U75" s="5">
        <v>2.271286209896e-12</v>
      </c>
      <c r="V75" s="5">
        <v>2.5491289419356e-12</v>
      </c>
      <c r="W75" s="5">
        <v>2.7591487367877e-12</v>
      </c>
      <c r="X75" s="5">
        <v>2.4750678139446e-12</v>
      </c>
      <c r="Y75" s="5">
        <v>2.6000660904418e-12</v>
      </c>
      <c r="Z75" s="5">
        <v>2.7915198889736e-12</v>
      </c>
      <c r="AA75" s="5">
        <v>2.9103283030325e-12</v>
      </c>
      <c r="AB75" s="3">
        <v>0.54179389200299</v>
      </c>
      <c r="AC75" s="3">
        <v>0.24121346895661</v>
      </c>
      <c r="AD75" s="3">
        <v>0.0061072795906544</v>
      </c>
      <c r="AE75" s="5">
        <v>1.4898115781832e-12</v>
      </c>
      <c r="AF75" s="5">
        <v>6.0482231166504e-12</v>
      </c>
      <c r="AG75" s="5">
        <v>5.6060308827406e-12</v>
      </c>
      <c r="AH75" s="5">
        <v>3.0490153574367e-12</v>
      </c>
      <c r="AI75" s="5">
        <v>-3.7878188941216e-13</v>
      </c>
      <c r="AJ75" s="5">
        <v>1.0279886610766e-13</v>
      </c>
      <c r="AK75" s="5">
        <v>9.2673739397668e-13</v>
      </c>
      <c r="AL75" s="5">
        <v>3.6916790227509e-13</v>
      </c>
      <c r="AM75" s="5">
        <v>1.5340707808745e-12</v>
      </c>
      <c r="AN75" s="5">
        <v>-1.14141063188e-12</v>
      </c>
      <c r="AO75" s="5">
        <v>-1.477876878597e-12</v>
      </c>
      <c r="AP75" s="5">
        <v>-5.138129643921e-13</v>
      </c>
      <c r="AQ75" s="5">
        <v>-1.3446023501104e-13</v>
      </c>
      <c r="AR75" s="5">
        <v>-5.975454106668e-12</v>
      </c>
      <c r="AS75" s="5">
        <v>-2.1904102732803e-13</v>
      </c>
      <c r="AT75" s="5">
        <v>7.0366074476065e-14</v>
      </c>
      <c r="AU75" s="5">
        <v>-1.7177010236638e-12</v>
      </c>
      <c r="AV75" s="5">
        <v>-1.2706620734778e-12</v>
      </c>
      <c r="AW75" s="5">
        <v>-1.0391398915706e-12</v>
      </c>
      <c r="AX75" s="5">
        <v>3.3965302100229e-12</v>
      </c>
      <c r="AY75" s="5">
        <v>9.6331512501626e-13</v>
      </c>
      <c r="AZ75" s="5">
        <v>-4.3736736174388e-12</v>
      </c>
      <c r="BA75" s="5">
        <v>5.7367906718642e-13</v>
      </c>
      <c r="BB75" s="5">
        <v>-6.7786613948117e-12</v>
      </c>
      <c r="BC75" s="3">
        <v>16624872.918797</v>
      </c>
      <c r="BD75" s="3">
        <v>4299177.0746583</v>
      </c>
      <c r="BE75" s="3">
        <v>-0.0036749172190843</v>
      </c>
      <c r="BF75" s="3">
        <v>0.0060663455197277</v>
      </c>
      <c r="BG75" s="3">
        <v>0.0011858615800754</v>
      </c>
      <c r="BH75" s="3">
        <v>-0.022858646709707</v>
      </c>
      <c r="BI75" s="3">
        <v>199.70363760532</v>
      </c>
      <c r="BJ75" s="3">
        <v>99.8902871246</v>
      </c>
      <c r="BK75" s="3">
        <v>187.51278671848</v>
      </c>
      <c r="BL75" s="4"/>
      <c r="BM75" s="7"/>
    </row>
    <row r="76" spans="1:65">
      <c r="A76" s="3">
        <v>49077747.192267</v>
      </c>
      <c r="B76" s="3">
        <v>0.0054577418984353</v>
      </c>
      <c r="C76" s="6">
        <f>(BF76-BF75)/(A76-A75)</f>
        <v>1.01132732492337e-10</v>
      </c>
      <c r="D76" s="5">
        <v>2.5306151280103e-12</v>
      </c>
      <c r="E76" s="5">
        <v>2.8929075391085e-12</v>
      </c>
      <c r="F76" s="5">
        <v>2.9322315993166e-12</v>
      </c>
      <c r="G76" s="5">
        <v>2.8406466499015e-12</v>
      </c>
      <c r="H76" s="5">
        <v>2.2936795787541e-12</v>
      </c>
      <c r="I76" s="5">
        <v>2.389467310013e-12</v>
      </c>
      <c r="J76" s="5">
        <v>2.2028908962015e-12</v>
      </c>
      <c r="K76" s="5">
        <v>2.4401077444292e-12</v>
      </c>
      <c r="L76" s="5">
        <v>2.6472589226304e-12</v>
      </c>
      <c r="M76" s="5">
        <v>2.4051940721148e-12</v>
      </c>
      <c r="N76" s="5">
        <v>2.6167204617321e-12</v>
      </c>
      <c r="O76" s="5">
        <v>2.278963622441e-12</v>
      </c>
      <c r="P76" s="5">
        <v>2.4420101078001e-12</v>
      </c>
      <c r="Q76" s="5">
        <v>2.7395864944953e-12</v>
      </c>
      <c r="R76" s="5">
        <v>2.7489744828482e-12</v>
      </c>
      <c r="S76" s="5">
        <v>2.6773306900831e-12</v>
      </c>
      <c r="T76" s="5">
        <v>2.8567688172998e-12</v>
      </c>
      <c r="U76" s="5">
        <v>2.2701347010438e-12</v>
      </c>
      <c r="V76" s="5">
        <v>2.553435380552e-12</v>
      </c>
      <c r="W76" s="5">
        <v>2.7700946630668e-12</v>
      </c>
      <c r="X76" s="5">
        <v>2.4757278524499e-12</v>
      </c>
      <c r="Y76" s="5">
        <v>2.6021414084598e-12</v>
      </c>
      <c r="Z76" s="5">
        <v>2.7984159549834e-12</v>
      </c>
      <c r="AA76" s="5">
        <v>2.9211947678671e-12</v>
      </c>
      <c r="AB76" s="3">
        <v>0.54229721148769</v>
      </c>
      <c r="AC76" s="3">
        <v>0.24156932272078</v>
      </c>
      <c r="AD76" s="3">
        <v>0.0062913360748585</v>
      </c>
      <c r="AE76" s="5">
        <v>1.4869096420941e-12</v>
      </c>
      <c r="AF76" s="5">
        <v>6.0355234235043e-12</v>
      </c>
      <c r="AG76" s="5">
        <v>5.5765666589743e-12</v>
      </c>
      <c r="AH76" s="5">
        <v>3.0298752498513e-12</v>
      </c>
      <c r="AI76" s="5">
        <v>-3.9258675252516e-13</v>
      </c>
      <c r="AJ76" s="5">
        <v>9.1854988500186e-14</v>
      </c>
      <c r="AK76" s="5">
        <v>9.1007312611268e-13</v>
      </c>
      <c r="AL76" s="5">
        <v>3.5681961017551e-13</v>
      </c>
      <c r="AM76" s="5">
        <v>1.5193905285394e-12</v>
      </c>
      <c r="AN76" s="5">
        <v>-1.1473168883279e-12</v>
      </c>
      <c r="AO76" s="5">
        <v>-1.4944429335073e-12</v>
      </c>
      <c r="AP76" s="5">
        <v>-5.2739251805272e-13</v>
      </c>
      <c r="AQ76" s="5">
        <v>-1.4417691200483e-13</v>
      </c>
      <c r="AR76" s="5">
        <v>-5.9802354113021e-12</v>
      </c>
      <c r="AS76" s="5">
        <v>-2.2423383151216e-13</v>
      </c>
      <c r="AT76" s="5">
        <v>6.2737198481272e-14</v>
      </c>
      <c r="AU76" s="5">
        <v>-1.7182320604508e-12</v>
      </c>
      <c r="AV76" s="5">
        <v>-1.2601629210158e-12</v>
      </c>
      <c r="AW76" s="5">
        <v>-1.0234724344207e-12</v>
      </c>
      <c r="AX76" s="5">
        <v>3.4099248490276e-12</v>
      </c>
      <c r="AY76" s="5">
        <v>9.6114246989046e-13</v>
      </c>
      <c r="AZ76" s="5">
        <v>-4.3762131080917e-12</v>
      </c>
      <c r="BA76" s="5">
        <v>5.8297400682779e-13</v>
      </c>
      <c r="BB76" s="5">
        <v>-6.7662332000095e-12</v>
      </c>
      <c r="BC76" s="3">
        <v>16632170.730949</v>
      </c>
      <c r="BD76" s="3">
        <v>4307379.2946322</v>
      </c>
      <c r="BE76" s="3">
        <v>-0.0037822104613154</v>
      </c>
      <c r="BF76" s="3">
        <v>0.0062511712133397</v>
      </c>
      <c r="BG76" s="3">
        <v>0.0012221965899198</v>
      </c>
      <c r="BH76" s="3">
        <v>-0.017701937112385</v>
      </c>
      <c r="BI76" s="3">
        <v>199.70136987877</v>
      </c>
      <c r="BJ76" s="3">
        <v>99.891480154898</v>
      </c>
      <c r="BK76" s="3">
        <v>187.53034452944</v>
      </c>
      <c r="BL76" s="4"/>
      <c r="BM76" s="7"/>
    </row>
    <row r="77" spans="1:65">
      <c r="A77" s="4"/>
      <c r="B77" s="4"/>
      <c r="C77" s="4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4"/>
      <c r="AD77" s="4"/>
      <c r="AE77" s="4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4"/>
      <c r="BE77" s="4"/>
      <c r="BF77" s="4"/>
      <c r="BG77" s="4"/>
      <c r="BH77" s="4"/>
      <c r="BI77" s="4"/>
      <c r="BJ77" s="4"/>
      <c r="BK77" s="4"/>
      <c r="BL77" s="4"/>
      <c r="BM77" s="7"/>
    </row>
    <row r="78" spans="1:65">
      <c r="A78" s="4"/>
      <c r="B78" s="4"/>
      <c r="C78" s="4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4"/>
      <c r="AD78" s="4"/>
      <c r="AE78" s="4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4"/>
      <c r="BE78" s="4"/>
      <c r="BF78" s="4"/>
      <c r="BG78" s="4"/>
      <c r="BH78" s="4"/>
      <c r="BI78" s="4"/>
      <c r="BJ78" s="4"/>
      <c r="BK78" s="4"/>
      <c r="BL78" s="4"/>
      <c r="BM78" s="7"/>
    </row>
    <row r="79" spans="1:65">
      <c r="A79" s="4"/>
      <c r="B79" s="4"/>
      <c r="C79" s="4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4"/>
      <c r="AD79" s="4"/>
      <c r="AE79" s="4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4"/>
      <c r="BE79" s="4"/>
      <c r="BF79" s="4"/>
      <c r="BG79" s="4"/>
      <c r="BH79" s="4"/>
      <c r="BI79" s="4"/>
      <c r="BJ79" s="4"/>
      <c r="BK79" s="4"/>
      <c r="BL79" s="4"/>
      <c r="BM79" s="7"/>
    </row>
    <row r="80" spans="1:65">
      <c r="A80" s="4">
        <f>A76-A38</f>
        <v>47958386.6229828</v>
      </c>
      <c r="B80" s="4">
        <f>B76-B38</f>
        <v>0.00513452617451878</v>
      </c>
      <c r="C80" s="4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4"/>
      <c r="AD80" s="4"/>
      <c r="AE80" s="4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4"/>
      <c r="BE80" s="4"/>
      <c r="BF80" s="4"/>
      <c r="BG80" s="4"/>
      <c r="BH80" s="4"/>
      <c r="BI80" s="4"/>
      <c r="BJ80" s="4"/>
      <c r="BK80" s="4"/>
      <c r="BL80" s="4"/>
      <c r="BM80" s="7"/>
    </row>
    <row r="81" spans="1:65">
      <c r="A81" s="4"/>
      <c r="B81" s="4">
        <f>B80/A80</f>
        <v>1.07062112303382e-10</v>
      </c>
      <c r="C81" s="4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4"/>
      <c r="AD81" s="4"/>
      <c r="AE81" s="4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4"/>
      <c r="BE81" s="4"/>
      <c r="BF81" s="4"/>
      <c r="BG81" s="4"/>
      <c r="BH81" s="4"/>
      <c r="BI81" s="4"/>
      <c r="BJ81" s="4"/>
      <c r="BK81" s="4"/>
      <c r="BL81" s="4"/>
      <c r="BM81" s="7"/>
    </row>
    <row r="82" spans="1:65">
      <c r="A82" s="4"/>
      <c r="B82" s="4"/>
      <c r="C82" s="4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4"/>
      <c r="AD82" s="4"/>
      <c r="AE82" s="4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4"/>
      <c r="BE82" s="4"/>
      <c r="BF82" s="4"/>
      <c r="BG82" s="4"/>
      <c r="BH82" s="4"/>
      <c r="BI82" s="4"/>
      <c r="BJ82" s="4"/>
      <c r="BK82" s="4"/>
      <c r="BL82" s="4"/>
      <c r="BM82" s="7"/>
    </row>
    <row r="83" spans="1:65">
      <c r="A83" s="8"/>
      <c r="B83" s="7"/>
      <c r="C83" s="7"/>
      <c r="D83" s="7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7"/>
      <c r="AE83" s="7"/>
      <c r="AF83" s="7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7"/>
      <c r="BF83" s="7"/>
      <c r="BG83" s="7"/>
      <c r="BH83" s="7"/>
      <c r="BI83" s="7"/>
      <c r="BJ83" s="7"/>
      <c r="BK83" s="7"/>
      <c r="BL83" s="7"/>
      <c r="BM83" s="7"/>
    </row>
    <row r="84" spans="1:65">
      <c r="A84" s="8"/>
      <c r="B84" s="7"/>
      <c r="C84" s="7"/>
      <c r="D84" s="7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7"/>
      <c r="AE84" s="7"/>
      <c r="AF84" s="7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7"/>
      <c r="BF84" s="7"/>
      <c r="BG84" s="7"/>
      <c r="BH84" s="7"/>
      <c r="BI84" s="7"/>
      <c r="BJ84" s="7"/>
      <c r="BK84" s="7"/>
      <c r="BL84" s="7"/>
      <c r="BM84" s="7"/>
    </row>
    <row r="85" spans="1:65">
      <c r="A85" s="8"/>
      <c r="B85" s="7"/>
      <c r="C85" s="7"/>
      <c r="D85" s="7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7"/>
      <c r="AE85" s="7"/>
      <c r="AF85" s="7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7"/>
      <c r="BF85" s="7"/>
      <c r="BG85" s="7"/>
      <c r="BH85" s="7"/>
      <c r="BI85" s="7"/>
      <c r="BJ85" s="7"/>
      <c r="BK85" s="7"/>
      <c r="BL85" s="7"/>
      <c r="BM85" s="7"/>
    </row>
    <row r="86" spans="1:65">
      <c r="A86" s="8"/>
      <c r="B86" s="7"/>
      <c r="C86" s="7"/>
      <c r="D86" s="7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7"/>
      <c r="AE86" s="7"/>
      <c r="AF86" s="7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7"/>
      <c r="BF86" s="7"/>
      <c r="BG86" s="7"/>
      <c r="BH86" s="7"/>
      <c r="BI86" s="7"/>
      <c r="BJ86" s="7"/>
      <c r="BK86" s="7"/>
      <c r="BL86" s="7"/>
      <c r="BM86" s="7"/>
    </row>
    <row r="87" spans="1:65">
      <c r="A87" s="8"/>
      <c r="B87" s="7"/>
      <c r="C87" s="7"/>
      <c r="D87" s="7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7"/>
      <c r="AE87" s="7"/>
      <c r="AF87" s="7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7"/>
      <c r="BF87" s="7"/>
      <c r="BG87" s="7"/>
      <c r="BH87" s="7"/>
      <c r="BI87" s="7"/>
      <c r="BJ87" s="7"/>
      <c r="BK87" s="7"/>
      <c r="BL87" s="7"/>
      <c r="BM87" s="7"/>
    </row>
    <row r="88" spans="1:65">
      <c r="A88" s="8"/>
      <c r="B88" s="7"/>
      <c r="C88" s="7"/>
      <c r="D88" s="7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7"/>
      <c r="AE88" s="7"/>
      <c r="AF88" s="7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7"/>
      <c r="BF88" s="7"/>
      <c r="BG88" s="7"/>
      <c r="BH88" s="7"/>
      <c r="BI88" s="7"/>
      <c r="BJ88" s="7"/>
      <c r="BK88" s="7"/>
      <c r="BL88" s="7"/>
      <c r="BM88" s="7"/>
    </row>
    <row r="89" spans="1:65">
      <c r="A89" s="8"/>
      <c r="B89" s="7"/>
      <c r="C89" s="7"/>
      <c r="D89" s="7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7"/>
      <c r="AE89" s="7"/>
      <c r="AF89" s="7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7"/>
      <c r="BF89" s="7"/>
      <c r="BG89" s="7"/>
      <c r="BH89" s="7"/>
      <c r="BI89" s="7"/>
      <c r="BJ89" s="7"/>
      <c r="BK89" s="7"/>
      <c r="BL89" s="7"/>
      <c r="BM89" s="7"/>
    </row>
    <row r="90" spans="1:65">
      <c r="A90" s="8"/>
      <c r="B90" s="7"/>
      <c r="C90" s="7"/>
      <c r="D90" s="7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7"/>
      <c r="AE90" s="7"/>
      <c r="AF90" s="7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7"/>
      <c r="BF90" s="7"/>
      <c r="BG90" s="7"/>
      <c r="BH90" s="7"/>
      <c r="BI90" s="7"/>
      <c r="BJ90" s="7"/>
      <c r="BK90" s="7"/>
      <c r="BL90" s="7"/>
      <c r="BM90" s="7"/>
    </row>
    <row r="91" spans="1:65">
      <c r="A91" s="8"/>
      <c r="B91" s="7"/>
      <c r="C91" s="7"/>
      <c r="D91" s="7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7"/>
      <c r="AE91" s="7"/>
      <c r="AF91" s="7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7"/>
      <c r="BF91" s="7"/>
      <c r="BG91" s="7"/>
      <c r="BH91" s="7"/>
      <c r="BI91" s="7"/>
      <c r="BJ91" s="7"/>
      <c r="BK91" s="7"/>
      <c r="BL91" s="7"/>
      <c r="BM91" s="7"/>
    </row>
    <row r="92" spans="1:65">
      <c r="A92" s="8"/>
      <c r="B92" s="7"/>
      <c r="C92" s="7"/>
      <c r="D92" s="7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7"/>
      <c r="AE92" s="7"/>
      <c r="AF92" s="7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7"/>
      <c r="BF92" s="7"/>
      <c r="BG92" s="7"/>
      <c r="BH92" s="7"/>
      <c r="BI92" s="7"/>
      <c r="BJ92" s="7"/>
      <c r="BK92" s="7"/>
      <c r="BL92" s="7"/>
      <c r="BM92" s="7"/>
    </row>
    <row r="93" spans="1:65">
      <c r="A93" s="8"/>
      <c r="B93" s="7"/>
      <c r="C93" s="7"/>
      <c r="D93" s="7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7"/>
      <c r="AE93" s="7"/>
      <c r="AF93" s="7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7"/>
      <c r="BF93" s="7"/>
      <c r="BG93" s="7"/>
      <c r="BH93" s="7"/>
      <c r="BI93" s="7"/>
      <c r="BJ93" s="7"/>
      <c r="BK93" s="7"/>
      <c r="BL93" s="7"/>
      <c r="BM93" s="7"/>
    </row>
    <row r="94" spans="1:65">
      <c r="A94" s="8"/>
      <c r="B94" s="7"/>
      <c r="C94" s="7"/>
      <c r="D94" s="7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7"/>
      <c r="AE94" s="7"/>
      <c r="AF94" s="7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7"/>
      <c r="BF94" s="7"/>
      <c r="BG94" s="7"/>
      <c r="BH94" s="7"/>
      <c r="BI94" s="7"/>
      <c r="BJ94" s="7"/>
      <c r="BK94" s="7"/>
      <c r="BL94" s="7"/>
      <c r="BM94" s="7"/>
    </row>
    <row r="95" spans="1:65">
      <c r="A95" s="8"/>
      <c r="B95" s="7"/>
      <c r="C95" s="7"/>
      <c r="D95" s="7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7"/>
      <c r="AE95" s="7"/>
      <c r="AF95" s="7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7"/>
      <c r="BF95" s="7"/>
      <c r="BG95" s="7"/>
      <c r="BH95" s="7"/>
      <c r="BI95" s="7"/>
      <c r="BJ95" s="7"/>
      <c r="BK95" s="7"/>
      <c r="BL95" s="7"/>
      <c r="BM95" s="7"/>
    </row>
    <row r="96" spans="1:65">
      <c r="A96" s="8"/>
      <c r="B96" s="7"/>
      <c r="C96" s="7"/>
      <c r="D96" s="7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7"/>
      <c r="AE96" s="7"/>
      <c r="AF96" s="7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7"/>
      <c r="BF96" s="7"/>
      <c r="BG96" s="7"/>
      <c r="BH96" s="7"/>
      <c r="BI96" s="7"/>
      <c r="BJ96" s="7"/>
      <c r="BK96" s="7"/>
      <c r="BL96" s="7"/>
      <c r="BM96" s="7"/>
    </row>
    <row r="97" spans="1:65">
      <c r="A97" s="8"/>
      <c r="B97" s="7"/>
      <c r="C97" s="7"/>
      <c r="D97" s="7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7"/>
      <c r="AE97" s="7"/>
      <c r="AF97" s="7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7"/>
      <c r="BF97" s="7"/>
      <c r="BG97" s="7"/>
      <c r="BH97" s="7"/>
      <c r="BI97" s="7"/>
      <c r="BJ97" s="7"/>
      <c r="BK97" s="7"/>
      <c r="BL97" s="7"/>
      <c r="BM97" s="7"/>
    </row>
    <row r="98" spans="1:65">
      <c r="A98" s="8"/>
      <c r="B98" s="7"/>
      <c r="C98" s="7"/>
      <c r="D98" s="7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7"/>
      <c r="AE98" s="7"/>
      <c r="AF98" s="7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7"/>
      <c r="BF98" s="7"/>
      <c r="BG98" s="7"/>
      <c r="BH98" s="7"/>
      <c r="BI98" s="7"/>
      <c r="BJ98" s="7"/>
      <c r="BK98" s="7"/>
      <c r="BL98" s="7"/>
      <c r="BM98" s="7"/>
    </row>
    <row r="99" spans="1:65">
      <c r="A99" s="8"/>
      <c r="B99" s="7"/>
      <c r="C99" s="7"/>
      <c r="D99" s="7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7"/>
      <c r="AE99" s="7"/>
      <c r="AF99" s="7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7"/>
      <c r="BF99" s="7"/>
      <c r="BG99" s="7"/>
      <c r="BH99" s="7"/>
      <c r="BI99" s="7"/>
      <c r="BJ99" s="7"/>
      <c r="BK99" s="7"/>
      <c r="BL99" s="7"/>
      <c r="BM99" s="7"/>
    </row>
    <row r="100" spans="1:65">
      <c r="A100" s="8"/>
      <c r="B100" s="7"/>
      <c r="C100" s="7"/>
      <c r="D100" s="7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7"/>
      <c r="AE100" s="7"/>
      <c r="AF100" s="7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7"/>
      <c r="BF100" s="7"/>
      <c r="BG100" s="7"/>
      <c r="BH100" s="7"/>
      <c r="BI100" s="7"/>
      <c r="BJ100" s="7"/>
      <c r="BK100" s="7"/>
      <c r="BL100" s="7"/>
      <c r="BM100" s="7"/>
    </row>
    <row r="101" spans="1:65">
      <c r="A101" s="8"/>
      <c r="B101" s="7"/>
      <c r="C101" s="7"/>
      <c r="D101" s="7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7"/>
      <c r="AE101" s="7"/>
      <c r="AF101" s="7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7"/>
      <c r="BF101" s="7"/>
      <c r="BG101" s="7"/>
      <c r="BH101" s="7"/>
      <c r="BI101" s="7"/>
      <c r="BJ101" s="7"/>
      <c r="BK101" s="7"/>
      <c r="BL101" s="7"/>
      <c r="BM101" s="7"/>
    </row>
    <row r="102" spans="1:65">
      <c r="A102" s="8"/>
      <c r="B102" s="7"/>
      <c r="C102" s="7"/>
      <c r="D102" s="7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7"/>
      <c r="AE102" s="7"/>
      <c r="AF102" s="7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7"/>
      <c r="BF102" s="7"/>
      <c r="BG102" s="7"/>
      <c r="BH102" s="7"/>
      <c r="BI102" s="7"/>
      <c r="BJ102" s="7"/>
      <c r="BK102" s="7"/>
      <c r="BL102" s="7"/>
      <c r="BM102" s="7"/>
    </row>
    <row r="103" spans="1:65">
      <c r="A103" s="8"/>
      <c r="B103" s="7"/>
      <c r="C103" s="7"/>
      <c r="D103" s="7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7"/>
      <c r="AE103" s="7"/>
      <c r="AF103" s="7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7"/>
      <c r="BF103" s="7"/>
      <c r="BG103" s="7"/>
      <c r="BH103" s="7"/>
      <c r="BI103" s="7"/>
      <c r="BJ103" s="7"/>
      <c r="BK103" s="7"/>
      <c r="BL103" s="7"/>
      <c r="BM103" s="7"/>
    </row>
    <row r="104" spans="1:65">
      <c r="A104" s="8"/>
      <c r="B104" s="7"/>
      <c r="C104" s="7"/>
      <c r="D104" s="7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7"/>
      <c r="AE104" s="7"/>
      <c r="AF104" s="7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7"/>
      <c r="BF104" s="7"/>
      <c r="BG104" s="7"/>
      <c r="BH104" s="7"/>
      <c r="BI104" s="7"/>
      <c r="BJ104" s="7"/>
      <c r="BK104" s="7"/>
      <c r="BL104" s="7"/>
      <c r="BM104" s="7"/>
    </row>
    <row r="105" spans="1:65">
      <c r="A105" s="8"/>
      <c r="B105" s="7"/>
      <c r="C105" s="7"/>
      <c r="D105" s="7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7"/>
      <c r="AE105" s="7"/>
      <c r="AF105" s="7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7"/>
      <c r="BF105" s="7"/>
      <c r="BG105" s="7"/>
      <c r="BH105" s="7"/>
      <c r="BI105" s="7"/>
      <c r="BJ105" s="7"/>
      <c r="BK105" s="7"/>
      <c r="BL105" s="7"/>
      <c r="BM105" s="7"/>
    </row>
    <row r="106" spans="1:65">
      <c r="A106" s="8"/>
      <c r="B106" s="7"/>
      <c r="C106" s="7"/>
      <c r="D106" s="7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7"/>
      <c r="AE106" s="7"/>
      <c r="AF106" s="7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7"/>
      <c r="BF106" s="7"/>
      <c r="BG106" s="7"/>
      <c r="BH106" s="7"/>
      <c r="BI106" s="7"/>
      <c r="BJ106" s="7"/>
      <c r="BK106" s="7"/>
      <c r="BL106" s="7"/>
      <c r="BM106" s="7"/>
    </row>
    <row r="107" spans="1:65">
      <c r="A107" s="8"/>
      <c r="B107" s="7"/>
      <c r="C107" s="7"/>
      <c r="D107" s="7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7"/>
      <c r="AE107" s="7"/>
      <c r="AF107" s="7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7"/>
      <c r="BF107" s="7"/>
      <c r="BG107" s="7"/>
      <c r="BH107" s="7"/>
      <c r="BI107" s="7"/>
      <c r="BJ107" s="7"/>
      <c r="BK107" s="7"/>
      <c r="BL107" s="7"/>
      <c r="BM107" s="7"/>
    </row>
    <row r="108" spans="1:65">
      <c r="A108" s="8"/>
      <c r="B108" s="7"/>
      <c r="C108" s="7"/>
      <c r="D108" s="7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7"/>
      <c r="AE108" s="7"/>
      <c r="AF108" s="7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7"/>
      <c r="BF108" s="7"/>
      <c r="BG108" s="7"/>
      <c r="BH108" s="7"/>
      <c r="BI108" s="7"/>
      <c r="BJ108" s="7"/>
      <c r="BK108" s="7"/>
      <c r="BL108" s="7"/>
      <c r="BM108" s="7"/>
    </row>
    <row r="109" spans="1:65">
      <c r="A109" s="8"/>
      <c r="B109" s="7"/>
      <c r="C109" s="7"/>
      <c r="D109" s="7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7"/>
      <c r="AE109" s="7"/>
      <c r="AF109" s="7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7"/>
      <c r="BF109" s="7"/>
      <c r="BG109" s="7"/>
      <c r="BH109" s="7"/>
      <c r="BI109" s="7"/>
      <c r="BJ109" s="7"/>
      <c r="BK109" s="7"/>
      <c r="BL109" s="7"/>
      <c r="BM109" s="7"/>
    </row>
    <row r="110" spans="1:65">
      <c r="A110" s="8"/>
      <c r="B110" s="7"/>
      <c r="C110" s="7"/>
      <c r="D110" s="7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7"/>
      <c r="AE110" s="7"/>
      <c r="AF110" s="7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7"/>
      <c r="BF110" s="7"/>
      <c r="BG110" s="7"/>
      <c r="BH110" s="7"/>
      <c r="BI110" s="7"/>
      <c r="BJ110" s="7"/>
      <c r="BK110" s="7"/>
      <c r="BL110" s="7"/>
      <c r="BM110" s="7"/>
    </row>
    <row r="111" spans="1:65">
      <c r="A111" s="8"/>
      <c r="B111" s="7"/>
      <c r="C111" s="7"/>
      <c r="D111" s="7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7"/>
      <c r="AE111" s="7"/>
      <c r="AF111" s="7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7"/>
      <c r="BF111" s="7"/>
      <c r="BG111" s="7"/>
      <c r="BH111" s="7"/>
      <c r="BI111" s="7"/>
      <c r="BJ111" s="7"/>
      <c r="BK111" s="7"/>
      <c r="BL111" s="7"/>
      <c r="BM111" s="7"/>
    </row>
    <row r="112" spans="1:65">
      <c r="A112" s="8"/>
      <c r="B112" s="7"/>
      <c r="C112" s="7"/>
      <c r="D112" s="7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7"/>
      <c r="AE112" s="7"/>
      <c r="AF112" s="7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7"/>
      <c r="BF112" s="7"/>
      <c r="BG112" s="7"/>
      <c r="BH112" s="7"/>
      <c r="BI112" s="7"/>
      <c r="BJ112" s="7"/>
      <c r="BK112" s="7"/>
      <c r="BL112" s="7"/>
      <c r="BM112" s="7"/>
    </row>
    <row r="113" spans="1:65">
      <c r="A113" s="8"/>
      <c r="B113" s="7"/>
      <c r="C113" s="7"/>
      <c r="D113" s="7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7"/>
      <c r="AE113" s="7"/>
      <c r="AF113" s="7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7"/>
      <c r="BF113" s="7"/>
      <c r="BG113" s="7"/>
      <c r="BH113" s="7"/>
      <c r="BI113" s="7"/>
      <c r="BJ113" s="7"/>
      <c r="BK113" s="7"/>
      <c r="BL113" s="7"/>
      <c r="BM113" s="7"/>
    </row>
    <row r="114" spans="1:65">
      <c r="A114" s="8"/>
      <c r="B114" s="7"/>
      <c r="C114" s="7"/>
      <c r="D114" s="7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7"/>
      <c r="AE114" s="7"/>
      <c r="AF114" s="7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7"/>
      <c r="BF114" s="7"/>
      <c r="BG114" s="7"/>
      <c r="BH114" s="7"/>
      <c r="BI114" s="7"/>
      <c r="BJ114" s="7"/>
      <c r="BK114" s="7"/>
      <c r="BL114" s="7"/>
      <c r="BM114" s="7"/>
    </row>
    <row r="115" spans="1:65">
      <c r="A115" s="8"/>
      <c r="B115" s="7"/>
      <c r="C115" s="7"/>
      <c r="D115" s="7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7"/>
      <c r="AE115" s="7"/>
      <c r="AF115" s="7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7"/>
      <c r="BF115" s="7"/>
      <c r="BG115" s="7"/>
      <c r="BH115" s="7"/>
      <c r="BI115" s="7"/>
      <c r="BJ115" s="7"/>
      <c r="BK115" s="7"/>
      <c r="BL115" s="7"/>
      <c r="BM115" s="7"/>
    </row>
    <row r="116" spans="1:65">
      <c r="A116" s="8"/>
      <c r="B116" s="7"/>
      <c r="C116" s="7"/>
      <c r="D116" s="7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7"/>
      <c r="AE116" s="7"/>
      <c r="AF116" s="7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7"/>
      <c r="BF116" s="7"/>
      <c r="BG116" s="7"/>
      <c r="BH116" s="7"/>
      <c r="BI116" s="7"/>
      <c r="BJ116" s="7"/>
      <c r="BK116" s="7"/>
      <c r="BL116" s="7"/>
      <c r="BM116" s="7"/>
    </row>
    <row r="117" spans="1:65">
      <c r="A117" s="8"/>
      <c r="B117" s="7"/>
      <c r="C117" s="7"/>
      <c r="D117" s="7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7"/>
      <c r="AE117" s="7"/>
      <c r="AF117" s="7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7"/>
      <c r="BF117" s="7"/>
      <c r="BG117" s="7"/>
      <c r="BH117" s="7"/>
      <c r="BI117" s="7"/>
      <c r="BJ117" s="7"/>
      <c r="BK117" s="7"/>
      <c r="BL117" s="7"/>
      <c r="BM117" s="7"/>
    </row>
    <row r="118" spans="1:65">
      <c r="A118" s="8"/>
      <c r="B118" s="7"/>
      <c r="C118" s="7"/>
      <c r="D118" s="7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7"/>
      <c r="AE118" s="7"/>
      <c r="AF118" s="7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7"/>
      <c r="BF118" s="7"/>
      <c r="BG118" s="7"/>
      <c r="BH118" s="7"/>
      <c r="BI118" s="7"/>
      <c r="BJ118" s="7"/>
      <c r="BK118" s="7"/>
      <c r="BL118" s="7"/>
      <c r="BM118" s="7"/>
    </row>
    <row r="119" spans="1:65">
      <c r="A119" s="8"/>
      <c r="B119" s="7"/>
      <c r="C119" s="7"/>
      <c r="D119" s="7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7"/>
      <c r="AE119" s="7"/>
      <c r="AF119" s="7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7"/>
      <c r="BF119" s="7"/>
      <c r="BG119" s="7"/>
      <c r="BH119" s="7"/>
      <c r="BI119" s="7"/>
      <c r="BJ119" s="7"/>
      <c r="BK119" s="7"/>
      <c r="BL119" s="7"/>
      <c r="BM119" s="7"/>
    </row>
    <row r="120" spans="1:65">
      <c r="A120" s="8"/>
      <c r="B120" s="7"/>
      <c r="C120" s="7"/>
      <c r="D120" s="7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7"/>
      <c r="AE120" s="7"/>
      <c r="AF120" s="7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7"/>
      <c r="BF120" s="7"/>
      <c r="BG120" s="7"/>
      <c r="BH120" s="7"/>
      <c r="BI120" s="7"/>
      <c r="BJ120" s="7"/>
      <c r="BK120" s="7"/>
      <c r="BL120" s="7"/>
      <c r="BM120" s="7"/>
    </row>
    <row r="121" spans="1:65">
      <c r="A121" s="8"/>
      <c r="B121" s="7"/>
      <c r="C121" s="7"/>
      <c r="D121" s="7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7"/>
      <c r="AE121" s="7"/>
      <c r="AF121" s="7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7"/>
      <c r="BF121" s="7"/>
      <c r="BG121" s="7"/>
      <c r="BH121" s="7"/>
      <c r="BI121" s="7"/>
      <c r="BJ121" s="7"/>
      <c r="BK121" s="7"/>
      <c r="BL121" s="7"/>
      <c r="BM121" s="7"/>
    </row>
    <row r="122" spans="1:65">
      <c r="A122" s="8"/>
      <c r="B122" s="7"/>
      <c r="C122" s="7"/>
      <c r="D122" s="7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7"/>
      <c r="AE122" s="7"/>
      <c r="AF122" s="7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7"/>
      <c r="BF122" s="7"/>
      <c r="BG122" s="7"/>
      <c r="BH122" s="7"/>
      <c r="BI122" s="7"/>
      <c r="BJ122" s="7"/>
      <c r="BK122" s="7"/>
      <c r="BL122" s="7"/>
      <c r="BM122" s="7"/>
    </row>
    <row r="123" spans="1:65">
      <c r="A123" s="8"/>
      <c r="B123" s="7"/>
      <c r="C123" s="7"/>
      <c r="D123" s="7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7"/>
      <c r="AE123" s="7"/>
      <c r="AF123" s="7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7"/>
      <c r="BF123" s="7"/>
      <c r="BG123" s="7"/>
      <c r="BH123" s="7"/>
      <c r="BI123" s="7"/>
      <c r="BJ123" s="7"/>
      <c r="BK123" s="7"/>
      <c r="BL123" s="7"/>
      <c r="BM123" s="7"/>
    </row>
    <row r="124" spans="1:65">
      <c r="A124" s="8"/>
      <c r="B124" s="7"/>
      <c r="C124" s="7"/>
      <c r="D124" s="7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7"/>
      <c r="AE124" s="7"/>
      <c r="AF124" s="7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7"/>
      <c r="BF124" s="7"/>
      <c r="BG124" s="7"/>
      <c r="BH124" s="7"/>
      <c r="BI124" s="7"/>
      <c r="BJ124" s="7"/>
      <c r="BK124" s="7"/>
      <c r="BL124" s="7"/>
      <c r="BM124" s="7"/>
    </row>
    <row r="125" spans="1:65">
      <c r="A125" s="8"/>
      <c r="B125" s="7"/>
      <c r="C125" s="7"/>
      <c r="D125" s="7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7"/>
      <c r="AE125" s="7"/>
      <c r="AF125" s="7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7"/>
      <c r="BF125" s="7"/>
      <c r="BG125" s="7"/>
      <c r="BH125" s="7"/>
      <c r="BI125" s="7"/>
      <c r="BJ125" s="7"/>
      <c r="BK125" s="7"/>
      <c r="BL125" s="7"/>
      <c r="BM125" s="7"/>
    </row>
    <row r="126" spans="1:65">
      <c r="A126" s="8"/>
      <c r="B126" s="7"/>
      <c r="C126" s="7"/>
      <c r="D126" s="7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7"/>
      <c r="AE126" s="7"/>
      <c r="AF126" s="7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7"/>
      <c r="BF126" s="7"/>
      <c r="BG126" s="7"/>
      <c r="BH126" s="7"/>
      <c r="BI126" s="7"/>
      <c r="BJ126" s="7"/>
      <c r="BK126" s="7"/>
      <c r="BL126" s="7"/>
      <c r="BM126" s="7"/>
    </row>
    <row r="127" spans="1:65">
      <c r="A127" s="8"/>
      <c r="B127" s="7"/>
      <c r="C127" s="7"/>
      <c r="D127" s="7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7"/>
      <c r="AE127" s="7"/>
      <c r="AF127" s="7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7"/>
      <c r="BF127" s="7"/>
      <c r="BG127" s="7"/>
      <c r="BH127" s="7"/>
      <c r="BI127" s="7"/>
      <c r="BJ127" s="7"/>
      <c r="BK127" s="7"/>
      <c r="BL127" s="7"/>
      <c r="BM127" s="7"/>
    </row>
    <row r="128" spans="1:65">
      <c r="A128" s="8"/>
      <c r="B128" s="7"/>
      <c r="C128" s="7"/>
      <c r="D128" s="7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7"/>
      <c r="AE128" s="7"/>
      <c r="AF128" s="7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7"/>
      <c r="BF128" s="7"/>
      <c r="BG128" s="7"/>
      <c r="BH128" s="7"/>
      <c r="BI128" s="7"/>
      <c r="BJ128" s="7"/>
      <c r="BK128" s="7"/>
      <c r="BL128" s="7"/>
      <c r="BM128" s="7"/>
    </row>
    <row r="129" spans="1:65">
      <c r="A129" s="8"/>
      <c r="B129" s="7"/>
      <c r="C129" s="7"/>
      <c r="D129" s="7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7"/>
      <c r="AE129" s="7"/>
      <c r="AF129" s="7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7"/>
      <c r="BF129" s="7"/>
      <c r="BG129" s="7"/>
      <c r="BH129" s="7"/>
      <c r="BI129" s="7"/>
      <c r="BJ129" s="7"/>
      <c r="BK129" s="7"/>
      <c r="BL129" s="7"/>
      <c r="BM129" s="7"/>
    </row>
    <row r="130" spans="1:65">
      <c r="A130" s="8"/>
      <c r="B130" s="7"/>
      <c r="C130" s="7"/>
      <c r="D130" s="7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7"/>
      <c r="AE130" s="7"/>
      <c r="AF130" s="7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7"/>
      <c r="BF130" s="7"/>
      <c r="BG130" s="7"/>
      <c r="BH130" s="7"/>
      <c r="BI130" s="7"/>
      <c r="BJ130" s="7"/>
      <c r="BK130" s="7"/>
      <c r="BL130" s="7"/>
      <c r="BM130" s="7"/>
    </row>
    <row r="131" spans="1:65">
      <c r="A131" s="8"/>
      <c r="B131" s="7"/>
      <c r="C131" s="7"/>
      <c r="D131" s="7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7"/>
      <c r="AE131" s="7"/>
      <c r="AF131" s="7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7"/>
      <c r="BF131" s="7"/>
      <c r="BG131" s="7"/>
      <c r="BH131" s="7"/>
      <c r="BI131" s="7"/>
      <c r="BJ131" s="7"/>
      <c r="BK131" s="7"/>
      <c r="BL131" s="7"/>
      <c r="BM131" s="7"/>
    </row>
    <row r="132" spans="1:65">
      <c r="A132" s="8"/>
      <c r="B132" s="7"/>
      <c r="C132" s="7"/>
      <c r="D132" s="7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7"/>
      <c r="AE132" s="7"/>
      <c r="AF132" s="7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7"/>
      <c r="BF132" s="7"/>
      <c r="BG132" s="7"/>
      <c r="BH132" s="7"/>
      <c r="BI132" s="7"/>
      <c r="BJ132" s="7"/>
      <c r="BK132" s="7"/>
      <c r="BL132" s="7"/>
      <c r="BM132" s="7"/>
    </row>
    <row r="133" spans="1:65">
      <c r="A133" s="8"/>
      <c r="B133" s="7"/>
      <c r="C133" s="7"/>
      <c r="D133" s="7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7"/>
      <c r="AE133" s="7"/>
      <c r="AF133" s="7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7"/>
      <c r="BF133" s="7"/>
      <c r="BG133" s="7"/>
      <c r="BH133" s="7"/>
      <c r="BI133" s="7"/>
      <c r="BJ133" s="7"/>
      <c r="BK133" s="7"/>
      <c r="BL133" s="7"/>
      <c r="BM133" s="7"/>
    </row>
    <row r="134" spans="1:65">
      <c r="A134" s="8"/>
      <c r="B134" s="7"/>
      <c r="C134" s="7"/>
      <c r="D134" s="7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7"/>
      <c r="AE134" s="7"/>
      <c r="AF134" s="7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7"/>
      <c r="BF134" s="7"/>
      <c r="BG134" s="7"/>
      <c r="BH134" s="7"/>
      <c r="BI134" s="7"/>
      <c r="BJ134" s="7"/>
      <c r="BK134" s="7"/>
      <c r="BL134" s="7"/>
      <c r="BM134" s="7"/>
    </row>
    <row r="135" spans="1:65">
      <c r="A135" s="8"/>
      <c r="B135" s="7"/>
      <c r="C135" s="7"/>
      <c r="D135" s="7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7"/>
      <c r="AE135" s="7"/>
      <c r="AF135" s="7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7"/>
      <c r="BF135" s="7"/>
      <c r="BG135" s="7"/>
      <c r="BH135" s="7"/>
      <c r="BI135" s="7"/>
      <c r="BJ135" s="7"/>
      <c r="BK135" s="7"/>
      <c r="BL135" s="7"/>
      <c r="BM135" s="7"/>
    </row>
    <row r="136" spans="1:65">
      <c r="A136" s="8"/>
      <c r="B136" s="7"/>
      <c r="C136" s="7"/>
      <c r="D136" s="7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7"/>
      <c r="AE136" s="7"/>
      <c r="AF136" s="7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7"/>
      <c r="BF136" s="7"/>
      <c r="BG136" s="7"/>
      <c r="BH136" s="7"/>
      <c r="BI136" s="7"/>
      <c r="BJ136" s="7"/>
      <c r="BK136" s="7"/>
      <c r="BL136" s="7"/>
      <c r="BM136" s="7"/>
    </row>
    <row r="137" spans="1:65">
      <c r="A137" s="8"/>
      <c r="B137" s="7"/>
      <c r="C137" s="7"/>
      <c r="D137" s="7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7"/>
      <c r="AE137" s="7"/>
      <c r="AF137" s="7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7"/>
      <c r="BF137" s="7"/>
      <c r="BG137" s="7"/>
      <c r="BH137" s="7"/>
      <c r="BI137" s="7"/>
      <c r="BJ137" s="7"/>
      <c r="BK137" s="7"/>
      <c r="BL137" s="7"/>
      <c r="BM137" s="7"/>
    </row>
    <row r="138" spans="1:65">
      <c r="A138" s="8"/>
      <c r="B138" s="7"/>
      <c r="C138" s="7"/>
      <c r="D138" s="7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7"/>
      <c r="AE138" s="7"/>
      <c r="AF138" s="7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7"/>
      <c r="BF138" s="7"/>
      <c r="BG138" s="7"/>
      <c r="BH138" s="7"/>
      <c r="BI138" s="7"/>
      <c r="BJ138" s="7"/>
      <c r="BK138" s="7"/>
      <c r="BL138" s="7"/>
      <c r="BM138" s="7"/>
    </row>
    <row r="139" spans="1:65">
      <c r="A139" s="8"/>
      <c r="B139" s="7"/>
      <c r="C139" s="7"/>
      <c r="D139" s="7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7"/>
      <c r="AE139" s="7"/>
      <c r="AF139" s="7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7"/>
      <c r="BF139" s="7"/>
      <c r="BG139" s="7"/>
      <c r="BH139" s="7"/>
      <c r="BI139" s="7"/>
      <c r="BJ139" s="7"/>
      <c r="BK139" s="7"/>
      <c r="BL139" s="7"/>
      <c r="BM139" s="7"/>
    </row>
    <row r="140" spans="1:65">
      <c r="A140" s="8"/>
      <c r="B140" s="7"/>
      <c r="C140" s="7"/>
      <c r="D140" s="7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7"/>
      <c r="AE140" s="7"/>
      <c r="AF140" s="7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7"/>
      <c r="BF140" s="7"/>
      <c r="BG140" s="7"/>
      <c r="BH140" s="7"/>
      <c r="BI140" s="7"/>
      <c r="BJ140" s="7"/>
      <c r="BK140" s="7"/>
      <c r="BL140" s="7"/>
      <c r="BM140" s="7"/>
    </row>
    <row r="141" spans="1:65">
      <c r="A141" s="8"/>
      <c r="B141" s="7"/>
      <c r="C141" s="7"/>
      <c r="D141" s="7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7"/>
      <c r="AE141" s="7"/>
      <c r="AF141" s="7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7"/>
      <c r="BF141" s="7"/>
      <c r="BG141" s="7"/>
      <c r="BH141" s="7"/>
      <c r="BI141" s="7"/>
      <c r="BJ141" s="7"/>
      <c r="BK141" s="7"/>
      <c r="BL141" s="7"/>
      <c r="BM141" s="7"/>
    </row>
    <row r="142" spans="1:65">
      <c r="A142" s="8"/>
      <c r="B142" s="7"/>
      <c r="C142" s="7"/>
      <c r="D142" s="7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7"/>
      <c r="AE142" s="7"/>
      <c r="AF142" s="7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7"/>
      <c r="BF142" s="7"/>
      <c r="BG142" s="7"/>
      <c r="BH142" s="7"/>
      <c r="BI142" s="7"/>
      <c r="BJ142" s="7"/>
      <c r="BK142" s="7"/>
      <c r="BL142" s="7"/>
      <c r="BM142" s="7"/>
    </row>
    <row r="143" spans="1:65">
      <c r="A143" s="8"/>
      <c r="B143" s="7"/>
      <c r="C143" s="7"/>
      <c r="D143" s="7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7"/>
      <c r="AE143" s="7"/>
      <c r="AF143" s="7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7"/>
      <c r="BF143" s="7"/>
      <c r="BG143" s="7"/>
      <c r="BH143" s="7"/>
      <c r="BI143" s="7"/>
      <c r="BJ143" s="7"/>
      <c r="BK143" s="7"/>
      <c r="BL143" s="7"/>
      <c r="BM143" s="7"/>
    </row>
    <row r="144" spans="1:65">
      <c r="A144" s="8"/>
      <c r="B144" s="7"/>
      <c r="C144" s="7"/>
      <c r="D144" s="7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7"/>
      <c r="AE144" s="7"/>
      <c r="AF144" s="7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7"/>
      <c r="BF144" s="7"/>
      <c r="BG144" s="7"/>
      <c r="BH144" s="7"/>
      <c r="BI144" s="7"/>
      <c r="BJ144" s="7"/>
      <c r="BK144" s="7"/>
      <c r="BL144" s="7"/>
      <c r="BM144" s="7"/>
    </row>
    <row r="145" spans="1:65">
      <c r="A145" s="8"/>
      <c r="B145" s="7"/>
      <c r="C145" s="7"/>
      <c r="D145" s="7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7"/>
      <c r="AE145" s="7"/>
      <c r="AF145" s="7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7"/>
      <c r="BF145" s="7"/>
      <c r="BG145" s="7"/>
      <c r="BH145" s="7"/>
      <c r="BI145" s="7"/>
      <c r="BJ145" s="7"/>
      <c r="BK145" s="7"/>
      <c r="BL145" s="7"/>
      <c r="BM145" s="7"/>
    </row>
    <row r="146" spans="1:65">
      <c r="A146" s="8"/>
      <c r="B146" s="7"/>
      <c r="C146" s="7"/>
      <c r="D146" s="7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7"/>
      <c r="AE146" s="7"/>
      <c r="AF146" s="7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7"/>
      <c r="BF146" s="7"/>
      <c r="BG146" s="7"/>
      <c r="BH146" s="7"/>
      <c r="BI146" s="7"/>
      <c r="BJ146" s="7"/>
      <c r="BK146" s="7"/>
      <c r="BL146" s="7"/>
      <c r="BM146" s="7"/>
    </row>
    <row r="147" spans="1:65">
      <c r="A147" s="8"/>
      <c r="B147" s="7"/>
      <c r="C147" s="7"/>
      <c r="D147" s="7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7"/>
      <c r="AE147" s="7"/>
      <c r="AF147" s="7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7"/>
      <c r="BF147" s="7"/>
      <c r="BG147" s="7"/>
      <c r="BH147" s="7"/>
      <c r="BI147" s="7"/>
      <c r="BJ147" s="7"/>
      <c r="BK147" s="7"/>
      <c r="BL147" s="7"/>
      <c r="BM147" s="7"/>
    </row>
    <row r="148" spans="1:65">
      <c r="A148" s="8"/>
      <c r="B148" s="7"/>
      <c r="C148" s="7"/>
      <c r="D148" s="7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7"/>
      <c r="AE148" s="7"/>
      <c r="AF148" s="7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7"/>
      <c r="BF148" s="7"/>
      <c r="BG148" s="7"/>
      <c r="BH148" s="7"/>
      <c r="BI148" s="7"/>
      <c r="BJ148" s="7"/>
      <c r="BK148" s="7"/>
      <c r="BL148" s="7"/>
      <c r="BM148" s="7"/>
    </row>
    <row r="149" spans="1:65">
      <c r="A149" s="8"/>
      <c r="B149" s="7"/>
      <c r="C149" s="7"/>
      <c r="D149" s="7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7"/>
      <c r="AE149" s="7"/>
      <c r="AF149" s="7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7"/>
      <c r="BF149" s="7"/>
      <c r="BG149" s="7"/>
      <c r="BH149" s="7"/>
      <c r="BI149" s="7"/>
      <c r="BJ149" s="7"/>
      <c r="BK149" s="7"/>
      <c r="BL149" s="7"/>
      <c r="BM149" s="7"/>
    </row>
    <row r="150" spans="1:65">
      <c r="A150" s="8"/>
      <c r="B150" s="7"/>
      <c r="C150" s="7"/>
      <c r="D150" s="7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7"/>
      <c r="AE150" s="7"/>
      <c r="AF150" s="7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7"/>
      <c r="BF150" s="7"/>
      <c r="BG150" s="7"/>
      <c r="BH150" s="7"/>
      <c r="BI150" s="7"/>
      <c r="BJ150" s="7"/>
      <c r="BK150" s="7"/>
      <c r="BL150" s="7"/>
      <c r="BM150" s="7"/>
    </row>
    <row r="151" spans="1:65">
      <c r="A151" s="8"/>
      <c r="B151" s="7"/>
      <c r="C151" s="7"/>
      <c r="D151" s="7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7"/>
      <c r="AE151" s="7"/>
      <c r="AF151" s="7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7"/>
      <c r="BF151" s="7"/>
      <c r="BG151" s="7"/>
      <c r="BH151" s="7"/>
      <c r="BI151" s="7"/>
      <c r="BJ151" s="7"/>
      <c r="BK151" s="7"/>
      <c r="BL151" s="7"/>
      <c r="BM151" s="7"/>
    </row>
    <row r="152" spans="1:65">
      <c r="A152" s="8"/>
      <c r="B152" s="7"/>
      <c r="C152" s="7"/>
      <c r="D152" s="7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7"/>
      <c r="AE152" s="7"/>
      <c r="AF152" s="7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7"/>
      <c r="BF152" s="7"/>
      <c r="BG152" s="7"/>
      <c r="BH152" s="7"/>
      <c r="BI152" s="7"/>
      <c r="BJ152" s="7"/>
      <c r="BK152" s="7"/>
      <c r="BL152" s="7"/>
      <c r="BM152" s="7"/>
    </row>
    <row r="153" spans="1:65">
      <c r="A153" s="8"/>
      <c r="B153" s="7"/>
      <c r="C153" s="7"/>
      <c r="D153" s="7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7"/>
      <c r="AE153" s="7"/>
      <c r="AF153" s="7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7"/>
      <c r="BF153" s="7"/>
      <c r="BG153" s="7"/>
      <c r="BH153" s="7"/>
      <c r="BI153" s="7"/>
      <c r="BJ153" s="7"/>
      <c r="BK153" s="7"/>
      <c r="BL153" s="7"/>
      <c r="BM153" s="7"/>
    </row>
    <row r="154" spans="1:65">
      <c r="A154" s="8"/>
      <c r="B154" s="7"/>
      <c r="C154" s="7"/>
      <c r="D154" s="7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7"/>
      <c r="AE154" s="7"/>
      <c r="AF154" s="7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7"/>
      <c r="BF154" s="7"/>
      <c r="BG154" s="7"/>
      <c r="BH154" s="7"/>
      <c r="BI154" s="7"/>
      <c r="BJ154" s="7"/>
      <c r="BK154" s="7"/>
      <c r="BL154" s="7"/>
      <c r="BM154" s="7"/>
    </row>
    <row r="155" spans="1:65">
      <c r="A155" s="8"/>
      <c r="B155" s="7"/>
      <c r="C155" s="7"/>
      <c r="D155" s="7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7"/>
      <c r="AE155" s="7"/>
      <c r="AF155" s="7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7"/>
      <c r="BF155" s="7"/>
      <c r="BG155" s="7"/>
      <c r="BH155" s="7"/>
      <c r="BI155" s="7"/>
      <c r="BJ155" s="7"/>
      <c r="BK155" s="7"/>
      <c r="BL155" s="7"/>
      <c r="BM155" s="7"/>
    </row>
    <row r="156" spans="1:65">
      <c r="A156" s="8"/>
      <c r="B156" s="7"/>
      <c r="C156" s="7"/>
      <c r="D156" s="7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7"/>
      <c r="AE156" s="7"/>
      <c r="AF156" s="7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7"/>
      <c r="BF156" s="7"/>
      <c r="BG156" s="7"/>
      <c r="BH156" s="7"/>
      <c r="BI156" s="7"/>
      <c r="BJ156" s="7"/>
      <c r="BK156" s="7"/>
      <c r="BL156" s="7"/>
      <c r="BM156" s="7"/>
    </row>
    <row r="157" spans="1:65">
      <c r="A157" s="8"/>
      <c r="B157" s="7"/>
      <c r="C157" s="7"/>
      <c r="D157" s="7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7"/>
      <c r="AE157" s="7"/>
      <c r="AF157" s="7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7"/>
      <c r="BF157" s="7"/>
      <c r="BG157" s="7"/>
      <c r="BH157" s="7"/>
      <c r="BI157" s="7"/>
      <c r="BJ157" s="7"/>
      <c r="BK157" s="7"/>
      <c r="BL157" s="7"/>
      <c r="BM157" s="7"/>
    </row>
    <row r="158" spans="1:65">
      <c r="A158" s="8"/>
      <c r="B158" s="7"/>
      <c r="C158" s="7"/>
      <c r="D158" s="7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7"/>
      <c r="AE158" s="7"/>
      <c r="AF158" s="7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7"/>
      <c r="BF158" s="7"/>
      <c r="BG158" s="7"/>
      <c r="BH158" s="7"/>
      <c r="BI158" s="7"/>
      <c r="BJ158" s="7"/>
      <c r="BK158" s="7"/>
      <c r="BL158" s="7"/>
      <c r="BM158" s="7"/>
    </row>
    <row r="159" spans="1:65">
      <c r="A159" s="8"/>
      <c r="B159" s="7"/>
      <c r="C159" s="7"/>
      <c r="D159" s="7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7"/>
      <c r="AE159" s="7"/>
      <c r="AF159" s="7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7"/>
      <c r="BF159" s="7"/>
      <c r="BG159" s="7"/>
      <c r="BH159" s="7"/>
      <c r="BI159" s="7"/>
      <c r="BJ159" s="7"/>
      <c r="BK159" s="7"/>
      <c r="BL159" s="7"/>
      <c r="BM159" s="7"/>
    </row>
    <row r="160" spans="1:65">
      <c r="A160" s="8"/>
      <c r="B160" s="7"/>
      <c r="C160" s="7"/>
      <c r="D160" s="7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7"/>
      <c r="AE160" s="7"/>
      <c r="AF160" s="7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7"/>
      <c r="BF160" s="7"/>
      <c r="BG160" s="7"/>
      <c r="BH160" s="7"/>
      <c r="BI160" s="7"/>
      <c r="BJ160" s="7"/>
      <c r="BK160" s="7"/>
      <c r="BL160" s="7"/>
      <c r="BM160" s="7"/>
    </row>
    <row r="161" spans="1:65">
      <c r="A161" s="8"/>
      <c r="B161" s="7"/>
      <c r="C161" s="7"/>
      <c r="D161" s="7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7"/>
      <c r="AE161" s="7"/>
      <c r="AF161" s="7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7"/>
      <c r="BF161" s="7"/>
      <c r="BG161" s="7"/>
      <c r="BH161" s="7"/>
      <c r="BI161" s="7"/>
      <c r="BJ161" s="7"/>
      <c r="BK161" s="7"/>
      <c r="BL161" s="7"/>
      <c r="BM161" s="7"/>
    </row>
    <row r="162" spans="1:65">
      <c r="A162" s="8"/>
      <c r="B162" s="7"/>
      <c r="C162" s="7"/>
      <c r="D162" s="7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7"/>
      <c r="AE162" s="7"/>
      <c r="AF162" s="7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7"/>
      <c r="BF162" s="7"/>
      <c r="BG162" s="7"/>
      <c r="BH162" s="7"/>
      <c r="BI162" s="7"/>
      <c r="BJ162" s="7"/>
      <c r="BK162" s="7"/>
      <c r="BL162" s="7"/>
      <c r="BM162" s="7"/>
    </row>
    <row r="163" spans="1:65">
      <c r="A163" s="8"/>
      <c r="B163" s="7"/>
      <c r="C163" s="7"/>
      <c r="D163" s="7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7"/>
      <c r="AE163" s="7"/>
      <c r="AF163" s="7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7"/>
      <c r="BF163" s="7"/>
      <c r="BG163" s="7"/>
      <c r="BH163" s="7"/>
      <c r="BI163" s="7"/>
      <c r="BJ163" s="7"/>
      <c r="BK163" s="7"/>
      <c r="BL163" s="7"/>
      <c r="BM163" s="7"/>
    </row>
    <row r="164" spans="1:65">
      <c r="A164" s="8"/>
      <c r="B164" s="7"/>
      <c r="C164" s="7"/>
      <c r="D164" s="7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7"/>
      <c r="AE164" s="7"/>
      <c r="AF164" s="7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7"/>
      <c r="BF164" s="7"/>
      <c r="BG164" s="7"/>
      <c r="BH164" s="7"/>
      <c r="BI164" s="7"/>
      <c r="BJ164" s="7"/>
      <c r="BK164" s="7"/>
      <c r="BL164" s="7"/>
      <c r="BM164" s="7"/>
    </row>
    <row r="165" spans="1:65">
      <c r="A165" s="8"/>
      <c r="B165" s="7"/>
      <c r="C165" s="7"/>
      <c r="D165" s="7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7"/>
      <c r="AE165" s="7"/>
      <c r="AF165" s="7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7"/>
      <c r="BF165" s="7"/>
      <c r="BG165" s="7"/>
      <c r="BH165" s="7"/>
      <c r="BI165" s="7"/>
      <c r="BJ165" s="7"/>
      <c r="BK165" s="7"/>
      <c r="BL165" s="7"/>
      <c r="BM165" s="7"/>
    </row>
    <row r="166" spans="1:65">
      <c r="A166" s="8"/>
      <c r="B166" s="7"/>
      <c r="C166" s="7"/>
      <c r="D166" s="7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7"/>
      <c r="AE166" s="7"/>
      <c r="AF166" s="7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7"/>
      <c r="BF166" s="7"/>
      <c r="BG166" s="7"/>
      <c r="BH166" s="7"/>
      <c r="BI166" s="7"/>
      <c r="BJ166" s="7"/>
      <c r="BK166" s="7"/>
      <c r="BL166" s="7"/>
      <c r="BM166" s="7"/>
    </row>
    <row r="167" spans="1:65">
      <c r="A167" s="8"/>
      <c r="B167" s="7"/>
      <c r="C167" s="7"/>
      <c r="D167" s="7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7"/>
      <c r="AE167" s="7"/>
      <c r="AF167" s="7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7"/>
      <c r="BF167" s="7"/>
      <c r="BG167" s="7"/>
      <c r="BH167" s="7"/>
      <c r="BI167" s="7"/>
      <c r="BJ167" s="7"/>
      <c r="BK167" s="7"/>
      <c r="BL167" s="7"/>
      <c r="BM167" s="7"/>
    </row>
    <row r="168" spans="1:65">
      <c r="A168" s="8"/>
      <c r="B168" s="7"/>
      <c r="C168" s="7"/>
      <c r="D168" s="7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7"/>
      <c r="AE168" s="7"/>
      <c r="AF168" s="7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7"/>
      <c r="BF168" s="7"/>
      <c r="BG168" s="7"/>
      <c r="BH168" s="7"/>
      <c r="BI168" s="7"/>
      <c r="BJ168" s="7"/>
      <c r="BK168" s="7"/>
      <c r="BL168" s="7"/>
      <c r="BM168" s="7"/>
    </row>
    <row r="169" spans="1:65">
      <c r="A169" s="8"/>
      <c r="B169" s="7"/>
      <c r="C169" s="7"/>
      <c r="D169" s="7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7"/>
      <c r="AE169" s="7"/>
      <c r="AF169" s="7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7"/>
      <c r="BF169" s="7"/>
      <c r="BG169" s="7"/>
      <c r="BH169" s="7"/>
      <c r="BI169" s="7"/>
      <c r="BJ169" s="7"/>
      <c r="BK169" s="7"/>
      <c r="BL169" s="7"/>
      <c r="BM169" s="7"/>
    </row>
    <row r="170" spans="1:65">
      <c r="A170" s="8"/>
      <c r="B170" s="7"/>
      <c r="C170" s="7"/>
      <c r="D170" s="7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7"/>
      <c r="AE170" s="7"/>
      <c r="AF170" s="7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7"/>
      <c r="BF170" s="7"/>
      <c r="BG170" s="7"/>
      <c r="BH170" s="7"/>
      <c r="BI170" s="7"/>
      <c r="BJ170" s="7"/>
      <c r="BK170" s="7"/>
      <c r="BL170" s="7"/>
      <c r="BM170" s="7"/>
    </row>
    <row r="171" spans="1:65">
      <c r="A171" s="8"/>
      <c r="B171" s="7"/>
      <c r="C171" s="7"/>
      <c r="D171" s="7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7"/>
      <c r="AE171" s="7"/>
      <c r="AF171" s="7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7"/>
      <c r="BF171" s="7"/>
      <c r="BG171" s="7"/>
      <c r="BH171" s="7"/>
      <c r="BI171" s="7"/>
      <c r="BJ171" s="7"/>
      <c r="BK171" s="7"/>
      <c r="BL171" s="7"/>
      <c r="BM171" s="7"/>
    </row>
    <row r="172" spans="1:65">
      <c r="A172" s="8"/>
      <c r="B172" s="7"/>
      <c r="C172" s="7"/>
      <c r="D172" s="7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7"/>
      <c r="AE172" s="7"/>
      <c r="AF172" s="7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7"/>
      <c r="BF172" s="7"/>
      <c r="BG172" s="7"/>
      <c r="BH172" s="7"/>
      <c r="BI172" s="7"/>
      <c r="BJ172" s="7"/>
      <c r="BK172" s="7"/>
      <c r="BL172" s="7"/>
      <c r="BM172" s="7"/>
    </row>
    <row r="173" spans="1:65">
      <c r="A173" s="8"/>
      <c r="B173" s="7"/>
      <c r="C173" s="7"/>
      <c r="D173" s="7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7"/>
      <c r="AE173" s="7"/>
      <c r="AF173" s="7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7"/>
      <c r="BF173" s="7"/>
      <c r="BG173" s="7"/>
      <c r="BH173" s="7"/>
      <c r="BI173" s="7"/>
      <c r="BJ173" s="7"/>
      <c r="BK173" s="7"/>
      <c r="BL173" s="7"/>
      <c r="BM173" s="7"/>
    </row>
    <row r="174" spans="1:65">
      <c r="A174" s="8"/>
      <c r="B174" s="7"/>
      <c r="C174" s="7"/>
      <c r="D174" s="7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7"/>
      <c r="AE174" s="7"/>
      <c r="AF174" s="7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7"/>
      <c r="BF174" s="7"/>
      <c r="BG174" s="7"/>
      <c r="BH174" s="7"/>
      <c r="BI174" s="7"/>
      <c r="BJ174" s="7"/>
      <c r="BK174" s="7"/>
      <c r="BL174" s="7"/>
      <c r="BM174" s="7"/>
    </row>
    <row r="175" spans="1:65">
      <c r="A175" s="8"/>
      <c r="B175" s="7"/>
      <c r="C175" s="7"/>
      <c r="D175" s="7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7"/>
      <c r="AE175" s="7"/>
      <c r="AF175" s="7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7"/>
      <c r="BF175" s="7"/>
      <c r="BG175" s="7"/>
      <c r="BH175" s="7"/>
      <c r="BI175" s="7"/>
      <c r="BJ175" s="7"/>
      <c r="BK175" s="7"/>
      <c r="BL175" s="7"/>
      <c r="BM175" s="7"/>
    </row>
    <row r="176" spans="1:65">
      <c r="A176" s="8"/>
      <c r="B176" s="7"/>
      <c r="C176" s="7"/>
      <c r="D176" s="7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7"/>
      <c r="AE176" s="7"/>
      <c r="AF176" s="7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7"/>
      <c r="BF176" s="7"/>
      <c r="BG176" s="7"/>
      <c r="BH176" s="7"/>
      <c r="BI176" s="7"/>
      <c r="BJ176" s="7"/>
      <c r="BK176" s="7"/>
      <c r="BL176" s="7"/>
      <c r="BM176" s="7"/>
    </row>
    <row r="177" spans="1:65">
      <c r="A177" s="8"/>
      <c r="B177" s="7"/>
      <c r="C177" s="7"/>
      <c r="D177" s="7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7"/>
      <c r="AE177" s="7"/>
      <c r="AF177" s="7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7"/>
      <c r="BF177" s="7"/>
      <c r="BG177" s="7"/>
      <c r="BH177" s="7"/>
      <c r="BI177" s="7"/>
      <c r="BJ177" s="7"/>
      <c r="BK177" s="7"/>
      <c r="BL177" s="7"/>
      <c r="BM177" s="7"/>
    </row>
    <row r="178" spans="1:65">
      <c r="A178" s="8"/>
      <c r="B178" s="7"/>
      <c r="C178" s="7"/>
      <c r="D178" s="7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7"/>
      <c r="AE178" s="7"/>
      <c r="AF178" s="7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7"/>
      <c r="BF178" s="7"/>
      <c r="BG178" s="7"/>
      <c r="BH178" s="7"/>
      <c r="BI178" s="7"/>
      <c r="BJ178" s="7"/>
      <c r="BK178" s="7"/>
      <c r="BL178" s="7"/>
      <c r="BM178" s="7"/>
    </row>
    <row r="179" spans="1:65">
      <c r="A179" s="8"/>
      <c r="B179" s="7"/>
      <c r="C179" s="7"/>
      <c r="D179" s="7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7"/>
      <c r="AE179" s="7"/>
      <c r="AF179" s="7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7"/>
      <c r="BF179" s="7"/>
      <c r="BG179" s="7"/>
      <c r="BH179" s="7"/>
      <c r="BI179" s="7"/>
      <c r="BJ179" s="7"/>
      <c r="BK179" s="7"/>
      <c r="BL179" s="7"/>
      <c r="BM179" s="7"/>
    </row>
    <row r="180" spans="1:65">
      <c r="A180" s="8"/>
      <c r="B180" s="7"/>
      <c r="C180" s="7"/>
      <c r="D180" s="7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7"/>
      <c r="AE180" s="7"/>
      <c r="AF180" s="7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7"/>
      <c r="BF180" s="7"/>
      <c r="BG180" s="7"/>
      <c r="BH180" s="7"/>
      <c r="BI180" s="7"/>
      <c r="BJ180" s="7"/>
      <c r="BK180" s="7"/>
      <c r="BL180" s="7"/>
      <c r="BM180" s="7"/>
    </row>
    <row r="181" spans="1:65">
      <c r="A181" s="8"/>
      <c r="B181" s="7"/>
      <c r="C181" s="7"/>
      <c r="D181" s="7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7"/>
      <c r="AE181" s="7"/>
      <c r="AF181" s="7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7"/>
      <c r="BF181" s="7"/>
      <c r="BG181" s="7"/>
      <c r="BH181" s="7"/>
      <c r="BI181" s="7"/>
      <c r="BJ181" s="7"/>
      <c r="BK181" s="7"/>
      <c r="BL181" s="7"/>
      <c r="BM181" s="7"/>
    </row>
    <row r="182" spans="1:65">
      <c r="A182" s="8"/>
      <c r="B182" s="7"/>
      <c r="C182" s="7"/>
      <c r="D182" s="7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7"/>
      <c r="AE182" s="7"/>
      <c r="AF182" s="7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7"/>
      <c r="BF182" s="7"/>
      <c r="BG182" s="7"/>
      <c r="BH182" s="7"/>
      <c r="BI182" s="7"/>
      <c r="BJ182" s="7"/>
      <c r="BK182" s="7"/>
      <c r="BL182" s="7"/>
      <c r="BM182" s="7"/>
    </row>
    <row r="183" spans="1:65">
      <c r="A183" s="8"/>
      <c r="B183" s="7"/>
      <c r="C183" s="7"/>
      <c r="D183" s="7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7"/>
      <c r="AE183" s="7"/>
      <c r="AF183" s="7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7"/>
      <c r="BF183" s="7"/>
      <c r="BG183" s="7"/>
      <c r="BH183" s="7"/>
      <c r="BI183" s="7"/>
      <c r="BJ183" s="7"/>
      <c r="BK183" s="7"/>
      <c r="BL183" s="7"/>
      <c r="BM183" s="7"/>
    </row>
    <row r="184" spans="1:65">
      <c r="A184" s="8"/>
      <c r="B184" s="7"/>
      <c r="C184" s="7"/>
      <c r="D184" s="7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7"/>
      <c r="AE184" s="7"/>
      <c r="AF184" s="7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7"/>
      <c r="BF184" s="7"/>
      <c r="BG184" s="7"/>
      <c r="BH184" s="7"/>
      <c r="BI184" s="7"/>
      <c r="BJ184" s="7"/>
      <c r="BK184" s="7"/>
      <c r="BL184" s="7"/>
      <c r="BM184" s="7"/>
    </row>
    <row r="185" spans="1:65">
      <c r="A185" s="8"/>
      <c r="B185" s="7"/>
      <c r="C185" s="7"/>
      <c r="D185" s="7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7"/>
      <c r="AE185" s="7"/>
      <c r="AF185" s="7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7"/>
      <c r="BF185" s="7"/>
      <c r="BG185" s="7"/>
      <c r="BH185" s="7"/>
      <c r="BI185" s="7"/>
      <c r="BJ185" s="7"/>
      <c r="BK185" s="7"/>
      <c r="BL185" s="7"/>
      <c r="BM185" s="7"/>
    </row>
    <row r="186" spans="1:65">
      <c r="A186" s="8"/>
      <c r="B186" s="7"/>
      <c r="C186" s="7"/>
      <c r="D186" s="7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7"/>
      <c r="AE186" s="7"/>
      <c r="AF186" s="7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7"/>
      <c r="BF186" s="7"/>
      <c r="BG186" s="7"/>
      <c r="BH186" s="7"/>
      <c r="BI186" s="7"/>
      <c r="BJ186" s="7"/>
      <c r="BK186" s="7"/>
      <c r="BL186" s="7"/>
      <c r="BM186" s="7"/>
    </row>
    <row r="187" spans="1:65">
      <c r="A187" s="8"/>
      <c r="B187" s="7"/>
      <c r="C187" s="7"/>
      <c r="D187" s="7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7"/>
      <c r="AE187" s="7"/>
      <c r="AF187" s="7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7"/>
      <c r="BF187" s="7"/>
      <c r="BG187" s="7"/>
      <c r="BH187" s="7"/>
      <c r="BI187" s="7"/>
      <c r="BJ187" s="7"/>
      <c r="BK187" s="7"/>
      <c r="BL187" s="7"/>
      <c r="BM187" s="7"/>
    </row>
    <row r="188" spans="1:65">
      <c r="A188" s="8"/>
      <c r="B188" s="7"/>
      <c r="C188" s="7"/>
      <c r="D188" s="7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7"/>
      <c r="AE188" s="7"/>
      <c r="AF188" s="7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7"/>
      <c r="BF188" s="7"/>
      <c r="BG188" s="7"/>
      <c r="BH188" s="7"/>
      <c r="BI188" s="7"/>
      <c r="BJ188" s="7"/>
      <c r="BK188" s="7"/>
      <c r="BL188" s="7"/>
      <c r="BM188" s="7"/>
    </row>
    <row r="189" spans="1:65">
      <c r="A189" s="8"/>
      <c r="B189" s="7"/>
      <c r="C189" s="7"/>
      <c r="D189" s="7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7"/>
      <c r="AE189" s="7"/>
      <c r="AF189" s="7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7"/>
      <c r="BF189" s="7"/>
      <c r="BG189" s="7"/>
      <c r="BH189" s="7"/>
      <c r="BI189" s="7"/>
      <c r="BJ189" s="7"/>
      <c r="BK189" s="7"/>
      <c r="BL189" s="7"/>
      <c r="BM189" s="7"/>
    </row>
    <row r="190" spans="1:65">
      <c r="A190" s="8"/>
      <c r="B190" s="7"/>
      <c r="C190" s="7"/>
      <c r="D190" s="7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7"/>
      <c r="AE190" s="7"/>
      <c r="AF190" s="7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7"/>
      <c r="BF190" s="7"/>
      <c r="BG190" s="7"/>
      <c r="BH190" s="7"/>
      <c r="BI190" s="7"/>
      <c r="BJ190" s="7"/>
      <c r="BK190" s="7"/>
      <c r="BL190" s="7"/>
      <c r="BM190" s="7"/>
    </row>
    <row r="191" spans="1:65">
      <c r="A191" s="8"/>
      <c r="B191" s="7"/>
      <c r="C191" s="7"/>
      <c r="D191" s="7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7"/>
      <c r="AE191" s="7"/>
      <c r="AF191" s="7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7"/>
      <c r="BF191" s="7"/>
      <c r="BG191" s="7"/>
      <c r="BH191" s="7"/>
      <c r="BI191" s="7"/>
      <c r="BJ191" s="7"/>
      <c r="BK191" s="7"/>
      <c r="BL191" s="7"/>
      <c r="BM191" s="7"/>
    </row>
    <row r="192" spans="1:65">
      <c r="A192" s="8"/>
      <c r="B192" s="7"/>
      <c r="C192" s="7"/>
      <c r="D192" s="7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7"/>
      <c r="AE192" s="7"/>
      <c r="AF192" s="7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7"/>
      <c r="BF192" s="7"/>
      <c r="BG192" s="7"/>
      <c r="BH192" s="7"/>
      <c r="BI192" s="7"/>
      <c r="BJ192" s="7"/>
      <c r="BK192" s="7"/>
      <c r="BL192" s="7"/>
      <c r="BM192" s="7"/>
    </row>
    <row r="193" spans="1:65">
      <c r="A193" s="8"/>
      <c r="B193" s="7"/>
      <c r="C193" s="7"/>
      <c r="D193" s="7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7"/>
      <c r="AE193" s="7"/>
      <c r="AF193" s="7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7"/>
      <c r="BF193" s="7"/>
      <c r="BG193" s="7"/>
      <c r="BH193" s="7"/>
      <c r="BI193" s="7"/>
      <c r="BJ193" s="7"/>
      <c r="BK193" s="7"/>
      <c r="BL193" s="7"/>
      <c r="BM193" s="7"/>
    </row>
    <row r="194" spans="1:65">
      <c r="A194" s="8"/>
      <c r="B194" s="7"/>
      <c r="C194" s="7"/>
      <c r="D194" s="7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7"/>
      <c r="AE194" s="7"/>
      <c r="AF194" s="7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7"/>
      <c r="BF194" s="7"/>
      <c r="BG194" s="7"/>
      <c r="BH194" s="7"/>
      <c r="BI194" s="7"/>
      <c r="BJ194" s="7"/>
      <c r="BK194" s="7"/>
      <c r="BL194" s="7"/>
      <c r="BM194" s="7"/>
    </row>
    <row r="195" spans="1:65">
      <c r="A195" s="8"/>
      <c r="B195" s="7"/>
      <c r="C195" s="7"/>
      <c r="D195" s="7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7"/>
      <c r="AE195" s="7"/>
      <c r="AF195" s="7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7"/>
      <c r="BF195" s="7"/>
      <c r="BG195" s="7"/>
      <c r="BH195" s="7"/>
      <c r="BI195" s="7"/>
      <c r="BJ195" s="7"/>
      <c r="BK195" s="7"/>
      <c r="BL195" s="7"/>
      <c r="BM195" s="7"/>
    </row>
    <row r="196" spans="1:65">
      <c r="A196" s="8"/>
      <c r="B196" s="7"/>
      <c r="C196" s="7"/>
      <c r="D196" s="7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7"/>
      <c r="AE196" s="7"/>
      <c r="AF196" s="7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7"/>
      <c r="BF196" s="7"/>
      <c r="BG196" s="7"/>
      <c r="BH196" s="7"/>
      <c r="BI196" s="7"/>
      <c r="BJ196" s="7"/>
      <c r="BK196" s="7"/>
      <c r="BL196" s="7"/>
      <c r="BM196" s="7"/>
    </row>
    <row r="197" spans="1:65">
      <c r="A197" s="8"/>
      <c r="B197" s="7"/>
      <c r="C197" s="7"/>
      <c r="D197" s="7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7"/>
      <c r="AE197" s="7"/>
      <c r="AF197" s="7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7"/>
      <c r="BF197" s="7"/>
      <c r="BG197" s="7"/>
      <c r="BH197" s="7"/>
      <c r="BI197" s="7"/>
      <c r="BJ197" s="7"/>
      <c r="BK197" s="7"/>
      <c r="BL197" s="7"/>
      <c r="BM197" s="7"/>
    </row>
    <row r="198" spans="1:65">
      <c r="A198" s="8"/>
      <c r="B198" s="7"/>
      <c r="C198" s="7"/>
      <c r="D198" s="7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7"/>
      <c r="AE198" s="7"/>
      <c r="AF198" s="7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7"/>
      <c r="BF198" s="7"/>
      <c r="BG198" s="7"/>
      <c r="BH198" s="7"/>
      <c r="BI198" s="7"/>
      <c r="BJ198" s="7"/>
      <c r="BK198" s="7"/>
      <c r="BL198" s="7"/>
      <c r="BM198" s="7"/>
    </row>
    <row r="199" spans="1:65">
      <c r="A199" s="8"/>
      <c r="B199" s="7"/>
      <c r="C199" s="7"/>
      <c r="D199" s="7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7"/>
      <c r="AE199" s="7"/>
      <c r="AF199" s="7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7"/>
      <c r="BF199" s="7"/>
      <c r="BG199" s="7"/>
      <c r="BH199" s="7"/>
      <c r="BI199" s="7"/>
      <c r="BJ199" s="7"/>
      <c r="BK199" s="7"/>
      <c r="BL199" s="7"/>
      <c r="BM199" s="7"/>
    </row>
    <row r="200" spans="1:65">
      <c r="A200" s="8"/>
      <c r="B200" s="7"/>
      <c r="C200" s="7"/>
      <c r="D200" s="7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7"/>
      <c r="AE200" s="7"/>
      <c r="AF200" s="7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7"/>
      <c r="BF200" s="7"/>
      <c r="BG200" s="7"/>
      <c r="BH200" s="7"/>
      <c r="BI200" s="7"/>
      <c r="BJ200" s="7"/>
      <c r="BK200" s="7"/>
      <c r="BL200" s="7"/>
      <c r="BM200" s="7"/>
    </row>
    <row r="201" spans="1:65">
      <c r="A201" s="8"/>
      <c r="B201" s="7"/>
      <c r="C201" s="7"/>
      <c r="D201" s="7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7"/>
      <c r="AE201" s="7"/>
      <c r="AF201" s="7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7"/>
      <c r="BF201" s="7"/>
      <c r="BG201" s="7"/>
      <c r="BH201" s="7"/>
      <c r="BI201" s="7"/>
      <c r="BJ201" s="7"/>
      <c r="BK201" s="7"/>
      <c r="BL201" s="7"/>
      <c r="BM201" s="7"/>
    </row>
    <row r="202" spans="1:65">
      <c r="A202" s="8"/>
      <c r="B202" s="7"/>
      <c r="C202" s="7"/>
      <c r="D202" s="7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7"/>
      <c r="AE202" s="7"/>
      <c r="AF202" s="7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7"/>
      <c r="BF202" s="7"/>
      <c r="BG202" s="7"/>
      <c r="BH202" s="7"/>
      <c r="BI202" s="7"/>
      <c r="BJ202" s="7"/>
      <c r="BK202" s="7"/>
      <c r="BL202" s="7"/>
      <c r="BM202" s="7"/>
    </row>
    <row r="203" spans="1:65">
      <c r="A203" s="8"/>
      <c r="B203" s="7"/>
      <c r="C203" s="7"/>
      <c r="D203" s="7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7"/>
      <c r="AE203" s="7"/>
      <c r="AF203" s="7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7"/>
      <c r="BF203" s="7"/>
      <c r="BG203" s="7"/>
      <c r="BH203" s="7"/>
      <c r="BI203" s="7"/>
      <c r="BJ203" s="7"/>
      <c r="BK203" s="7"/>
      <c r="BL203" s="7"/>
      <c r="BM203" s="7"/>
    </row>
    <row r="204" spans="1:65">
      <c r="A204" s="8"/>
      <c r="B204" s="7"/>
      <c r="C204" s="7"/>
      <c r="D204" s="7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7"/>
      <c r="AE204" s="7"/>
      <c r="AF204" s="7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7"/>
      <c r="BF204" s="7"/>
      <c r="BG204" s="7"/>
      <c r="BH204" s="7"/>
      <c r="BI204" s="7"/>
      <c r="BJ204" s="7"/>
      <c r="BK204" s="7"/>
      <c r="BL204" s="7"/>
      <c r="BM204" s="7"/>
    </row>
    <row r="205" spans="1:65">
      <c r="A205" s="8"/>
      <c r="B205" s="7"/>
      <c r="C205" s="7"/>
      <c r="D205" s="7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7"/>
      <c r="AE205" s="7"/>
      <c r="AF205" s="7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7"/>
      <c r="BF205" s="7"/>
      <c r="BG205" s="7"/>
      <c r="BH205" s="7"/>
      <c r="BI205" s="7"/>
      <c r="BJ205" s="7"/>
      <c r="BK205" s="7"/>
      <c r="BL205" s="7"/>
      <c r="BM205" s="7"/>
    </row>
    <row r="206" spans="1:65">
      <c r="A206" s="8"/>
      <c r="B206" s="7"/>
      <c r="C206" s="7"/>
      <c r="D206" s="7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7"/>
      <c r="AE206" s="7"/>
      <c r="AF206" s="7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7"/>
      <c r="BF206" s="7"/>
      <c r="BG206" s="7"/>
      <c r="BH206" s="7"/>
      <c r="BI206" s="7"/>
      <c r="BJ206" s="7"/>
      <c r="BK206" s="7"/>
      <c r="BL206" s="7"/>
      <c r="BM206" s="7"/>
    </row>
    <row r="207" spans="1:65">
      <c r="A207" s="8"/>
      <c r="B207" s="7"/>
      <c r="C207" s="7"/>
      <c r="D207" s="7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7"/>
      <c r="AE207" s="7"/>
      <c r="AF207" s="7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7"/>
      <c r="BF207" s="7"/>
      <c r="BG207" s="7"/>
      <c r="BH207" s="7"/>
      <c r="BI207" s="7"/>
      <c r="BJ207" s="7"/>
      <c r="BK207" s="7"/>
      <c r="BL207" s="7"/>
      <c r="BM207" s="7"/>
    </row>
    <row r="208" spans="1:65">
      <c r="A208" s="8"/>
      <c r="B208" s="7"/>
      <c r="C208" s="7"/>
      <c r="D208" s="7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7"/>
      <c r="AE208" s="7"/>
      <c r="AF208" s="7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7"/>
      <c r="BF208" s="7"/>
      <c r="BG208" s="7"/>
      <c r="BH208" s="7"/>
      <c r="BI208" s="7"/>
      <c r="BJ208" s="7"/>
      <c r="BK208" s="7"/>
      <c r="BL208" s="7"/>
      <c r="BM208" s="7"/>
    </row>
    <row r="209" spans="1:65">
      <c r="A209" s="8"/>
      <c r="B209" s="7"/>
      <c r="C209" s="7"/>
      <c r="D209" s="7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7"/>
      <c r="AE209" s="7"/>
      <c r="AF209" s="7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7"/>
      <c r="BF209" s="7"/>
      <c r="BG209" s="7"/>
      <c r="BH209" s="7"/>
      <c r="BI209" s="7"/>
      <c r="BJ209" s="7"/>
      <c r="BK209" s="7"/>
      <c r="BL209" s="7"/>
      <c r="BM209" s="7"/>
    </row>
    <row r="210" spans="1:65">
      <c r="A210" s="8"/>
      <c r="B210" s="7"/>
      <c r="C210" s="7"/>
      <c r="D210" s="7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7"/>
      <c r="AE210" s="7"/>
      <c r="AF210" s="7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7"/>
      <c r="BF210" s="7"/>
      <c r="BG210" s="7"/>
      <c r="BH210" s="7"/>
      <c r="BI210" s="7"/>
      <c r="BJ210" s="7"/>
      <c r="BK210" s="7"/>
      <c r="BL210" s="7"/>
      <c r="BM210" s="7"/>
    </row>
    <row r="211" spans="1:65">
      <c r="A211" s="8"/>
      <c r="B211" s="7"/>
      <c r="C211" s="7"/>
      <c r="D211" s="7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7"/>
      <c r="AE211" s="7"/>
      <c r="AF211" s="7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7"/>
      <c r="BF211" s="7"/>
      <c r="BG211" s="7"/>
      <c r="BH211" s="7"/>
      <c r="BI211" s="7"/>
      <c r="BJ211" s="7"/>
      <c r="BK211" s="7"/>
      <c r="BL211" s="7"/>
      <c r="BM211" s="7"/>
    </row>
    <row r="212" spans="1:65">
      <c r="A212" s="8"/>
      <c r="B212" s="7"/>
      <c r="C212" s="7"/>
      <c r="D212" s="7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7"/>
      <c r="AE212" s="7"/>
      <c r="AF212" s="7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7"/>
      <c r="BF212" s="7"/>
      <c r="BG212" s="7"/>
      <c r="BH212" s="7"/>
      <c r="BI212" s="7"/>
      <c r="BJ212" s="7"/>
      <c r="BK212" s="7"/>
      <c r="BL212" s="7"/>
      <c r="BM212" s="7"/>
    </row>
    <row r="213" spans="1:65">
      <c r="A213" s="8"/>
      <c r="B213" s="7"/>
      <c r="C213" s="7"/>
      <c r="D213" s="7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7"/>
      <c r="AE213" s="7"/>
      <c r="AF213" s="7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7"/>
      <c r="BF213" s="7"/>
      <c r="BG213" s="7"/>
      <c r="BH213" s="7"/>
      <c r="BI213" s="7"/>
      <c r="BJ213" s="7"/>
      <c r="BK213" s="7"/>
      <c r="BL213" s="7"/>
      <c r="BM213" s="7"/>
    </row>
    <row r="214" spans="1:65">
      <c r="A214" s="8"/>
      <c r="B214" s="7"/>
      <c r="C214" s="7"/>
      <c r="D214" s="7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7"/>
      <c r="AE214" s="7"/>
      <c r="AF214" s="7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7"/>
      <c r="BF214" s="7"/>
      <c r="BG214" s="7"/>
      <c r="BH214" s="7"/>
      <c r="BI214" s="7"/>
      <c r="BJ214" s="7"/>
      <c r="BK214" s="7"/>
      <c r="BL214" s="7"/>
      <c r="BM214" s="7"/>
    </row>
    <row r="215" spans="1:65">
      <c r="A215" s="8"/>
      <c r="B215" s="7"/>
      <c r="C215" s="7"/>
      <c r="D215" s="7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7"/>
      <c r="AE215" s="7"/>
      <c r="AF215" s="7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7"/>
      <c r="BF215" s="7"/>
      <c r="BG215" s="7"/>
      <c r="BH215" s="7"/>
      <c r="BI215" s="7"/>
      <c r="BJ215" s="7"/>
      <c r="BK215" s="7"/>
      <c r="BL215" s="7"/>
      <c r="BM215" s="7"/>
    </row>
    <row r="216" spans="1:65">
      <c r="A216" s="8"/>
      <c r="B216" s="7"/>
      <c r="C216" s="7"/>
      <c r="D216" s="7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7"/>
      <c r="AE216" s="7"/>
      <c r="AF216" s="7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7"/>
      <c r="BF216" s="7"/>
      <c r="BG216" s="7"/>
      <c r="BH216" s="7"/>
      <c r="BI216" s="7"/>
      <c r="BJ216" s="7"/>
      <c r="BK216" s="7"/>
      <c r="BL216" s="7"/>
      <c r="BM216" s="7"/>
    </row>
    <row r="217" spans="1:65">
      <c r="A217" s="8"/>
      <c r="B217" s="7"/>
      <c r="C217" s="7"/>
      <c r="D217" s="7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7"/>
      <c r="AE217" s="7"/>
      <c r="AF217" s="7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7"/>
      <c r="BF217" s="7"/>
      <c r="BG217" s="7"/>
      <c r="BH217" s="7"/>
      <c r="BI217" s="7"/>
      <c r="BJ217" s="7"/>
      <c r="BK217" s="7"/>
      <c r="BL217" s="7"/>
      <c r="BM217" s="7"/>
    </row>
    <row r="218" spans="1:65">
      <c r="A218" s="8"/>
      <c r="B218" s="7"/>
      <c r="C218" s="7"/>
      <c r="D218" s="7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7"/>
      <c r="AE218" s="7"/>
      <c r="AF218" s="7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7"/>
      <c r="BF218" s="7"/>
      <c r="BG218" s="7"/>
      <c r="BH218" s="7"/>
      <c r="BI218" s="7"/>
      <c r="BJ218" s="7"/>
      <c r="BK218" s="7"/>
      <c r="BL218" s="7"/>
      <c r="BM218" s="7"/>
    </row>
    <row r="219" spans="1:65">
      <c r="A219" s="8"/>
      <c r="B219" s="7"/>
      <c r="C219" s="7"/>
      <c r="D219" s="7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7"/>
      <c r="AE219" s="7"/>
      <c r="AF219" s="7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7"/>
      <c r="BF219" s="7"/>
      <c r="BG219" s="7"/>
      <c r="BH219" s="7"/>
      <c r="BI219" s="7"/>
      <c r="BJ219" s="7"/>
      <c r="BK219" s="7"/>
      <c r="BL219" s="7"/>
      <c r="BM219" s="7"/>
    </row>
    <row r="220" spans="1:65">
      <c r="A220" s="8"/>
      <c r="B220" s="7"/>
      <c r="C220" s="7"/>
      <c r="D220" s="7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7"/>
      <c r="AE220" s="7"/>
      <c r="AF220" s="7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7"/>
      <c r="BF220" s="7"/>
      <c r="BG220" s="7"/>
      <c r="BH220" s="7"/>
      <c r="BI220" s="7"/>
      <c r="BJ220" s="7"/>
      <c r="BK220" s="7"/>
      <c r="BL220" s="7"/>
      <c r="BM220" s="7"/>
    </row>
    <row r="221" spans="1:65">
      <c r="A221" s="8"/>
      <c r="B221" s="7"/>
      <c r="C221" s="7"/>
      <c r="D221" s="7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7"/>
      <c r="AE221" s="7"/>
      <c r="AF221" s="7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7"/>
      <c r="BF221" s="7"/>
      <c r="BG221" s="7"/>
      <c r="BH221" s="7"/>
      <c r="BI221" s="7"/>
      <c r="BJ221" s="7"/>
      <c r="BK221" s="7"/>
      <c r="BL221" s="7"/>
      <c r="BM221" s="7"/>
    </row>
    <row r="222" spans="1:65">
      <c r="A222" s="8"/>
      <c r="B222" s="7"/>
      <c r="C222" s="7"/>
      <c r="D222" s="7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7"/>
      <c r="AE222" s="7"/>
      <c r="AF222" s="7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7"/>
      <c r="BF222" s="7"/>
      <c r="BG222" s="7"/>
      <c r="BH222" s="7"/>
      <c r="BI222" s="7"/>
      <c r="BJ222" s="7"/>
      <c r="BK222" s="7"/>
      <c r="BL222" s="7"/>
      <c r="BM222" s="7"/>
    </row>
    <row r="223" spans="1:65">
      <c r="A223" s="8"/>
      <c r="B223" s="7"/>
      <c r="C223" s="7"/>
      <c r="D223" s="7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7"/>
      <c r="AE223" s="7"/>
      <c r="AF223" s="7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7"/>
      <c r="BF223" s="7"/>
      <c r="BG223" s="7"/>
      <c r="BH223" s="7"/>
      <c r="BI223" s="7"/>
      <c r="BJ223" s="7"/>
      <c r="BK223" s="7"/>
      <c r="BL223" s="7"/>
      <c r="BM223" s="7"/>
    </row>
    <row r="224" spans="1:65">
      <c r="A224" s="8"/>
      <c r="B224" s="7"/>
      <c r="C224" s="7"/>
      <c r="D224" s="7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7"/>
      <c r="AE224" s="7"/>
      <c r="AF224" s="7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7"/>
      <c r="BF224" s="7"/>
      <c r="BG224" s="7"/>
      <c r="BH224" s="7"/>
      <c r="BI224" s="7"/>
      <c r="BJ224" s="7"/>
      <c r="BK224" s="7"/>
      <c r="BL224" s="7"/>
      <c r="BM224" s="7"/>
    </row>
    <row r="225" spans="1:65">
      <c r="A225" s="8"/>
      <c r="B225" s="7"/>
      <c r="C225" s="7"/>
      <c r="D225" s="7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7"/>
      <c r="AE225" s="7"/>
      <c r="AF225" s="7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7"/>
      <c r="BF225" s="7"/>
      <c r="BG225" s="7"/>
      <c r="BH225" s="7"/>
      <c r="BI225" s="7"/>
      <c r="BJ225" s="7"/>
      <c r="BK225" s="7"/>
      <c r="BL225" s="7"/>
      <c r="BM225" s="7"/>
    </row>
    <row r="226" spans="1:65">
      <c r="A226" s="8"/>
      <c r="B226" s="7"/>
      <c r="C226" s="7"/>
      <c r="D226" s="7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7"/>
      <c r="AE226" s="7"/>
      <c r="AF226" s="7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7"/>
      <c r="BF226" s="7"/>
      <c r="BG226" s="7"/>
      <c r="BH226" s="7"/>
      <c r="BI226" s="7"/>
      <c r="BJ226" s="7"/>
      <c r="BK226" s="7"/>
      <c r="BL226" s="7"/>
      <c r="BM226" s="7"/>
    </row>
    <row r="227" spans="1:65">
      <c r="A227" s="8"/>
      <c r="B227" s="7"/>
      <c r="C227" s="7"/>
      <c r="D227" s="7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7"/>
      <c r="AE227" s="7"/>
      <c r="AF227" s="7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7"/>
      <c r="BF227" s="7"/>
      <c r="BG227" s="7"/>
      <c r="BH227" s="7"/>
      <c r="BI227" s="7"/>
      <c r="BJ227" s="7"/>
      <c r="BK227" s="7"/>
      <c r="BL227" s="7"/>
      <c r="BM227" s="7"/>
    </row>
    <row r="228" spans="1:65">
      <c r="A228" s="8"/>
      <c r="B228" s="7"/>
      <c r="C228" s="7"/>
      <c r="D228" s="7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7"/>
      <c r="AE228" s="7"/>
      <c r="AF228" s="7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7"/>
      <c r="BF228" s="7"/>
      <c r="BG228" s="7"/>
      <c r="BH228" s="7"/>
      <c r="BI228" s="7"/>
      <c r="BJ228" s="7"/>
      <c r="BK228" s="7"/>
      <c r="BL228" s="7"/>
      <c r="BM228" s="7"/>
    </row>
    <row r="229" spans="1:65">
      <c r="A229" s="8"/>
      <c r="B229" s="7"/>
      <c r="C229" s="7"/>
      <c r="D229" s="7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7"/>
      <c r="AE229" s="7"/>
      <c r="AF229" s="7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7"/>
      <c r="BF229" s="7"/>
      <c r="BG229" s="7"/>
      <c r="BH229" s="7"/>
      <c r="BI229" s="7"/>
      <c r="BJ229" s="7"/>
      <c r="BK229" s="7"/>
      <c r="BL229" s="7"/>
      <c r="BM229" s="7"/>
    </row>
    <row r="230" spans="1:65">
      <c r="A230" s="8"/>
      <c r="B230" s="7"/>
      <c r="C230" s="7"/>
      <c r="D230" s="7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7"/>
      <c r="AE230" s="7"/>
      <c r="AF230" s="7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7"/>
      <c r="BF230" s="7"/>
      <c r="BG230" s="7"/>
      <c r="BH230" s="7"/>
      <c r="BI230" s="7"/>
      <c r="BJ230" s="7"/>
      <c r="BK230" s="7"/>
      <c r="BL230" s="7"/>
      <c r="BM230" s="7"/>
    </row>
    <row r="231" spans="1:65">
      <c r="A231" s="8"/>
      <c r="B231" s="7"/>
      <c r="C231" s="7"/>
      <c r="D231" s="7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7"/>
      <c r="AE231" s="7"/>
      <c r="AF231" s="7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7"/>
      <c r="BF231" s="7"/>
      <c r="BG231" s="7"/>
      <c r="BH231" s="7"/>
      <c r="BI231" s="7"/>
      <c r="BJ231" s="7"/>
      <c r="BK231" s="7"/>
      <c r="BL231" s="7"/>
      <c r="BM231" s="7"/>
    </row>
    <row r="232" spans="1:65">
      <c r="A232" s="8"/>
      <c r="B232" s="7"/>
      <c r="C232" s="7"/>
      <c r="D232" s="7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7"/>
      <c r="AE232" s="7"/>
      <c r="AF232" s="7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7"/>
      <c r="BF232" s="7"/>
      <c r="BG232" s="7"/>
      <c r="BH232" s="7"/>
      <c r="BI232" s="7"/>
      <c r="BJ232" s="7"/>
      <c r="BK232" s="7"/>
      <c r="BL232" s="7"/>
      <c r="BM232" s="7"/>
    </row>
    <row r="233" spans="1:65">
      <c r="A233" s="8"/>
      <c r="B233" s="7"/>
      <c r="C233" s="7"/>
      <c r="D233" s="7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7"/>
      <c r="AE233" s="7"/>
      <c r="AF233" s="7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7"/>
      <c r="BF233" s="7"/>
      <c r="BG233" s="7"/>
      <c r="BH233" s="7"/>
      <c r="BI233" s="7"/>
      <c r="BJ233" s="7"/>
      <c r="BK233" s="7"/>
      <c r="BL233" s="7"/>
      <c r="BM233" s="7"/>
    </row>
    <row r="234" spans="1:65">
      <c r="A234" s="8"/>
      <c r="B234" s="7"/>
      <c r="C234" s="7"/>
      <c r="D234" s="7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7"/>
      <c r="AE234" s="7"/>
      <c r="AF234" s="7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7"/>
      <c r="BF234" s="7"/>
      <c r="BG234" s="7"/>
      <c r="BH234" s="7"/>
      <c r="BI234" s="7"/>
      <c r="BJ234" s="7"/>
      <c r="BK234" s="7"/>
      <c r="BL234" s="7"/>
      <c r="BM234" s="7"/>
    </row>
    <row r="235" spans="1:65">
      <c r="A235" s="8"/>
      <c r="B235" s="7"/>
      <c r="C235" s="7"/>
      <c r="D235" s="7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7"/>
      <c r="AE235" s="7"/>
      <c r="AF235" s="7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7"/>
      <c r="BF235" s="7"/>
      <c r="BG235" s="7"/>
      <c r="BH235" s="7"/>
      <c r="BI235" s="7"/>
      <c r="BJ235" s="7"/>
      <c r="BK235" s="7"/>
      <c r="BL235" s="7"/>
      <c r="BM235" s="7"/>
    </row>
    <row r="236" spans="1:65">
      <c r="A236" s="8"/>
      <c r="B236" s="7"/>
      <c r="C236" s="7"/>
      <c r="D236" s="7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7"/>
      <c r="AE236" s="7"/>
      <c r="AF236" s="7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7"/>
      <c r="BF236" s="7"/>
      <c r="BG236" s="7"/>
      <c r="BH236" s="7"/>
      <c r="BI236" s="7"/>
      <c r="BJ236" s="7"/>
      <c r="BK236" s="7"/>
      <c r="BL236" s="7"/>
      <c r="BM236" s="7"/>
    </row>
    <row r="237" spans="1:65">
      <c r="A237" s="8"/>
      <c r="B237" s="7"/>
      <c r="C237" s="7"/>
      <c r="D237" s="7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7"/>
      <c r="AE237" s="7"/>
      <c r="AF237" s="7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7"/>
      <c r="BF237" s="7"/>
      <c r="BG237" s="7"/>
      <c r="BH237" s="7"/>
      <c r="BI237" s="7"/>
      <c r="BJ237" s="7"/>
      <c r="BK237" s="7"/>
      <c r="BL237" s="7"/>
      <c r="BM237" s="7"/>
    </row>
    <row r="238" spans="1:65">
      <c r="A238" s="8"/>
      <c r="B238" s="7"/>
      <c r="C238" s="7"/>
      <c r="D238" s="7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7"/>
      <c r="AE238" s="7"/>
      <c r="AF238" s="7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7"/>
      <c r="BF238" s="7"/>
      <c r="BG238" s="7"/>
      <c r="BH238" s="7"/>
      <c r="BI238" s="7"/>
      <c r="BJ238" s="7"/>
      <c r="BK238" s="7"/>
      <c r="BL238" s="7"/>
      <c r="BM238" s="7"/>
    </row>
    <row r="239" spans="1:65">
      <c r="A239" s="8"/>
      <c r="B239" s="7"/>
      <c r="C239" s="7"/>
      <c r="D239" s="7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7"/>
      <c r="AE239" s="7"/>
      <c r="AF239" s="7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7"/>
      <c r="BF239" s="7"/>
      <c r="BG239" s="7"/>
      <c r="BH239" s="7"/>
      <c r="BI239" s="7"/>
      <c r="BJ239" s="7"/>
      <c r="BK239" s="7"/>
      <c r="BL239" s="7"/>
      <c r="BM239" s="7"/>
    </row>
    <row r="240" spans="1:65">
      <c r="A240" s="8"/>
      <c r="B240" s="7"/>
      <c r="C240" s="7"/>
      <c r="D240" s="7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7"/>
      <c r="AE240" s="7"/>
      <c r="AF240" s="7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7"/>
      <c r="BF240" s="7"/>
      <c r="BG240" s="7"/>
      <c r="BH240" s="7"/>
      <c r="BI240" s="7"/>
      <c r="BJ240" s="7"/>
      <c r="BK240" s="7"/>
      <c r="BL240" s="7"/>
      <c r="BM240" s="7"/>
    </row>
    <row r="241" spans="1:65">
      <c r="A241" s="8"/>
      <c r="B241" s="7"/>
      <c r="C241" s="7"/>
      <c r="D241" s="7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7"/>
      <c r="AE241" s="7"/>
      <c r="AF241" s="7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7"/>
      <c r="BF241" s="7"/>
      <c r="BG241" s="7"/>
      <c r="BH241" s="7"/>
      <c r="BI241" s="7"/>
      <c r="BJ241" s="7"/>
      <c r="BK241" s="7"/>
      <c r="BL241" s="7"/>
      <c r="BM241" s="7"/>
    </row>
    <row r="242" spans="1:65">
      <c r="A242" s="8"/>
      <c r="B242" s="7"/>
      <c r="C242" s="7"/>
      <c r="D242" s="7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7"/>
      <c r="AE242" s="7"/>
      <c r="AF242" s="7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7"/>
      <c r="BF242" s="7"/>
      <c r="BG242" s="7"/>
      <c r="BH242" s="7"/>
      <c r="BI242" s="7"/>
      <c r="BJ242" s="7"/>
      <c r="BK242" s="7"/>
      <c r="BL242" s="7"/>
      <c r="BM242" s="7"/>
    </row>
    <row r="243" spans="1:65">
      <c r="A243" s="8"/>
      <c r="B243" s="7"/>
      <c r="C243" s="7"/>
      <c r="D243" s="7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7"/>
      <c r="AE243" s="7"/>
      <c r="AF243" s="7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7"/>
      <c r="BF243" s="7"/>
      <c r="BG243" s="7"/>
      <c r="BH243" s="7"/>
      <c r="BI243" s="7"/>
      <c r="BJ243" s="7"/>
      <c r="BK243" s="7"/>
      <c r="BL243" s="7"/>
      <c r="BM243" s="7"/>
    </row>
    <row r="244" spans="1:65">
      <c r="A244" s="8"/>
      <c r="B244" s="7"/>
      <c r="C244" s="7"/>
      <c r="D244" s="7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7"/>
      <c r="AE244" s="7"/>
      <c r="AF244" s="7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7"/>
      <c r="BF244" s="7"/>
      <c r="BG244" s="7"/>
      <c r="BH244" s="7"/>
      <c r="BI244" s="7"/>
      <c r="BJ244" s="7"/>
      <c r="BK244" s="7"/>
      <c r="BL244" s="7"/>
      <c r="BM244" s="7"/>
    </row>
    <row r="245" spans="1:65">
      <c r="A245" s="8"/>
      <c r="B245" s="7"/>
      <c r="C245" s="7"/>
      <c r="D245" s="7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7"/>
      <c r="AE245" s="7"/>
      <c r="AF245" s="7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7"/>
      <c r="BF245" s="7"/>
      <c r="BG245" s="7"/>
      <c r="BH245" s="7"/>
      <c r="BI245" s="7"/>
      <c r="BJ245" s="7"/>
      <c r="BK245" s="7"/>
      <c r="BL245" s="7"/>
      <c r="BM245" s="7"/>
    </row>
    <row r="246" spans="1:65">
      <c r="A246" s="8"/>
      <c r="B246" s="7"/>
      <c r="C246" s="7"/>
      <c r="D246" s="7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7"/>
      <c r="AE246" s="7"/>
      <c r="AF246" s="7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7"/>
      <c r="BF246" s="7"/>
      <c r="BG246" s="7"/>
      <c r="BH246" s="7"/>
      <c r="BI246" s="7"/>
      <c r="BJ246" s="7"/>
      <c r="BK246" s="7"/>
      <c r="BL246" s="7"/>
      <c r="BM246" s="7"/>
    </row>
    <row r="247" spans="1:65">
      <c r="A247" s="8"/>
      <c r="B247" s="7"/>
      <c r="C247" s="7"/>
      <c r="D247" s="7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7"/>
      <c r="AE247" s="7"/>
      <c r="AF247" s="7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7"/>
      <c r="BF247" s="7"/>
      <c r="BG247" s="7"/>
      <c r="BH247" s="7"/>
      <c r="BI247" s="7"/>
      <c r="BJ247" s="7"/>
      <c r="BK247" s="7"/>
      <c r="BL247" s="7"/>
      <c r="BM247" s="7"/>
    </row>
    <row r="248" spans="1:65">
      <c r="A248" s="8"/>
      <c r="B248" s="7"/>
      <c r="C248" s="7"/>
      <c r="D248" s="7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7"/>
      <c r="AE248" s="7"/>
      <c r="AF248" s="7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7"/>
      <c r="BF248" s="7"/>
      <c r="BG248" s="7"/>
      <c r="BH248" s="7"/>
      <c r="BI248" s="7"/>
      <c r="BJ248" s="7"/>
      <c r="BK248" s="7"/>
      <c r="BL248" s="7"/>
      <c r="BM248" s="7"/>
    </row>
    <row r="249" spans="1:65">
      <c r="A249" s="8"/>
      <c r="B249" s="7"/>
      <c r="C249" s="7"/>
      <c r="D249" s="7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7"/>
      <c r="AE249" s="7"/>
      <c r="AF249" s="7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7"/>
      <c r="BF249" s="7"/>
      <c r="BG249" s="7"/>
      <c r="BH249" s="7"/>
      <c r="BI249" s="7"/>
      <c r="BJ249" s="7"/>
      <c r="BK249" s="7"/>
      <c r="BL249" s="7"/>
      <c r="BM249" s="7"/>
    </row>
    <row r="250" spans="1:65">
      <c r="A250" s="8"/>
      <c r="B250" s="7"/>
      <c r="C250" s="7"/>
      <c r="D250" s="7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7"/>
      <c r="AE250" s="7"/>
      <c r="AF250" s="7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7"/>
      <c r="BF250" s="7"/>
      <c r="BG250" s="7"/>
      <c r="BH250" s="7"/>
      <c r="BI250" s="7"/>
      <c r="BJ250" s="7"/>
      <c r="BK250" s="7"/>
      <c r="BL250" s="7"/>
      <c r="BM250" s="7"/>
    </row>
    <row r="251" spans="1:65">
      <c r="A251" s="8"/>
      <c r="B251" s="7"/>
      <c r="C251" s="7"/>
      <c r="D251" s="7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7"/>
      <c r="AE251" s="7"/>
      <c r="AF251" s="7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7"/>
      <c r="BF251" s="7"/>
      <c r="BG251" s="7"/>
      <c r="BH251" s="7"/>
      <c r="BI251" s="7"/>
      <c r="BJ251" s="7"/>
      <c r="BK251" s="7"/>
      <c r="BL251" s="7"/>
      <c r="BM251" s="7"/>
    </row>
    <row r="252" spans="1:65">
      <c r="A252" s="8"/>
      <c r="B252" s="7"/>
      <c r="C252" s="7"/>
      <c r="D252" s="7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7"/>
      <c r="AE252" s="7"/>
      <c r="AF252" s="7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7"/>
      <c r="BF252" s="7"/>
      <c r="BG252" s="7"/>
      <c r="BH252" s="7"/>
      <c r="BI252" s="7"/>
      <c r="BJ252" s="7"/>
      <c r="BK252" s="7"/>
      <c r="BL252" s="7"/>
      <c r="BM252" s="7"/>
    </row>
    <row r="253" spans="1:65">
      <c r="A253" s="8"/>
      <c r="B253" s="7"/>
      <c r="C253" s="7"/>
      <c r="D253" s="7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7"/>
      <c r="AE253" s="7"/>
      <c r="AF253" s="7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7"/>
      <c r="BF253" s="7"/>
      <c r="BG253" s="7"/>
      <c r="BH253" s="7"/>
      <c r="BI253" s="7"/>
      <c r="BJ253" s="7"/>
      <c r="BK253" s="7"/>
      <c r="BL253" s="7"/>
      <c r="BM253" s="7"/>
    </row>
    <row r="254" spans="1:65">
      <c r="A254" s="8"/>
      <c r="B254" s="7"/>
      <c r="C254" s="7"/>
      <c r="D254" s="7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7"/>
      <c r="AE254" s="7"/>
      <c r="AF254" s="7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7"/>
      <c r="BF254" s="7"/>
      <c r="BG254" s="7"/>
      <c r="BH254" s="7"/>
      <c r="BI254" s="7"/>
      <c r="BJ254" s="7"/>
      <c r="BK254" s="7"/>
      <c r="BL254" s="7"/>
      <c r="BM254" s="7"/>
    </row>
    <row r="255" spans="1:65">
      <c r="A255" s="8"/>
      <c r="B255" s="7"/>
      <c r="C255" s="7"/>
      <c r="D255" s="7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7"/>
      <c r="AE255" s="7"/>
      <c r="AF255" s="7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7"/>
      <c r="BF255" s="7"/>
      <c r="BG255" s="7"/>
      <c r="BH255" s="7"/>
      <c r="BI255" s="7"/>
      <c r="BJ255" s="7"/>
      <c r="BK255" s="7"/>
      <c r="BL255" s="7"/>
      <c r="BM255" s="7"/>
    </row>
    <row r="256" spans="1:65">
      <c r="A256" s="8"/>
      <c r="B256" s="7"/>
      <c r="C256" s="7"/>
      <c r="D256" s="7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7"/>
      <c r="AE256" s="7"/>
      <c r="AF256" s="7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7"/>
      <c r="BF256" s="7"/>
      <c r="BG256" s="7"/>
      <c r="BH256" s="7"/>
      <c r="BI256" s="7"/>
      <c r="BJ256" s="7"/>
      <c r="BK256" s="7"/>
      <c r="BL256" s="7"/>
      <c r="BM256" s="7"/>
    </row>
    <row r="257" spans="1:65">
      <c r="A257" s="8"/>
      <c r="B257" s="7"/>
      <c r="C257" s="7"/>
      <c r="D257" s="7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7"/>
      <c r="AE257" s="7"/>
      <c r="AF257" s="7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7"/>
      <c r="BF257" s="7"/>
      <c r="BG257" s="7"/>
      <c r="BH257" s="7"/>
      <c r="BI257" s="7"/>
      <c r="BJ257" s="7"/>
      <c r="BK257" s="7"/>
      <c r="BL257" s="7"/>
      <c r="BM257" s="7"/>
    </row>
    <row r="258" spans="1:65">
      <c r="A258" s="8"/>
      <c r="B258" s="7"/>
      <c r="C258" s="7"/>
      <c r="D258" s="7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7"/>
      <c r="AE258" s="7"/>
      <c r="AF258" s="7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7"/>
      <c r="BF258" s="7"/>
      <c r="BG258" s="7"/>
      <c r="BH258" s="7"/>
      <c r="BI258" s="7"/>
      <c r="BJ258" s="7"/>
      <c r="BK258" s="7"/>
      <c r="BL258" s="7"/>
      <c r="BM258" s="7"/>
    </row>
    <row r="259" spans="1:65">
      <c r="A259" s="8"/>
      <c r="B259" s="7"/>
      <c r="C259" s="7"/>
      <c r="D259" s="7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7"/>
      <c r="AE259" s="7"/>
      <c r="AF259" s="7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7"/>
      <c r="BF259" s="7"/>
      <c r="BG259" s="7"/>
      <c r="BH259" s="7"/>
      <c r="BI259" s="7"/>
      <c r="BJ259" s="7"/>
      <c r="BK259" s="7"/>
      <c r="BL259" s="7"/>
      <c r="BM259" s="7"/>
    </row>
    <row r="260" spans="1:65">
      <c r="A260" s="8"/>
      <c r="B260" s="7"/>
      <c r="C260" s="7"/>
      <c r="D260" s="7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7"/>
      <c r="AE260" s="7"/>
      <c r="AF260" s="7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7"/>
      <c r="BF260" s="7"/>
      <c r="BG260" s="7"/>
      <c r="BH260" s="7"/>
      <c r="BI260" s="7"/>
      <c r="BJ260" s="7"/>
      <c r="BK260" s="7"/>
      <c r="BL260" s="7"/>
      <c r="BM260" s="7"/>
    </row>
    <row r="261" spans="1:65">
      <c r="A261" s="8"/>
      <c r="B261" s="7"/>
      <c r="C261" s="7"/>
      <c r="D261" s="7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7"/>
      <c r="AE261" s="7"/>
      <c r="AF261" s="7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7"/>
      <c r="BF261" s="7"/>
      <c r="BG261" s="7"/>
      <c r="BH261" s="7"/>
      <c r="BI261" s="7"/>
      <c r="BJ261" s="7"/>
      <c r="BK261" s="7"/>
      <c r="BL261" s="7"/>
      <c r="BM261" s="7"/>
    </row>
    <row r="262" spans="1:65">
      <c r="A262" s="8"/>
      <c r="B262" s="7"/>
      <c r="C262" s="7"/>
      <c r="D262" s="7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7"/>
      <c r="AE262" s="7"/>
      <c r="AF262" s="7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7"/>
      <c r="BF262" s="7"/>
      <c r="BG262" s="7"/>
      <c r="BH262" s="7"/>
      <c r="BI262" s="7"/>
      <c r="BJ262" s="7"/>
      <c r="BK262" s="7"/>
      <c r="BL262" s="7"/>
      <c r="BM262" s="7"/>
    </row>
    <row r="263" spans="1:65">
      <c r="A263" s="8"/>
      <c r="B263" s="7"/>
      <c r="C263" s="7"/>
      <c r="D263" s="7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7"/>
      <c r="AE263" s="7"/>
      <c r="AF263" s="7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7"/>
      <c r="BF263" s="7"/>
      <c r="BG263" s="7"/>
      <c r="BH263" s="7"/>
      <c r="BI263" s="7"/>
      <c r="BJ263" s="7"/>
      <c r="BK263" s="7"/>
      <c r="BL263" s="7"/>
      <c r="BM263" s="7"/>
    </row>
    <row r="264" spans="1:65">
      <c r="A264" s="8"/>
      <c r="B264" s="7"/>
      <c r="C264" s="7"/>
      <c r="D264" s="7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7"/>
      <c r="AE264" s="7"/>
      <c r="AF264" s="7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7"/>
      <c r="BF264" s="7"/>
      <c r="BG264" s="7"/>
      <c r="BH264" s="7"/>
      <c r="BI264" s="7"/>
      <c r="BJ264" s="7"/>
      <c r="BK264" s="7"/>
      <c r="BL264" s="7"/>
      <c r="BM264" s="7"/>
    </row>
    <row r="265" spans="1:65">
      <c r="A265" s="8"/>
      <c r="B265" s="7"/>
      <c r="C265" s="7"/>
      <c r="D265" s="7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7"/>
      <c r="AE265" s="7"/>
      <c r="AF265" s="7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7"/>
      <c r="BF265" s="7"/>
      <c r="BG265" s="7"/>
      <c r="BH265" s="7"/>
      <c r="BI265" s="7"/>
      <c r="BJ265" s="7"/>
      <c r="BK265" s="7"/>
      <c r="BL265" s="7"/>
      <c r="BM265" s="7"/>
    </row>
    <row r="266" spans="1:65">
      <c r="A266" s="8"/>
      <c r="B266" s="7"/>
      <c r="C266" s="7"/>
      <c r="D266" s="7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7"/>
      <c r="AE266" s="7"/>
      <c r="AF266" s="7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7"/>
      <c r="BF266" s="7"/>
      <c r="BG266" s="7"/>
      <c r="BH266" s="7"/>
      <c r="BI266" s="7"/>
      <c r="BJ266" s="7"/>
      <c r="BK266" s="7"/>
      <c r="BL266" s="7"/>
      <c r="BM266" s="7"/>
    </row>
    <row r="267" spans="1:65">
      <c r="A267" s="8"/>
      <c r="B267" s="7"/>
      <c r="C267" s="7"/>
      <c r="D267" s="7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7"/>
      <c r="AE267" s="7"/>
      <c r="AF267" s="7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7"/>
      <c r="BF267" s="7"/>
      <c r="BG267" s="7"/>
      <c r="BH267" s="7"/>
      <c r="BI267" s="7"/>
      <c r="BJ267" s="7"/>
      <c r="BK267" s="7"/>
      <c r="BL267" s="7"/>
      <c r="BM267" s="7"/>
    </row>
    <row r="268" spans="1:65">
      <c r="A268" s="8"/>
      <c r="B268" s="7"/>
      <c r="C268" s="7"/>
      <c r="D268" s="7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7"/>
      <c r="AE268" s="7"/>
      <c r="AF268" s="7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7"/>
      <c r="BF268" s="7"/>
      <c r="BG268" s="7"/>
      <c r="BH268" s="7"/>
      <c r="BI268" s="7"/>
      <c r="BJ268" s="7"/>
      <c r="BK268" s="7"/>
      <c r="BL268" s="7"/>
      <c r="BM268" s="7"/>
    </row>
    <row r="269" spans="1:65">
      <c r="A269" s="8"/>
      <c r="B269" s="7"/>
      <c r="C269" s="7"/>
      <c r="D269" s="7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7"/>
      <c r="AE269" s="7"/>
      <c r="AF269" s="7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7"/>
      <c r="BF269" s="7"/>
      <c r="BG269" s="7"/>
      <c r="BH269" s="7"/>
      <c r="BI269" s="7"/>
      <c r="BJ269" s="7"/>
      <c r="BK269" s="7"/>
      <c r="BL269" s="7"/>
      <c r="BM269" s="7"/>
    </row>
    <row r="270" spans="1:65">
      <c r="A270" s="8"/>
      <c r="B270" s="7"/>
      <c r="C270" s="7"/>
      <c r="D270" s="7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7"/>
      <c r="AE270" s="7"/>
      <c r="AF270" s="7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7"/>
      <c r="BF270" s="7"/>
      <c r="BG270" s="7"/>
      <c r="BH270" s="7"/>
      <c r="BI270" s="7"/>
      <c r="BJ270" s="7"/>
      <c r="BK270" s="7"/>
      <c r="BL270" s="7"/>
      <c r="BM270" s="7"/>
    </row>
    <row r="271" spans="1:65">
      <c r="A271" s="8"/>
      <c r="B271" s="7"/>
      <c r="C271" s="7"/>
      <c r="D271" s="7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7"/>
      <c r="AE271" s="7"/>
      <c r="AF271" s="7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7"/>
      <c r="BF271" s="7"/>
      <c r="BG271" s="7"/>
      <c r="BH271" s="7"/>
      <c r="BI271" s="7"/>
      <c r="BJ271" s="7"/>
      <c r="BK271" s="7"/>
      <c r="BL271" s="7"/>
      <c r="BM271" s="7"/>
    </row>
    <row r="272" spans="1:65">
      <c r="A272" s="8"/>
      <c r="B272" s="7"/>
      <c r="C272" s="7"/>
      <c r="D272" s="7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7"/>
      <c r="AE272" s="7"/>
      <c r="AF272" s="7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7"/>
      <c r="BF272" s="7"/>
      <c r="BG272" s="7"/>
      <c r="BH272" s="7"/>
      <c r="BI272" s="7"/>
      <c r="BJ272" s="7"/>
      <c r="BK272" s="7"/>
      <c r="BL272" s="7"/>
      <c r="BM272" s="7"/>
    </row>
    <row r="273" spans="1:65">
      <c r="A273" s="8"/>
      <c r="B273" s="7"/>
      <c r="C273" s="7"/>
      <c r="D273" s="7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7"/>
      <c r="AE273" s="7"/>
      <c r="AF273" s="7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7"/>
      <c r="BF273" s="7"/>
      <c r="BG273" s="7"/>
      <c r="BH273" s="7"/>
      <c r="BI273" s="7"/>
      <c r="BJ273" s="7"/>
      <c r="BK273" s="7"/>
      <c r="BL273" s="7"/>
      <c r="BM273" s="7"/>
    </row>
    <row r="274" spans="1:65">
      <c r="A274" s="8"/>
      <c r="B274" s="7"/>
      <c r="C274" s="7"/>
      <c r="D274" s="7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7"/>
      <c r="AE274" s="7"/>
      <c r="AF274" s="7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7"/>
      <c r="BF274" s="7"/>
      <c r="BG274" s="7"/>
      <c r="BH274" s="7"/>
      <c r="BI274" s="7"/>
      <c r="BJ274" s="7"/>
      <c r="BK274" s="7"/>
      <c r="BL274" s="7"/>
      <c r="BM274" s="7"/>
    </row>
    <row r="275" spans="1:65">
      <c r="A275" s="8"/>
      <c r="B275" s="7"/>
      <c r="C275" s="7"/>
      <c r="D275" s="7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7"/>
      <c r="AE275" s="7"/>
      <c r="AF275" s="7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7"/>
      <c r="BF275" s="7"/>
      <c r="BG275" s="7"/>
      <c r="BH275" s="7"/>
      <c r="BI275" s="7"/>
      <c r="BJ275" s="7"/>
      <c r="BK275" s="7"/>
      <c r="BL275" s="7"/>
      <c r="BM275" s="7"/>
    </row>
    <row r="276" spans="1:65">
      <c r="A276" s="8"/>
      <c r="B276" s="7"/>
      <c r="C276" s="7"/>
      <c r="D276" s="7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7"/>
      <c r="AE276" s="7"/>
      <c r="AF276" s="7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7"/>
      <c r="BF276" s="7"/>
      <c r="BG276" s="7"/>
      <c r="BH276" s="7"/>
      <c r="BI276" s="7"/>
      <c r="BJ276" s="7"/>
      <c r="BK276" s="7"/>
      <c r="BL276" s="7"/>
      <c r="BM276" s="7"/>
    </row>
    <row r="277" spans="1:65">
      <c r="A277" s="6"/>
      <c r="B277" s="4"/>
      <c r="C277" s="4"/>
      <c r="D277" s="4"/>
      <c r="E277" s="4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4"/>
      <c r="AE277" s="4"/>
      <c r="AF277" s="4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4"/>
      <c r="BF277" s="4"/>
      <c r="BG277" s="4"/>
      <c r="BH277" s="4"/>
      <c r="BI277" s="4"/>
      <c r="BJ277" s="4"/>
      <c r="BK277" s="4"/>
      <c r="BL277" s="4"/>
      <c r="BM277" s="4"/>
    </row>
    <row r="278" spans="1:65">
      <c r="A278" s="6"/>
      <c r="B278" s="4"/>
      <c r="C278" s="4"/>
      <c r="D278" s="4"/>
      <c r="E278" s="4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4"/>
      <c r="AE278" s="4"/>
      <c r="AF278" s="4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4"/>
      <c r="BF278" s="4"/>
      <c r="BG278" s="4"/>
      <c r="BH278" s="4"/>
      <c r="BI278" s="4"/>
      <c r="BJ278" s="4"/>
      <c r="BK278" s="4"/>
      <c r="BL278" s="4"/>
      <c r="BM278" s="4"/>
    </row>
    <row r="279" spans="1:6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4"/>
      <c r="AE279" s="4"/>
      <c r="AF279" s="4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4"/>
      <c r="BF279" s="4"/>
      <c r="BG279" s="4"/>
      <c r="BH279" s="4"/>
      <c r="BI279" s="4"/>
      <c r="BJ279" s="4"/>
      <c r="BK279" s="4"/>
      <c r="BL279" s="4"/>
      <c r="BM279" s="4"/>
    </row>
    <row r="280" spans="1:6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4"/>
      <c r="AE280" s="4"/>
      <c r="AF280" s="4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4"/>
      <c r="BF280" s="4"/>
      <c r="BG280" s="4"/>
      <c r="BH280" s="4"/>
      <c r="BI280" s="4"/>
      <c r="BJ280" s="4"/>
      <c r="BK280" s="4"/>
      <c r="BL280" s="4"/>
      <c r="BM280" s="4"/>
    </row>
    <row r="281" spans="1:65">
      <c r="A281" s="6"/>
      <c r="B281" s="4"/>
      <c r="C281" s="4"/>
      <c r="D281" s="4"/>
      <c r="E281" s="4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4"/>
      <c r="AE281" s="4"/>
      <c r="AF281" s="4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4"/>
      <c r="BF281" s="4"/>
      <c r="BG281" s="4"/>
      <c r="BH281" s="4"/>
      <c r="BI281" s="4"/>
      <c r="BJ281" s="4"/>
      <c r="BK281" s="4"/>
      <c r="BL281" s="4"/>
      <c r="BM281" s="4"/>
    </row>
    <row r="282" spans="1:65">
      <c r="A282" s="6"/>
      <c r="B282" s="4"/>
      <c r="C282" s="4"/>
      <c r="D282" s="4"/>
      <c r="E282" s="4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4"/>
      <c r="AE282" s="4"/>
      <c r="AF282" s="4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4"/>
      <c r="BF282" s="4"/>
      <c r="BG282" s="4"/>
      <c r="BH282" s="4"/>
      <c r="BI282" s="4"/>
      <c r="BJ282" s="4"/>
      <c r="BK282" s="4"/>
      <c r="BL282" s="4"/>
      <c r="BM282" s="4"/>
    </row>
    <row r="283" spans="1:65">
      <c r="A283" s="6"/>
      <c r="B283" s="4"/>
      <c r="C283" s="4"/>
      <c r="D283" s="4"/>
      <c r="E283" s="4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4"/>
      <c r="AE283" s="4"/>
      <c r="AF283" s="4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4"/>
      <c r="BF283" s="4"/>
      <c r="BG283" s="4"/>
      <c r="BH283" s="4"/>
      <c r="BI283" s="4"/>
      <c r="BJ283" s="4"/>
      <c r="BK283" s="4"/>
      <c r="BL283" s="4"/>
      <c r="BM283" s="4"/>
    </row>
    <row r="284" spans="1:65">
      <c r="A284" s="6"/>
      <c r="B284" s="4"/>
      <c r="C284" s="4"/>
      <c r="D284" s="4"/>
      <c r="E284" s="4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4"/>
      <c r="AE284" s="4"/>
      <c r="AF284" s="4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4"/>
      <c r="BF284" s="4"/>
      <c r="BG284" s="4"/>
      <c r="BH284" s="4"/>
      <c r="BI284" s="4"/>
      <c r="BJ284" s="4"/>
      <c r="BK284" s="4"/>
      <c r="BL284" s="4"/>
      <c r="BM284" s="4"/>
    </row>
    <row r="285" spans="1:65">
      <c r="A285" s="6"/>
      <c r="B285" s="4"/>
      <c r="C285" s="4"/>
      <c r="D285" s="4"/>
      <c r="E285" s="4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4"/>
      <c r="AE285" s="4"/>
      <c r="AF285" s="4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4"/>
      <c r="BF285" s="4"/>
      <c r="BG285" s="4"/>
      <c r="BH285" s="4"/>
      <c r="BI285" s="4"/>
      <c r="BJ285" s="4"/>
      <c r="BK285" s="4"/>
      <c r="BL285" s="4"/>
      <c r="BM285" s="4"/>
    </row>
    <row r="286" spans="1:65">
      <c r="A286" s="6"/>
      <c r="B286" s="4"/>
      <c r="C286" s="4"/>
      <c r="D286" s="4"/>
      <c r="E286" s="4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4"/>
      <c r="AE286" s="4"/>
      <c r="AF286" s="4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4"/>
      <c r="BF286" s="4"/>
      <c r="BG286" s="4"/>
      <c r="BH286" s="4"/>
      <c r="BI286" s="4"/>
      <c r="BJ286" s="4"/>
      <c r="BK286" s="4"/>
      <c r="BL286" s="4"/>
      <c r="BM286" s="4"/>
    </row>
    <row r="287" spans="1:65">
      <c r="A287" s="6"/>
      <c r="B287" s="4"/>
      <c r="C287" s="4"/>
      <c r="D287" s="4"/>
      <c r="E287" s="4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4"/>
      <c r="AE287" s="4"/>
      <c r="AF287" s="4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4"/>
      <c r="BF287" s="4"/>
      <c r="BG287" s="4"/>
      <c r="BH287" s="4"/>
      <c r="BI287" s="4"/>
      <c r="BJ287" s="4"/>
      <c r="BK287" s="4"/>
      <c r="BL287" s="4"/>
      <c r="BM287" s="4"/>
    </row>
    <row r="288" spans="1:65">
      <c r="A288" s="6"/>
      <c r="B288" s="4"/>
      <c r="C288" s="4"/>
      <c r="D288" s="4"/>
      <c r="E288" s="4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4"/>
      <c r="AE288" s="4"/>
      <c r="AF288" s="4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4"/>
      <c r="BF288" s="4"/>
      <c r="BG288" s="4"/>
      <c r="BH288" s="4"/>
      <c r="BI288" s="4"/>
      <c r="BJ288" s="4"/>
      <c r="BK288" s="4"/>
      <c r="BL288" s="4"/>
      <c r="BM288" s="4"/>
    </row>
    <row r="289" spans="1:65">
      <c r="A289" s="6"/>
      <c r="B289" s="4"/>
      <c r="C289" s="4"/>
      <c r="D289" s="4"/>
      <c r="E289" s="4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4"/>
      <c r="AE289" s="4"/>
      <c r="AF289" s="4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4"/>
      <c r="BF289" s="4"/>
      <c r="BG289" s="4"/>
      <c r="BH289" s="4"/>
      <c r="BI289" s="4"/>
      <c r="BJ289" s="4"/>
      <c r="BK289" s="4"/>
      <c r="BL289" s="4"/>
      <c r="BM289" s="4"/>
    </row>
    <row r="290" spans="1:65">
      <c r="A290" s="6"/>
      <c r="B290" s="4"/>
      <c r="C290" s="4"/>
      <c r="D290" s="4"/>
      <c r="E290" s="4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4"/>
      <c r="AE290" s="4"/>
      <c r="AF290" s="4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4"/>
      <c r="BF290" s="4"/>
      <c r="BG290" s="4"/>
      <c r="BH290" s="4"/>
      <c r="BI290" s="4"/>
      <c r="BJ290" s="4"/>
      <c r="BK290" s="4"/>
      <c r="BL290" s="4"/>
      <c r="BM290" s="4"/>
    </row>
    <row r="291" spans="1:65">
      <c r="A291" s="6"/>
      <c r="B291" s="4"/>
      <c r="C291" s="4"/>
      <c r="D291" s="4"/>
      <c r="E291" s="4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4"/>
      <c r="AE291" s="4"/>
      <c r="AF291" s="4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4"/>
      <c r="BF291" s="4"/>
      <c r="BG291" s="4"/>
      <c r="BH291" s="4"/>
      <c r="BI291" s="4"/>
      <c r="BJ291" s="4"/>
      <c r="BK291" s="4"/>
      <c r="BL291" s="4"/>
      <c r="BM291" s="4"/>
    </row>
    <row r="292" spans="1:65">
      <c r="A292" s="6"/>
      <c r="B292" s="4"/>
      <c r="C292" s="4"/>
      <c r="D292" s="4"/>
      <c r="E292" s="4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4"/>
      <c r="AE292" s="4"/>
      <c r="AF292" s="4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4"/>
      <c r="BF292" s="4"/>
      <c r="BG292" s="4"/>
      <c r="BH292" s="4"/>
      <c r="BI292" s="4"/>
      <c r="BJ292" s="4"/>
      <c r="BK292" s="4"/>
      <c r="BL292" s="4"/>
      <c r="BM292" s="4"/>
    </row>
    <row r="293" spans="1:65">
      <c r="A293" s="6"/>
      <c r="B293" s="4"/>
      <c r="C293" s="4"/>
      <c r="D293" s="4"/>
      <c r="E293" s="4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4"/>
      <c r="AE293" s="4"/>
      <c r="AF293" s="4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4"/>
      <c r="BF293" s="4"/>
      <c r="BG293" s="4"/>
      <c r="BH293" s="4"/>
      <c r="BI293" s="4"/>
      <c r="BJ293" s="4"/>
      <c r="BK293" s="4"/>
      <c r="BL293" s="4"/>
      <c r="BM293" s="4"/>
    </row>
    <row r="294" spans="1:65">
      <c r="A294" s="6"/>
      <c r="B294" s="4"/>
      <c r="C294" s="4"/>
      <c r="D294" s="4"/>
      <c r="E294" s="4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4"/>
      <c r="AE294" s="4"/>
      <c r="AF294" s="4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4"/>
      <c r="BF294" s="4"/>
      <c r="BG294" s="4"/>
      <c r="BH294" s="4"/>
      <c r="BI294" s="4"/>
      <c r="BJ294" s="4"/>
      <c r="BK294" s="4"/>
      <c r="BL294" s="4"/>
      <c r="BM294" s="4"/>
    </row>
    <row r="295" spans="1:65">
      <c r="A295" s="6"/>
      <c r="B295" s="4"/>
      <c r="C295" s="4"/>
      <c r="D295" s="4"/>
      <c r="E295" s="4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4"/>
      <c r="AE295" s="4"/>
      <c r="AF295" s="4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4"/>
      <c r="BF295" s="4"/>
      <c r="BG295" s="4"/>
      <c r="BH295" s="4"/>
      <c r="BI295" s="4"/>
      <c r="BJ295" s="4"/>
      <c r="BK295" s="4"/>
      <c r="BL295" s="4"/>
      <c r="BM295" s="4"/>
    </row>
    <row r="296" spans="1:65">
      <c r="A296" s="6"/>
      <c r="B296" s="4"/>
      <c r="C296" s="4"/>
      <c r="D296" s="4"/>
      <c r="E296" s="4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4"/>
      <c r="AE296" s="4"/>
      <c r="AF296" s="4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4"/>
      <c r="BF296" s="4"/>
      <c r="BG296" s="4"/>
      <c r="BH296" s="4"/>
      <c r="BI296" s="4"/>
      <c r="BJ296" s="4"/>
      <c r="BK296" s="4"/>
      <c r="BL296" s="4"/>
      <c r="BM296" s="4"/>
    </row>
    <row r="297" spans="1:65">
      <c r="A297" s="6"/>
      <c r="B297" s="4"/>
      <c r="C297" s="4"/>
      <c r="D297" s="4"/>
      <c r="E297" s="4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4"/>
      <c r="AE297" s="4"/>
      <c r="AF297" s="4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4"/>
      <c r="BF297" s="4"/>
      <c r="BG297" s="4"/>
      <c r="BH297" s="4"/>
      <c r="BI297" s="4"/>
      <c r="BJ297" s="4"/>
      <c r="BK297" s="4"/>
      <c r="BL297" s="4"/>
      <c r="BM297" s="4"/>
    </row>
    <row r="298" spans="1:65">
      <c r="A298" s="6"/>
      <c r="B298" s="4"/>
      <c r="C298" s="4"/>
      <c r="D298" s="4"/>
      <c r="E298" s="4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4"/>
      <c r="AE298" s="4"/>
      <c r="AF298" s="4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4"/>
      <c r="BF298" s="4"/>
      <c r="BG298" s="4"/>
      <c r="BH298" s="4"/>
      <c r="BI298" s="4"/>
      <c r="BJ298" s="4"/>
      <c r="BK298" s="4"/>
      <c r="BL298" s="4"/>
      <c r="BM298" s="4"/>
    </row>
    <row r="299" spans="1:65">
      <c r="A299" s="6"/>
      <c r="B299" s="4"/>
      <c r="C299" s="4"/>
      <c r="D299" s="4"/>
      <c r="E299" s="4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4"/>
      <c r="AE299" s="4"/>
      <c r="AF299" s="4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4"/>
      <c r="BF299" s="4"/>
      <c r="BG299" s="4"/>
      <c r="BH299" s="4"/>
      <c r="BI299" s="4"/>
      <c r="BJ299" s="4"/>
      <c r="BK299" s="4"/>
      <c r="BL299" s="4"/>
      <c r="BM299" s="4"/>
    </row>
    <row r="300" spans="1:65">
      <c r="A300" s="6"/>
      <c r="B300" s="4"/>
      <c r="C300" s="4"/>
      <c r="D300" s="4"/>
      <c r="E300" s="4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4"/>
      <c r="AE300" s="4"/>
      <c r="AF300" s="4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4"/>
      <c r="BF300" s="4"/>
      <c r="BG300" s="4"/>
      <c r="BH300" s="4"/>
      <c r="BI300" s="4"/>
      <c r="BJ300" s="4"/>
      <c r="BK300" s="4"/>
      <c r="BL300" s="4"/>
      <c r="BM300" s="4"/>
    </row>
    <row r="301" spans="1:65">
      <c r="A301" s="6"/>
      <c r="B301" s="4"/>
      <c r="C301" s="4"/>
      <c r="D301" s="4"/>
      <c r="E301" s="4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4"/>
      <c r="AE301" s="4"/>
      <c r="AF301" s="4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4"/>
      <c r="BF301" s="4"/>
      <c r="BG301" s="4"/>
      <c r="BH301" s="4"/>
      <c r="BI301" s="4"/>
      <c r="BJ301" s="4"/>
      <c r="BK301" s="4"/>
      <c r="BL301" s="4"/>
      <c r="BM301" s="4"/>
    </row>
    <row r="302" spans="1:65">
      <c r="A302" s="6"/>
      <c r="B302" s="4"/>
      <c r="C302" s="4"/>
      <c r="D302" s="4"/>
      <c r="E302" s="4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4"/>
      <c r="AE302" s="4"/>
      <c r="AF302" s="4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4"/>
      <c r="BF302" s="4"/>
      <c r="BG302" s="4"/>
      <c r="BH302" s="4"/>
      <c r="BI302" s="4"/>
      <c r="BJ302" s="4"/>
      <c r="BK302" s="4"/>
      <c r="BL302" s="4"/>
      <c r="BM302" s="4"/>
    </row>
    <row r="303" spans="1:65">
      <c r="A303" s="6"/>
      <c r="B303" s="4"/>
      <c r="C303" s="4"/>
      <c r="D303" s="4"/>
      <c r="E303" s="4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4"/>
      <c r="AE303" s="4"/>
      <c r="AF303" s="4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4"/>
      <c r="BF303" s="4"/>
      <c r="BG303" s="4"/>
      <c r="BH303" s="4"/>
      <c r="BI303" s="4"/>
      <c r="BJ303" s="4"/>
      <c r="BK303" s="4"/>
      <c r="BL303" s="4"/>
      <c r="BM303" s="4"/>
    </row>
    <row r="304" spans="1:65">
      <c r="A304" s="6"/>
      <c r="B304" s="4"/>
      <c r="C304" s="4"/>
      <c r="D304" s="4"/>
      <c r="E304" s="4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4"/>
      <c r="AE304" s="4"/>
      <c r="AF304" s="4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4"/>
      <c r="BF304" s="4"/>
      <c r="BG304" s="4"/>
      <c r="BH304" s="4"/>
      <c r="BI304" s="4"/>
      <c r="BJ304" s="4"/>
      <c r="BK304" s="4"/>
      <c r="BL304" s="4"/>
      <c r="BM304" s="4"/>
    </row>
    <row r="305" spans="1:65">
      <c r="A305" s="6"/>
      <c r="B305" s="4"/>
      <c r="C305" s="4"/>
      <c r="D305" s="4"/>
      <c r="E305" s="4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4"/>
      <c r="AE305" s="4"/>
      <c r="AF305" s="4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4"/>
      <c r="BF305" s="4"/>
      <c r="BG305" s="4"/>
      <c r="BH305" s="4"/>
      <c r="BI305" s="4"/>
      <c r="BJ305" s="4"/>
      <c r="BK305" s="4"/>
      <c r="BL305" s="4"/>
      <c r="BM305" s="4"/>
    </row>
    <row r="306" spans="1:65">
      <c r="A306" s="6"/>
      <c r="B306" s="4"/>
      <c r="C306" s="4"/>
      <c r="D306" s="4"/>
      <c r="E306" s="4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4"/>
      <c r="AE306" s="4"/>
      <c r="AF306" s="4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4"/>
      <c r="BF306" s="4"/>
      <c r="BG306" s="4"/>
      <c r="BH306" s="4"/>
      <c r="BI306" s="4"/>
      <c r="BJ306" s="4"/>
      <c r="BK306" s="4"/>
      <c r="BL306" s="4"/>
      <c r="BM306" s="4"/>
    </row>
    <row r="307" spans="1:65">
      <c r="A307" s="6"/>
      <c r="B307" s="4"/>
      <c r="C307" s="4"/>
      <c r="D307" s="4"/>
      <c r="E307" s="4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4"/>
      <c r="AE307" s="4"/>
      <c r="AF307" s="4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4"/>
      <c r="BF307" s="4"/>
      <c r="BG307" s="4"/>
      <c r="BH307" s="4"/>
      <c r="BI307" s="4"/>
      <c r="BJ307" s="4"/>
      <c r="BK307" s="4"/>
      <c r="BL307" s="4"/>
      <c r="BM307" s="4"/>
    </row>
    <row r="308" spans="1:65">
      <c r="A308" s="6"/>
      <c r="B308" s="4"/>
      <c r="C308" s="4"/>
      <c r="D308" s="4"/>
      <c r="E308" s="4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4"/>
      <c r="AE308" s="4"/>
      <c r="AF308" s="4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4"/>
      <c r="BF308" s="4"/>
      <c r="BG308" s="4"/>
      <c r="BH308" s="4"/>
      <c r="BI308" s="4"/>
      <c r="BJ308" s="4"/>
      <c r="BK308" s="4"/>
      <c r="BL308" s="4"/>
      <c r="BM308" s="4"/>
    </row>
    <row r="309" spans="1:65">
      <c r="A309" s="6"/>
      <c r="B309" s="4"/>
      <c r="C309" s="4"/>
      <c r="D309" s="4"/>
      <c r="E309" s="4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4"/>
      <c r="AE309" s="4"/>
      <c r="AF309" s="4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4"/>
      <c r="BF309" s="4"/>
      <c r="BG309" s="4"/>
      <c r="BH309" s="4"/>
      <c r="BI309" s="4"/>
      <c r="BJ309" s="4"/>
      <c r="BK309" s="4"/>
      <c r="BL309" s="4"/>
      <c r="BM309" s="4"/>
    </row>
    <row r="310" spans="1:65">
      <c r="A310" s="6"/>
      <c r="B310" s="4"/>
      <c r="C310" s="4"/>
      <c r="D310" s="4"/>
      <c r="E310" s="4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4"/>
      <c r="AE310" s="4"/>
      <c r="AF310" s="4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4"/>
      <c r="BF310" s="4"/>
      <c r="BG310" s="4"/>
      <c r="BH310" s="4"/>
      <c r="BI310" s="4"/>
      <c r="BJ310" s="4"/>
      <c r="BK310" s="4"/>
      <c r="BL310" s="4"/>
      <c r="BM310" s="4"/>
    </row>
    <row r="311" spans="1:65">
      <c r="A311" s="6"/>
      <c r="B311" s="4"/>
      <c r="C311" s="4"/>
      <c r="D311" s="4"/>
      <c r="E311" s="4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4"/>
      <c r="AE311" s="4"/>
      <c r="AF311" s="4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4"/>
      <c r="BF311" s="4"/>
      <c r="BG311" s="4"/>
      <c r="BH311" s="4"/>
      <c r="BI311" s="4"/>
      <c r="BJ311" s="4"/>
      <c r="BK311" s="4"/>
      <c r="BL311" s="4"/>
      <c r="BM311" s="4"/>
    </row>
    <row r="312" spans="1:65">
      <c r="A312" s="6"/>
      <c r="B312" s="4"/>
      <c r="C312" s="4"/>
      <c r="D312" s="4"/>
      <c r="E312" s="4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4"/>
      <c r="AE312" s="4"/>
      <c r="AF312" s="4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4"/>
      <c r="BF312" s="4"/>
      <c r="BG312" s="4"/>
      <c r="BH312" s="4"/>
      <c r="BI312" s="4"/>
      <c r="BJ312" s="4"/>
      <c r="BK312" s="4"/>
      <c r="BL312" s="4"/>
      <c r="BM312" s="4"/>
    </row>
    <row r="313" spans="1:65">
      <c r="A313" s="6"/>
      <c r="B313" s="4"/>
      <c r="C313" s="4"/>
      <c r="D313" s="4"/>
      <c r="E313" s="4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4"/>
      <c r="AE313" s="4"/>
      <c r="AF313" s="4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4"/>
      <c r="BF313" s="4"/>
      <c r="BG313" s="4"/>
      <c r="BH313" s="4"/>
      <c r="BI313" s="4"/>
      <c r="BJ313" s="4"/>
      <c r="BK313" s="4"/>
      <c r="BL313" s="4"/>
      <c r="BM313" s="4"/>
    </row>
    <row r="314" spans="1:65">
      <c r="A314" s="6"/>
      <c r="B314" s="4"/>
      <c r="C314" s="4"/>
      <c r="D314" s="4"/>
      <c r="E314" s="4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4"/>
      <c r="AE314" s="4"/>
      <c r="AF314" s="4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4"/>
      <c r="BF314" s="4"/>
      <c r="BG314" s="4"/>
      <c r="BH314" s="4"/>
      <c r="BI314" s="4"/>
      <c r="BJ314" s="4"/>
      <c r="BK314" s="4"/>
      <c r="BL314" s="4"/>
      <c r="BM314" s="4"/>
    </row>
    <row r="315" spans="1:65">
      <c r="A315" s="6"/>
      <c r="B315" s="4"/>
      <c r="C315" s="4"/>
      <c r="D315" s="4"/>
      <c r="E315" s="4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4"/>
      <c r="AE315" s="4"/>
      <c r="AF315" s="4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4"/>
      <c r="BF315" s="4"/>
      <c r="BG315" s="4"/>
      <c r="BH315" s="4"/>
      <c r="BI315" s="4"/>
      <c r="BJ315" s="4"/>
      <c r="BK315" s="4"/>
      <c r="BL315" s="4"/>
      <c r="BM315" s="4"/>
    </row>
    <row r="316" spans="1:65">
      <c r="A316" s="6"/>
      <c r="B316" s="4"/>
      <c r="C316" s="4"/>
      <c r="D316" s="4"/>
      <c r="E316" s="4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4"/>
      <c r="AE316" s="4"/>
      <c r="AF316" s="4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4"/>
      <c r="BF316" s="4"/>
      <c r="BG316" s="4"/>
      <c r="BH316" s="4"/>
      <c r="BI316" s="4"/>
      <c r="BJ316" s="4"/>
      <c r="BK316" s="4"/>
      <c r="BL316" s="4"/>
      <c r="BM316" s="4"/>
    </row>
    <row r="317" spans="1:65">
      <c r="A317" s="6"/>
      <c r="B317" s="4"/>
      <c r="C317" s="4"/>
      <c r="D317" s="4"/>
      <c r="E317" s="4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4"/>
      <c r="AE317" s="4"/>
      <c r="AF317" s="4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4"/>
      <c r="BF317" s="4"/>
      <c r="BG317" s="4"/>
      <c r="BH317" s="4"/>
      <c r="BI317" s="4"/>
      <c r="BJ317" s="4"/>
      <c r="BK317" s="4"/>
      <c r="BL317" s="4"/>
      <c r="BM317" s="4"/>
    </row>
    <row r="318" spans="1:65">
      <c r="A318" s="6"/>
      <c r="B318" s="4"/>
      <c r="C318" s="4"/>
      <c r="D318" s="4"/>
      <c r="E318" s="4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4"/>
      <c r="AE318" s="4"/>
      <c r="AF318" s="4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4"/>
      <c r="BF318" s="4"/>
      <c r="BG318" s="4"/>
      <c r="BH318" s="4"/>
      <c r="BI318" s="4"/>
      <c r="BJ318" s="4"/>
      <c r="BK318" s="4"/>
      <c r="BL318" s="4"/>
      <c r="BM318" s="4"/>
    </row>
    <row r="319" spans="1:65">
      <c r="A319" s="6"/>
      <c r="B319" s="4"/>
      <c r="C319" s="4"/>
      <c r="D319" s="4"/>
      <c r="E319" s="4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4"/>
      <c r="AE319" s="4"/>
      <c r="AF319" s="4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4"/>
      <c r="BF319" s="4"/>
      <c r="BG319" s="4"/>
      <c r="BH319" s="4"/>
      <c r="BI319" s="4"/>
      <c r="BJ319" s="4"/>
      <c r="BK319" s="4"/>
      <c r="BL319" s="4"/>
      <c r="BM319" s="4"/>
    </row>
    <row r="320" spans="1:65">
      <c r="A320" s="6"/>
      <c r="B320" s="4"/>
      <c r="C320" s="4"/>
      <c r="D320" s="4"/>
      <c r="E320" s="4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4"/>
      <c r="AE320" s="4"/>
      <c r="AF320" s="4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4"/>
      <c r="BF320" s="4"/>
      <c r="BG320" s="4"/>
      <c r="BH320" s="4"/>
      <c r="BI320" s="4"/>
      <c r="BJ320" s="4"/>
      <c r="BK320" s="4"/>
      <c r="BL320" s="4"/>
      <c r="BM320" s="4"/>
    </row>
    <row r="321" spans="1:65">
      <c r="A321" s="6"/>
      <c r="B321" s="4"/>
      <c r="C321" s="4"/>
      <c r="D321" s="4"/>
      <c r="E321" s="4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4"/>
      <c r="AE321" s="4"/>
      <c r="AF321" s="4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4"/>
      <c r="BF321" s="4"/>
      <c r="BG321" s="4"/>
      <c r="BH321" s="4"/>
      <c r="BI321" s="4"/>
      <c r="BJ321" s="4"/>
      <c r="BK321" s="4"/>
      <c r="BL321" s="4"/>
      <c r="BM321" s="4"/>
    </row>
    <row r="322" spans="1:65">
      <c r="A322" s="6"/>
      <c r="B322" s="4"/>
      <c r="C322" s="4"/>
      <c r="D322" s="4"/>
      <c r="E322" s="4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4"/>
      <c r="AE322" s="4"/>
      <c r="AF322" s="4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4"/>
      <c r="BF322" s="4"/>
      <c r="BG322" s="4"/>
      <c r="BH322" s="4"/>
      <c r="BI322" s="4"/>
      <c r="BJ322" s="4"/>
      <c r="BK322" s="4"/>
      <c r="BL322" s="4"/>
      <c r="BM322" s="4"/>
    </row>
    <row r="323" spans="1:65">
      <c r="A323" s="6"/>
      <c r="B323" s="4"/>
      <c r="C323" s="4"/>
      <c r="D323" s="4"/>
      <c r="E323" s="4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4"/>
      <c r="AE323" s="4"/>
      <c r="AF323" s="4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4"/>
      <c r="BF323" s="4"/>
      <c r="BG323" s="4"/>
      <c r="BH323" s="4"/>
      <c r="BI323" s="4"/>
      <c r="BJ323" s="4"/>
      <c r="BK323" s="4"/>
      <c r="BL323" s="4"/>
      <c r="BM323" s="4"/>
    </row>
    <row r="324" spans="1:65">
      <c r="A324" s="6"/>
      <c r="B324" s="4"/>
      <c r="C324" s="4"/>
      <c r="D324" s="4"/>
      <c r="E324" s="4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4"/>
      <c r="AE324" s="4"/>
      <c r="AF324" s="4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4"/>
      <c r="BF324" s="4"/>
      <c r="BG324" s="4"/>
      <c r="BH324" s="4"/>
      <c r="BI324" s="4"/>
      <c r="BJ324" s="4"/>
      <c r="BK324" s="4"/>
      <c r="BL324" s="4"/>
      <c r="BM324" s="4"/>
    </row>
    <row r="325" spans="1:65">
      <c r="A325" s="6"/>
      <c r="B325" s="4"/>
      <c r="C325" s="4"/>
      <c r="D325" s="4"/>
      <c r="E325" s="4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4"/>
      <c r="AE325" s="4"/>
      <c r="AF325" s="4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4"/>
      <c r="BF325" s="4"/>
      <c r="BG325" s="4"/>
      <c r="BH325" s="4"/>
      <c r="BI325" s="4"/>
      <c r="BJ325" s="4"/>
      <c r="BK325" s="4"/>
      <c r="BL325" s="4"/>
      <c r="BM325" s="4"/>
    </row>
    <row r="326" spans="1:65">
      <c r="A326" s="6"/>
      <c r="B326" s="4"/>
      <c r="C326" s="4"/>
      <c r="D326" s="4"/>
      <c r="E326" s="4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4"/>
      <c r="AE326" s="4"/>
      <c r="AF326" s="4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4"/>
      <c r="BF326" s="4"/>
      <c r="BG326" s="4"/>
      <c r="BH326" s="4"/>
      <c r="BI326" s="4"/>
      <c r="BJ326" s="4"/>
      <c r="BK326" s="4"/>
      <c r="BL326" s="4"/>
      <c r="BM326" s="4"/>
    </row>
    <row r="327" spans="1:65">
      <c r="A327" s="6"/>
      <c r="B327" s="4"/>
      <c r="C327" s="4"/>
      <c r="D327" s="4"/>
      <c r="E327" s="4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4"/>
      <c r="AE327" s="4"/>
      <c r="AF327" s="4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4"/>
      <c r="BF327" s="4"/>
      <c r="BG327" s="4"/>
      <c r="BH327" s="4"/>
      <c r="BI327" s="4"/>
      <c r="BJ327" s="4"/>
      <c r="BK327" s="4"/>
      <c r="BL327" s="4"/>
      <c r="BM327" s="4"/>
    </row>
    <row r="328" spans="1:65">
      <c r="A328" s="6"/>
      <c r="B328" s="4"/>
      <c r="C328" s="4"/>
      <c r="D328" s="4"/>
      <c r="E328" s="4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4"/>
      <c r="AE328" s="4"/>
      <c r="AF328" s="4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4"/>
      <c r="BF328" s="4"/>
      <c r="BG328" s="4"/>
      <c r="BH328" s="4"/>
      <c r="BI328" s="4"/>
      <c r="BJ328" s="4"/>
      <c r="BK328" s="4"/>
      <c r="BL328" s="4"/>
      <c r="BM328" s="4"/>
    </row>
    <row r="329" spans="1:65">
      <c r="A329" s="6"/>
      <c r="B329" s="4"/>
      <c r="C329" s="4"/>
      <c r="D329" s="4"/>
      <c r="E329" s="4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4"/>
      <c r="AE329" s="4"/>
      <c r="AF329" s="4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4"/>
      <c r="BF329" s="4"/>
      <c r="BG329" s="4"/>
      <c r="BH329" s="4"/>
      <c r="BI329" s="4"/>
      <c r="BJ329" s="4"/>
      <c r="BK329" s="4"/>
      <c r="BL329" s="4"/>
      <c r="BM329" s="4"/>
    </row>
    <row r="330" spans="1:65">
      <c r="A330" s="6"/>
      <c r="B330" s="4"/>
      <c r="C330" s="4"/>
      <c r="D330" s="4"/>
      <c r="E330" s="4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4"/>
      <c r="AE330" s="4"/>
      <c r="AF330" s="4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4"/>
      <c r="BF330" s="4"/>
      <c r="BG330" s="4"/>
      <c r="BH330" s="4"/>
      <c r="BI330" s="4"/>
      <c r="BJ330" s="4"/>
      <c r="BK330" s="4"/>
      <c r="BL330" s="4"/>
      <c r="BM330" s="4"/>
    </row>
    <row r="331" spans="1:65">
      <c r="A331" s="6"/>
      <c r="B331" s="4"/>
      <c r="C331" s="4"/>
      <c r="D331" s="4"/>
      <c r="E331" s="4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4"/>
      <c r="AE331" s="4"/>
      <c r="AF331" s="4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4"/>
      <c r="BF331" s="4"/>
      <c r="BG331" s="4"/>
      <c r="BH331" s="4"/>
      <c r="BI331" s="4"/>
      <c r="BJ331" s="4"/>
      <c r="BK331" s="4"/>
      <c r="BL331" s="4"/>
      <c r="BM331" s="4"/>
    </row>
    <row r="332" spans="1:65">
      <c r="A332" s="6"/>
      <c r="B332" s="4"/>
      <c r="C332" s="4"/>
      <c r="D332" s="4"/>
      <c r="E332" s="4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4"/>
      <c r="AE332" s="4"/>
      <c r="AF332" s="4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4"/>
      <c r="BF332" s="4"/>
      <c r="BG332" s="4"/>
      <c r="BH332" s="4"/>
      <c r="BI332" s="4"/>
      <c r="BJ332" s="4"/>
      <c r="BK332" s="4"/>
      <c r="BL332" s="4"/>
      <c r="BM332" s="4"/>
    </row>
    <row r="333" spans="1:65">
      <c r="A333" s="6"/>
      <c r="B333" s="4"/>
      <c r="C333" s="4"/>
      <c r="D333" s="4"/>
      <c r="E333" s="4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4"/>
      <c r="AE333" s="4"/>
      <c r="AF333" s="4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4"/>
      <c r="BF333" s="4"/>
      <c r="BG333" s="4"/>
      <c r="BH333" s="4"/>
      <c r="BI333" s="4"/>
      <c r="BJ333" s="4"/>
      <c r="BK333" s="4"/>
      <c r="BL333" s="4"/>
      <c r="BM333" s="4"/>
    </row>
    <row r="334" spans="1:65">
      <c r="A334" s="6"/>
      <c r="B334" s="4"/>
      <c r="C334" s="4"/>
      <c r="D334" s="4"/>
      <c r="E334" s="4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4"/>
      <c r="AE334" s="4"/>
      <c r="AF334" s="4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4"/>
      <c r="BF334" s="4"/>
      <c r="BG334" s="4"/>
      <c r="BH334" s="4"/>
      <c r="BI334" s="4"/>
      <c r="BJ334" s="4"/>
      <c r="BK334" s="4"/>
      <c r="BL334" s="4"/>
      <c r="BM334" s="4"/>
    </row>
    <row r="335" spans="1:65">
      <c r="A335" s="6"/>
      <c r="B335" s="4"/>
      <c r="C335" s="4"/>
      <c r="D335" s="4"/>
      <c r="E335" s="4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4"/>
      <c r="AE335" s="4"/>
      <c r="AF335" s="4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4"/>
      <c r="BF335" s="4"/>
      <c r="BG335" s="4"/>
      <c r="BH335" s="4"/>
      <c r="BI335" s="4"/>
      <c r="BJ335" s="4"/>
      <c r="BK335" s="4"/>
      <c r="BL335" s="4"/>
      <c r="BM335" s="4"/>
    </row>
    <row r="336" spans="1:65">
      <c r="A336" s="6"/>
      <c r="B336" s="4"/>
      <c r="C336" s="4"/>
      <c r="D336" s="4"/>
      <c r="E336" s="4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4"/>
      <c r="AE336" s="4"/>
      <c r="AF336" s="4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4"/>
      <c r="BF336" s="4"/>
      <c r="BG336" s="4"/>
      <c r="BH336" s="4"/>
      <c r="BI336" s="4"/>
      <c r="BJ336" s="4"/>
      <c r="BK336" s="4"/>
      <c r="BL336" s="4"/>
      <c r="BM336" s="4"/>
    </row>
    <row r="337" spans="1:65">
      <c r="A337" s="6"/>
      <c r="B337" s="4"/>
      <c r="C337" s="4"/>
      <c r="D337" s="4"/>
      <c r="E337" s="4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4"/>
      <c r="AE337" s="4"/>
      <c r="AF337" s="4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4"/>
      <c r="BF337" s="4"/>
      <c r="BG337" s="4"/>
      <c r="BH337" s="4"/>
      <c r="BI337" s="4"/>
      <c r="BJ337" s="4"/>
      <c r="BK337" s="4"/>
      <c r="BL337" s="4"/>
      <c r="BM337" s="4"/>
    </row>
    <row r="338" spans="1:65">
      <c r="A338" s="6"/>
      <c r="B338" s="4"/>
      <c r="C338" s="4"/>
      <c r="D338" s="4"/>
      <c r="E338" s="4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4"/>
      <c r="AE338" s="4"/>
      <c r="AF338" s="4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4"/>
      <c r="BF338" s="4"/>
      <c r="BG338" s="4"/>
      <c r="BH338" s="4"/>
      <c r="BI338" s="4"/>
      <c r="BJ338" s="4"/>
      <c r="BK338" s="4"/>
      <c r="BL338" s="4"/>
      <c r="BM338" s="4"/>
    </row>
    <row r="339" spans="1:65">
      <c r="A339" s="6"/>
      <c r="B339" s="4"/>
      <c r="C339" s="4"/>
      <c r="D339" s="4"/>
      <c r="E339" s="4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4"/>
      <c r="AE339" s="4"/>
      <c r="AF339" s="4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4"/>
      <c r="BF339" s="4"/>
      <c r="BG339" s="4"/>
      <c r="BH339" s="4"/>
      <c r="BI339" s="4"/>
      <c r="BJ339" s="4"/>
      <c r="BK339" s="4"/>
      <c r="BL339" s="4"/>
      <c r="BM339" s="4"/>
    </row>
    <row r="340" spans="1:65">
      <c r="A340" s="6"/>
      <c r="B340" s="4"/>
      <c r="C340" s="4"/>
      <c r="D340" s="4"/>
      <c r="E340" s="4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4"/>
      <c r="AE340" s="4"/>
      <c r="AF340" s="4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4"/>
      <c r="BF340" s="4"/>
      <c r="BG340" s="4"/>
      <c r="BH340" s="4"/>
      <c r="BI340" s="4"/>
      <c r="BJ340" s="4"/>
      <c r="BK340" s="4"/>
      <c r="BL340" s="4"/>
      <c r="BM340" s="4"/>
    </row>
    <row r="341" spans="1:65">
      <c r="A341" s="6"/>
      <c r="B341" s="4"/>
      <c r="C341" s="4"/>
      <c r="D341" s="4"/>
      <c r="E341" s="4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4"/>
      <c r="AE341" s="4"/>
      <c r="AF341" s="4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4"/>
      <c r="BF341" s="4"/>
      <c r="BG341" s="4"/>
      <c r="BH341" s="4"/>
      <c r="BI341" s="4"/>
      <c r="BJ341" s="4"/>
      <c r="BK341" s="4"/>
      <c r="BL341" s="4"/>
      <c r="BM341" s="4"/>
    </row>
    <row r="342" spans="1:65">
      <c r="A342" s="6"/>
      <c r="B342" s="4"/>
      <c r="C342" s="4"/>
      <c r="D342" s="4"/>
      <c r="E342" s="4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4"/>
      <c r="AE342" s="4"/>
      <c r="AF342" s="4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4"/>
      <c r="BF342" s="4"/>
      <c r="BG342" s="4"/>
      <c r="BH342" s="4"/>
      <c r="BI342" s="4"/>
      <c r="BJ342" s="4"/>
      <c r="BK342" s="4"/>
      <c r="BL342" s="4"/>
      <c r="BM342" s="4"/>
    </row>
    <row r="343" spans="1:65">
      <c r="A343" s="6"/>
      <c r="B343" s="4"/>
      <c r="C343" s="4"/>
      <c r="D343" s="4"/>
      <c r="E343" s="4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4"/>
      <c r="AE343" s="4"/>
      <c r="AF343" s="4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4"/>
      <c r="BF343" s="4"/>
      <c r="BG343" s="4"/>
      <c r="BH343" s="4"/>
      <c r="BI343" s="4"/>
      <c r="BJ343" s="4"/>
      <c r="BK343" s="4"/>
      <c r="BL343" s="4"/>
      <c r="BM343" s="4"/>
    </row>
    <row r="344" spans="1:65">
      <c r="A344" s="6"/>
      <c r="B344" s="4"/>
      <c r="C344" s="4"/>
      <c r="D344" s="4"/>
      <c r="E344" s="4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4"/>
      <c r="AE344" s="4"/>
      <c r="AF344" s="4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4"/>
      <c r="BF344" s="4"/>
      <c r="BG344" s="4"/>
      <c r="BH344" s="4"/>
      <c r="BI344" s="4"/>
      <c r="BJ344" s="4"/>
      <c r="BK344" s="4"/>
      <c r="BL344" s="4"/>
      <c r="BM344" s="4"/>
    </row>
    <row r="345" spans="1:65">
      <c r="A345" s="6"/>
      <c r="B345" s="4"/>
      <c r="C345" s="4"/>
      <c r="D345" s="4"/>
      <c r="E345" s="4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4"/>
      <c r="AE345" s="4"/>
      <c r="AF345" s="4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4"/>
      <c r="BF345" s="4"/>
      <c r="BG345" s="4"/>
      <c r="BH345" s="4"/>
      <c r="BI345" s="4"/>
      <c r="BJ345" s="4"/>
      <c r="BK345" s="4"/>
      <c r="BL345" s="4"/>
      <c r="BM345" s="4"/>
    </row>
    <row r="346" spans="1:65">
      <c r="A346" s="6"/>
      <c r="B346" s="4"/>
      <c r="C346" s="4"/>
      <c r="D346" s="4"/>
      <c r="E346" s="4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4"/>
      <c r="AE346" s="4"/>
      <c r="AF346" s="4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4"/>
      <c r="BF346" s="4"/>
      <c r="BG346" s="4"/>
      <c r="BH346" s="4"/>
      <c r="BI346" s="4"/>
      <c r="BJ346" s="4"/>
      <c r="BK346" s="4"/>
      <c r="BL346" s="4"/>
      <c r="BM346" s="4"/>
    </row>
    <row r="347" spans="1:65">
      <c r="A347" s="6"/>
      <c r="B347" s="4"/>
      <c r="C347" s="4"/>
      <c r="D347" s="4"/>
      <c r="E347" s="4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4"/>
      <c r="AE347" s="4"/>
      <c r="AF347" s="4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4"/>
      <c r="BF347" s="4"/>
      <c r="BG347" s="4"/>
      <c r="BH347" s="4"/>
      <c r="BI347" s="4"/>
      <c r="BJ347" s="4"/>
      <c r="BK347" s="4"/>
      <c r="BL347" s="4"/>
      <c r="BM347" s="4"/>
    </row>
    <row r="348" spans="1:65">
      <c r="A348" s="6"/>
      <c r="B348" s="4"/>
      <c r="C348" s="4"/>
      <c r="D348" s="4"/>
      <c r="E348" s="4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4"/>
      <c r="AE348" s="4"/>
      <c r="AF348" s="4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4"/>
      <c r="BF348" s="4"/>
      <c r="BG348" s="4"/>
      <c r="BH348" s="4"/>
      <c r="BI348" s="4"/>
      <c r="BJ348" s="4"/>
      <c r="BK348" s="4"/>
      <c r="BL348" s="4"/>
      <c r="BM348" s="4"/>
    </row>
    <row r="349" spans="1:65">
      <c r="A349" s="6"/>
      <c r="B349" s="4"/>
      <c r="C349" s="4"/>
      <c r="D349" s="4"/>
      <c r="E349" s="4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4"/>
      <c r="AE349" s="4"/>
      <c r="AF349" s="4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4"/>
      <c r="BF349" s="4"/>
      <c r="BG349" s="4"/>
      <c r="BH349" s="4"/>
      <c r="BI349" s="4"/>
      <c r="BJ349" s="4"/>
      <c r="BK349" s="4"/>
      <c r="BL349" s="4"/>
      <c r="BM349" s="4"/>
    </row>
    <row r="350" spans="1:65">
      <c r="A350" s="6"/>
      <c r="B350" s="4"/>
      <c r="C350" s="4"/>
      <c r="D350" s="4"/>
      <c r="E350" s="4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4"/>
      <c r="AE350" s="4"/>
      <c r="AF350" s="4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4"/>
      <c r="BF350" s="4"/>
      <c r="BG350" s="4"/>
      <c r="BH350" s="4"/>
      <c r="BI350" s="4"/>
      <c r="BJ350" s="4"/>
      <c r="BK350" s="4"/>
      <c r="BL350" s="4"/>
      <c r="BM350" s="4"/>
    </row>
    <row r="351" spans="1:65">
      <c r="A351" s="6"/>
      <c r="B351" s="4"/>
      <c r="C351" s="4"/>
      <c r="D351" s="4"/>
      <c r="E351" s="4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4"/>
      <c r="AE351" s="4"/>
      <c r="AF351" s="4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4"/>
      <c r="BF351" s="4"/>
      <c r="BG351" s="4"/>
      <c r="BH351" s="4"/>
      <c r="BI351" s="4"/>
      <c r="BJ351" s="4"/>
      <c r="BK351" s="4"/>
      <c r="BL351" s="4"/>
      <c r="BM351" s="4"/>
    </row>
    <row r="352" spans="1:65">
      <c r="A352" s="6"/>
      <c r="B352" s="4"/>
      <c r="C352" s="4"/>
      <c r="D352" s="4"/>
      <c r="E352" s="4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4"/>
      <c r="AE352" s="4"/>
      <c r="AF352" s="4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4"/>
      <c r="BF352" s="4"/>
      <c r="BG352" s="4"/>
      <c r="BH352" s="4"/>
      <c r="BI352" s="4"/>
      <c r="BJ352" s="4"/>
      <c r="BK352" s="4"/>
      <c r="BL352" s="4"/>
      <c r="BM352" s="4"/>
    </row>
    <row r="353" spans="1:65">
      <c r="A353" s="6"/>
      <c r="B353" s="4"/>
      <c r="C353" s="4"/>
      <c r="D353" s="4"/>
      <c r="E353" s="4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4"/>
      <c r="AE353" s="4"/>
      <c r="AF353" s="4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4"/>
      <c r="BF353" s="4"/>
      <c r="BG353" s="4"/>
      <c r="BH353" s="4"/>
      <c r="BI353" s="4"/>
      <c r="BJ353" s="4"/>
      <c r="BK353" s="4"/>
      <c r="BL353" s="4"/>
      <c r="BM353" s="4"/>
    </row>
  </sheetData>
  <pageMargins left="0.75" right="0.75" top="1" bottom="1" header="0.5" footer="0.5"/>
  <pageSetup paperSize="1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M76"/>
  <sheetViews>
    <sheetView topLeftCell="A48" workbookViewId="0">
      <selection activeCell="A75" sqref="A75:B76"/>
    </sheetView>
  </sheetViews>
  <sheetFormatPr defaultColWidth="8.81481481481481" defaultRowHeight="15"/>
  <cols>
    <col min="1" max="1" width="12.4518518518519" style="1"/>
    <col min="2" max="4" width="12.4518518518519"/>
  </cols>
  <sheetData>
    <row r="1" spans="1:65">
      <c r="A1" s="4" t="s">
        <v>4</v>
      </c>
      <c r="B1" s="4" t="s">
        <v>5</v>
      </c>
      <c r="C1" s="4" t="s">
        <v>6</v>
      </c>
      <c r="D1" s="4" t="s">
        <v>7</v>
      </c>
      <c r="E1" s="4" t="s">
        <v>8</v>
      </c>
      <c r="F1" s="4" t="s">
        <v>9</v>
      </c>
      <c r="G1" s="4" t="s">
        <v>10</v>
      </c>
      <c r="H1" s="4" t="s">
        <v>11</v>
      </c>
      <c r="I1" s="4" t="s">
        <v>12</v>
      </c>
      <c r="J1" s="4" t="s">
        <v>13</v>
      </c>
      <c r="K1" s="4" t="s">
        <v>14</v>
      </c>
      <c r="L1" s="4" t="s">
        <v>15</v>
      </c>
      <c r="M1" s="4" t="s">
        <v>16</v>
      </c>
      <c r="N1" s="4" t="s">
        <v>17</v>
      </c>
      <c r="O1" s="4" t="s">
        <v>18</v>
      </c>
      <c r="P1" s="4" t="s">
        <v>19</v>
      </c>
      <c r="Q1" s="4" t="s">
        <v>20</v>
      </c>
      <c r="R1" s="4" t="s">
        <v>21</v>
      </c>
      <c r="S1" s="4" t="s">
        <v>22</v>
      </c>
      <c r="T1" s="4" t="s">
        <v>23</v>
      </c>
      <c r="U1" s="4" t="s">
        <v>24</v>
      </c>
      <c r="V1" s="4" t="s">
        <v>25</v>
      </c>
      <c r="W1" s="4" t="s">
        <v>26</v>
      </c>
      <c r="X1" s="4" t="s">
        <v>27</v>
      </c>
      <c r="Y1" s="4" t="s">
        <v>28</v>
      </c>
      <c r="Z1" s="4" t="s">
        <v>29</v>
      </c>
      <c r="AA1" s="4" t="s">
        <v>30</v>
      </c>
      <c r="AB1" s="4" t="s">
        <v>31</v>
      </c>
      <c r="AC1" s="4" t="s">
        <v>32</v>
      </c>
      <c r="AD1" s="4" t="s">
        <v>33</v>
      </c>
      <c r="AE1" s="4" t="s">
        <v>34</v>
      </c>
      <c r="AF1" s="4" t="s">
        <v>35</v>
      </c>
      <c r="AG1" s="4" t="s">
        <v>36</v>
      </c>
      <c r="AH1" s="4" t="s">
        <v>37</v>
      </c>
      <c r="AI1" s="4" t="s">
        <v>38</v>
      </c>
      <c r="AJ1" s="4" t="s">
        <v>39</v>
      </c>
      <c r="AK1" s="4" t="s">
        <v>40</v>
      </c>
      <c r="AL1" s="4" t="s">
        <v>41</v>
      </c>
      <c r="AM1" s="4" t="s">
        <v>42</v>
      </c>
      <c r="AN1" s="4" t="s">
        <v>43</v>
      </c>
      <c r="AO1" s="4" t="s">
        <v>44</v>
      </c>
      <c r="AP1" s="4" t="s">
        <v>45</v>
      </c>
      <c r="AQ1" s="4" t="s">
        <v>46</v>
      </c>
      <c r="AR1" s="4" t="s">
        <v>47</v>
      </c>
      <c r="AS1" s="4" t="s">
        <v>48</v>
      </c>
      <c r="AT1" s="4" t="s">
        <v>49</v>
      </c>
      <c r="AU1" s="4" t="s">
        <v>50</v>
      </c>
      <c r="AV1" s="4" t="s">
        <v>51</v>
      </c>
      <c r="AW1" s="4" t="s">
        <v>52</v>
      </c>
      <c r="AX1" s="4" t="s">
        <v>53</v>
      </c>
      <c r="AY1" s="4" t="s">
        <v>54</v>
      </c>
      <c r="AZ1" s="4" t="s">
        <v>55</v>
      </c>
      <c r="BA1" s="4" t="s">
        <v>56</v>
      </c>
      <c r="BB1" s="4" t="s">
        <v>57</v>
      </c>
      <c r="BC1" s="4" t="s">
        <v>58</v>
      </c>
      <c r="BD1" s="4" t="s">
        <v>59</v>
      </c>
      <c r="BE1" s="4" t="s">
        <v>60</v>
      </c>
      <c r="BF1" s="4" t="s">
        <v>61</v>
      </c>
      <c r="BG1" s="4" t="s">
        <v>62</v>
      </c>
      <c r="BH1" s="4" t="s">
        <v>63</v>
      </c>
      <c r="BI1" s="4" t="s">
        <v>64</v>
      </c>
      <c r="BJ1" s="4" t="s">
        <v>65</v>
      </c>
      <c r="BK1" s="4" t="s">
        <v>66</v>
      </c>
      <c r="BL1" s="4"/>
      <c r="BM1" s="7"/>
    </row>
    <row r="2" spans="1:65">
      <c r="A2" s="4">
        <v>0</v>
      </c>
      <c r="B2" s="4">
        <v>0</v>
      </c>
      <c r="C2" s="4"/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  <c r="BA2" s="4">
        <v>0</v>
      </c>
      <c r="BB2" s="4">
        <v>0</v>
      </c>
      <c r="BC2" s="4">
        <v>0</v>
      </c>
      <c r="BD2" s="4">
        <v>0</v>
      </c>
      <c r="BE2" s="4">
        <v>0</v>
      </c>
      <c r="BF2" s="4">
        <v>0</v>
      </c>
      <c r="BG2" s="4">
        <v>0</v>
      </c>
      <c r="BH2" s="4">
        <v>0</v>
      </c>
      <c r="BI2" s="4">
        <v>0</v>
      </c>
      <c r="BJ2" s="4">
        <v>0</v>
      </c>
      <c r="BK2" s="4">
        <v>0</v>
      </c>
      <c r="BL2" s="4"/>
      <c r="BM2" s="7"/>
    </row>
    <row r="3" spans="1:65">
      <c r="A3" s="4">
        <v>0.39716411736214</v>
      </c>
      <c r="B3" s="6">
        <v>3.7804375705224e-15</v>
      </c>
      <c r="C3" s="6">
        <f>(BF3-BF2)/(A3-A2)</f>
        <v>1.68314611241029e-6</v>
      </c>
      <c r="D3" s="6">
        <v>1.2852078387899e-15</v>
      </c>
      <c r="E3" s="6">
        <v>1.5543017765373e-15</v>
      </c>
      <c r="F3" s="6">
        <v>1.5543017765373e-15</v>
      </c>
      <c r="G3" s="6">
        <v>1.5543017765373e-15</v>
      </c>
      <c r="H3" s="6">
        <v>1.2852078387899e-15</v>
      </c>
      <c r="I3" s="6">
        <v>1.2852078387899e-15</v>
      </c>
      <c r="J3" s="6">
        <v>1.2852078387899e-15</v>
      </c>
      <c r="K3" s="6">
        <v>1.3624937719187e-15</v>
      </c>
      <c r="L3" s="6">
        <v>1.3624937719187e-15</v>
      </c>
      <c r="M3" s="6">
        <v>1.3624937719187e-15</v>
      </c>
      <c r="N3" s="6">
        <v>1.419790527241e-15</v>
      </c>
      <c r="O3" s="6">
        <v>1.2852078387899e-15</v>
      </c>
      <c r="P3" s="6">
        <v>1.419790527241e-15</v>
      </c>
      <c r="Q3" s="6">
        <v>1.419790527241e-15</v>
      </c>
      <c r="R3" s="6">
        <v>1.5543017765373e-15</v>
      </c>
      <c r="S3" s="6">
        <v>1.5543017765373e-15</v>
      </c>
      <c r="T3" s="6">
        <v>1.5543017765373e-15</v>
      </c>
      <c r="U3" s="6">
        <v>1.2852078387899e-15</v>
      </c>
      <c r="V3" s="6">
        <v>1.3624937719187e-15</v>
      </c>
      <c r="W3" s="6">
        <v>1.3624937719187e-15</v>
      </c>
      <c r="X3" s="6">
        <v>1.3624937719187e-15</v>
      </c>
      <c r="Y3" s="6">
        <v>1.419790527241e-15</v>
      </c>
      <c r="Z3" s="6">
        <v>1.419790527241e-15</v>
      </c>
      <c r="AA3" s="6">
        <v>1.419790527241e-15</v>
      </c>
      <c r="AB3" s="4">
        <v>0.99999999999957</v>
      </c>
      <c r="AC3" s="4">
        <v>0.99999999999946</v>
      </c>
      <c r="AD3" s="6">
        <v>6.5285935442454e-7</v>
      </c>
      <c r="AE3" s="6">
        <v>1.9651072171787e-28</v>
      </c>
      <c r="AF3" s="6">
        <v>-2.6062795298434e-28</v>
      </c>
      <c r="AG3" s="6">
        <v>1.39403859516e-28</v>
      </c>
      <c r="AH3" s="6">
        <v>-2.7469898591236e-28</v>
      </c>
      <c r="AI3" s="6">
        <v>-6.9391133170801e-29</v>
      </c>
      <c r="AJ3" s="6">
        <v>-1.862742718599e-28</v>
      </c>
      <c r="AK3" s="6">
        <v>7.601269983293e-29</v>
      </c>
      <c r="AL3" s="6">
        <v>1.343929628631e-28</v>
      </c>
      <c r="AM3" s="6">
        <v>1.270140440454e-28</v>
      </c>
      <c r="AN3" s="6">
        <v>-2.2764602873854e-28</v>
      </c>
      <c r="AO3" s="6">
        <v>6.4381532133309e-29</v>
      </c>
      <c r="AP3" s="6">
        <v>-1.2824680867221e-28</v>
      </c>
      <c r="AQ3" s="6">
        <v>3.4410003172621e-28</v>
      </c>
      <c r="AR3" s="6">
        <v>-3.5769246160031e-28</v>
      </c>
      <c r="AS3" s="6">
        <v>2.1163419251266e-28</v>
      </c>
      <c r="AT3" s="6">
        <v>3.0525141219913e-30</v>
      </c>
      <c r="AU3" s="6">
        <v>-1.9346672598551e-28</v>
      </c>
      <c r="AV3" s="6">
        <v>-1.1212728313562e-28</v>
      </c>
      <c r="AW3" s="6">
        <v>1.2193170327614e-28</v>
      </c>
      <c r="AX3" s="6">
        <v>3.5671407510193e-30</v>
      </c>
      <c r="AY3" s="6">
        <v>-1.1703634012689e-28</v>
      </c>
      <c r="AZ3" s="6">
        <v>2.1289674591151e-28</v>
      </c>
      <c r="BA3" s="6">
        <v>2.7310467708332e-28</v>
      </c>
      <c r="BB3" s="6">
        <v>-3.8153988459277e-28</v>
      </c>
      <c r="BC3" s="4">
        <v>15999999.999993</v>
      </c>
      <c r="BD3" s="4">
        <v>3999999.9999994</v>
      </c>
      <c r="BE3" s="6">
        <v>-3.1847677307811e-7</v>
      </c>
      <c r="BF3" s="6">
        <v>6.6848524012695e-7</v>
      </c>
      <c r="BG3" s="6">
        <v>1.8962622055182e-7</v>
      </c>
      <c r="BH3" s="6">
        <v>-1.2826499748531e-9</v>
      </c>
      <c r="BI3" s="4">
        <v>0.15898793303699</v>
      </c>
      <c r="BJ3" s="4">
        <v>0.079493977331445</v>
      </c>
      <c r="BK3" s="4">
        <v>0.14633507999086</v>
      </c>
      <c r="BL3" s="4"/>
      <c r="BM3" s="7"/>
    </row>
    <row r="4" spans="1:65">
      <c r="A4" s="4">
        <v>3.9716411736214</v>
      </c>
      <c r="B4" s="6">
        <v>3.9801798134595e-13</v>
      </c>
      <c r="C4" s="6">
        <f>(BF4-BF3)/(A4-A3)</f>
        <v>1.68307532711722e-6</v>
      </c>
      <c r="D4" s="6">
        <v>1.2858953559222e-14</v>
      </c>
      <c r="E4" s="6">
        <v>1.5552500385419e-14</v>
      </c>
      <c r="F4" s="6">
        <v>1.5552500385419e-14</v>
      </c>
      <c r="G4" s="6">
        <v>1.5552500385419e-14</v>
      </c>
      <c r="H4" s="6">
        <v>1.2858953559222e-14</v>
      </c>
      <c r="I4" s="6">
        <v>1.2858953559222e-14</v>
      </c>
      <c r="J4" s="6">
        <v>1.2858953559222e-14</v>
      </c>
      <c r="K4" s="6">
        <v>1.363186697675e-14</v>
      </c>
      <c r="L4" s="6">
        <v>1.363186697675e-14</v>
      </c>
      <c r="M4" s="6">
        <v>1.363186697675e-14</v>
      </c>
      <c r="N4" s="6">
        <v>1.4205962526087e-14</v>
      </c>
      <c r="O4" s="6">
        <v>1.2858953559222e-14</v>
      </c>
      <c r="P4" s="6">
        <v>1.4205962526087e-14</v>
      </c>
      <c r="Q4" s="6">
        <v>1.4205962526087e-14</v>
      </c>
      <c r="R4" s="6">
        <v>1.5552500385419e-14</v>
      </c>
      <c r="S4" s="6">
        <v>1.5552500385419e-14</v>
      </c>
      <c r="T4" s="6">
        <v>1.5552500385419e-14</v>
      </c>
      <c r="U4" s="6">
        <v>1.2858953559222e-14</v>
      </c>
      <c r="V4" s="6">
        <v>1.363186697675e-14</v>
      </c>
      <c r="W4" s="6">
        <v>1.363186697675e-14</v>
      </c>
      <c r="X4" s="6">
        <v>1.363186697675e-14</v>
      </c>
      <c r="Y4" s="6">
        <v>1.4205962526087e-14</v>
      </c>
      <c r="Z4" s="6">
        <v>1.4205962526087e-14</v>
      </c>
      <c r="AA4" s="6">
        <v>1.4205962526087e-14</v>
      </c>
      <c r="AB4" s="4">
        <v>0.99999999999973</v>
      </c>
      <c r="AC4" s="4">
        <v>0.99999999999957</v>
      </c>
      <c r="AD4" s="6">
        <v>6.5284178812053e-6</v>
      </c>
      <c r="AE4" s="6">
        <v>9.9228609697648e-28</v>
      </c>
      <c r="AF4" s="6">
        <v>2.3578652622056e-28</v>
      </c>
      <c r="AG4" s="6">
        <v>2.46326762961e-27</v>
      </c>
      <c r="AH4" s="6">
        <v>-8.7425821685984e-28</v>
      </c>
      <c r="AI4" s="6">
        <v>5.5739707487931e-29</v>
      </c>
      <c r="AJ4" s="6">
        <v>-6.3464971640483e-28</v>
      </c>
      <c r="AK4" s="6">
        <v>1.1037084541023e-27</v>
      </c>
      <c r="AL4" s="6">
        <v>9.7764555011576e-28</v>
      </c>
      <c r="AM4" s="6">
        <v>9.5952311235428e-29</v>
      </c>
      <c r="AN4" s="6">
        <v>-1.0179427858063e-27</v>
      </c>
      <c r="AO4" s="6">
        <v>1.1435398578024e-27</v>
      </c>
      <c r="AP4" s="6">
        <v>-4.9409783108834e-28</v>
      </c>
      <c r="AQ4" s="6">
        <v>2.1570813071447e-27</v>
      </c>
      <c r="AR4" s="6">
        <v>-3.4771631890035e-27</v>
      </c>
      <c r="AS4" s="6">
        <v>1.1617370066568e-27</v>
      </c>
      <c r="AT4" s="6">
        <v>5.4185861034257e-28</v>
      </c>
      <c r="AU4" s="6">
        <v>-1.9887147132499e-27</v>
      </c>
      <c r="AV4" s="6">
        <v>-6.8042212156424e-28</v>
      </c>
      <c r="AW4" s="6">
        <v>7.7380286580217e-28</v>
      </c>
      <c r="AX4" s="6">
        <v>6.8036413114291e-28</v>
      </c>
      <c r="AY4" s="6">
        <v>-8.8511286730425e-28</v>
      </c>
      <c r="AZ4" s="6">
        <v>1.1598710567408e-28</v>
      </c>
      <c r="BA4" s="6">
        <v>2.1833238843891e-27</v>
      </c>
      <c r="BB4" s="6">
        <v>-3.7398244180292e-27</v>
      </c>
      <c r="BC4" s="4">
        <v>15999999.99952</v>
      </c>
      <c r="BD4" s="4">
        <v>3999999.9999378</v>
      </c>
      <c r="BE4" s="6">
        <v>-3.1847465679865e-6</v>
      </c>
      <c r="BF4" s="6">
        <v>6.6845993808635e-6</v>
      </c>
      <c r="BG4" s="6">
        <v>1.8962797508733e-6</v>
      </c>
      <c r="BH4" s="6">
        <v>-1.2820923064406e-7</v>
      </c>
      <c r="BI4" s="4">
        <v>1.5898782209071</v>
      </c>
      <c r="BJ4" s="4">
        <v>0.79494019167635</v>
      </c>
      <c r="BK4" s="4">
        <v>1.4633461596854</v>
      </c>
      <c r="BL4" s="4"/>
      <c r="BM4" s="7"/>
    </row>
    <row r="5" spans="1:65">
      <c r="A5" s="4">
        <v>39.716411736214</v>
      </c>
      <c r="B5" s="6">
        <v>4.0023656504136e-11</v>
      </c>
      <c r="C5" s="6">
        <f t="shared" ref="C5:C36" si="0">(BF5-BF4)/(A5-A4)</f>
        <v>1.68237497210299e-6</v>
      </c>
      <c r="D5" s="6">
        <v>1.2937341188974e-13</v>
      </c>
      <c r="E5" s="6">
        <v>1.5657304880578e-13</v>
      </c>
      <c r="F5" s="6">
        <v>1.5657304880578e-13</v>
      </c>
      <c r="G5" s="6">
        <v>1.5657304880578e-13</v>
      </c>
      <c r="H5" s="6">
        <v>1.2937341188974e-13</v>
      </c>
      <c r="I5" s="6">
        <v>1.2937341188974e-13</v>
      </c>
      <c r="J5" s="6">
        <v>1.2937341188974e-13</v>
      </c>
      <c r="K5" s="6">
        <v>1.3709178341431e-13</v>
      </c>
      <c r="L5" s="6">
        <v>1.3709178341431e-13</v>
      </c>
      <c r="M5" s="6">
        <v>1.3709178341431e-13</v>
      </c>
      <c r="N5" s="6">
        <v>1.429606844368e-13</v>
      </c>
      <c r="O5" s="6">
        <v>1.2937341188974e-13</v>
      </c>
      <c r="P5" s="6">
        <v>1.429606844368e-13</v>
      </c>
      <c r="Q5" s="6">
        <v>1.429606844368e-13</v>
      </c>
      <c r="R5" s="6">
        <v>1.5657304880578e-13</v>
      </c>
      <c r="S5" s="6">
        <v>1.5657304880578e-13</v>
      </c>
      <c r="T5" s="6">
        <v>1.5657304880578e-13</v>
      </c>
      <c r="U5" s="6">
        <v>1.2937341188974e-13</v>
      </c>
      <c r="V5" s="6">
        <v>1.3709178341431e-13</v>
      </c>
      <c r="W5" s="6">
        <v>1.3709178341431e-13</v>
      </c>
      <c r="X5" s="6">
        <v>1.3709178341431e-13</v>
      </c>
      <c r="Y5" s="6">
        <v>1.429606844368e-13</v>
      </c>
      <c r="Z5" s="6">
        <v>1.429606844368e-13</v>
      </c>
      <c r="AA5" s="6">
        <v>1.429606844368e-13</v>
      </c>
      <c r="AB5" s="4">
        <v>0.99999999997328</v>
      </c>
      <c r="AC5" s="4">
        <v>0.99999999992766</v>
      </c>
      <c r="AD5" s="6">
        <v>6.5266622631134e-5</v>
      </c>
      <c r="AE5" s="6">
        <v>-3.1652424342647e-25</v>
      </c>
      <c r="AF5" s="6">
        <v>5.9030276527575e-24</v>
      </c>
      <c r="AG5" s="6">
        <v>6.3664266847793e-24</v>
      </c>
      <c r="AH5" s="6">
        <v>1.2113091712677e-24</v>
      </c>
      <c r="AI5" s="6">
        <v>9.0935393010156e-26</v>
      </c>
      <c r="AJ5" s="6">
        <v>1.3341566081738e-24</v>
      </c>
      <c r="AK5" s="6">
        <v>1.4929554240143e-24</v>
      </c>
      <c r="AL5" s="6">
        <v>2.3713270433649e-24</v>
      </c>
      <c r="AM5" s="6">
        <v>-1.1363750985357e-24</v>
      </c>
      <c r="AN5" s="6">
        <v>-4.3775716735048e-26</v>
      </c>
      <c r="AO5" s="6">
        <v>2.8681255525169e-24</v>
      </c>
      <c r="AP5" s="6">
        <v>-2.1828763346875e-25</v>
      </c>
      <c r="AQ5" s="6">
        <v>2.1835071235145e-24</v>
      </c>
      <c r="AR5" s="6">
        <v>-7.6316338615898e-24</v>
      </c>
      <c r="AS5" s="6">
        <v>-2.9033324110554e-25</v>
      </c>
      <c r="AT5" s="6">
        <v>1.3705373669085e-24</v>
      </c>
      <c r="AU5" s="6">
        <v>-3.0725575371899e-24</v>
      </c>
      <c r="AV5" s="6">
        <v>-1.6703223708676e-24</v>
      </c>
      <c r="AW5" s="6">
        <v>-1.4150677216154e-25</v>
      </c>
      <c r="AX5" s="6">
        <v>4.689536509525e-24</v>
      </c>
      <c r="AY5" s="6">
        <v>5.4149068236712e-25</v>
      </c>
      <c r="AZ5" s="6">
        <v>-3.932845017102e-24</v>
      </c>
      <c r="BA5" s="6">
        <v>2.8757278637226e-24</v>
      </c>
      <c r="BB5" s="6">
        <v>-1.064605797769e-23</v>
      </c>
      <c r="BC5" s="4">
        <v>15999999.96957</v>
      </c>
      <c r="BD5" s="4">
        <v>3999999.9937472</v>
      </c>
      <c r="BE5" s="6">
        <v>-3.1845350683316e-5</v>
      </c>
      <c r="BF5" s="6">
        <v>6.6820706758933e-5</v>
      </c>
      <c r="BG5" s="6">
        <v>1.896454929609e-5</v>
      </c>
      <c r="BH5" s="6">
        <v>-1.2826129328086e-5</v>
      </c>
      <c r="BI5" s="4">
        <v>15.898671236354</v>
      </c>
      <c r="BJ5" s="4">
        <v>7.9494436874107</v>
      </c>
      <c r="BK5" s="4">
        <v>14.63299783445</v>
      </c>
      <c r="BL5" s="4"/>
      <c r="BM5" s="7"/>
    </row>
    <row r="6" spans="1:65">
      <c r="A6" s="4">
        <v>397.16411736214</v>
      </c>
      <c r="B6" s="6">
        <v>2.7634144579664e-9</v>
      </c>
      <c r="C6" s="6">
        <f t="shared" si="0"/>
        <v>5.18107822492216e-7</v>
      </c>
      <c r="D6" s="6">
        <v>6.3093010865068e-13</v>
      </c>
      <c r="E6" s="6">
        <v>7.6562698248701e-13</v>
      </c>
      <c r="F6" s="6">
        <v>7.65626982487e-13</v>
      </c>
      <c r="G6" s="6">
        <v>7.6562698248694e-13</v>
      </c>
      <c r="H6" s="6">
        <v>6.3093010865056e-13</v>
      </c>
      <c r="I6" s="6">
        <v>6.309301086506e-13</v>
      </c>
      <c r="J6" s="6">
        <v>6.3093010865058e-13</v>
      </c>
      <c r="K6" s="6">
        <v>6.6735618408632e-13</v>
      </c>
      <c r="L6" s="6">
        <v>6.6735618408639e-13</v>
      </c>
      <c r="M6" s="6">
        <v>6.6735618408628e-13</v>
      </c>
      <c r="N6" s="6">
        <v>6.9789262420189e-13</v>
      </c>
      <c r="O6" s="6">
        <v>6.3093010865057e-13</v>
      </c>
      <c r="P6" s="6">
        <v>6.9789262420185e-13</v>
      </c>
      <c r="Q6" s="6">
        <v>6.9789262420211e-13</v>
      </c>
      <c r="R6" s="6">
        <v>7.6562698248694e-13</v>
      </c>
      <c r="S6" s="6">
        <v>7.656269824869e-13</v>
      </c>
      <c r="T6" s="6">
        <v>7.6562698248694e-13</v>
      </c>
      <c r="U6" s="6">
        <v>6.3093010865058e-13</v>
      </c>
      <c r="V6" s="6">
        <v>6.6735618408635e-13</v>
      </c>
      <c r="W6" s="6">
        <v>6.6735618408642e-13</v>
      </c>
      <c r="X6" s="6">
        <v>6.6735618408632e-13</v>
      </c>
      <c r="Y6" s="6">
        <v>6.9789262420187e-13</v>
      </c>
      <c r="Z6" s="6">
        <v>6.9789262420209e-13</v>
      </c>
      <c r="AA6" s="6">
        <v>6.9789262420217e-13</v>
      </c>
      <c r="AB6" s="4">
        <v>0.99999838676055</v>
      </c>
      <c r="AC6" s="4">
        <v>0.99999445836162</v>
      </c>
      <c r="AD6" s="4">
        <v>0.00024624852001105</v>
      </c>
      <c r="AE6" s="6">
        <v>-6.0226065827052e-19</v>
      </c>
      <c r="AF6" s="6">
        <v>3.3620206545426e-18</v>
      </c>
      <c r="AG6" s="6">
        <v>2.6516034954081e-18</v>
      </c>
      <c r="AH6" s="6">
        <v>2.9516364711432e-19</v>
      </c>
      <c r="AI6" s="6">
        <v>-9.1143535909612e-20</v>
      </c>
      <c r="AJ6" s="6">
        <v>7.5898924921175e-19</v>
      </c>
      <c r="AK6" s="6">
        <v>1.2494588736855e-19</v>
      </c>
      <c r="AL6" s="6">
        <v>7.7311417459742e-19</v>
      </c>
      <c r="AM6" s="6">
        <v>1.49372433285e-20</v>
      </c>
      <c r="AN6" s="6">
        <v>-6.1672394816662e-20</v>
      </c>
      <c r="AO6" s="6">
        <v>9.5448361195905e-19</v>
      </c>
      <c r="AP6" s="6">
        <v>-1.3640688047796e-20</v>
      </c>
      <c r="AQ6" s="6">
        <v>4.6607529816846e-19</v>
      </c>
      <c r="AR6" s="6">
        <v>-4.0970679513706e-18</v>
      </c>
      <c r="AS6" s="6">
        <v>-4.3623233449178e-19</v>
      </c>
      <c r="AT6" s="6">
        <v>3.2957662746726e-19</v>
      </c>
      <c r="AU6" s="6">
        <v>-9.1245623812731e-19</v>
      </c>
      <c r="AV6" s="6">
        <v>-6.4334180874713e-19</v>
      </c>
      <c r="AW6" s="6">
        <v>-2.7626207037226e-19</v>
      </c>
      <c r="AX6" s="6">
        <v>2.5806594725553e-18</v>
      </c>
      <c r="AY6" s="6">
        <v>4.8819228629291e-19</v>
      </c>
      <c r="AZ6" s="6">
        <v>-1.7585287575008e-18</v>
      </c>
      <c r="BA6" s="6">
        <v>2.3335152604835e-18</v>
      </c>
      <c r="BB6" s="6">
        <v>-7.2590218958448e-18</v>
      </c>
      <c r="BC6" s="4">
        <v>15999998.555001</v>
      </c>
      <c r="BD6" s="4">
        <v>3999999.5692752</v>
      </c>
      <c r="BE6" s="4">
        <v>-0.00012024338149368</v>
      </c>
      <c r="BF6" s="4">
        <v>0.00025201715917562</v>
      </c>
      <c r="BG6" s="6">
        <v>7.164620641571e-5</v>
      </c>
      <c r="BH6" s="4">
        <v>-0.00018197567926544</v>
      </c>
      <c r="BI6" s="4">
        <v>60.044438572769</v>
      </c>
      <c r="BJ6" s="4">
        <v>30.023754380914</v>
      </c>
      <c r="BK6" s="4">
        <v>55.259486703313</v>
      </c>
      <c r="BL6" s="4"/>
      <c r="BM6" s="7"/>
    </row>
    <row r="7" spans="1:65">
      <c r="A7" s="4">
        <v>3971.6411736214</v>
      </c>
      <c r="B7" s="6">
        <v>3.4440046951442e-8</v>
      </c>
      <c r="C7" s="6">
        <f t="shared" si="0"/>
        <v>9.60880586150323e-12</v>
      </c>
      <c r="D7" s="6">
        <v>6.3093011320647e-13</v>
      </c>
      <c r="E7" s="6">
        <v>7.6562335187817e-13</v>
      </c>
      <c r="F7" s="6">
        <v>7.6562335187793e-13</v>
      </c>
      <c r="G7" s="6">
        <v>7.656233518768e-13</v>
      </c>
      <c r="H7" s="6">
        <v>6.3093011320437e-13</v>
      </c>
      <c r="I7" s="6">
        <v>6.3093011320513e-13</v>
      </c>
      <c r="J7" s="6">
        <v>6.3093011320471e-13</v>
      </c>
      <c r="K7" s="6">
        <v>6.6735510702477e-13</v>
      </c>
      <c r="L7" s="6">
        <v>6.6735510702607e-13</v>
      </c>
      <c r="M7" s="6">
        <v>6.6735510702415e-13</v>
      </c>
      <c r="N7" s="6">
        <v>6.9788975731789e-13</v>
      </c>
      <c r="O7" s="6">
        <v>6.3093011320441e-13</v>
      </c>
      <c r="P7" s="6">
        <v>6.9788975731717e-13</v>
      </c>
      <c r="Q7" s="6">
        <v>6.97889757322e-13</v>
      </c>
      <c r="R7" s="6">
        <v>7.6562335187688e-13</v>
      </c>
      <c r="S7" s="6">
        <v>7.6562335187618e-13</v>
      </c>
      <c r="T7" s="6">
        <v>7.6562335187683e-13</v>
      </c>
      <c r="U7" s="6">
        <v>6.309301132046e-13</v>
      </c>
      <c r="V7" s="6">
        <v>6.6735510702537e-13</v>
      </c>
      <c r="W7" s="6">
        <v>6.6735510702665e-13</v>
      </c>
      <c r="X7" s="6">
        <v>6.6735510702493e-13</v>
      </c>
      <c r="Y7" s="6">
        <v>6.9788975731751e-13</v>
      </c>
      <c r="Z7" s="6">
        <v>6.9788975732153e-13</v>
      </c>
      <c r="AA7" s="6">
        <v>6.9788975732298e-13</v>
      </c>
      <c r="AB7" s="4">
        <v>0.99999838672054</v>
      </c>
      <c r="AC7" s="4">
        <v>0.99999445816193</v>
      </c>
      <c r="AD7" s="4">
        <v>0.00024627470122781</v>
      </c>
      <c r="AE7" s="6">
        <v>-6.0232876972294e-19</v>
      </c>
      <c r="AF7" s="6">
        <v>3.3616236436771e-18</v>
      </c>
      <c r="AG7" s="6">
        <v>2.651410492573e-18</v>
      </c>
      <c r="AH7" s="6">
        <v>2.9523572281794e-19</v>
      </c>
      <c r="AI7" s="6">
        <v>-9.1159699525269e-20</v>
      </c>
      <c r="AJ7" s="6">
        <v>7.5898797213135e-19</v>
      </c>
      <c r="AK7" s="6">
        <v>1.2494538772503e-19</v>
      </c>
      <c r="AL7" s="6">
        <v>7.7308579586785e-19</v>
      </c>
      <c r="AM7" s="6">
        <v>1.5300079142289e-20</v>
      </c>
      <c r="AN7" s="6">
        <v>-6.1673409251236e-20</v>
      </c>
      <c r="AO7" s="6">
        <v>9.5443303932354e-19</v>
      </c>
      <c r="AP7" s="6">
        <v>-1.3618424606561e-20</v>
      </c>
      <c r="AQ7" s="6">
        <v>4.6610825239309e-19</v>
      </c>
      <c r="AR7" s="6">
        <v>-4.0970531565144e-18</v>
      </c>
      <c r="AS7" s="6">
        <v>-4.361316128272e-19</v>
      </c>
      <c r="AT7" s="6">
        <v>3.2952092576503e-19</v>
      </c>
      <c r="AU7" s="6">
        <v>-9.1234512689477e-19</v>
      </c>
      <c r="AV7" s="6">
        <v>-6.433556433062e-19</v>
      </c>
      <c r="AW7" s="6">
        <v>-2.7622039314609e-19</v>
      </c>
      <c r="AX7" s="6">
        <v>2.5803728984437e-18</v>
      </c>
      <c r="AY7" s="6">
        <v>4.881498216514e-19</v>
      </c>
      <c r="AZ7" s="6">
        <v>-1.7583133038451e-18</v>
      </c>
      <c r="BA7" s="6">
        <v>2.3335146250701e-18</v>
      </c>
      <c r="BB7" s="6">
        <v>-7.2590565344326e-18</v>
      </c>
      <c r="BC7" s="4">
        <v>15999982.48177</v>
      </c>
      <c r="BD7" s="4">
        <v>3999994.633295</v>
      </c>
      <c r="BE7" s="4">
        <v>-0.00012023780832369</v>
      </c>
      <c r="BF7" s="4">
        <v>0.00025205150563171</v>
      </c>
      <c r="BG7" s="6">
        <v>7.1665506252468e-5</v>
      </c>
      <c r="BH7" s="4">
        <v>-0.0001820200778475</v>
      </c>
      <c r="BI7" s="4">
        <v>60.044438300689</v>
      </c>
      <c r="BJ7" s="4">
        <v>30.02375440624</v>
      </c>
      <c r="BK7" s="4">
        <v>55.259093266633</v>
      </c>
      <c r="BL7" s="4"/>
      <c r="BM7" s="7"/>
    </row>
    <row r="8" spans="1:65">
      <c r="A8" s="4">
        <v>39716.411736214</v>
      </c>
      <c r="B8" s="6">
        <v>3.511965938334e-7</v>
      </c>
      <c r="C8" s="6">
        <f t="shared" si="0"/>
        <v>9.60862124988546e-12</v>
      </c>
      <c r="D8" s="6">
        <v>6.3092793770166e-13</v>
      </c>
      <c r="E8" s="6">
        <v>7.6558400638731e-13</v>
      </c>
      <c r="F8" s="6">
        <v>7.6558400638488e-13</v>
      </c>
      <c r="G8" s="6">
        <v>7.6558400637301e-13</v>
      </c>
      <c r="H8" s="6">
        <v>6.3092793767971e-13</v>
      </c>
      <c r="I8" s="6">
        <v>6.3092793768771e-13</v>
      </c>
      <c r="J8" s="6">
        <v>6.3092793768328e-13</v>
      </c>
      <c r="K8" s="6">
        <v>6.6734204478859e-13</v>
      </c>
      <c r="L8" s="6">
        <v>6.673420448022e-13</v>
      </c>
      <c r="M8" s="6">
        <v>6.6734204478206e-13</v>
      </c>
      <c r="N8" s="6">
        <v>6.97857923883e-13</v>
      </c>
      <c r="O8" s="6">
        <v>6.3092793768018e-13</v>
      </c>
      <c r="P8" s="6">
        <v>6.9785792387541e-13</v>
      </c>
      <c r="Q8" s="6">
        <v>6.9785792392595e-13</v>
      </c>
      <c r="R8" s="6">
        <v>7.6558400637391e-13</v>
      </c>
      <c r="S8" s="6">
        <v>7.6558400636658e-13</v>
      </c>
      <c r="T8" s="6">
        <v>7.6558400637331e-13</v>
      </c>
      <c r="U8" s="6">
        <v>6.3092793768218e-13</v>
      </c>
      <c r="V8" s="6">
        <v>6.6734204479481e-13</v>
      </c>
      <c r="W8" s="6">
        <v>6.6734204480828e-13</v>
      </c>
      <c r="X8" s="6">
        <v>6.6734204479026e-13</v>
      </c>
      <c r="Y8" s="6">
        <v>6.9785792387904e-13</v>
      </c>
      <c r="Z8" s="6">
        <v>6.9785792392108e-13</v>
      </c>
      <c r="AA8" s="6">
        <v>6.9785792393622e-13</v>
      </c>
      <c r="AB8" s="4">
        <v>0.99999838640923</v>
      </c>
      <c r="AC8" s="4">
        <v>0.99999445648118</v>
      </c>
      <c r="AD8" s="4">
        <v>0.00024653658372114</v>
      </c>
      <c r="AE8" s="6">
        <v>-6.0298311199406e-19</v>
      </c>
      <c r="AF8" s="6">
        <v>3.3574562568061e-18</v>
      </c>
      <c r="AG8" s="6">
        <v>2.6493196708398e-18</v>
      </c>
      <c r="AH8" s="6">
        <v>2.9595613698488e-19</v>
      </c>
      <c r="AI8" s="6">
        <v>-9.1307994258091e-20</v>
      </c>
      <c r="AJ8" s="6">
        <v>7.5895629724574e-19</v>
      </c>
      <c r="AK8" s="6">
        <v>1.2495514681016e-19</v>
      </c>
      <c r="AL8" s="6">
        <v>7.7279541754562e-19</v>
      </c>
      <c r="AM8" s="6">
        <v>1.8953647565885e-20</v>
      </c>
      <c r="AN8" s="6">
        <v>-6.1652083962729e-20</v>
      </c>
      <c r="AO8" s="6">
        <v>9.5387616754544e-19</v>
      </c>
      <c r="AP8" s="6">
        <v>-1.3398614789292e-20</v>
      </c>
      <c r="AQ8" s="6">
        <v>4.6642626313523e-19</v>
      </c>
      <c r="AR8" s="6">
        <v>-4.0964022405312e-18</v>
      </c>
      <c r="AS8" s="6">
        <v>-4.3507653829521e-19</v>
      </c>
      <c r="AT8" s="6">
        <v>3.28957292336e-19</v>
      </c>
      <c r="AU8" s="6">
        <v>-9.1115371312012e-19</v>
      </c>
      <c r="AV8" s="6">
        <v>-6.4346620230209e-19</v>
      </c>
      <c r="AW8" s="6">
        <v>-2.7578332500297e-19</v>
      </c>
      <c r="AX8" s="6">
        <v>2.5773914868647e-18</v>
      </c>
      <c r="AY8" s="6">
        <v>4.8771569127388e-19</v>
      </c>
      <c r="AZ8" s="6">
        <v>-1.7560712370744e-18</v>
      </c>
      <c r="BA8" s="6">
        <v>2.3332291437655e-18</v>
      </c>
      <c r="BB8" s="6">
        <v>-7.258871412813e-18</v>
      </c>
      <c r="BC8" s="4">
        <v>15999821.752103</v>
      </c>
      <c r="BD8" s="4">
        <v>3999945.2748731</v>
      </c>
      <c r="BE8" s="4">
        <v>-0.00012018206697124</v>
      </c>
      <c r="BF8" s="4">
        <v>0.00025239496359371</v>
      </c>
      <c r="BG8" s="6">
        <v>7.18584989699e-5</v>
      </c>
      <c r="BH8" s="4">
        <v>-0.0001819154461044</v>
      </c>
      <c r="BI8" s="4">
        <v>60.04443808381</v>
      </c>
      <c r="BJ8" s="4">
        <v>30.023754928033</v>
      </c>
      <c r="BK8" s="4">
        <v>55.25516294677</v>
      </c>
      <c r="BL8" s="4"/>
      <c r="BM8" s="7"/>
    </row>
    <row r="9" spans="1:65">
      <c r="A9" s="4">
        <v>397164.11736214</v>
      </c>
      <c r="B9" s="6">
        <v>3.5177856441388e-6</v>
      </c>
      <c r="C9" s="6">
        <f t="shared" si="0"/>
        <v>9.60287512622113e-12</v>
      </c>
      <c r="D9" s="6">
        <v>6.3090577727317e-13</v>
      </c>
      <c r="E9" s="6">
        <v>7.6519138644501e-13</v>
      </c>
      <c r="F9" s="6">
        <v>7.65191386421e-13</v>
      </c>
      <c r="G9" s="6">
        <v>7.6519138630312e-13</v>
      </c>
      <c r="H9" s="6">
        <v>6.3090577705333e-13</v>
      </c>
      <c r="I9" s="6">
        <v>6.309057771332e-13</v>
      </c>
      <c r="J9" s="6">
        <v>6.3090577708915e-13</v>
      </c>
      <c r="K9" s="6">
        <v>6.6721125612569e-13</v>
      </c>
      <c r="L9" s="6">
        <v>6.672112562625e-13</v>
      </c>
      <c r="M9" s="6">
        <v>6.6721125605981e-13</v>
      </c>
      <c r="N9" s="6">
        <v>6.9754043126099e-13</v>
      </c>
      <c r="O9" s="6">
        <v>6.3090577705794e-13</v>
      </c>
      <c r="P9" s="6">
        <v>6.9754043118473e-13</v>
      </c>
      <c r="Q9" s="6">
        <v>6.9754043169354e-13</v>
      </c>
      <c r="R9" s="6">
        <v>7.6519138631128e-13</v>
      </c>
      <c r="S9" s="6">
        <v>7.6519138623816e-13</v>
      </c>
      <c r="T9" s="6">
        <v>7.6519138630566e-13</v>
      </c>
      <c r="U9" s="6">
        <v>6.309057770782e-13</v>
      </c>
      <c r="V9" s="6">
        <v>6.6721125618673e-13</v>
      </c>
      <c r="W9" s="6">
        <v>6.6721125632324e-13</v>
      </c>
      <c r="X9" s="6">
        <v>6.6721125614292e-13</v>
      </c>
      <c r="Y9" s="6">
        <v>6.9754043122046e-13</v>
      </c>
      <c r="Z9" s="6">
        <v>6.975404316434e-13</v>
      </c>
      <c r="AA9" s="6">
        <v>6.9754043179723e-13</v>
      </c>
      <c r="AB9" s="4">
        <v>0.99999838324783</v>
      </c>
      <c r="AC9" s="4">
        <v>0.99999443958352</v>
      </c>
      <c r="AD9" s="4">
        <v>0.00024916116709179</v>
      </c>
      <c r="AE9" s="6">
        <v>-6.0954222971972e-19</v>
      </c>
      <c r="AF9" s="6">
        <v>3.3160051796127e-18</v>
      </c>
      <c r="AG9" s="6">
        <v>2.6285435006944e-18</v>
      </c>
      <c r="AH9" s="6">
        <v>3.0318163708557e-19</v>
      </c>
      <c r="AI9" s="6">
        <v>-9.2789676493476e-20</v>
      </c>
      <c r="AJ9" s="6">
        <v>7.5860056570689e-19</v>
      </c>
      <c r="AK9" s="6">
        <v>1.2503410752828e-19</v>
      </c>
      <c r="AL9" s="6">
        <v>7.6992815820585e-19</v>
      </c>
      <c r="AM9" s="6">
        <v>5.5672233283808e-20</v>
      </c>
      <c r="AN9" s="6">
        <v>-6.1456855716116e-20</v>
      </c>
      <c r="AO9" s="6">
        <v>9.4834359186674e-19</v>
      </c>
      <c r="AP9" s="6">
        <v>-1.1212929041513e-20</v>
      </c>
      <c r="AQ9" s="6">
        <v>4.695464488016e-19</v>
      </c>
      <c r="AR9" s="6">
        <v>-4.0896583020474e-18</v>
      </c>
      <c r="AS9" s="6">
        <v>-4.2456600773716e-19</v>
      </c>
      <c r="AT9" s="6">
        <v>3.2334106015259e-19</v>
      </c>
      <c r="AU9" s="6">
        <v>-8.992705489898e-19</v>
      </c>
      <c r="AV9" s="6">
        <v>-6.4458958288689e-19</v>
      </c>
      <c r="AW9" s="6">
        <v>-2.7136540513061e-19</v>
      </c>
      <c r="AX9" s="6">
        <v>2.5475465353618e-18</v>
      </c>
      <c r="AY9" s="6">
        <v>4.8328839829648e-19</v>
      </c>
      <c r="AZ9" s="6">
        <v>-1.7337847596301e-18</v>
      </c>
      <c r="BA9" s="6">
        <v>2.3302673675961e-18</v>
      </c>
      <c r="BB9" s="6">
        <v>-7.2566257319385e-18</v>
      </c>
      <c r="BC9" s="4">
        <v>15998214.719532</v>
      </c>
      <c r="BD9" s="4">
        <v>3999451.8285052</v>
      </c>
      <c r="BE9" s="4">
        <v>-0.00011962346988393</v>
      </c>
      <c r="BF9" s="4">
        <v>0.00025582748927499</v>
      </c>
      <c r="BG9" s="6">
        <v>7.3788157377239e-5</v>
      </c>
      <c r="BH9" s="4">
        <v>-0.00018096556656698</v>
      </c>
      <c r="BI9" s="4">
        <v>60.044435863315</v>
      </c>
      <c r="BJ9" s="4">
        <v>30.023760016251</v>
      </c>
      <c r="BK9" s="4">
        <v>55.216075159928</v>
      </c>
      <c r="BL9" s="4"/>
      <c r="BM9" s="7"/>
    </row>
    <row r="10" spans="1:65">
      <c r="A10" s="4">
        <v>44562.546906687</v>
      </c>
      <c r="B10" s="6">
        <v>3.9413947487801e-7</v>
      </c>
      <c r="C10" s="6">
        <f t="shared" si="0"/>
        <v>9.60283202853114e-12</v>
      </c>
      <c r="D10" s="6">
        <v>6.309269487739e-13</v>
      </c>
      <c r="E10" s="6">
        <v>7.6556665083359e-13</v>
      </c>
      <c r="F10" s="6">
        <v>7.655666508302e-13</v>
      </c>
      <c r="G10" s="6">
        <v>7.6556665081361e-13</v>
      </c>
      <c r="H10" s="6">
        <v>6.3092694874321e-13</v>
      </c>
      <c r="I10" s="6">
        <v>6.3092694875439e-13</v>
      </c>
      <c r="J10" s="6">
        <v>6.309269487482e-13</v>
      </c>
      <c r="K10" s="6">
        <v>6.6733626134063e-13</v>
      </c>
      <c r="L10" s="6">
        <v>6.6733626135965e-13</v>
      </c>
      <c r="M10" s="6">
        <v>6.673362613315e-13</v>
      </c>
      <c r="N10" s="6">
        <v>6.9784387322779e-13</v>
      </c>
      <c r="O10" s="6">
        <v>6.3092694874386e-13</v>
      </c>
      <c r="P10" s="6">
        <v>6.9784387321718e-13</v>
      </c>
      <c r="Q10" s="6">
        <v>6.9784387328785e-13</v>
      </c>
      <c r="R10" s="6">
        <v>7.6556665081486e-13</v>
      </c>
      <c r="S10" s="6">
        <v>7.6556665080462e-13</v>
      </c>
      <c r="T10" s="6">
        <v>7.6556665081403e-13</v>
      </c>
      <c r="U10" s="6">
        <v>6.3092694874666e-13</v>
      </c>
      <c r="V10" s="6">
        <v>6.6733626134931e-13</v>
      </c>
      <c r="W10" s="6">
        <v>6.6733626136816e-13</v>
      </c>
      <c r="X10" s="6">
        <v>6.6733626134296e-13</v>
      </c>
      <c r="Y10" s="6">
        <v>6.9784387322225e-13</v>
      </c>
      <c r="Z10" s="6">
        <v>6.9784387328103e-13</v>
      </c>
      <c r="AA10" s="6">
        <v>6.9784387330222e-13</v>
      </c>
      <c r="AB10" s="4">
        <v>0.99999838627222</v>
      </c>
      <c r="AC10" s="4">
        <v>0.9999944557419</v>
      </c>
      <c r="AD10" s="4">
        <v>0.00024657208863861</v>
      </c>
      <c r="AE10" s="6">
        <v>-6.0327126282338e-19</v>
      </c>
      <c r="AF10" s="6">
        <v>3.3556208255795e-18</v>
      </c>
      <c r="AG10" s="6">
        <v>2.6483989610051e-18</v>
      </c>
      <c r="AH10" s="6">
        <v>2.9627348889605e-19</v>
      </c>
      <c r="AI10" s="6">
        <v>-9.1373225904007e-20</v>
      </c>
      <c r="AJ10" s="6">
        <v>7.5894208165571e-19</v>
      </c>
      <c r="AK10" s="6">
        <v>1.2495953565564e-19</v>
      </c>
      <c r="AL10" s="6">
        <v>7.7266773190239e-19</v>
      </c>
      <c r="AM10" s="6">
        <v>2.0563707268764e-20</v>
      </c>
      <c r="AN10" s="6">
        <v>-6.1642559262446e-20</v>
      </c>
      <c r="AO10" s="6">
        <v>9.5363089415876e-19</v>
      </c>
      <c r="AP10" s="6">
        <v>-1.3301942881943e-20</v>
      </c>
      <c r="AQ10" s="6">
        <v>4.6656596965545e-19</v>
      </c>
      <c r="AR10" s="6">
        <v>-4.0961111195063e-18</v>
      </c>
      <c r="AS10" s="6">
        <v>-4.3461168514458e-19</v>
      </c>
      <c r="AT10" s="6">
        <v>3.2870914566051e-19</v>
      </c>
      <c r="AU10" s="6">
        <v>-9.1062887618932e-19</v>
      </c>
      <c r="AV10" s="6">
        <v>-6.4351485656692e-19</v>
      </c>
      <c r="AW10" s="6">
        <v>-2.7559044021176e-19</v>
      </c>
      <c r="AX10" s="6">
        <v>2.576077845646e-18</v>
      </c>
      <c r="AY10" s="6">
        <v>4.8752402436699e-19</v>
      </c>
      <c r="AZ10" s="6">
        <v>-1.7550839768939e-18</v>
      </c>
      <c r="BA10" s="6">
        <v>2.3331016669165e-18</v>
      </c>
      <c r="BB10" s="6">
        <v>-7.2587845565625e-18</v>
      </c>
      <c r="BC10" s="4">
        <v>15999799.961471</v>
      </c>
      <c r="BD10" s="4">
        <v>3999938.5832954</v>
      </c>
      <c r="BE10" s="4">
        <v>-0.00012017450874839</v>
      </c>
      <c r="BF10" s="4">
        <v>0.00025244151562091</v>
      </c>
      <c r="BG10" s="6">
        <v>7.1884664000216e-5</v>
      </c>
      <c r="BH10" s="4">
        <v>-0.00018190079749479</v>
      </c>
      <c r="BI10" s="4">
        <v>60.044438055633</v>
      </c>
      <c r="BJ10" s="4">
        <v>30.023754998935</v>
      </c>
      <c r="BK10" s="4">
        <v>55.254629515197</v>
      </c>
      <c r="BL10" s="4"/>
      <c r="BM10" s="7"/>
    </row>
    <row r="11" spans="1:65">
      <c r="A11" s="4">
        <v>50000</v>
      </c>
      <c r="B11" s="6">
        <v>4.4232174188355e-7</v>
      </c>
      <c r="C11" s="6">
        <f t="shared" si="0"/>
        <v>9.60750321032707e-12</v>
      </c>
      <c r="D11" s="6">
        <v>6.3092653163767e-13</v>
      </c>
      <c r="E11" s="6">
        <v>7.6555920160453e-13</v>
      </c>
      <c r="F11" s="6">
        <v>7.6555920160073e-13</v>
      </c>
      <c r="G11" s="6">
        <v>7.6555920158211e-13</v>
      </c>
      <c r="H11" s="6">
        <v>6.3092653160322e-13</v>
      </c>
      <c r="I11" s="6">
        <v>6.3092653161576e-13</v>
      </c>
      <c r="J11" s="6">
        <v>6.3092653160882e-13</v>
      </c>
      <c r="K11" s="6">
        <v>6.673337840507e-13</v>
      </c>
      <c r="L11" s="6">
        <v>6.6733378407205e-13</v>
      </c>
      <c r="M11" s="6">
        <v>6.6733378404045e-13</v>
      </c>
      <c r="N11" s="6">
        <v>6.9783784576168e-13</v>
      </c>
      <c r="O11" s="6">
        <v>6.3092653160395e-13</v>
      </c>
      <c r="P11" s="6">
        <v>6.9783784574977e-13</v>
      </c>
      <c r="Q11" s="6">
        <v>6.9783784582911e-13</v>
      </c>
      <c r="R11" s="6">
        <v>7.6555920158352e-13</v>
      </c>
      <c r="S11" s="6">
        <v>7.6555920157202e-13</v>
      </c>
      <c r="T11" s="6">
        <v>7.6555920158258e-13</v>
      </c>
      <c r="U11" s="6">
        <v>6.3092653160709e-13</v>
      </c>
      <c r="V11" s="6">
        <v>6.6733378406044e-13</v>
      </c>
      <c r="W11" s="6">
        <v>6.673337840816e-13</v>
      </c>
      <c r="X11" s="6">
        <v>6.6733378405332e-13</v>
      </c>
      <c r="Y11" s="6">
        <v>6.9783784575546e-13</v>
      </c>
      <c r="Z11" s="6">
        <v>6.9783784582144e-13</v>
      </c>
      <c r="AA11" s="6">
        <v>6.9783784584523e-13</v>
      </c>
      <c r="AB11" s="4">
        <v>0.9999983862132</v>
      </c>
      <c r="AC11" s="4">
        <v>0.99999445542371</v>
      </c>
      <c r="AD11" s="4">
        <v>0.00024661193526191</v>
      </c>
      <c r="AE11" s="6">
        <v>-6.0339515238077e-19</v>
      </c>
      <c r="AF11" s="6">
        <v>3.3548324589112e-18</v>
      </c>
      <c r="AG11" s="6">
        <v>2.6480035234893e-18</v>
      </c>
      <c r="AH11" s="6">
        <v>2.9640993048237e-19</v>
      </c>
      <c r="AI11" s="6">
        <v>-9.1401289404541e-20</v>
      </c>
      <c r="AJ11" s="6">
        <v>7.5893591331941e-19</v>
      </c>
      <c r="AK11" s="6">
        <v>1.2496134380515e-19</v>
      </c>
      <c r="AL11" s="6">
        <v>7.7261288226847e-19</v>
      </c>
      <c r="AM11" s="6">
        <v>2.12559531692e-20</v>
      </c>
      <c r="AN11" s="6">
        <v>-6.1638557140744e-20</v>
      </c>
      <c r="AO11" s="6">
        <v>9.5352555705629e-19</v>
      </c>
      <c r="AP11" s="6">
        <v>-1.3260393227593e-20</v>
      </c>
      <c r="AQ11" s="6">
        <v>4.6662594949327e-19</v>
      </c>
      <c r="AR11" s="6">
        <v>-4.0959865693258e-18</v>
      </c>
      <c r="AS11" s="6">
        <v>-4.3441201862675e-19</v>
      </c>
      <c r="AT11" s="6">
        <v>3.2860250788221e-19</v>
      </c>
      <c r="AU11" s="6">
        <v>-9.104034028442e-19</v>
      </c>
      <c r="AV11" s="6">
        <v>-6.4353584206588e-19</v>
      </c>
      <c r="AW11" s="6">
        <v>-2.7550749406699e-19</v>
      </c>
      <c r="AX11" s="6">
        <v>2.5755133132639e-18</v>
      </c>
      <c r="AY11" s="6">
        <v>4.874415317857e-19</v>
      </c>
      <c r="AZ11" s="6">
        <v>-1.7546599127422e-18</v>
      </c>
      <c r="BA11" s="6">
        <v>2.3330470367682e-18</v>
      </c>
      <c r="BB11" s="6">
        <v>-7.2587475745424e-18</v>
      </c>
      <c r="BC11" s="4">
        <v>15999775.512099</v>
      </c>
      <c r="BD11" s="4">
        <v>3999931.0752834</v>
      </c>
      <c r="BE11" s="4">
        <v>-0.00012016602669537</v>
      </c>
      <c r="BF11" s="4">
        <v>0.00025249375596896</v>
      </c>
      <c r="BG11" s="6">
        <v>7.1914021215365e-5</v>
      </c>
      <c r="BH11" s="4">
        <v>-0.00018188480223325</v>
      </c>
      <c r="BI11" s="4">
        <v>60.04443802303</v>
      </c>
      <c r="BJ11" s="4">
        <v>30.023755078265</v>
      </c>
      <c r="BK11" s="4">
        <v>55.254031977147</v>
      </c>
      <c r="BL11" s="4"/>
      <c r="BM11" s="7"/>
    </row>
    <row r="12" spans="1:65">
      <c r="A12" s="4">
        <v>56100.922715098</v>
      </c>
      <c r="B12" s="6">
        <v>4.9638258350396e-7</v>
      </c>
      <c r="C12" s="6">
        <f t="shared" si="0"/>
        <v>9.60731341914945e-12</v>
      </c>
      <c r="D12" s="6">
        <v>6.3092606323423e-13</v>
      </c>
      <c r="E12" s="6">
        <v>7.655508441386e-13</v>
      </c>
      <c r="F12" s="6">
        <v>7.6555084413434e-13</v>
      </c>
      <c r="G12" s="6">
        <v>7.6555084411345e-13</v>
      </c>
      <c r="H12" s="6">
        <v>6.3092606319557e-13</v>
      </c>
      <c r="I12" s="6">
        <v>6.3092606320964e-13</v>
      </c>
      <c r="J12" s="6">
        <v>6.3092606320185e-13</v>
      </c>
      <c r="K12" s="6">
        <v>6.6733100432674e-13</v>
      </c>
      <c r="L12" s="6">
        <v>6.6733100435071e-13</v>
      </c>
      <c r="M12" s="6">
        <v>6.6733100431523e-13</v>
      </c>
      <c r="N12" s="6">
        <v>6.9783108354983e-13</v>
      </c>
      <c r="O12" s="6">
        <v>6.3092606319638e-13</v>
      </c>
      <c r="P12" s="6">
        <v>6.9783108353646e-13</v>
      </c>
      <c r="Q12" s="6">
        <v>6.9783108362551e-13</v>
      </c>
      <c r="R12" s="6">
        <v>7.6555084411502e-13</v>
      </c>
      <c r="S12" s="6">
        <v>7.6555084410212e-13</v>
      </c>
      <c r="T12" s="6">
        <v>7.6555084411397e-13</v>
      </c>
      <c r="U12" s="6">
        <v>6.3092606319991e-13</v>
      </c>
      <c r="V12" s="6">
        <v>6.6733100433766e-13</v>
      </c>
      <c r="W12" s="6">
        <v>6.6733100436141e-13</v>
      </c>
      <c r="X12" s="6">
        <v>6.6733100432968e-13</v>
      </c>
      <c r="Y12" s="6">
        <v>6.9783108354284e-13</v>
      </c>
      <c r="Z12" s="6">
        <v>6.978310836169e-13</v>
      </c>
      <c r="AA12" s="6">
        <v>6.9783108364361e-13</v>
      </c>
      <c r="AB12" s="4">
        <v>0.99999838614694</v>
      </c>
      <c r="AC12" s="4">
        <v>0.99999445506666</v>
      </c>
      <c r="AD12" s="4">
        <v>0.00024665664665611</v>
      </c>
      <c r="AE12" s="6">
        <v>-6.0353416683297e-19</v>
      </c>
      <c r="AF12" s="6">
        <v>3.3539480626281e-18</v>
      </c>
      <c r="AG12" s="6">
        <v>2.6475599369767e-18</v>
      </c>
      <c r="AH12" s="6">
        <v>2.9656303504476e-19</v>
      </c>
      <c r="AI12" s="6">
        <v>-9.1432776532772e-20</v>
      </c>
      <c r="AJ12" s="6">
        <v>7.5892895793303e-19</v>
      </c>
      <c r="AK12" s="6">
        <v>1.249633585474e-19</v>
      </c>
      <c r="AL12" s="6">
        <v>7.7255136749589e-19</v>
      </c>
      <c r="AM12" s="6">
        <v>2.2032797073253e-20</v>
      </c>
      <c r="AN12" s="6">
        <v>-6.1634080660106e-20</v>
      </c>
      <c r="AO12" s="6">
        <v>9.5340739292832e-19</v>
      </c>
      <c r="AP12" s="6">
        <v>-1.3213785109389e-20</v>
      </c>
      <c r="AQ12" s="6">
        <v>4.666931999488e-19</v>
      </c>
      <c r="AR12" s="6">
        <v>-4.095846623427e-18</v>
      </c>
      <c r="AS12" s="6">
        <v>-4.3418801763775e-19</v>
      </c>
      <c r="AT12" s="6">
        <v>3.2848287371847e-19</v>
      </c>
      <c r="AU12" s="6">
        <v>-9.1015044244458e-19</v>
      </c>
      <c r="AV12" s="6">
        <v>-6.4355940330843e-19</v>
      </c>
      <c r="AW12" s="6">
        <v>-2.7541438729693e-19</v>
      </c>
      <c r="AX12" s="6">
        <v>2.5748798817491e-18</v>
      </c>
      <c r="AY12" s="6">
        <v>4.8734890660894e-19</v>
      </c>
      <c r="AZ12" s="6">
        <v>-1.7541842071831e-18</v>
      </c>
      <c r="BA12" s="6">
        <v>2.3329856480307e-18</v>
      </c>
      <c r="BB12" s="6">
        <v>-7.2587057504658e-18</v>
      </c>
      <c r="BC12" s="4">
        <v>15999748.0796</v>
      </c>
      <c r="BD12" s="4">
        <v>3999922.651233</v>
      </c>
      <c r="BE12" s="4">
        <v>-0.00012015650900797</v>
      </c>
      <c r="BF12" s="4">
        <v>0.00025255236944563</v>
      </c>
      <c r="BG12" s="6">
        <v>7.1946960400963e-5</v>
      </c>
      <c r="BH12" s="4">
        <v>-0.00018186684771289</v>
      </c>
      <c r="BI12" s="4">
        <v>60.044437986508</v>
      </c>
      <c r="BJ12" s="4">
        <v>30.023755167264</v>
      </c>
      <c r="BK12" s="4">
        <v>55.253361639568</v>
      </c>
      <c r="BL12" s="4"/>
      <c r="BM12" s="7"/>
    </row>
    <row r="13" spans="1:65">
      <c r="A13" s="4">
        <v>62946.270589709</v>
      </c>
      <c r="B13" s="6">
        <v>5.5703915171041e-7</v>
      </c>
      <c r="C13" s="6">
        <f t="shared" si="0"/>
        <v>9.60710058928323e-12</v>
      </c>
      <c r="D13" s="6">
        <v>6.3092553721281e-13</v>
      </c>
      <c r="E13" s="6">
        <v>7.6554146779677e-13</v>
      </c>
      <c r="F13" s="6">
        <v>7.6554146779199e-13</v>
      </c>
      <c r="G13" s="6">
        <v>7.6554146776855e-13</v>
      </c>
      <c r="H13" s="6">
        <v>6.3092553716942e-13</v>
      </c>
      <c r="I13" s="6">
        <v>6.3092553718522e-13</v>
      </c>
      <c r="J13" s="6">
        <v>6.3092553717648e-13</v>
      </c>
      <c r="K13" s="6">
        <v>6.6732788522531e-13</v>
      </c>
      <c r="L13" s="6">
        <v>6.6732788525221e-13</v>
      </c>
      <c r="M13" s="6">
        <v>6.6732788521239e-13</v>
      </c>
      <c r="N13" s="6">
        <v>6.9782349712491e-13</v>
      </c>
      <c r="O13" s="6">
        <v>6.3092553717034e-13</v>
      </c>
      <c r="P13" s="6">
        <v>6.978234971099e-13</v>
      </c>
      <c r="Q13" s="6">
        <v>6.9782349720986e-13</v>
      </c>
      <c r="R13" s="6">
        <v>7.6554146777031e-13</v>
      </c>
      <c r="S13" s="6">
        <v>7.6554146775583e-13</v>
      </c>
      <c r="T13" s="6">
        <v>7.6554146776914e-13</v>
      </c>
      <c r="U13" s="6">
        <v>6.309255371743e-13</v>
      </c>
      <c r="V13" s="6">
        <v>6.6732788523756e-13</v>
      </c>
      <c r="W13" s="6">
        <v>6.6732788526422e-13</v>
      </c>
      <c r="X13" s="6">
        <v>6.6732788522861e-13</v>
      </c>
      <c r="Y13" s="6">
        <v>6.9782349711706e-13</v>
      </c>
      <c r="Z13" s="6">
        <v>6.9782349720019e-13</v>
      </c>
      <c r="AA13" s="6">
        <v>6.9782349723018e-13</v>
      </c>
      <c r="AB13" s="4">
        <v>0.99999838607257</v>
      </c>
      <c r="AC13" s="4">
        <v>0.99999445466597</v>
      </c>
      <c r="AD13" s="4">
        <v>0.00024670681712209</v>
      </c>
      <c r="AE13" s="6">
        <v>-6.0369015368615e-19</v>
      </c>
      <c r="AF13" s="6">
        <v>3.352955962191e-18</v>
      </c>
      <c r="AG13" s="6">
        <v>2.6470623526561e-18</v>
      </c>
      <c r="AH13" s="6">
        <v>2.9673483954622e-19</v>
      </c>
      <c r="AI13" s="6">
        <v>-9.1468104882272e-20</v>
      </c>
      <c r="AJ13" s="6">
        <v>7.5892111053514e-19</v>
      </c>
      <c r="AK13" s="6">
        <v>1.2496560146493e-19</v>
      </c>
      <c r="AL13" s="6">
        <v>7.724823814075e-19</v>
      </c>
      <c r="AM13" s="6">
        <v>2.2904595498279e-20</v>
      </c>
      <c r="AN13" s="6">
        <v>-6.162907554154e-20</v>
      </c>
      <c r="AO13" s="6">
        <v>9.5327484335219e-19</v>
      </c>
      <c r="AP13" s="6">
        <v>-1.3161504248441e-20</v>
      </c>
      <c r="AQ13" s="6">
        <v>4.6676859574273e-19</v>
      </c>
      <c r="AR13" s="6">
        <v>-4.0956893519245e-18</v>
      </c>
      <c r="AS13" s="6">
        <v>-4.3393672030805e-19</v>
      </c>
      <c r="AT13" s="6">
        <v>3.2834866135104e-19</v>
      </c>
      <c r="AU13" s="6">
        <v>-9.0986664746911e-19</v>
      </c>
      <c r="AV13" s="6">
        <v>-6.4358585850025e-19</v>
      </c>
      <c r="AW13" s="6">
        <v>-2.7530986990631e-19</v>
      </c>
      <c r="AX13" s="6">
        <v>2.5741691398617e-18</v>
      </c>
      <c r="AY13" s="6">
        <v>4.8724489510651e-19</v>
      </c>
      <c r="AZ13" s="6">
        <v>-1.7536505854686e-18</v>
      </c>
      <c r="BA13" s="6">
        <v>2.3329166520777e-18</v>
      </c>
      <c r="BB13" s="6">
        <v>-7.2586584081845e-18</v>
      </c>
      <c r="BC13" s="4">
        <v>15999717.300018</v>
      </c>
      <c r="BD13" s="4">
        <v>3999913.1993908</v>
      </c>
      <c r="BE13" s="4">
        <v>-0.00012014582914715</v>
      </c>
      <c r="BF13" s="4">
        <v>0.00025261813339123</v>
      </c>
      <c r="BG13" s="6">
        <v>7.1983918584223e-5</v>
      </c>
      <c r="BH13" s="4">
        <v>-0.00018184669476078</v>
      </c>
      <c r="BI13" s="4">
        <v>60.044437945607</v>
      </c>
      <c r="BJ13" s="4">
        <v>30.023755267103</v>
      </c>
      <c r="BK13" s="4">
        <v>55.252609648329</v>
      </c>
      <c r="BL13" s="4"/>
      <c r="BM13" s="7"/>
    </row>
    <row r="14" spans="1:65">
      <c r="A14" s="4">
        <v>70626.877231138</v>
      </c>
      <c r="B14" s="6">
        <v>6.2509606751126e-7</v>
      </c>
      <c r="C14" s="6">
        <f t="shared" si="0"/>
        <v>9.60686191921061e-12</v>
      </c>
      <c r="D14" s="6">
        <v>6.3092494642257e-13</v>
      </c>
      <c r="E14" s="6">
        <v>7.6553094848701e-13</v>
      </c>
      <c r="F14" s="6">
        <v>7.6553094848164e-13</v>
      </c>
      <c r="G14" s="6">
        <v>7.6553094845535e-13</v>
      </c>
      <c r="H14" s="6">
        <v>6.3092494637387e-13</v>
      </c>
      <c r="I14" s="6">
        <v>6.309249463916e-13</v>
      </c>
      <c r="J14" s="6">
        <v>6.3092494638179e-13</v>
      </c>
      <c r="K14" s="6">
        <v>6.6732438528433e-13</v>
      </c>
      <c r="L14" s="6">
        <v>6.6732438531452e-13</v>
      </c>
      <c r="M14" s="6">
        <v>6.6732438526983e-13</v>
      </c>
      <c r="N14" s="6">
        <v>6.9781498615054e-13</v>
      </c>
      <c r="O14" s="6">
        <v>6.309249463749e-13</v>
      </c>
      <c r="P14" s="6">
        <v>6.978149861337e-13</v>
      </c>
      <c r="Q14" s="6">
        <v>6.9781498624589e-13</v>
      </c>
      <c r="R14" s="6">
        <v>7.6553094845732e-13</v>
      </c>
      <c r="S14" s="6">
        <v>7.6553094844107e-13</v>
      </c>
      <c r="T14" s="6">
        <v>7.65530948456e-13</v>
      </c>
      <c r="U14" s="6">
        <v>6.3092494637934e-13</v>
      </c>
      <c r="V14" s="6">
        <v>6.6732438529807e-13</v>
      </c>
      <c r="W14" s="6">
        <v>6.67324385328e-13</v>
      </c>
      <c r="X14" s="6">
        <v>6.6732438528804e-13</v>
      </c>
      <c r="Y14" s="6">
        <v>6.9781498614173e-13</v>
      </c>
      <c r="Z14" s="6">
        <v>6.9781498623503e-13</v>
      </c>
      <c r="AA14" s="6">
        <v>6.978149862687e-13</v>
      </c>
      <c r="AB14" s="4">
        <v>0.99999838598907</v>
      </c>
      <c r="AC14" s="4">
        <v>0.99999445421632</v>
      </c>
      <c r="AD14" s="4">
        <v>0.0002467631136591</v>
      </c>
      <c r="AE14" s="6">
        <v>-6.0386518645028e-19</v>
      </c>
      <c r="AF14" s="6">
        <v>3.3518430696955e-18</v>
      </c>
      <c r="AG14" s="6">
        <v>2.6465042148306e-18</v>
      </c>
      <c r="AH14" s="6">
        <v>2.9692763048829e-19</v>
      </c>
      <c r="AI14" s="6">
        <v>-9.1507742958071e-20</v>
      </c>
      <c r="AJ14" s="6">
        <v>7.5891225106938e-19</v>
      </c>
      <c r="AK14" s="6">
        <v>1.2496809582198e-19</v>
      </c>
      <c r="AL14" s="6">
        <v>7.7240502131972e-19</v>
      </c>
      <c r="AM14" s="6">
        <v>2.3882977382698e-20</v>
      </c>
      <c r="AN14" s="6">
        <v>-6.1623481833962e-20</v>
      </c>
      <c r="AO14" s="6">
        <v>9.5312616142477e-19</v>
      </c>
      <c r="AP14" s="6">
        <v>-1.310286216383e-20</v>
      </c>
      <c r="AQ14" s="6">
        <v>4.6685311510117e-19</v>
      </c>
      <c r="AR14" s="6">
        <v>-4.0955125763911e-18</v>
      </c>
      <c r="AS14" s="6">
        <v>-4.3365480532542e-19</v>
      </c>
      <c r="AT14" s="6">
        <v>3.2819809696424e-19</v>
      </c>
      <c r="AU14" s="6">
        <v>-9.0954826359166e-19</v>
      </c>
      <c r="AV14" s="6">
        <v>-6.4361556567485e-19</v>
      </c>
      <c r="AW14" s="6">
        <v>-2.7519253671255e-19</v>
      </c>
      <c r="AX14" s="6">
        <v>2.5733716490916e-18</v>
      </c>
      <c r="AY14" s="6">
        <v>4.8712808608617e-19</v>
      </c>
      <c r="AZ14" s="6">
        <v>-1.7530520140371e-18</v>
      </c>
      <c r="BA14" s="6">
        <v>2.3328390904434e-18</v>
      </c>
      <c r="BB14" s="6">
        <v>-7.258604767178e-18</v>
      </c>
      <c r="BC14" s="4">
        <v>15999682.764993</v>
      </c>
      <c r="BD14" s="4">
        <v>3999902.5943724</v>
      </c>
      <c r="BE14" s="4">
        <v>-0.00012013384508906</v>
      </c>
      <c r="BF14" s="4">
        <v>0.00025269191991869</v>
      </c>
      <c r="BG14" s="6">
        <v>7.202538610727e-5</v>
      </c>
      <c r="BH14" s="4">
        <v>-0.000181824075282</v>
      </c>
      <c r="BI14" s="4">
        <v>60.044437899807</v>
      </c>
      <c r="BJ14" s="4">
        <v>30.023755379096</v>
      </c>
      <c r="BK14" s="4">
        <v>55.251766076353</v>
      </c>
      <c r="BL14" s="4"/>
      <c r="BM14" s="7"/>
    </row>
    <row r="15" spans="1:65">
      <c r="A15" s="4">
        <v>79244.659623056</v>
      </c>
      <c r="B15" s="6">
        <v>7.0145608415026e-7</v>
      </c>
      <c r="C15" s="6">
        <f t="shared" si="0"/>
        <v>9.60659421124821e-12</v>
      </c>
      <c r="D15" s="6">
        <v>6.3092428280941e-13</v>
      </c>
      <c r="E15" s="6">
        <v>7.6551914703547e-13</v>
      </c>
      <c r="F15" s="6">
        <v>7.6551914702945e-13</v>
      </c>
      <c r="G15" s="6">
        <v>7.6551914699995e-13</v>
      </c>
      <c r="H15" s="6">
        <v>6.3092428275477e-13</v>
      </c>
      <c r="I15" s="6">
        <v>6.3092428277466e-13</v>
      </c>
      <c r="J15" s="6">
        <v>6.3092428276366e-13</v>
      </c>
      <c r="K15" s="6">
        <v>6.6732045796907e-13</v>
      </c>
      <c r="L15" s="6">
        <v>6.6732045800296e-13</v>
      </c>
      <c r="M15" s="6">
        <v>6.673204579528e-13</v>
      </c>
      <c r="N15" s="6">
        <v>6.9780543810775e-13</v>
      </c>
      <c r="O15" s="6">
        <v>6.3092428275592e-13</v>
      </c>
      <c r="P15" s="6">
        <v>6.9780543808885e-13</v>
      </c>
      <c r="Q15" s="6">
        <v>6.9780543821477e-13</v>
      </c>
      <c r="R15" s="6">
        <v>7.6551914700215e-13</v>
      </c>
      <c r="S15" s="6">
        <v>7.6551914698393e-13</v>
      </c>
      <c r="T15" s="6">
        <v>7.6551914700068e-13</v>
      </c>
      <c r="U15" s="6">
        <v>6.3092428276091e-13</v>
      </c>
      <c r="V15" s="6">
        <v>6.6732045798449e-13</v>
      </c>
      <c r="W15" s="6">
        <v>6.6732045801809e-13</v>
      </c>
      <c r="X15" s="6">
        <v>6.6732045797324e-13</v>
      </c>
      <c r="Y15" s="6">
        <v>6.9780543809785e-13</v>
      </c>
      <c r="Z15" s="6">
        <v>6.9780543820257e-13</v>
      </c>
      <c r="AA15" s="6">
        <v>6.9780543824037e-13</v>
      </c>
      <c r="AB15" s="4">
        <v>0.99999838589532</v>
      </c>
      <c r="AC15" s="4">
        <v>0.99999445371171</v>
      </c>
      <c r="AD15" s="4">
        <v>0.00024682628488216</v>
      </c>
      <c r="AE15" s="6">
        <v>-6.0406159219085e-19</v>
      </c>
      <c r="AF15" s="6">
        <v>3.3505947142247e-18</v>
      </c>
      <c r="AG15" s="6">
        <v>2.6458781764145e-18</v>
      </c>
      <c r="AH15" s="6">
        <v>2.9714397456675e-19</v>
      </c>
      <c r="AI15" s="6">
        <v>-9.1552216389714e-20</v>
      </c>
      <c r="AJ15" s="6">
        <v>7.5890224189006e-19</v>
      </c>
      <c r="AK15" s="6">
        <v>1.2497086655047e-19</v>
      </c>
      <c r="AL15" s="6">
        <v>7.7231827664982e-19</v>
      </c>
      <c r="AM15" s="6">
        <v>2.4981001617721e-20</v>
      </c>
      <c r="AN15" s="6">
        <v>-6.1617233407351e-20</v>
      </c>
      <c r="AO15" s="6">
        <v>9.5295938927375e-19</v>
      </c>
      <c r="AP15" s="6">
        <v>-1.3037087332525e-20</v>
      </c>
      <c r="AQ15" s="6">
        <v>4.6694785156765e-19</v>
      </c>
      <c r="AR15" s="6">
        <v>-4.0953138358469e-18</v>
      </c>
      <c r="AS15" s="6">
        <v>-4.3333854853717e-19</v>
      </c>
      <c r="AT15" s="6">
        <v>3.2802919160158e-19</v>
      </c>
      <c r="AU15" s="6">
        <v>-9.0919108048733e-19</v>
      </c>
      <c r="AV15" s="6">
        <v>-6.4364892783222e-19</v>
      </c>
      <c r="AW15" s="6">
        <v>-2.7506080783269e-19</v>
      </c>
      <c r="AX15" s="6">
        <v>2.5724768178075e-18</v>
      </c>
      <c r="AY15" s="6">
        <v>4.8699689058641e-19</v>
      </c>
      <c r="AZ15" s="6">
        <v>-1.7523806097124e-18</v>
      </c>
      <c r="BA15" s="6">
        <v>2.3327518799403e-18</v>
      </c>
      <c r="BB15" s="6">
        <v>-7.2585439238685e-18</v>
      </c>
      <c r="BC15" s="4">
        <v>15999644.016355</v>
      </c>
      <c r="BD15" s="4">
        <v>3999890.6955009</v>
      </c>
      <c r="BE15" s="4">
        <v>-0.00012012039742432</v>
      </c>
      <c r="BF15" s="4">
        <v>0.00025277470745713</v>
      </c>
      <c r="BG15" s="6">
        <v>7.2071913130554e-5</v>
      </c>
      <c r="BH15" s="4">
        <v>-0.00018179868436341</v>
      </c>
      <c r="BI15" s="4">
        <v>60.044437848539</v>
      </c>
      <c r="BJ15" s="4">
        <v>30.023755504725</v>
      </c>
      <c r="BK15" s="4">
        <v>55.250819794635</v>
      </c>
      <c r="BL15" s="4"/>
      <c r="BM15" s="7"/>
    </row>
    <row r="16" spans="1:65">
      <c r="A16" s="4">
        <v>88913.970501947</v>
      </c>
      <c r="B16" s="6">
        <v>7.8713204890714e-7</v>
      </c>
      <c r="C16" s="6">
        <f t="shared" si="0"/>
        <v>9.60629386865528e-12</v>
      </c>
      <c r="D16" s="6">
        <v>6.3092353729701e-13</v>
      </c>
      <c r="E16" s="6">
        <v>7.6550590736116e-13</v>
      </c>
      <c r="F16" s="6">
        <v>7.655059073544e-13</v>
      </c>
      <c r="G16" s="6">
        <v>7.6550590732131e-13</v>
      </c>
      <c r="H16" s="6">
        <v>6.3092353723569e-13</v>
      </c>
      <c r="I16" s="6">
        <v>6.3092353725801e-13</v>
      </c>
      <c r="J16" s="6">
        <v>6.3092353724566e-13</v>
      </c>
      <c r="K16" s="6">
        <v>6.673160510496e-13</v>
      </c>
      <c r="L16" s="6">
        <v>6.6731605108763e-13</v>
      </c>
      <c r="M16" s="6">
        <v>6.6731605103133e-13</v>
      </c>
      <c r="N16" s="6">
        <v>6.9779472682392e-13</v>
      </c>
      <c r="O16" s="6">
        <v>6.3092353723699e-13</v>
      </c>
      <c r="P16" s="6">
        <v>6.9779472680271e-13</v>
      </c>
      <c r="Q16" s="6">
        <v>6.9779472694403e-13</v>
      </c>
      <c r="R16" s="6">
        <v>7.6550590732377e-13</v>
      </c>
      <c r="S16" s="6">
        <v>7.6550590730332e-13</v>
      </c>
      <c r="T16" s="6">
        <v>7.6550590732213e-13</v>
      </c>
      <c r="U16" s="6">
        <v>6.3092353724258e-13</v>
      </c>
      <c r="V16" s="6">
        <v>6.6731605106688e-13</v>
      </c>
      <c r="W16" s="6">
        <v>6.6731605110461e-13</v>
      </c>
      <c r="X16" s="6">
        <v>6.6731605105428e-13</v>
      </c>
      <c r="Y16" s="6">
        <v>6.9779472681281e-13</v>
      </c>
      <c r="Z16" s="6">
        <v>6.9779472693033e-13</v>
      </c>
      <c r="AA16" s="6">
        <v>6.9779472697277e-13</v>
      </c>
      <c r="AB16" s="4">
        <v>0.99999838579005</v>
      </c>
      <c r="AC16" s="4">
        <v>0.99999445314541</v>
      </c>
      <c r="AD16" s="4">
        <v>0.00024689717103924</v>
      </c>
      <c r="AE16" s="6">
        <v>-6.0428198272624e-19</v>
      </c>
      <c r="AF16" s="6">
        <v>3.3491944523886e-18</v>
      </c>
      <c r="AG16" s="6">
        <v>2.6451760046849e-18</v>
      </c>
      <c r="AH16" s="6">
        <v>2.9738675321616e-19</v>
      </c>
      <c r="AI16" s="6">
        <v>-9.160211490348e-20</v>
      </c>
      <c r="AJ16" s="6">
        <v>7.5889092491623e-19</v>
      </c>
      <c r="AK16" s="6">
        <v>1.2497394012523e-19</v>
      </c>
      <c r="AL16" s="6">
        <v>7.722210164681e-19</v>
      </c>
      <c r="AM16" s="6">
        <v>2.621333450145e-20</v>
      </c>
      <c r="AN16" s="6">
        <v>-6.161025755688e-20</v>
      </c>
      <c r="AO16" s="6">
        <v>9.5277233279733e-19</v>
      </c>
      <c r="AP16" s="6">
        <v>-1.2963315291867e-20</v>
      </c>
      <c r="AQ16" s="6">
        <v>4.6705402701566e-19</v>
      </c>
      <c r="AR16" s="6">
        <v>-4.0950903482945e-18</v>
      </c>
      <c r="AS16" s="6">
        <v>-4.3298377442808e-19</v>
      </c>
      <c r="AT16" s="6">
        <v>3.2783971524868e-19</v>
      </c>
      <c r="AU16" s="6">
        <v>-9.0879037671321e-19</v>
      </c>
      <c r="AV16" s="6">
        <v>-6.4368639875635e-19</v>
      </c>
      <c r="AW16" s="6">
        <v>-2.7491290648245e-19</v>
      </c>
      <c r="AX16" s="6">
        <v>2.5714727601447e-18</v>
      </c>
      <c r="AY16" s="6">
        <v>4.868495185235e-19</v>
      </c>
      <c r="AZ16" s="6">
        <v>-1.7516275382966e-18</v>
      </c>
      <c r="BA16" s="6">
        <v>2.3326537952071e-18</v>
      </c>
      <c r="BB16" s="6">
        <v>-7.2584748296967e-18</v>
      </c>
      <c r="BC16" s="4">
        <v>15999600.540041</v>
      </c>
      <c r="BD16" s="4">
        <v>3999877.3449425</v>
      </c>
      <c r="BE16" s="4">
        <v>-0.000120105307222</v>
      </c>
      <c r="BF16" s="4">
        <v>0.00025286759369894</v>
      </c>
      <c r="BG16" s="6">
        <v>7.2124116928969e-5</v>
      </c>
      <c r="BH16" s="4">
        <v>-0.00018177018295485</v>
      </c>
      <c r="BI16" s="4">
        <v>60.044437791163</v>
      </c>
      <c r="BJ16" s="4">
        <v>30.023755645639</v>
      </c>
      <c r="BK16" s="4">
        <v>55.249758327987</v>
      </c>
      <c r="BL16" s="4"/>
      <c r="BM16" s="7"/>
    </row>
    <row r="17" spans="1:65">
      <c r="A17" s="4">
        <v>99763.115748445</v>
      </c>
      <c r="B17" s="6">
        <v>8.8326032165282e-7</v>
      </c>
      <c r="C17" s="6">
        <f t="shared" si="0"/>
        <v>9.6059569249169e-12</v>
      </c>
      <c r="D17" s="6">
        <v>6.3092269965233e-13</v>
      </c>
      <c r="E17" s="6">
        <v>7.6549105443157e-13</v>
      </c>
      <c r="F17" s="6">
        <v>7.6549105442399e-13</v>
      </c>
      <c r="G17" s="6">
        <v>7.6549105438687e-13</v>
      </c>
      <c r="H17" s="6">
        <v>6.3092269958353e-13</v>
      </c>
      <c r="I17" s="6">
        <v>6.3092269960857e-13</v>
      </c>
      <c r="J17" s="6">
        <v>6.3092269959472e-13</v>
      </c>
      <c r="K17" s="6">
        <v>6.6731110590214e-13</v>
      </c>
      <c r="L17" s="6">
        <v>6.6731110594482e-13</v>
      </c>
      <c r="M17" s="6">
        <v>6.6731110588163e-13</v>
      </c>
      <c r="N17" s="6">
        <v>6.9778271082596e-13</v>
      </c>
      <c r="O17" s="6">
        <v>6.3092269958498e-13</v>
      </c>
      <c r="P17" s="6">
        <v>6.9778271080215e-13</v>
      </c>
      <c r="Q17" s="6">
        <v>6.9778271096076e-13</v>
      </c>
      <c r="R17" s="6">
        <v>7.6549105438962e-13</v>
      </c>
      <c r="S17" s="6">
        <v>7.6549105436668e-13</v>
      </c>
      <c r="T17" s="6">
        <v>7.6549105438778e-13</v>
      </c>
      <c r="U17" s="6">
        <v>6.3092269959126e-13</v>
      </c>
      <c r="V17" s="6">
        <v>6.6731110592152e-13</v>
      </c>
      <c r="W17" s="6">
        <v>6.6731110596387e-13</v>
      </c>
      <c r="X17" s="6">
        <v>6.673111059074e-13</v>
      </c>
      <c r="Y17" s="6">
        <v>6.9778271081347e-13</v>
      </c>
      <c r="Z17" s="6">
        <v>6.9778271094537e-13</v>
      </c>
      <c r="AA17" s="6">
        <v>6.9778271099302e-13</v>
      </c>
      <c r="AB17" s="4">
        <v>0.99999838567184</v>
      </c>
      <c r="AC17" s="4">
        <v>0.99999445250986</v>
      </c>
      <c r="AD17" s="4">
        <v>0.00024697671526633</v>
      </c>
      <c r="AE17" s="6">
        <v>-6.0452928957193e-19</v>
      </c>
      <c r="AF17" s="6">
        <v>3.3476238564555e-18</v>
      </c>
      <c r="AG17" s="6">
        <v>2.6443884757561e-18</v>
      </c>
      <c r="AH17" s="6">
        <v>2.9765920137724e-19</v>
      </c>
      <c r="AI17" s="6">
        <v>-9.1658100122519e-20</v>
      </c>
      <c r="AJ17" s="6">
        <v>7.5887811816081e-19</v>
      </c>
      <c r="AK17" s="6">
        <v>1.2497734437248e-19</v>
      </c>
      <c r="AL17" s="6">
        <v>7.7211197545079e-19</v>
      </c>
      <c r="AM17" s="6">
        <v>2.7596449299013e-20</v>
      </c>
      <c r="AN17" s="6">
        <v>-6.1602474533032e-20</v>
      </c>
      <c r="AO17" s="6">
        <v>9.5256253354969e-19</v>
      </c>
      <c r="AP17" s="6">
        <v>-1.2880577630849e-20</v>
      </c>
      <c r="AQ17" s="6">
        <v>4.6717300597891e-19</v>
      </c>
      <c r="AR17" s="6">
        <v>-4.094838965861e-18</v>
      </c>
      <c r="AS17" s="6">
        <v>-4.3258580185714e-19</v>
      </c>
      <c r="AT17" s="6">
        <v>3.2762716781017e-19</v>
      </c>
      <c r="AU17" s="6">
        <v>-9.083408580114e-19</v>
      </c>
      <c r="AV17" s="6">
        <v>-6.4372848962421e-19</v>
      </c>
      <c r="AW17" s="6">
        <v>-2.747468338992e-19</v>
      </c>
      <c r="AX17" s="6">
        <v>2.5703461378234e-18</v>
      </c>
      <c r="AY17" s="6">
        <v>4.8668395249746e-19</v>
      </c>
      <c r="AZ17" s="6">
        <v>-1.7507829012405e-18</v>
      </c>
      <c r="BA17" s="6">
        <v>2.3325434490762e-18</v>
      </c>
      <c r="BB17" s="6">
        <v>-7.2583962641813e-18</v>
      </c>
      <c r="BC17" s="4">
        <v>15999551.759284</v>
      </c>
      <c r="BD17" s="4">
        <v>3999862.365615</v>
      </c>
      <c r="BE17" s="4">
        <v>-0.00012008837362959</v>
      </c>
      <c r="BF17" s="4">
        <v>0.00025297181012085</v>
      </c>
      <c r="BG17" s="6">
        <v>7.21826900757e-5</v>
      </c>
      <c r="BH17" s="4">
        <v>-0.00018173818472331</v>
      </c>
      <c r="BI17" s="4">
        <v>60.044437726973</v>
      </c>
      <c r="BJ17" s="4">
        <v>30.023755803706</v>
      </c>
      <c r="BK17" s="4">
        <v>55.248567693824</v>
      </c>
      <c r="BL17" s="4"/>
      <c r="BM17" s="7"/>
    </row>
    <row r="18" spans="1:65">
      <c r="A18" s="4">
        <v>111936.05692842</v>
      </c>
      <c r="B18" s="6">
        <v>9.9111582683413e-7</v>
      </c>
      <c r="C18" s="6">
        <f t="shared" si="0"/>
        <v>9.605579056962e-12</v>
      </c>
      <c r="D18" s="6">
        <v>6.3092175833182e-13</v>
      </c>
      <c r="E18" s="6">
        <v>7.6547439197547e-13</v>
      </c>
      <c r="F18" s="6">
        <v>7.6547439196697e-13</v>
      </c>
      <c r="G18" s="6">
        <v>7.6547439192534e-13</v>
      </c>
      <c r="H18" s="6">
        <v>6.3092175825462e-13</v>
      </c>
      <c r="I18" s="6">
        <v>6.3092175828272e-13</v>
      </c>
      <c r="J18" s="6">
        <v>6.3092175826718e-13</v>
      </c>
      <c r="K18" s="6">
        <v>6.6730555672291e-13</v>
      </c>
      <c r="L18" s="6">
        <v>6.6730555677081e-13</v>
      </c>
      <c r="M18" s="6">
        <v>6.6730555669989e-13</v>
      </c>
      <c r="N18" s="6">
        <v>6.9776923149774e-13</v>
      </c>
      <c r="O18" s="6">
        <v>6.3092175825625e-13</v>
      </c>
      <c r="P18" s="6">
        <v>6.9776923147103e-13</v>
      </c>
      <c r="Q18" s="6">
        <v>6.9776923164904e-13</v>
      </c>
      <c r="R18" s="6">
        <v>7.6547439192841e-13</v>
      </c>
      <c r="S18" s="6">
        <v>7.6547439190267e-13</v>
      </c>
      <c r="T18" s="6">
        <v>7.6547439192635e-13</v>
      </c>
      <c r="U18" s="6">
        <v>6.3092175826331e-13</v>
      </c>
      <c r="V18" s="6">
        <v>6.6730555674463e-13</v>
      </c>
      <c r="W18" s="6">
        <v>6.6730555679217e-13</v>
      </c>
      <c r="X18" s="6">
        <v>6.6730555672882e-13</v>
      </c>
      <c r="Y18" s="6">
        <v>6.9776923148372e-13</v>
      </c>
      <c r="Z18" s="6">
        <v>6.9776923163175e-13</v>
      </c>
      <c r="AA18" s="6">
        <v>6.9776923168525e-13</v>
      </c>
      <c r="AB18" s="4">
        <v>0.99999838553909</v>
      </c>
      <c r="AC18" s="4">
        <v>0.99999445179657</v>
      </c>
      <c r="AD18" s="4">
        <v>0.00024706597623457</v>
      </c>
      <c r="AE18" s="6">
        <v>-6.0480680303138e-19</v>
      </c>
      <c r="AF18" s="6">
        <v>3.3458622780429e-18</v>
      </c>
      <c r="AG18" s="6">
        <v>2.6435052571881e-18</v>
      </c>
      <c r="AH18" s="6">
        <v>2.9796495117183e-19</v>
      </c>
      <c r="AI18" s="6">
        <v>-9.1720914319839e-20</v>
      </c>
      <c r="AJ18" s="6">
        <v>7.5886361162713e-19</v>
      </c>
      <c r="AK18" s="6">
        <v>1.2498110816835e-19</v>
      </c>
      <c r="AL18" s="6">
        <v>7.7198973845403e-19</v>
      </c>
      <c r="AM18" s="6">
        <v>2.9148851451109e-20</v>
      </c>
      <c r="AN18" s="6">
        <v>-6.1593797181734e-20</v>
      </c>
      <c r="AO18" s="6">
        <v>9.5232723732517e-19</v>
      </c>
      <c r="AP18" s="6">
        <v>-1.2787789673646e-20</v>
      </c>
      <c r="AQ18" s="6">
        <v>4.6730631143097e-19</v>
      </c>
      <c r="AR18" s="6">
        <v>-4.0945561236734e-18</v>
      </c>
      <c r="AS18" s="6">
        <v>-4.3213938336018e-19</v>
      </c>
      <c r="AT18" s="6">
        <v>3.2738874670241e-19</v>
      </c>
      <c r="AU18" s="6">
        <v>-9.0783658824202e-19</v>
      </c>
      <c r="AV18" s="6">
        <v>-6.4377577652121e-19</v>
      </c>
      <c r="AW18" s="6">
        <v>-2.7456034084121e-19</v>
      </c>
      <c r="AX18" s="6">
        <v>2.5690819819394e-18</v>
      </c>
      <c r="AY18" s="6">
        <v>4.8649791761637e-19</v>
      </c>
      <c r="AZ18" s="6">
        <v>-1.7498356093388e-18</v>
      </c>
      <c r="BA18" s="6">
        <v>2.3324192694372e-18</v>
      </c>
      <c r="BB18" s="6">
        <v>-7.2583068029153e-18</v>
      </c>
      <c r="BC18" s="4">
        <v>15999497.026966</v>
      </c>
      <c r="BD18" s="4">
        <v>3999845.558842</v>
      </c>
      <c r="BE18" s="4">
        <v>-0.00012006937117529</v>
      </c>
      <c r="BF18" s="4">
        <v>0.00025308873826971</v>
      </c>
      <c r="BG18" s="6">
        <v>7.2248409625029e-5</v>
      </c>
      <c r="BH18" s="4">
        <v>-0.00018170225651276</v>
      </c>
      <c r="BI18" s="4">
        <v>60.044437655196</v>
      </c>
      <c r="BJ18" s="4">
        <v>30.023755981</v>
      </c>
      <c r="BK18" s="4">
        <v>55.24723222206</v>
      </c>
      <c r="BL18" s="4"/>
      <c r="BM18" s="7"/>
    </row>
    <row r="19" spans="1:65">
      <c r="A19" s="4">
        <v>125594.32157548</v>
      </c>
      <c r="B19" s="6">
        <v>1.1121289370754e-6</v>
      </c>
      <c r="C19" s="6">
        <f t="shared" si="0"/>
        <v>9.60515524922121e-12</v>
      </c>
      <c r="D19" s="6">
        <v>6.3092070030485e-13</v>
      </c>
      <c r="E19" s="6">
        <v>7.6545569992089e-13</v>
      </c>
      <c r="F19" s="6">
        <v>7.6545569991137e-13</v>
      </c>
      <c r="G19" s="6">
        <v>7.6545569986468e-13</v>
      </c>
      <c r="H19" s="6">
        <v>6.3092070021823e-13</v>
      </c>
      <c r="I19" s="6">
        <v>6.3092070024974e-13</v>
      </c>
      <c r="J19" s="6">
        <v>6.3092070023232e-13</v>
      </c>
      <c r="K19" s="6">
        <v>6.6729932964571e-13</v>
      </c>
      <c r="L19" s="6">
        <v>6.6729932969947e-13</v>
      </c>
      <c r="M19" s="6">
        <v>6.6729932961988e-13</v>
      </c>
      <c r="N19" s="6">
        <v>6.9775411101953e-13</v>
      </c>
      <c r="O19" s="6">
        <v>6.3092070022005e-13</v>
      </c>
      <c r="P19" s="6">
        <v>6.9775411098955e-13</v>
      </c>
      <c r="Q19" s="6">
        <v>6.9775411118935e-13</v>
      </c>
      <c r="R19" s="6">
        <v>7.6545569986811e-13</v>
      </c>
      <c r="S19" s="6">
        <v>7.6545569983923e-13</v>
      </c>
      <c r="T19" s="6">
        <v>7.654556998658e-13</v>
      </c>
      <c r="U19" s="6">
        <v>6.3092070022797e-13</v>
      </c>
      <c r="V19" s="6">
        <v>6.6729932967006e-13</v>
      </c>
      <c r="W19" s="6">
        <v>6.6729932972344e-13</v>
      </c>
      <c r="X19" s="6">
        <v>6.6729932965236e-13</v>
      </c>
      <c r="Y19" s="6">
        <v>6.9775411100378e-13</v>
      </c>
      <c r="Z19" s="6">
        <v>6.9775411116992e-13</v>
      </c>
      <c r="AA19" s="6">
        <v>6.9775411122999e-13</v>
      </c>
      <c r="AB19" s="4">
        <v>0.99999838538998</v>
      </c>
      <c r="AC19" s="4">
        <v>0.99999445099601</v>
      </c>
      <c r="AD19" s="4">
        <v>0.0002471661423635</v>
      </c>
      <c r="AE19" s="6">
        <v>-6.0511821624768e-19</v>
      </c>
      <c r="AF19" s="6">
        <v>3.3438865843183e-18</v>
      </c>
      <c r="AG19" s="6">
        <v>2.6425147771021e-18</v>
      </c>
      <c r="AH19" s="6">
        <v>2.9830808095938e-19</v>
      </c>
      <c r="AI19" s="6">
        <v>-9.1791390274535e-20</v>
      </c>
      <c r="AJ19" s="6">
        <v>7.5884716232377e-19</v>
      </c>
      <c r="AK19" s="6">
        <v>1.249852609384e-19</v>
      </c>
      <c r="AL19" s="6">
        <v>7.7185272337059e-19</v>
      </c>
      <c r="AM19" s="6">
        <v>3.0891332078495e-20</v>
      </c>
      <c r="AN19" s="6">
        <v>-6.1584130605153e-20</v>
      </c>
      <c r="AO19" s="6">
        <v>9.5206335910159e-19</v>
      </c>
      <c r="AP19" s="6">
        <v>-1.2683736800404e-20</v>
      </c>
      <c r="AQ19" s="6">
        <v>4.6745564198953e-19</v>
      </c>
      <c r="AR19" s="6">
        <v>-4.0942377802276e-18</v>
      </c>
      <c r="AS19" s="6">
        <v>-4.3163863731664e-19</v>
      </c>
      <c r="AT19" s="6">
        <v>3.2712131058801e-19</v>
      </c>
      <c r="AU19" s="6">
        <v>-9.0727091213175e-19</v>
      </c>
      <c r="AV19" s="6">
        <v>-6.4382890901313e-19</v>
      </c>
      <c r="AW19" s="6">
        <v>-2.7435089547522e-19</v>
      </c>
      <c r="AX19" s="6">
        <v>2.5676634935159e-18</v>
      </c>
      <c r="AY19" s="6">
        <v>4.8628884728777e-19</v>
      </c>
      <c r="AZ19" s="6">
        <v>-1.748773241856e-18</v>
      </c>
      <c r="BA19" s="6">
        <v>2.3322794725749e-18</v>
      </c>
      <c r="BB19" s="6">
        <v>-7.2582047782136e-18</v>
      </c>
      <c r="BC19" s="4">
        <v>15999435.617041</v>
      </c>
      <c r="BD19" s="4">
        <v>3999826.7017215</v>
      </c>
      <c r="BE19" s="4">
        <v>-0.00012004804673503</v>
      </c>
      <c r="BF19" s="4">
        <v>0.00025321992802208</v>
      </c>
      <c r="BG19" s="6">
        <v>7.2322147414439e-5</v>
      </c>
      <c r="BH19" s="4">
        <v>-0.00018166191584367</v>
      </c>
      <c r="BI19" s="4">
        <v>60.044437574959</v>
      </c>
      <c r="BJ19" s="4">
        <v>30.02375617985</v>
      </c>
      <c r="BK19" s="4">
        <v>55.245734353979</v>
      </c>
      <c r="BL19" s="4"/>
      <c r="BM19" s="7"/>
    </row>
    <row r="20" spans="1:65">
      <c r="A20" s="4">
        <v>140919.14656322</v>
      </c>
      <c r="B20" s="6">
        <v>1.2479044101428e-6</v>
      </c>
      <c r="C20" s="6">
        <f t="shared" si="0"/>
        <v>9.60467996324719e-12</v>
      </c>
      <c r="D20" s="6">
        <v>6.3091951085287e-13</v>
      </c>
      <c r="E20" s="6">
        <v>7.6543473152998e-13</v>
      </c>
      <c r="F20" s="6">
        <v>7.6543473151931e-13</v>
      </c>
      <c r="G20" s="6">
        <v>7.6543473146695e-13</v>
      </c>
      <c r="H20" s="6">
        <v>6.3091951075569e-13</v>
      </c>
      <c r="I20" s="6">
        <v>6.3091951079104e-13</v>
      </c>
      <c r="J20" s="6">
        <v>6.309195107715e-13</v>
      </c>
      <c r="K20" s="6">
        <v>6.6729234174743e-13</v>
      </c>
      <c r="L20" s="6">
        <v>6.6729234180776e-13</v>
      </c>
      <c r="M20" s="6">
        <v>6.6729234171843e-13</v>
      </c>
      <c r="N20" s="6">
        <v>6.9773715006318e-13</v>
      </c>
      <c r="O20" s="6">
        <v>6.3091951075774e-13</v>
      </c>
      <c r="P20" s="6">
        <v>6.9773715002954e-13</v>
      </c>
      <c r="Q20" s="6">
        <v>6.9773715025377e-13</v>
      </c>
      <c r="R20" s="6">
        <v>7.6543473147077e-13</v>
      </c>
      <c r="S20" s="6">
        <v>7.6543473143838e-13</v>
      </c>
      <c r="T20" s="6">
        <v>7.654347314682e-13</v>
      </c>
      <c r="U20" s="6">
        <v>6.3091951076663e-13</v>
      </c>
      <c r="V20" s="6">
        <v>6.6729234177472e-13</v>
      </c>
      <c r="W20" s="6">
        <v>6.6729234183465e-13</v>
      </c>
      <c r="X20" s="6">
        <v>6.672923417549e-13</v>
      </c>
      <c r="Y20" s="6">
        <v>6.9773715004549e-13</v>
      </c>
      <c r="Z20" s="6">
        <v>6.9773715023195e-13</v>
      </c>
      <c r="AA20" s="6">
        <v>6.977371502994e-13</v>
      </c>
      <c r="AB20" s="4">
        <v>0.99999838522248</v>
      </c>
      <c r="AC20" s="4">
        <v>0.99999445009747</v>
      </c>
      <c r="AD20" s="4">
        <v>0.00024727854779787</v>
      </c>
      <c r="AE20" s="6">
        <v>-6.0546767487848e-19</v>
      </c>
      <c r="AF20" s="6">
        <v>3.3416708641243e-18</v>
      </c>
      <c r="AG20" s="6">
        <v>2.6414040785516e-18</v>
      </c>
      <c r="AH20" s="6">
        <v>2.9869317054524e-19</v>
      </c>
      <c r="AI20" s="6">
        <v>-9.1870462281998e-20</v>
      </c>
      <c r="AJ20" s="6">
        <v>7.5882848847519e-19</v>
      </c>
      <c r="AK20" s="6">
        <v>1.2498983196527e-19</v>
      </c>
      <c r="AL20" s="6">
        <v>7.7169916223294e-19</v>
      </c>
      <c r="AM20" s="6">
        <v>3.2847253978683e-20</v>
      </c>
      <c r="AN20" s="6">
        <v>-6.1573371982827e-20</v>
      </c>
      <c r="AO20" s="6">
        <v>9.5176744415003e-19</v>
      </c>
      <c r="AP20" s="6">
        <v>-1.2567059219005e-20</v>
      </c>
      <c r="AQ20" s="6">
        <v>4.6762289073555e-19</v>
      </c>
      <c r="AR20" s="6">
        <v>-4.0938793489855e-18</v>
      </c>
      <c r="AS20" s="6">
        <v>-4.3107697221295e-19</v>
      </c>
      <c r="AT20" s="6">
        <v>3.2682133890863e-19</v>
      </c>
      <c r="AU20" s="6">
        <v>-9.0663636891663e-19</v>
      </c>
      <c r="AV20" s="6">
        <v>-6.4388861999055e-19</v>
      </c>
      <c r="AW20" s="6">
        <v>-2.7411564688369e-19</v>
      </c>
      <c r="AX20" s="6">
        <v>2.5660718190343e-18</v>
      </c>
      <c r="AY20" s="6">
        <v>4.8605384384113e-19</v>
      </c>
      <c r="AZ20" s="6">
        <v>-1.7475818897023e-18</v>
      </c>
      <c r="BA20" s="6">
        <v>2.3321220324369e-18</v>
      </c>
      <c r="BB20" s="6">
        <v>-7.2580882317964e-18</v>
      </c>
      <c r="BC20" s="4">
        <v>15999366.714909</v>
      </c>
      <c r="BD20" s="4">
        <v>3999805.5441738</v>
      </c>
      <c r="BE20" s="4">
        <v>-0.00012002411612196</v>
      </c>
      <c r="BF20" s="4">
        <v>0.00025336711806158</v>
      </c>
      <c r="BG20" s="6">
        <v>7.2404881622534e-5</v>
      </c>
      <c r="BH20" s="4">
        <v>-0.00018161661831197</v>
      </c>
      <c r="BI20" s="4">
        <v>60.044437485305</v>
      </c>
      <c r="BJ20" s="4">
        <v>30.023756402861</v>
      </c>
      <c r="BK20" s="4">
        <v>55.244054417848</v>
      </c>
      <c r="BL20" s="4"/>
      <c r="BM20" s="7"/>
    </row>
    <row r="21" spans="1:65">
      <c r="A21" s="4">
        <v>158113.88300842</v>
      </c>
      <c r="B21" s="6">
        <v>1.4002426288677e-6</v>
      </c>
      <c r="C21" s="6">
        <f t="shared" si="0"/>
        <v>9.6041467728397e-12</v>
      </c>
      <c r="D21" s="6">
        <v>6.3091817333772e-13</v>
      </c>
      <c r="E21" s="6">
        <v>7.6541121019262e-13</v>
      </c>
      <c r="F21" s="6">
        <v>7.6541121018066e-13</v>
      </c>
      <c r="G21" s="6">
        <v>7.6541121012194e-13</v>
      </c>
      <c r="H21" s="6">
        <v>6.3091817322869e-13</v>
      </c>
      <c r="I21" s="6">
        <v>6.3091817326835e-13</v>
      </c>
      <c r="J21" s="6">
        <v>6.3091817324643e-13</v>
      </c>
      <c r="K21" s="6">
        <v>6.6728449993491e-13</v>
      </c>
      <c r="L21" s="6">
        <v>6.6728450000262e-13</v>
      </c>
      <c r="M21" s="6">
        <v>6.6728449990236e-13</v>
      </c>
      <c r="N21" s="6">
        <v>6.9771812521694e-13</v>
      </c>
      <c r="O21" s="6">
        <v>6.3091817323099e-13</v>
      </c>
      <c r="P21" s="6">
        <v>6.9771812517919e-13</v>
      </c>
      <c r="Q21" s="6">
        <v>6.9771812543085e-13</v>
      </c>
      <c r="R21" s="6">
        <v>7.654112101262e-13</v>
      </c>
      <c r="S21" s="6">
        <v>7.6541121008987e-13</v>
      </c>
      <c r="T21" s="6">
        <v>7.6541121012333e-13</v>
      </c>
      <c r="U21" s="6">
        <v>6.3091817324097e-13</v>
      </c>
      <c r="V21" s="6">
        <v>6.6728449996549e-13</v>
      </c>
      <c r="W21" s="6">
        <v>6.6728450003278e-13</v>
      </c>
      <c r="X21" s="6">
        <v>6.6728449994331e-13</v>
      </c>
      <c r="Y21" s="6">
        <v>6.9771812519706e-13</v>
      </c>
      <c r="Z21" s="6">
        <v>6.9771812540632e-13</v>
      </c>
      <c r="AA21" s="6">
        <v>6.9771812548207e-13</v>
      </c>
      <c r="AB21" s="4">
        <v>0.99999838503429</v>
      </c>
      <c r="AC21" s="4">
        <v>0.99999444908891</v>
      </c>
      <c r="AD21" s="4">
        <v>0.00024740469037097</v>
      </c>
      <c r="AE21" s="6">
        <v>-6.0585983254556e-19</v>
      </c>
      <c r="AF21" s="6">
        <v>3.3391861000666e-18</v>
      </c>
      <c r="AG21" s="6">
        <v>2.6401586572576e-18</v>
      </c>
      <c r="AH21" s="6">
        <v>2.9912536343485e-19</v>
      </c>
      <c r="AI21" s="6">
        <v>-9.1959178553885e-20</v>
      </c>
      <c r="AJ21" s="6">
        <v>7.5880726225643e-19</v>
      </c>
      <c r="AK21" s="6">
        <v>1.2499484938605e-19</v>
      </c>
      <c r="AL21" s="6">
        <v>7.715270804234e-19</v>
      </c>
      <c r="AM21" s="6">
        <v>3.5042874389149e-20</v>
      </c>
      <c r="AN21" s="6">
        <v>-6.1561410533518e-20</v>
      </c>
      <c r="AO21" s="6">
        <v>9.5143562431289e-19</v>
      </c>
      <c r="AP21" s="6">
        <v>-1.2436235032683e-20</v>
      </c>
      <c r="AQ21" s="6">
        <v>4.6781016559907e-19</v>
      </c>
      <c r="AR21" s="6">
        <v>-4.0934756182131e-18</v>
      </c>
      <c r="AS21" s="6">
        <v>-4.3044700196683e-19</v>
      </c>
      <c r="AT21" s="6">
        <v>3.2648488658145e-19</v>
      </c>
      <c r="AU21" s="6">
        <v>-9.0592459562451e-19</v>
      </c>
      <c r="AV21" s="6">
        <v>-6.439557367975e-19</v>
      </c>
      <c r="AW21" s="6">
        <v>-2.7385138356587e-19</v>
      </c>
      <c r="AX21" s="6">
        <v>2.5642857984627e-18</v>
      </c>
      <c r="AY21" s="6">
        <v>4.8578963351849e-19</v>
      </c>
      <c r="AZ21" s="6">
        <v>-1.7462459806714e-18</v>
      </c>
      <c r="BA21" s="6">
        <v>2.3319446443328e-18</v>
      </c>
      <c r="BB21" s="6">
        <v>-7.2579548564694e-18</v>
      </c>
      <c r="BC21" s="4">
        <v>15999289.406627</v>
      </c>
      <c r="BD21" s="4">
        <v>3999781.805631</v>
      </c>
      <c r="BE21" s="4">
        <v>-0.00011999726025102</v>
      </c>
      <c r="BF21" s="4">
        <v>0.00025353225883412</v>
      </c>
      <c r="BG21" s="6">
        <v>7.2497709730416e-5</v>
      </c>
      <c r="BH21" s="4">
        <v>-0.00018156574847403</v>
      </c>
      <c r="BI21" s="4">
        <v>60.044437385183</v>
      </c>
      <c r="BJ21" s="4">
        <v>30.023756652965</v>
      </c>
      <c r="BK21" s="4">
        <v>55.242170378683</v>
      </c>
      <c r="BL21" s="4"/>
      <c r="BM21" s="7"/>
    </row>
    <row r="22" spans="1:65">
      <c r="A22" s="4">
        <v>177406.69461679</v>
      </c>
      <c r="B22" s="6">
        <v>1.5711634245559e-6</v>
      </c>
      <c r="C22" s="6">
        <f t="shared" si="0"/>
        <v>9.60354875800571e-12</v>
      </c>
      <c r="D22" s="6">
        <v>6.309166689345e-13</v>
      </c>
      <c r="E22" s="6">
        <v>7.6538482584209e-13</v>
      </c>
      <c r="F22" s="6">
        <v>7.6538482582868e-13</v>
      </c>
      <c r="G22" s="6">
        <v>7.6538482576285e-13</v>
      </c>
      <c r="H22" s="6">
        <v>6.3091666881217e-13</v>
      </c>
      <c r="I22" s="6">
        <v>6.3091666885666e-13</v>
      </c>
      <c r="J22" s="6">
        <v>6.3091666883208e-13</v>
      </c>
      <c r="K22" s="6">
        <v>6.672756996879e-13</v>
      </c>
      <c r="L22" s="6">
        <v>6.6727569976389e-13</v>
      </c>
      <c r="M22" s="6">
        <v>6.6727569965137e-13</v>
      </c>
      <c r="N22" s="6">
        <v>6.976967861064e-13</v>
      </c>
      <c r="O22" s="6">
        <v>6.3091666881475e-13</v>
      </c>
      <c r="P22" s="6">
        <v>6.9769678606402e-13</v>
      </c>
      <c r="Q22" s="6">
        <v>6.9769678634647e-13</v>
      </c>
      <c r="R22" s="6">
        <v>7.6538482576759e-13</v>
      </c>
      <c r="S22" s="6">
        <v>7.6538482572684e-13</v>
      </c>
      <c r="T22" s="6">
        <v>7.6538482576438e-13</v>
      </c>
      <c r="U22" s="6">
        <v>6.3091666882596e-13</v>
      </c>
      <c r="V22" s="6">
        <v>6.6727569972216e-13</v>
      </c>
      <c r="W22" s="6">
        <v>6.6727569979772e-13</v>
      </c>
      <c r="X22" s="6">
        <v>6.6727569969735e-13</v>
      </c>
      <c r="Y22" s="6">
        <v>6.9769678608405e-13</v>
      </c>
      <c r="Z22" s="6">
        <v>6.976967863189e-13</v>
      </c>
      <c r="AA22" s="6">
        <v>6.9769678640397e-13</v>
      </c>
      <c r="AB22" s="4">
        <v>0.99999838482284</v>
      </c>
      <c r="AC22" s="4">
        <v>0.99999444795681</v>
      </c>
      <c r="AD22" s="4">
        <v>0.0002475462518069</v>
      </c>
      <c r="AE22" s="6">
        <v>-6.0629991323662e-19</v>
      </c>
      <c r="AF22" s="6">
        <v>3.3363998040425e-18</v>
      </c>
      <c r="AG22" s="6">
        <v>2.638762281314e-18</v>
      </c>
      <c r="AH22" s="6">
        <v>2.9961043680156e-19</v>
      </c>
      <c r="AI22" s="6">
        <v>-9.2058715082738e-20</v>
      </c>
      <c r="AJ22" s="6">
        <v>7.5878310119592e-19</v>
      </c>
      <c r="AK22" s="6">
        <v>1.2500033884848e-19</v>
      </c>
      <c r="AL22" s="6">
        <v>7.7133427373523e-19</v>
      </c>
      <c r="AM22" s="6">
        <v>3.7507709631657e-20</v>
      </c>
      <c r="AN22" s="6">
        <v>-6.1548127690698e-20</v>
      </c>
      <c r="AO22" s="6">
        <v>9.5106356975182e-19</v>
      </c>
      <c r="AP22" s="6">
        <v>-1.228956145589e-20</v>
      </c>
      <c r="AQ22" s="6">
        <v>4.6801981145165e-19</v>
      </c>
      <c r="AR22" s="6">
        <v>-4.0930206581692e-18</v>
      </c>
      <c r="AS22" s="6">
        <v>-4.2974045166375e-19</v>
      </c>
      <c r="AT22" s="6">
        <v>3.2610753353651e-19</v>
      </c>
      <c r="AU22" s="6">
        <v>-9.0512621914155e-19</v>
      </c>
      <c r="AV22" s="6">
        <v>-6.4403119413518e-19</v>
      </c>
      <c r="AW22" s="6">
        <v>-2.7355448617009e-19</v>
      </c>
      <c r="AX22" s="6">
        <v>2.5622816821217e-18</v>
      </c>
      <c r="AY22" s="6">
        <v>4.8549251470721e-19</v>
      </c>
      <c r="AZ22" s="6">
        <v>-1.744748085427e-18</v>
      </c>
      <c r="BA22" s="6">
        <v>2.331744682994e-18</v>
      </c>
      <c r="BB22" s="6">
        <v>-7.2578019261647e-18</v>
      </c>
      <c r="BC22" s="4">
        <v>15999202.666797</v>
      </c>
      <c r="BD22" s="4">
        <v>3999755.1713236</v>
      </c>
      <c r="BE22" s="4">
        <v>-0.00011996712082374</v>
      </c>
      <c r="BF22" s="4">
        <v>0.00025371753829108</v>
      </c>
      <c r="BG22" s="6">
        <v>7.2601863069084e-5</v>
      </c>
      <c r="BH22" s="4">
        <v>-0.00018150861661552</v>
      </c>
      <c r="BI22" s="4">
        <v>60.04443727344</v>
      </c>
      <c r="BJ22" s="4">
        <v>30.023756933433</v>
      </c>
      <c r="BK22" s="4">
        <v>55.240057559428</v>
      </c>
      <c r="BL22" s="4"/>
      <c r="BM22" s="7"/>
    </row>
    <row r="23" spans="1:65">
      <c r="A23" s="4">
        <v>199053.58527675</v>
      </c>
      <c r="B23" s="6">
        <v>1.7629327935861e-6</v>
      </c>
      <c r="C23" s="6">
        <f t="shared" si="0"/>
        <v>9.60287811193763e-12</v>
      </c>
      <c r="D23" s="6">
        <v>6.3091497632596e-13</v>
      </c>
      <c r="E23" s="6">
        <v>7.653552309475e-13</v>
      </c>
      <c r="F23" s="6">
        <v>7.6535523093247e-13</v>
      </c>
      <c r="G23" s="6">
        <v>7.6535523085867e-13</v>
      </c>
      <c r="H23" s="6">
        <v>6.3091497618872e-13</v>
      </c>
      <c r="I23" s="6">
        <v>6.3091497623863e-13</v>
      </c>
      <c r="J23" s="6">
        <v>6.3091497621107e-13</v>
      </c>
      <c r="K23" s="6">
        <v>6.6726582364898e-13</v>
      </c>
      <c r="L23" s="6">
        <v>6.6726582373426e-13</v>
      </c>
      <c r="M23" s="6">
        <v>6.6726582360797e-13</v>
      </c>
      <c r="N23" s="6">
        <v>6.9767285218139e-13</v>
      </c>
      <c r="O23" s="6">
        <v>6.3091497619161e-13</v>
      </c>
      <c r="P23" s="6">
        <v>6.9767285213384e-13</v>
      </c>
      <c r="Q23" s="6">
        <v>6.9767285245085e-13</v>
      </c>
      <c r="R23" s="6">
        <v>7.6535523086394e-13</v>
      </c>
      <c r="S23" s="6">
        <v>7.6535523081825e-13</v>
      </c>
      <c r="T23" s="6">
        <v>7.6535523086036e-13</v>
      </c>
      <c r="U23" s="6">
        <v>6.309149762042e-13</v>
      </c>
      <c r="V23" s="6">
        <v>6.6726582368735e-13</v>
      </c>
      <c r="W23" s="6">
        <v>6.672658237722e-13</v>
      </c>
      <c r="X23" s="6">
        <v>6.6726582365961e-13</v>
      </c>
      <c r="Y23" s="6">
        <v>6.9767285215627e-13</v>
      </c>
      <c r="Z23" s="6">
        <v>6.9767285241985e-13</v>
      </c>
      <c r="AA23" s="6">
        <v>6.976728525154e-13</v>
      </c>
      <c r="AB23" s="4">
        <v>0.9999983845852</v>
      </c>
      <c r="AC23" s="4">
        <v>0.99999444668598</v>
      </c>
      <c r="AD23" s="4">
        <v>0.00024770512044412</v>
      </c>
      <c r="AE23" s="6">
        <v>-6.0679378138141e-19</v>
      </c>
      <c r="AF23" s="6">
        <v>3.3332756118149e-18</v>
      </c>
      <c r="AG23" s="6">
        <v>2.6371967913391e-18</v>
      </c>
      <c r="AH23" s="6">
        <v>3.0015488038319e-19</v>
      </c>
      <c r="AI23" s="6">
        <v>-9.2170391287056e-20</v>
      </c>
      <c r="AJ23" s="6">
        <v>7.5875555772302e-19</v>
      </c>
      <c r="AK23" s="6">
        <v>1.2500632169912e-19</v>
      </c>
      <c r="AL23" s="6">
        <v>7.7111828318847e-19</v>
      </c>
      <c r="AM23" s="6">
        <v>4.0274946997442e-20</v>
      </c>
      <c r="AN23" s="6">
        <v>-6.1533397604084e-20</v>
      </c>
      <c r="AO23" s="6">
        <v>9.5064643512227e-19</v>
      </c>
      <c r="AP23" s="6">
        <v>-1.2125133954919e-20</v>
      </c>
      <c r="AQ23" s="6">
        <v>4.682544337425e-19</v>
      </c>
      <c r="AR23" s="6">
        <v>-4.0925077126102e-18</v>
      </c>
      <c r="AS23" s="6">
        <v>-4.289480522859e-19</v>
      </c>
      <c r="AT23" s="6">
        <v>3.2568432838184e-19</v>
      </c>
      <c r="AU23" s="6">
        <v>-9.0423073553486e-19</v>
      </c>
      <c r="AV23" s="6">
        <v>-6.4411604876325e-19</v>
      </c>
      <c r="AW23" s="6">
        <v>-2.7322087353444e-19</v>
      </c>
      <c r="AX23" s="6">
        <v>2.5600328123997e-18</v>
      </c>
      <c r="AY23" s="6">
        <v>4.8515829849863e-19</v>
      </c>
      <c r="AZ23" s="6">
        <v>-1.7430687019243e-18</v>
      </c>
      <c r="BA23" s="6">
        <v>2.3315191532478e-18</v>
      </c>
      <c r="BB23" s="6">
        <v>-7.2576262088241e-18</v>
      </c>
      <c r="BC23" s="4">
        <v>15999105.344979</v>
      </c>
      <c r="BD23" s="4">
        <v>3999725.2881155</v>
      </c>
      <c r="BE23" s="4">
        <v>-0.00011993329547252</v>
      </c>
      <c r="BF23" s="4">
        <v>0.00025392541074359</v>
      </c>
      <c r="BG23" s="6">
        <v>7.271872313471e-5</v>
      </c>
      <c r="BH23" s="4">
        <v>-0.00018144444526876</v>
      </c>
      <c r="BI23" s="4">
        <v>60.044437148803</v>
      </c>
      <c r="BJ23" s="4">
        <v>30.023757247921</v>
      </c>
      <c r="BK23" s="4">
        <v>55.237688330551</v>
      </c>
      <c r="BL23" s="4"/>
      <c r="BM23" s="7"/>
    </row>
    <row r="24" spans="1:65">
      <c r="A24" s="4">
        <v>223341.79607548</v>
      </c>
      <c r="B24" s="6">
        <v>1.9780928591802e-6</v>
      </c>
      <c r="C24" s="6">
        <f t="shared" si="0"/>
        <v>9.60212607271134e-12</v>
      </c>
      <c r="D24" s="6">
        <v>6.3091307134619e-13</v>
      </c>
      <c r="E24" s="6">
        <v>7.6532203603716e-13</v>
      </c>
      <c r="F24" s="6">
        <v>7.6532203602031e-13</v>
      </c>
      <c r="G24" s="6">
        <v>7.6532203593759e-13</v>
      </c>
      <c r="H24" s="6">
        <v>6.3091307119224e-13</v>
      </c>
      <c r="I24" s="6">
        <v>6.3091307124821e-13</v>
      </c>
      <c r="J24" s="6">
        <v>6.3091307121732e-13</v>
      </c>
      <c r="K24" s="6">
        <v>6.6725474003395e-13</v>
      </c>
      <c r="L24" s="6">
        <v>6.6725474012965e-13</v>
      </c>
      <c r="M24" s="6">
        <v>6.6725473998791e-13</v>
      </c>
      <c r="N24" s="6">
        <v>6.9764600912988e-13</v>
      </c>
      <c r="O24" s="6">
        <v>6.3091307119548e-13</v>
      </c>
      <c r="P24" s="6">
        <v>6.9764600907652e-13</v>
      </c>
      <c r="Q24" s="6">
        <v>6.9764600943232e-13</v>
      </c>
      <c r="R24" s="6">
        <v>7.6532203594345e-13</v>
      </c>
      <c r="S24" s="6">
        <v>7.6532203589221e-13</v>
      </c>
      <c r="T24" s="6">
        <v>7.6532203593946e-13</v>
      </c>
      <c r="U24" s="6">
        <v>6.3091307120962e-13</v>
      </c>
      <c r="V24" s="6">
        <v>6.6725474007691e-13</v>
      </c>
      <c r="W24" s="6">
        <v>6.672547401722e-13</v>
      </c>
      <c r="X24" s="6">
        <v>6.6725474004591e-13</v>
      </c>
      <c r="Y24" s="6">
        <v>6.9764600910164e-13</v>
      </c>
      <c r="Z24" s="6">
        <v>6.9764600939746e-13</v>
      </c>
      <c r="AA24" s="6">
        <v>6.9764600950479e-13</v>
      </c>
      <c r="AB24" s="4">
        <v>0.99999838431807</v>
      </c>
      <c r="AC24" s="4">
        <v>0.99999444525933</v>
      </c>
      <c r="AD24" s="4">
        <v>0.00024788341680293</v>
      </c>
      <c r="AE24" s="6">
        <v>-6.0734802065208e-19</v>
      </c>
      <c r="AF24" s="6">
        <v>3.3297728327816e-18</v>
      </c>
      <c r="AG24" s="6">
        <v>2.635441878907e-18</v>
      </c>
      <c r="AH24" s="6">
        <v>3.0076598534332e-19</v>
      </c>
      <c r="AI24" s="6">
        <v>-9.2295687491843e-20</v>
      </c>
      <c r="AJ24" s="6">
        <v>7.5872410645968e-19</v>
      </c>
      <c r="AK24" s="6">
        <v>1.2501281251589e-19</v>
      </c>
      <c r="AL24" s="6">
        <v>7.7087636754459e-19</v>
      </c>
      <c r="AM24" s="6">
        <v>4.3381910309792e-20</v>
      </c>
      <c r="AN24" s="6">
        <v>-6.1517088099679e-20</v>
      </c>
      <c r="AO24" s="6">
        <v>9.5017879976879e-19</v>
      </c>
      <c r="AP24" s="6">
        <v>-1.1940823223057e-20</v>
      </c>
      <c r="AQ24" s="6">
        <v>4.6851692371146e-19</v>
      </c>
      <c r="AR24" s="6">
        <v>-4.0919290715441e-18</v>
      </c>
      <c r="AS24" s="6">
        <v>-4.2805942348867e-19</v>
      </c>
      <c r="AT24" s="6">
        <v>3.2520972562482e-19</v>
      </c>
      <c r="AU24" s="6">
        <v>-9.0322637542231e-19</v>
      </c>
      <c r="AV24" s="6">
        <v>-6.4421149649032e-19</v>
      </c>
      <c r="AW24" s="6">
        <v>-2.7284594168301e-19</v>
      </c>
      <c r="AX24" s="6">
        <v>2.5575092661911e-18</v>
      </c>
      <c r="AY24" s="6">
        <v>4.8478223996701e-19</v>
      </c>
      <c r="AZ24" s="6">
        <v>-1.7411860163489e-18</v>
      </c>
      <c r="BA24" s="6">
        <v>2.3312646319432e-18</v>
      </c>
      <c r="BB24" s="6">
        <v>-7.2574238605331e-18</v>
      </c>
      <c r="BC24" s="4">
        <v>15998996.150464</v>
      </c>
      <c r="BD24" s="4">
        <v>3999691.7598333</v>
      </c>
      <c r="BE24" s="4">
        <v>-0.00011989533229281</v>
      </c>
      <c r="BF24" s="4">
        <v>0.00025415862920576</v>
      </c>
      <c r="BG24" s="6">
        <v>7.2849839891161e-5</v>
      </c>
      <c r="BH24" s="4">
        <v>-0.00018137235093893</v>
      </c>
      <c r="BI24" s="4">
        <v>60.044437009903</v>
      </c>
      <c r="BJ24" s="4">
        <v>30.023757600546</v>
      </c>
      <c r="BK24" s="4">
        <v>55.235031764868</v>
      </c>
      <c r="BL24" s="4"/>
      <c r="BM24" s="7"/>
    </row>
    <row r="25" spans="1:65">
      <c r="A25" s="4">
        <v>250593.61681364</v>
      </c>
      <c r="B25" s="6">
        <v>2.2194954691974e-6</v>
      </c>
      <c r="C25" s="6">
        <f t="shared" si="0"/>
        <v>9.60128282671421e-12</v>
      </c>
      <c r="D25" s="6">
        <v>6.3091092657049e-13</v>
      </c>
      <c r="E25" s="6">
        <v>7.6528480469992e-13</v>
      </c>
      <c r="F25" s="6">
        <v>7.6528480468105e-13</v>
      </c>
      <c r="G25" s="6">
        <v>7.6528480458833e-13</v>
      </c>
      <c r="H25" s="6">
        <v>6.309109263978e-13</v>
      </c>
      <c r="I25" s="6">
        <v>6.3091092646056e-13</v>
      </c>
      <c r="J25" s="6">
        <v>6.3091092642593e-13</v>
      </c>
      <c r="K25" s="6">
        <v>6.672423008444e-13</v>
      </c>
      <c r="L25" s="6">
        <v>6.6724230095181e-13</v>
      </c>
      <c r="M25" s="6">
        <v>6.6724230079273e-13</v>
      </c>
      <c r="N25" s="6">
        <v>6.9761590487778e-13</v>
      </c>
      <c r="O25" s="6">
        <v>6.3091092640143e-13</v>
      </c>
      <c r="P25" s="6">
        <v>6.9761590481789e-13</v>
      </c>
      <c r="Q25" s="6">
        <v>6.9761590521723e-13</v>
      </c>
      <c r="R25" s="6">
        <v>7.6528480459484e-13</v>
      </c>
      <c r="S25" s="6">
        <v>7.6528480453738e-13</v>
      </c>
      <c r="T25" s="6">
        <v>7.6528480459039e-13</v>
      </c>
      <c r="U25" s="6">
        <v>6.309109264173e-13</v>
      </c>
      <c r="V25" s="6">
        <v>6.672423008925e-13</v>
      </c>
      <c r="W25" s="6">
        <v>6.6724230099952e-13</v>
      </c>
      <c r="X25" s="6">
        <v>6.6724230085788e-13</v>
      </c>
      <c r="Y25" s="6">
        <v>6.9761590484602e-13</v>
      </c>
      <c r="Z25" s="6">
        <v>6.9761590517803e-13</v>
      </c>
      <c r="AA25" s="6">
        <v>6.976159052986e-13</v>
      </c>
      <c r="AB25" s="4">
        <v>0.99999838401773</v>
      </c>
      <c r="AC25" s="4">
        <v>0.99999444365765</v>
      </c>
      <c r="AD25" s="4">
        <v>0.0002480835223615</v>
      </c>
      <c r="AE25" s="6">
        <v>-6.0797002241195e-19</v>
      </c>
      <c r="AF25" s="6">
        <v>3.3258459508111e-18</v>
      </c>
      <c r="AG25" s="6">
        <v>2.6334748412998e-18</v>
      </c>
      <c r="AH25" s="6">
        <v>3.0145194449961e-19</v>
      </c>
      <c r="AI25" s="6">
        <v>-9.2436264620869e-20</v>
      </c>
      <c r="AJ25" s="6">
        <v>7.5868812864973e-19</v>
      </c>
      <c r="AK25" s="6">
        <v>1.2501981585175e-19</v>
      </c>
      <c r="AL25" s="6">
        <v>7.7060547338153e-19</v>
      </c>
      <c r="AM25" s="6">
        <v>4.6870587209066e-20</v>
      </c>
      <c r="AN25" s="6">
        <v>-6.1499062162511e-20</v>
      </c>
      <c r="AO25" s="6">
        <v>9.4965460146861e-19</v>
      </c>
      <c r="AP25" s="6">
        <v>-1.173424970084e-20</v>
      </c>
      <c r="AQ25" s="6">
        <v>4.6881048490907e-19</v>
      </c>
      <c r="AR25" s="6">
        <v>-4.0912759220417e-18</v>
      </c>
      <c r="AS25" s="6">
        <v>-4.270629432631e-19</v>
      </c>
      <c r="AT25" s="6">
        <v>3.246775157478e-19</v>
      </c>
      <c r="AU25" s="6">
        <v>-9.0209995364221e-19</v>
      </c>
      <c r="AV25" s="6">
        <v>-6.4431889175296e-19</v>
      </c>
      <c r="AW25" s="6">
        <v>-2.7242449367854e-19</v>
      </c>
      <c r="AX25" s="6">
        <v>2.5546774527202e-18</v>
      </c>
      <c r="AY25" s="6">
        <v>4.8435895869819e-19</v>
      </c>
      <c r="AZ25" s="6">
        <v>-1.7390756386211e-18</v>
      </c>
      <c r="BA25" s="6">
        <v>2.3309771995763e-18</v>
      </c>
      <c r="BB25" s="6">
        <v>-7.2571902947385e-18</v>
      </c>
      <c r="BC25" s="4">
        <v>15998873.635176</v>
      </c>
      <c r="BD25" s="4">
        <v>3999654.1420286</v>
      </c>
      <c r="BE25" s="4">
        <v>-0.00011985272368554</v>
      </c>
      <c r="BF25" s="4">
        <v>0.00025442028164421</v>
      </c>
      <c r="BG25" s="6">
        <v>7.299695230029e-5</v>
      </c>
      <c r="BH25" s="4">
        <v>-0.00018129135235286</v>
      </c>
      <c r="BI25" s="4">
        <v>60.044436855229</v>
      </c>
      <c r="BJ25" s="4">
        <v>30.023757995885</v>
      </c>
      <c r="BK25" s="4">
        <v>55.232053254068</v>
      </c>
      <c r="BL25" s="4"/>
      <c r="BM25" s="7"/>
    </row>
    <row r="26" spans="1:65">
      <c r="A26" s="4">
        <v>281170.66259518</v>
      </c>
      <c r="B26" s="6">
        <v>2.4903398694577e-6</v>
      </c>
      <c r="C26" s="6">
        <f t="shared" si="0"/>
        <v>9.6003373183034e-12</v>
      </c>
      <c r="D26" s="6">
        <v>6.3090851083622e-13</v>
      </c>
      <c r="E26" s="6">
        <v>7.6524304800726e-13</v>
      </c>
      <c r="F26" s="6">
        <v>7.6524304798612e-13</v>
      </c>
      <c r="G26" s="6">
        <v>7.6524304788223e-13</v>
      </c>
      <c r="H26" s="6">
        <v>6.309085106425e-13</v>
      </c>
      <c r="I26" s="6">
        <v>6.3090851071289e-13</v>
      </c>
      <c r="J26" s="6">
        <v>6.3090851067407e-13</v>
      </c>
      <c r="K26" s="6">
        <v>6.6722833985598e-13</v>
      </c>
      <c r="L26" s="6">
        <v>6.6722833997652e-13</v>
      </c>
      <c r="M26" s="6">
        <v>6.6722833979797e-13</v>
      </c>
      <c r="N26" s="6">
        <v>6.9758214513248e-13</v>
      </c>
      <c r="O26" s="6">
        <v>6.3090851064657e-13</v>
      </c>
      <c r="P26" s="6">
        <v>6.9758214506527e-13</v>
      </c>
      <c r="Q26" s="6">
        <v>6.9758214551349e-13</v>
      </c>
      <c r="R26" s="6">
        <v>7.6524304788944e-13</v>
      </c>
      <c r="S26" s="6">
        <v>7.6524304782501e-13</v>
      </c>
      <c r="T26" s="6">
        <v>7.6524304788448e-13</v>
      </c>
      <c r="U26" s="6">
        <v>6.309085106644e-13</v>
      </c>
      <c r="V26" s="6">
        <v>6.6722833990981e-13</v>
      </c>
      <c r="W26" s="6">
        <v>6.6722834003002e-13</v>
      </c>
      <c r="X26" s="6">
        <v>6.6722833987115e-13</v>
      </c>
      <c r="Y26" s="6">
        <v>6.9758214509677e-13</v>
      </c>
      <c r="Z26" s="6">
        <v>6.9758214546938e-13</v>
      </c>
      <c r="AA26" s="6">
        <v>6.9758214560485e-13</v>
      </c>
      <c r="AB26" s="4">
        <v>0.99999838367996</v>
      </c>
      <c r="AC26" s="4">
        <v>0.99999444185933</v>
      </c>
      <c r="AD26" s="4">
        <v>0.00024830811195365</v>
      </c>
      <c r="AE26" s="6">
        <v>-6.0866808481082e-19</v>
      </c>
      <c r="AF26" s="6">
        <v>3.3214440711998e-18</v>
      </c>
      <c r="AG26" s="6">
        <v>2.6312703106314e-18</v>
      </c>
      <c r="AH26" s="6">
        <v>3.0222196544997e-19</v>
      </c>
      <c r="AI26" s="6">
        <v>-9.2593986308801e-20</v>
      </c>
      <c r="AJ26" s="6">
        <v>7.5864689308987e-19</v>
      </c>
      <c r="AK26" s="6">
        <v>1.2502732197114e-19</v>
      </c>
      <c r="AL26" s="6">
        <v>7.703022027327e-19</v>
      </c>
      <c r="AM26" s="6">
        <v>5.0788226241848e-20</v>
      </c>
      <c r="AN26" s="6">
        <v>-6.1479180209441e-20</v>
      </c>
      <c r="AO26" s="6">
        <v>9.4906706273472e-19</v>
      </c>
      <c r="AP26" s="6">
        <v>-1.1502755533937e-20</v>
      </c>
      <c r="AQ26" s="6">
        <v>4.6913866090908e-19</v>
      </c>
      <c r="AR26" s="6">
        <v>-4.0905381727025e-18</v>
      </c>
      <c r="AS26" s="6">
        <v>-4.2594560293942e-19</v>
      </c>
      <c r="AT26" s="6">
        <v>3.2408074733573e-19</v>
      </c>
      <c r="AU26" s="6">
        <v>-9.0083670163406e-19</v>
      </c>
      <c r="AV26" s="6">
        <v>-6.444397702285e-19</v>
      </c>
      <c r="AW26" s="6">
        <v>-2.7195065977599e-19</v>
      </c>
      <c r="AX26" s="6">
        <v>2.5514996612422e-18</v>
      </c>
      <c r="AY26" s="6">
        <v>4.8388234646014e-19</v>
      </c>
      <c r="AZ26" s="6">
        <v>-1.7367103097867e-18</v>
      </c>
      <c r="BA26" s="6">
        <v>2.3306523589314e-18</v>
      </c>
      <c r="BB26" s="6">
        <v>-7.2569200222577e-18</v>
      </c>
      <c r="BC26" s="4">
        <v>15998736.174505</v>
      </c>
      <c r="BD26" s="4">
        <v>3999611.9361043</v>
      </c>
      <c r="BE26" s="4">
        <v>-0.00011980489941933</v>
      </c>
      <c r="BF26" s="4">
        <v>0.00025471383159791</v>
      </c>
      <c r="BG26" s="6">
        <v>7.3162011348438e-5</v>
      </c>
      <c r="BH26" s="4">
        <v>-0.0001812003309382</v>
      </c>
      <c r="BI26" s="4">
        <v>60.044436683163</v>
      </c>
      <c r="BJ26" s="4">
        <v>30.023758439071</v>
      </c>
      <c r="BK26" s="4">
        <v>55.228714083333</v>
      </c>
      <c r="BL26" s="4"/>
      <c r="BM26" s="7"/>
    </row>
    <row r="27" spans="1:65">
      <c r="A27" s="4">
        <v>315478.6722401</v>
      </c>
      <c r="B27" s="6">
        <v>2.7942149439155e-6</v>
      </c>
      <c r="C27" s="6">
        <f t="shared" si="0"/>
        <v>9.5992773340246e-12</v>
      </c>
      <c r="D27" s="6">
        <v>6.3090578868601e-13</v>
      </c>
      <c r="E27" s="6">
        <v>7.6519621829153e-13</v>
      </c>
      <c r="F27" s="6">
        <v>7.6519621826787e-13</v>
      </c>
      <c r="G27" s="6">
        <v>7.6519621815146e-13</v>
      </c>
      <c r="H27" s="6">
        <v>6.3090578846873e-13</v>
      </c>
      <c r="I27" s="6">
        <v>6.3090578854765e-13</v>
      </c>
      <c r="J27" s="6">
        <v>6.3090578850414e-13</v>
      </c>
      <c r="K27" s="6">
        <v>6.6721267034855e-13</v>
      </c>
      <c r="L27" s="6">
        <v>6.6721267048384e-13</v>
      </c>
      <c r="M27" s="6">
        <v>6.6721267028342e-13</v>
      </c>
      <c r="N27" s="6">
        <v>6.9754428842036e-13</v>
      </c>
      <c r="O27" s="6">
        <v>6.3090578847329e-13</v>
      </c>
      <c r="P27" s="6">
        <v>6.9754428834494e-13</v>
      </c>
      <c r="Q27" s="6">
        <v>6.9754428884804e-13</v>
      </c>
      <c r="R27" s="6">
        <v>7.6519621815944e-13</v>
      </c>
      <c r="S27" s="6">
        <v>7.6519621808721e-13</v>
      </c>
      <c r="T27" s="6">
        <v>7.6519621815393e-13</v>
      </c>
      <c r="U27" s="6">
        <v>6.3090578849332e-13</v>
      </c>
      <c r="V27" s="6">
        <v>6.6721267040878e-13</v>
      </c>
      <c r="W27" s="6">
        <v>6.6721267054382e-13</v>
      </c>
      <c r="X27" s="6">
        <v>6.6721267036565e-13</v>
      </c>
      <c r="Y27" s="6">
        <v>6.9754428838019e-13</v>
      </c>
      <c r="Z27" s="6">
        <v>6.975442887984e-13</v>
      </c>
      <c r="AA27" s="6">
        <v>6.9754428895063e-13</v>
      </c>
      <c r="AB27" s="4">
        <v>0.99999838330002</v>
      </c>
      <c r="AC27" s="4">
        <v>0.99999443984009</v>
      </c>
      <c r="AD27" s="4">
        <v>0.00024856019025674</v>
      </c>
      <c r="AE27" s="6">
        <v>-6.0945152427896e-19</v>
      </c>
      <c r="AF27" s="6">
        <v>3.3165103101018e-18</v>
      </c>
      <c r="AG27" s="6">
        <v>2.6287999553372e-18</v>
      </c>
      <c r="AH27" s="6">
        <v>3.0308639822023e-19</v>
      </c>
      <c r="AI27" s="6">
        <v>-9.2770943778164e-20</v>
      </c>
      <c r="AJ27" s="6">
        <v>7.585995329521e-19</v>
      </c>
      <c r="AK27" s="6">
        <v>1.2503530127185e-19</v>
      </c>
      <c r="AL27" s="6">
        <v>7.6996277790358e-19</v>
      </c>
      <c r="AM27" s="6">
        <v>5.518801439573e-20</v>
      </c>
      <c r="AN27" s="6">
        <v>-6.1457303263493e-20</v>
      </c>
      <c r="AO27" s="6">
        <v>9.4840860954262e-19</v>
      </c>
      <c r="AP27" s="6">
        <v>-1.1243373718098e-20</v>
      </c>
      <c r="AQ27" s="6">
        <v>4.6950536358235e-19</v>
      </c>
      <c r="AR27" s="6">
        <v>-4.0897042460767e-18</v>
      </c>
      <c r="AS27" s="6">
        <v>-4.2469284647805e-19</v>
      </c>
      <c r="AT27" s="6">
        <v>3.2341164062605e-19</v>
      </c>
      <c r="AU27" s="6">
        <v>-8.9942008069353e-19</v>
      </c>
      <c r="AV27" s="6">
        <v>-6.4457587512048e-19</v>
      </c>
      <c r="AW27" s="6">
        <v>-2.7141780561905e-19</v>
      </c>
      <c r="AX27" s="6">
        <v>2.5479335519872e-18</v>
      </c>
      <c r="AY27" s="6">
        <v>4.8334546018007e-19</v>
      </c>
      <c r="AZ27" s="6">
        <v>-1.7340595797739e-18</v>
      </c>
      <c r="BA27" s="6">
        <v>2.3302849390581e-18</v>
      </c>
      <c r="BB27" s="6">
        <v>-7.2566064529022e-18</v>
      </c>
      <c r="BC27" s="4">
        <v>15998581.945812</v>
      </c>
      <c r="BD27" s="4">
        <v>3999564.5827286</v>
      </c>
      <c r="BE27" s="4">
        <v>-0.00011975121881007</v>
      </c>
      <c r="BF27" s="4">
        <v>0.00025504316369727</v>
      </c>
      <c r="BG27" s="6">
        <v>7.3347205880447e-5</v>
      </c>
      <c r="BH27" s="4">
        <v>-0.00018109802900977</v>
      </c>
      <c r="BI27" s="4">
        <v>60.04443649197</v>
      </c>
      <c r="BJ27" s="4">
        <v>30.023758935848</v>
      </c>
      <c r="BK27" s="4">
        <v>55.224970960093</v>
      </c>
      <c r="BL27" s="4"/>
      <c r="BM27" s="7"/>
    </row>
    <row r="28" spans="1:65">
      <c r="A28" s="4">
        <v>353972.89219207</v>
      </c>
      <c r="B28" s="6">
        <v>3.1351465690183e-6</v>
      </c>
      <c r="C28" s="6">
        <f t="shared" si="0"/>
        <v>9.59808907521705e-12</v>
      </c>
      <c r="D28" s="6">
        <v>6.3090271971684e-13</v>
      </c>
      <c r="E28" s="6">
        <v>7.6514370221213e-13</v>
      </c>
      <c r="F28" s="6">
        <v>7.6514370218565e-13</v>
      </c>
      <c r="G28" s="6">
        <v>7.6514370205525e-13</v>
      </c>
      <c r="H28" s="6">
        <v>6.3090271947314e-13</v>
      </c>
      <c r="I28" s="6">
        <v>6.3090271956163e-13</v>
      </c>
      <c r="J28" s="6">
        <v>6.3090271951287e-13</v>
      </c>
      <c r="K28" s="6">
        <v>6.6719508255228e-13</v>
      </c>
      <c r="L28" s="6">
        <v>6.6719508270412e-13</v>
      </c>
      <c r="M28" s="6">
        <v>6.6719508247916e-13</v>
      </c>
      <c r="N28" s="6">
        <v>6.9750184056475e-13</v>
      </c>
      <c r="O28" s="6">
        <v>6.3090271947824e-13</v>
      </c>
      <c r="P28" s="6">
        <v>6.9750184048011e-13</v>
      </c>
      <c r="Q28" s="6">
        <v>6.9750184104482e-13</v>
      </c>
      <c r="R28" s="6">
        <v>7.6514370206405e-13</v>
      </c>
      <c r="S28" s="6">
        <v>7.6514370198308e-13</v>
      </c>
      <c r="T28" s="6">
        <v>7.6514370205793e-13</v>
      </c>
      <c r="U28" s="6">
        <v>6.3090271950075e-13</v>
      </c>
      <c r="V28" s="6">
        <v>6.6719508261964e-13</v>
      </c>
      <c r="W28" s="6">
        <v>6.6719508277137e-13</v>
      </c>
      <c r="X28" s="6">
        <v>6.6719508257156e-13</v>
      </c>
      <c r="Y28" s="6">
        <v>6.9750184051955e-13</v>
      </c>
      <c r="Z28" s="6">
        <v>6.9750184098894e-13</v>
      </c>
      <c r="AA28" s="6">
        <v>6.9750184116003e-13</v>
      </c>
      <c r="AB28" s="4">
        <v>0.99999838287249</v>
      </c>
      <c r="AC28" s="4">
        <v>0.99999443757256</v>
      </c>
      <c r="AD28" s="4">
        <v>0.00024884313290071</v>
      </c>
      <c r="AE28" s="6">
        <v>-6.1033080031441e-19</v>
      </c>
      <c r="AF28" s="6">
        <v>3.3109811203465e-18</v>
      </c>
      <c r="AG28" s="6">
        <v>2.626032152065e-18</v>
      </c>
      <c r="AH28" s="6">
        <v>3.0405687944918e-19</v>
      </c>
      <c r="AI28" s="6">
        <v>-9.2969483804606e-20</v>
      </c>
      <c r="AJ28" s="6">
        <v>7.5854501701082e-19</v>
      </c>
      <c r="AK28" s="6">
        <v>1.2504369704932e-19</v>
      </c>
      <c r="AL28" s="6">
        <v>7.695830039301e-19</v>
      </c>
      <c r="AM28" s="6">
        <v>6.0129846030764e-20</v>
      </c>
      <c r="AN28" s="6">
        <v>-6.1433297491164e-20</v>
      </c>
      <c r="AO28" s="6">
        <v>9.4767078116032e-19</v>
      </c>
      <c r="AP28" s="6">
        <v>-1.0952794312998e-20</v>
      </c>
      <c r="AQ28" s="6">
        <v>4.6991490153281e-19</v>
      </c>
      <c r="AR28" s="6">
        <v>-4.0887608336869e-18</v>
      </c>
      <c r="AS28" s="6">
        <v>-4.2328839203624e-19</v>
      </c>
      <c r="AT28" s="6">
        <v>3.2266149137652e-19</v>
      </c>
      <c r="AU28" s="6">
        <v>-8.9783157399051e-19</v>
      </c>
      <c r="AV28" s="6">
        <v>-6.4472918758167e-19</v>
      </c>
      <c r="AW28" s="6">
        <v>-2.7081842733384e-19</v>
      </c>
      <c r="AX28" s="6">
        <v>2.5439315832626e-18</v>
      </c>
      <c r="AY28" s="6">
        <v>4.8274039686324e-19</v>
      </c>
      <c r="AZ28" s="6">
        <v>-1.7310894523516e-18</v>
      </c>
      <c r="BA28" s="6">
        <v>2.3298689805008e-18</v>
      </c>
      <c r="BB28" s="6">
        <v>-7.256241651589e-18</v>
      </c>
      <c r="BC28" s="4">
        <v>15998408.904314</v>
      </c>
      <c r="BD28" s="4">
        <v>3999511.4544507</v>
      </c>
      <c r="BE28" s="4">
        <v>-0.00011969096190265</v>
      </c>
      <c r="BF28" s="4">
        <v>0.00025541263464925</v>
      </c>
      <c r="BG28" s="6">
        <v>7.3554991566659e-5</v>
      </c>
      <c r="BH28" s="4">
        <v>-0.00018098302401239</v>
      </c>
      <c r="BI28" s="4">
        <v>60.044436279783</v>
      </c>
      <c r="BJ28" s="4">
        <v>30.023759492623</v>
      </c>
      <c r="BK28" s="4">
        <v>55.220775492858</v>
      </c>
      <c r="BL28" s="4"/>
      <c r="BM28" s="7"/>
    </row>
    <row r="29" spans="1:65">
      <c r="A29" s="4">
        <v>397164.11736215</v>
      </c>
      <c r="B29" s="6">
        <v>3.5176507000067e-6</v>
      </c>
      <c r="C29" s="6">
        <f t="shared" si="0"/>
        <v>9.59675718685505e-12</v>
      </c>
      <c r="D29" s="6">
        <v>6.3089925781554e-13</v>
      </c>
      <c r="E29" s="6">
        <v>7.6508481303451e-13</v>
      </c>
      <c r="F29" s="6">
        <v>7.6508481300486e-13</v>
      </c>
      <c r="G29" s="6">
        <v>7.6508481285882e-13</v>
      </c>
      <c r="H29" s="6">
        <v>6.3089925754221e-13</v>
      </c>
      <c r="I29" s="6">
        <v>6.3089925764142e-13</v>
      </c>
      <c r="J29" s="6">
        <v>6.3089925758679e-13</v>
      </c>
      <c r="K29" s="6">
        <v>6.6717534076544e-13</v>
      </c>
      <c r="L29" s="6">
        <v>6.6717534093585e-13</v>
      </c>
      <c r="M29" s="6">
        <v>6.6717534068333e-13</v>
      </c>
      <c r="N29" s="6">
        <v>6.9745424855034e-13</v>
      </c>
      <c r="O29" s="6">
        <v>6.3089925754793e-13</v>
      </c>
      <c r="P29" s="6">
        <v>6.9745424845535e-13</v>
      </c>
      <c r="Q29" s="6">
        <v>6.9745424908923e-13</v>
      </c>
      <c r="R29" s="6">
        <v>7.6508481286851e-13</v>
      </c>
      <c r="S29" s="6">
        <v>7.6508481277776e-13</v>
      </c>
      <c r="T29" s="6">
        <v>7.6508481286174e-13</v>
      </c>
      <c r="U29" s="6">
        <v>6.3089925757321e-13</v>
      </c>
      <c r="V29" s="6">
        <v>6.6717534084074e-13</v>
      </c>
      <c r="W29" s="6">
        <v>6.6717534101123e-13</v>
      </c>
      <c r="X29" s="6">
        <v>6.6717534078718e-13</v>
      </c>
      <c r="Y29" s="6">
        <v>6.9745424849945e-13</v>
      </c>
      <c r="Z29" s="6">
        <v>6.9745424902631e-13</v>
      </c>
      <c r="AA29" s="6">
        <v>6.9745424921863e-13</v>
      </c>
      <c r="AB29" s="4">
        <v>0.99999838239125</v>
      </c>
      <c r="AC29" s="4">
        <v>0.99999443502597</v>
      </c>
      <c r="AD29" s="4">
        <v>0.00024916073280337</v>
      </c>
      <c r="AE29" s="6">
        <v>-6.113176554613e-19</v>
      </c>
      <c r="AF29" s="6">
        <v>3.3047855501938e-18</v>
      </c>
      <c r="AG29" s="6">
        <v>2.6229316255269e-18</v>
      </c>
      <c r="AH29" s="6">
        <v>3.0514649531843e-19</v>
      </c>
      <c r="AI29" s="6">
        <v>-9.3192240254881e-20</v>
      </c>
      <c r="AJ29" s="6">
        <v>7.5848211437762e-19</v>
      </c>
      <c r="AK29" s="6">
        <v>1.2505241614844e-19</v>
      </c>
      <c r="AL29" s="6">
        <v>7.691582285817e-19</v>
      </c>
      <c r="AM29" s="6">
        <v>6.5681197050849e-20</v>
      </c>
      <c r="AN29" s="6">
        <v>-6.140704031062e-20</v>
      </c>
      <c r="AO29" s="6">
        <v>9.46844130675e-19</v>
      </c>
      <c r="AP29" s="6">
        <v>-1.0627327524398e-20</v>
      </c>
      <c r="AQ29" s="6">
        <v>4.7037200768936e-19</v>
      </c>
      <c r="AR29" s="6">
        <v>-4.0876926046431e-18</v>
      </c>
      <c r="AS29" s="6">
        <v>-4.2171403489094e-19</v>
      </c>
      <c r="AT29" s="6">
        <v>3.2182056436948e-19</v>
      </c>
      <c r="AU29" s="6">
        <v>-8.9605045522988e-19</v>
      </c>
      <c r="AV29" s="6">
        <v>-6.4490196238595e-19</v>
      </c>
      <c r="AW29" s="6">
        <v>-2.7014403096826e-19</v>
      </c>
      <c r="AX29" s="6">
        <v>2.5394403658409e-18</v>
      </c>
      <c r="AY29" s="6">
        <v>4.8205814709142e-19</v>
      </c>
      <c r="AZ29" s="6">
        <v>-1.7277619959518e-18</v>
      </c>
      <c r="BA29" s="6">
        <v>2.3293975982772e-18</v>
      </c>
      <c r="BB29" s="6">
        <v>-7.2558160365052e-18</v>
      </c>
      <c r="BC29" s="4">
        <v>15998214.756043</v>
      </c>
      <c r="BD29" s="4">
        <v>3999451.8474232</v>
      </c>
      <c r="BE29" s="4">
        <v>-0.00011962331951835</v>
      </c>
      <c r="BF29" s="4">
        <v>0.00025582713034981</v>
      </c>
      <c r="BG29" s="6">
        <v>7.3788123398204e-5</v>
      </c>
      <c r="BH29" s="4">
        <v>-0.00018085371724066</v>
      </c>
      <c r="BI29" s="4">
        <v>60.044436044634</v>
      </c>
      <c r="BJ29" s="4">
        <v>30.023760116549</v>
      </c>
      <c r="BK29" s="4">
        <v>55.216073616044</v>
      </c>
      <c r="BL29" s="4"/>
      <c r="BM29" s="7"/>
    </row>
    <row r="30" spans="1:65">
      <c r="A30" s="4">
        <v>445625.46906688</v>
      </c>
      <c r="B30" s="6">
        <v>3.9467928731324e-6</v>
      </c>
      <c r="C30" s="6">
        <f t="shared" si="0"/>
        <v>9.5952644772102e-12</v>
      </c>
      <c r="D30" s="6">
        <v>6.3089535026179e-13</v>
      </c>
      <c r="E30" s="6">
        <v>7.6501878204067e-13</v>
      </c>
      <c r="F30" s="6">
        <v>7.6501878200751e-13</v>
      </c>
      <c r="G30" s="6">
        <v>7.6501878184399e-13</v>
      </c>
      <c r="H30" s="6">
        <v>6.3089534995526e-13</v>
      </c>
      <c r="I30" s="6">
        <v>6.3089535006647e-13</v>
      </c>
      <c r="J30" s="6">
        <v>6.3089535000528e-13</v>
      </c>
      <c r="K30" s="6">
        <v>6.6715318010406e-13</v>
      </c>
      <c r="L30" s="6">
        <v>6.6715318029533e-13</v>
      </c>
      <c r="M30" s="6">
        <v>6.6715318001185e-13</v>
      </c>
      <c r="N30" s="6">
        <v>6.9740089371212e-13</v>
      </c>
      <c r="O30" s="6">
        <v>6.3089534996167e-13</v>
      </c>
      <c r="P30" s="6">
        <v>6.9740089360551e-13</v>
      </c>
      <c r="Q30" s="6">
        <v>6.9740089431708e-13</v>
      </c>
      <c r="R30" s="6">
        <v>7.6501878185463e-13</v>
      </c>
      <c r="S30" s="6">
        <v>7.6501878175293e-13</v>
      </c>
      <c r="T30" s="6">
        <v>7.6501878184713e-13</v>
      </c>
      <c r="U30" s="6">
        <v>6.3089534999008e-13</v>
      </c>
      <c r="V30" s="6">
        <v>6.671531801882e-13</v>
      </c>
      <c r="W30" s="6">
        <v>6.6715318037982e-13</v>
      </c>
      <c r="X30" s="6">
        <v>6.6715318012859e-13</v>
      </c>
      <c r="Y30" s="6">
        <v>6.9740089365481e-13</v>
      </c>
      <c r="Z30" s="6">
        <v>6.9740089424618e-13</v>
      </c>
      <c r="AA30" s="6">
        <v>6.9740089446242e-13</v>
      </c>
      <c r="AB30" s="4">
        <v>0.99999838184936</v>
      </c>
      <c r="AC30" s="4">
        <v>0.99999443216563</v>
      </c>
      <c r="AD30" s="4">
        <v>0.00024951725241706</v>
      </c>
      <c r="AE30" s="6">
        <v>-6.1242527193477e-19</v>
      </c>
      <c r="AF30" s="6">
        <v>3.2978444301339e-18</v>
      </c>
      <c r="AG30" s="6">
        <v>2.6194590553746e-18</v>
      </c>
      <c r="AH30" s="6">
        <v>3.0636996604793e-19</v>
      </c>
      <c r="AI30" s="6">
        <v>-9.3442169647717e-20</v>
      </c>
      <c r="AJ30" s="6">
        <v>7.5840935084079e-19</v>
      </c>
      <c r="AK30" s="6">
        <v>1.2506131685963e-19</v>
      </c>
      <c r="AL30" s="6">
        <v>7.6868330005305e-19</v>
      </c>
      <c r="AM30" s="6">
        <v>7.1918119990418e-20</v>
      </c>
      <c r="AN30" s="6">
        <v>-6.1378428552078e-20</v>
      </c>
      <c r="AO30" s="6">
        <v>9.459181150778e-19</v>
      </c>
      <c r="AP30" s="6">
        <v>-1.0262863559211e-20</v>
      </c>
      <c r="AQ30" s="6">
        <v>4.7088186490087e-19</v>
      </c>
      <c r="AR30" s="6">
        <v>-4.0864818593308e-18</v>
      </c>
      <c r="AS30" s="6">
        <v>-4.1994942990816e-19</v>
      </c>
      <c r="AT30" s="6">
        <v>3.2087797537147e-19</v>
      </c>
      <c r="AU30" s="6">
        <v>-8.9405353158792e-19</v>
      </c>
      <c r="AV30" s="6">
        <v>-6.4509676942561e-19</v>
      </c>
      <c r="AW30" s="6">
        <v>-2.6938499388381e-19</v>
      </c>
      <c r="AX30" s="6">
        <v>2.5343999354461e-18</v>
      </c>
      <c r="AY30" s="6">
        <v>4.8128842341352e-19</v>
      </c>
      <c r="AZ30" s="6">
        <v>-1.7240349179607e-18</v>
      </c>
      <c r="BA30" s="6">
        <v>2.3288628168492e-18</v>
      </c>
      <c r="BB30" s="6">
        <v>-7.2553180057948e-18</v>
      </c>
      <c r="BC30" s="4">
        <v>15997996.927531</v>
      </c>
      <c r="BD30" s="4">
        <v>3999384.9721222</v>
      </c>
      <c r="BE30" s="4">
        <v>-0.00011954738201858</v>
      </c>
      <c r="BF30" s="4">
        <v>0.00025629212983634</v>
      </c>
      <c r="BG30" s="6">
        <v>7.4049692128272e-5</v>
      </c>
      <c r="BH30" s="4">
        <v>-0.00018070829770102</v>
      </c>
      <c r="BI30" s="4">
        <v>60.044435784477</v>
      </c>
      <c r="BJ30" s="4">
        <v>30.023760815618</v>
      </c>
      <c r="BK30" s="4">
        <v>55.210804956486</v>
      </c>
      <c r="BL30" s="4"/>
      <c r="BM30" s="7"/>
    </row>
    <row r="31" spans="1:65">
      <c r="A31" s="4">
        <v>500000.00000001</v>
      </c>
      <c r="B31" s="6">
        <v>4.4282548932794e-6</v>
      </c>
      <c r="C31" s="6">
        <f t="shared" si="0"/>
        <v>9.59359174834081e-12</v>
      </c>
      <c r="D31" s="6">
        <v>6.3089093666756e-13</v>
      </c>
      <c r="E31" s="6">
        <v>7.6494474898236e-13</v>
      </c>
      <c r="F31" s="6">
        <v>7.6494474894528e-13</v>
      </c>
      <c r="G31" s="6">
        <v>7.6494474876224e-13</v>
      </c>
      <c r="H31" s="6">
        <v>6.3089093632382e-13</v>
      </c>
      <c r="I31" s="6">
        <v>6.3089093644847e-13</v>
      </c>
      <c r="J31" s="6">
        <v>6.3089093637993e-13</v>
      </c>
      <c r="K31" s="6">
        <v>6.671283028317e-13</v>
      </c>
      <c r="L31" s="6">
        <v>6.6712830304638e-13</v>
      </c>
      <c r="M31" s="6">
        <v>6.6712830272815e-13</v>
      </c>
      <c r="N31" s="6">
        <v>6.9734108418585e-13</v>
      </c>
      <c r="O31" s="6">
        <v>6.3089093633099e-13</v>
      </c>
      <c r="P31" s="6">
        <v>6.973410840662e-13</v>
      </c>
      <c r="Q31" s="6">
        <v>6.9734108486501e-13</v>
      </c>
      <c r="R31" s="6">
        <v>7.6494474877389e-13</v>
      </c>
      <c r="S31" s="6">
        <v>7.6494474865993e-13</v>
      </c>
      <c r="T31" s="6">
        <v>7.6494474876559e-13</v>
      </c>
      <c r="U31" s="6">
        <v>6.3089093636292e-13</v>
      </c>
      <c r="V31" s="6">
        <v>6.6712830292567e-13</v>
      </c>
      <c r="W31" s="6">
        <v>6.6712830314107e-13</v>
      </c>
      <c r="X31" s="6">
        <v>6.671283028594e-13</v>
      </c>
      <c r="Y31" s="6">
        <v>6.9734108412129e-13</v>
      </c>
      <c r="Z31" s="6">
        <v>6.973410847851e-13</v>
      </c>
      <c r="AA31" s="6">
        <v>6.9734108502829e-13</v>
      </c>
      <c r="AB31" s="4">
        <v>0.99999838123892</v>
      </c>
      <c r="AC31" s="4">
        <v>0.99999442895248</v>
      </c>
      <c r="AD31" s="4">
        <v>0.00024991748266743</v>
      </c>
      <c r="AE31" s="6">
        <v>-6.1366844678752e-19</v>
      </c>
      <c r="AF31" s="6">
        <v>3.2900694835469e-18</v>
      </c>
      <c r="AG31" s="6">
        <v>2.6155706477385e-18</v>
      </c>
      <c r="AH31" s="6">
        <v>3.0774385456754e-19</v>
      </c>
      <c r="AI31" s="6">
        <v>-9.3722591299896e-20</v>
      </c>
      <c r="AJ31" s="6">
        <v>7.5832495494798e-19</v>
      </c>
      <c r="AK31" s="6">
        <v>1.2507019343668e-19</v>
      </c>
      <c r="AL31" s="6">
        <v>7.681525228517e-19</v>
      </c>
      <c r="AM31" s="6">
        <v>7.8926378040323e-20</v>
      </c>
      <c r="AN31" s="6">
        <v>-6.1347389327958e-20</v>
      </c>
      <c r="AO31" s="6">
        <v>9.4488097422347e-19</v>
      </c>
      <c r="AP31" s="6">
        <v>-9.8548291999143e-21</v>
      </c>
      <c r="AQ31" s="6">
        <v>4.7145012794169e-19</v>
      </c>
      <c r="AR31" s="6">
        <v>-4.0851081169257e-18</v>
      </c>
      <c r="AS31" s="6">
        <v>-4.1797185196535e-19</v>
      </c>
      <c r="AT31" s="6">
        <v>3.1982156069787e-19</v>
      </c>
      <c r="AU31" s="6">
        <v>-8.9181485830967e-19</v>
      </c>
      <c r="AV31" s="6">
        <v>-6.4531654251462e-19</v>
      </c>
      <c r="AW31" s="6">
        <v>-2.6853040552189e-19</v>
      </c>
      <c r="AX31" s="6">
        <v>2.528742932052e-18</v>
      </c>
      <c r="AY31" s="6">
        <v>4.8041945809519e-19</v>
      </c>
      <c r="AZ31" s="6">
        <v>-1.7198611008862e-18</v>
      </c>
      <c r="BA31" s="6">
        <v>2.3282553722359e-18</v>
      </c>
      <c r="BB31" s="6">
        <v>-7.2547334759548e-18</v>
      </c>
      <c r="BC31" s="4">
        <v>15997752.531804</v>
      </c>
      <c r="BD31" s="4">
        <v>3999309.9429462</v>
      </c>
      <c r="BE31" s="4">
        <v>-0.00011946212660863</v>
      </c>
      <c r="BF31" s="4">
        <v>0.00025681377688762</v>
      </c>
      <c r="BG31" s="6">
        <v>7.4343165139157e-5</v>
      </c>
      <c r="BH31" s="4">
        <v>-0.00018054470685304</v>
      </c>
      <c r="BI31" s="4">
        <v>60.044435497194</v>
      </c>
      <c r="BJ31" s="4">
        <v>30.023761598751</v>
      </c>
      <c r="BK31" s="4">
        <v>55.204902137564</v>
      </c>
      <c r="BL31" s="4"/>
      <c r="BM31" s="7"/>
    </row>
    <row r="32" spans="1:65">
      <c r="A32" s="4">
        <v>561009.22715099</v>
      </c>
      <c r="B32" s="6">
        <v>4.9684095680655e-6</v>
      </c>
      <c r="C32" s="6">
        <f t="shared" si="0"/>
        <v>9.59171756793197e-12</v>
      </c>
      <c r="D32" s="6">
        <v>6.3088594771014e-13</v>
      </c>
      <c r="E32" s="6">
        <v>7.6486175147097e-13</v>
      </c>
      <c r="F32" s="6">
        <v>7.6486175142952e-13</v>
      </c>
      <c r="G32" s="6">
        <v>7.6486175122468e-13</v>
      </c>
      <c r="H32" s="6">
        <v>6.308859473247e-13</v>
      </c>
      <c r="I32" s="6">
        <v>6.308859474644e-13</v>
      </c>
      <c r="J32" s="6">
        <v>6.3088594738766e-13</v>
      </c>
      <c r="K32" s="6">
        <v>6.6710037422202e-13</v>
      </c>
      <c r="L32" s="6">
        <v>6.67100374463e-13</v>
      </c>
      <c r="M32" s="6">
        <v>6.6710037410573e-13</v>
      </c>
      <c r="N32" s="6">
        <v>6.9727447428582e-13</v>
      </c>
      <c r="O32" s="6">
        <v>6.3088594733273e-13</v>
      </c>
      <c r="P32" s="6">
        <v>6.9727447415153e-13</v>
      </c>
      <c r="Q32" s="6">
        <v>6.9727447504833e-13</v>
      </c>
      <c r="R32" s="6">
        <v>7.6486175123739e-13</v>
      </c>
      <c r="S32" s="6">
        <v>7.6486175110971e-13</v>
      </c>
      <c r="T32" s="6">
        <v>7.6486175122824e-13</v>
      </c>
      <c r="U32" s="6">
        <v>6.3088594736863e-13</v>
      </c>
      <c r="V32" s="6">
        <v>6.6710037432691e-13</v>
      </c>
      <c r="W32" s="6">
        <v>6.6710037456909e-13</v>
      </c>
      <c r="X32" s="6">
        <v>6.6710037425333e-13</v>
      </c>
      <c r="Y32" s="6">
        <v>6.9727447421305e-13</v>
      </c>
      <c r="Z32" s="6">
        <v>6.9727447495821e-13</v>
      </c>
      <c r="AA32" s="6">
        <v>6.9727447523178e-13</v>
      </c>
      <c r="AB32" s="4">
        <v>0.99999838055096</v>
      </c>
      <c r="AC32" s="4">
        <v>0.99999442534254</v>
      </c>
      <c r="AD32" s="4">
        <v>0.00025036680946473</v>
      </c>
      <c r="AE32" s="6">
        <v>-6.1506378750203e-19</v>
      </c>
      <c r="AF32" s="6">
        <v>3.2813623572589e-18</v>
      </c>
      <c r="AG32" s="6">
        <v>2.6112176713275e-18</v>
      </c>
      <c r="AH32" s="6">
        <v>3.0928680269294e-19</v>
      </c>
      <c r="AI32" s="6">
        <v>-9.4037232494244e-20</v>
      </c>
      <c r="AJ32" s="6">
        <v>7.5822679129974e-19</v>
      </c>
      <c r="AK32" s="6">
        <v>1.2507875631283e-19</v>
      </c>
      <c r="AL32" s="6">
        <v>7.6755961496306e-19</v>
      </c>
      <c r="AM32" s="6">
        <v>8.6802731922022e-20</v>
      </c>
      <c r="AN32" s="6">
        <v>-6.1313894336616e-20</v>
      </c>
      <c r="AO32" s="6">
        <v>9.4371959710984e-19</v>
      </c>
      <c r="AP32" s="6">
        <v>-9.3981411485617e-21</v>
      </c>
      <c r="AQ32" s="6">
        <v>4.7208293972784e-19</v>
      </c>
      <c r="AR32" s="6">
        <v>-4.0835476228225e-18</v>
      </c>
      <c r="AS32" s="6">
        <v>-4.157559319913e-19</v>
      </c>
      <c r="AT32" s="6">
        <v>3.186377333109e-19</v>
      </c>
      <c r="AU32" s="6">
        <v>-8.8930542273207e-19</v>
      </c>
      <c r="AV32" s="6">
        <v>-6.4556463629625e-19</v>
      </c>
      <c r="AW32" s="6">
        <v>-2.6756788409224e-19</v>
      </c>
      <c r="AX32" s="6">
        <v>2.5223936894934e-18</v>
      </c>
      <c r="AY32" s="6">
        <v>4.7943776425436e-19</v>
      </c>
      <c r="AZ32" s="6">
        <v>-1.7151880980846e-18</v>
      </c>
      <c r="BA32" s="6">
        <v>2.3275644736434e-18</v>
      </c>
      <c r="BB32" s="6">
        <v>-7.2540453100916e-18</v>
      </c>
      <c r="BC32" s="4">
        <v>15997478.330252</v>
      </c>
      <c r="BD32" s="4">
        <v>3999225.7665567</v>
      </c>
      <c r="BE32" s="4">
        <v>-0.00011936640294995</v>
      </c>
      <c r="BF32" s="4">
        <v>0.00025739896016349</v>
      </c>
      <c r="BG32" s="6">
        <v>7.4672432271868e-5</v>
      </c>
      <c r="BH32" s="4">
        <v>-0.00018036063061583</v>
      </c>
      <c r="BI32" s="4">
        <v>60.044435180655</v>
      </c>
      <c r="BJ32" s="4">
        <v>30.02376247588</v>
      </c>
      <c r="BK32" s="4">
        <v>55.198290015981</v>
      </c>
      <c r="BL32" s="4"/>
      <c r="BM32" s="7"/>
    </row>
    <row r="33" spans="1:65">
      <c r="A33" s="4">
        <v>629462.7058971</v>
      </c>
      <c r="B33" s="6">
        <v>5.5744044893581e-6</v>
      </c>
      <c r="C33" s="6">
        <f t="shared" si="0"/>
        <v>9.58961788581572e-12</v>
      </c>
      <c r="D33" s="6">
        <v>6.3088030336256e-13</v>
      </c>
      <c r="E33" s="6">
        <v>7.6476871297304e-13</v>
      </c>
      <c r="F33" s="6">
        <v>7.6476871292673e-13</v>
      </c>
      <c r="G33" s="6">
        <v>7.6476871269758e-13</v>
      </c>
      <c r="H33" s="6">
        <v>6.3088030293039e-13</v>
      </c>
      <c r="I33" s="6">
        <v>6.3088030308693e-13</v>
      </c>
      <c r="J33" s="6">
        <v>6.3088030300102e-13</v>
      </c>
      <c r="K33" s="6">
        <v>6.6706901805155e-13</v>
      </c>
      <c r="L33" s="6">
        <v>6.6706901832205e-13</v>
      </c>
      <c r="M33" s="6">
        <v>6.6706901792092e-13</v>
      </c>
      <c r="N33" s="6">
        <v>6.9720107778106e-13</v>
      </c>
      <c r="O33" s="6">
        <v>6.3088030293938e-13</v>
      </c>
      <c r="P33" s="6">
        <v>6.9720107763034e-13</v>
      </c>
      <c r="Q33" s="6">
        <v>6.9720107863721e-13</v>
      </c>
      <c r="R33" s="6">
        <v>7.6476871271139e-13</v>
      </c>
      <c r="S33" s="6">
        <v>7.6476871256837e-13</v>
      </c>
      <c r="T33" s="6">
        <v>7.6476871270132e-13</v>
      </c>
      <c r="U33" s="6">
        <v>6.3088030297975e-13</v>
      </c>
      <c r="V33" s="6">
        <v>6.6706901816855e-13</v>
      </c>
      <c r="W33" s="6">
        <v>6.670690184409e-13</v>
      </c>
      <c r="X33" s="6">
        <v>6.6706901808695e-13</v>
      </c>
      <c r="Y33" s="6">
        <v>6.97201077699e-13</v>
      </c>
      <c r="Z33" s="6">
        <v>6.9720107853551e-13</v>
      </c>
      <c r="AA33" s="6">
        <v>6.9720107884336e-13</v>
      </c>
      <c r="AB33" s="4">
        <v>0.99999837977529</v>
      </c>
      <c r="AC33" s="4">
        <v>0.99999442128649</v>
      </c>
      <c r="AD33" s="4">
        <v>0.00025087128871688</v>
      </c>
      <c r="AE33" s="6">
        <v>-6.1662987229069e-19</v>
      </c>
      <c r="AF33" s="6">
        <v>3.271613555723e-18</v>
      </c>
      <c r="AG33" s="6">
        <v>2.6063459696134e-18</v>
      </c>
      <c r="AH33" s="6">
        <v>3.1101979068372e-19</v>
      </c>
      <c r="AI33" s="6">
        <v>-9.4390273850184e-20</v>
      </c>
      <c r="AJ33" s="6">
        <v>7.581122731777e-19</v>
      </c>
      <c r="AK33" s="6">
        <v>1.2508661921e-19</v>
      </c>
      <c r="AL33" s="6">
        <v>7.668977166773e-19</v>
      </c>
      <c r="AM33" s="6">
        <v>9.5656247559859e-20</v>
      </c>
      <c r="AN33" s="6">
        <v>-6.1277981370436e-20</v>
      </c>
      <c r="AO33" s="6">
        <v>9.4241937188269e-19</v>
      </c>
      <c r="AP33" s="6">
        <v>-8.8871573491651e-21</v>
      </c>
      <c r="AQ33" s="6">
        <v>4.7278693988655e-19</v>
      </c>
      <c r="AR33" s="6">
        <v>-4.081772774908e-18</v>
      </c>
      <c r="AS33" s="6">
        <v>-4.1327334750134e-19</v>
      </c>
      <c r="AT33" s="6">
        <v>3.1731132715388e-19</v>
      </c>
      <c r="AU33" s="6">
        <v>-8.8649280299931e-19</v>
      </c>
      <c r="AV33" s="6">
        <v>-6.4584488435509e-19</v>
      </c>
      <c r="AW33" s="6">
        <v>-2.6648337536981e-19</v>
      </c>
      <c r="AX33" s="6">
        <v>2.5152675320598e-18</v>
      </c>
      <c r="AY33" s="6">
        <v>4.7832785165928e-19</v>
      </c>
      <c r="AZ33" s="6">
        <v>-1.7099575663652e-18</v>
      </c>
      <c r="BA33" s="6">
        <v>2.326777542189e-18</v>
      </c>
      <c r="BB33" s="6">
        <v>-7.2532326238658e-18</v>
      </c>
      <c r="BC33" s="4">
        <v>15997170.689787</v>
      </c>
      <c r="BD33" s="4">
        <v>3999131.3287832</v>
      </c>
      <c r="BE33" s="4">
        <v>-0.00011925891651834</v>
      </c>
      <c r="BF33" s="4">
        <v>0.00025805540286762</v>
      </c>
      <c r="BG33" s="6">
        <v>7.5041857229355e-5</v>
      </c>
      <c r="BH33" s="4">
        <v>-0.00018015344567426</v>
      </c>
      <c r="BI33" s="4">
        <v>60.044434832769</v>
      </c>
      <c r="BJ33" s="4">
        <v>30.023763458158</v>
      </c>
      <c r="BK33" s="4">
        <v>55.190884837432</v>
      </c>
      <c r="BL33" s="4"/>
      <c r="BM33" s="7"/>
    </row>
    <row r="34" spans="1:65">
      <c r="A34" s="4">
        <v>706268.77231139</v>
      </c>
      <c r="B34" s="6">
        <v>6.2542557764034e-6</v>
      </c>
      <c r="C34" s="6">
        <f t="shared" si="0"/>
        <v>9.58726623191575e-12</v>
      </c>
      <c r="D34" s="6">
        <v>6.3087391147068e-13</v>
      </c>
      <c r="E34" s="6">
        <v>7.6466443012457e-13</v>
      </c>
      <c r="F34" s="6">
        <v>7.6466443007285e-13</v>
      </c>
      <c r="G34" s="6">
        <v>7.646644298166e-13</v>
      </c>
      <c r="H34" s="6">
        <v>6.3087391098618e-13</v>
      </c>
      <c r="I34" s="6">
        <v>6.3087391116155e-13</v>
      </c>
      <c r="J34" s="6">
        <v>6.3087391106541e-13</v>
      </c>
      <c r="K34" s="6">
        <v>6.6703381111543e-13</v>
      </c>
      <c r="L34" s="6">
        <v>6.6703381141909e-13</v>
      </c>
      <c r="M34" s="6">
        <v>6.6703381096868e-13</v>
      </c>
      <c r="N34" s="6">
        <v>6.9711905335999e-13</v>
      </c>
      <c r="O34" s="6">
        <v>6.3087391099623e-13</v>
      </c>
      <c r="P34" s="6">
        <v>6.9711905319082e-13</v>
      </c>
      <c r="Q34" s="6">
        <v>6.9711905432135e-13</v>
      </c>
      <c r="R34" s="6">
        <v>7.6466442983151e-13</v>
      </c>
      <c r="S34" s="6">
        <v>7.6466442967136e-13</v>
      </c>
      <c r="T34" s="6">
        <v>7.6466442982047e-13</v>
      </c>
      <c r="U34" s="6">
        <v>6.3087391104163e-13</v>
      </c>
      <c r="V34" s="6">
        <v>6.6703381124584e-13</v>
      </c>
      <c r="W34" s="6">
        <v>6.6703381155221e-13</v>
      </c>
      <c r="X34" s="6">
        <v>6.670338111555e-13</v>
      </c>
      <c r="Y34" s="6">
        <v>6.971190532674e-13</v>
      </c>
      <c r="Z34" s="6">
        <v>6.9711905420651e-13</v>
      </c>
      <c r="AA34" s="6">
        <v>6.9711905455305e-13</v>
      </c>
      <c r="AB34" s="4">
        <v>0.9999983789002</v>
      </c>
      <c r="AC34" s="4">
        <v>0.99999441672814</v>
      </c>
      <c r="AD34" s="4">
        <v>0.00025143773128831</v>
      </c>
      <c r="AE34" s="6">
        <v>-6.1838721265387e-19</v>
      </c>
      <c r="AF34" s="6">
        <v>3.2607013377373e-18</v>
      </c>
      <c r="AG34" s="6">
        <v>2.6008953873016e-18</v>
      </c>
      <c r="AH34" s="6">
        <v>3.1296644075797e-19</v>
      </c>
      <c r="AI34" s="6">
        <v>-9.4786415695558e-20</v>
      </c>
      <c r="AJ34" s="6">
        <v>7.5797821138099e-19</v>
      </c>
      <c r="AK34" s="6">
        <v>1.2509331599608e-19</v>
      </c>
      <c r="AL34" s="6">
        <v>7.6615926869031e-19</v>
      </c>
      <c r="AM34" s="6">
        <v>1.0561016989229e-19</v>
      </c>
      <c r="AN34" s="6">
        <v>-6.1239773964476e-20</v>
      </c>
      <c r="AO34" s="6">
        <v>9.4096403450776e-19</v>
      </c>
      <c r="AP34" s="6">
        <v>-8.3156234451897e-21</v>
      </c>
      <c r="AQ34" s="6">
        <v>4.7356925685004e-19</v>
      </c>
      <c r="AR34" s="6">
        <v>-4.0797513450012e-18</v>
      </c>
      <c r="AS34" s="6">
        <v>-4.1049254718931e-19</v>
      </c>
      <c r="AT34" s="6">
        <v>3.1582542084617e-19</v>
      </c>
      <c r="AU34" s="6">
        <v>-8.8334076986332e-19</v>
      </c>
      <c r="AV34" s="6">
        <v>-6.4616168730963e-19</v>
      </c>
      <c r="AW34" s="6">
        <v>-2.6526090867613e-19</v>
      </c>
      <c r="AX34" s="6">
        <v>2.5072691749144e-18</v>
      </c>
      <c r="AY34" s="6">
        <v>4.7707188753057e-19</v>
      </c>
      <c r="AZ34" s="6">
        <v>-1.7041047142298e-18</v>
      </c>
      <c r="BA34" s="6">
        <v>2.3258798597122e-18</v>
      </c>
      <c r="BB34" s="6">
        <v>-7.2522698181542e-18</v>
      </c>
      <c r="BC34" s="4">
        <v>15996825.535049</v>
      </c>
      <c r="BD34" s="4">
        <v>3999025.3800241</v>
      </c>
      <c r="BE34" s="4">
        <v>-0.00011913821061875</v>
      </c>
      <c r="BF34" s="4">
        <v>0.00025879176307456</v>
      </c>
      <c r="BG34" s="6">
        <v>7.5456335158905e-5</v>
      </c>
      <c r="BH34" s="4">
        <v>-0.00017992017767662</v>
      </c>
      <c r="BI34" s="4">
        <v>60.044434451554</v>
      </c>
      <c r="BJ34" s="4">
        <v>30.023764557966</v>
      </c>
      <c r="BK34" s="4">
        <v>55.182593348535</v>
      </c>
      <c r="BL34" s="4"/>
      <c r="BM34" s="7"/>
    </row>
    <row r="35" spans="1:65">
      <c r="A35" s="4">
        <v>792446.59623057</v>
      </c>
      <c r="B35" s="6">
        <v>7.01695311409e-6</v>
      </c>
      <c r="C35" s="6">
        <f t="shared" si="0"/>
        <v>9.58463291837879e-12</v>
      </c>
      <c r="D35" s="6">
        <v>6.3086666562297e-13</v>
      </c>
      <c r="E35" s="6">
        <v>7.6454755833674e-13</v>
      </c>
      <c r="F35" s="6">
        <v>7.6454755827903e-13</v>
      </c>
      <c r="G35" s="6">
        <v>7.6454755799258e-13</v>
      </c>
      <c r="H35" s="6">
        <v>6.3086666507983e-13</v>
      </c>
      <c r="I35" s="6">
        <v>6.3086666527627e-13</v>
      </c>
      <c r="J35" s="6">
        <v>6.3086666516872e-13</v>
      </c>
      <c r="K35" s="6">
        <v>6.6699427716561e-13</v>
      </c>
      <c r="L35" s="6">
        <v>6.6699427750652e-13</v>
      </c>
      <c r="M35" s="6">
        <v>6.6699427700073e-13</v>
      </c>
      <c r="N35" s="6">
        <v>6.9702714646737e-13</v>
      </c>
      <c r="O35" s="6">
        <v>6.3086666509107e-13</v>
      </c>
      <c r="P35" s="6">
        <v>6.9702714627748e-13</v>
      </c>
      <c r="Q35" s="6">
        <v>6.9702714754696e-13</v>
      </c>
      <c r="R35" s="6">
        <v>7.645475580086e-13</v>
      </c>
      <c r="S35" s="6">
        <v>7.6454755782929e-13</v>
      </c>
      <c r="T35" s="6">
        <v>7.6454755799652e-13</v>
      </c>
      <c r="U35" s="6">
        <v>6.3086666514215e-13</v>
      </c>
      <c r="V35" s="6">
        <v>6.6699427731084e-13</v>
      </c>
      <c r="W35" s="6">
        <v>6.6699427765559e-13</v>
      </c>
      <c r="X35" s="6">
        <v>6.6699427721101e-13</v>
      </c>
      <c r="Y35" s="6">
        <v>6.9702714636283e-13</v>
      </c>
      <c r="Z35" s="6">
        <v>6.9702714741719e-13</v>
      </c>
      <c r="AA35" s="6">
        <v>6.9702714780743e-13</v>
      </c>
      <c r="AB35" s="4">
        <v>0.9999983779123</v>
      </c>
      <c r="AC35" s="4">
        <v>0.99999441160406</v>
      </c>
      <c r="AD35" s="4">
        <v>0.00025207379893084</v>
      </c>
      <c r="AE35" s="6">
        <v>-6.2035902387643e-19</v>
      </c>
      <c r="AF35" s="6">
        <v>3.2484904913228e-18</v>
      </c>
      <c r="AG35" s="6">
        <v>2.5947992259203e-18</v>
      </c>
      <c r="AH35" s="6">
        <v>3.1515337979918e-19</v>
      </c>
      <c r="AI35" s="6">
        <v>-9.523094484092e-20</v>
      </c>
      <c r="AJ35" s="6">
        <v>7.5782076249559e-19</v>
      </c>
      <c r="AK35" s="6">
        <v>1.2509816723645e-19</v>
      </c>
      <c r="AL35" s="6">
        <v>7.6533597966666e-19</v>
      </c>
      <c r="AM35" s="6">
        <v>1.1680391287351e-19</v>
      </c>
      <c r="AN35" s="6">
        <v>-6.1199511808802e-20</v>
      </c>
      <c r="AO35" s="6">
        <v>9.3933548094843e-19</v>
      </c>
      <c r="AP35" s="6">
        <v>-7.6766166414725e-21</v>
      </c>
      <c r="AQ35" s="6">
        <v>4.7443748843269e-19</v>
      </c>
      <c r="AR35" s="6">
        <v>-4.0774457051733e-18</v>
      </c>
      <c r="AS35" s="6">
        <v>-4.0737839743616e-19</v>
      </c>
      <c r="AT35" s="6">
        <v>3.1416114427884e-19</v>
      </c>
      <c r="AU35" s="6">
        <v>-8.7980885924485e-19</v>
      </c>
      <c r="AV35" s="6">
        <v>-6.4652011323521e-19</v>
      </c>
      <c r="AW35" s="6">
        <v>-2.6388229769264e-19</v>
      </c>
      <c r="AX35" s="6">
        <v>2.498291369037e-18</v>
      </c>
      <c r="AY35" s="6">
        <v>4.7564930121571e-19</v>
      </c>
      <c r="AZ35" s="6">
        <v>-1.6975576830681e-18</v>
      </c>
      <c r="BA35" s="6">
        <v>2.3248540889532e-18</v>
      </c>
      <c r="BB35" s="6">
        <v>-7.2511255924255e-18</v>
      </c>
      <c r="BC35" s="4">
        <v>15996438.294738</v>
      </c>
      <c r="BD35" s="4">
        <v>3998906.5188657</v>
      </c>
      <c r="BE35" s="4">
        <v>-0.00011900264567547</v>
      </c>
      <c r="BF35" s="4">
        <v>0.00025961774588253</v>
      </c>
      <c r="BG35" s="6">
        <v>7.5921357267602e-5</v>
      </c>
      <c r="BH35" s="4">
        <v>-0.00017965744730997</v>
      </c>
      <c r="BI35" s="4">
        <v>60.044434035236</v>
      </c>
      <c r="BJ35" s="4">
        <v>30.023765789023</v>
      </c>
      <c r="BK35" s="4">
        <v>55.17331181771</v>
      </c>
      <c r="BL35" s="4"/>
      <c r="BM35" s="7"/>
    </row>
    <row r="36" spans="1:65">
      <c r="A36" s="4">
        <v>889139.70501948</v>
      </c>
      <c r="B36" s="6">
        <v>7.8725774214882e-6</v>
      </c>
      <c r="C36" s="6">
        <f t="shared" si="0"/>
        <v>9.58168490603192e-12</v>
      </c>
      <c r="D36" s="6">
        <v>6.3085844250561e-13</v>
      </c>
      <c r="E36" s="6">
        <v>7.6441659583606e-13</v>
      </c>
      <c r="F36" s="6">
        <v>7.6441659577169e-13</v>
      </c>
      <c r="G36" s="6">
        <v>7.6441659545165e-13</v>
      </c>
      <c r="H36" s="6">
        <v>6.3085844189683e-13</v>
      </c>
      <c r="I36" s="6">
        <v>6.3085844211681e-13</v>
      </c>
      <c r="J36" s="6">
        <v>6.3085844199654e-13</v>
      </c>
      <c r="K36" s="6">
        <v>6.6694988018943e-13</v>
      </c>
      <c r="L36" s="6">
        <v>6.6694988057218e-13</v>
      </c>
      <c r="M36" s="6">
        <v>6.6694988000415e-13</v>
      </c>
      <c r="N36" s="6">
        <v>6.9692418308168e-13</v>
      </c>
      <c r="O36" s="6">
        <v>6.3085844190939e-13</v>
      </c>
      <c r="P36" s="6">
        <v>6.9692418286852e-13</v>
      </c>
      <c r="Q36" s="6">
        <v>6.9692418429416e-13</v>
      </c>
      <c r="R36" s="6">
        <v>7.6441659546871e-13</v>
      </c>
      <c r="S36" s="6">
        <v>7.6441659526801e-13</v>
      </c>
      <c r="T36" s="6">
        <v>7.6441659545556e-13</v>
      </c>
      <c r="U36" s="6">
        <v>6.3085844196686e-13</v>
      </c>
      <c r="V36" s="6">
        <v>6.6694988035102e-13</v>
      </c>
      <c r="W36" s="6">
        <v>6.6694988073907e-13</v>
      </c>
      <c r="X36" s="6">
        <v>6.6694988024092e-13</v>
      </c>
      <c r="Y36" s="6">
        <v>6.9692418296356e-13</v>
      </c>
      <c r="Z36" s="6">
        <v>6.9692418414741e-13</v>
      </c>
      <c r="AA36" s="6">
        <v>6.9692418458705e-13</v>
      </c>
      <c r="AB36" s="4">
        <v>0.99999837679631</v>
      </c>
      <c r="AC36" s="4">
        <v>0.99999440584275</v>
      </c>
      <c r="AD36" s="4">
        <v>0.00025278811268208</v>
      </c>
      <c r="AE36" s="6">
        <v>-6.2257134727859e-19</v>
      </c>
      <c r="AF36" s="6">
        <v>3.234831043918e-18</v>
      </c>
      <c r="AG36" s="6">
        <v>2.5879836357668e-18</v>
      </c>
      <c r="AH36" s="6">
        <v>3.1761062472729e-19</v>
      </c>
      <c r="AI36" s="6">
        <v>-9.5729809082365e-20</v>
      </c>
      <c r="AJ36" s="6">
        <v>7.5763524396944e-19</v>
      </c>
      <c r="AK36" s="6">
        <v>1.251002601831e-19</v>
      </c>
      <c r="AL36" s="6">
        <v>7.6441880321141e-19</v>
      </c>
      <c r="AM36" s="6">
        <v>1.2939521585148e-19</v>
      </c>
      <c r="AN36" s="6">
        <v>-6.1157590309869e-20</v>
      </c>
      <c r="AO36" s="6">
        <v>9.3751357160326e-19</v>
      </c>
      <c r="AP36" s="6">
        <v>-6.9624896355269e-21</v>
      </c>
      <c r="AQ36" s="6">
        <v>4.7539965567895e-19</v>
      </c>
      <c r="AR36" s="6">
        <v>-4.0748117938913e-18</v>
      </c>
      <c r="AS36" s="6">
        <v>-4.0389181386773e-19</v>
      </c>
      <c r="AT36" s="6">
        <v>3.1229747150432e-19</v>
      </c>
      <c r="AU36" s="6">
        <v>-8.7585190493872e-19</v>
      </c>
      <c r="AV36" s="6">
        <v>-6.4692600564204e-19</v>
      </c>
      <c r="AW36" s="6">
        <v>-2.6232682540783e-19</v>
      </c>
      <c r="AX36" s="6">
        <v>2.4882135094784e-18</v>
      </c>
      <c r="AY36" s="6">
        <v>4.7403630156765e-19</v>
      </c>
      <c r="AZ36" s="6">
        <v>-1.690236884832e-18</v>
      </c>
      <c r="BA36" s="6">
        <v>2.3236797760904e-18</v>
      </c>
      <c r="BB36" s="6">
        <v>-7.2497615718268e-18</v>
      </c>
      <c r="BC36" s="4">
        <v>15996003.841379</v>
      </c>
      <c r="BD36" s="4">
        <v>3998773.1737066</v>
      </c>
      <c r="BE36" s="4">
        <v>-0.00011885037537169</v>
      </c>
      <c r="BF36" s="4">
        <v>0.00026054422878353</v>
      </c>
      <c r="BG36" s="6">
        <v>7.6443083235483e-5</v>
      </c>
      <c r="BH36" s="4">
        <v>-0.00017936142625755</v>
      </c>
      <c r="BI36" s="4">
        <v>60.044433582393</v>
      </c>
      <c r="BJ36" s="4">
        <v>30.023767166571</v>
      </c>
      <c r="BK36" s="4">
        <v>55.162924977776</v>
      </c>
      <c r="BL36" s="4"/>
      <c r="BM36" s="7"/>
    </row>
    <row r="37" spans="1:65">
      <c r="A37" s="4">
        <v>997631.15748446</v>
      </c>
      <c r="B37" s="6">
        <v>8.8324325636952e-6</v>
      </c>
      <c r="C37" s="6">
        <f t="shared" ref="C37:C71" si="1">(BF37-BF36)/(A37-A36)</f>
        <v>9.57838548309058e-12</v>
      </c>
      <c r="D37" s="6">
        <v>6.3084909883374e-13</v>
      </c>
      <c r="E37" s="6">
        <v>7.6426986617781e-13</v>
      </c>
      <c r="F37" s="6">
        <v>7.6426986610607e-13</v>
      </c>
      <c r="G37" s="6">
        <v>7.642698657487e-13</v>
      </c>
      <c r="H37" s="6">
        <v>6.3084909815145e-13</v>
      </c>
      <c r="I37" s="6">
        <v>6.3084909839776e-13</v>
      </c>
      <c r="J37" s="6">
        <v>6.3084909826332e-13</v>
      </c>
      <c r="K37" s="6">
        <v>6.6690016934788e-13</v>
      </c>
      <c r="L37" s="6">
        <v>6.6690016977764e-13</v>
      </c>
      <c r="M37" s="6">
        <v>6.6690016913963e-13</v>
      </c>
      <c r="N37" s="6">
        <v>6.9680885384395e-13</v>
      </c>
      <c r="O37" s="6">
        <v>6.3084909816548e-13</v>
      </c>
      <c r="P37" s="6">
        <v>6.9680885360465e-13</v>
      </c>
      <c r="Q37" s="6">
        <v>6.9680885520582e-13</v>
      </c>
      <c r="R37" s="6">
        <v>7.6426986576669e-13</v>
      </c>
      <c r="S37" s="6">
        <v>7.6426986554212e-13</v>
      </c>
      <c r="T37" s="6">
        <v>7.6426986575244e-13</v>
      </c>
      <c r="U37" s="6">
        <v>6.3084909823019e-13</v>
      </c>
      <c r="V37" s="6">
        <v>6.6690016952746e-13</v>
      </c>
      <c r="W37" s="6">
        <v>6.6690016996442e-13</v>
      </c>
      <c r="X37" s="6">
        <v>6.6690016940635e-13</v>
      </c>
      <c r="Y37" s="6">
        <v>6.9680885371038e-13</v>
      </c>
      <c r="Z37" s="6">
        <v>6.9680885503971e-13</v>
      </c>
      <c r="AA37" s="6">
        <v>6.9680885553525e-13</v>
      </c>
      <c r="AB37" s="4">
        <v>0.99999837553467</v>
      </c>
      <c r="AC37" s="4">
        <v>0.99999439936332</v>
      </c>
      <c r="AD37" s="4">
        <v>0.00025359037553449</v>
      </c>
      <c r="AE37" s="6">
        <v>-6.250533128923e-19</v>
      </c>
      <c r="AF37" s="6">
        <v>3.2195569101299e-18</v>
      </c>
      <c r="AG37" s="6">
        <v>2.5803669819659e-18</v>
      </c>
      <c r="AH37" s="6">
        <v>3.2037202846049e-19</v>
      </c>
      <c r="AI37" s="6">
        <v>-9.6289705317885e-20</v>
      </c>
      <c r="AJ37" s="6">
        <v>7.5741592535817e-19</v>
      </c>
      <c r="AK37" s="6">
        <v>1.2509839349329e-19</v>
      </c>
      <c r="AL37" s="6">
        <v>7.6339790449899e-19</v>
      </c>
      <c r="AM37" s="6">
        <v>1.4356270328761e-19</v>
      </c>
      <c r="AN37" s="6">
        <v>-6.1114609228723e-20</v>
      </c>
      <c r="AO37" s="6">
        <v>9.354759137857e-19</v>
      </c>
      <c r="AP37" s="6">
        <v>-6.1648134307124e-21</v>
      </c>
      <c r="AQ37" s="6">
        <v>4.7646412512616e-19</v>
      </c>
      <c r="AR37" s="6">
        <v>-4.0717978856709e-18</v>
      </c>
      <c r="AS37" s="6">
        <v>-3.9998937308684e-19</v>
      </c>
      <c r="AT37" s="6">
        <v>3.1021099358926e-19</v>
      </c>
      <c r="AU37" s="6">
        <v>-8.7141952178435e-19</v>
      </c>
      <c r="AV37" s="6">
        <v>-6.473861174935e-19</v>
      </c>
      <c r="AW37" s="6">
        <v>-2.6057087310647e-19</v>
      </c>
      <c r="AX37" s="6">
        <v>2.4768999182151e-18</v>
      </c>
      <c r="AY37" s="6">
        <v>4.7220529998669e-19</v>
      </c>
      <c r="AZ37" s="6">
        <v>-1.6820543209968e-18</v>
      </c>
      <c r="BA37" s="6">
        <v>2.3223327172977e-18</v>
      </c>
      <c r="BB37" s="6">
        <v>-7.2481306274037e-18</v>
      </c>
      <c r="BC37" s="4">
        <v>15995516.423877</v>
      </c>
      <c r="BD37" s="4">
        <v>3998623.5821971</v>
      </c>
      <c r="BE37" s="4">
        <v>-0.00011867931973238</v>
      </c>
      <c r="BF37" s="4">
        <v>0.00026158340173686</v>
      </c>
      <c r="BG37" s="6">
        <v>7.702842238362e-5</v>
      </c>
      <c r="BH37" s="4">
        <v>-0.00017902776401266</v>
      </c>
      <c r="BI37" s="4">
        <v>60.04443309215</v>
      </c>
      <c r="BJ37" s="4">
        <v>30.023768707486</v>
      </c>
      <c r="BK37" s="4">
        <v>55.151304900244</v>
      </c>
      <c r="BL37" s="4"/>
      <c r="BM37" s="7"/>
    </row>
    <row r="38" spans="1:65">
      <c r="A38" s="4">
        <v>1119360.5692842</v>
      </c>
      <c r="B38" s="6">
        <v>9.9091928754503e-6</v>
      </c>
      <c r="C38" s="6">
        <f t="shared" si="1"/>
        <v>9.57469447463869e-12</v>
      </c>
      <c r="D38" s="6">
        <v>6.3083846868977e-13</v>
      </c>
      <c r="E38" s="6">
        <v>7.6410549810783e-13</v>
      </c>
      <c r="F38" s="6">
        <v>7.6410549802797e-13</v>
      </c>
      <c r="G38" s="6">
        <v>7.6410549762913e-13</v>
      </c>
      <c r="H38" s="6">
        <v>6.308384679252e-13</v>
      </c>
      <c r="I38" s="6">
        <v>6.308384682009e-13</v>
      </c>
      <c r="J38" s="6">
        <v>6.3083846805069e-13</v>
      </c>
      <c r="K38" s="6">
        <v>6.6684612556097e-13</v>
      </c>
      <c r="L38" s="6">
        <v>6.6684612604357e-13</v>
      </c>
      <c r="M38" s="6">
        <v>6.6684612532685e-13</v>
      </c>
      <c r="N38" s="6">
        <v>6.9667970077058e-13</v>
      </c>
      <c r="O38" s="6">
        <v>6.3083846794087e-13</v>
      </c>
      <c r="P38" s="6">
        <v>6.9667970050192e-13</v>
      </c>
      <c r="Q38" s="6">
        <v>6.9667970230044e-13</v>
      </c>
      <c r="R38" s="6">
        <v>7.6410549764788e-13</v>
      </c>
      <c r="S38" s="6">
        <v>7.6410549739669e-13</v>
      </c>
      <c r="T38" s="6">
        <v>7.6410549763252e-13</v>
      </c>
      <c r="U38" s="6">
        <v>6.3083846801374e-13</v>
      </c>
      <c r="V38" s="6">
        <v>6.6684612576031e-13</v>
      </c>
      <c r="W38" s="6">
        <v>6.6684612625255e-13</v>
      </c>
      <c r="X38" s="6">
        <v>6.6684612562744e-13</v>
      </c>
      <c r="Y38" s="6">
        <v>6.9667970061942e-13</v>
      </c>
      <c r="Z38" s="6">
        <v>6.9667970211223e-13</v>
      </c>
      <c r="AA38" s="6">
        <v>6.9667970267109e-13</v>
      </c>
      <c r="AB38" s="4">
        <v>0.9999983741075</v>
      </c>
      <c r="AC38" s="4">
        <v>0.99999439207453</v>
      </c>
      <c r="AD38" s="4">
        <v>0.00025449151086584</v>
      </c>
      <c r="AE38" s="6">
        <v>-6.2783790539403e-19</v>
      </c>
      <c r="AF38" s="6">
        <v>3.2024845625844e-18</v>
      </c>
      <c r="AG38" s="6">
        <v>2.5718591137373e-18</v>
      </c>
      <c r="AH38" s="6">
        <v>3.2347578997232e-19</v>
      </c>
      <c r="AI38" s="6">
        <v>-9.6918179599124e-20</v>
      </c>
      <c r="AJ38" s="6">
        <v>7.5715580290146e-19</v>
      </c>
      <c r="AK38" s="6">
        <v>1.2509087284932e-19</v>
      </c>
      <c r="AL38" s="6">
        <v>7.6226261546082e-19</v>
      </c>
      <c r="AM38" s="6">
        <v>1.5950880943716e-19</v>
      </c>
      <c r="AN38" s="6">
        <v>-6.1071410036143e-20</v>
      </c>
      <c r="AO38" s="6">
        <v>9.3319760916779e-19</v>
      </c>
      <c r="AP38" s="6">
        <v>-5.2743296436982e-21</v>
      </c>
      <c r="AQ38" s="6">
        <v>4.7763946223823e-19</v>
      </c>
      <c r="AR38" s="6">
        <v>-4.0683430200084e-18</v>
      </c>
      <c r="AS38" s="6">
        <v>-3.9562292467739e-19</v>
      </c>
      <c r="AT38" s="6">
        <v>3.0787569325494e-19</v>
      </c>
      <c r="AU38" s="6">
        <v>-8.6645552431456e-19</v>
      </c>
      <c r="AV38" s="6">
        <v>-6.4790826785873e-19</v>
      </c>
      <c r="AW38" s="6">
        <v>-2.5858756698037e-19</v>
      </c>
      <c r="AX38" s="6">
        <v>2.4641978550228e-18</v>
      </c>
      <c r="AY38" s="6">
        <v>4.7012424533283e-19</v>
      </c>
      <c r="AZ38" s="6">
        <v>-1.6729128439483e-18</v>
      </c>
      <c r="BA38" s="6">
        <v>2.3207842224681e-18</v>
      </c>
      <c r="BB38" s="6">
        <v>-7.2461743290905e-18</v>
      </c>
      <c r="BC38" s="4">
        <v>15994969.591732</v>
      </c>
      <c r="BD38" s="4">
        <v>3998455.7681548</v>
      </c>
      <c r="BE38" s="4">
        <v>-0.0001184871336062</v>
      </c>
      <c r="BF38" s="4">
        <v>0.00026274892366342</v>
      </c>
      <c r="BG38" s="6">
        <v>7.7685124494336e-5</v>
      </c>
      <c r="BH38" s="4">
        <v>-0.00017865150813624</v>
      </c>
      <c r="BI38" s="4">
        <v>60.044432564757</v>
      </c>
      <c r="BJ38" s="4">
        <v>30.023770430447</v>
      </c>
      <c r="BK38" s="4">
        <v>55.138309831554</v>
      </c>
      <c r="BL38" s="4"/>
      <c r="BM38" s="7"/>
    </row>
    <row r="39" spans="1:65">
      <c r="A39" s="4">
        <v>1255943.2157548</v>
      </c>
      <c r="B39" s="6">
        <v>1.1117068066093e-5</v>
      </c>
      <c r="C39" s="6">
        <f t="shared" si="1"/>
        <v>9.57056640128411e-12</v>
      </c>
      <c r="D39" s="6">
        <v>6.3082635851165e-13</v>
      </c>
      <c r="E39" s="6">
        <v>7.6392267663663e-13</v>
      </c>
      <c r="F39" s="6">
        <v>7.639226765478e-13</v>
      </c>
      <c r="G39" s="6">
        <v>7.6392267610299e-13</v>
      </c>
      <c r="H39" s="6">
        <v>6.3082635765501e-13</v>
      </c>
      <c r="I39" s="6">
        <v>6.3082635796351e-13</v>
      </c>
      <c r="J39" s="6">
        <v>6.3082635779577e-13</v>
      </c>
      <c r="K39" s="6">
        <v>6.6678540772818e-13</v>
      </c>
      <c r="L39" s="6">
        <v>6.6678540827018e-13</v>
      </c>
      <c r="M39" s="6">
        <v>6.6678540746493e-13</v>
      </c>
      <c r="N39" s="6">
        <v>6.965357220257e-13</v>
      </c>
      <c r="O39" s="6">
        <v>6.3082635767249e-13</v>
      </c>
      <c r="P39" s="6">
        <v>6.9653572172405e-13</v>
      </c>
      <c r="Q39" s="6">
        <v>6.9653572374449e-13</v>
      </c>
      <c r="R39" s="6">
        <v>7.6392267612223e-13</v>
      </c>
      <c r="S39" s="6">
        <v>7.6392267584135e-13</v>
      </c>
      <c r="T39" s="6">
        <v>7.6392267610578e-13</v>
      </c>
      <c r="U39" s="6">
        <v>6.3082635775458e-13</v>
      </c>
      <c r="V39" s="6">
        <v>6.6678540794915e-13</v>
      </c>
      <c r="W39" s="6">
        <v>6.6678540850391e-13</v>
      </c>
      <c r="X39" s="6">
        <v>6.6678540780386e-13</v>
      </c>
      <c r="Y39" s="6">
        <v>6.9653572185446e-13</v>
      </c>
      <c r="Z39" s="6">
        <v>6.9653572353103e-13</v>
      </c>
      <c r="AA39" s="6">
        <v>6.9653572416167e-13</v>
      </c>
      <c r="AB39" s="4">
        <v>0.99999837249142</v>
      </c>
      <c r="AC39" s="4">
        <v>0.99999438387294</v>
      </c>
      <c r="AD39" s="4">
        <v>0.00025550381984241</v>
      </c>
      <c r="AE39" s="6">
        <v>-6.309620271846e-19</v>
      </c>
      <c r="AF39" s="6">
        <v>3.1834115832595e-18</v>
      </c>
      <c r="AG39" s="6">
        <v>2.5623607470943e-18</v>
      </c>
      <c r="AH39" s="6">
        <v>3.2696503274914e-19</v>
      </c>
      <c r="AI39" s="6">
        <v>-9.7623731417673e-20</v>
      </c>
      <c r="AJ39" s="6">
        <v>7.5684625102313e-19</v>
      </c>
      <c r="AK39" s="6">
        <v>1.2507548430215e-19</v>
      </c>
      <c r="AL39" s="6">
        <v>7.6100138480538e-19</v>
      </c>
      <c r="AM39" s="6">
        <v>1.7746322724679e-19</v>
      </c>
      <c r="AN39" s="6">
        <v>-6.1029125944765e-20</v>
      </c>
      <c r="AO39" s="6">
        <v>9.306509922607e-19</v>
      </c>
      <c r="AP39" s="6">
        <v>-4.2808933808483e-21</v>
      </c>
      <c r="AQ39" s="6">
        <v>4.7893426200573e-19</v>
      </c>
      <c r="AR39" s="6">
        <v>-4.0643752800781e-18</v>
      </c>
      <c r="AS39" s="6">
        <v>-3.9073916214651e-19</v>
      </c>
      <c r="AT39" s="6">
        <v>3.0526266961838e-19</v>
      </c>
      <c r="AU39" s="6">
        <v>-8.6089731589221e-19</v>
      </c>
      <c r="AV39" s="6">
        <v>-6.4850151376216e-19</v>
      </c>
      <c r="AW39" s="6">
        <v>-2.5634631010507e-19</v>
      </c>
      <c r="AX39" s="6">
        <v>2.4499352060716e-18</v>
      </c>
      <c r="AY39" s="6">
        <v>4.677557878355e-19</v>
      </c>
      <c r="AZ39" s="6">
        <v>-1.6627054887791e-18</v>
      </c>
      <c r="BA39" s="6">
        <v>2.319000132898e-18</v>
      </c>
      <c r="BB39" s="6">
        <v>-7.2438206153255e-18</v>
      </c>
      <c r="BC39" s="4">
        <v>15994356.110502</v>
      </c>
      <c r="BD39" s="4">
        <v>3998267.5158426</v>
      </c>
      <c r="BE39" s="4">
        <v>-0.00011827117234424</v>
      </c>
      <c r="BF39" s="4">
        <v>0.00026405609695073</v>
      </c>
      <c r="BG39" s="6">
        <v>7.8421881924477e-5</v>
      </c>
      <c r="BH39" s="4">
        <v>-0.00017822704568611</v>
      </c>
      <c r="BI39" s="4">
        <v>60.044432001545</v>
      </c>
      <c r="BJ39" s="4">
        <v>30.023772356034</v>
      </c>
      <c r="BK39" s="4">
        <v>55.123782917495</v>
      </c>
      <c r="BL39" s="4"/>
      <c r="BM39" s="7"/>
    </row>
    <row r="40" spans="1:65">
      <c r="A40" s="4">
        <v>1409191.4656323</v>
      </c>
      <c r="B40" s="6">
        <v>1.247198803533e-5</v>
      </c>
      <c r="C40" s="6">
        <f t="shared" si="1"/>
        <v>9.56595027950965e-12</v>
      </c>
      <c r="D40" s="6">
        <v>6.3081254172373e-13</v>
      </c>
      <c r="E40" s="6">
        <v>7.6371974249088e-13</v>
      </c>
      <c r="F40" s="6">
        <v>7.6371974239218e-13</v>
      </c>
      <c r="G40" s="6">
        <v>7.6371974189647e-13</v>
      </c>
      <c r="H40" s="6">
        <v>6.308125407641e-13</v>
      </c>
      <c r="I40" s="6">
        <v>6.308125411092e-13</v>
      </c>
      <c r="J40" s="6">
        <v>6.30812540922e-13</v>
      </c>
      <c r="K40" s="6">
        <v>6.6671717796875e-13</v>
      </c>
      <c r="L40" s="6">
        <v>6.6671717857754e-13</v>
      </c>
      <c r="M40" s="6">
        <v>6.6671717767265e-13</v>
      </c>
      <c r="N40" s="6">
        <v>6.9637567969396e-13</v>
      </c>
      <c r="O40" s="6">
        <v>6.3081254078359e-13</v>
      </c>
      <c r="P40" s="6">
        <v>6.9637567935524e-13</v>
      </c>
      <c r="Q40" s="6">
        <v>6.9637568162531e-13</v>
      </c>
      <c r="R40" s="6">
        <v>7.6371974191579e-13</v>
      </c>
      <c r="S40" s="6">
        <v>7.6371974160187e-13</v>
      </c>
      <c r="T40" s="6">
        <v>7.6371974189833e-13</v>
      </c>
      <c r="U40" s="6">
        <v>6.3081254087612e-13</v>
      </c>
      <c r="V40" s="6">
        <v>6.6671717821329e-13</v>
      </c>
      <c r="W40" s="6">
        <v>6.6671717883886e-13</v>
      </c>
      <c r="X40" s="6">
        <v>6.6671717805504e-13</v>
      </c>
      <c r="Y40" s="6">
        <v>6.9637567949976e-13</v>
      </c>
      <c r="Z40" s="6">
        <v>6.9637568138291e-13</v>
      </c>
      <c r="AA40" s="6">
        <v>6.9637568209505e-13</v>
      </c>
      <c r="AB40" s="4">
        <v>0.99999837065974</v>
      </c>
      <c r="AC40" s="4">
        <v>0.99999437464148</v>
      </c>
      <c r="AD40" s="4">
        <v>0.00025664115852785</v>
      </c>
      <c r="AE40" s="6">
        <v>-6.3446645042022e-19</v>
      </c>
      <c r="AF40" s="6">
        <v>3.1621154763234e-18</v>
      </c>
      <c r="AG40" s="6">
        <v>2.5517628759937e-18</v>
      </c>
      <c r="AH40" s="6">
        <v>3.3088842017717e-19</v>
      </c>
      <c r="AI40" s="6">
        <v>-9.8415797504954e-20</v>
      </c>
      <c r="AJ40" s="6">
        <v>7.5647650010813e-19</v>
      </c>
      <c r="AK40" s="6">
        <v>1.2504944394422e-19</v>
      </c>
      <c r="AL40" s="6">
        <v>7.5960111200349e-19</v>
      </c>
      <c r="AM40" s="6">
        <v>1.9768704076692e-19</v>
      </c>
      <c r="AN40" s="6">
        <v>-6.098887432888e-20</v>
      </c>
      <c r="AO40" s="6">
        <v>9.2780542754936e-19</v>
      </c>
      <c r="AP40" s="6">
        <v>-3.1734288511826e-21</v>
      </c>
      <c r="AQ40" s="6">
        <v>4.8035679059835e-19</v>
      </c>
      <c r="AR40" s="6">
        <v>-4.0598095165577e-18</v>
      </c>
      <c r="AS40" s="6">
        <v>-3.8527928582341e-19</v>
      </c>
      <c r="AT40" s="6">
        <v>3.0233988860944e-19</v>
      </c>
      <c r="AU40" s="6">
        <v>-8.5467523605839e-19</v>
      </c>
      <c r="AV40" s="6">
        <v>-6.491761471995e-19</v>
      </c>
      <c r="AW40" s="6">
        <v>-2.5381287735068e-19</v>
      </c>
      <c r="AX40" s="6">
        <v>2.4339167177712e-18</v>
      </c>
      <c r="AY40" s="6">
        <v>4.6505653799363e-19</v>
      </c>
      <c r="AZ40" s="6">
        <v>-1.6513149004547e-18</v>
      </c>
      <c r="BA40" s="6">
        <v>2.3169398987793e-18</v>
      </c>
      <c r="BB40" s="6">
        <v>-7.2409800575162e-18</v>
      </c>
      <c r="BC40" s="4">
        <v>15993667.866425</v>
      </c>
      <c r="BD40" s="4">
        <v>3998056.3409641</v>
      </c>
      <c r="BE40" s="4">
        <v>-0.00011802844991233</v>
      </c>
      <c r="BF40" s="4">
        <v>0.00026552206208948</v>
      </c>
      <c r="BG40" s="6">
        <v>7.9248444018575e-5</v>
      </c>
      <c r="BH40" s="4">
        <v>-0.00017774799068287</v>
      </c>
      <c r="BI40" s="4">
        <v>60.044431405241</v>
      </c>
      <c r="BJ40" s="4">
        <v>30.023774506851</v>
      </c>
      <c r="BK40" s="4">
        <v>55.107550926792</v>
      </c>
      <c r="BL40" s="4"/>
      <c r="BM40" s="7"/>
    </row>
    <row r="41" spans="1:64">
      <c r="A41" s="4">
        <v>1581138.8300842</v>
      </c>
      <c r="B41" s="6">
        <v>1.3991808697119e-5</v>
      </c>
      <c r="C41" s="6">
        <f t="shared" si="1"/>
        <v>9.56079111977247e-12</v>
      </c>
      <c r="D41" s="6">
        <v>6.3079675143958e-13</v>
      </c>
      <c r="E41" s="6">
        <v>7.6349254560812e-13</v>
      </c>
      <c r="F41" s="6">
        <v>7.634925454986e-13</v>
      </c>
      <c r="G41" s="6">
        <v>7.6349254494665e-13</v>
      </c>
      <c r="H41" s="6">
        <v>6.3079675036477e-13</v>
      </c>
      <c r="I41" s="6">
        <v>6.3079675075067e-13</v>
      </c>
      <c r="J41" s="6">
        <v>6.3079675054188e-13</v>
      </c>
      <c r="K41" s="6">
        <v>6.6664049234462e-13</v>
      </c>
      <c r="L41" s="6">
        <v>6.6664049302854e-13</v>
      </c>
      <c r="M41" s="6">
        <v>6.6664049201148e-13</v>
      </c>
      <c r="N41" s="6">
        <v>6.9619659394392e-13</v>
      </c>
      <c r="O41" s="6">
        <v>6.3079675038648e-13</v>
      </c>
      <c r="P41" s="6">
        <v>6.9619659356352e-13</v>
      </c>
      <c r="Q41" s="6">
        <v>6.9619659611447e-13</v>
      </c>
      <c r="R41" s="6">
        <v>7.6349254496549e-13</v>
      </c>
      <c r="S41" s="6">
        <v>7.6349254461479e-13</v>
      </c>
      <c r="T41" s="6">
        <v>7.6349254494714e-13</v>
      </c>
      <c r="U41" s="6">
        <v>6.3079675049083e-13</v>
      </c>
      <c r="V41" s="6">
        <v>6.6664049261476e-13</v>
      </c>
      <c r="W41" s="6">
        <v>6.6664049332056e-13</v>
      </c>
      <c r="X41" s="6">
        <v>6.6664049244316e-13</v>
      </c>
      <c r="Y41" s="6">
        <v>6.9619659372343e-13</v>
      </c>
      <c r="Z41" s="6">
        <v>6.9619659583887e-13</v>
      </c>
      <c r="AA41" s="6">
        <v>6.9619659664365e-13</v>
      </c>
      <c r="AB41" s="4">
        <v>0.99999836858139</v>
      </c>
      <c r="AC41" s="4">
        <v>0.99999436424608</v>
      </c>
      <c r="AD41" s="4">
        <v>0.00025791914099163</v>
      </c>
      <c r="AE41" s="6">
        <v>-6.3839660053838e-19</v>
      </c>
      <c r="AF41" s="6">
        <v>3.1383518904532e-18</v>
      </c>
      <c r="AG41" s="6">
        <v>2.5399461198161e-18</v>
      </c>
      <c r="AH41" s="6">
        <v>3.3530098420603e-19</v>
      </c>
      <c r="AI41" s="6">
        <v>-9.9305151210755e-20</v>
      </c>
      <c r="AJ41" s="6">
        <v>7.5603333721569e-19</v>
      </c>
      <c r="AK41" s="6">
        <v>1.2500917659781e-19</v>
      </c>
      <c r="AL41" s="6">
        <v>7.5804809636471e-19</v>
      </c>
      <c r="AM41" s="6">
        <v>2.2047709874401e-19</v>
      </c>
      <c r="AN41" s="6">
        <v>-6.0952473072359e-20</v>
      </c>
      <c r="AO41" s="6">
        <v>9.2462681178448e-19</v>
      </c>
      <c r="AP41" s="6">
        <v>-1.9398857577144e-21</v>
      </c>
      <c r="AQ41" s="6">
        <v>4.8191481297387e-19</v>
      </c>
      <c r="AR41" s="6">
        <v>-4.0545451373537e-18</v>
      </c>
      <c r="AS41" s="6">
        <v>-3.7917838929502e-19</v>
      </c>
      <c r="AT41" s="6">
        <v>2.9907180992494e-19</v>
      </c>
      <c r="AU41" s="6">
        <v>-8.4771180823029e-19</v>
      </c>
      <c r="AV41" s="6">
        <v>-6.4994432771416e-19</v>
      </c>
      <c r="AW41" s="6">
        <v>-2.509477695971e-19</v>
      </c>
      <c r="AX41" s="6">
        <v>2.4159226915246e-18</v>
      </c>
      <c r="AY41" s="6">
        <v>4.6197547098432e-19</v>
      </c>
      <c r="AZ41" s="6">
        <v>-1.6386125278441e-18</v>
      </c>
      <c r="BA41" s="6">
        <v>2.3145548045683e-18</v>
      </c>
      <c r="BB41" s="6">
        <v>-7.237543025672e-18</v>
      </c>
      <c r="BC41" s="4">
        <v>15992895.761307</v>
      </c>
      <c r="BD41" s="4">
        <v>3997819.4587607</v>
      </c>
      <c r="BE41" s="4">
        <v>-0.0001177555974195</v>
      </c>
      <c r="BF41" s="4">
        <v>0.0002671660149246</v>
      </c>
      <c r="BG41" s="6">
        <v>8.0175744836133e-5</v>
      </c>
      <c r="BH41" s="4">
        <v>-0.00017720707393365</v>
      </c>
      <c r="BI41" s="4">
        <v>60.044430780565</v>
      </c>
      <c r="BJ41" s="4">
        <v>30.023776907751</v>
      </c>
      <c r="BK41" s="4">
        <v>55.089422879048</v>
      </c>
      <c r="BL41" s="4"/>
    </row>
    <row r="42" spans="1:64">
      <c r="A42" s="4">
        <v>1774066.9461679</v>
      </c>
      <c r="B42" s="6">
        <v>1.5696542814412e-5</v>
      </c>
      <c r="C42" s="6">
        <f t="shared" si="1"/>
        <v>9.55502773914119e-12</v>
      </c>
      <c r="D42" s="6">
        <v>6.3077973236247e-13</v>
      </c>
      <c r="E42" s="6">
        <v>7.6323824923909e-13</v>
      </c>
      <c r="F42" s="6">
        <v>7.6323824911775e-13</v>
      </c>
      <c r="G42" s="6">
        <v>7.6323824850377e-13</v>
      </c>
      <c r="H42" s="6">
        <v>6.307797311589e-13</v>
      </c>
      <c r="I42" s="6">
        <v>6.3077973159024e-13</v>
      </c>
      <c r="J42" s="6">
        <v>6.3077973135756e-13</v>
      </c>
      <c r="K42" s="6">
        <v>6.6655428578055e-13</v>
      </c>
      <c r="L42" s="6">
        <v>6.6655428654902e-13</v>
      </c>
      <c r="M42" s="6">
        <v>6.665542854056e-13</v>
      </c>
      <c r="N42" s="6">
        <v>6.959969285092e-13</v>
      </c>
      <c r="O42" s="6">
        <v>6.3077973118306e-13</v>
      </c>
      <c r="P42" s="6">
        <v>6.9599692808192e-13</v>
      </c>
      <c r="Q42" s="6">
        <v>6.9599693094904e-13</v>
      </c>
      <c r="R42" s="6">
        <v>7.6323824852133e-13</v>
      </c>
      <c r="S42" s="6">
        <v>7.6323824812977e-13</v>
      </c>
      <c r="T42" s="6">
        <v>7.6323824850231e-13</v>
      </c>
      <c r="U42" s="6">
        <v>6.3077973130081e-13</v>
      </c>
      <c r="V42" s="6">
        <v>6.6655428607835e-13</v>
      </c>
      <c r="W42" s="6">
        <v>6.6655428687518e-13</v>
      </c>
      <c r="X42" s="6">
        <v>6.6655428589327e-13</v>
      </c>
      <c r="Y42" s="6">
        <v>6.9599692825854e-13</v>
      </c>
      <c r="Z42" s="6">
        <v>6.9599693063523e-13</v>
      </c>
      <c r="AA42" s="6">
        <v>6.9599693154548e-13</v>
      </c>
      <c r="AB42" s="4">
        <v>0.99999836622393</v>
      </c>
      <c r="AC42" s="4">
        <v>0.99999435253757</v>
      </c>
      <c r="AD42" s="4">
        <v>0.00025935536694598</v>
      </c>
      <c r="AE42" s="6">
        <v>-6.4280292508633e-19</v>
      </c>
      <c r="AF42" s="6">
        <v>3.111853457838e-18</v>
      </c>
      <c r="AG42" s="6">
        <v>2.5267801023895e-18</v>
      </c>
      <c r="AH42" s="6">
        <v>3.4026498756346e-19</v>
      </c>
      <c r="AI42" s="6">
        <v>-1.0030405370468e-19</v>
      </c>
      <c r="AJ42" s="6">
        <v>7.5550043862636e-19</v>
      </c>
      <c r="AK42" s="6">
        <v>1.249500866526e-19</v>
      </c>
      <c r="AL42" s="6">
        <v>7.5632796227382e-19</v>
      </c>
      <c r="AM42" s="6">
        <v>2.4617136488254e-19</v>
      </c>
      <c r="AN42" s="6">
        <v>-6.0922456809511e-20</v>
      </c>
      <c r="AO42" s="6">
        <v>9.2107716765347e-19</v>
      </c>
      <c r="AP42" s="6">
        <v>-5.6722113443944e-22</v>
      </c>
      <c r="AQ42" s="6">
        <v>4.836151007761e-19</v>
      </c>
      <c r="AR42" s="6">
        <v>-4.0484629744385e-18</v>
      </c>
      <c r="AS42" s="6">
        <v>-3.7236508537639e-19</v>
      </c>
      <c r="AT42" s="6">
        <v>2.954190766916e-19</v>
      </c>
      <c r="AU42" s="6">
        <v>-8.3992093794129e-19</v>
      </c>
      <c r="AV42" s="6">
        <v>-6.5082035402083e-19</v>
      </c>
      <c r="AW42" s="6">
        <v>-2.4770574023098e-19</v>
      </c>
      <c r="AX42" s="6">
        <v>2.3957053499461e-18</v>
      </c>
      <c r="AY42" s="6">
        <v>4.5845247133857e-19</v>
      </c>
      <c r="AZ42" s="6">
        <v>-1.6244580667847e-18</v>
      </c>
      <c r="BA42" s="6">
        <v>2.3117861756406e-18</v>
      </c>
      <c r="BB42" s="6">
        <v>-7.2333746426674e-18</v>
      </c>
      <c r="BC42" s="4">
        <v>15992029.593324</v>
      </c>
      <c r="BD42" s="4">
        <v>3997553.7478543</v>
      </c>
      <c r="BE42" s="4">
        <v>-0.00011744880986888</v>
      </c>
      <c r="BF42" s="4">
        <v>0.00026900944842544</v>
      </c>
      <c r="BG42" s="6">
        <v>8.1216046582791e-5</v>
      </c>
      <c r="BH42" s="4">
        <v>-0.00017659600356256</v>
      </c>
      <c r="BI42" s="4">
        <v>60.044430134914</v>
      </c>
      <c r="BJ42" s="4">
        <v>30.023779585973</v>
      </c>
      <c r="BK42" s="4">
        <v>55.069188748636</v>
      </c>
      <c r="BL42" s="4"/>
    </row>
    <row r="43" spans="1:64">
      <c r="A43" s="4">
        <v>1990535.8527675</v>
      </c>
      <c r="B43" s="6">
        <v>1.7608618902855e-5</v>
      </c>
      <c r="C43" s="6">
        <f t="shared" si="1"/>
        <v>9.54858951499774e-12</v>
      </c>
      <c r="D43" s="6">
        <v>6.3076565544806e-13</v>
      </c>
      <c r="E43" s="6">
        <v>7.6295370750736e-13</v>
      </c>
      <c r="F43" s="6">
        <v>7.6295370737315e-13</v>
      </c>
      <c r="G43" s="6">
        <v>7.6295370669093e-13</v>
      </c>
      <c r="H43" s="6">
        <v>6.3076565410059e-13</v>
      </c>
      <c r="I43" s="6">
        <v>6.3076565458251e-13</v>
      </c>
      <c r="J43" s="6">
        <v>6.3076565432345e-13</v>
      </c>
      <c r="K43" s="6">
        <v>6.6645736805206e-13</v>
      </c>
      <c r="L43" s="6">
        <v>6.6645736891573e-13</v>
      </c>
      <c r="M43" s="6">
        <v>6.664573676299e-13</v>
      </c>
      <c r="N43" s="6">
        <v>6.9577734324476e-13</v>
      </c>
      <c r="O43" s="6">
        <v>6.3076565412747e-13</v>
      </c>
      <c r="P43" s="6">
        <v>6.9577734276476e-13</v>
      </c>
      <c r="Q43" s="6">
        <v>6.9577734598786e-13</v>
      </c>
      <c r="R43" s="6">
        <v>7.6295370670614e-13</v>
      </c>
      <c r="S43" s="6">
        <v>7.6295370626922e-13</v>
      </c>
      <c r="T43" s="6">
        <v>7.6295370668677e-13</v>
      </c>
      <c r="U43" s="6">
        <v>6.307656542604e-13</v>
      </c>
      <c r="V43" s="6">
        <v>6.6645736837958e-13</v>
      </c>
      <c r="W43" s="6">
        <v>6.6645736927981e-13</v>
      </c>
      <c r="X43" s="6">
        <v>6.6645736818124e-13</v>
      </c>
      <c r="Y43" s="6">
        <v>6.9577734295941e-13</v>
      </c>
      <c r="Z43" s="6">
        <v>6.9577734563001e-13</v>
      </c>
      <c r="AA43" s="6">
        <v>6.9577734666053e-13</v>
      </c>
      <c r="AB43" s="4">
        <v>0.99999836356043</v>
      </c>
      <c r="AC43" s="4">
        <v>0.99999433935419</v>
      </c>
      <c r="AD43" s="4">
        <v>0.0002609696759902</v>
      </c>
      <c r="AE43" s="6">
        <v>-6.4774372323579e-19</v>
      </c>
      <c r="AF43" s="6">
        <v>3.0823285048228e-18</v>
      </c>
      <c r="AG43" s="6">
        <v>2.5121227795098e-18</v>
      </c>
      <c r="AH43" s="6">
        <v>3.4585087959445e-19</v>
      </c>
      <c r="AI43" s="6">
        <v>-1.0142657242738e-19</v>
      </c>
      <c r="AJ43" s="6">
        <v>7.5485734293605e-19</v>
      </c>
      <c r="AK43" s="6">
        <v>1.2486512841797e-19</v>
      </c>
      <c r="AL43" s="6">
        <v>7.5442581079968e-19</v>
      </c>
      <c r="AM43" s="6">
        <v>2.7515478436159e-19</v>
      </c>
      <c r="AN43" s="6">
        <v>-6.0901809002511e-20</v>
      </c>
      <c r="AO43" s="6">
        <v>9.1711400099174e-19</v>
      </c>
      <c r="AP43" s="6">
        <v>9.5870557766398e-22</v>
      </c>
      <c r="AQ43" s="6">
        <v>4.8546281378689e-19</v>
      </c>
      <c r="AR43" s="6">
        <v>-4.0414171291053e-18</v>
      </c>
      <c r="AS43" s="6">
        <v>-3.6476117472776e-19</v>
      </c>
      <c r="AT43" s="6">
        <v>2.9133814326878e-19</v>
      </c>
      <c r="AU43" s="6">
        <v>-8.3120692536549e-19</v>
      </c>
      <c r="AV43" s="6">
        <v>-6.5182154469703e-19</v>
      </c>
      <c r="AW43" s="6">
        <v>-2.4403782146517e-19</v>
      </c>
      <c r="AX43" s="6">
        <v>2.3729852213374e-18</v>
      </c>
      <c r="AY43" s="6">
        <v>4.5441608638272e-19</v>
      </c>
      <c r="AZ43" s="6">
        <v>-1.6086982297359e-18</v>
      </c>
      <c r="BA43" s="6">
        <v>2.3085634533538e-18</v>
      </c>
      <c r="BB43" s="6">
        <v>-7.2283069181483e-18</v>
      </c>
      <c r="BC43" s="4">
        <v>15991057.921438</v>
      </c>
      <c r="BD43" s="4">
        <v>3997255.709181</v>
      </c>
      <c r="BE43" s="4">
        <v>-0.00011710377772673</v>
      </c>
      <c r="BF43" s="4">
        <v>0.00027107642115732</v>
      </c>
      <c r="BG43" s="6">
        <v>8.2383101235671e-5</v>
      </c>
      <c r="BH43" s="4">
        <v>-0.0001759054554648</v>
      </c>
      <c r="BI43" s="4">
        <v>60.044429479021</v>
      </c>
      <c r="BJ43" s="4">
        <v>30.023782570939</v>
      </c>
      <c r="BK43" s="4">
        <v>55.046618467477</v>
      </c>
      <c r="BL43" s="4"/>
    </row>
    <row r="44" spans="1:64">
      <c r="A44" s="4">
        <v>2233417.9607549</v>
      </c>
      <c r="B44" s="6">
        <v>1.9753168021446e-5</v>
      </c>
      <c r="C44" s="6">
        <f t="shared" si="1"/>
        <v>9.54140385701133e-12</v>
      </c>
      <c r="D44" s="6">
        <v>6.307510768991e-13</v>
      </c>
      <c r="E44" s="6">
        <v>7.6263542573228e-13</v>
      </c>
      <c r="F44" s="6">
        <v>7.6263542558412e-13</v>
      </c>
      <c r="G44" s="6">
        <v>7.62635424827e-13</v>
      </c>
      <c r="H44" s="6">
        <v>6.3075107539091e-13</v>
      </c>
      <c r="I44" s="6">
        <v>6.3075107592905e-13</v>
      </c>
      <c r="J44" s="6">
        <v>6.3075107564089e-13</v>
      </c>
      <c r="K44" s="6">
        <v>6.6634932898657e-13</v>
      </c>
      <c r="L44" s="6">
        <v>6.6634932995749e-13</v>
      </c>
      <c r="M44" s="6">
        <v>6.6634932851106e-13</v>
      </c>
      <c r="N44" s="6">
        <v>6.9553182013426e-13</v>
      </c>
      <c r="O44" s="6">
        <v>6.3075107542076e-13</v>
      </c>
      <c r="P44" s="6">
        <v>6.9553181959492e-13</v>
      </c>
      <c r="Q44" s="6">
        <v>6.9553182321902e-13</v>
      </c>
      <c r="R44" s="6">
        <v>7.6263542483844e-13</v>
      </c>
      <c r="S44" s="6">
        <v>7.6263542435123e-13</v>
      </c>
      <c r="T44" s="6">
        <v>7.6263542481918e-13</v>
      </c>
      <c r="U44" s="6">
        <v>6.3075107557095e-13</v>
      </c>
      <c r="V44" s="6">
        <v>6.6634932934578e-13</v>
      </c>
      <c r="W44" s="6">
        <v>6.6634933036362e-13</v>
      </c>
      <c r="X44" s="6">
        <v>6.6634932913491e-13</v>
      </c>
      <c r="Y44" s="6">
        <v>6.9553181980892e-13</v>
      </c>
      <c r="Z44" s="6">
        <v>6.9553182281026e-13</v>
      </c>
      <c r="AA44" s="6">
        <v>6.9553182397819e-13</v>
      </c>
      <c r="AB44" s="4">
        <v>0.99999836052668</v>
      </c>
      <c r="AC44" s="4">
        <v>0.9999943244855</v>
      </c>
      <c r="AD44" s="4">
        <v>0.00026278444429626</v>
      </c>
      <c r="AE44" s="6">
        <v>-6.5328289246386e-19</v>
      </c>
      <c r="AF44" s="6">
        <v>3.049460788598e-18</v>
      </c>
      <c r="AG44" s="6">
        <v>2.495820485886e-18</v>
      </c>
      <c r="AH44" s="6">
        <v>3.5213837680013e-19</v>
      </c>
      <c r="AI44" s="6">
        <v>-1.0268871136257e-19</v>
      </c>
      <c r="AJ44" s="6">
        <v>7.5407861714943e-19</v>
      </c>
      <c r="AK44" s="6">
        <v>1.2474550714e-19</v>
      </c>
      <c r="AL44" s="6">
        <v>7.523265550383e-19</v>
      </c>
      <c r="AM44" s="6">
        <v>3.0786711283264e-19</v>
      </c>
      <c r="AN44" s="6">
        <v>-6.0894510822299e-20</v>
      </c>
      <c r="AO44" s="6">
        <v>9.1269000952761e-19</v>
      </c>
      <c r="AP44" s="6">
        <v>2.6529873289831e-21</v>
      </c>
      <c r="AQ44" s="6">
        <v>4.8746066161476e-19</v>
      </c>
      <c r="AR44" s="6">
        <v>-4.0332350977024e-18</v>
      </c>
      <c r="AS44" s="6">
        <v>-3.5628138292773e-19</v>
      </c>
      <c r="AT44" s="6">
        <v>2.8678097512451e-19</v>
      </c>
      <c r="AU44" s="6">
        <v>-8.2146381369205e-19</v>
      </c>
      <c r="AV44" s="6">
        <v>-6.5296811862767e-19</v>
      </c>
      <c r="AW44" s="6">
        <v>-2.3988786273823e-19</v>
      </c>
      <c r="AX44" s="6">
        <v>2.3474455189895e-18</v>
      </c>
      <c r="AY44" s="6">
        <v>4.4978118850839e-19</v>
      </c>
      <c r="AZ44" s="6">
        <v>-1.5911673921785e-18</v>
      </c>
      <c r="BA44" s="6">
        <v>2.3048017230983e-18</v>
      </c>
      <c r="BB44" s="6">
        <v>-7.2221335225609e-18</v>
      </c>
      <c r="BC44" s="4">
        <v>15989967.919091</v>
      </c>
      <c r="BD44" s="4">
        <v>3996921.421726</v>
      </c>
      <c r="BE44" s="4">
        <v>-0.00011671562725122</v>
      </c>
      <c r="BF44" s="4">
        <v>0.00027339385743927</v>
      </c>
      <c r="BG44" s="6">
        <v>8.3692329096609e-5</v>
      </c>
      <c r="BH44" s="4">
        <v>-0.00017512477293186</v>
      </c>
      <c r="BI44" s="4">
        <v>60.044428828053</v>
      </c>
      <c r="BJ44" s="4">
        <v>30.023785894624</v>
      </c>
      <c r="BK44" s="4">
        <v>55.021460427668</v>
      </c>
      <c r="BL44" s="4"/>
    </row>
    <row r="45" spans="1:64">
      <c r="A45" s="4">
        <v>2505936.1681364</v>
      </c>
      <c r="B45" s="6">
        <v>2.2158346297833e-5</v>
      </c>
      <c r="C45" s="6">
        <f t="shared" si="1"/>
        <v>9.53339083393062e-12</v>
      </c>
      <c r="D45" s="6">
        <v>6.3073663014729e-13</v>
      </c>
      <c r="E45" s="6">
        <v>7.6228017761614e-13</v>
      </c>
      <c r="F45" s="6">
        <v>7.6228017745294e-13</v>
      </c>
      <c r="G45" s="6">
        <v>7.6228017661389e-13</v>
      </c>
      <c r="H45" s="6">
        <v>6.3073662845966e-13</v>
      </c>
      <c r="I45" s="6">
        <v>6.3073662906024e-13</v>
      </c>
      <c r="J45" s="6">
        <v>6.3073662874008e-13</v>
      </c>
      <c r="K45" s="6">
        <v>6.6623094624312e-13</v>
      </c>
      <c r="L45" s="6">
        <v>6.6623094733496e-13</v>
      </c>
      <c r="M45" s="6">
        <v>6.6623094570726e-13</v>
      </c>
      <c r="N45" s="6">
        <v>6.9526399350674e-13</v>
      </c>
      <c r="O45" s="6">
        <v>6.3073662849277e-13</v>
      </c>
      <c r="P45" s="6">
        <v>6.9526399290059e-13</v>
      </c>
      <c r="Q45" s="6">
        <v>6.9526399697659e-13</v>
      </c>
      <c r="R45" s="6">
        <v>7.6228017661966e-13</v>
      </c>
      <c r="S45" s="6">
        <v>7.622801760768e-13</v>
      </c>
      <c r="T45" s="6">
        <v>7.6228017660116e-13</v>
      </c>
      <c r="U45" s="6">
        <v>6.3073662866258e-13</v>
      </c>
      <c r="V45" s="6">
        <v>6.6623094663584e-13</v>
      </c>
      <c r="W45" s="6">
        <v>6.6623094778766e-13</v>
      </c>
      <c r="X45" s="6">
        <v>6.6623094641383e-13</v>
      </c>
      <c r="Y45" s="6">
        <v>6.9526399313521e-13</v>
      </c>
      <c r="Z45" s="6">
        <v>6.9526399650884e-13</v>
      </c>
      <c r="AA45" s="6">
        <v>6.9526399783408e-13</v>
      </c>
      <c r="AB45" s="4">
        <v>0.99999835707677</v>
      </c>
      <c r="AC45" s="4">
        <v>0.99999430770991</v>
      </c>
      <c r="AD45" s="4">
        <v>0.00026482491253807</v>
      </c>
      <c r="AE45" s="6">
        <v>-6.594893259917e-19</v>
      </c>
      <c r="AF45" s="6">
        <v>3.0129092706386e-18</v>
      </c>
      <c r="AG45" s="6">
        <v>2.4777073967842e-18</v>
      </c>
      <c r="AH45" s="6">
        <v>3.5921694267101e-19</v>
      </c>
      <c r="AI45" s="6">
        <v>-1.0410852629468e-19</v>
      </c>
      <c r="AJ45" s="6">
        <v>7.5313268393757e-19</v>
      </c>
      <c r="AK45" s="6">
        <v>1.2458064583386e-19</v>
      </c>
      <c r="AL45" s="6">
        <v>7.5001401762138e-19</v>
      </c>
      <c r="AM45" s="6">
        <v>3.4481460523473e-19</v>
      </c>
      <c r="AN45" s="6">
        <v>-6.0906228067856e-20</v>
      </c>
      <c r="AO45" s="6">
        <v>9.0775417262271e-19</v>
      </c>
      <c r="AP45" s="6">
        <v>4.5314417306179e-21</v>
      </c>
      <c r="AQ45" s="6">
        <v>4.8960732545189e-19</v>
      </c>
      <c r="AR45" s="6">
        <v>-4.0237168720033e-18</v>
      </c>
      <c r="AS45" s="6">
        <v>-3.4683274252156e-19</v>
      </c>
      <c r="AT45" s="6">
        <v>2.8169490368251e-19</v>
      </c>
      <c r="AU45" s="6">
        <v>-8.1057452974496e-19</v>
      </c>
      <c r="AV45" s="6">
        <v>-6.5428312166623e-19</v>
      </c>
      <c r="AW45" s="6">
        <v>-2.3518604852241e-19</v>
      </c>
      <c r="AX45" s="6">
        <v>2.3187239747889e-18</v>
      </c>
      <c r="AY45" s="6">
        <v>4.4444690377085e-19</v>
      </c>
      <c r="AZ45" s="6">
        <v>-1.5716877901348e-18</v>
      </c>
      <c r="BA45" s="6">
        <v>2.3004068505298e-18</v>
      </c>
      <c r="BB45" s="6">
        <v>-7.214597535424e-18</v>
      </c>
      <c r="BC45" s="4">
        <v>15988745.205587</v>
      </c>
      <c r="BD45" s="4">
        <v>3996546.4915569</v>
      </c>
      <c r="BE45" s="4">
        <v>-0.00011627883353633</v>
      </c>
      <c r="BF45" s="4">
        <v>0.0002759918800196</v>
      </c>
      <c r="BG45" s="6">
        <v>8.5161019806877e-5</v>
      </c>
      <c r="BH45" s="4">
        <v>-0.00017424177522159</v>
      </c>
      <c r="BI45" s="4">
        <v>60.044428202998</v>
      </c>
      <c r="BJ45" s="4">
        <v>30.023789591234</v>
      </c>
      <c r="BK45" s="4">
        <v>54.993440738003</v>
      </c>
      <c r="BL45" s="4"/>
    </row>
    <row r="46" spans="1:64">
      <c r="A46" s="4">
        <v>2811706.6259518</v>
      </c>
      <c r="B46" s="6">
        <v>2.4855695110873e-5</v>
      </c>
      <c r="C46" s="6">
        <f t="shared" si="1"/>
        <v>9.52445743358309e-12</v>
      </c>
      <c r="D46" s="6">
        <v>6.3073195425626e-13</v>
      </c>
      <c r="E46" s="6">
        <v>7.6188404626945e-13</v>
      </c>
      <c r="F46" s="6">
        <v>7.6188404609015e-13</v>
      </c>
      <c r="G46" s="6">
        <v>7.618840451618e-13</v>
      </c>
      <c r="H46" s="6">
        <v>6.3073195236833e-13</v>
      </c>
      <c r="I46" s="6">
        <v>6.3073195303817e-13</v>
      </c>
      <c r="J46" s="6">
        <v>6.3073195268293e-13</v>
      </c>
      <c r="K46" s="6">
        <v>6.6609773882105e-13</v>
      </c>
      <c r="L46" s="6">
        <v>6.6609774004932e-13</v>
      </c>
      <c r="M46" s="6">
        <v>6.6609773821686e-13</v>
      </c>
      <c r="N46" s="6">
        <v>6.9496742342497e-13</v>
      </c>
      <c r="O46" s="6">
        <v>6.3073195240501e-13</v>
      </c>
      <c r="P46" s="6">
        <v>6.9496742274352e-13</v>
      </c>
      <c r="Q46" s="6">
        <v>6.9496742732904e-13</v>
      </c>
      <c r="R46" s="6">
        <v>7.6188404515942e-13</v>
      </c>
      <c r="S46" s="6">
        <v>7.6188404455507e-13</v>
      </c>
      <c r="T46" s="6">
        <v>7.6188404514256e-13</v>
      </c>
      <c r="U46" s="6">
        <v>6.3073195259716e-13</v>
      </c>
      <c r="V46" s="6">
        <v>6.6609773924882e-13</v>
      </c>
      <c r="W46" s="6">
        <v>6.6609774055349e-13</v>
      </c>
      <c r="X46" s="6">
        <v>6.6609773901792e-13</v>
      </c>
      <c r="Y46" s="6">
        <v>6.949674229999e-13</v>
      </c>
      <c r="Z46" s="6">
        <v>6.9496742679276e-13</v>
      </c>
      <c r="AA46" s="6">
        <v>6.9496742829848e-13</v>
      </c>
      <c r="AB46" s="4">
        <v>0.99999835316571</v>
      </c>
      <c r="AC46" s="4">
        <v>0.99999428878289</v>
      </c>
      <c r="AD46" s="4">
        <v>0.00026711955467211</v>
      </c>
      <c r="AE46" s="6">
        <v>-6.664378938549e-19</v>
      </c>
      <c r="AF46" s="6">
        <v>2.972302932596e-18</v>
      </c>
      <c r="AG46" s="6">
        <v>2.4576033721536e-18</v>
      </c>
      <c r="AH46" s="6">
        <v>3.6718968476603e-19</v>
      </c>
      <c r="AI46" s="6">
        <v>-1.0570684750562e-19</v>
      </c>
      <c r="AJ46" s="6">
        <v>7.5198022697311e-19</v>
      </c>
      <c r="AK46" s="6">
        <v>1.2435697271846e-19</v>
      </c>
      <c r="AL46" s="6">
        <v>7.4746956976732e-19</v>
      </c>
      <c r="AM46" s="6">
        <v>3.8657991180829e-19</v>
      </c>
      <c r="AN46" s="6">
        <v>-6.0944427488896e-20</v>
      </c>
      <c r="AO46" s="6">
        <v>9.0224937292655e-19</v>
      </c>
      <c r="AP46" s="6">
        <v>6.6115055988508e-21</v>
      </c>
      <c r="AQ46" s="6">
        <v>4.9189909077738e-19</v>
      </c>
      <c r="AR46" s="6">
        <v>-4.0126278578e-18</v>
      </c>
      <c r="AS46" s="6">
        <v>-3.3631340109009e-19</v>
      </c>
      <c r="AT46" s="6">
        <v>2.760213069518e-19</v>
      </c>
      <c r="AU46" s="6">
        <v>-7.984076245204e-19</v>
      </c>
      <c r="AV46" s="6">
        <v>-6.5579332151183e-19</v>
      </c>
      <c r="AW46" s="6">
        <v>-2.2984432460182e-19</v>
      </c>
      <c r="AX46" s="6">
        <v>2.2864129391703e-18</v>
      </c>
      <c r="AY46" s="6">
        <v>4.3829729845242e-19</v>
      </c>
      <c r="AZ46" s="6">
        <v>-1.5500668041088e-18</v>
      </c>
      <c r="BA46" s="6">
        <v>2.2952736866388e-18</v>
      </c>
      <c r="BB46" s="6">
        <v>-7.2053939892625e-18</v>
      </c>
      <c r="BC46" s="4">
        <v>15987373.656635</v>
      </c>
      <c r="BD46" s="4">
        <v>3996125.9946562</v>
      </c>
      <c r="BE46" s="4">
        <v>-0.00011578711871778</v>
      </c>
      <c r="BF46" s="4">
        <v>0.00027890417772951</v>
      </c>
      <c r="BG46" s="6">
        <v>8.6808560273984e-5</v>
      </c>
      <c r="BH46" s="4">
        <v>-0.00017324271584331</v>
      </c>
      <c r="BI46" s="4">
        <v>60.044427631691</v>
      </c>
      <c r="BJ46" s="4">
        <v>30.023793697826</v>
      </c>
      <c r="BK46" s="4">
        <v>54.962262771185</v>
      </c>
      <c r="BL46" s="4"/>
    </row>
    <row r="47" spans="1:64">
      <c r="A47" s="4">
        <v>3154786.7224011</v>
      </c>
      <c r="B47" s="6">
        <v>2.788053839425e-5</v>
      </c>
      <c r="C47" s="6">
        <f t="shared" si="1"/>
        <v>9.51450833820774e-12</v>
      </c>
      <c r="D47" s="6">
        <v>6.307285978863e-13</v>
      </c>
      <c r="E47" s="6">
        <v>7.6144181101865e-13</v>
      </c>
      <c r="F47" s="6">
        <v>7.6144181082224e-13</v>
      </c>
      <c r="G47" s="6">
        <v>7.6144180979696e-13</v>
      </c>
      <c r="H47" s="6">
        <v>6.3072859577495e-13</v>
      </c>
      <c r="I47" s="6">
        <v>6.3072859652149e-13</v>
      </c>
      <c r="J47" s="6">
        <v>6.3072859612792e-13</v>
      </c>
      <c r="K47" s="6">
        <v>6.6594781337843e-13</v>
      </c>
      <c r="L47" s="6">
        <v>6.659478147608e-13</v>
      </c>
      <c r="M47" s="6">
        <v>6.659478126968e-13</v>
      </c>
      <c r="N47" s="6">
        <v>6.9463617793756e-13</v>
      </c>
      <c r="O47" s="6">
        <v>6.307285958155e-13</v>
      </c>
      <c r="P47" s="6">
        <v>6.9463617717122e-13</v>
      </c>
      <c r="Q47" s="6">
        <v>6.9463618233154e-13</v>
      </c>
      <c r="R47" s="6">
        <v>7.614418097832e-13</v>
      </c>
      <c r="S47" s="6">
        <v>7.6144180911103e-13</v>
      </c>
      <c r="T47" s="6">
        <v>7.6144180976916e-13</v>
      </c>
      <c r="U47" s="6">
        <v>6.3072859603313e-13</v>
      </c>
      <c r="V47" s="6">
        <v>6.6594781384239e-13</v>
      </c>
      <c r="W47" s="6">
        <v>6.6594781532175e-13</v>
      </c>
      <c r="X47" s="6">
        <v>6.6594781360602e-13</v>
      </c>
      <c r="Y47" s="6">
        <v>6.9463617745032e-13</v>
      </c>
      <c r="Z47" s="6">
        <v>6.9463618171539e-13</v>
      </c>
      <c r="AA47" s="6">
        <v>6.9463618342869e-13</v>
      </c>
      <c r="AB47" s="4">
        <v>0.99999834869449</v>
      </c>
      <c r="AC47" s="4">
        <v>0.99999426738667</v>
      </c>
      <c r="AD47" s="4">
        <v>0.00026970050486008</v>
      </c>
      <c r="AE47" s="6">
        <v>-6.7421000617369e-19</v>
      </c>
      <c r="AF47" s="6">
        <v>2.9272475231975e-18</v>
      </c>
      <c r="AG47" s="6">
        <v>2.4353152323081e-18</v>
      </c>
      <c r="AH47" s="6">
        <v>3.7617843894192e-19</v>
      </c>
      <c r="AI47" s="6">
        <v>-1.0750797647005e-19</v>
      </c>
      <c r="AJ47" s="6">
        <v>7.5057452658331e-19</v>
      </c>
      <c r="AK47" s="6">
        <v>1.2405701969953e-19</v>
      </c>
      <c r="AL47" s="6">
        <v>7.4467575173844e-19</v>
      </c>
      <c r="AM47" s="6">
        <v>4.3381977033442e-19</v>
      </c>
      <c r="AN47" s="6">
        <v>-6.1017968898305e-20</v>
      </c>
      <c r="AO47" s="6">
        <v>8.9611073534035e-19</v>
      </c>
      <c r="AP47" s="6">
        <v>8.9124766762051e-21</v>
      </c>
      <c r="AQ47" s="6">
        <v>4.9433424815813e-19</v>
      </c>
      <c r="AR47" s="6">
        <v>-3.9996961461365e-18</v>
      </c>
      <c r="AS47" s="6">
        <v>-3.2461533882699e-19</v>
      </c>
      <c r="AT47" s="6">
        <v>2.6969548072057e-19</v>
      </c>
      <c r="AU47" s="6">
        <v>-7.8481505078169e-19</v>
      </c>
      <c r="AV47" s="6">
        <v>-6.5753108396524e-19</v>
      </c>
      <c r="AW47" s="6">
        <v>-2.237727199375e-19</v>
      </c>
      <c r="AX47" s="6">
        <v>2.2500565171296e-18</v>
      </c>
      <c r="AY47" s="6">
        <v>4.311911674365e-19</v>
      </c>
      <c r="AZ47" s="6">
        <v>-1.5260997967614e-18</v>
      </c>
      <c r="BA47" s="6">
        <v>2.2892648743736e-18</v>
      </c>
      <c r="BB47" s="6">
        <v>-7.1941969386351e-18</v>
      </c>
      <c r="BC47" s="4">
        <v>15985835.20127</v>
      </c>
      <c r="BD47" s="4">
        <v>3995654.4159262</v>
      </c>
      <c r="BE47" s="4">
        <v>-0.00011523336604399</v>
      </c>
      <c r="BF47" s="4">
        <v>0.00028216841616785</v>
      </c>
      <c r="BG47" s="6">
        <v>8.8656684248572e-5</v>
      </c>
      <c r="BH47" s="4">
        <v>-0.00017211205464535</v>
      </c>
      <c r="BI47" s="4">
        <v>60.044427149702</v>
      </c>
      <c r="BJ47" s="4">
        <v>30.023798253906</v>
      </c>
      <c r="BK47" s="4">
        <v>54.927606398871</v>
      </c>
      <c r="BL47" s="4"/>
    </row>
    <row r="48" spans="1:64">
      <c r="A48" s="4">
        <v>3539728.9219208</v>
      </c>
      <c r="B48" s="6">
        <v>3.1272427409208e-5</v>
      </c>
      <c r="C48" s="6">
        <f t="shared" si="1"/>
        <v>9.50343926123077e-12</v>
      </c>
      <c r="D48" s="6">
        <v>6.3072389529298e-13</v>
      </c>
      <c r="E48" s="6">
        <v>7.6094808157518e-13</v>
      </c>
      <c r="F48" s="6">
        <v>7.6094808136077e-13</v>
      </c>
      <c r="G48" s="6">
        <v>7.6094808023079e-13</v>
      </c>
      <c r="H48" s="6">
        <v>6.3072389293259e-13</v>
      </c>
      <c r="I48" s="6">
        <v>6.3072389376396e-13</v>
      </c>
      <c r="J48" s="6">
        <v>6.3072389332863e-13</v>
      </c>
      <c r="K48" s="6">
        <v>6.6578246491615e-13</v>
      </c>
      <c r="L48" s="6">
        <v>6.6578246647277e-13</v>
      </c>
      <c r="M48" s="6">
        <v>6.6578246414663e-13</v>
      </c>
      <c r="N48" s="6">
        <v>6.9426711249009e-13</v>
      </c>
      <c r="O48" s="6">
        <v>6.3072389297735e-13</v>
      </c>
      <c r="P48" s="6">
        <v>6.9426711162793e-13</v>
      </c>
      <c r="Q48" s="6">
        <v>6.942671174371e-13</v>
      </c>
      <c r="R48" s="6">
        <v>7.6094808020147e-13</v>
      </c>
      <c r="S48" s="6">
        <v>7.6094807945469e-13</v>
      </c>
      <c r="T48" s="6">
        <v>7.6094808019182e-13</v>
      </c>
      <c r="U48" s="6">
        <v>6.3072389322405e-13</v>
      </c>
      <c r="V48" s="6">
        <v>6.6578246541681e-13</v>
      </c>
      <c r="W48" s="6">
        <v>6.657824670962e-13</v>
      </c>
      <c r="X48" s="6">
        <v>6.6578246517989e-13</v>
      </c>
      <c r="Y48" s="6">
        <v>6.9426711193041e-13</v>
      </c>
      <c r="Z48" s="6">
        <v>6.942671167276e-13</v>
      </c>
      <c r="AA48" s="6">
        <v>6.9426711868028e-13</v>
      </c>
      <c r="AB48" s="4">
        <v>0.99999834355813</v>
      </c>
      <c r="AC48" s="4">
        <v>0.9999942431687</v>
      </c>
      <c r="AD48" s="4">
        <v>0.00027260403803164</v>
      </c>
      <c r="AE48" s="6">
        <v>-6.8289244011279e-19</v>
      </c>
      <c r="AF48" s="6">
        <v>2.8773273736564e-18</v>
      </c>
      <c r="AG48" s="6">
        <v>2.41064077906e-18</v>
      </c>
      <c r="AH48" s="6">
        <v>3.8631752679514e-19</v>
      </c>
      <c r="AI48" s="6">
        <v>-1.0953953339056e-19</v>
      </c>
      <c r="AJ48" s="6">
        <v>7.4885583423394e-19</v>
      </c>
      <c r="AK48" s="6">
        <v>1.2365879004281e-19</v>
      </c>
      <c r="AL48" s="6">
        <v>7.4161497332608e-19</v>
      </c>
      <c r="AM48" s="6">
        <v>4.8729266351532e-19</v>
      </c>
      <c r="AN48" s="6">
        <v>-6.1138069325305e-20</v>
      </c>
      <c r="AO48" s="6">
        <v>8.8926385866865e-19</v>
      </c>
      <c r="AP48" s="6">
        <v>1.1452445427714e-20</v>
      </c>
      <c r="AQ48" s="6">
        <v>4.9689711482983e-19</v>
      </c>
      <c r="AR48" s="6">
        <v>-3.9845939528144e-18</v>
      </c>
      <c r="AS48" s="6">
        <v>-3.1162298930166e-19</v>
      </c>
      <c r="AT48" s="6">
        <v>2.6264697438747e-19</v>
      </c>
      <c r="AU48" s="6">
        <v>-7.696367140912e-19</v>
      </c>
      <c r="AV48" s="6">
        <v>-6.5953511388214e-19</v>
      </c>
      <c r="AW48" s="6">
        <v>-2.1687093248536e-19</v>
      </c>
      <c r="AX48" s="6">
        <v>2.2091260701716e-18</v>
      </c>
      <c r="AY48" s="6">
        <v>4.2295900679529e-19</v>
      </c>
      <c r="AZ48" s="6">
        <v>-1.4995705972388e-18</v>
      </c>
      <c r="BA48" s="6">
        <v>2.282211797359e-18</v>
      </c>
      <c r="BB48" s="6">
        <v>-7.180565310659e-18</v>
      </c>
      <c r="BC48" s="4">
        <v>15984109.591529</v>
      </c>
      <c r="BD48" s="4">
        <v>3995125.5799877</v>
      </c>
      <c r="BE48" s="4">
        <v>-0.00011460950754276</v>
      </c>
      <c r="BF48" s="4">
        <v>0.00028582669098007</v>
      </c>
      <c r="BG48" s="6">
        <v>9.0729754974097e-5</v>
      </c>
      <c r="BH48" s="4">
        <v>-0.0001708321189343</v>
      </c>
      <c r="BI48" s="4">
        <v>60.044426804159</v>
      </c>
      <c r="BJ48" s="4">
        <v>30.023803300463</v>
      </c>
      <c r="BK48" s="4">
        <v>54.889127274925</v>
      </c>
      <c r="BL48" s="4"/>
    </row>
    <row r="49" spans="1:64">
      <c r="A49" s="4">
        <v>3971641.1736215</v>
      </c>
      <c r="B49" s="6">
        <v>3.5075640032019e-5</v>
      </c>
      <c r="C49" s="6">
        <f t="shared" si="1"/>
        <v>9.49113373968535e-12</v>
      </c>
      <c r="D49" s="6">
        <v>6.3071815161278e-13</v>
      </c>
      <c r="E49" s="6">
        <v>7.6039693979755e-13</v>
      </c>
      <c r="F49" s="6">
        <v>7.6039693956444e-13</v>
      </c>
      <c r="G49" s="6">
        <v>7.6039693832206e-13</v>
      </c>
      <c r="H49" s="6">
        <v>6.3071814897496e-13</v>
      </c>
      <c r="I49" s="6">
        <v>6.3071814989995e-13</v>
      </c>
      <c r="J49" s="6">
        <v>6.3071814941936e-13</v>
      </c>
      <c r="K49" s="6">
        <v>6.65599069786e-13</v>
      </c>
      <c r="L49" s="6">
        <v>6.6559907154001e-13</v>
      </c>
      <c r="M49" s="6">
        <v>6.6559906891659e-13</v>
      </c>
      <c r="N49" s="6">
        <v>6.9386073300415e-13</v>
      </c>
      <c r="O49" s="6">
        <v>6.3071814902425e-13</v>
      </c>
      <c r="P49" s="6">
        <v>6.9386073203374e-13</v>
      </c>
      <c r="Q49" s="6">
        <v>6.9386073857581e-13</v>
      </c>
      <c r="R49" s="6">
        <v>7.6039693827179e-13</v>
      </c>
      <c r="S49" s="6">
        <v>7.6039693744313e-13</v>
      </c>
      <c r="T49" s="6">
        <v>7.6039693826861e-13</v>
      </c>
      <c r="U49" s="6">
        <v>6.3071814930421e-13</v>
      </c>
      <c r="V49" s="6">
        <v>6.65599070323e-13</v>
      </c>
      <c r="W49" s="6">
        <v>6.6559907223205e-13</v>
      </c>
      <c r="X49" s="6">
        <v>6.6559907009238e-13</v>
      </c>
      <c r="Y49" s="6">
        <v>6.9386073235984e-13</v>
      </c>
      <c r="Z49" s="6">
        <v>6.9386073775688e-13</v>
      </c>
      <c r="AA49" s="6">
        <v>6.9386073998641e-13</v>
      </c>
      <c r="AB49" s="4">
        <v>0.99999833765665</v>
      </c>
      <c r="AC49" s="4">
        <v>0.99999421573217</v>
      </c>
      <c r="AD49" s="4">
        <v>0.00027587109529613</v>
      </c>
      <c r="AE49" s="6">
        <v>-6.9257577267981e-19</v>
      </c>
      <c r="AF49" s="6">
        <v>2.822105191517e-18</v>
      </c>
      <c r="AG49" s="6">
        <v>2.3833672634021e-18</v>
      </c>
      <c r="AH49" s="6">
        <v>3.9775894434013e-19</v>
      </c>
      <c r="AI49" s="6">
        <v>-1.1183276825608e-19</v>
      </c>
      <c r="AJ49" s="6">
        <v>7.4674949297785e-19</v>
      </c>
      <c r="AK49" s="6">
        <v>1.2313488598711e-19</v>
      </c>
      <c r="AL49" s="6">
        <v>7.3826868273773e-19</v>
      </c>
      <c r="AM49" s="6">
        <v>5.4787237149953e-19</v>
      </c>
      <c r="AN49" s="6">
        <v>-6.1319470969902e-20</v>
      </c>
      <c r="AO49" s="6">
        <v>8.816228739633e-19</v>
      </c>
      <c r="AP49" s="6">
        <v>1.4248789072605e-20</v>
      </c>
      <c r="AQ49" s="6">
        <v>4.9956192372257e-19</v>
      </c>
      <c r="AR49" s="6">
        <v>-3.966936088364e-18</v>
      </c>
      <c r="AS49" s="6">
        <v>-2.9721368492725e-19</v>
      </c>
      <c r="AT49" s="6">
        <v>2.5479851852066e-19</v>
      </c>
      <c r="AU49" s="6">
        <v>-7.5269625859325e-19</v>
      </c>
      <c r="AV49" s="6">
        <v>-6.6185207042843e-19</v>
      </c>
      <c r="AW49" s="6">
        <v>-2.0902361064057e-19</v>
      </c>
      <c r="AX49" s="6">
        <v>2.1630138786792e-18</v>
      </c>
      <c r="AY49" s="6">
        <v>4.1339896793566e-19</v>
      </c>
      <c r="AZ49" s="6">
        <v>-1.4702506923754e-18</v>
      </c>
      <c r="BA49" s="6">
        <v>2.2739116135144e-18</v>
      </c>
      <c r="BB49" s="6">
        <v>-7.163960896811e-18</v>
      </c>
      <c r="BC49" s="4">
        <v>15982174.137067</v>
      </c>
      <c r="BD49" s="4">
        <v>3994532.571535</v>
      </c>
      <c r="BE49" s="4">
        <v>-0.00011390636330713</v>
      </c>
      <c r="BF49" s="4">
        <v>0.00028992602792477</v>
      </c>
      <c r="BG49" s="6">
        <v>9.3055082543731e-5</v>
      </c>
      <c r="BH49" s="4">
        <v>-0.00016938319765991</v>
      </c>
      <c r="BI49" s="4">
        <v>60.044426655496</v>
      </c>
      <c r="BJ49" s="4">
        <v>30.023808879326</v>
      </c>
      <c r="BK49" s="4">
        <v>54.846458248782</v>
      </c>
      <c r="BL49" s="4"/>
    </row>
    <row r="50" spans="1:64">
      <c r="A50" s="4">
        <v>4456254.6906689</v>
      </c>
      <c r="B50" s="6">
        <v>3.9339733996616e-5</v>
      </c>
      <c r="C50" s="6">
        <f t="shared" si="1"/>
        <v>9.47746843823754e-12</v>
      </c>
      <c r="D50" s="6">
        <v>6.3070898537748e-13</v>
      </c>
      <c r="E50" s="6">
        <v>7.5978208656091e-13</v>
      </c>
      <c r="F50" s="6">
        <v>7.5978208630868e-13</v>
      </c>
      <c r="G50" s="6">
        <v>7.5978208494645e-13</v>
      </c>
      <c r="H50" s="6">
        <v>6.3070898243084e-13</v>
      </c>
      <c r="I50" s="6">
        <v>6.3070898345895e-13</v>
      </c>
      <c r="J50" s="6">
        <v>6.3070898292956e-13</v>
      </c>
      <c r="K50" s="6">
        <v>6.6539679078243e-13</v>
      </c>
      <c r="L50" s="6">
        <v>6.6539679276052e-13</v>
      </c>
      <c r="M50" s="6">
        <v>6.6539678979933e-13</v>
      </c>
      <c r="N50" s="6">
        <v>6.9341270937581e-13</v>
      </c>
      <c r="O50" s="6">
        <v>6.3070898248497e-13</v>
      </c>
      <c r="P50" s="6">
        <v>6.9341270828292e-13</v>
      </c>
      <c r="Q50" s="6">
        <v>6.9341271565345e-13</v>
      </c>
      <c r="R50" s="6">
        <v>7.5978208486832e-13</v>
      </c>
      <c r="S50" s="6">
        <v>7.5978208395007e-13</v>
      </c>
      <c r="T50" s="6">
        <v>7.5978208487433e-13</v>
      </c>
      <c r="U50" s="6">
        <v>6.3070898280304e-13</v>
      </c>
      <c r="V50" s="6">
        <v>6.6539679135426e-13</v>
      </c>
      <c r="W50" s="6">
        <v>6.6539679352778e-13</v>
      </c>
      <c r="X50" s="6">
        <v>6.6539679113928e-13</v>
      </c>
      <c r="Y50" s="6">
        <v>6.934127086323e-13</v>
      </c>
      <c r="Z50" s="6">
        <v>6.9341271470583e-13</v>
      </c>
      <c r="AA50" s="6">
        <v>6.9341271725659e-13</v>
      </c>
      <c r="AB50" s="4">
        <v>0.99999833086564</v>
      </c>
      <c r="AC50" s="4">
        <v>0.99999418461385</v>
      </c>
      <c r="AD50" s="4">
        <v>0.00027954787765112</v>
      </c>
      <c r="AE50" s="6">
        <v>-7.0335037788075e-19</v>
      </c>
      <c r="AF50" s="6">
        <v>2.7611368888362e-18</v>
      </c>
      <c r="AG50" s="6">
        <v>2.3532706392127e-18</v>
      </c>
      <c r="AH50" s="6">
        <v>4.1067458214459e-19</v>
      </c>
      <c r="AI50" s="6">
        <v>-1.1441673925414e-19</v>
      </c>
      <c r="AJ50" s="6">
        <v>7.4416197424531e-19</v>
      </c>
      <c r="AK50" s="6">
        <v>1.2245558045354e-19</v>
      </c>
      <c r="AL50" s="6">
        <v>7.3461907880543e-19</v>
      </c>
      <c r="AM50" s="6">
        <v>6.1655177444278e-19</v>
      </c>
      <c r="AN50" s="6">
        <v>-6.1580588641932e-20</v>
      </c>
      <c r="AO50" s="6">
        <v>8.7309137355604e-19</v>
      </c>
      <c r="AP50" s="6">
        <v>1.7319078316233e-20</v>
      </c>
      <c r="AQ50" s="6">
        <v>5.0228838481044e-19</v>
      </c>
      <c r="AR50" s="6">
        <v>-3.9462706349647e-18</v>
      </c>
      <c r="AS50" s="6">
        <v>-2.8126225180183e-19</v>
      </c>
      <c r="AT50" s="6">
        <v>2.4606691530463e-19</v>
      </c>
      <c r="AU50" s="6">
        <v>-7.337998552268e-19</v>
      </c>
      <c r="AV50" s="6">
        <v>-6.6454024408315e-19</v>
      </c>
      <c r="AW50" s="6">
        <v>-2.0010048369246e-19</v>
      </c>
      <c r="AX50" s="6">
        <v>2.1110333541075e-18</v>
      </c>
      <c r="AY50" s="6">
        <v>4.022672503376e-19</v>
      </c>
      <c r="AZ50" s="6">
        <v>-1.4379109591104e-18</v>
      </c>
      <c r="BA50" s="6">
        <v>2.2641159747502e-18</v>
      </c>
      <c r="BB50" s="6">
        <v>-7.1437240036519e-18</v>
      </c>
      <c r="BC50" s="4">
        <v>15980003.41362</v>
      </c>
      <c r="BD50" s="4">
        <v>3993867.6481524</v>
      </c>
      <c r="BE50" s="4">
        <v>-0.00011311347242847</v>
      </c>
      <c r="BF50" s="4">
        <v>0.00029451893723733</v>
      </c>
      <c r="BG50" s="6">
        <v>9.5663274725415e-5</v>
      </c>
      <c r="BH50" s="4">
        <v>-0.00016774356560896</v>
      </c>
      <c r="BI50" s="4">
        <v>60.044426780525</v>
      </c>
      <c r="BJ50" s="4">
        <v>30.023815032381</v>
      </c>
      <c r="BK50" s="4">
        <v>54.799210952024</v>
      </c>
      <c r="BL50" s="4"/>
    </row>
    <row r="51" spans="1:64">
      <c r="A51" s="4">
        <v>5000000.0000001</v>
      </c>
      <c r="B51" s="6">
        <v>4.4120155892412e-5</v>
      </c>
      <c r="C51" s="6">
        <f t="shared" si="1"/>
        <v>9.46231306712031e-12</v>
      </c>
      <c r="D51" s="6">
        <v>6.3069531085363e-13</v>
      </c>
      <c r="E51" s="6">
        <v>7.5909657977518e-13</v>
      </c>
      <c r="F51" s="6">
        <v>7.5909657950379e-13</v>
      </c>
      <c r="G51" s="6">
        <v>7.590965780149e-13</v>
      </c>
      <c r="H51" s="6">
        <v>6.3069530756347e-13</v>
      </c>
      <c r="I51" s="6">
        <v>6.3069530870492e-13</v>
      </c>
      <c r="J51" s="6">
        <v>6.3069530812322e-13</v>
      </c>
      <c r="K51" s="6">
        <v>6.6516890219668e-13</v>
      </c>
      <c r="L51" s="6">
        <v>6.6516890442949e-13</v>
      </c>
      <c r="M51" s="6">
        <v>6.6516890108397e-13</v>
      </c>
      <c r="N51" s="6">
        <v>6.9291322044633e-13</v>
      </c>
      <c r="O51" s="6">
        <v>6.3069530762276e-13</v>
      </c>
      <c r="P51" s="6">
        <v>6.9291321921465e-13</v>
      </c>
      <c r="Q51" s="6">
        <v>6.9291322752243e-13</v>
      </c>
      <c r="R51" s="6">
        <v>7.5909657790008e-13</v>
      </c>
      <c r="S51" s="6">
        <v>7.5909657688412e-13</v>
      </c>
      <c r="T51" s="6">
        <v>7.5909657791879e-13</v>
      </c>
      <c r="U51" s="6">
        <v>6.3069530798454e-13</v>
      </c>
      <c r="V51" s="6">
        <v>6.6516890280026e-13</v>
      </c>
      <c r="W51" s="6">
        <v>6.6516890527875e-13</v>
      </c>
      <c r="X51" s="6">
        <v>6.6516890261342e-13</v>
      </c>
      <c r="Y51" s="6">
        <v>6.9291321958616e-13</v>
      </c>
      <c r="Z51" s="6">
        <v>6.9291322642295e-13</v>
      </c>
      <c r="AA51" s="6">
        <v>6.9291322934769e-13</v>
      </c>
      <c r="AB51" s="4">
        <v>0.99999832301581</v>
      </c>
      <c r="AC51" s="4">
        <v>0.99999414926562</v>
      </c>
      <c r="AD51" s="4">
        <v>0.00028368653124807</v>
      </c>
      <c r="AE51" s="6">
        <v>-7.1530565600779e-19</v>
      </c>
      <c r="AF51" s="6">
        <v>2.6939756899579e-18</v>
      </c>
      <c r="AG51" s="6">
        <v>2.3201240666639e-18</v>
      </c>
      <c r="AH51" s="6">
        <v>4.2526138729383e-19</v>
      </c>
      <c r="AI51" s="6">
        <v>-1.1732980286023e-19</v>
      </c>
      <c r="AJ51" s="6">
        <v>7.4097765490037e-19</v>
      </c>
      <c r="AK51" s="6">
        <v>1.2158053285747e-19</v>
      </c>
      <c r="AL51" s="6">
        <v>7.3064890637857e-19</v>
      </c>
      <c r="AM51" s="6">
        <v>6.9447866187757e-19</v>
      </c>
      <c r="AN51" s="6">
        <v>-6.1943572633467e-20</v>
      </c>
      <c r="AO51" s="6">
        <v>8.6355591812516e-19</v>
      </c>
      <c r="AP51" s="6">
        <v>2.0679822889476e-20</v>
      </c>
      <c r="AQ51" s="6">
        <v>5.0501858089879e-19</v>
      </c>
      <c r="AR51" s="6">
        <v>-3.9220729734079e-18</v>
      </c>
      <c r="AS51" s="6">
        <v>-2.6364038524676e-19</v>
      </c>
      <c r="AT51" s="6">
        <v>2.3636180109315e-19</v>
      </c>
      <c r="AU51" s="6">
        <v>-7.1273531674913e-19</v>
      </c>
      <c r="AV51" s="6">
        <v>-6.6766733471929e-19</v>
      </c>
      <c r="AW51" s="6">
        <v>-1.899600298233e-19</v>
      </c>
      <c r="AX51" s="6">
        <v>2.052390841471e-18</v>
      </c>
      <c r="AY51" s="6">
        <v>3.8927008460389e-19</v>
      </c>
      <c r="AZ51" s="6">
        <v>-1.4023206045501e-18</v>
      </c>
      <c r="BA51" s="6">
        <v>2.2525251826131e-18</v>
      </c>
      <c r="BB51" s="6">
        <v>-7.119057228321e-18</v>
      </c>
      <c r="BC51" s="4">
        <v>15977568.951354</v>
      </c>
      <c r="BD51" s="4">
        <v>3993122.1474793</v>
      </c>
      <c r="BE51" s="4">
        <v>-0.00011221895038801</v>
      </c>
      <c r="BF51" s="4">
        <v>0.000299664025583</v>
      </c>
      <c r="BG51" s="6">
        <v>9.8588631456358e-5</v>
      </c>
      <c r="BH51" s="4">
        <v>-0.00016588859056099</v>
      </c>
      <c r="BI51" s="4">
        <v>60.044427276646</v>
      </c>
      <c r="BJ51" s="4">
        <v>30.023821801104</v>
      </c>
      <c r="BK51" s="4">
        <v>54.746978130494</v>
      </c>
      <c r="BL51" s="4"/>
    </row>
    <row r="52" spans="1:64">
      <c r="A52" s="4">
        <v>5610092.27151</v>
      </c>
      <c r="B52" s="6">
        <v>4.947892570725e-5</v>
      </c>
      <c r="C52" s="6">
        <f t="shared" si="1"/>
        <v>9.44552764056193e-12</v>
      </c>
      <c r="D52" s="6">
        <v>6.3067574564565e-13</v>
      </c>
      <c r="E52" s="6">
        <v>7.5833390782263e-13</v>
      </c>
      <c r="F52" s="6">
        <v>7.5833390753259e-13</v>
      </c>
      <c r="G52" s="6">
        <v>7.5833390591124e-13</v>
      </c>
      <c r="H52" s="6">
        <v>6.3067574197369e-13</v>
      </c>
      <c r="I52" s="6">
        <v>6.3067574323935e-13</v>
      </c>
      <c r="J52" s="6">
        <v>6.3067574260205e-13</v>
      </c>
      <c r="K52" s="6">
        <v>6.6491443110063e-13</v>
      </c>
      <c r="L52" s="6">
        <v>6.6491443362369e-13</v>
      </c>
      <c r="M52" s="6">
        <v>6.6491442983991e-13</v>
      </c>
      <c r="N52" s="6">
        <v>6.9235670493595e-13</v>
      </c>
      <c r="O52" s="6">
        <v>6.3067574203839e-13</v>
      </c>
      <c r="P52" s="6">
        <v>6.9235670354672e-13</v>
      </c>
      <c r="Q52" s="6">
        <v>6.9235671291571e-13</v>
      </c>
      <c r="R52" s="6">
        <v>7.5833390574852e-13</v>
      </c>
      <c r="S52" s="6">
        <v>7.5833390462639e-13</v>
      </c>
      <c r="T52" s="6">
        <v>7.5833390578446e-13</v>
      </c>
      <c r="U52" s="6">
        <v>6.3067574245043e-13</v>
      </c>
      <c r="V52" s="6">
        <v>6.6491443173086e-13</v>
      </c>
      <c r="W52" s="6">
        <v>6.6491443456196e-13</v>
      </c>
      <c r="X52" s="6">
        <v>6.6491443158866e-13</v>
      </c>
      <c r="Y52" s="6">
        <v>6.9235670393814e-13</v>
      </c>
      <c r="Z52" s="6">
        <v>6.9235671163645e-13</v>
      </c>
      <c r="AA52" s="6">
        <v>6.923567149982e-13</v>
      </c>
      <c r="AB52" s="4">
        <v>0.99999831392382</v>
      </c>
      <c r="AC52" s="4">
        <v>0.99999410905167</v>
      </c>
      <c r="AD52" s="4">
        <v>0.00028834588845056</v>
      </c>
      <c r="AE52" s="6">
        <v>-7.2852519345897e-19</v>
      </c>
      <c r="AF52" s="6">
        <v>2.6201836858198e-18</v>
      </c>
      <c r="AG52" s="6">
        <v>2.2837005892054e-18</v>
      </c>
      <c r="AH52" s="6">
        <v>4.4174443767011e-19</v>
      </c>
      <c r="AI52" s="6">
        <v>-1.2062030521822e-19</v>
      </c>
      <c r="AJ52" s="6">
        <v>7.3705338865888e-19</v>
      </c>
      <c r="AK52" s="6">
        <v>1.2045746167402e-19</v>
      </c>
      <c r="AL52" s="6">
        <v>7.2634079682138e-19</v>
      </c>
      <c r="AM52" s="6">
        <v>7.8297942220358e-19</v>
      </c>
      <c r="AN52" s="6">
        <v>-6.243569125021e-20</v>
      </c>
      <c r="AO52" s="6">
        <v>8.528813537069e-19</v>
      </c>
      <c r="AP52" s="6">
        <v>2.4345445843139e-20</v>
      </c>
      <c r="AQ52" s="6">
        <v>5.0767230469161e-19</v>
      </c>
      <c r="AR52" s="6">
        <v>-3.8937401768586e-18</v>
      </c>
      <c r="AS52" s="6">
        <v>-2.4421965694518e-19</v>
      </c>
      <c r="AT52" s="6">
        <v>2.2558554192583e-19</v>
      </c>
      <c r="AU52" s="6">
        <v>-6.8927098965032e-19</v>
      </c>
      <c r="AV52" s="6">
        <v>-6.7131412866719e-19</v>
      </c>
      <c r="AW52" s="6">
        <v>-1.7844903720153e-19</v>
      </c>
      <c r="AX52" s="6">
        <v>1.9861641904051e-18</v>
      </c>
      <c r="AY52" s="6">
        <v>3.7405316537248e-19</v>
      </c>
      <c r="AZ52" s="6">
        <v>-1.3632527423132e-18</v>
      </c>
      <c r="BA52" s="6">
        <v>2.238778565244e-18</v>
      </c>
      <c r="BB52" s="6">
        <v>-7.0890036272609e-18</v>
      </c>
      <c r="BC52" s="4">
        <v>15974838.871125</v>
      </c>
      <c r="BD52" s="4">
        <v>3992286.3788686</v>
      </c>
      <c r="BE52" s="4">
        <v>-0.00011120925779838</v>
      </c>
      <c r="BF52" s="4">
        <v>0.00030542666899684</v>
      </c>
      <c r="BG52" s="4">
        <v>0.00010186958460796</v>
      </c>
      <c r="BH52" s="4">
        <v>-0.00016379123078938</v>
      </c>
      <c r="BI52" s="4">
        <v>60.044428265224</v>
      </c>
      <c r="BJ52" s="4">
        <v>30.023829224555</v>
      </c>
      <c r="BK52" s="4">
        <v>54.689337725728</v>
      </c>
      <c r="BL52" s="4"/>
    </row>
    <row r="53" spans="1:64">
      <c r="A53" s="4">
        <v>6294627.058971</v>
      </c>
      <c r="B53" s="6">
        <v>5.5485398083891e-5</v>
      </c>
      <c r="C53" s="6">
        <f t="shared" si="1"/>
        <v>9.42695755084277e-12</v>
      </c>
      <c r="D53" s="6">
        <v>6.306509521837e-13</v>
      </c>
      <c r="E53" s="6">
        <v>7.5749154560186e-13</v>
      </c>
      <c r="F53" s="6">
        <v>7.5749154529443e-13</v>
      </c>
      <c r="G53" s="6">
        <v>7.5749154353639e-13</v>
      </c>
      <c r="H53" s="6">
        <v>6.3065094808776e-13</v>
      </c>
      <c r="I53" s="6">
        <v>6.3065094948915e-13</v>
      </c>
      <c r="J53" s="6">
        <v>6.3065094879329e-13</v>
      </c>
      <c r="K53" s="6">
        <v>6.6462812767259e-13</v>
      </c>
      <c r="L53" s="6">
        <v>6.646281305273e-13</v>
      </c>
      <c r="M53" s="6">
        <v>6.6462812624251e-13</v>
      </c>
      <c r="N53" s="6">
        <v>6.9174857880462e-13</v>
      </c>
      <c r="O53" s="6">
        <v>6.3065094815808e-13</v>
      </c>
      <c r="P53" s="6">
        <v>6.917485772361e-13</v>
      </c>
      <c r="Q53" s="6">
        <v>6.9174858780781e-13</v>
      </c>
      <c r="R53" s="6">
        <v>7.5749154331154e-13</v>
      </c>
      <c r="S53" s="6">
        <v>7.5749154207457e-13</v>
      </c>
      <c r="T53" s="6">
        <v>7.5749154337052e-13</v>
      </c>
      <c r="U53" s="6">
        <v>6.30650948628e-13</v>
      </c>
      <c r="V53" s="6">
        <v>6.6462812832172e-13</v>
      </c>
      <c r="W53" s="6">
        <v>6.6462813156166e-13</v>
      </c>
      <c r="X53" s="6">
        <v>6.646281282457e-13</v>
      </c>
      <c r="Y53" s="6">
        <v>6.9174857764383e-13</v>
      </c>
      <c r="Z53" s="6">
        <v>6.91748586315e-13</v>
      </c>
      <c r="AA53" s="6">
        <v>6.9174859018948e-13</v>
      </c>
      <c r="AB53" s="4">
        <v>0.99999830341626</v>
      </c>
      <c r="AC53" s="4">
        <v>0.99999406323991</v>
      </c>
      <c r="AD53" s="4">
        <v>0.00029359228724362</v>
      </c>
      <c r="AE53" s="6">
        <v>-7.4307499430875e-19</v>
      </c>
      <c r="AF53" s="6">
        <v>2.5393489516209e-18</v>
      </c>
      <c r="AG53" s="6">
        <v>2.2437794848471e-18</v>
      </c>
      <c r="AH53" s="6">
        <v>4.603796695594e-19</v>
      </c>
      <c r="AI53" s="6">
        <v>-1.2434780271285e-19</v>
      </c>
      <c r="AJ53" s="6">
        <v>7.3220952728683e-19</v>
      </c>
      <c r="AK53" s="6">
        <v>1.1902153192171e-19</v>
      </c>
      <c r="AL53" s="6">
        <v>7.2167266512093e-19</v>
      </c>
      <c r="AM53" s="6">
        <v>8.8358453074273e-19</v>
      </c>
      <c r="AN53" s="6">
        <v>-6.3090681624133e-20</v>
      </c>
      <c r="AO53" s="6">
        <v>8.4090458482768e-19</v>
      </c>
      <c r="AP53" s="6">
        <v>2.8326978015201e-20</v>
      </c>
      <c r="AQ53" s="6">
        <v>5.101404768005e-19</v>
      </c>
      <c r="AR53" s="6">
        <v>-3.860588270321e-18</v>
      </c>
      <c r="AS53" s="6">
        <v>-2.2287536765018e-19</v>
      </c>
      <c r="AT53" s="6">
        <v>2.1363340351529e-19</v>
      </c>
      <c r="AU53" s="6">
        <v>-6.6315529122238e-19</v>
      </c>
      <c r="AV53" s="6">
        <v>-6.7558389591164e-19</v>
      </c>
      <c r="AW53" s="6">
        <v>-1.6540256694227e-19</v>
      </c>
      <c r="AX53" s="6">
        <v>1.9112766733966e-18</v>
      </c>
      <c r="AY53" s="6">
        <v>3.561936087869e-19</v>
      </c>
      <c r="AZ53" s="6">
        <v>-1.3204917814496e-18</v>
      </c>
      <c r="BA53" s="6">
        <v>2.2224478433984e-18</v>
      </c>
      <c r="BB53" s="6">
        <v>-7.0524125034644e-18</v>
      </c>
      <c r="BC53" s="4">
        <v>15971777.476883</v>
      </c>
      <c r="BD53" s="4">
        <v>3991349.5022638</v>
      </c>
      <c r="BE53" s="4">
        <v>-0.00011006892608635</v>
      </c>
      <c r="BF53" s="4">
        <v>0.00031187974938031</v>
      </c>
      <c r="BG53" s="4">
        <v>0.00010554919546841</v>
      </c>
      <c r="BH53" s="4">
        <v>-0.00016142063512237</v>
      </c>
      <c r="BI53" s="4">
        <v>60.044429896317</v>
      </c>
      <c r="BJ53" s="4">
        <v>30.023837337419</v>
      </c>
      <c r="BK53" s="4">
        <v>54.625858880575</v>
      </c>
      <c r="BL53" s="4"/>
    </row>
    <row r="54" spans="1:64">
      <c r="A54" s="4">
        <v>7062687.723114</v>
      </c>
      <c r="B54" s="6">
        <v>6.2217117419799e-5</v>
      </c>
      <c r="C54" s="6">
        <f t="shared" si="1"/>
        <v>9.40643684903627e-12</v>
      </c>
      <c r="D54" s="6">
        <v>6.3063380437946e-13</v>
      </c>
      <c r="E54" s="6">
        <v>7.5656292038224e-13</v>
      </c>
      <c r="F54" s="6">
        <v>7.5656292005963e-13</v>
      </c>
      <c r="G54" s="6">
        <v>7.5656291816297e-13</v>
      </c>
      <c r="H54" s="6">
        <v>6.3063379981297e-13</v>
      </c>
      <c r="I54" s="6">
        <v>6.3063380136217e-13</v>
      </c>
      <c r="J54" s="6">
        <v>6.3063380060548e-13</v>
      </c>
      <c r="K54" s="6">
        <v>6.6431211188377e-13</v>
      </c>
      <c r="L54" s="6">
        <v>6.6431211511864e-13</v>
      </c>
      <c r="M54" s="6">
        <v>6.6431211025948e-13</v>
      </c>
      <c r="N54" s="6">
        <v>6.9108546132146e-13</v>
      </c>
      <c r="O54" s="6">
        <v>6.3063379988902e-13</v>
      </c>
      <c r="P54" s="6">
        <v>6.9108545954842e-13</v>
      </c>
      <c r="Q54" s="6">
        <v>6.910854714846e-13</v>
      </c>
      <c r="R54" s="6">
        <v>7.5656291785801e-13</v>
      </c>
      <c r="S54" s="6">
        <v>7.5656291649741e-13</v>
      </c>
      <c r="T54" s="6">
        <v>7.5656291794745e-13</v>
      </c>
      <c r="U54" s="6">
        <v>6.3063380042577e-13</v>
      </c>
      <c r="V54" s="6">
        <v>6.6431211254063e-13</v>
      </c>
      <c r="W54" s="6">
        <v>6.6431211625605e-13</v>
      </c>
      <c r="X54" s="6">
        <v>6.6431211255869e-13</v>
      </c>
      <c r="Y54" s="6">
        <v>6.9108545996703e-13</v>
      </c>
      <c r="Z54" s="6">
        <v>6.9108546973726e-13</v>
      </c>
      <c r="AA54" s="6">
        <v>6.910854742158e-13</v>
      </c>
      <c r="AB54" s="4">
        <v>0.99999829144794</v>
      </c>
      <c r="AC54" s="4">
        <v>0.99999401098626</v>
      </c>
      <c r="AD54" s="4">
        <v>0.00029950043832449</v>
      </c>
      <c r="AE54" s="6">
        <v>-7.5898911638541e-19</v>
      </c>
      <c r="AF54" s="6">
        <v>2.4510999098895e-18</v>
      </c>
      <c r="AG54" s="6">
        <v>2.2001491075414e-18</v>
      </c>
      <c r="AH54" s="6">
        <v>4.8145331472808e-19</v>
      </c>
      <c r="AI54" s="6">
        <v>-1.286020438858e-19</v>
      </c>
      <c r="AJ54" s="6">
        <v>7.262298826217e-19</v>
      </c>
      <c r="AK54" s="6">
        <v>1.1719779552732e-19</v>
      </c>
      <c r="AL54" s="6">
        <v>7.1660753489493e-19</v>
      </c>
      <c r="AM54" s="6">
        <v>9.9805076109313e-19</v>
      </c>
      <c r="AN54" s="6">
        <v>-6.394986897446e-20</v>
      </c>
      <c r="AO54" s="6">
        <v>8.2742738859336e-19</v>
      </c>
      <c r="AP54" s="6">
        <v>3.2639300576788e-20</v>
      </c>
      <c r="AQ54" s="6">
        <v>5.1228381834101e-19</v>
      </c>
      <c r="AR54" s="6">
        <v>-3.8218256564644e-18</v>
      </c>
      <c r="AS54" s="6">
        <v>-1.9949137134487e-19</v>
      </c>
      <c r="AT54" s="6">
        <v>2.0039289974904e-19</v>
      </c>
      <c r="AU54" s="6">
        <v>-6.34117819351e-19</v>
      </c>
      <c r="AV54" s="6">
        <v>-6.8066476754401e-19</v>
      </c>
      <c r="AW54" s="6">
        <v>-1.5065207574976e-19</v>
      </c>
      <c r="AX54" s="6">
        <v>1.8264510041155e-18</v>
      </c>
      <c r="AY54" s="6">
        <v>3.3518297907213e-19</v>
      </c>
      <c r="AZ54" s="6">
        <v>-1.2738389804588e-18</v>
      </c>
      <c r="BA54" s="6">
        <v>2.2030471518879e-18</v>
      </c>
      <c r="BB54" s="6">
        <v>-7.0079092961699e-18</v>
      </c>
      <c r="BC54" s="4">
        <v>15968344.779248</v>
      </c>
      <c r="BD54" s="4">
        <v>3990299.3867667</v>
      </c>
      <c r="BE54" s="4">
        <v>-0.00010878014663228</v>
      </c>
      <c r="BF54" s="4">
        <v>0.0003191044635138</v>
      </c>
      <c r="BG54" s="4">
        <v>0.00010967570058476</v>
      </c>
      <c r="BH54" s="4">
        <v>-0.00015874700152037</v>
      </c>
      <c r="BI54" s="4">
        <v>60.044432353269</v>
      </c>
      <c r="BJ54" s="4">
        <v>30.023846160674</v>
      </c>
      <c r="BK54" s="4">
        <v>54.556111318959</v>
      </c>
      <c r="BL54" s="4"/>
    </row>
    <row r="55" spans="1:64">
      <c r="A55" s="4">
        <v>7924465.9623058</v>
      </c>
      <c r="B55" s="6">
        <v>6.976074071733e-5</v>
      </c>
      <c r="C55" s="6">
        <f t="shared" si="1"/>
        <v>9.38377606059532e-12</v>
      </c>
      <c r="D55" s="6">
        <v>6.3060901404886e-13</v>
      </c>
      <c r="E55" s="6">
        <v>7.5555042971515e-13</v>
      </c>
      <c r="F55" s="6">
        <v>7.5555042938083e-13</v>
      </c>
      <c r="G55" s="6">
        <v>7.5555042734685e-13</v>
      </c>
      <c r="H55" s="6">
        <v>6.3060900896079e-13</v>
      </c>
      <c r="I55" s="6">
        <v>6.3060901067033e-13</v>
      </c>
      <c r="J55" s="6">
        <v>6.3060900985132e-13</v>
      </c>
      <c r="K55" s="6">
        <v>6.6395419320386e-13</v>
      </c>
      <c r="L55" s="6">
        <v>6.6395419687612e-13</v>
      </c>
      <c r="M55" s="6">
        <v>6.6395419135636e-13</v>
      </c>
      <c r="N55" s="6">
        <v>6.9036443865265e-13</v>
      </c>
      <c r="O55" s="6">
        <v>6.3060900904256e-13</v>
      </c>
      <c r="P55" s="6">
        <v>6.9036443664552e-13</v>
      </c>
      <c r="Q55" s="6">
        <v>6.9036445013141e-13</v>
      </c>
      <c r="R55" s="6">
        <v>7.5555042693908e-13</v>
      </c>
      <c r="S55" s="6">
        <v>7.5555042544617e-13</v>
      </c>
      <c r="T55" s="6">
        <v>7.5555042706844e-13</v>
      </c>
      <c r="U55" s="6">
        <v>6.3060900965663e-13</v>
      </c>
      <c r="V55" s="6">
        <v>6.6395419385299e-13</v>
      </c>
      <c r="W55" s="6">
        <v>6.6395419812318e-13</v>
      </c>
      <c r="X55" s="6">
        <v>6.6395419400093e-13</v>
      </c>
      <c r="Y55" s="6">
        <v>6.903644370673e-13</v>
      </c>
      <c r="Z55" s="6">
        <v>6.9036444807962e-13</v>
      </c>
      <c r="AA55" s="6">
        <v>6.9036445327311e-13</v>
      </c>
      <c r="AB55" s="4">
        <v>0.99999827743917</v>
      </c>
      <c r="AC55" s="4">
        <v>0.99999395119562</v>
      </c>
      <c r="AD55" s="4">
        <v>0.00030615445847043</v>
      </c>
      <c r="AE55" s="6">
        <v>-7.7624308957518e-19</v>
      </c>
      <c r="AF55" s="6">
        <v>2.3551390200922e-18</v>
      </c>
      <c r="AG55" s="6">
        <v>2.1526213776932e-18</v>
      </c>
      <c r="AH55" s="6">
        <v>5.0529847764279e-19</v>
      </c>
      <c r="AI55" s="6">
        <v>-1.3348162297468e-19</v>
      </c>
      <c r="AJ55" s="6">
        <v>7.1884180790243e-19</v>
      </c>
      <c r="AK55" s="6">
        <v>1.1488227179521e-19</v>
      </c>
      <c r="AL55" s="6">
        <v>7.1110874115769e-19</v>
      </c>
      <c r="AM55" s="6">
        <v>1.1283783354823e-18</v>
      </c>
      <c r="AN55" s="6">
        <v>-6.5055588991755e-20</v>
      </c>
      <c r="AO55" s="6">
        <v>8.1217772313852e-19</v>
      </c>
      <c r="AP55" s="6">
        <v>3.7291846131501e-20</v>
      </c>
      <c r="AQ55" s="6">
        <v>5.1392538194331e-19</v>
      </c>
      <c r="AR55" s="6">
        <v>-3.7766084100092e-18</v>
      </c>
      <c r="AS55" s="6">
        <v>-1.7396638362843e-19</v>
      </c>
      <c r="AT55" s="6">
        <v>1.8574400779252e-19</v>
      </c>
      <c r="AU55" s="6">
        <v>-6.0186890939772e-19</v>
      </c>
      <c r="AV55" s="6">
        <v>-6.8674256427403e-19</v>
      </c>
      <c r="AW55" s="6">
        <v>-1.3406697250633e-19</v>
      </c>
      <c r="AX55" s="6">
        <v>1.730224126905e-18</v>
      </c>
      <c r="AY55" s="6">
        <v>3.1040264385941e-19</v>
      </c>
      <c r="AZ55" s="6">
        <v>-1.2231260739745e-18</v>
      </c>
      <c r="BA55" s="6">
        <v>2.1797891150975e-18</v>
      </c>
      <c r="BB55" s="6">
        <v>-6.9539562794652e-18</v>
      </c>
      <c r="BC55" s="4">
        <v>15964496.02074</v>
      </c>
      <c r="BD55" s="4">
        <v>3989122.4709644</v>
      </c>
      <c r="BE55" s="4">
        <v>-0.00010732253167833</v>
      </c>
      <c r="BF55" s="4">
        <v>0.00032719119752427</v>
      </c>
      <c r="BG55" s="4">
        <v>0.00011430315971745</v>
      </c>
      <c r="BH55" s="4">
        <v>-0.00015573988161585</v>
      </c>
      <c r="BI55" s="4">
        <v>60.044435890328</v>
      </c>
      <c r="BJ55" s="4">
        <v>30.023855700863</v>
      </c>
      <c r="BK55" s="4">
        <v>54.479675175974</v>
      </c>
      <c r="BL55" s="4"/>
    </row>
    <row r="56" spans="1:64">
      <c r="A56" s="4">
        <v>8891397.0501949</v>
      </c>
      <c r="B56" s="6">
        <v>7.821305362904e-5</v>
      </c>
      <c r="C56" s="6">
        <f t="shared" si="1"/>
        <v>9.35882451699381e-12</v>
      </c>
      <c r="D56" s="6">
        <v>6.3058107129278e-13</v>
      </c>
      <c r="E56" s="6">
        <v>7.5442698585638e-13</v>
      </c>
      <c r="F56" s="6">
        <v>7.544269855154e-13</v>
      </c>
      <c r="G56" s="6">
        <v>7.5442698334969e-13</v>
      </c>
      <c r="H56" s="6">
        <v>6.3058106562721e-13</v>
      </c>
      <c r="I56" s="6">
        <v>6.3058106750982e-13</v>
      </c>
      <c r="J56" s="6">
        <v>6.305810666283e-13</v>
      </c>
      <c r="K56" s="6">
        <v>6.6354843154438e-13</v>
      </c>
      <c r="L56" s="6">
        <v>6.6354843572205e-13</v>
      </c>
      <c r="M56" s="6">
        <v>6.6354842943972e-13</v>
      </c>
      <c r="N56" s="6">
        <v>6.8956812851468e-13</v>
      </c>
      <c r="O56" s="6">
        <v>6.3058106571447e-13</v>
      </c>
      <c r="P56" s="6">
        <v>6.8956812623865e-13</v>
      </c>
      <c r="Q56" s="6">
        <v>6.8956814148675e-13</v>
      </c>
      <c r="R56" s="6">
        <v>7.5442698281068e-13</v>
      </c>
      <c r="S56" s="6">
        <v>7.5442698117707e-13</v>
      </c>
      <c r="T56" s="6">
        <v>7.5442698299185e-13</v>
      </c>
      <c r="U56" s="6">
        <v>6.3058106641823e-13</v>
      </c>
      <c r="V56" s="6">
        <v>6.6354843216488e-13</v>
      </c>
      <c r="W56" s="6">
        <v>6.6354843708466e-13</v>
      </c>
      <c r="X56" s="6">
        <v>6.6354843248839e-13</v>
      </c>
      <c r="Y56" s="6">
        <v>6.8956812665295e-13</v>
      </c>
      <c r="Z56" s="6">
        <v>6.8956813906955e-13</v>
      </c>
      <c r="AA56" s="6">
        <v>6.8956814511328e-13</v>
      </c>
      <c r="AB56" s="4">
        <v>0.9999982610082</v>
      </c>
      <c r="AC56" s="4">
        <v>0.99999388258489</v>
      </c>
      <c r="AD56" s="4">
        <v>0.00031364904924433</v>
      </c>
      <c r="AE56" s="6">
        <v>-7.947408932917e-19</v>
      </c>
      <c r="AF56" s="6">
        <v>2.2512810040471e-18</v>
      </c>
      <c r="AG56" s="6">
        <v>2.1010555786184e-18</v>
      </c>
      <c r="AH56" s="6">
        <v>5.3230668809056e-19</v>
      </c>
      <c r="AI56" s="6">
        <v>-1.3910302113909e-19</v>
      </c>
      <c r="AJ56" s="6">
        <v>7.0970411892057e-19</v>
      </c>
      <c r="AK56" s="6">
        <v>1.1194850867619e-19</v>
      </c>
      <c r="AL56" s="6">
        <v>7.0513818789141e-19</v>
      </c>
      <c r="AM56" s="6">
        <v>1.2768805871164e-18</v>
      </c>
      <c r="AN56" s="6">
        <v>-6.646427354759e-20</v>
      </c>
      <c r="AO56" s="6">
        <v>7.9482594647574e-19</v>
      </c>
      <c r="AP56" s="6">
        <v>4.2281222100958e-20</v>
      </c>
      <c r="AQ56" s="6">
        <v>5.1484038813431e-19</v>
      </c>
      <c r="AR56" s="6">
        <v>-3.7240655005663e-18</v>
      </c>
      <c r="AS56" s="6">
        <v>-1.4622347640551e-19</v>
      </c>
      <c r="AT56" s="6">
        <v>1.6955935277975e-19</v>
      </c>
      <c r="AU56" s="6">
        <v>-5.6609581731247e-19</v>
      </c>
      <c r="AV56" s="6">
        <v>-6.9402549048698e-19</v>
      </c>
      <c r="AW56" s="6">
        <v>-1.1551678473125e-19</v>
      </c>
      <c r="AX56" s="6">
        <v>1.6208787316104e-18</v>
      </c>
      <c r="AY56" s="6">
        <v>2.8110517646263e-19</v>
      </c>
      <c r="AZ56" s="6">
        <v>-1.1682324711525e-18</v>
      </c>
      <c r="BA56" s="6">
        <v>2.1518282361274e-18</v>
      </c>
      <c r="BB56" s="6">
        <v>-6.8888163611155e-18</v>
      </c>
      <c r="BC56" s="4">
        <v>15960181.159012</v>
      </c>
      <c r="BD56" s="4">
        <v>3987803.6112567</v>
      </c>
      <c r="BE56" s="4">
        <v>-0.00010567283609137</v>
      </c>
      <c r="BF56" s="4">
        <v>0.00033624053589585</v>
      </c>
      <c r="BG56" s="4">
        <v>0.00011949209484287</v>
      </c>
      <c r="BH56" s="4">
        <v>-0.00015236502592209</v>
      </c>
      <c r="BI56" s="4">
        <v>60.044440810787</v>
      </c>
      <c r="BJ56" s="4">
        <v>30.023865951044</v>
      </c>
      <c r="BK56" s="4">
        <v>54.396154215084</v>
      </c>
      <c r="BL56" s="4"/>
    </row>
    <row r="57" spans="1:64">
      <c r="A57" s="4">
        <v>9976311.5748447</v>
      </c>
      <c r="B57" s="6">
        <v>8.7682116430735e-5</v>
      </c>
      <c r="C57" s="6">
        <f t="shared" si="1"/>
        <v>9.33141148316535e-12</v>
      </c>
      <c r="D57" s="6">
        <v>6.3054973260594e-13</v>
      </c>
      <c r="E57" s="6">
        <v>7.5318011720193e-13</v>
      </c>
      <c r="F57" s="6">
        <v>7.5318011686136e-13</v>
      </c>
      <c r="G57" s="6">
        <v>7.5318011457524e-13</v>
      </c>
      <c r="H57" s="6">
        <v>6.3054972630174e-13</v>
      </c>
      <c r="I57" s="6">
        <v>6.3054972837017e-13</v>
      </c>
      <c r="J57" s="6">
        <v>6.3054972742765e-13</v>
      </c>
      <c r="K57" s="6">
        <v>6.6308827944831e-13</v>
      </c>
      <c r="L57" s="6">
        <v>6.6308828421287e-13</v>
      </c>
      <c r="M57" s="6">
        <v>6.6308827704661e-13</v>
      </c>
      <c r="N57" s="6">
        <v>6.8869601070105e-13</v>
      </c>
      <c r="O57" s="6">
        <v>6.3054972639397e-13</v>
      </c>
      <c r="P57" s="6">
        <v>6.8869600811477e-13</v>
      </c>
      <c r="Q57" s="6">
        <v>6.8869602536929e-13</v>
      </c>
      <c r="R57" s="6">
        <v>7.5318011386937e-13</v>
      </c>
      <c r="S57" s="6">
        <v>7.531801120873e-13</v>
      </c>
      <c r="T57" s="6">
        <v>7.5318011411735e-13</v>
      </c>
      <c r="U57" s="6">
        <v>6.3054972720213e-13</v>
      </c>
      <c r="V57" s="6">
        <v>6.6308828001246e-13</v>
      </c>
      <c r="W57" s="6">
        <v>6.6308828569571e-13</v>
      </c>
      <c r="X57" s="6">
        <v>6.6308828056953e-13</v>
      </c>
      <c r="Y57" s="6">
        <v>6.8869600850723e-13</v>
      </c>
      <c r="Z57" s="6">
        <v>6.8869602251199e-13</v>
      </c>
      <c r="AA57" s="6">
        <v>6.8869602957206e-13</v>
      </c>
      <c r="AB57" s="4">
        <v>0.99999824171057</v>
      </c>
      <c r="AC57" s="4">
        <v>0.99999380365706</v>
      </c>
      <c r="AD57" s="4">
        <v>0.00032209067032496</v>
      </c>
      <c r="AE57" s="6">
        <v>-8.1425440892083e-19</v>
      </c>
      <c r="AF57" s="6">
        <v>2.1394845483313e-18</v>
      </c>
      <c r="AG57" s="6">
        <v>2.0453717274013e-18</v>
      </c>
      <c r="AH57" s="6">
        <v>5.6291847781931e-19</v>
      </c>
      <c r="AI57" s="6">
        <v>-1.4561252450862e-19</v>
      </c>
      <c r="AJ57" s="6">
        <v>6.9838137911786e-19</v>
      </c>
      <c r="AK57" s="6">
        <v>1.082580713988e-19</v>
      </c>
      <c r="AL57" s="6">
        <v>6.9865265187628e-19</v>
      </c>
      <c r="AM57" s="6">
        <v>1.4462213301846e-18</v>
      </c>
      <c r="AN57" s="6">
        <v>-6.8250964777828e-20</v>
      </c>
      <c r="AO57" s="6">
        <v>7.749509391084e-19</v>
      </c>
      <c r="AP57" s="6">
        <v>4.7594399855836e-20</v>
      </c>
      <c r="AQ57" s="6">
        <v>5.147343313625e-19</v>
      </c>
      <c r="AR57" s="6">
        <v>-3.6632700801346e-18</v>
      </c>
      <c r="AS57" s="6">
        <v>-1.162146501162e-19</v>
      </c>
      <c r="AT57" s="6">
        <v>1.5170368928858e-19</v>
      </c>
      <c r="AU57" s="6">
        <v>-5.2647139527958e-19</v>
      </c>
      <c r="AV57" s="6">
        <v>-7.0277273204153e-19</v>
      </c>
      <c r="AW57" s="6">
        <v>-9.4869193884955e-20</v>
      </c>
      <c r="AX57" s="6">
        <v>1.4964194359924e-18</v>
      </c>
      <c r="AY57" s="6">
        <v>2.4639465608866e-19</v>
      </c>
      <c r="AZ57" s="6">
        <v>-1.1090992953047e-18</v>
      </c>
      <c r="BA57" s="6">
        <v>2.1182114195735e-18</v>
      </c>
      <c r="BB57" s="6">
        <v>-6.8104185915012e-18</v>
      </c>
      <c r="BC57" s="4">
        <v>15955344.242313</v>
      </c>
      <c r="BD57" s="4">
        <v>3986325.898852</v>
      </c>
      <c r="BE57" s="4">
        <v>-0.00010380445367232</v>
      </c>
      <c r="BF57" s="4">
        <v>0.00034636431974942</v>
      </c>
      <c r="BG57" s="4">
        <v>0.00012531025683274</v>
      </c>
      <c r="BH57" s="4">
        <v>-0.00014858950306529</v>
      </c>
      <c r="BI57" s="4">
        <v>60.044447458961</v>
      </c>
      <c r="BJ57" s="4">
        <v>30.02387688061</v>
      </c>
      <c r="BK57" s="4">
        <v>54.305194850064</v>
      </c>
      <c r="BL57" s="4"/>
    </row>
    <row r="58" spans="1:64">
      <c r="A58" s="4">
        <v>11193605.692842</v>
      </c>
      <c r="B58" s="6">
        <v>9.8288523502999e-5</v>
      </c>
      <c r="C58" s="6">
        <f t="shared" si="1"/>
        <v>9.30134804908757e-12</v>
      </c>
      <c r="D58" s="6">
        <v>6.3051900034067e-13</v>
      </c>
      <c r="E58" s="6">
        <v>7.5180026884606e-13</v>
      </c>
      <c r="F58" s="6">
        <v>7.5180026851544e-13</v>
      </c>
      <c r="G58" s="6">
        <v>7.5180026612774e-13</v>
      </c>
      <c r="H58" s="6">
        <v>6.3051899333128e-13</v>
      </c>
      <c r="I58" s="6">
        <v>6.3051899559788e-13</v>
      </c>
      <c r="J58" s="6">
        <v>6.3051899459827e-13</v>
      </c>
      <c r="K58" s="6">
        <v>6.625662422085e-13</v>
      </c>
      <c r="L58" s="6">
        <v>6.6256624765836e-13</v>
      </c>
      <c r="M58" s="6">
        <v>6.6256623946274e-13</v>
      </c>
      <c r="N58" s="6">
        <v>6.8772704977182e-13</v>
      </c>
      <c r="O58" s="6">
        <v>6.3051899342756e-13</v>
      </c>
      <c r="P58" s="6">
        <v>6.8772704682571e-13</v>
      </c>
      <c r="Q58" s="6">
        <v>6.8772706636748e-13</v>
      </c>
      <c r="R58" s="6">
        <v>7.5180026521059e-13</v>
      </c>
      <c r="S58" s="6">
        <v>7.518002632732e-13</v>
      </c>
      <c r="T58" s="6">
        <v>7.5180026554417e-13</v>
      </c>
      <c r="U58" s="6">
        <v>6.3051899435762e-13</v>
      </c>
      <c r="V58" s="6">
        <v>6.6256624268009e-13</v>
      </c>
      <c r="W58" s="6">
        <v>6.6256624926433e-13</v>
      </c>
      <c r="X58" s="6">
        <v>6.6256624354394e-13</v>
      </c>
      <c r="Y58" s="6">
        <v>6.8772704717742e-13</v>
      </c>
      <c r="Z58" s="6">
        <v>6.8772706297878e-13</v>
      </c>
      <c r="AA58" s="6">
        <v>6.8772707125953e-13</v>
      </c>
      <c r="AB58" s="4">
        <v>0.99999821902061</v>
      </c>
      <c r="AC58" s="4">
        <v>0.99999371259343</v>
      </c>
      <c r="AD58" s="4">
        <v>0.00033159886972488</v>
      </c>
      <c r="AE58" s="6">
        <v>-8.3445111371656e-19</v>
      </c>
      <c r="AF58" s="6">
        <v>2.0198619191948e-18</v>
      </c>
      <c r="AG58" s="6">
        <v>1.98558557449e-18</v>
      </c>
      <c r="AH58" s="6">
        <v>5.9763392222844e-19</v>
      </c>
      <c r="AI58" s="6">
        <v>-1.5319268510128e-19</v>
      </c>
      <c r="AJ58" s="6">
        <v>6.8436061127281e-19</v>
      </c>
      <c r="AK58" s="6">
        <v>1.0363246688334e-19</v>
      </c>
      <c r="AL58" s="6">
        <v>6.9162398126085e-19</v>
      </c>
      <c r="AM58" s="6">
        <v>1.6394657910678e-18</v>
      </c>
      <c r="AN58" s="6">
        <v>-7.051142500712e-20</v>
      </c>
      <c r="AO58" s="6">
        <v>7.5200077220876e-19</v>
      </c>
      <c r="AP58" s="6">
        <v>5.3205511192642e-20</v>
      </c>
      <c r="AQ58" s="6">
        <v>5.1323949386702e-19</v>
      </c>
      <c r="AR58" s="6">
        <v>-3.5933459081853e-18</v>
      </c>
      <c r="AS58" s="6">
        <v>-8.3915211410875e-20</v>
      </c>
      <c r="AT58" s="6">
        <v>1.3202961815761e-19</v>
      </c>
      <c r="AU58" s="6">
        <v>-4.826588735529e-19</v>
      </c>
      <c r="AV58" s="6">
        <v>-7.1329731902734e-19</v>
      </c>
      <c r="AW58" s="6">
        <v>-7.2025739665323e-20</v>
      </c>
      <c r="AX58" s="6">
        <v>1.3546069096072e-18</v>
      </c>
      <c r="AY58" s="6">
        <v>2.052101670966e-19</v>
      </c>
      <c r="AZ58" s="6">
        <v>-1.0457239477545e-18</v>
      </c>
      <c r="BA58" s="6">
        <v>2.0778158342735e-18</v>
      </c>
      <c r="BB58" s="6">
        <v>-6.7164550491788e-18</v>
      </c>
      <c r="BC58" s="4">
        <v>15949922.738349</v>
      </c>
      <c r="BD58" s="4">
        <v>3984670.4636821</v>
      </c>
      <c r="BE58" s="4">
        <v>-0.00010168693180905</v>
      </c>
      <c r="BF58" s="4">
        <v>0.00035768679601902</v>
      </c>
      <c r="BG58" s="4">
        <v>0.0001318335088994</v>
      </c>
      <c r="BH58" s="4">
        <v>-0.00014437916756059</v>
      </c>
      <c r="BI58" s="4">
        <v>60.044456243221</v>
      </c>
      <c r="BJ58" s="4">
        <v>30.023888437113</v>
      </c>
      <c r="BK58" s="4">
        <v>54.206506364182</v>
      </c>
      <c r="BL58" s="4"/>
    </row>
    <row r="59" spans="1:64">
      <c r="A59" s="4">
        <v>12559432.157548</v>
      </c>
      <c r="B59" s="4">
        <v>0.00011016679866186</v>
      </c>
      <c r="C59" s="6">
        <f t="shared" si="1"/>
        <v>9.26842783794277e-12</v>
      </c>
      <c r="D59" s="6">
        <v>6.3050831506955e-13</v>
      </c>
      <c r="E59" s="6">
        <v>7.5027679579441e-13</v>
      </c>
      <c r="F59" s="6">
        <v>7.5027679548633e-13</v>
      </c>
      <c r="G59" s="6">
        <v>7.5027679302558e-13</v>
      </c>
      <c r="H59" s="6">
        <v>6.3050830728272e-13</v>
      </c>
      <c r="I59" s="6">
        <v>6.3050830975905e-13</v>
      </c>
      <c r="J59" s="6">
        <v>6.3050830870935e-13</v>
      </c>
      <c r="K59" s="6">
        <v>6.619753429971e-13</v>
      </c>
      <c r="L59" s="6">
        <v>6.6197534925218e-13</v>
      </c>
      <c r="M59" s="6">
        <v>6.6197533985171e-13</v>
      </c>
      <c r="N59" s="6">
        <v>6.866511333049e-13</v>
      </c>
      <c r="O59" s="6">
        <v>6.3050830738157e-13</v>
      </c>
      <c r="P59" s="6">
        <v>6.8665112993889e-13</v>
      </c>
      <c r="Q59" s="6">
        <v>6.8665115209146e-13</v>
      </c>
      <c r="R59" s="6">
        <v>7.5027679184183e-13</v>
      </c>
      <c r="S59" s="6">
        <v>7.5027678974361e-13</v>
      </c>
      <c r="T59" s="6">
        <v>7.5027679228449e-13</v>
      </c>
      <c r="U59" s="6">
        <v>6.3050830845444e-13</v>
      </c>
      <c r="V59" s="6">
        <v>6.6197534332947e-13</v>
      </c>
      <c r="W59" s="6">
        <v>6.6197535098159e-13</v>
      </c>
      <c r="X59" s="6">
        <v>6.6197534459216e-13</v>
      </c>
      <c r="Y59" s="6">
        <v>6.8665113022524e-13</v>
      </c>
      <c r="Z59" s="6">
        <v>6.8665114805943e-13</v>
      </c>
      <c r="AA59" s="6">
        <v>6.8665115781361e-13</v>
      </c>
      <c r="AB59" s="4">
        <v>0.99999819232839</v>
      </c>
      <c r="AC59" s="4">
        <v>0.99999360720262</v>
      </c>
      <c r="AD59" s="4">
        <v>0.000342307674388</v>
      </c>
      <c r="AE59" s="6">
        <v>-8.5485431684906e-19</v>
      </c>
      <c r="AF59" s="6">
        <v>1.8927753323494e-18</v>
      </c>
      <c r="AG59" s="6">
        <v>1.9218004060132e-18</v>
      </c>
      <c r="AH59" s="6">
        <v>6.3704242009055e-19</v>
      </c>
      <c r="AI59" s="6">
        <v>-1.6207110439484e-19</v>
      </c>
      <c r="AJ59" s="6">
        <v>6.6703438268258e-19</v>
      </c>
      <c r="AK59" s="6">
        <v>9.7833739978265e-20</v>
      </c>
      <c r="AL59" s="6">
        <v>6.8394150245106e-19</v>
      </c>
      <c r="AM59" s="6">
        <v>1.860115950145e-18</v>
      </c>
      <c r="AN59" s="6">
        <v>-7.3366393229779e-20</v>
      </c>
      <c r="AO59" s="6">
        <v>7.2522300375218e-19</v>
      </c>
      <c r="AP59" s="6">
        <v>5.9073038574247e-20</v>
      </c>
      <c r="AQ59" s="6">
        <v>5.0994655924071e-19</v>
      </c>
      <c r="AR59" s="6">
        <v>-3.5135292722005e-18</v>
      </c>
      <c r="AS59" s="6">
        <v>-4.9352463540537e-20</v>
      </c>
      <c r="AT59" s="6">
        <v>1.1038046291046e-19</v>
      </c>
      <c r="AU59" s="6">
        <v>-4.3430299273963e-19</v>
      </c>
      <c r="AV59" s="6">
        <v>-7.259423491365e-19</v>
      </c>
      <c r="AW59" s="6">
        <v>-4.6941110326628e-20</v>
      </c>
      <c r="AX59" s="6">
        <v>1.1926595269394e-18</v>
      </c>
      <c r="AY59" s="6">
        <v>1.5631349052818e-19</v>
      </c>
      <c r="AZ59" s="6">
        <v>-9.7819754098583e-19</v>
      </c>
      <c r="BA59" s="6">
        <v>2.0291482455868e-18</v>
      </c>
      <c r="BB59" s="6">
        <v>-6.6047886693995e-18</v>
      </c>
      <c r="BC59" s="4">
        <v>15943846.772821</v>
      </c>
      <c r="BD59" s="4">
        <v>3982816.2534187</v>
      </c>
      <c r="BE59" s="6">
        <v>-9.928532248688e-5</v>
      </c>
      <c r="BF59" s="4">
        <v>0.0003703458600463</v>
      </c>
      <c r="BG59" s="4">
        <v>0.00013914679205964</v>
      </c>
      <c r="BH59" s="4">
        <v>-0.00013970138955415</v>
      </c>
      <c r="BI59" s="4">
        <v>60.044467683334</v>
      </c>
      <c r="BJ59" s="4">
        <v>30.023900514734</v>
      </c>
      <c r="BK59" s="4">
        <v>54.099884279347</v>
      </c>
      <c r="BL59" s="4"/>
    </row>
    <row r="60" spans="1:64">
      <c r="A60" s="4">
        <v>14091914.656323</v>
      </c>
      <c r="B60" s="4">
        <v>0.00012346694486792</v>
      </c>
      <c r="C60" s="6">
        <f t="shared" si="1"/>
        <v>9.2324536975657e-12</v>
      </c>
      <c r="D60" s="6">
        <v>6.3049981519715e-13</v>
      </c>
      <c r="E60" s="6">
        <v>7.4862108993127e-13</v>
      </c>
      <c r="F60" s="6">
        <v>7.4862108966202e-13</v>
      </c>
      <c r="G60" s="6">
        <v>7.4862108716911e-13</v>
      </c>
      <c r="H60" s="6">
        <v>6.3049980655503e-13</v>
      </c>
      <c r="I60" s="6">
        <v>6.3049980925117e-13</v>
      </c>
      <c r="J60" s="6">
        <v>6.3049980816248e-13</v>
      </c>
      <c r="K60" s="6">
        <v>6.6131390996223e-13</v>
      </c>
      <c r="L60" s="6">
        <v>6.6131391716986e-13</v>
      </c>
      <c r="M60" s="6">
        <v>6.6131390635134e-13</v>
      </c>
      <c r="N60" s="6">
        <v>6.8546448141111e-13</v>
      </c>
      <c r="O60" s="6">
        <v>6.3049980665419e-13</v>
      </c>
      <c r="P60" s="6">
        <v>6.8546447755165e-13</v>
      </c>
      <c r="Q60" s="6">
        <v>6.854645026883e-13</v>
      </c>
      <c r="R60" s="6">
        <v>7.4862108565011e-13</v>
      </c>
      <c r="S60" s="6">
        <v>7.4862108338736e-13</v>
      </c>
      <c r="T60" s="6">
        <v>7.4862108623108e-13</v>
      </c>
      <c r="U60" s="6">
        <v>6.3049980789507e-13</v>
      </c>
      <c r="V60" s="6">
        <v>6.6131391009582e-13</v>
      </c>
      <c r="W60" s="6">
        <v>6.6131391901953e-13</v>
      </c>
      <c r="X60" s="6">
        <v>6.6131391187274e-13</v>
      </c>
      <c r="Y60" s="6">
        <v>6.8546447774107e-13</v>
      </c>
      <c r="Z60" s="6">
        <v>6.8546449787555e-13</v>
      </c>
      <c r="AA60" s="6">
        <v>6.854645094173e-13</v>
      </c>
      <c r="AB60" s="4">
        <v>0.99999816090649</v>
      </c>
      <c r="AC60" s="4">
        <v>0.9999934847776</v>
      </c>
      <c r="AD60" s="4">
        <v>0.00035436715022092</v>
      </c>
      <c r="AE60" s="6">
        <v>-8.7476113765085e-19</v>
      </c>
      <c r="AF60" s="6">
        <v>1.7588981752236e-18</v>
      </c>
      <c r="AG60" s="6">
        <v>1.8542624125578e-18</v>
      </c>
      <c r="AH60" s="6">
        <v>6.8182986230268e-19</v>
      </c>
      <c r="AI60" s="6">
        <v>-1.725257608644e-19</v>
      </c>
      <c r="AJ60" s="6">
        <v>6.4566937772288e-19</v>
      </c>
      <c r="AK60" s="6">
        <v>9.0569739869586e-20</v>
      </c>
      <c r="AL60" s="6">
        <v>6.7538475824045e-19</v>
      </c>
      <c r="AM60" s="6">
        <v>2.1121593111226e-18</v>
      </c>
      <c r="AN60" s="6">
        <v>-7.6969907848878e-20</v>
      </c>
      <c r="AO60" s="6">
        <v>6.9360450162256e-19</v>
      </c>
      <c r="AP60" s="6">
        <v>6.5133131839005e-20</v>
      </c>
      <c r="AQ60" s="6">
        <v>5.0437756180684e-19</v>
      </c>
      <c r="AR60" s="6">
        <v>-3.4233530166061e-18</v>
      </c>
      <c r="AS60" s="6">
        <v>-1.2615317624495e-20</v>
      </c>
      <c r="AT60" s="6">
        <v>8.6588317429519e-20</v>
      </c>
      <c r="AU60" s="6">
        <v>-3.8104313345872e-19</v>
      </c>
      <c r="AV60" s="6">
        <v>-7.4110163505064e-19</v>
      </c>
      <c r="AW60" s="6">
        <v>-1.9628483448128e-20</v>
      </c>
      <c r="AX60" s="6">
        <v>1.007312665612e-18</v>
      </c>
      <c r="AY60" s="6">
        <v>9.8321625718143e-20</v>
      </c>
      <c r="AZ60" s="6">
        <v>-9.0671283189098e-19</v>
      </c>
      <c r="BA60" s="6">
        <v>1.9704502864335e-18</v>
      </c>
      <c r="BB60" s="6">
        <v>-6.473404929899e-18</v>
      </c>
      <c r="BC60" s="4">
        <v>15937038.276637</v>
      </c>
      <c r="BD60" s="4">
        <v>3980739.785614</v>
      </c>
      <c r="BE60" s="6">
        <v>-9.6559388909069e-5</v>
      </c>
      <c r="BF60" s="4">
        <v>0.00038449443375857</v>
      </c>
      <c r="BG60" s="4">
        <v>0.00014734518253908</v>
      </c>
      <c r="BH60" s="4">
        <v>-0.00013452815043373</v>
      </c>
      <c r="BI60" s="4">
        <v>60.044482371795</v>
      </c>
      <c r="BJ60" s="4">
        <v>30.023912962937</v>
      </c>
      <c r="BK60" s="4">
        <v>53.985244887846</v>
      </c>
      <c r="BL60" s="4"/>
    </row>
    <row r="61" spans="1:64">
      <c r="A61" s="4">
        <v>15811388.300842</v>
      </c>
      <c r="B61" s="4">
        <v>0.00013835614395602</v>
      </c>
      <c r="C61" s="6">
        <f t="shared" si="1"/>
        <v>9.19322447467459e-12</v>
      </c>
      <c r="D61" s="6">
        <v>6.3047449386419e-13</v>
      </c>
      <c r="E61" s="6">
        <v>7.4682201000096e-13</v>
      </c>
      <c r="F61" s="6">
        <v>7.4682200979122e-13</v>
      </c>
      <c r="G61" s="6">
        <v>7.4682200732267e-13</v>
      </c>
      <c r="H61" s="6">
        <v>6.3047448428353e-13</v>
      </c>
      <c r="I61" s="6">
        <v>6.3047448720733e-13</v>
      </c>
      <c r="J61" s="6">
        <v>6.304744860959e-13</v>
      </c>
      <c r="K61" s="6">
        <v>6.6056706893963e-13</v>
      </c>
      <c r="L61" s="6">
        <v>6.6056707728256e-13</v>
      </c>
      <c r="M61" s="6">
        <v>6.6056706478501e-13</v>
      </c>
      <c r="N61" s="6">
        <v>6.841699861271e-13</v>
      </c>
      <c r="O61" s="6">
        <v>6.3047448437963e-13</v>
      </c>
      <c r="P61" s="6">
        <v>6.8416998168308e-13</v>
      </c>
      <c r="Q61" s="6">
        <v>6.8417001023466e-13</v>
      </c>
      <c r="R61" s="6">
        <v>7.4682200538346e-13</v>
      </c>
      <c r="S61" s="6">
        <v>7.4682200295475e-13</v>
      </c>
      <c r="T61" s="6">
        <v>7.4682200613899e-13</v>
      </c>
      <c r="U61" s="6">
        <v>6.3047448581906e-13</v>
      </c>
      <c r="V61" s="6">
        <v>6.6056706879926e-13</v>
      </c>
      <c r="W61" s="6">
        <v>6.6056707924449e-13</v>
      </c>
      <c r="X61" s="6">
        <v>6.6056707123436e-13</v>
      </c>
      <c r="Y61" s="6">
        <v>6.8416998173546e-13</v>
      </c>
      <c r="Z61" s="6">
        <v>6.8417000447275e-13</v>
      </c>
      <c r="AA61" s="6">
        <v>6.8417001819398e-13</v>
      </c>
      <c r="AB61" s="4">
        <v>0.99999812390922</v>
      </c>
      <c r="AC61" s="4">
        <v>0.99999334210136</v>
      </c>
      <c r="AD61" s="4">
        <v>0.00036794511006401</v>
      </c>
      <c r="AE61" s="6">
        <v>-8.9314672027978e-19</v>
      </c>
      <c r="AF61" s="6">
        <v>1.6192843234955e-18</v>
      </c>
      <c r="AG61" s="6">
        <v>1.7833847003533e-18</v>
      </c>
      <c r="AH61" s="6">
        <v>7.3281009339476e-19</v>
      </c>
      <c r="AI61" s="6">
        <v>-1.8491773907968e-19</v>
      </c>
      <c r="AJ61" s="6">
        <v>6.1936892841707e-19</v>
      </c>
      <c r="AK61" s="6">
        <v>8.150093675111e-20</v>
      </c>
      <c r="AL61" s="6">
        <v>6.6562861641132e-19</v>
      </c>
      <c r="AM61" s="6">
        <v>2.4000634301058e-18</v>
      </c>
      <c r="AN61" s="6">
        <v>-8.1526040128555e-20</v>
      </c>
      <c r="AO61" s="6">
        <v>6.5579801278675e-19</v>
      </c>
      <c r="AP61" s="6">
        <v>7.1288646953437e-20</v>
      </c>
      <c r="AQ61" s="6">
        <v>4.9586780477568e-19</v>
      </c>
      <c r="AR61" s="6">
        <v>-3.3229032607044e-18</v>
      </c>
      <c r="AS61" s="6">
        <v>2.6123116973964e-20</v>
      </c>
      <c r="AT61" s="6">
        <v>6.0472151277713e-20</v>
      </c>
      <c r="AU61" s="6">
        <v>-3.2248562103399e-19</v>
      </c>
      <c r="AV61" s="6">
        <v>-7.5930322142678e-19</v>
      </c>
      <c r="AW61" s="6">
        <v>9.9072474808829e-21</v>
      </c>
      <c r="AX61" s="6">
        <v>7.9494351604979e-19</v>
      </c>
      <c r="AY61" s="6">
        <v>2.9748511847257e-20</v>
      </c>
      <c r="AZ61" s="6">
        <v>-8.3157058986458e-19</v>
      </c>
      <c r="BA61" s="6">
        <v>1.8997646649784e-18</v>
      </c>
      <c r="BB61" s="6">
        <v>-6.3200931084539e-18</v>
      </c>
      <c r="BC61" s="4">
        <v>15929410.057245</v>
      </c>
      <c r="BD61" s="4">
        <v>3978414.8796057</v>
      </c>
      <c r="BE61" s="6">
        <v>-9.3462759201159e-5</v>
      </c>
      <c r="BF61" s="4">
        <v>0.00040030194095092</v>
      </c>
      <c r="BG61" s="4">
        <v>0.00015653510299997</v>
      </c>
      <c r="BH61" s="4">
        <v>-0.00012887291496883</v>
      </c>
      <c r="BI61" s="4">
        <v>60.044500890017</v>
      </c>
      <c r="BJ61" s="4">
        <v>30.023925558555</v>
      </c>
      <c r="BK61" s="4">
        <v>53.862663340811</v>
      </c>
      <c r="BL61" s="4"/>
    </row>
    <row r="62" spans="1:64">
      <c r="A62" s="4">
        <v>17740669.461679</v>
      </c>
      <c r="B62" s="4">
        <v>0.0001550205192446</v>
      </c>
      <c r="C62" s="6">
        <f t="shared" si="1"/>
        <v>9.15060898715299e-12</v>
      </c>
      <c r="D62" s="6">
        <v>6.304093826277e-13</v>
      </c>
      <c r="E62" s="6">
        <v>7.4485288573761e-13</v>
      </c>
      <c r="F62" s="6">
        <v>7.4485288561314e-13</v>
      </c>
      <c r="G62" s="6">
        <v>7.4485288324509e-13</v>
      </c>
      <c r="H62" s="6">
        <v>6.3040937202053e-13</v>
      </c>
      <c r="I62" s="6">
        <v>6.3040937517659e-13</v>
      </c>
      <c r="J62" s="6">
        <v>6.3040937406521e-13</v>
      </c>
      <c r="K62" s="6">
        <v>6.5971923609964e-13</v>
      </c>
      <c r="L62" s="6">
        <v>6.5971924580635e-13</v>
      </c>
      <c r="M62" s="6">
        <v>6.597192313082e-13</v>
      </c>
      <c r="N62" s="6">
        <v>6.8276196530081e-13</v>
      </c>
      <c r="O62" s="6">
        <v>6.3040937210866e-13</v>
      </c>
      <c r="P62" s="6">
        <v>6.827619601579e-13</v>
      </c>
      <c r="Q62" s="6">
        <v>6.8276199262178e-13</v>
      </c>
      <c r="R62" s="6">
        <v>7.4485288078076e-13</v>
      </c>
      <c r="S62" s="6">
        <v>7.4485287818755e-13</v>
      </c>
      <c r="T62" s="6">
        <v>7.4485288175574e-13</v>
      </c>
      <c r="U62" s="6">
        <v>6.3040937378398e-13</v>
      </c>
      <c r="V62" s="6">
        <v>6.5971923559113e-13</v>
      </c>
      <c r="W62" s="6">
        <v>6.5971924786634e-13</v>
      </c>
      <c r="X62" s="6">
        <v>6.5971923886354e-13</v>
      </c>
      <c r="Y62" s="6">
        <v>6.8276196002273e-13</v>
      </c>
      <c r="Z62" s="6">
        <v>6.8276198570471e-13</v>
      </c>
      <c r="AA62" s="6">
        <v>6.8276200209556e-13</v>
      </c>
      <c r="AB62" s="4">
        <v>0.99999808030503</v>
      </c>
      <c r="AC62" s="4">
        <v>0.99999317519183</v>
      </c>
      <c r="AD62" s="4">
        <v>0.00038322911098923</v>
      </c>
      <c r="AE62" s="6">
        <v>-9.0869911707634e-19</v>
      </c>
      <c r="AF62" s="6">
        <v>1.4754038280005e-18</v>
      </c>
      <c r="AG62" s="6">
        <v>1.7098585083391e-18</v>
      </c>
      <c r="AH62" s="6">
        <v>7.9094935516918e-19</v>
      </c>
      <c r="AI62" s="6">
        <v>-1.9971565324637e-19</v>
      </c>
      <c r="AJ62" s="6">
        <v>5.870775112915e-19</v>
      </c>
      <c r="AK62" s="6">
        <v>7.0192834831893e-20</v>
      </c>
      <c r="AL62" s="6">
        <v>6.542145205748e-19</v>
      </c>
      <c r="AM62" s="6">
        <v>2.7288717245496e-18</v>
      </c>
      <c r="AN62" s="6">
        <v>-8.7290670815447e-20</v>
      </c>
      <c r="AO62" s="6">
        <v>6.1000849668431e-19</v>
      </c>
      <c r="AP62" s="6">
        <v>7.7421728372408e-20</v>
      </c>
      <c r="AQ62" s="6">
        <v>4.8362968450692e-19</v>
      </c>
      <c r="AR62" s="6">
        <v>-3.2130885619193e-18</v>
      </c>
      <c r="AS62" s="6">
        <v>6.6648003112193e-20</v>
      </c>
      <c r="AT62" s="6">
        <v>3.18250761379e-20</v>
      </c>
      <c r="AU62" s="6">
        <v>-2.5824882298323e-19</v>
      </c>
      <c r="AV62" s="6">
        <v>-7.811864558098e-19</v>
      </c>
      <c r="AW62" s="6">
        <v>4.1402884604282e-20</v>
      </c>
      <c r="AX62" s="6">
        <v>5.5122288323624e-19</v>
      </c>
      <c r="AY62" s="6">
        <v>-5.115645369299e-20</v>
      </c>
      <c r="AZ62" s="6">
        <v>-7.5319234174543e-19</v>
      </c>
      <c r="BA62" s="6">
        <v>1.8149097207468e-18</v>
      </c>
      <c r="BB62" s="6">
        <v>-6.1431237764462e-18</v>
      </c>
      <c r="BC62" s="4">
        <v>15920864.980747</v>
      </c>
      <c r="BD62" s="4">
        <v>3975812.4289601</v>
      </c>
      <c r="BE62" s="6">
        <v>-8.9942702190472e-5</v>
      </c>
      <c r="BF62" s="4">
        <v>0.00041795603848002</v>
      </c>
      <c r="BG62" s="4">
        <v>0.0001668354894459</v>
      </c>
      <c r="BH62" s="4">
        <v>-0.00012272166513414</v>
      </c>
      <c r="BI62" s="4">
        <v>60.044523950766</v>
      </c>
      <c r="BJ62" s="4">
        <v>30.023938022734</v>
      </c>
      <c r="BK62" s="4">
        <v>53.732408212921</v>
      </c>
      <c r="BL62" s="4"/>
    </row>
    <row r="63" spans="1:64">
      <c r="A63" s="4">
        <v>19905358.527676</v>
      </c>
      <c r="B63" s="4">
        <v>0.00017366719907374</v>
      </c>
      <c r="C63" s="6">
        <f t="shared" si="1"/>
        <v>9.10443990590994e-12</v>
      </c>
      <c r="D63" s="6">
        <v>6.3031227245363e-13</v>
      </c>
      <c r="E63" s="6">
        <v>7.4269637907872e-13</v>
      </c>
      <c r="F63" s="6">
        <v>7.4269637907122e-13</v>
      </c>
      <c r="G63" s="6">
        <v>7.4269637690423e-13</v>
      </c>
      <c r="H63" s="6">
        <v>6.3031226072857e-13</v>
      </c>
      <c r="I63" s="6">
        <v>6.3031226411696e-13</v>
      </c>
      <c r="J63" s="6">
        <v>6.303122630365e-13</v>
      </c>
      <c r="K63" s="6">
        <v>6.5875742530127e-13</v>
      </c>
      <c r="L63" s="6">
        <v>6.5875743665979e-13</v>
      </c>
      <c r="M63" s="6">
        <v>6.5875741976221e-13</v>
      </c>
      <c r="N63" s="6">
        <v>6.8121482515456e-13</v>
      </c>
      <c r="O63" s="6">
        <v>6.3031226080165e-13</v>
      </c>
      <c r="P63" s="6">
        <v>6.8121481916733e-13</v>
      </c>
      <c r="Q63" s="6">
        <v>6.8121485611726e-13</v>
      </c>
      <c r="R63" s="6">
        <v>7.4269637378555e-13</v>
      </c>
      <c r="S63" s="6">
        <v>7.4269637103269e-13</v>
      </c>
      <c r="T63" s="6">
        <v>7.4269637503538e-13</v>
      </c>
      <c r="U63" s="6">
        <v>6.3031226275896e-13</v>
      </c>
      <c r="V63" s="6">
        <v>6.5875742430767e-13</v>
      </c>
      <c r="W63" s="6">
        <v>6.5875743879563e-13</v>
      </c>
      <c r="X63" s="6">
        <v>6.587574286397e-13</v>
      </c>
      <c r="Y63" s="6">
        <v>6.8121481878156e-13</v>
      </c>
      <c r="Z63" s="6">
        <v>6.8121484779441e-13</v>
      </c>
      <c r="AA63" s="6">
        <v>6.8121486746855e-13</v>
      </c>
      <c r="AB63" s="4">
        <v>0.99999802893972</v>
      </c>
      <c r="AC63" s="4">
        <v>0.99999297911657</v>
      </c>
      <c r="AD63" s="4">
        <v>0.00040042837839325</v>
      </c>
      <c r="AE63" s="6">
        <v>-9.1972908530975e-19</v>
      </c>
      <c r="AF63" s="6">
        <v>1.3291690035236e-18</v>
      </c>
      <c r="AG63" s="6">
        <v>1.6346849817033e-18</v>
      </c>
      <c r="AH63" s="6">
        <v>8.5741771675701e-19</v>
      </c>
      <c r="AI63" s="6">
        <v>-2.1753327174593e-19</v>
      </c>
      <c r="AJ63" s="6">
        <v>5.4753465824259e-19</v>
      </c>
      <c r="AK63" s="6">
        <v>5.609416853098e-20</v>
      </c>
      <c r="AL63" s="6">
        <v>6.403059627017e-19</v>
      </c>
      <c r="AM63" s="6">
        <v>3.1043997645928e-18</v>
      </c>
      <c r="AN63" s="6">
        <v>-9.4571418278052e-20</v>
      </c>
      <c r="AO63" s="6">
        <v>5.5379522884902e-19</v>
      </c>
      <c r="AP63" s="6">
        <v>8.3455275486461e-20</v>
      </c>
      <c r="AQ63" s="6">
        <v>4.6674881819812e-19</v>
      </c>
      <c r="AR63" s="6">
        <v>-3.0959172272744e-18</v>
      </c>
      <c r="AS63" s="6">
        <v>1.0870509548701e-19</v>
      </c>
      <c r="AT63" s="6">
        <v>3.9458433583734e-22</v>
      </c>
      <c r="AU63" s="6">
        <v>-1.879560260787e-19</v>
      </c>
      <c r="AV63" s="6">
        <v>-8.075104667525e-19</v>
      </c>
      <c r="AW63" s="6">
        <v>7.4378460428683e-20</v>
      </c>
      <c r="AX63" s="6">
        <v>2.7103290353931e-19</v>
      </c>
      <c r="AY63" s="6">
        <v>-1.460021991832e-19</v>
      </c>
      <c r="AZ63" s="6">
        <v>-6.7207194893894e-19</v>
      </c>
      <c r="BA63" s="6">
        <v>1.7133946230158e-18</v>
      </c>
      <c r="BB63" s="6">
        <v>-5.941720647187e-18</v>
      </c>
      <c r="BC63" s="4">
        <v>15911294.819751</v>
      </c>
      <c r="BD63" s="4">
        <v>3972900.0727474</v>
      </c>
      <c r="BE63" s="6">
        <v>-8.5938905669829e-5</v>
      </c>
      <c r="BF63" s="4">
        <v>0.00043766431999637</v>
      </c>
      <c r="BG63" s="4">
        <v>0.00017837929485408</v>
      </c>
      <c r="BH63" s="4">
        <v>-0.00011610460584743</v>
      </c>
      <c r="BI63" s="4">
        <v>60.04455234985</v>
      </c>
      <c r="BJ63" s="4">
        <v>30.023949947994</v>
      </c>
      <c r="BK63" s="4">
        <v>53.594985546482</v>
      </c>
      <c r="BL63" s="4"/>
    </row>
    <row r="64" spans="1:64">
      <c r="A64" s="4">
        <v>22334179.607549</v>
      </c>
      <c r="B64" s="4">
        <v>0.00019452652447194</v>
      </c>
      <c r="C64" s="6">
        <f t="shared" si="1"/>
        <v>9.05455180805247e-12</v>
      </c>
      <c r="D64" s="6">
        <v>6.3015972158932e-13</v>
      </c>
      <c r="E64" s="6">
        <v>7.4033108405874e-13</v>
      </c>
      <c r="F64" s="6">
        <v>7.4033108420665e-13</v>
      </c>
      <c r="G64" s="6">
        <v>7.4033108237138e-13</v>
      </c>
      <c r="H64" s="6">
        <v>6.3015970865377e-13</v>
      </c>
      <c r="I64" s="6">
        <v>6.3015971226848e-13</v>
      </c>
      <c r="J64" s="6">
        <v>6.3015971125962e-13</v>
      </c>
      <c r="K64" s="6">
        <v>6.5768535394069e-13</v>
      </c>
      <c r="L64" s="6">
        <v>6.5768536731648e-13</v>
      </c>
      <c r="M64" s="6">
        <v>6.576853475221e-13</v>
      </c>
      <c r="N64" s="6">
        <v>6.7953932216631e-13</v>
      </c>
      <c r="O64" s="6">
        <v>6.3015970870174e-13</v>
      </c>
      <c r="P64" s="6">
        <v>6.7953931514698e-13</v>
      </c>
      <c r="Q64" s="6">
        <v>6.7953935724357e-13</v>
      </c>
      <c r="R64" s="6">
        <v>7.403310784395e-13</v>
      </c>
      <c r="S64" s="6">
        <v>7.4033107553586e-13</v>
      </c>
      <c r="T64" s="6">
        <v>7.4033108003239e-13</v>
      </c>
      <c r="U64" s="6">
        <v>6.3015971099851e-13</v>
      </c>
      <c r="V64" s="6">
        <v>6.576853523179e-13</v>
      </c>
      <c r="W64" s="6">
        <v>6.5768536949574e-13</v>
      </c>
      <c r="X64" s="6">
        <v>6.5768535798505e-13</v>
      </c>
      <c r="Y64" s="6">
        <v>6.795393144325e-13</v>
      </c>
      <c r="Z64" s="6">
        <v>6.7953934721259e-13</v>
      </c>
      <c r="AA64" s="6">
        <v>6.7953937093811e-13</v>
      </c>
      <c r="AB64" s="4">
        <v>0.99999796844645</v>
      </c>
      <c r="AC64" s="4">
        <v>0.99999274769221</v>
      </c>
      <c r="AD64" s="4">
        <v>0.00041977601287203</v>
      </c>
      <c r="AE64" s="6">
        <v>-9.2402189076545e-19</v>
      </c>
      <c r="AF64" s="6">
        <v>1.1829637192781e-18</v>
      </c>
      <c r="AG64" s="6">
        <v>1.5592147193751e-18</v>
      </c>
      <c r="AH64" s="6">
        <v>9.3362227660829e-19</v>
      </c>
      <c r="AI64" s="6">
        <v>-2.3917027216694e-19</v>
      </c>
      <c r="AJ64" s="6">
        <v>4.991960501332e-19</v>
      </c>
      <c r="AK64" s="6">
        <v>3.8508497485396e-20</v>
      </c>
      <c r="AL64" s="6">
        <v>6.2283618842272e-19</v>
      </c>
      <c r="AM64" s="6">
        <v>3.5332395915327e-18</v>
      </c>
      <c r="AN64" s="6">
        <v>-1.0378615177638e-19</v>
      </c>
      <c r="AO64" s="6">
        <v>4.8385947769913e-19</v>
      </c>
      <c r="AP64" s="6">
        <v>8.926343347261e-20</v>
      </c>
      <c r="AQ64" s="6">
        <v>4.4414628172268e-19</v>
      </c>
      <c r="AR64" s="6">
        <v>-2.974949911451e-18</v>
      </c>
      <c r="AS64" s="6">
        <v>1.5200468075889e-19</v>
      </c>
      <c r="AT64" s="6">
        <v>-3.4139048508415e-20</v>
      </c>
      <c r="AU64" s="6">
        <v>-1.1123312487966e-19</v>
      </c>
      <c r="AV64" s="6">
        <v>-8.3917454892217e-19</v>
      </c>
      <c r="AW64" s="6">
        <v>1.0812033672834e-19</v>
      </c>
      <c r="AX64" s="6">
        <v>-5.1399393590949e-20</v>
      </c>
      <c r="AY64" s="6">
        <v>-2.5675115426169e-19</v>
      </c>
      <c r="AZ64" s="6">
        <v>-5.8871564548548e-19</v>
      </c>
      <c r="BA64" s="6">
        <v>1.5924459051776e-18</v>
      </c>
      <c r="BB64" s="6">
        <v>-5.7166751334686e-18</v>
      </c>
      <c r="BC64" s="4">
        <v>15900579.099384</v>
      </c>
      <c r="BD64" s="4">
        <v>3969641.8727608</v>
      </c>
      <c r="BE64" s="6">
        <v>-8.1382508805351e-5</v>
      </c>
      <c r="BF64" s="4">
        <v>0.00045965620629657</v>
      </c>
      <c r="BG64" s="4">
        <v>0.0001913151040116</v>
      </c>
      <c r="BH64" s="4">
        <v>-0.00010901819740548</v>
      </c>
      <c r="BI64" s="4">
        <v>60.044587046491</v>
      </c>
      <c r="BJ64" s="4">
        <v>30.023960849087</v>
      </c>
      <c r="BK64" s="4">
        <v>53.451186922424</v>
      </c>
      <c r="BL64" s="4"/>
    </row>
    <row r="65" spans="1:64">
      <c r="A65" s="4">
        <v>25059361.681365</v>
      </c>
      <c r="B65" s="4">
        <v>0.00021785468025298</v>
      </c>
      <c r="C65" s="6">
        <f t="shared" si="1"/>
        <v>9.00074437086076e-12</v>
      </c>
      <c r="D65" s="6">
        <v>6.2994135336633e-13</v>
      </c>
      <c r="E65" s="6">
        <v>7.3776666133204e-13</v>
      </c>
      <c r="F65" s="6">
        <v>7.3776666168143e-13</v>
      </c>
      <c r="G65" s="6">
        <v>7.3776666034547e-13</v>
      </c>
      <c r="H65" s="6">
        <v>6.2994133912993e-13</v>
      </c>
      <c r="I65" s="6">
        <v>6.2994134295715e-13</v>
      </c>
      <c r="J65" s="6">
        <v>6.2994134207218e-13</v>
      </c>
      <c r="K65" s="6">
        <v>6.5647714586014e-13</v>
      </c>
      <c r="L65" s="6">
        <v>6.564771617196e-13</v>
      </c>
      <c r="M65" s="6">
        <v>6.5647713840486e-13</v>
      </c>
      <c r="N65" s="6">
        <v>6.7781385122804e-13</v>
      </c>
      <c r="O65" s="6">
        <v>6.2994133913863e-13</v>
      </c>
      <c r="P65" s="6">
        <v>6.7781384293016e-13</v>
      </c>
      <c r="Q65" s="6">
        <v>6.7781389093157e-13</v>
      </c>
      <c r="R65" s="6">
        <v>7.377666554055e-13</v>
      </c>
      <c r="S65" s="6">
        <v>7.3776665236454e-13</v>
      </c>
      <c r="T65" s="6">
        <v>7.3776665742529e-13</v>
      </c>
      <c r="U65" s="6">
        <v>6.2994134184732e-13</v>
      </c>
      <c r="V65" s="6">
        <v>6.5647714343199e-13</v>
      </c>
      <c r="W65" s="6">
        <v>6.5647716389729e-13</v>
      </c>
      <c r="X65" s="6">
        <v>6.5647715077514e-13</v>
      </c>
      <c r="Y65" s="6">
        <v>6.7781384179094e-13</v>
      </c>
      <c r="Z65" s="6">
        <v>6.7781387883221e-13</v>
      </c>
      <c r="AA65" s="6">
        <v>6.7781390756865e-13</v>
      </c>
      <c r="AB65" s="4">
        <v>0.99999789733196</v>
      </c>
      <c r="AC65" s="4">
        <v>0.99999247337219</v>
      </c>
      <c r="AD65" s="4">
        <v>0.00044153096502342</v>
      </c>
      <c r="AE65" s="6">
        <v>-9.189165147735e-19</v>
      </c>
      <c r="AF65" s="6">
        <v>1.0396375114765e-18</v>
      </c>
      <c r="AG65" s="6">
        <v>1.4852848521744e-18</v>
      </c>
      <c r="AH65" s="6">
        <v>1.0217953617786e-18</v>
      </c>
      <c r="AI65" s="6">
        <v>-2.6564124751843e-19</v>
      </c>
      <c r="AJ65" s="6">
        <v>4.4011159753036e-19</v>
      </c>
      <c r="AK65" s="6">
        <v>1.6501556662887e-20</v>
      </c>
      <c r="AL65" s="6">
        <v>6.003899801994e-19</v>
      </c>
      <c r="AM65" s="6">
        <v>4.0228471377868e-18</v>
      </c>
      <c r="AN65" s="6">
        <v>-1.1543135725935e-19</v>
      </c>
      <c r="AO65" s="6">
        <v>3.9570282598096e-19</v>
      </c>
      <c r="AP65" s="6">
        <v>9.4601311825555e-20</v>
      </c>
      <c r="AQ65" s="6">
        <v>4.1450692371404e-19</v>
      </c>
      <c r="AR65" s="6">
        <v>-2.856147541201e-18</v>
      </c>
      <c r="AS65" s="6">
        <v>1.9625644368188e-19</v>
      </c>
      <c r="AT65" s="6">
        <v>-7.2221133173587e-20</v>
      </c>
      <c r="AU65" s="6">
        <v>-2.7378139705735e-20</v>
      </c>
      <c r="AV65" s="6">
        <v>-8.7722039567338e-19</v>
      </c>
      <c r="AW65" s="6">
        <v>1.4159848555952e-19</v>
      </c>
      <c r="AX65" s="6">
        <v>-4.224473212671e-19</v>
      </c>
      <c r="AY65" s="6">
        <v>-3.8553687139896e-19</v>
      </c>
      <c r="AZ65" s="6">
        <v>-5.0349454256972e-19</v>
      </c>
      <c r="BA65" s="6">
        <v>1.4496595418761e-18</v>
      </c>
      <c r="BB65" s="6">
        <v>-5.4708058835424e-18</v>
      </c>
      <c r="BC65" s="4">
        <v>15888583.430878</v>
      </c>
      <c r="BD65" s="4">
        <v>3965997.8346365</v>
      </c>
      <c r="BE65" s="6">
        <v>-7.6193284917862e-5</v>
      </c>
      <c r="BF65" s="4">
        <v>0.00048418487350704</v>
      </c>
      <c r="BG65" s="4">
        <v>0.00020580887504552</v>
      </c>
      <c r="BH65" s="4">
        <v>-0.00010151481369912</v>
      </c>
      <c r="BI65" s="4">
        <v>60.044628923143</v>
      </c>
      <c r="BJ65" s="4">
        <v>30.023970054209</v>
      </c>
      <c r="BK65" s="4">
        <v>53.302160535775</v>
      </c>
      <c r="BL65" s="4"/>
    </row>
    <row r="66" spans="1:64">
      <c r="A66" s="4">
        <v>28117066.259519</v>
      </c>
      <c r="B66" s="4">
        <v>0.00024393625010081</v>
      </c>
      <c r="C66" s="6">
        <f t="shared" si="1"/>
        <v>8.94283007116682e-12</v>
      </c>
      <c r="D66" s="6">
        <v>6.2965031989799e-13</v>
      </c>
      <c r="E66" s="6">
        <v>7.3497950085314e-13</v>
      </c>
      <c r="F66" s="6">
        <v>7.3497950145859e-13</v>
      </c>
      <c r="G66" s="6">
        <v>7.3497950083519e-13</v>
      </c>
      <c r="H66" s="6">
        <v>6.2965030427803e-13</v>
      </c>
      <c r="I66" s="6">
        <v>6.2965030829407e-13</v>
      </c>
      <c r="J66" s="6">
        <v>6.296503075988e-13</v>
      </c>
      <c r="K66" s="6">
        <v>6.5513517943956e-13</v>
      </c>
      <c r="L66" s="6">
        <v>6.5513519838069e-13</v>
      </c>
      <c r="M66" s="6">
        <v>6.5513517076046e-13</v>
      </c>
      <c r="N66" s="6">
        <v>6.759332424502e-13</v>
      </c>
      <c r="O66" s="6">
        <v>6.2965030422757e-13</v>
      </c>
      <c r="P66" s="6">
        <v>6.759332325467e-13</v>
      </c>
      <c r="Q66" s="6">
        <v>6.7593328731779e-13</v>
      </c>
      <c r="R66" s="6">
        <v>7.3497949464764e-13</v>
      </c>
      <c r="S66" s="6">
        <v>7.3497949148815e-13</v>
      </c>
      <c r="T66" s="6">
        <v>7.3497949719762e-13</v>
      </c>
      <c r="U66" s="6">
        <v>6.2965030744073e-13</v>
      </c>
      <c r="V66" s="6">
        <v>6.5513517599243e-13</v>
      </c>
      <c r="W66" s="6">
        <v>6.5513520049628e-13</v>
      </c>
      <c r="X66" s="6">
        <v>6.5513518543267e-13</v>
      </c>
      <c r="Y66" s="6">
        <v>6.7593323086504e-13</v>
      </c>
      <c r="Z66" s="6">
        <v>6.7593327272768e-13</v>
      </c>
      <c r="AA66" s="6">
        <v>6.7593330766948e-13</v>
      </c>
      <c r="AB66" s="4">
        <v>0.99999781369908</v>
      </c>
      <c r="AC66" s="4">
        <v>0.99999214650307</v>
      </c>
      <c r="AD66" s="4">
        <v>0.00046598100575756</v>
      </c>
      <c r="AE66" s="6">
        <v>-9.0123351872373e-19</v>
      </c>
      <c r="AF66" s="6">
        <v>9.0261988234171e-19</v>
      </c>
      <c r="AG66" s="6">
        <v>1.4150853186952e-18</v>
      </c>
      <c r="AH66" s="6">
        <v>1.1243975357284e-18</v>
      </c>
      <c r="AI66" s="6">
        <v>-2.9837052153802e-19</v>
      </c>
      <c r="AJ66" s="6">
        <v>3.6784399774026e-19</v>
      </c>
      <c r="AK66" s="6">
        <v>-1.1170059824603e-20</v>
      </c>
      <c r="AL66" s="6">
        <v>5.7070825414266e-19</v>
      </c>
      <c r="AM66" s="6">
        <v>4.5818695468385e-18</v>
      </c>
      <c r="AN66" s="6">
        <v>-1.3010719336311e-19</v>
      </c>
      <c r="AO66" s="6">
        <v>2.8302988963759e-19</v>
      </c>
      <c r="AP66" s="6">
        <v>9.921336503254e-20</v>
      </c>
      <c r="AQ66" s="6">
        <v>3.7640662530772e-19</v>
      </c>
      <c r="AR66" s="6">
        <v>-2.7482542823441e-18</v>
      </c>
      <c r="AS66" s="6">
        <v>2.4110688173871e-19</v>
      </c>
      <c r="AT66" s="6">
        <v>-1.1443212169999e-19</v>
      </c>
      <c r="AU66" s="6">
        <v>6.4305629019268e-20</v>
      </c>
      <c r="AV66" s="6">
        <v>-9.2298877795622e-19</v>
      </c>
      <c r="AW66" s="6">
        <v>1.73375413381e-19</v>
      </c>
      <c r="AX66" s="6">
        <v>-8.4913544104033e-19</v>
      </c>
      <c r="AY66" s="6">
        <v>-5.3419410899808e-19</v>
      </c>
      <c r="AZ66" s="6">
        <v>-4.1666715283878e-19</v>
      </c>
      <c r="BA66" s="6">
        <v>1.2817567977578e-18</v>
      </c>
      <c r="BB66" s="6">
        <v>-5.2115736893797e-18</v>
      </c>
      <c r="BC66" s="4">
        <v>15875158.360031</v>
      </c>
      <c r="BD66" s="4">
        <v>3961923.6006296</v>
      </c>
      <c r="BE66" s="6">
        <v>-7.0279414042722e-5</v>
      </c>
      <c r="BF66" s="4">
        <v>0.0005115294059573</v>
      </c>
      <c r="BG66" s="4">
        <v>0.00022204615651756</v>
      </c>
      <c r="BH66" s="6">
        <v>-9.3845988596831e-5</v>
      </c>
      <c r="BI66" s="4">
        <v>60.04467881441</v>
      </c>
      <c r="BJ66" s="4">
        <v>30.023976606263</v>
      </c>
      <c r="BK66" s="4">
        <v>53.149442251798</v>
      </c>
      <c r="BL66" s="4"/>
    </row>
    <row r="67" spans="1:64">
      <c r="A67" s="4">
        <v>31547867.224011</v>
      </c>
      <c r="B67" s="4">
        <v>0.00027308689449894</v>
      </c>
      <c r="C67" s="6">
        <f t="shared" si="1"/>
        <v>8.88075545570491e-12</v>
      </c>
      <c r="D67" s="6">
        <v>6.2925853133934e-13</v>
      </c>
      <c r="E67" s="6">
        <v>7.3190917053548e-13</v>
      </c>
      <c r="F67" s="6">
        <v>7.3190917146074e-13</v>
      </c>
      <c r="G67" s="6">
        <v>7.3190917181954e-13</v>
      </c>
      <c r="H67" s="6">
        <v>6.2925851426893e-13</v>
      </c>
      <c r="I67" s="6">
        <v>6.2925851843814e-13</v>
      </c>
      <c r="J67" s="6">
        <v>6.2925851801328e-13</v>
      </c>
      <c r="K67" s="6">
        <v>6.5366787875361e-13</v>
      </c>
      <c r="L67" s="6">
        <v>6.5366790154679e-13</v>
      </c>
      <c r="M67" s="6">
        <v>6.5366786862867e-13</v>
      </c>
      <c r="N67" s="6">
        <v>6.7387777710653e-13</v>
      </c>
      <c r="O67" s="6">
        <v>6.2925851413127e-13</v>
      </c>
      <c r="P67" s="6">
        <v>6.7387776515649e-13</v>
      </c>
      <c r="Q67" s="6">
        <v>6.7387782767572e-13</v>
      </c>
      <c r="R67" s="6">
        <v>7.319091640897e-13</v>
      </c>
      <c r="S67" s="6">
        <v>7.3190916083667e-13</v>
      </c>
      <c r="T67" s="6">
        <v>7.319091672972e-13</v>
      </c>
      <c r="U67" s="6">
        <v>6.2925851796907e-13</v>
      </c>
      <c r="V67" s="6">
        <v>6.5366787403128e-13</v>
      </c>
      <c r="W67" s="6">
        <v>6.5366790352051e-13</v>
      </c>
      <c r="X67" s="6">
        <v>6.5366788608726e-13</v>
      </c>
      <c r="Y67" s="6">
        <v>6.7387776278859e-13</v>
      </c>
      <c r="Z67" s="6">
        <v>6.7387781011165e-13</v>
      </c>
      <c r="AA67" s="6">
        <v>6.7387785273733e-13</v>
      </c>
      <c r="AB67" s="4">
        <v>0.99999771508181</v>
      </c>
      <c r="AC67" s="4">
        <v>0.9999917542582</v>
      </c>
      <c r="AD67" s="4">
        <v>0.00049344601738759</v>
      </c>
      <c r="AE67" s="6">
        <v>-8.673363931341e-19</v>
      </c>
      <c r="AF67" s="6">
        <v>7.7594942397095e-19</v>
      </c>
      <c r="AG67" s="6">
        <v>1.3514433604701e-18</v>
      </c>
      <c r="AH67" s="6">
        <v>1.2442205878362e-18</v>
      </c>
      <c r="AI67" s="6">
        <v>-3.3934316529156e-19</v>
      </c>
      <c r="AJ67" s="6">
        <v>2.7913658928869e-19</v>
      </c>
      <c r="AK67" s="6">
        <v>-4.6322999274835e-20</v>
      </c>
      <c r="AL67" s="6">
        <v>5.3076651355116e-19</v>
      </c>
      <c r="AM67" s="6">
        <v>5.2218859288998e-18</v>
      </c>
      <c r="AN67" s="6">
        <v>-1.4871707436932e-19</v>
      </c>
      <c r="AO67" s="6">
        <v>1.3718156838257e-19</v>
      </c>
      <c r="AP67" s="6">
        <v>1.0282680387781e-19</v>
      </c>
      <c r="AQ67" s="6">
        <v>3.2787966616266e-19</v>
      </c>
      <c r="AR67" s="6">
        <v>-2.6627920333651e-18</v>
      </c>
      <c r="AS67" s="6">
        <v>2.8626456312368e-19</v>
      </c>
      <c r="AT67" s="6">
        <v>-1.6158807746048e-19</v>
      </c>
      <c r="AU67" s="6">
        <v>1.6444999700387e-19</v>
      </c>
      <c r="AV67" s="6">
        <v>-9.78077550582e-19</v>
      </c>
      <c r="AW67" s="6">
        <v>2.0167267215529e-19</v>
      </c>
      <c r="AX67" s="6">
        <v>-1.339153010393e-18</v>
      </c>
      <c r="AY67" s="6">
        <v>-7.0467084785266e-19</v>
      </c>
      <c r="AZ67" s="6">
        <v>-3.2825440833406e-19</v>
      </c>
      <c r="BA67" s="6">
        <v>1.0839868264566e-18</v>
      </c>
      <c r="BB67" s="6">
        <v>-4.950964433569e-18</v>
      </c>
      <c r="BC67" s="4">
        <v>15860138.305441</v>
      </c>
      <c r="BD67" s="4">
        <v>3957370.1824059</v>
      </c>
      <c r="BE67" s="6">
        <v>-6.3537692424064e-5</v>
      </c>
      <c r="BF67" s="4">
        <v>0.00054199751034015</v>
      </c>
      <c r="BG67" s="4">
        <v>0.00024023391100194</v>
      </c>
      <c r="BH67" s="6">
        <v>-8.6116885790189e-5</v>
      </c>
      <c r="BI67" s="4">
        <v>60.044737746584</v>
      </c>
      <c r="BJ67" s="4">
        <v>30.023979600619</v>
      </c>
      <c r="BK67" s="4">
        <v>52.994982817111</v>
      </c>
      <c r="BL67" s="4"/>
    </row>
    <row r="68" spans="1:64">
      <c r="A68" s="4">
        <v>35397289.219208</v>
      </c>
      <c r="B68" s="4">
        <v>0.00030565652611027</v>
      </c>
      <c r="C68" s="6">
        <f t="shared" si="1"/>
        <v>8.81441795427355e-12</v>
      </c>
      <c r="D68" s="6">
        <v>6.2872677250435e-13</v>
      </c>
      <c r="E68" s="6">
        <v>7.2857615401994e-13</v>
      </c>
      <c r="F68" s="6">
        <v>7.2857615533882e-13</v>
      </c>
      <c r="G68" s="6">
        <v>7.2857615701888e-13</v>
      </c>
      <c r="H68" s="6">
        <v>6.2872675394363e-13</v>
      </c>
      <c r="I68" s="6">
        <v>6.2872675821684e-13</v>
      </c>
      <c r="J68" s="6">
        <v>6.2872675815869e-13</v>
      </c>
      <c r="K68" s="6">
        <v>6.5202602454766e-13</v>
      </c>
      <c r="L68" s="6">
        <v>6.5202605219098e-13</v>
      </c>
      <c r="M68" s="6">
        <v>6.5202601271488e-13</v>
      </c>
      <c r="N68" s="6">
        <v>6.7160473843954e-13</v>
      </c>
      <c r="O68" s="6">
        <v>6.2872675367928e-13</v>
      </c>
      <c r="P68" s="6">
        <v>6.7160472383979e-13</v>
      </c>
      <c r="Q68" s="6">
        <v>6.71604795201e-13</v>
      </c>
      <c r="R68" s="6">
        <v>7.285761473833e-13</v>
      </c>
      <c r="S68" s="6">
        <v>7.2857614406919e-13</v>
      </c>
      <c r="T68" s="6">
        <v>7.2857615140555e-13</v>
      </c>
      <c r="U68" s="6">
        <v>6.2872675830041e-13</v>
      </c>
      <c r="V68" s="6">
        <v>6.5202601824722e-13</v>
      </c>
      <c r="W68" s="6">
        <v>6.5202605391735e-13</v>
      </c>
      <c r="X68" s="6">
        <v>6.5202603355571e-13</v>
      </c>
      <c r="Y68" s="6">
        <v>6.7160472061026e-13</v>
      </c>
      <c r="Z68" s="6">
        <v>6.7160477412909e-13</v>
      </c>
      <c r="AA68" s="6">
        <v>6.7160482625528e-13</v>
      </c>
      <c r="AB68" s="4">
        <v>0.99999759832362</v>
      </c>
      <c r="AC68" s="4">
        <v>0.99999127934988</v>
      </c>
      <c r="AD68" s="4">
        <v>0.00052428088927173</v>
      </c>
      <c r="AE68" s="6">
        <v>-8.1330339942681e-19</v>
      </c>
      <c r="AF68" s="6">
        <v>6.6422108775871e-19</v>
      </c>
      <c r="AG68" s="6">
        <v>1.2978687501785e-18</v>
      </c>
      <c r="AH68" s="6">
        <v>1.3847943545194e-18</v>
      </c>
      <c r="AI68" s="6">
        <v>-3.9132342717756e-19</v>
      </c>
      <c r="AJ68" s="6">
        <v>1.6936837475008e-19</v>
      </c>
      <c r="AK68" s="6">
        <v>-9.1732905611166e-20</v>
      </c>
      <c r="AL68" s="6">
        <v>4.765979962135e-19</v>
      </c>
      <c r="AM68" s="6">
        <v>5.9582876727146e-18</v>
      </c>
      <c r="AN68" s="6">
        <v>-1.7250794222982e-19</v>
      </c>
      <c r="AO68" s="6">
        <v>-5.3921484487131e-20</v>
      </c>
      <c r="AP68" s="6">
        <v>1.0514492942239e-19</v>
      </c>
      <c r="AQ68" s="6">
        <v>2.6623457003191e-19</v>
      </c>
      <c r="AR68" s="6">
        <v>-2.6145812937747e-18</v>
      </c>
      <c r="AS68" s="6">
        <v>3.3154252334648e-19</v>
      </c>
      <c r="AT68" s="6">
        <v>-2.1491637209772e-19</v>
      </c>
      <c r="AU68" s="6">
        <v>2.7380089418635e-19</v>
      </c>
      <c r="AV68" s="6">
        <v>-1.0442751873596e-18</v>
      </c>
      <c r="AW68" s="6">
        <v>2.241545274064e-19</v>
      </c>
      <c r="AX68" s="6">
        <v>-1.9006081868369e-18</v>
      </c>
      <c r="AY68" s="6">
        <v>-8.9882014651729e-19</v>
      </c>
      <c r="AZ68" s="6">
        <v>-2.3768187079966e-19</v>
      </c>
      <c r="BA68" s="6">
        <v>8.496202990288e-19</v>
      </c>
      <c r="BB68" s="6">
        <v>-4.7068228481377e-18</v>
      </c>
      <c r="BC68" s="4">
        <v>15843339.910764</v>
      </c>
      <c r="BD68" s="4">
        <v>3952283.5202842</v>
      </c>
      <c r="BE68" s="6">
        <v>-5.5851722375622e-5</v>
      </c>
      <c r="BF68" s="4">
        <v>0.00057592792468819</v>
      </c>
      <c r="BG68" s="4">
        <v>0.00026060296167946</v>
      </c>
      <c r="BH68" s="6">
        <v>-7.8485780123004e-5</v>
      </c>
      <c r="BI68" s="4">
        <v>60.044806734526</v>
      </c>
      <c r="BJ68" s="4">
        <v>30.023977964905</v>
      </c>
      <c r="BK68" s="4">
        <v>52.841173886582</v>
      </c>
      <c r="BL68" s="4"/>
    </row>
    <row r="69" spans="1:64">
      <c r="A69" s="4">
        <v>39716411.736216</v>
      </c>
      <c r="B69" s="4">
        <v>0.00034203294533527</v>
      </c>
      <c r="C69" s="6">
        <f t="shared" si="1"/>
        <v>8.74364255745423e-12</v>
      </c>
      <c r="D69" s="6">
        <v>6.2806430593756e-13</v>
      </c>
      <c r="E69" s="6">
        <v>7.2498981644073e-13</v>
      </c>
      <c r="F69" s="6">
        <v>7.24989818238e-13</v>
      </c>
      <c r="G69" s="6">
        <v>7.2498982166397e-13</v>
      </c>
      <c r="H69" s="6">
        <v>6.2806428588883e-13</v>
      </c>
      <c r="I69" s="6">
        <v>6.2806429020337e-13</v>
      </c>
      <c r="J69" s="6">
        <v>6.2806429062296e-13</v>
      </c>
      <c r="K69" s="6">
        <v>6.5020705228371e-13</v>
      </c>
      <c r="L69" s="6">
        <v>6.5020708607673e-13</v>
      </c>
      <c r="M69" s="6">
        <v>6.5020703843559e-13</v>
      </c>
      <c r="N69" s="6">
        <v>6.6911722092328e-13</v>
      </c>
      <c r="O69" s="6">
        <v>6.2806428544245e-13</v>
      </c>
      <c r="P69" s="6">
        <v>6.6911720283594e-13</v>
      </c>
      <c r="Q69" s="6">
        <v>6.6911728424436e-13</v>
      </c>
      <c r="R69" s="6">
        <v>7.2498980967314e-13</v>
      </c>
      <c r="S69" s="6">
        <v>7.2498980633986e-13</v>
      </c>
      <c r="T69" s="6">
        <v>7.2498981470448e-13</v>
      </c>
      <c r="U69" s="6">
        <v>6.2806429106e-13</v>
      </c>
      <c r="V69" s="6">
        <v>6.5020704405276e-13</v>
      </c>
      <c r="W69" s="6">
        <v>6.5020708741382e-13</v>
      </c>
      <c r="X69" s="6">
        <v>6.5020706339469e-13</v>
      </c>
      <c r="Y69" s="6">
        <v>6.6911719853118e-13</v>
      </c>
      <c r="Z69" s="6">
        <v>6.6911725910565e-13</v>
      </c>
      <c r="AA69" s="6">
        <v>6.6911732293853e-13</v>
      </c>
      <c r="AB69" s="4">
        <v>0.99999745933515</v>
      </c>
      <c r="AC69" s="4">
        <v>0.99999069841568</v>
      </c>
      <c r="AD69" s="4">
        <v>0.00055887856546075</v>
      </c>
      <c r="AE69" s="6">
        <v>-7.3458958965612e-19</v>
      </c>
      <c r="AF69" s="6">
        <v>5.7262544512261e-19</v>
      </c>
      <c r="AG69" s="6">
        <v>1.258546689705e-18</v>
      </c>
      <c r="AH69" s="6">
        <v>1.5502905435594e-18</v>
      </c>
      <c r="AI69" s="6">
        <v>-4.5816185355947e-19</v>
      </c>
      <c r="AJ69" s="6">
        <v>3.1619706759606e-20</v>
      </c>
      <c r="AK69" s="6">
        <v>-1.5157315531733e-19</v>
      </c>
      <c r="AL69" s="6">
        <v>4.0264129941914e-19</v>
      </c>
      <c r="AM69" s="6">
        <v>6.8125836778178e-18</v>
      </c>
      <c r="AN69" s="6">
        <v>-2.0303765284056e-19</v>
      </c>
      <c r="AO69" s="6">
        <v>-3.0725405198641e-19</v>
      </c>
      <c r="AP69" s="6">
        <v>1.0586930856801e-19</v>
      </c>
      <c r="AQ69" s="6">
        <v>1.8775511112095e-19</v>
      </c>
      <c r="AR69" s="6">
        <v>-2.622795962533e-18</v>
      </c>
      <c r="AS69" s="6">
        <v>3.768768617889e-19</v>
      </c>
      <c r="AT69" s="6">
        <v>-2.7625362835174e-19</v>
      </c>
      <c r="AU69" s="6">
        <v>3.9307421885995e-19</v>
      </c>
      <c r="AV69" s="6">
        <v>-1.1235084176562e-18</v>
      </c>
      <c r="AW69" s="6">
        <v>2.3780350286141e-19</v>
      </c>
      <c r="AX69" s="6">
        <v>-2.5423391984891e-18</v>
      </c>
      <c r="AY69" s="6">
        <v>-1.1170207030133e-18</v>
      </c>
      <c r="AZ69" s="6">
        <v>-1.434016223568e-19</v>
      </c>
      <c r="BA69" s="6">
        <v>5.6935618416882e-19</v>
      </c>
      <c r="BB69" s="6">
        <v>-4.5053684717675e-18</v>
      </c>
      <c r="BC69" s="4">
        <v>15824559.939727</v>
      </c>
      <c r="BD69" s="4">
        <v>3946603.9090308</v>
      </c>
      <c r="BE69" s="6">
        <v>-4.7088520991343e-5</v>
      </c>
      <c r="BF69" s="4">
        <v>0.00061369278813876</v>
      </c>
      <c r="BG69" s="4">
        <v>0.00028341081241253</v>
      </c>
      <c r="BH69" s="6">
        <v>-7.1073777311808e-5</v>
      </c>
      <c r="BI69" s="4">
        <v>60.044886747564</v>
      </c>
      <c r="BJ69" s="4">
        <v>30.023970472672</v>
      </c>
      <c r="BK69" s="4">
        <v>52.690870055505</v>
      </c>
      <c r="BL69" s="4"/>
    </row>
    <row r="70" spans="1:64">
      <c r="A70" s="4">
        <v>44562546.906689</v>
      </c>
      <c r="B70" s="4">
        <v>0.0003826457282685</v>
      </c>
      <c r="C70" s="6">
        <f t="shared" si="1"/>
        <v>8.66823146751599e-12</v>
      </c>
      <c r="D70" s="6">
        <v>6.2726519007412e-13</v>
      </c>
      <c r="E70" s="6">
        <v>7.2112135530647e-13</v>
      </c>
      <c r="F70" s="6">
        <v>7.2112135767872e-13</v>
      </c>
      <c r="G70" s="6">
        <v>7.2112136338098e-13</v>
      </c>
      <c r="H70" s="6">
        <v>6.2726516860218e-13</v>
      </c>
      <c r="I70" s="6">
        <v>6.27265172885e-13</v>
      </c>
      <c r="J70" s="6">
        <v>6.2726517390441e-13</v>
      </c>
      <c r="K70" s="6">
        <v>6.4817815071849e-13</v>
      </c>
      <c r="L70" s="6">
        <v>6.4817819236466e-13</v>
      </c>
      <c r="M70" s="6">
        <v>6.4817813449633e-13</v>
      </c>
      <c r="N70" s="6">
        <v>6.6643808127034e-13</v>
      </c>
      <c r="O70" s="6">
        <v>6.2726516789627e-13</v>
      </c>
      <c r="P70" s="6">
        <v>6.6643805851361e-13</v>
      </c>
      <c r="Q70" s="6">
        <v>6.6643815126884e-13</v>
      </c>
      <c r="R70" s="6">
        <v>7.2112134847716e-13</v>
      </c>
      <c r="S70" s="6">
        <v>7.2112134517933e-13</v>
      </c>
      <c r="T70" s="6">
        <v>7.2112135475756e-13</v>
      </c>
      <c r="U70" s="6">
        <v>6.2726517480185e-13</v>
      </c>
      <c r="V70" s="6">
        <v>6.48178140156e-13</v>
      </c>
      <c r="W70" s="6">
        <v>6.4817819311492e-13</v>
      </c>
      <c r="X70" s="6">
        <v>6.4817816448801e-13</v>
      </c>
      <c r="Y70" s="6">
        <v>6.6643805287365e-13</v>
      </c>
      <c r="Z70" s="6">
        <v>6.6643812153253e-13</v>
      </c>
      <c r="AA70" s="6">
        <v>6.6643819970612e-13</v>
      </c>
      <c r="AB70" s="4">
        <v>0.99999729159855</v>
      </c>
      <c r="AC70" s="4">
        <v>0.99998997880004</v>
      </c>
      <c r="AD70" s="4">
        <v>0.00059767333739041</v>
      </c>
      <c r="AE70" s="6">
        <v>-6.2681718162266e-19</v>
      </c>
      <c r="AF70" s="6">
        <v>5.0714290421104e-19</v>
      </c>
      <c r="AG70" s="6">
        <v>1.2382725928627e-18</v>
      </c>
      <c r="AH70" s="6">
        <v>1.7462852570964e-18</v>
      </c>
      <c r="AI70" s="6">
        <v>-5.4537878433171e-19</v>
      </c>
      <c r="AJ70" s="6">
        <v>-1.448704176494e-19</v>
      </c>
      <c r="AK70" s="6">
        <v>-2.3269798044722e-19</v>
      </c>
      <c r="AL70" s="6">
        <v>3.0022064929143e-19</v>
      </c>
      <c r="AM70" s="6">
        <v>7.8164039157945e-18</v>
      </c>
      <c r="AN70" s="6">
        <v>-2.4254969309949e-19</v>
      </c>
      <c r="AO70" s="6">
        <v>-6.4762652253398e-19</v>
      </c>
      <c r="AP70" s="6">
        <v>1.046852546517e-19</v>
      </c>
      <c r="AQ70" s="6">
        <v>8.7613508689526e-20</v>
      </c>
      <c r="AR70" s="6">
        <v>-2.7109544463476e-18</v>
      </c>
      <c r="AS70" s="6">
        <v>4.2222186427861e-19</v>
      </c>
      <c r="AT70" s="6">
        <v>-3.4843207631884e-19</v>
      </c>
      <c r="AU70" s="6">
        <v>5.2334967743294e-19</v>
      </c>
      <c r="AV70" s="6">
        <v>-1.2177036609632e-18</v>
      </c>
      <c r="AW70" s="6">
        <v>2.3833468021343e-19</v>
      </c>
      <c r="AX70" s="6">
        <v>-3.2757183317837e-18</v>
      </c>
      <c r="AY70" s="6">
        <v>-1.3579901330652e-18</v>
      </c>
      <c r="AZ70" s="6">
        <v>-4.2271671854256e-20</v>
      </c>
      <c r="BA70" s="6">
        <v>2.3007824100631e-19</v>
      </c>
      <c r="BB70" s="6">
        <v>-4.3854143737279e-18</v>
      </c>
      <c r="BC70" s="4">
        <v>15803573.172321</v>
      </c>
      <c r="BD70" s="4">
        <v>3940265.440736</v>
      </c>
      <c r="BE70" s="6">
        <v>-3.7095047576112e-5</v>
      </c>
      <c r="BF70" s="4">
        <v>0.00065570020951929</v>
      </c>
      <c r="BG70" s="4">
        <v>0.00030894436059547</v>
      </c>
      <c r="BH70" s="6">
        <v>-6.4462901451862e-5</v>
      </c>
      <c r="BI70" s="4">
        <v>60.044978612954</v>
      </c>
      <c r="BJ70" s="4">
        <v>30.023955337446</v>
      </c>
      <c r="BK70" s="4">
        <v>52.547405818976</v>
      </c>
      <c r="BL70" s="4"/>
    </row>
    <row r="71" spans="1:64">
      <c r="A71" s="4">
        <v>50000000</v>
      </c>
      <c r="B71" s="4">
        <v>0.00042796981631782</v>
      </c>
      <c r="C71" s="6">
        <f t="shared" si="1"/>
        <v>8.58811477822144e-12</v>
      </c>
      <c r="D71" s="6">
        <v>6.2623864978402e-13</v>
      </c>
      <c r="E71" s="6">
        <v>7.1697167147402e-13</v>
      </c>
      <c r="F71" s="6">
        <v>7.1697167452921e-13</v>
      </c>
      <c r="G71" s="6">
        <v>7.169716831712e-13</v>
      </c>
      <c r="H71" s="6">
        <v>6.2623862704273e-13</v>
      </c>
      <c r="I71" s="6">
        <v>6.2623863121953e-13</v>
      </c>
      <c r="J71" s="6">
        <v>6.2623863296421e-13</v>
      </c>
      <c r="K71" s="6">
        <v>6.4590847288408e-13</v>
      </c>
      <c r="L71" s="6">
        <v>6.4590852463771e-13</v>
      </c>
      <c r="M71" s="6">
        <v>6.45908453876e-13</v>
      </c>
      <c r="N71" s="6">
        <v>6.6350273060072e-13</v>
      </c>
      <c r="O71" s="6">
        <v>6.2623862596874e-13</v>
      </c>
      <c r="P71" s="6">
        <v>6.6350270148567e-13</v>
      </c>
      <c r="Q71" s="6">
        <v>6.635028069503e-13</v>
      </c>
      <c r="R71" s="6">
        <v>7.1697166465845e-13</v>
      </c>
      <c r="S71" s="6">
        <v>7.1697166146957e-13</v>
      </c>
      <c r="T71" s="6">
        <v>7.1697167248423e-13</v>
      </c>
      <c r="U71" s="6">
        <v>6.2623863456917e-13</v>
      </c>
      <c r="V71" s="6">
        <v>6.4590845955101e-13</v>
      </c>
      <c r="W71" s="6">
        <v>6.4590852450988e-13</v>
      </c>
      <c r="X71" s="6">
        <v>6.4590849003964e-13</v>
      </c>
      <c r="Y71" s="6">
        <v>6.6350269419128e-13</v>
      </c>
      <c r="Z71" s="6">
        <v>6.635027722007e-13</v>
      </c>
      <c r="AA71" s="6">
        <v>6.6350286780631e-13</v>
      </c>
      <c r="AB71" s="4">
        <v>0.99999708503961</v>
      </c>
      <c r="AC71" s="4">
        <v>0.99998907336733</v>
      </c>
      <c r="AD71" s="4">
        <v>0.00064114555891955</v>
      </c>
      <c r="AE71" s="6">
        <v>-4.8567554532051e-19</v>
      </c>
      <c r="AF71" s="6">
        <v>4.7530537142748e-19</v>
      </c>
      <c r="AG71" s="6">
        <v>1.2425038245751e-18</v>
      </c>
      <c r="AH71" s="6">
        <v>1.980517604819e-18</v>
      </c>
      <c r="AI71" s="6">
        <v>-6.6118828036648e-19</v>
      </c>
      <c r="AJ71" s="6">
        <v>-3.7713772478844e-19</v>
      </c>
      <c r="AK71" s="6">
        <v>-3.4669484007097e-19</v>
      </c>
      <c r="AL71" s="6">
        <v>1.5856852100345e-19</v>
      </c>
      <c r="AM71" s="6">
        <v>9.0174581637046e-18</v>
      </c>
      <c r="AN71" s="6">
        <v>-2.9435707145449e-19</v>
      </c>
      <c r="AO71" s="6">
        <v>-1.1116605538255e-18</v>
      </c>
      <c r="AP71" s="6">
        <v>1.0174469850587e-19</v>
      </c>
      <c r="AQ71" s="6">
        <v>-4.2998426854379e-20</v>
      </c>
      <c r="AR71" s="6">
        <v>-2.9070809390557e-18</v>
      </c>
      <c r="AS71" s="6">
        <v>4.6720908763978e-19</v>
      </c>
      <c r="AT71" s="6">
        <v>-4.3585837557897e-19</v>
      </c>
      <c r="AU71" s="6">
        <v>6.6629613224441e-19</v>
      </c>
      <c r="AV71" s="6">
        <v>-1.3286133097737e-18</v>
      </c>
      <c r="AW71" s="6">
        <v>2.1951658959492e-19</v>
      </c>
      <c r="AX71" s="6">
        <v>-4.1157583474954e-18</v>
      </c>
      <c r="AY71" s="6">
        <v>-1.6208417820294e-18</v>
      </c>
      <c r="AZ71" s="6">
        <v>7.1169352353816e-20</v>
      </c>
      <c r="BA71" s="6">
        <v>-1.8656266631636e-19</v>
      </c>
      <c r="BB71" s="6">
        <v>-4.393755554108e-18</v>
      </c>
      <c r="BC71" s="4">
        <v>15780131.412308</v>
      </c>
      <c r="BD71" s="4">
        <v>3933195.8165713</v>
      </c>
      <c r="BE71" s="6">
        <v>-2.5699838009524e-5</v>
      </c>
      <c r="BF71" s="4">
        <v>0.00070239768078584</v>
      </c>
      <c r="BG71" s="4">
        <v>0.00033752289889977</v>
      </c>
      <c r="BH71" s="6">
        <v>-5.9415827625975e-5</v>
      </c>
      <c r="BI71" s="4">
        <v>60.045083306913</v>
      </c>
      <c r="BJ71" s="4">
        <v>30.023930400034</v>
      </c>
      <c r="BK71" s="4">
        <v>52.414516850877</v>
      </c>
      <c r="BL71" s="4"/>
    </row>
    <row r="75" spans="1:2">
      <c r="A75" s="1">
        <f>A71-A36</f>
        <v>49110860.2949805</v>
      </c>
      <c r="B75" s="1">
        <f>B71-B36</f>
        <v>0.000420097238896332</v>
      </c>
    </row>
    <row r="76" spans="2:2">
      <c r="B76">
        <f>B75/A75</f>
        <v>8.55405986319626e-12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M76"/>
  <sheetViews>
    <sheetView topLeftCell="A46" workbookViewId="0">
      <selection activeCell="A75" sqref="A75:B76"/>
    </sheetView>
  </sheetViews>
  <sheetFormatPr defaultColWidth="8.81481481481481" defaultRowHeight="15"/>
  <cols>
    <col min="1" max="1" width="11.362962962963"/>
    <col min="2" max="4" width="12.4518518518519"/>
  </cols>
  <sheetData>
    <row r="1" spans="1:65">
      <c r="A1" s="3" t="s">
        <v>4</v>
      </c>
      <c r="B1" s="3" t="s">
        <v>5</v>
      </c>
      <c r="C1" s="4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19</v>
      </c>
      <c r="Q1" s="3" t="s">
        <v>20</v>
      </c>
      <c r="R1" s="3" t="s">
        <v>21</v>
      </c>
      <c r="S1" s="3" t="s">
        <v>22</v>
      </c>
      <c r="T1" s="3" t="s">
        <v>23</v>
      </c>
      <c r="U1" s="3" t="s">
        <v>24</v>
      </c>
      <c r="V1" s="3" t="s">
        <v>25</v>
      </c>
      <c r="W1" s="3" t="s">
        <v>26</v>
      </c>
      <c r="X1" s="3" t="s">
        <v>27</v>
      </c>
      <c r="Y1" s="3" t="s">
        <v>28</v>
      </c>
      <c r="Z1" s="3" t="s">
        <v>29</v>
      </c>
      <c r="AA1" s="3" t="s">
        <v>30</v>
      </c>
      <c r="AB1" s="3" t="s">
        <v>31</v>
      </c>
      <c r="AC1" s="3" t="s">
        <v>32</v>
      </c>
      <c r="AD1" s="3" t="s">
        <v>33</v>
      </c>
      <c r="AE1" s="3" t="s">
        <v>34</v>
      </c>
      <c r="AF1" s="3" t="s">
        <v>35</v>
      </c>
      <c r="AG1" s="3" t="s">
        <v>36</v>
      </c>
      <c r="AH1" s="3" t="s">
        <v>37</v>
      </c>
      <c r="AI1" s="3" t="s">
        <v>38</v>
      </c>
      <c r="AJ1" s="3" t="s">
        <v>39</v>
      </c>
      <c r="AK1" s="3" t="s">
        <v>40</v>
      </c>
      <c r="AL1" s="3" t="s">
        <v>41</v>
      </c>
      <c r="AM1" s="3" t="s">
        <v>42</v>
      </c>
      <c r="AN1" s="3" t="s">
        <v>43</v>
      </c>
      <c r="AO1" s="3" t="s">
        <v>44</v>
      </c>
      <c r="AP1" s="3" t="s">
        <v>45</v>
      </c>
      <c r="AQ1" s="3" t="s">
        <v>46</v>
      </c>
      <c r="AR1" s="3" t="s">
        <v>47</v>
      </c>
      <c r="AS1" s="3" t="s">
        <v>48</v>
      </c>
      <c r="AT1" s="3" t="s">
        <v>49</v>
      </c>
      <c r="AU1" s="3" t="s">
        <v>50</v>
      </c>
      <c r="AV1" s="3" t="s">
        <v>51</v>
      </c>
      <c r="AW1" s="3" t="s">
        <v>52</v>
      </c>
      <c r="AX1" s="3" t="s">
        <v>53</v>
      </c>
      <c r="AY1" s="3" t="s">
        <v>54</v>
      </c>
      <c r="AZ1" s="3" t="s">
        <v>55</v>
      </c>
      <c r="BA1" s="3" t="s">
        <v>56</v>
      </c>
      <c r="BB1" s="3" t="s">
        <v>57</v>
      </c>
      <c r="BC1" s="3" t="s">
        <v>58</v>
      </c>
      <c r="BD1" s="3" t="s">
        <v>59</v>
      </c>
      <c r="BE1" s="3" t="s">
        <v>60</v>
      </c>
      <c r="BF1" s="3" t="s">
        <v>61</v>
      </c>
      <c r="BG1" s="3" t="s">
        <v>62</v>
      </c>
      <c r="BH1" s="3" t="s">
        <v>63</v>
      </c>
      <c r="BI1" s="3" t="s">
        <v>64</v>
      </c>
      <c r="BJ1" s="3" t="s">
        <v>65</v>
      </c>
      <c r="BK1" s="3" t="s">
        <v>66</v>
      </c>
      <c r="BL1" s="4"/>
      <c r="BM1" s="7"/>
    </row>
    <row r="2" spans="1:65">
      <c r="A2" s="3">
        <v>0</v>
      </c>
      <c r="B2" s="3">
        <v>0</v>
      </c>
      <c r="C2" s="4"/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>
        <v>0</v>
      </c>
      <c r="AZ2" s="3">
        <v>0</v>
      </c>
      <c r="BA2" s="3">
        <v>0</v>
      </c>
      <c r="BB2" s="3">
        <v>0</v>
      </c>
      <c r="BC2" s="3">
        <v>0</v>
      </c>
      <c r="BD2" s="3">
        <v>0</v>
      </c>
      <c r="BE2" s="3">
        <v>0</v>
      </c>
      <c r="BF2" s="3">
        <v>0</v>
      </c>
      <c r="BG2" s="3">
        <v>0</v>
      </c>
      <c r="BH2" s="3">
        <v>0</v>
      </c>
      <c r="BI2" s="3">
        <v>0</v>
      </c>
      <c r="BJ2" s="3">
        <v>0</v>
      </c>
      <c r="BK2" s="3">
        <v>0</v>
      </c>
      <c r="BL2" s="4"/>
      <c r="BM2" s="7"/>
    </row>
    <row r="3" spans="1:65">
      <c r="A3" s="3">
        <v>0.39716411736214</v>
      </c>
      <c r="B3" s="5">
        <v>6.4457756385166e-15</v>
      </c>
      <c r="C3" s="6">
        <f t="shared" ref="C3:C66" si="0">(BF3-BF2)/(A3-A2)</f>
        <v>2.81602493530981e-6</v>
      </c>
      <c r="D3" s="5">
        <v>2.1502795404522e-15</v>
      </c>
      <c r="E3" s="5">
        <v>2.6005259112099e-15</v>
      </c>
      <c r="F3" s="5">
        <v>2.6005259112099e-15</v>
      </c>
      <c r="G3" s="5">
        <v>2.6005259112099e-15</v>
      </c>
      <c r="H3" s="5">
        <v>2.1502795404522e-15</v>
      </c>
      <c r="I3" s="5">
        <v>2.1502795404522e-15</v>
      </c>
      <c r="J3" s="5">
        <v>2.1502795404522e-15</v>
      </c>
      <c r="K3" s="5">
        <v>2.2795953857634e-15</v>
      </c>
      <c r="L3" s="5">
        <v>2.2795953857634e-15</v>
      </c>
      <c r="M3" s="5">
        <v>2.2795953857634e-15</v>
      </c>
      <c r="N3" s="5">
        <v>2.3754626088817e-15</v>
      </c>
      <c r="O3" s="5">
        <v>2.1502795404522e-15</v>
      </c>
      <c r="P3" s="5">
        <v>2.3754626088817e-15</v>
      </c>
      <c r="Q3" s="5">
        <v>2.3754626088817e-15</v>
      </c>
      <c r="R3" s="5">
        <v>2.6005259112099e-15</v>
      </c>
      <c r="S3" s="5">
        <v>2.6005259112099e-15</v>
      </c>
      <c r="T3" s="5">
        <v>2.6005259112099e-15</v>
      </c>
      <c r="U3" s="5">
        <v>2.1502795404522e-15</v>
      </c>
      <c r="V3" s="5">
        <v>2.2795953857634e-15</v>
      </c>
      <c r="W3" s="5">
        <v>2.2795953857634e-15</v>
      </c>
      <c r="X3" s="5">
        <v>2.2795953857634e-15</v>
      </c>
      <c r="Y3" s="5">
        <v>2.3754626088817e-15</v>
      </c>
      <c r="Z3" s="5">
        <v>2.3754626088817e-15</v>
      </c>
      <c r="AA3" s="5">
        <v>2.3754626088817e-15</v>
      </c>
      <c r="AB3" s="3">
        <v>0.99999999999968</v>
      </c>
      <c r="AC3" s="3">
        <v>0.99999999999958</v>
      </c>
      <c r="AD3" s="5">
        <v>1.0922817181954e-6</v>
      </c>
      <c r="AE3" s="5">
        <v>2.4153968336641e-28</v>
      </c>
      <c r="AF3" s="5">
        <v>-2.8436273110126e-28</v>
      </c>
      <c r="AG3" s="5">
        <v>2.1678489887036e-28</v>
      </c>
      <c r="AH3" s="5">
        <v>-3.2724028313081e-28</v>
      </c>
      <c r="AI3" s="5">
        <v>-7.1438276953379e-29</v>
      </c>
      <c r="AJ3" s="5">
        <v>-2.2396415264037e-28</v>
      </c>
      <c r="AK3" s="5">
        <v>1.1334949790002e-28</v>
      </c>
      <c r="AL3" s="5">
        <v>1.6922381968778e-28</v>
      </c>
      <c r="AM3" s="5">
        <v>1.4399046901473e-28</v>
      </c>
      <c r="AN3" s="5">
        <v>-2.77608020529e-28</v>
      </c>
      <c r="AO3" s="5">
        <v>9.9792766189869e-29</v>
      </c>
      <c r="AP3" s="5">
        <v>-1.5211680216495e-28</v>
      </c>
      <c r="AQ3" s="5">
        <v>4.3321171794469e-28</v>
      </c>
      <c r="AR3" s="5">
        <v>-4.820812597756e-28</v>
      </c>
      <c r="AS3" s="5">
        <v>2.6851001458257e-28</v>
      </c>
      <c r="AT3" s="5">
        <v>1.8334963169952e-29</v>
      </c>
      <c r="AU3" s="5">
        <v>-2.6761154807569e-28</v>
      </c>
      <c r="AV3" s="5">
        <v>-1.3640707866515e-28</v>
      </c>
      <c r="AW3" s="5">
        <v>1.5856888069249e-28</v>
      </c>
      <c r="AX3" s="5">
        <v>1.5299185733768e-29</v>
      </c>
      <c r="AY3" s="5">
        <v>-1.6026475549332e-28</v>
      </c>
      <c r="AZ3" s="5">
        <v>2.4195578123943e-28</v>
      </c>
      <c r="BA3" s="5">
        <v>3.6182549265242e-28</v>
      </c>
      <c r="BB3" s="5">
        <v>-5.0818739325205e-28</v>
      </c>
      <c r="BC3" s="3">
        <v>15999999.999989</v>
      </c>
      <c r="BD3" s="3">
        <v>3999999.999999</v>
      </c>
      <c r="BE3" s="5">
        <v>-5.3283587548061e-7</v>
      </c>
      <c r="BF3" s="5">
        <v>1.1184240579021e-6</v>
      </c>
      <c r="BG3" s="5">
        <v>3.1725947051445e-7</v>
      </c>
      <c r="BH3" s="5">
        <v>-3.5895552817619e-9</v>
      </c>
      <c r="BI3" s="3">
        <v>0.26599902793147</v>
      </c>
      <c r="BJ3" s="3">
        <v>0.13299954423109</v>
      </c>
      <c r="BK3" s="3">
        <v>0.24482978736276</v>
      </c>
      <c r="BL3" s="4"/>
      <c r="BM3" s="7"/>
    </row>
    <row r="4" spans="1:65">
      <c r="A4" s="3">
        <v>3.9716411736214</v>
      </c>
      <c r="B4" s="5">
        <v>6.663133178544e-13</v>
      </c>
      <c r="C4" s="6">
        <f t="shared" si="0"/>
        <v>2.81582668036627e-6</v>
      </c>
      <c r="D4" s="5">
        <v>2.1523725085112e-14</v>
      </c>
      <c r="E4" s="5">
        <v>2.6033522695134e-14</v>
      </c>
      <c r="F4" s="5">
        <v>2.6033522695134e-14</v>
      </c>
      <c r="G4" s="5">
        <v>2.6033522695134e-14</v>
      </c>
      <c r="H4" s="5">
        <v>2.1523725085112e-14</v>
      </c>
      <c r="I4" s="5">
        <v>2.1523725085112e-14</v>
      </c>
      <c r="J4" s="5">
        <v>2.1523725085112e-14</v>
      </c>
      <c r="K4" s="5">
        <v>2.2816749253283e-14</v>
      </c>
      <c r="L4" s="5">
        <v>2.2816749253283e-14</v>
      </c>
      <c r="M4" s="5">
        <v>2.2816749253283e-14</v>
      </c>
      <c r="N4" s="5">
        <v>2.3778834529508e-14</v>
      </c>
      <c r="O4" s="5">
        <v>2.1523725085112e-14</v>
      </c>
      <c r="P4" s="5">
        <v>2.3778834529508e-14</v>
      </c>
      <c r="Q4" s="5">
        <v>2.3778834529508e-14</v>
      </c>
      <c r="R4" s="5">
        <v>2.6033522695134e-14</v>
      </c>
      <c r="S4" s="5">
        <v>2.6033522695134e-14</v>
      </c>
      <c r="T4" s="5">
        <v>2.6033522695134e-14</v>
      </c>
      <c r="U4" s="5">
        <v>2.1523725085112e-14</v>
      </c>
      <c r="V4" s="5">
        <v>2.2816749253283e-14</v>
      </c>
      <c r="W4" s="5">
        <v>2.2816749253283e-14</v>
      </c>
      <c r="X4" s="5">
        <v>2.2816749253283e-14</v>
      </c>
      <c r="Y4" s="5">
        <v>2.3778834529508e-14</v>
      </c>
      <c r="Z4" s="5">
        <v>2.3778834529508e-14</v>
      </c>
      <c r="AA4" s="5">
        <v>2.3778834529508e-14</v>
      </c>
      <c r="AB4" s="3">
        <v>0.99999999999961</v>
      </c>
      <c r="AC4" s="3">
        <v>0.99999999999933</v>
      </c>
      <c r="AD4" s="5">
        <v>1.0922325156529e-5</v>
      </c>
      <c r="AE4" s="5">
        <v>2.0555037364017e-27</v>
      </c>
      <c r="AF4" s="5">
        <v>2.6639915444805e-27</v>
      </c>
      <c r="AG4" s="5">
        <v>7.4477306801719e-27</v>
      </c>
      <c r="AH4" s="5">
        <v>-1.1119325801684e-27</v>
      </c>
      <c r="AI4" s="5">
        <v>4.154677582111e-28</v>
      </c>
      <c r="AJ4" s="5">
        <v>-8.1544174198905e-28</v>
      </c>
      <c r="AK4" s="5">
        <v>3.1198312791723e-27</v>
      </c>
      <c r="AL4" s="5">
        <v>2.6865040274706e-27</v>
      </c>
      <c r="AM4" s="5">
        <v>-5.2172552856368e-28</v>
      </c>
      <c r="AN4" s="5">
        <v>-1.9612868530176e-27</v>
      </c>
      <c r="AO4" s="5">
        <v>3.4800540252611e-27</v>
      </c>
      <c r="AP4" s="5">
        <v>-9.5858005156038e-28</v>
      </c>
      <c r="AQ4" s="5">
        <v>5.1464513790252e-27</v>
      </c>
      <c r="AR4" s="5">
        <v>-9.6118040302228e-27</v>
      </c>
      <c r="AS4" s="5">
        <v>2.3172843374355e-27</v>
      </c>
      <c r="AT4" s="5">
        <v>1.747747291968e-27</v>
      </c>
      <c r="AU4" s="5">
        <v>-5.328740848375e-27</v>
      </c>
      <c r="AV4" s="5">
        <v>-1.8197882774573e-27</v>
      </c>
      <c r="AW4" s="5">
        <v>1.6188951060511e-27</v>
      </c>
      <c r="AX4" s="5">
        <v>2.6830437721121e-27</v>
      </c>
      <c r="AY4" s="5">
        <v>-1.8192464380889e-27</v>
      </c>
      <c r="AZ4" s="5">
        <v>-1.2196429856663e-27</v>
      </c>
      <c r="BA4" s="5">
        <v>5.3969297662069e-27</v>
      </c>
      <c r="BB4" s="5">
        <v>-1.0742795135138e-26</v>
      </c>
      <c r="BC4" s="3">
        <v>15999999.999275</v>
      </c>
      <c r="BD4" s="3">
        <v>3999999.9998958</v>
      </c>
      <c r="BE4" s="5">
        <v>-5.3282995940549e-6</v>
      </c>
      <c r="BF4" s="5">
        <v>1.1183531921274e-5</v>
      </c>
      <c r="BG4" s="5">
        <v>3.1726435611411e-6</v>
      </c>
      <c r="BH4" s="5">
        <v>-3.5889972870765e-7</v>
      </c>
      <c r="BI4" s="3">
        <v>2.6599871736446</v>
      </c>
      <c r="BJ4" s="3">
        <v>1.3299966132474</v>
      </c>
      <c r="BK4" s="3">
        <v>2.448284890291</v>
      </c>
      <c r="BL4" s="4"/>
      <c r="BM4" s="7"/>
    </row>
    <row r="5" spans="1:65">
      <c r="A5" s="3">
        <v>39.716411736214</v>
      </c>
      <c r="B5" s="5">
        <v>6.7215435975001e-11</v>
      </c>
      <c r="C5" s="6">
        <f t="shared" si="0"/>
        <v>2.81386592012051e-6</v>
      </c>
      <c r="D5" s="5">
        <v>2.1744184276863e-13</v>
      </c>
      <c r="E5" s="5">
        <v>2.6328286263614e-13</v>
      </c>
      <c r="F5" s="5">
        <v>2.6328286263614e-13</v>
      </c>
      <c r="G5" s="5">
        <v>2.6328286263614e-13</v>
      </c>
      <c r="H5" s="5">
        <v>2.1744184276863e-13</v>
      </c>
      <c r="I5" s="5">
        <v>2.1744184276863e-13</v>
      </c>
      <c r="J5" s="5">
        <v>2.1744184276863e-13</v>
      </c>
      <c r="K5" s="5">
        <v>2.3034059386974e-13</v>
      </c>
      <c r="L5" s="5">
        <v>2.3034059386974e-13</v>
      </c>
      <c r="M5" s="5">
        <v>2.3034059386974e-13</v>
      </c>
      <c r="N5" s="5">
        <v>2.4032243341326e-13</v>
      </c>
      <c r="O5" s="5">
        <v>2.1744184276863e-13</v>
      </c>
      <c r="P5" s="5">
        <v>2.4032243341326e-13</v>
      </c>
      <c r="Q5" s="5">
        <v>2.4032243341326e-13</v>
      </c>
      <c r="R5" s="5">
        <v>2.6328286263614e-13</v>
      </c>
      <c r="S5" s="5">
        <v>2.6328286263614e-13</v>
      </c>
      <c r="T5" s="5">
        <v>2.6328286263614e-13</v>
      </c>
      <c r="U5" s="5">
        <v>2.1744184276863e-13</v>
      </c>
      <c r="V5" s="5">
        <v>2.3034059386974e-13</v>
      </c>
      <c r="W5" s="5">
        <v>2.3034059386974e-13</v>
      </c>
      <c r="X5" s="5">
        <v>2.3034059386974e-13</v>
      </c>
      <c r="Y5" s="5">
        <v>2.4032243341326e-13</v>
      </c>
      <c r="Z5" s="5">
        <v>2.4032243341326e-13</v>
      </c>
      <c r="AA5" s="5">
        <v>2.4032243341326e-13</v>
      </c>
      <c r="AB5" s="3">
        <v>0.99999999963458</v>
      </c>
      <c r="AC5" s="3">
        <v>0.99999999890127</v>
      </c>
      <c r="AD5" s="3">
        <v>0.00010917409632799</v>
      </c>
      <c r="AE5" s="5">
        <v>-2.0980911471851e-23</v>
      </c>
      <c r="AF5" s="5">
        <v>1.767331176444e-22</v>
      </c>
      <c r="AG5" s="5">
        <v>1.7076264787925e-22</v>
      </c>
      <c r="AH5" s="5">
        <v>3.2612698100421e-23</v>
      </c>
      <c r="AI5" s="5">
        <v>-1.7449402238449e-24</v>
      </c>
      <c r="AJ5" s="5">
        <v>4.3175323882467e-23</v>
      </c>
      <c r="AK5" s="5">
        <v>2.787987784771e-23</v>
      </c>
      <c r="AL5" s="5">
        <v>6.2412812777387e-23</v>
      </c>
      <c r="AM5" s="5">
        <v>-2.2674478790293e-23</v>
      </c>
      <c r="AN5" s="5">
        <v>9.104934890722e-25</v>
      </c>
      <c r="AO5" s="5">
        <v>7.2909602317544e-23</v>
      </c>
      <c r="AP5" s="5">
        <v>-4.1668168101886e-24</v>
      </c>
      <c r="AQ5" s="5">
        <v>4.823783382439e-23</v>
      </c>
      <c r="AR5" s="5">
        <v>-2.1368044549032e-22</v>
      </c>
      <c r="AS5" s="5">
        <v>-1.6861241745321e-23</v>
      </c>
      <c r="AT5" s="5">
        <v>3.2632696124264e-23</v>
      </c>
      <c r="AU5" s="5">
        <v>-7.4084547747779e-23</v>
      </c>
      <c r="AV5" s="5">
        <v>-4.5924910104656e-23</v>
      </c>
      <c r="AW5" s="5">
        <v>-9.9732828404442e-24</v>
      </c>
      <c r="AX5" s="5">
        <v>1.4252224942487e-22</v>
      </c>
      <c r="AY5" s="5">
        <v>2.3013937530437e-23</v>
      </c>
      <c r="AZ5" s="5">
        <v>-1.1336282109458e-22</v>
      </c>
      <c r="BA5" s="5">
        <v>8.6040724139281e-23</v>
      </c>
      <c r="BB5" s="5">
        <v>-3.2165866353567e-22</v>
      </c>
      <c r="BC5" s="3">
        <v>15999999.953949</v>
      </c>
      <c r="BD5" s="3">
        <v>3999999.9895025</v>
      </c>
      <c r="BE5" s="5">
        <v>-5.3277085372914e-5</v>
      </c>
      <c r="BF5" s="3">
        <v>0.00011176452362988</v>
      </c>
      <c r="BG5" s="5">
        <v>3.1731308705709e-5</v>
      </c>
      <c r="BH5" s="5">
        <v>-3.5912648736161e-5</v>
      </c>
      <c r="BI5" s="3">
        <v>26.599561049436</v>
      </c>
      <c r="BJ5" s="3">
        <v>13.300082920387</v>
      </c>
      <c r="BK5" s="3">
        <v>24.48155178955</v>
      </c>
      <c r="BL5" s="4"/>
      <c r="BM5" s="7"/>
    </row>
    <row r="6" spans="1:65">
      <c r="A6" s="3">
        <v>397.16411736214</v>
      </c>
      <c r="B6" s="5">
        <v>4.7303860232721e-9</v>
      </c>
      <c r="C6" s="6">
        <f t="shared" si="0"/>
        <v>8.65484662976171e-7</v>
      </c>
      <c r="D6" s="5">
        <v>1.0790255358115e-12</v>
      </c>
      <c r="E6" s="5">
        <v>1.3124019531519e-12</v>
      </c>
      <c r="F6" s="5">
        <v>1.3124019531214e-12</v>
      </c>
      <c r="G6" s="5">
        <v>1.3124019530294e-12</v>
      </c>
      <c r="H6" s="5">
        <v>1.0790255356677e-12</v>
      </c>
      <c r="I6" s="5">
        <v>1.0790255357126e-12</v>
      </c>
      <c r="J6" s="5">
        <v>1.079025535685e-12</v>
      </c>
      <c r="K6" s="5">
        <v>1.1394707228318e-12</v>
      </c>
      <c r="L6" s="5">
        <v>1.1394707229279e-12</v>
      </c>
      <c r="M6" s="5">
        <v>1.1394707227982e-12</v>
      </c>
      <c r="N6" s="5">
        <v>1.1945814554528e-12</v>
      </c>
      <c r="O6" s="5">
        <v>1.0790255356701e-12</v>
      </c>
      <c r="P6" s="5">
        <v>1.1945814554018e-12</v>
      </c>
      <c r="Q6" s="5">
        <v>1.1945814557864e-12</v>
      </c>
      <c r="R6" s="5">
        <v>1.312401953033e-12</v>
      </c>
      <c r="S6" s="5">
        <v>1.3124019529909e-12</v>
      </c>
      <c r="T6" s="5">
        <v>1.3124019530278e-12</v>
      </c>
      <c r="U6" s="5">
        <v>1.079025535683e-12</v>
      </c>
      <c r="V6" s="5">
        <v>1.1394707228823e-12</v>
      </c>
      <c r="W6" s="5">
        <v>1.1394707229769e-12</v>
      </c>
      <c r="X6" s="5">
        <v>1.1394707228578e-12</v>
      </c>
      <c r="Y6" s="5">
        <v>1.1945814554384e-12</v>
      </c>
      <c r="Z6" s="5">
        <v>1.1945814557817e-12</v>
      </c>
      <c r="AA6" s="5">
        <v>1.1945814558902e-12</v>
      </c>
      <c r="AB6" s="3">
        <v>0.9993177716201</v>
      </c>
      <c r="AC6" s="3">
        <v>0.99759604103616</v>
      </c>
      <c r="AD6" s="3">
        <v>0.00041162874116607</v>
      </c>
      <c r="AE6" s="5">
        <v>-5.1117262553974e-16</v>
      </c>
      <c r="AF6" s="5">
        <v>2.7718927960389e-15</v>
      </c>
      <c r="AG6" s="5">
        <v>1.9574393800296e-15</v>
      </c>
      <c r="AH6" s="5">
        <v>1.207923468991e-16</v>
      </c>
      <c r="AI6" s="5">
        <v>-6.6358673469997e-17</v>
      </c>
      <c r="AJ6" s="5">
        <v>5.510997149351e-16</v>
      </c>
      <c r="AK6" s="5">
        <v>3.1207642791302e-17</v>
      </c>
      <c r="AL6" s="5">
        <v>4.7023572185039e-16</v>
      </c>
      <c r="AM6" s="5">
        <v>1.3301532603725e-16</v>
      </c>
      <c r="AN6" s="5">
        <v>-9.4578895047585e-17</v>
      </c>
      <c r="AO6" s="5">
        <v>6.4198899539666e-16</v>
      </c>
      <c r="AP6" s="5">
        <v>2.7921499787292e-18</v>
      </c>
      <c r="AQ6" s="5">
        <v>2.6065950397983e-16</v>
      </c>
      <c r="AR6" s="5">
        <v>-3.7084551722726e-15</v>
      </c>
      <c r="AS6" s="5">
        <v>-3.4976366836633e-16</v>
      </c>
      <c r="AT6" s="5">
        <v>1.7841118927415e-16</v>
      </c>
      <c r="AU6" s="5">
        <v>-5.8811841059318e-16</v>
      </c>
      <c r="AV6" s="5">
        <v>-4.193723861757e-16</v>
      </c>
      <c r="AW6" s="5">
        <v>-2.465390924259e-16</v>
      </c>
      <c r="AX6" s="5">
        <v>2.0252634221097e-15</v>
      </c>
      <c r="AY6" s="5">
        <v>3.9176706847175e-16</v>
      </c>
      <c r="AZ6" s="5">
        <v>-1.2578681909814e-15</v>
      </c>
      <c r="BA6" s="5">
        <v>2.4256267344618e-15</v>
      </c>
      <c r="BB6" s="5">
        <v>-7.0155362598101e-15</v>
      </c>
      <c r="BC6" s="3">
        <v>15999997.785421</v>
      </c>
      <c r="BD6" s="3">
        <v>3999999.2651345</v>
      </c>
      <c r="BE6" s="3">
        <v>-0.00020113411378695</v>
      </c>
      <c r="BF6" s="3">
        <v>0.00042113003066514</v>
      </c>
      <c r="BG6" s="3">
        <v>0.00011989967235086</v>
      </c>
      <c r="BH6" s="3">
        <v>-0.00050792347041549</v>
      </c>
      <c r="BI6" s="3">
        <v>100.4570060265</v>
      </c>
      <c r="BJ6" s="3">
        <v>50.232786883435</v>
      </c>
      <c r="BK6" s="3">
        <v>92.444432524755</v>
      </c>
      <c r="BL6" s="4"/>
      <c r="BM6" s="7"/>
    </row>
    <row r="7" spans="1:65">
      <c r="A7" s="3">
        <v>3971.6411736214</v>
      </c>
      <c r="B7" s="5">
        <v>5.9075528433442e-8</v>
      </c>
      <c r="C7" s="6">
        <f t="shared" si="0"/>
        <v>1.65545297448216e-11</v>
      </c>
      <c r="D7" s="5">
        <v>1.0790238752343e-12</v>
      </c>
      <c r="E7" s="5">
        <v>1.3123931265753e-12</v>
      </c>
      <c r="F7" s="5">
        <v>1.3123931260017e-12</v>
      </c>
      <c r="G7" s="5">
        <v>1.3123931242817e-12</v>
      </c>
      <c r="H7" s="5">
        <v>1.0790238725454e-12</v>
      </c>
      <c r="I7" s="5">
        <v>1.0790238733856e-12</v>
      </c>
      <c r="J7" s="5">
        <v>1.079023872869e-12</v>
      </c>
      <c r="K7" s="5">
        <v>1.1394673702536e-12</v>
      </c>
      <c r="L7" s="5">
        <v>1.1394673720528e-12</v>
      </c>
      <c r="M7" s="5">
        <v>1.139467369627e-12</v>
      </c>
      <c r="N7" s="5">
        <v>1.1945744005765e-12</v>
      </c>
      <c r="O7" s="5">
        <v>1.0790238725906e-12</v>
      </c>
      <c r="P7" s="5">
        <v>1.1945743996218e-12</v>
      </c>
      <c r="Q7" s="5">
        <v>1.1945744068207e-12</v>
      </c>
      <c r="R7" s="5">
        <v>1.3123931243479e-12</v>
      </c>
      <c r="S7" s="5">
        <v>1.3123931235623e-12</v>
      </c>
      <c r="T7" s="5">
        <v>1.3123931242499e-12</v>
      </c>
      <c r="U7" s="5">
        <v>1.0790238728313e-12</v>
      </c>
      <c r="V7" s="5">
        <v>1.1394673711997e-12</v>
      </c>
      <c r="W7" s="5">
        <v>1.13946737297e-12</v>
      </c>
      <c r="X7" s="5">
        <v>1.1394673707418e-12</v>
      </c>
      <c r="Y7" s="5">
        <v>1.1945744003091e-12</v>
      </c>
      <c r="Z7" s="5">
        <v>1.1945744067367e-12</v>
      </c>
      <c r="AA7" s="5">
        <v>1.1945744087677e-12</v>
      </c>
      <c r="AB7" s="3">
        <v>0.99931775834898</v>
      </c>
      <c r="AC7" s="3">
        <v>0.99759597744392</v>
      </c>
      <c r="AD7" s="3">
        <v>0.00041167390495215</v>
      </c>
      <c r="AE7" s="5">
        <v>-5.1124958646893e-16</v>
      </c>
      <c r="AF7" s="5">
        <v>2.7714536361566e-15</v>
      </c>
      <c r="AG7" s="5">
        <v>1.9572356231599e-15</v>
      </c>
      <c r="AH7" s="5">
        <v>1.2084673257559e-16</v>
      </c>
      <c r="AI7" s="5">
        <v>-6.6364438149852e-17</v>
      </c>
      <c r="AJ7" s="5">
        <v>5.5109150921211e-16</v>
      </c>
      <c r="AK7" s="5">
        <v>3.1208628126661e-17</v>
      </c>
      <c r="AL7" s="5">
        <v>4.7023179419053e-16</v>
      </c>
      <c r="AM7" s="5">
        <v>1.3336527131258e-16</v>
      </c>
      <c r="AN7" s="5">
        <v>-9.4576644372718e-17</v>
      </c>
      <c r="AO7" s="5">
        <v>6.4195521161462e-16</v>
      </c>
      <c r="AP7" s="5">
        <v>2.8067978427028e-18</v>
      </c>
      <c r="AQ7" s="5">
        <v>2.6067599488692e-16</v>
      </c>
      <c r="AR7" s="5">
        <v>-3.7082457261116e-15</v>
      </c>
      <c r="AS7" s="5">
        <v>-3.4967036383621e-16</v>
      </c>
      <c r="AT7" s="5">
        <v>1.7837429116202e-16</v>
      </c>
      <c r="AU7" s="5">
        <v>-5.8803428119329e-16</v>
      </c>
      <c r="AV7" s="5">
        <v>-4.1937778162912e-16</v>
      </c>
      <c r="AW7" s="5">
        <v>-2.4650136178356e-16</v>
      </c>
      <c r="AX7" s="5">
        <v>2.0250168313347e-15</v>
      </c>
      <c r="AY7" s="5">
        <v>3.9172966882359e-16</v>
      </c>
      <c r="AZ7" s="5">
        <v>-1.2576603784413e-15</v>
      </c>
      <c r="BA7" s="5">
        <v>2.4255839016657e-15</v>
      </c>
      <c r="BB7" s="5">
        <v>-7.0152935822106e-15</v>
      </c>
      <c r="BC7" s="3">
        <v>15999973.113175</v>
      </c>
      <c r="BD7" s="3">
        <v>3999990.8299623</v>
      </c>
      <c r="BE7" s="3">
        <v>-0.0002011248156224</v>
      </c>
      <c r="BF7" s="3">
        <v>0.00042118920445189</v>
      </c>
      <c r="BG7" s="3">
        <v>0.00011993251272396</v>
      </c>
      <c r="BH7" s="3">
        <v>-0.00050793085263327</v>
      </c>
      <c r="BI7" s="3">
        <v>100.45700581386</v>
      </c>
      <c r="BJ7" s="3">
        <v>50.232787014056</v>
      </c>
      <c r="BK7" s="3">
        <v>92.443754357744</v>
      </c>
      <c r="BL7" s="4"/>
      <c r="BM7" s="7"/>
    </row>
    <row r="8" spans="1:65">
      <c r="A8" s="3">
        <v>39716.411736214</v>
      </c>
      <c r="B8" s="5">
        <v>6.0250529873365e-7</v>
      </c>
      <c r="C8" s="6">
        <f t="shared" si="0"/>
        <v>1.65535372074601e-11</v>
      </c>
      <c r="D8" s="5">
        <v>1.0790072532926e-12</v>
      </c>
      <c r="E8" s="5">
        <v>1.3123048678238e-12</v>
      </c>
      <c r="F8" s="5">
        <v>1.3123048618281e-12</v>
      </c>
      <c r="G8" s="5">
        <v>1.3123048438468e-12</v>
      </c>
      <c r="H8" s="5">
        <v>1.0790072251635e-12</v>
      </c>
      <c r="I8" s="5">
        <v>1.0790072339501e-12</v>
      </c>
      <c r="J8" s="5">
        <v>1.0790072285487e-12</v>
      </c>
      <c r="K8" s="5">
        <v>1.1394338307511e-12</v>
      </c>
      <c r="L8" s="5">
        <v>1.1394338495847e-12</v>
      </c>
      <c r="M8" s="5">
        <v>1.1394338241897e-12</v>
      </c>
      <c r="N8" s="5">
        <v>1.1945038562245e-12</v>
      </c>
      <c r="O8" s="5">
        <v>1.0790072256357e-12</v>
      </c>
      <c r="P8" s="5">
        <v>1.1945038462331e-12</v>
      </c>
      <c r="Q8" s="5">
        <v>1.1945039215854e-12</v>
      </c>
      <c r="R8" s="5">
        <v>1.3123048445288e-12</v>
      </c>
      <c r="S8" s="5">
        <v>1.3123048363143e-12</v>
      </c>
      <c r="T8" s="5">
        <v>1.3123048435073e-12</v>
      </c>
      <c r="U8" s="5">
        <v>1.0790072281569e-12</v>
      </c>
      <c r="V8" s="5">
        <v>1.1394338406311e-12</v>
      </c>
      <c r="W8" s="5">
        <v>1.1394338591754e-12</v>
      </c>
      <c r="X8" s="5">
        <v>1.1394338358684e-12</v>
      </c>
      <c r="Y8" s="5">
        <v>1.1945038534161e-12</v>
      </c>
      <c r="Z8" s="5">
        <v>1.1945039206932e-12</v>
      </c>
      <c r="AA8" s="5">
        <v>1.19450394197e-12</v>
      </c>
      <c r="AB8" s="3">
        <v>0.99931762540864</v>
      </c>
      <c r="AC8" s="3">
        <v>0.99759534121794</v>
      </c>
      <c r="AD8" s="3">
        <v>0.00041212564455168</v>
      </c>
      <c r="AE8" s="5">
        <v>-5.1201914709377e-16</v>
      </c>
      <c r="AF8" s="5">
        <v>2.7670648172354e-15</v>
      </c>
      <c r="AG8" s="5">
        <v>1.9551993538042e-15</v>
      </c>
      <c r="AH8" s="5">
        <v>1.2139080966553e-16</v>
      </c>
      <c r="AI8" s="5">
        <v>-6.6422047718868e-17</v>
      </c>
      <c r="AJ8" s="5">
        <v>5.5100917033218e-16</v>
      </c>
      <c r="AK8" s="5">
        <v>3.1218342062278e-17</v>
      </c>
      <c r="AL8" s="5">
        <v>4.701928494451e-16</v>
      </c>
      <c r="AM8" s="5">
        <v>1.3686708699882e-16</v>
      </c>
      <c r="AN8" s="5">
        <v>-9.455411914211e-17</v>
      </c>
      <c r="AO8" s="5">
        <v>6.4161768632937e-16</v>
      </c>
      <c r="AP8" s="5">
        <v>2.9532048336191e-18</v>
      </c>
      <c r="AQ8" s="5">
        <v>2.6084046931303e-16</v>
      </c>
      <c r="AR8" s="5">
        <v>-3.7061474762593e-15</v>
      </c>
      <c r="AS8" s="5">
        <v>-3.4873783549182e-16</v>
      </c>
      <c r="AT8" s="5">
        <v>1.7800547874845e-16</v>
      </c>
      <c r="AU8" s="5">
        <v>-5.8719312792945e-16</v>
      </c>
      <c r="AV8" s="5">
        <v>-4.1943182319088e-16</v>
      </c>
      <c r="AW8" s="5">
        <v>-2.4612344313929e-16</v>
      </c>
      <c r="AX8" s="5">
        <v>2.0225501477091e-15</v>
      </c>
      <c r="AY8" s="5">
        <v>3.9135467992415e-16</v>
      </c>
      <c r="AZ8" s="5">
        <v>-1.2555837966869e-15</v>
      </c>
      <c r="BA8" s="5">
        <v>2.4251537043973e-15</v>
      </c>
      <c r="BB8" s="5">
        <v>-7.0128619134166e-15</v>
      </c>
      <c r="BC8" s="3">
        <v>15999726.397136</v>
      </c>
      <c r="BD8" s="3">
        <v>3999906.4818016</v>
      </c>
      <c r="BE8" s="3">
        <v>-0.00020103181355002</v>
      </c>
      <c r="BF8" s="3">
        <v>0.00042178090684137</v>
      </c>
      <c r="BG8" s="3">
        <v>0.00012026090852332</v>
      </c>
      <c r="BH8" s="3">
        <v>-0.00050763367568068</v>
      </c>
      <c r="BI8" s="3">
        <v>100.45700516482</v>
      </c>
      <c r="BJ8" s="3">
        <v>50.232788502097</v>
      </c>
      <c r="BK8" s="3">
        <v>92.436977661713</v>
      </c>
      <c r="BL8" s="4"/>
      <c r="BM8" s="7"/>
    </row>
    <row r="9" spans="1:65">
      <c r="A9" s="3">
        <v>397164.11736214</v>
      </c>
      <c r="B9" s="5">
        <v>6.0346364440758e-6</v>
      </c>
      <c r="C9" s="6">
        <f t="shared" si="0"/>
        <v>1.65416765922056e-11</v>
      </c>
      <c r="D9" s="5">
        <v>1.0788407150934e-12</v>
      </c>
      <c r="E9" s="5">
        <v>1.3114245696783e-12</v>
      </c>
      <c r="F9" s="5">
        <v>1.311424510263e-12</v>
      </c>
      <c r="G9" s="5">
        <v>1.3114243317101e-12</v>
      </c>
      <c r="H9" s="5">
        <v>1.0788404335677e-12</v>
      </c>
      <c r="I9" s="5">
        <v>1.078840521312e-12</v>
      </c>
      <c r="J9" s="5">
        <v>1.0788404675206e-12</v>
      </c>
      <c r="K9" s="5">
        <v>1.1390983389524e-12</v>
      </c>
      <c r="L9" s="5">
        <v>1.1390985285374e-12</v>
      </c>
      <c r="M9" s="5">
        <v>1.1390982726396e-12</v>
      </c>
      <c r="N9" s="5">
        <v>1.193800478169e-12</v>
      </c>
      <c r="O9" s="5">
        <v>1.0788404382796e-12</v>
      </c>
      <c r="P9" s="5">
        <v>1.1938003778304e-12</v>
      </c>
      <c r="Q9" s="5">
        <v>1.1938011357912e-12</v>
      </c>
      <c r="R9" s="5">
        <v>1.3114243374465e-12</v>
      </c>
      <c r="S9" s="5">
        <v>1.3114242556118e-12</v>
      </c>
      <c r="T9" s="5">
        <v>1.3114243276461e-12</v>
      </c>
      <c r="U9" s="5">
        <v>1.0788404637765e-12</v>
      </c>
      <c r="V9" s="5">
        <v>1.1390984360677e-12</v>
      </c>
      <c r="W9" s="5">
        <v>1.1390986240257e-12</v>
      </c>
      <c r="X9" s="5">
        <v>1.139098391165e-12</v>
      </c>
      <c r="Y9" s="5">
        <v>1.1938004489024e-12</v>
      </c>
      <c r="Z9" s="5">
        <v>1.1938011252654e-12</v>
      </c>
      <c r="AA9" s="5">
        <v>1.193801341172e-12</v>
      </c>
      <c r="AB9" s="3">
        <v>0.99931626367153</v>
      </c>
      <c r="AC9" s="3">
        <v>0.99758891404227</v>
      </c>
      <c r="AD9" s="3">
        <v>0.00041665247180214</v>
      </c>
      <c r="AE9" s="5">
        <v>-5.1971366864457e-16</v>
      </c>
      <c r="AF9" s="5">
        <v>2.7234986549537e-15</v>
      </c>
      <c r="AG9" s="5">
        <v>1.9349923050225e-15</v>
      </c>
      <c r="AH9" s="5">
        <v>1.2685314340964e-16</v>
      </c>
      <c r="AI9" s="5">
        <v>-6.6996596218647e-17</v>
      </c>
      <c r="AJ9" s="5">
        <v>5.5016080870452e-16</v>
      </c>
      <c r="AK9" s="5">
        <v>3.1298541916131e-17</v>
      </c>
      <c r="AL9" s="5">
        <v>4.698371551803e-16</v>
      </c>
      <c r="AM9" s="5">
        <v>1.7211678907246e-16</v>
      </c>
      <c r="AN9" s="5">
        <v>-9.433396357203e-17</v>
      </c>
      <c r="AO9" s="5">
        <v>6.3828160376813e-16</v>
      </c>
      <c r="AP9" s="5">
        <v>4.4106491072666e-18</v>
      </c>
      <c r="AQ9" s="5">
        <v>2.6244296681725e-16</v>
      </c>
      <c r="AR9" s="5">
        <v>-3.6849124394666e-15</v>
      </c>
      <c r="AS9" s="5">
        <v>-3.3947429228291e-16</v>
      </c>
      <c r="AT9" s="5">
        <v>1.7433514870443e-16</v>
      </c>
      <c r="AU9" s="5">
        <v>-5.7880607268868e-16</v>
      </c>
      <c r="AV9" s="5">
        <v>-4.1998571106843e-16</v>
      </c>
      <c r="AW9" s="5">
        <v>-2.4229098280746e-16</v>
      </c>
      <c r="AX9" s="5">
        <v>1.9978290575847e-15</v>
      </c>
      <c r="AY9" s="5">
        <v>3.875068869748e-16</v>
      </c>
      <c r="AZ9" s="5">
        <v>-1.2349898526353e-15</v>
      </c>
      <c r="BA9" s="5">
        <v>2.4207248940931e-15</v>
      </c>
      <c r="BB9" s="5">
        <v>-6.9881959105819e-15</v>
      </c>
      <c r="BC9" s="3">
        <v>15997259.879891</v>
      </c>
      <c r="BD9" s="3">
        <v>3999063.3559267</v>
      </c>
      <c r="BE9" s="3">
        <v>-0.00020009966244996</v>
      </c>
      <c r="BF9" s="3">
        <v>0.00042769369118646</v>
      </c>
      <c r="BG9" s="3">
        <v>0.00012354422071287</v>
      </c>
      <c r="BH9" s="3">
        <v>-0.00050490528572049</v>
      </c>
      <c r="BI9" s="3">
        <v>100.45699855052</v>
      </c>
      <c r="BJ9" s="3">
        <v>50.232803031956</v>
      </c>
      <c r="BK9" s="3">
        <v>92.369601344239</v>
      </c>
      <c r="BL9" s="4"/>
      <c r="BM9" s="7"/>
    </row>
    <row r="10" spans="1:65">
      <c r="A10" s="3">
        <v>44562.546906687</v>
      </c>
      <c r="B10" s="5">
        <v>6.761775356994e-7</v>
      </c>
      <c r="C10" s="6">
        <f t="shared" si="0"/>
        <v>1.65416081083418e-11</v>
      </c>
      <c r="D10" s="5">
        <v>1.0789998459304e-12</v>
      </c>
      <c r="E10" s="5">
        <v>1.3122659138363e-12</v>
      </c>
      <c r="F10" s="5">
        <v>1.3122659054579e-12</v>
      </c>
      <c r="G10" s="5">
        <v>1.3122658803277e-12</v>
      </c>
      <c r="H10" s="5">
        <v>1.0789998066033e-12</v>
      </c>
      <c r="I10" s="5">
        <v>1.0789998188865e-12</v>
      </c>
      <c r="J10" s="5">
        <v>1.0789998113366e-12</v>
      </c>
      <c r="K10" s="5">
        <v>1.1394189700869e-12</v>
      </c>
      <c r="L10" s="5">
        <v>1.1394189964252e-12</v>
      </c>
      <c r="M10" s="5">
        <v>1.1394189609093e-12</v>
      </c>
      <c r="N10" s="5">
        <v>1.1944726926609e-12</v>
      </c>
      <c r="O10" s="5">
        <v>1.0789998072635e-12</v>
      </c>
      <c r="P10" s="5">
        <v>1.1944726786897e-12</v>
      </c>
      <c r="Q10" s="5">
        <v>1.1944727840641e-12</v>
      </c>
      <c r="R10" s="5">
        <v>1.312265881274e-12</v>
      </c>
      <c r="S10" s="5">
        <v>1.3122658697918e-12</v>
      </c>
      <c r="T10" s="5">
        <v>1.3122658798486e-12</v>
      </c>
      <c r="U10" s="5">
        <v>1.0789998107899e-12</v>
      </c>
      <c r="V10" s="5">
        <v>1.1394189838884e-12</v>
      </c>
      <c r="W10" s="5">
        <v>1.1394190098305e-12</v>
      </c>
      <c r="X10" s="5">
        <v>1.1394189772479e-12</v>
      </c>
      <c r="Y10" s="5">
        <v>1.1944726887268e-12</v>
      </c>
      <c r="Z10" s="5">
        <v>1.1944727828065e-12</v>
      </c>
      <c r="AA10" s="5">
        <v>1.1944728125727e-12</v>
      </c>
      <c r="AB10" s="3">
        <v>0.99931756701392</v>
      </c>
      <c r="AC10" s="3">
        <v>0.99759506201718</v>
      </c>
      <c r="AD10" s="3">
        <v>0.00041218688037548</v>
      </c>
      <c r="AE10" s="5">
        <v>-5.1235794546243e-16</v>
      </c>
      <c r="AF10" s="5">
        <v>2.7651314359165e-15</v>
      </c>
      <c r="AG10" s="5">
        <v>1.9543024588064e-15</v>
      </c>
      <c r="AH10" s="5">
        <v>1.2163052584102e-16</v>
      </c>
      <c r="AI10" s="5">
        <v>-6.6447329518851e-17</v>
      </c>
      <c r="AJ10" s="5">
        <v>5.5097269322717e-16</v>
      </c>
      <c r="AK10" s="5">
        <v>3.1222752857544e-17</v>
      </c>
      <c r="AL10" s="5">
        <v>4.7017586317005e-16</v>
      </c>
      <c r="AM10" s="5">
        <v>1.384103319652e-16</v>
      </c>
      <c r="AN10" s="5">
        <v>-9.4543856970398e-17</v>
      </c>
      <c r="AO10" s="5">
        <v>6.4146890944707e-16</v>
      </c>
      <c r="AP10" s="5">
        <v>3.0175797429962e-18</v>
      </c>
      <c r="AQ10" s="5">
        <v>2.6091264905732e-16</v>
      </c>
      <c r="AR10" s="5">
        <v>-3.7052159689934e-15</v>
      </c>
      <c r="AS10" s="5">
        <v>-3.4832690114722e-16</v>
      </c>
      <c r="AT10" s="5">
        <v>1.7784310831513e-16</v>
      </c>
      <c r="AU10" s="5">
        <v>-5.8682243096869e-16</v>
      </c>
      <c r="AV10" s="5">
        <v>-4.1945550242158e-16</v>
      </c>
      <c r="AW10" s="5">
        <v>-2.4595649087713e-16</v>
      </c>
      <c r="AX10" s="5">
        <v>2.0214627718265e-15</v>
      </c>
      <c r="AY10" s="5">
        <v>3.9118899970816e-16</v>
      </c>
      <c r="AZ10" s="5">
        <v>-1.2546693309052e-15</v>
      </c>
      <c r="BA10" s="5">
        <v>2.4249613491317e-15</v>
      </c>
      <c r="BB10" s="5">
        <v>-7.0117827044982e-15</v>
      </c>
      <c r="BC10" s="3">
        <v>15999692.949478</v>
      </c>
      <c r="BD10" s="3">
        <v>3999895.0468368</v>
      </c>
      <c r="BE10" s="3">
        <v>-0.00020101920417434</v>
      </c>
      <c r="BF10" s="3">
        <v>0.0004218610941896</v>
      </c>
      <c r="BG10" s="3">
        <v>0.00012030543086455</v>
      </c>
      <c r="BH10" s="3">
        <v>-0.00050759193850788</v>
      </c>
      <c r="BI10" s="3">
        <v>100.45700508116</v>
      </c>
      <c r="BJ10" s="3">
        <v>50.232788704098</v>
      </c>
      <c r="BK10" s="3">
        <v>92.436056903523</v>
      </c>
      <c r="BL10" s="4"/>
      <c r="BM10" s="7"/>
    </row>
    <row r="11" spans="1:65">
      <c r="A11" s="3">
        <v>50000</v>
      </c>
      <c r="B11" s="5">
        <v>7.5883817283148e-7</v>
      </c>
      <c r="C11" s="6">
        <f t="shared" si="0"/>
        <v>1.65510669417342e-11</v>
      </c>
      <c r="D11" s="5">
        <v>1.0789966871151e-12</v>
      </c>
      <c r="E11" s="5">
        <v>1.3122492024991e-12</v>
      </c>
      <c r="F11" s="5">
        <v>1.3122491930978e-12</v>
      </c>
      <c r="G11" s="5">
        <v>1.3122491648976e-12</v>
      </c>
      <c r="H11" s="5">
        <v>1.0789966429759e-12</v>
      </c>
      <c r="I11" s="5">
        <v>1.0789966567614e-12</v>
      </c>
      <c r="J11" s="5">
        <v>1.0789966482886e-12</v>
      </c>
      <c r="K11" s="5">
        <v>1.139412609031e-12</v>
      </c>
      <c r="L11" s="5">
        <v>1.1394126385959e-12</v>
      </c>
      <c r="M11" s="5">
        <v>1.1394125987283e-12</v>
      </c>
      <c r="N11" s="5">
        <v>1.1944593328504e-12</v>
      </c>
      <c r="O11" s="5">
        <v>1.0789966437168e-12</v>
      </c>
      <c r="P11" s="5">
        <v>1.1944593171683e-12</v>
      </c>
      <c r="Q11" s="5">
        <v>1.1944594354495e-12</v>
      </c>
      <c r="R11" s="5">
        <v>1.3122491659558e-12</v>
      </c>
      <c r="S11" s="5">
        <v>1.3122491530701e-12</v>
      </c>
      <c r="T11" s="5">
        <v>1.3122491643576e-12</v>
      </c>
      <c r="U11" s="5">
        <v>1.0789966476756e-12</v>
      </c>
      <c r="V11" s="5">
        <v>1.1394126245151e-12</v>
      </c>
      <c r="W11" s="5">
        <v>1.1394126536396e-12</v>
      </c>
      <c r="X11" s="5">
        <v>1.1394126170718e-12</v>
      </c>
      <c r="Y11" s="5">
        <v>1.1944593284307e-12</v>
      </c>
      <c r="Z11" s="5">
        <v>1.1944594340329e-12</v>
      </c>
      <c r="AA11" s="5">
        <v>1.1944594674514e-12</v>
      </c>
      <c r="AB11" s="3">
        <v>0.99931754179876</v>
      </c>
      <c r="AC11" s="3">
        <v>0.99759494159556</v>
      </c>
      <c r="AD11" s="3">
        <v>0.00041225561236876</v>
      </c>
      <c r="AE11" s="5">
        <v>-5.1250357361446e-16</v>
      </c>
      <c r="AF11" s="5">
        <v>2.7643013835542e-15</v>
      </c>
      <c r="AG11" s="5">
        <v>1.9539173938696e-15</v>
      </c>
      <c r="AH11" s="5">
        <v>1.2173359045807e-16</v>
      </c>
      <c r="AI11" s="5">
        <v>-6.6458222408271e-17</v>
      </c>
      <c r="AJ11" s="5">
        <v>5.5095698246985e-16</v>
      </c>
      <c r="AK11" s="5">
        <v>3.1224563789079e-17</v>
      </c>
      <c r="AL11" s="5">
        <v>4.7016859691741e-16</v>
      </c>
      <c r="AM11" s="5">
        <v>1.3907398309723e-16</v>
      </c>
      <c r="AN11" s="5">
        <v>-9.4539563994067e-17</v>
      </c>
      <c r="AO11" s="5">
        <v>6.4140509400271e-16</v>
      </c>
      <c r="AP11" s="5">
        <v>3.045257171316e-18</v>
      </c>
      <c r="AQ11" s="5">
        <v>2.6094362574646e-16</v>
      </c>
      <c r="AR11" s="5">
        <v>-3.7048170048101e-15</v>
      </c>
      <c r="AS11" s="5">
        <v>-3.4815049506049e-16</v>
      </c>
      <c r="AT11" s="5">
        <v>1.7777334419854e-16</v>
      </c>
      <c r="AU11" s="5">
        <v>-5.866632302254e-16</v>
      </c>
      <c r="AV11" s="5">
        <v>-4.1946576298707e-16</v>
      </c>
      <c r="AW11" s="5">
        <v>-2.4588470450013e-16</v>
      </c>
      <c r="AX11" s="5">
        <v>2.0209955548365e-15</v>
      </c>
      <c r="AY11" s="5">
        <v>3.9111765696452e-16</v>
      </c>
      <c r="AZ11" s="5">
        <v>-1.2542766951126e-15</v>
      </c>
      <c r="BA11" s="5">
        <v>2.4248790993688e-15</v>
      </c>
      <c r="BB11" s="5">
        <v>-7.0113201936476e-15</v>
      </c>
      <c r="BC11" s="3">
        <v>15999655.420877</v>
      </c>
      <c r="BD11" s="3">
        <v>3999882.2167545</v>
      </c>
      <c r="BE11" s="3">
        <v>-0.00020100505203123</v>
      </c>
      <c r="BF11" s="3">
        <v>0.00042195108983974</v>
      </c>
      <c r="BG11" s="3">
        <v>0.00012035538459137</v>
      </c>
      <c r="BH11" s="3">
        <v>-0.00050754648934327</v>
      </c>
      <c r="BI11" s="3">
        <v>100.45700498367</v>
      </c>
      <c r="BJ11" s="3">
        <v>50.232788930301</v>
      </c>
      <c r="BK11" s="3">
        <v>92.435026537731</v>
      </c>
      <c r="BL11" s="4"/>
      <c r="BM11" s="7"/>
    </row>
    <row r="12" spans="1:65">
      <c r="A12" s="3">
        <v>56100.922715098</v>
      </c>
      <c r="B12" s="5">
        <v>8.5158370986143e-7</v>
      </c>
      <c r="C12" s="6">
        <f t="shared" si="0"/>
        <v>1.65506753937666e-11</v>
      </c>
      <c r="D12" s="5">
        <v>1.0789931425398e-12</v>
      </c>
      <c r="E12" s="5">
        <v>1.3122304539974e-12</v>
      </c>
      <c r="F12" s="5">
        <v>1.3122304434493e-12</v>
      </c>
      <c r="G12" s="5">
        <v>1.3122304118062e-12</v>
      </c>
      <c r="H12" s="5">
        <v>1.0789930930021e-12</v>
      </c>
      <c r="I12" s="5">
        <v>1.0789931084729e-12</v>
      </c>
      <c r="J12" s="5">
        <v>1.0789930989649e-12</v>
      </c>
      <c r="K12" s="5">
        <v>1.1394054716817e-12</v>
      </c>
      <c r="L12" s="5">
        <v>1.1394055048675e-12</v>
      </c>
      <c r="M12" s="5">
        <v>1.1394054601164e-12</v>
      </c>
      <c r="N12" s="5">
        <v>1.1944443446417e-12</v>
      </c>
      <c r="O12" s="5">
        <v>1.0789930938336e-12</v>
      </c>
      <c r="P12" s="5">
        <v>1.19444432704e-12</v>
      </c>
      <c r="Q12" s="5">
        <v>1.1944444598038e-12</v>
      </c>
      <c r="R12" s="5">
        <v>1.312230412989e-12</v>
      </c>
      <c r="S12" s="5">
        <v>1.312230398529e-12</v>
      </c>
      <c r="T12" s="5">
        <v>1.3122304111972e-12</v>
      </c>
      <c r="U12" s="5">
        <v>1.0789930982776e-12</v>
      </c>
      <c r="V12" s="5">
        <v>1.139405489052e-12</v>
      </c>
      <c r="W12" s="5">
        <v>1.1394055217486e-12</v>
      </c>
      <c r="X12" s="5">
        <v>1.1394054807104e-12</v>
      </c>
      <c r="Y12" s="5">
        <v>1.1944443396762e-12</v>
      </c>
      <c r="Z12" s="5">
        <v>1.1944444582074e-12</v>
      </c>
      <c r="AA12" s="5">
        <v>1.1944444957257e-12</v>
      </c>
      <c r="AB12" s="3">
        <v>0.99931751348568</v>
      </c>
      <c r="AC12" s="3">
        <v>0.99759480644318</v>
      </c>
      <c r="AD12" s="3">
        <v>0.0004123327353857</v>
      </c>
      <c r="AE12" s="5">
        <v>-5.1266696401855e-16</v>
      </c>
      <c r="AF12" s="5">
        <v>2.7633702928231e-15</v>
      </c>
      <c r="AG12" s="5">
        <v>1.953485464442e-15</v>
      </c>
      <c r="AH12" s="5">
        <v>1.2184924598254e-16</v>
      </c>
      <c r="AI12" s="5">
        <v>-6.6470443512681e-17</v>
      </c>
      <c r="AJ12" s="5">
        <v>5.5093933157136e-16</v>
      </c>
      <c r="AK12" s="5">
        <v>3.122658316659e-17</v>
      </c>
      <c r="AL12" s="5">
        <v>4.7016046874372e-16</v>
      </c>
      <c r="AM12" s="5">
        <v>1.3981877971896e-16</v>
      </c>
      <c r="AN12" s="5">
        <v>-9.4534750951597e-17</v>
      </c>
      <c r="AO12" s="5">
        <v>6.413335203692e-16</v>
      </c>
      <c r="AP12" s="5">
        <v>3.0763054454452e-18</v>
      </c>
      <c r="AQ12" s="5">
        <v>2.6097834809521e-16</v>
      </c>
      <c r="AR12" s="5">
        <v>-3.7043691474214e-15</v>
      </c>
      <c r="AS12" s="5">
        <v>-3.4795261027658e-16</v>
      </c>
      <c r="AT12" s="5">
        <v>1.7769508131275e-16</v>
      </c>
      <c r="AU12" s="5">
        <v>-5.8648462331471e-16</v>
      </c>
      <c r="AV12" s="5">
        <v>-4.1947728689145e-16</v>
      </c>
      <c r="AW12" s="5">
        <v>-2.458041135156e-16</v>
      </c>
      <c r="AX12" s="5">
        <v>2.0204712932193e-15</v>
      </c>
      <c r="AY12" s="5">
        <v>3.9103753211195e-16</v>
      </c>
      <c r="AZ12" s="5">
        <v>-1.2538362824499e-15</v>
      </c>
      <c r="BA12" s="5">
        <v>2.4247867016188e-15</v>
      </c>
      <c r="BB12" s="5">
        <v>-7.0108009543209e-15</v>
      </c>
      <c r="BC12" s="3">
        <v>15999613.313455</v>
      </c>
      <c r="BD12" s="3">
        <v>3999867.8213658</v>
      </c>
      <c r="BE12" s="3">
        <v>-0.00020098917186405</v>
      </c>
      <c r="BF12" s="3">
        <v>0.0004220520642312</v>
      </c>
      <c r="BG12" s="3">
        <v>0.00012041143323066</v>
      </c>
      <c r="BH12" s="3">
        <v>-0.00050749547434798</v>
      </c>
      <c r="BI12" s="3">
        <v>100.45700487447</v>
      </c>
      <c r="BJ12" s="3">
        <v>50.232789184065</v>
      </c>
      <c r="BK12" s="3">
        <v>92.433870650209</v>
      </c>
      <c r="BL12" s="4"/>
      <c r="BM12" s="7"/>
    </row>
    <row r="13" spans="1:65">
      <c r="A13" s="3">
        <v>62946.270589709</v>
      </c>
      <c r="B13" s="5">
        <v>9.5564437429756e-7</v>
      </c>
      <c r="C13" s="6">
        <f t="shared" si="0"/>
        <v>1.65502362239545e-11</v>
      </c>
      <c r="D13" s="5">
        <v>1.0789891650501e-12</v>
      </c>
      <c r="E13" s="5">
        <v>1.3122094202575e-12</v>
      </c>
      <c r="F13" s="5">
        <v>1.3122094084235e-12</v>
      </c>
      <c r="G13" s="5">
        <v>1.3122093729197e-12</v>
      </c>
      <c r="H13" s="5">
        <v>1.0789891094564e-12</v>
      </c>
      <c r="I13" s="5">
        <v>1.0789891268174e-12</v>
      </c>
      <c r="J13" s="5">
        <v>1.0789891161485e-12</v>
      </c>
      <c r="K13" s="5">
        <v>1.1393974632841e-12</v>
      </c>
      <c r="L13" s="5">
        <v>1.1393975005328e-12</v>
      </c>
      <c r="M13" s="5">
        <v>1.1393974503015e-12</v>
      </c>
      <c r="N13" s="5">
        <v>1.1944275297907e-12</v>
      </c>
      <c r="O13" s="5">
        <v>1.0789891103895e-12</v>
      </c>
      <c r="P13" s="5">
        <v>1.1944275100351e-12</v>
      </c>
      <c r="Q13" s="5">
        <v>1.1944276590498e-12</v>
      </c>
      <c r="R13" s="5">
        <v>1.3122093742411e-12</v>
      </c>
      <c r="S13" s="5">
        <v>1.3122093580156e-12</v>
      </c>
      <c r="T13" s="5">
        <v>1.3122093722327e-12</v>
      </c>
      <c r="U13" s="5">
        <v>1.078989115378e-12</v>
      </c>
      <c r="V13" s="5">
        <v>1.1393974827684e-12</v>
      </c>
      <c r="W13" s="5">
        <v>1.1393975194748e-12</v>
      </c>
      <c r="X13" s="5">
        <v>1.139397473422e-12</v>
      </c>
      <c r="Y13" s="5">
        <v>1.1944275242117e-12</v>
      </c>
      <c r="Z13" s="5">
        <v>1.1944276572502e-12</v>
      </c>
      <c r="AA13" s="5">
        <v>1.1944276993709e-12</v>
      </c>
      <c r="AB13" s="3">
        <v>0.9993174816912</v>
      </c>
      <c r="AC13" s="3">
        <v>0.99759465475297</v>
      </c>
      <c r="AD13" s="3">
        <v>0.00041241927443472</v>
      </c>
      <c r="AE13" s="5">
        <v>-5.1285028209412e-16</v>
      </c>
      <c r="AF13" s="5">
        <v>2.7623258981064e-15</v>
      </c>
      <c r="AG13" s="5">
        <v>1.9530009833003e-15</v>
      </c>
      <c r="AH13" s="5">
        <v>1.2197903264932e-16</v>
      </c>
      <c r="AI13" s="5">
        <v>-6.64841546647e-17</v>
      </c>
      <c r="AJ13" s="5">
        <v>5.5091949780708e-16</v>
      </c>
      <c r="AK13" s="5">
        <v>3.1228833188855e-17</v>
      </c>
      <c r="AL13" s="5">
        <v>4.7015137985157e-16</v>
      </c>
      <c r="AM13" s="5">
        <v>1.4065466649737e-16</v>
      </c>
      <c r="AN13" s="5">
        <v>-9.4529355356338e-17</v>
      </c>
      <c r="AO13" s="5">
        <v>6.4125324921985e-16</v>
      </c>
      <c r="AP13" s="5">
        <v>3.1111342336161e-18</v>
      </c>
      <c r="AQ13" s="5">
        <v>2.6101726432886e-16</v>
      </c>
      <c r="AR13" s="5">
        <v>-3.7038663762506e-15</v>
      </c>
      <c r="AS13" s="5">
        <v>-3.4773063793894e-16</v>
      </c>
      <c r="AT13" s="5">
        <v>1.7760728619763e-16</v>
      </c>
      <c r="AU13" s="5">
        <v>-5.8628424729693e-16</v>
      </c>
      <c r="AV13" s="5">
        <v>-4.1949023121911e-16</v>
      </c>
      <c r="AW13" s="5">
        <v>-2.457136319277e-16</v>
      </c>
      <c r="AX13" s="5">
        <v>2.0198830171962e-15</v>
      </c>
      <c r="AY13" s="5">
        <v>3.9094753363817e-16</v>
      </c>
      <c r="AZ13" s="5">
        <v>-1.2533422973764e-15</v>
      </c>
      <c r="BA13" s="5">
        <v>2.4246828886478e-15</v>
      </c>
      <c r="BB13" s="5">
        <v>-7.0102179887385e-15</v>
      </c>
      <c r="BC13" s="3">
        <v>15999566.068607</v>
      </c>
      <c r="BD13" s="3">
        <v>3999851.6697263</v>
      </c>
      <c r="BE13" s="3">
        <v>-0.00020097135251142</v>
      </c>
      <c r="BF13" s="3">
        <v>0.00042216535635556</v>
      </c>
      <c r="BG13" s="3">
        <v>0.00012047432038007</v>
      </c>
      <c r="BH13" s="3">
        <v>-0.00050743821609082</v>
      </c>
      <c r="BI13" s="3">
        <v>100.45700475217</v>
      </c>
      <c r="BJ13" s="3">
        <v>50.23278946873</v>
      </c>
      <c r="BK13" s="3">
        <v>92.432573977214</v>
      </c>
      <c r="BL13" s="4"/>
      <c r="BM13" s="7"/>
    </row>
    <row r="14" spans="1:65">
      <c r="A14" s="3">
        <v>70626.877231138</v>
      </c>
      <c r="B14" s="5">
        <v>1.0724004225425e-6</v>
      </c>
      <c r="C14" s="6">
        <f t="shared" si="0"/>
        <v>1.65497436380072e-11</v>
      </c>
      <c r="D14" s="5">
        <v>1.0789847017155e-12</v>
      </c>
      <c r="E14" s="5">
        <v>1.3121858230649e-12</v>
      </c>
      <c r="F14" s="5">
        <v>1.3121858097892e-12</v>
      </c>
      <c r="G14" s="5">
        <v>1.3121857699563e-12</v>
      </c>
      <c r="H14" s="5">
        <v>1.0789846393281e-12</v>
      </c>
      <c r="I14" s="5">
        <v>1.0789846588095e-12</v>
      </c>
      <c r="J14" s="5">
        <v>1.0789846468386e-12</v>
      </c>
      <c r="K14" s="5">
        <v>1.1393884775127e-12</v>
      </c>
      <c r="L14" s="5">
        <v>1.1393885193209e-12</v>
      </c>
      <c r="M14" s="5">
        <v>1.1393884629395e-12</v>
      </c>
      <c r="N14" s="5">
        <v>1.1944086659806e-12</v>
      </c>
      <c r="O14" s="5">
        <v>1.0789846403752e-12</v>
      </c>
      <c r="P14" s="5">
        <v>1.1944086438084e-12</v>
      </c>
      <c r="Q14" s="5">
        <v>1.1944088110584e-12</v>
      </c>
      <c r="R14" s="5">
        <v>1.3121857714318e-12</v>
      </c>
      <c r="S14" s="5">
        <v>1.3121857532261e-12</v>
      </c>
      <c r="T14" s="5">
        <v>1.3121857691809e-12</v>
      </c>
      <c r="U14" s="5">
        <v>1.078984645975e-12</v>
      </c>
      <c r="V14" s="5">
        <v>1.1393884993662e-12</v>
      </c>
      <c r="W14" s="5">
        <v>1.1393885405738e-12</v>
      </c>
      <c r="X14" s="5">
        <v>1.1393884888963e-12</v>
      </c>
      <c r="Y14" s="5">
        <v>1.1944086597119e-12</v>
      </c>
      <c r="Z14" s="5">
        <v>1.1944088090286e-12</v>
      </c>
      <c r="AA14" s="5">
        <v>1.1944088563162e-12</v>
      </c>
      <c r="AB14" s="3">
        <v>0.99931744598361</v>
      </c>
      <c r="AC14" s="3">
        <v>0.99759448449493</v>
      </c>
      <c r="AD14" s="3">
        <v>0.0004125163798901</v>
      </c>
      <c r="AE14" s="5">
        <v>-5.1305595694716e-16</v>
      </c>
      <c r="AF14" s="5">
        <v>2.7611544534083e-15</v>
      </c>
      <c r="AG14" s="5">
        <v>1.9524575772983e-15</v>
      </c>
      <c r="AH14" s="5">
        <v>1.2212467963882e-16</v>
      </c>
      <c r="AI14" s="5">
        <v>-6.6499537396227e-17</v>
      </c>
      <c r="AJ14" s="5">
        <v>5.5089720725502e-16</v>
      </c>
      <c r="AK14" s="5">
        <v>3.1231337922144e-17</v>
      </c>
      <c r="AL14" s="5">
        <v>4.7014122104829e-16</v>
      </c>
      <c r="AM14" s="5">
        <v>1.4159281279745e-16</v>
      </c>
      <c r="AN14" s="5">
        <v>-9.4523307334297e-17</v>
      </c>
      <c r="AO14" s="5">
        <v>6.411632285013e-16</v>
      </c>
      <c r="AP14" s="5">
        <v>3.1502027680471e-18</v>
      </c>
      <c r="AQ14" s="5">
        <v>2.6106087508124e-16</v>
      </c>
      <c r="AR14" s="5">
        <v>-3.7033019220003e-15</v>
      </c>
      <c r="AS14" s="5">
        <v>-3.4748165394432e-16</v>
      </c>
      <c r="AT14" s="5">
        <v>1.7750880020387e-16</v>
      </c>
      <c r="AU14" s="5">
        <v>-5.8605945218287e-16</v>
      </c>
      <c r="AV14" s="5">
        <v>-4.1950477299069e-16</v>
      </c>
      <c r="AW14" s="5">
        <v>-2.4561203820673e-16</v>
      </c>
      <c r="AX14" s="5">
        <v>2.0192229040888e-15</v>
      </c>
      <c r="AY14" s="5">
        <v>3.9084643167126e-16</v>
      </c>
      <c r="AZ14" s="5">
        <v>-1.2527882459889e-15</v>
      </c>
      <c r="BA14" s="5">
        <v>2.4245662310423e-15</v>
      </c>
      <c r="BB14" s="5">
        <v>-7.0095634257009e-15</v>
      </c>
      <c r="BC14" s="3">
        <v>15999513.059589</v>
      </c>
      <c r="BD14" s="3">
        <v>3999833.5476063</v>
      </c>
      <c r="BE14" s="3">
        <v>-0.00020095135696615</v>
      </c>
      <c r="BF14" s="3">
        <v>0.00042229246842646</v>
      </c>
      <c r="BG14" s="3">
        <v>0.00012054488034555</v>
      </c>
      <c r="BH14" s="3">
        <v>-0.00050737394251146</v>
      </c>
      <c r="BI14" s="3">
        <v>100.45700461523</v>
      </c>
      <c r="BJ14" s="3">
        <v>50.232789788059</v>
      </c>
      <c r="BK14" s="3">
        <v>92.431119406045</v>
      </c>
      <c r="BL14" s="4"/>
      <c r="BM14" s="7"/>
    </row>
    <row r="15" spans="1:65">
      <c r="A15" s="3">
        <v>79244.659623056</v>
      </c>
      <c r="B15" s="5">
        <v>1.2034004246621e-6</v>
      </c>
      <c r="C15" s="6">
        <f t="shared" si="0"/>
        <v>1.65491911891079e-11</v>
      </c>
      <c r="D15" s="5">
        <v>1.0789796931199e-12</v>
      </c>
      <c r="E15" s="5">
        <v>1.312159350419e-12</v>
      </c>
      <c r="F15" s="5">
        <v>1.3121593355273e-12</v>
      </c>
      <c r="G15" s="5">
        <v>1.3121592908406e-12</v>
      </c>
      <c r="H15" s="5">
        <v>1.0789796231115e-12</v>
      </c>
      <c r="I15" s="5">
        <v>1.078979644971e-12</v>
      </c>
      <c r="J15" s="5">
        <v>1.07897963154e-12</v>
      </c>
      <c r="K15" s="5">
        <v>1.1393783950572e-12</v>
      </c>
      <c r="L15" s="5">
        <v>1.1393784419819e-12</v>
      </c>
      <c r="M15" s="5">
        <v>1.1393783786987e-12</v>
      </c>
      <c r="N15" s="5">
        <v>1.1943875039142e-12</v>
      </c>
      <c r="O15" s="5">
        <v>1.0789796242865e-12</v>
      </c>
      <c r="P15" s="5">
        <v>1.1943874790304e-12</v>
      </c>
      <c r="Q15" s="5">
        <v>1.1943876667425e-12</v>
      </c>
      <c r="R15" s="5">
        <v>1.312159292487e-12</v>
      </c>
      <c r="S15" s="5">
        <v>1.3121592720607e-12</v>
      </c>
      <c r="T15" s="5">
        <v>1.3121592899648e-12</v>
      </c>
      <c r="U15" s="5">
        <v>1.0789796305723e-12</v>
      </c>
      <c r="V15" s="5">
        <v>1.1393784195655e-12</v>
      </c>
      <c r="W15" s="5">
        <v>1.1393784658264e-12</v>
      </c>
      <c r="X15" s="5">
        <v>1.13937840784e-12</v>
      </c>
      <c r="Y15" s="5">
        <v>1.1943874968696e-12</v>
      </c>
      <c r="Z15" s="5">
        <v>1.1943876644521e-12</v>
      </c>
      <c r="AA15" s="5">
        <v>1.1943877175406e-12</v>
      </c>
      <c r="AB15" s="3">
        <v>0.99931740587676</v>
      </c>
      <c r="AC15" s="3">
        <v>0.99759429338819</v>
      </c>
      <c r="AD15" s="3">
        <v>0.00041262534286414</v>
      </c>
      <c r="AE15" s="5">
        <v>-5.1328671346274e-16</v>
      </c>
      <c r="AF15" s="5">
        <v>2.7598405560708e-15</v>
      </c>
      <c r="AG15" s="5">
        <v>1.9518481057994e-15</v>
      </c>
      <c r="AH15" s="5">
        <v>1.2228812838798e-16</v>
      </c>
      <c r="AI15" s="5">
        <v>-6.6516795317213e-17</v>
      </c>
      <c r="AJ15" s="5">
        <v>5.5087215064749e-16</v>
      </c>
      <c r="AK15" s="5">
        <v>3.1234123322202e-17</v>
      </c>
      <c r="AL15" s="5">
        <v>4.7012987185723e-16</v>
      </c>
      <c r="AM15" s="5">
        <v>1.4264576499784e-16</v>
      </c>
      <c r="AN15" s="5">
        <v>-9.4516528805358e-17</v>
      </c>
      <c r="AO15" s="5">
        <v>6.4106228014785e-16</v>
      </c>
      <c r="AP15" s="5">
        <v>3.1940257802987e-18</v>
      </c>
      <c r="AQ15" s="5">
        <v>2.6110973920328e-16</v>
      </c>
      <c r="AR15" s="5">
        <v>-3.7026681717456e-15</v>
      </c>
      <c r="AS15" s="5">
        <v>-3.4720238132506e-16</v>
      </c>
      <c r="AT15" s="5">
        <v>1.7739832446491e-16</v>
      </c>
      <c r="AU15" s="5">
        <v>-5.8580726626562e-16</v>
      </c>
      <c r="AV15" s="5">
        <v>-4.1952111178289e-16</v>
      </c>
      <c r="AW15" s="5">
        <v>-2.4549795805167e-16</v>
      </c>
      <c r="AX15" s="5">
        <v>2.018482173615e-15</v>
      </c>
      <c r="AY15" s="5">
        <v>3.9073283978532e-16</v>
      </c>
      <c r="AZ15" s="5">
        <v>-1.2521668531386e-15</v>
      </c>
      <c r="BA15" s="5">
        <v>2.4244351155924e-15</v>
      </c>
      <c r="BB15" s="5">
        <v>-7.0088284089681e-15</v>
      </c>
      <c r="BC15" s="3">
        <v>15999453.583215</v>
      </c>
      <c r="BD15" s="3">
        <v>3999813.214653</v>
      </c>
      <c r="BE15" s="3">
        <v>-0.00020092891920033</v>
      </c>
      <c r="BF15" s="3">
        <v>0.00042243508575489</v>
      </c>
      <c r="BG15" s="3">
        <v>0.00012062404920408</v>
      </c>
      <c r="BH15" s="3">
        <v>-0.0005073017971629</v>
      </c>
      <c r="BI15" s="3">
        <v>100.45700446195</v>
      </c>
      <c r="BJ15" s="3">
        <v>50.232790146254</v>
      </c>
      <c r="BK15" s="3">
        <v>92.429487752924</v>
      </c>
      <c r="BL15" s="4"/>
      <c r="BM15" s="7"/>
    </row>
    <row r="16" spans="1:65">
      <c r="A16" s="3">
        <v>88913.970501947</v>
      </c>
      <c r="B16" s="5">
        <v>1.3503817744333e-6</v>
      </c>
      <c r="C16" s="6">
        <f t="shared" si="0"/>
        <v>1.65485713412451e-11</v>
      </c>
      <c r="D16" s="5">
        <v>1.0789740725616e-12</v>
      </c>
      <c r="E16" s="5">
        <v>1.3121296524531e-12</v>
      </c>
      <c r="F16" s="5">
        <v>1.3121296357499e-12</v>
      </c>
      <c r="G16" s="5">
        <v>1.3121295856215e-12</v>
      </c>
      <c r="H16" s="5">
        <v>1.0789739940045e-12</v>
      </c>
      <c r="I16" s="5">
        <v>1.0789740185313e-12</v>
      </c>
      <c r="J16" s="5">
        <v>1.078974003463e-12</v>
      </c>
      <c r="K16" s="5">
        <v>1.1393670820354e-12</v>
      </c>
      <c r="L16" s="5">
        <v>1.1393671347019e-12</v>
      </c>
      <c r="M16" s="5">
        <v>1.1393670636728e-12</v>
      </c>
      <c r="N16" s="5">
        <v>1.1943637640598e-12</v>
      </c>
      <c r="O16" s="5">
        <v>1.0789739953229e-12</v>
      </c>
      <c r="P16" s="5">
        <v>1.1943637361336e-12</v>
      </c>
      <c r="Q16" s="5">
        <v>1.1943639468068e-12</v>
      </c>
      <c r="R16" s="5">
        <v>1.3121295874573e-12</v>
      </c>
      <c r="S16" s="5">
        <v>1.312129564541e-12</v>
      </c>
      <c r="T16" s="5">
        <v>1.3121295846317e-12</v>
      </c>
      <c r="U16" s="5">
        <v>1.0789740023788e-12</v>
      </c>
      <c r="V16" s="5">
        <v>1.1393671095178e-12</v>
      </c>
      <c r="W16" s="5">
        <v>1.1393671614522e-12</v>
      </c>
      <c r="X16" s="5">
        <v>1.1393670963898e-12</v>
      </c>
      <c r="Y16" s="5">
        <v>1.1943637561423e-12</v>
      </c>
      <c r="Z16" s="5">
        <v>1.1943639442206e-12</v>
      </c>
      <c r="AA16" s="5">
        <v>1.1943640038225e-12</v>
      </c>
      <c r="AB16" s="3">
        <v>0.99931736082294</v>
      </c>
      <c r="AC16" s="3">
        <v>0.99759407886966</v>
      </c>
      <c r="AD16" s="3">
        <v>0.0004127476124745</v>
      </c>
      <c r="AE16" s="5">
        <v>-5.1354560819704e-16</v>
      </c>
      <c r="AF16" s="5">
        <v>2.7583669496656e-15</v>
      </c>
      <c r="AG16" s="5">
        <v>1.9511645696213e-15</v>
      </c>
      <c r="AH16" s="5">
        <v>1.2247155881615e-16</v>
      </c>
      <c r="AI16" s="5">
        <v>-6.6536156799895e-17</v>
      </c>
      <c r="AJ16" s="5">
        <v>5.5084397850074e-16</v>
      </c>
      <c r="AK16" s="5">
        <v>3.1237217181182e-17</v>
      </c>
      <c r="AL16" s="5">
        <v>4.7011719971139e-16</v>
      </c>
      <c r="AM16" s="5">
        <v>1.4382761810898e-16</v>
      </c>
      <c r="AN16" s="5">
        <v>-9.4508932556879e-17</v>
      </c>
      <c r="AO16" s="5">
        <v>6.4094908530202e-16</v>
      </c>
      <c r="AP16" s="5">
        <v>3.2431801318405e-18</v>
      </c>
      <c r="AQ16" s="5">
        <v>2.6116448012081e-16</v>
      </c>
      <c r="AR16" s="5">
        <v>-3.7019565615595e-15</v>
      </c>
      <c r="AS16" s="5">
        <v>-3.4688914810812e-16</v>
      </c>
      <c r="AT16" s="5">
        <v>1.7727440306756e-16</v>
      </c>
      <c r="AU16" s="5">
        <v>-5.8552435726102e-16</v>
      </c>
      <c r="AV16" s="5">
        <v>-4.1953947273113e-16</v>
      </c>
      <c r="AW16" s="5">
        <v>-2.4536984482935e-16</v>
      </c>
      <c r="AX16" s="5">
        <v>2.0176509701928e-15</v>
      </c>
      <c r="AY16" s="5">
        <v>3.9060519419219e-16</v>
      </c>
      <c r="AZ16" s="5">
        <v>-1.2514699698715e-15</v>
      </c>
      <c r="BA16" s="5">
        <v>2.4242877202369e-15</v>
      </c>
      <c r="BB16" s="5">
        <v>-7.0080029706679e-15</v>
      </c>
      <c r="BC16" s="3">
        <v>15999386.850534</v>
      </c>
      <c r="BD16" s="3">
        <v>3999790.4012074</v>
      </c>
      <c r="BE16" s="3">
        <v>-0.0002009037405987</v>
      </c>
      <c r="BF16" s="3">
        <v>0.00042259509903579</v>
      </c>
      <c r="BG16" s="3">
        <v>0.00012071287721145</v>
      </c>
      <c r="BH16" s="3">
        <v>-0.00050722080274156</v>
      </c>
      <c r="BI16" s="3">
        <v>100.45700429041</v>
      </c>
      <c r="BJ16" s="3">
        <v>50.232790548044</v>
      </c>
      <c r="BK16" s="3">
        <v>92.427657514654</v>
      </c>
      <c r="BL16" s="4"/>
      <c r="BM16" s="7"/>
    </row>
    <row r="17" spans="1:65">
      <c r="A17" s="3">
        <v>99763.115748445</v>
      </c>
      <c r="B17" s="5">
        <v>1.5152936965473e-6</v>
      </c>
      <c r="C17" s="6">
        <f t="shared" si="0"/>
        <v>1.65478759202679e-11</v>
      </c>
      <c r="D17" s="5">
        <v>1.0789677651566e-12</v>
      </c>
      <c r="E17" s="5">
        <v>1.3120963368667e-12</v>
      </c>
      <c r="F17" s="5">
        <v>1.3120963181334e-12</v>
      </c>
      <c r="G17" s="5">
        <v>1.3120962619049e-12</v>
      </c>
      <c r="H17" s="5">
        <v>1.0789676770103e-12</v>
      </c>
      <c r="I17" s="5">
        <v>1.0789677045285e-12</v>
      </c>
      <c r="J17" s="5">
        <v>1.0789676876244e-12</v>
      </c>
      <c r="K17" s="5">
        <v>1.1393543882124e-12</v>
      </c>
      <c r="L17" s="5">
        <v>1.1393544473223e-12</v>
      </c>
      <c r="M17" s="5">
        <v>1.1393543676002e-12</v>
      </c>
      <c r="N17" s="5">
        <v>1.1943371330092e-12</v>
      </c>
      <c r="O17" s="5">
        <v>1.0789676784895e-12</v>
      </c>
      <c r="P17" s="5">
        <v>1.1943371016694e-12</v>
      </c>
      <c r="Q17" s="5">
        <v>1.1943373381083e-12</v>
      </c>
      <c r="R17" s="5">
        <v>1.3120962639501e-12</v>
      </c>
      <c r="S17" s="5">
        <v>1.3120962382417e-12</v>
      </c>
      <c r="T17" s="5">
        <v>1.3120962607854e-12</v>
      </c>
      <c r="U17" s="5">
        <v>1.0789676864099e-12</v>
      </c>
      <c r="V17" s="5">
        <v>1.1393544190261e-12</v>
      </c>
      <c r="W17" s="5">
        <v>1.1393544773308e-12</v>
      </c>
      <c r="X17" s="5">
        <v>1.1393544043323e-12</v>
      </c>
      <c r="Y17" s="5">
        <v>1.1943371241096e-12</v>
      </c>
      <c r="Z17" s="5">
        <v>1.1943373351863e-12</v>
      </c>
      <c r="AA17" s="5">
        <v>1.1943374021021e-12</v>
      </c>
      <c r="AB17" s="3">
        <v>0.99931731020477</v>
      </c>
      <c r="AC17" s="3">
        <v>0.99759383805852</v>
      </c>
      <c r="AD17" s="3">
        <v>0.00041288481524412</v>
      </c>
      <c r="AE17" s="5">
        <v>-5.1383606957801e-16</v>
      </c>
      <c r="AF17" s="5">
        <v>2.756714304672e-15</v>
      </c>
      <c r="AG17" s="5">
        <v>1.9503980094225e-15</v>
      </c>
      <c r="AH17" s="5">
        <v>1.2267741886011e-16</v>
      </c>
      <c r="AI17" s="5">
        <v>-6.6557877976468e-17</v>
      </c>
      <c r="AJ17" s="5">
        <v>5.5081229555103e-16</v>
      </c>
      <c r="AK17" s="5">
        <v>3.1240649017249e-17</v>
      </c>
      <c r="AL17" s="5">
        <v>4.7010305917105e-16</v>
      </c>
      <c r="AM17" s="5">
        <v>1.4515420938408e-16</v>
      </c>
      <c r="AN17" s="5">
        <v>-9.4500421218614e-17</v>
      </c>
      <c r="AO17" s="5">
        <v>6.4082216785521e-16</v>
      </c>
      <c r="AP17" s="5">
        <v>3.2983122176073e-18</v>
      </c>
      <c r="AQ17" s="5">
        <v>2.6122579277931e-16</v>
      </c>
      <c r="AR17" s="5">
        <v>-3.7011574547424e-15</v>
      </c>
      <c r="AS17" s="5">
        <v>-3.4653784049837e-16</v>
      </c>
      <c r="AT17" s="5">
        <v>1.7713540426794e-16</v>
      </c>
      <c r="AU17" s="5">
        <v>-5.8520698881532e-16</v>
      </c>
      <c r="AV17" s="5">
        <v>-4.1956010996618e-16</v>
      </c>
      <c r="AW17" s="5">
        <v>-2.452259572867e-16</v>
      </c>
      <c r="AX17" s="5">
        <v>2.0167182307584e-15</v>
      </c>
      <c r="AY17" s="5">
        <v>3.9046172992532e-16</v>
      </c>
      <c r="AZ17" s="5">
        <v>-1.2506884705145e-15</v>
      </c>
      <c r="BA17" s="5">
        <v>2.4241219855576e-15</v>
      </c>
      <c r="BB17" s="5">
        <v>-7.0070758879141e-15</v>
      </c>
      <c r="BC17" s="3">
        <v>15999311.97638</v>
      </c>
      <c r="BD17" s="3">
        <v>3999764.8047338</v>
      </c>
      <c r="BE17" s="3">
        <v>-0.00020087548594953</v>
      </c>
      <c r="BF17" s="3">
        <v>0.00042277462934517</v>
      </c>
      <c r="BG17" s="3">
        <v>0.00012081254272427</v>
      </c>
      <c r="BH17" s="3">
        <v>-0.00050712987566482</v>
      </c>
      <c r="BI17" s="3">
        <v>100.4570040985</v>
      </c>
      <c r="BJ17" s="3">
        <v>50.232790998717</v>
      </c>
      <c r="BK17" s="3">
        <v>92.425604591168</v>
      </c>
      <c r="BL17" s="4"/>
      <c r="BM17" s="7"/>
    </row>
    <row r="18" spans="1:65">
      <c r="A18" s="3">
        <v>111936.05692842</v>
      </c>
      <c r="B18" s="5">
        <v>1.7003230519479e-6</v>
      </c>
      <c r="C18" s="6">
        <f t="shared" si="0"/>
        <v>1.65470958728835e-11</v>
      </c>
      <c r="D18" s="5">
        <v>1.0789606868274e-12</v>
      </c>
      <c r="E18" s="5">
        <v>1.3120589638119e-12</v>
      </c>
      <c r="F18" s="5">
        <v>1.3120589428036e-12</v>
      </c>
      <c r="G18" s="5">
        <v>1.3120588797376e-12</v>
      </c>
      <c r="H18" s="5">
        <v>1.0789605879252e-12</v>
      </c>
      <c r="I18" s="5">
        <v>1.0789606187982e-12</v>
      </c>
      <c r="J18" s="5">
        <v>1.0789605998357e-12</v>
      </c>
      <c r="K18" s="5">
        <v>1.1393401449995e-12</v>
      </c>
      <c r="L18" s="5">
        <v>1.1393402113406e-12</v>
      </c>
      <c r="M18" s="5">
        <v>1.1393401218618e-12</v>
      </c>
      <c r="N18" s="5">
        <v>1.1943072594034e-12</v>
      </c>
      <c r="O18" s="5">
        <v>1.0789605895848e-12</v>
      </c>
      <c r="P18" s="5">
        <v>1.1943072242332e-12</v>
      </c>
      <c r="Q18" s="5">
        <v>1.1943074895855e-12</v>
      </c>
      <c r="R18" s="5">
        <v>1.312058882014e-12</v>
      </c>
      <c r="S18" s="5">
        <v>1.3120588531752e-12</v>
      </c>
      <c r="T18" s="5">
        <v>1.3120588784704e-12</v>
      </c>
      <c r="U18" s="5">
        <v>1.0789605984757e-12</v>
      </c>
      <c r="V18" s="5">
        <v>1.1393401795439e-12</v>
      </c>
      <c r="W18" s="5">
        <v>1.1393402450017e-12</v>
      </c>
      <c r="X18" s="5">
        <v>1.1393401631031e-12</v>
      </c>
      <c r="Y18" s="5">
        <v>1.1943072493979e-12</v>
      </c>
      <c r="Z18" s="5">
        <v>1.1943074862816e-12</v>
      </c>
      <c r="AA18" s="5">
        <v>1.1943075614111e-12</v>
      </c>
      <c r="AB18" s="3">
        <v>0.99931725332598</v>
      </c>
      <c r="AC18" s="3">
        <v>0.99759356771612</v>
      </c>
      <c r="AD18" s="3">
        <v>0.00041303877689778</v>
      </c>
      <c r="AE18" s="5">
        <v>-5.1416194298522e-16</v>
      </c>
      <c r="AF18" s="5">
        <v>2.7548609738034e-15</v>
      </c>
      <c r="AG18" s="5">
        <v>1.9495383927237e-15</v>
      </c>
      <c r="AH18" s="5">
        <v>1.229084576767e-16</v>
      </c>
      <c r="AI18" s="5">
        <v>-6.6582246114688e-17</v>
      </c>
      <c r="AJ18" s="5">
        <v>5.5077665440262e-16</v>
      </c>
      <c r="AK18" s="5">
        <v>3.1244449845349e-17</v>
      </c>
      <c r="AL18" s="5">
        <v>4.7008729114927e-16</v>
      </c>
      <c r="AM18" s="5">
        <v>1.4664333682644e-16</v>
      </c>
      <c r="AN18" s="5">
        <v>-9.4490886146334e-17</v>
      </c>
      <c r="AO18" s="5">
        <v>6.4067987623622e-16</v>
      </c>
      <c r="AP18" s="5">
        <v>3.3601462396744e-18</v>
      </c>
      <c r="AQ18" s="5">
        <v>2.6129445119856e-16</v>
      </c>
      <c r="AR18" s="5">
        <v>-3.7002600038751e-15</v>
      </c>
      <c r="AS18" s="5">
        <v>-3.4614385051589e-16</v>
      </c>
      <c r="AT18" s="5">
        <v>1.7697949949823e-16</v>
      </c>
      <c r="AU18" s="5">
        <v>-5.8485097187589e-16</v>
      </c>
      <c r="AV18" s="5">
        <v>-4.1958331053794e-16</v>
      </c>
      <c r="AW18" s="5">
        <v>-2.4506433431164e-16</v>
      </c>
      <c r="AX18" s="5">
        <v>2.0156715360375e-15</v>
      </c>
      <c r="AY18" s="5">
        <v>3.9030045369486e-16</v>
      </c>
      <c r="AZ18" s="5">
        <v>-1.2498121379609e-15</v>
      </c>
      <c r="BA18" s="5">
        <v>2.423935582073e-15</v>
      </c>
      <c r="BB18" s="5">
        <v>-7.0060345195532e-15</v>
      </c>
      <c r="BC18" s="3">
        <v>15999227.967639</v>
      </c>
      <c r="BD18" s="3">
        <v>3999736.0858154</v>
      </c>
      <c r="BE18" s="3">
        <v>-0.00020084377893839</v>
      </c>
      <c r="BF18" s="3">
        <v>0.00042297605616993</v>
      </c>
      <c r="BG18" s="3">
        <v>0.00012092436782046</v>
      </c>
      <c r="BH18" s="3">
        <v>-0.00050702778621074</v>
      </c>
      <c r="BI18" s="3">
        <v>100.4570038839</v>
      </c>
      <c r="BJ18" s="3">
        <v>50.23279150419</v>
      </c>
      <c r="BK18" s="3">
        <v>92.423301975545</v>
      </c>
      <c r="BL18" s="4"/>
      <c r="BM18" s="7"/>
    </row>
    <row r="19" spans="1:65">
      <c r="A19" s="3">
        <v>125594.32157548</v>
      </c>
      <c r="B19" s="5">
        <v>1.9079232807023e-6</v>
      </c>
      <c r="C19" s="6">
        <f t="shared" si="0"/>
        <v>1.65462209431281e-11</v>
      </c>
      <c r="D19" s="5">
        <v>1.0789527431675e-12</v>
      </c>
      <c r="E19" s="5">
        <v>1.312017040176e-12</v>
      </c>
      <c r="F19" s="5">
        <v>1.3120170166187e-12</v>
      </c>
      <c r="G19" s="5">
        <v>1.3120169458896e-12</v>
      </c>
      <c r="H19" s="5">
        <v>1.0789526322012e-12</v>
      </c>
      <c r="I19" s="5">
        <v>1.0789526668361e-12</v>
      </c>
      <c r="J19" s="5">
        <v>1.0789526455661e-12</v>
      </c>
      <c r="K19" s="5">
        <v>1.1393241632094e-12</v>
      </c>
      <c r="L19" s="5">
        <v>1.139324237666e-12</v>
      </c>
      <c r="M19" s="5">
        <v>1.1393241372365e-12</v>
      </c>
      <c r="N19" s="5">
        <v>1.194273749376e-12</v>
      </c>
      <c r="O19" s="5">
        <v>1.0789526340631e-12</v>
      </c>
      <c r="P19" s="5">
        <v>1.1942737099082e-12</v>
      </c>
      <c r="Q19" s="5">
        <v>1.1942740077063e-12</v>
      </c>
      <c r="R19" s="5">
        <v>1.3120169484206e-12</v>
      </c>
      <c r="S19" s="5">
        <v>1.3120169160724e-12</v>
      </c>
      <c r="T19" s="5">
        <v>1.312016944454e-12</v>
      </c>
      <c r="U19" s="5">
        <v>1.0789526440435e-12</v>
      </c>
      <c r="V19" s="5">
        <v>1.1393242019308e-12</v>
      </c>
      <c r="W19" s="5">
        <v>1.1393242754216e-12</v>
      </c>
      <c r="X19" s="5">
        <v>1.1393241835423e-12</v>
      </c>
      <c r="Y19" s="5">
        <v>1.1942737381252e-12</v>
      </c>
      <c r="Z19" s="5">
        <v>1.1942740039674e-12</v>
      </c>
      <c r="AA19" s="5">
        <v>1.1942740883221e-12</v>
      </c>
      <c r="AB19" s="3">
        <v>0.99931718940088</v>
      </c>
      <c r="AC19" s="3">
        <v>0.99759326420081</v>
      </c>
      <c r="AD19" s="3">
        <v>0.00041321154685592</v>
      </c>
      <c r="AE19" s="5">
        <v>-5.1452754117425e-16</v>
      </c>
      <c r="AF19" s="5">
        <v>2.7527827196494e-15</v>
      </c>
      <c r="AG19" s="5">
        <v>1.948574488108e-15</v>
      </c>
      <c r="AH19" s="5">
        <v>1.2316776304175e-16</v>
      </c>
      <c r="AI19" s="5">
        <v>-6.6609583380982e-17</v>
      </c>
      <c r="AJ19" s="5">
        <v>5.5073654812166e-16</v>
      </c>
      <c r="AK19" s="5">
        <v>3.1248651850119e-17</v>
      </c>
      <c r="AL19" s="5">
        <v>4.7006972227673e-16</v>
      </c>
      <c r="AM19" s="5">
        <v>1.4831500557643e-16</v>
      </c>
      <c r="AN19" s="5">
        <v>-9.4480206228489e-17</v>
      </c>
      <c r="AO19" s="5">
        <v>6.4052036313523e-16</v>
      </c>
      <c r="AP19" s="5">
        <v>3.4294934109148e-18</v>
      </c>
      <c r="AQ19" s="5">
        <v>2.6137131665556e-16</v>
      </c>
      <c r="AR19" s="5">
        <v>-3.6992519942305e-15</v>
      </c>
      <c r="AS19" s="5">
        <v>-3.4570201769691e-16</v>
      </c>
      <c r="AT19" s="5">
        <v>1.7680463993298e-16</v>
      </c>
      <c r="AU19" s="5">
        <v>-5.8445161025821e-16</v>
      </c>
      <c r="AV19" s="5">
        <v>-4.1960939892732e-16</v>
      </c>
      <c r="AW19" s="5">
        <v>-2.4488276619811e-16</v>
      </c>
      <c r="AX19" s="5">
        <v>2.0144969433874e-15</v>
      </c>
      <c r="AY19" s="5">
        <v>3.9011911265828e-16</v>
      </c>
      <c r="AZ19" s="5">
        <v>-1.2488295361293e-15</v>
      </c>
      <c r="BA19" s="5">
        <v>2.4237258722005e-15</v>
      </c>
      <c r="BB19" s="5">
        <v>-7.0048646206276e-15</v>
      </c>
      <c r="BC19" s="3">
        <v>15999133.710096</v>
      </c>
      <c r="BD19" s="3">
        <v>3999703.8636627</v>
      </c>
      <c r="BE19" s="3">
        <v>-0.00020080819708148</v>
      </c>
      <c r="BF19" s="3">
        <v>0.00042320204883448</v>
      </c>
      <c r="BG19" s="3">
        <v>0.00012104983581889</v>
      </c>
      <c r="BH19" s="3">
        <v>-0.00050691315434483</v>
      </c>
      <c r="BI19" s="3">
        <v>100.457003644</v>
      </c>
      <c r="BJ19" s="3">
        <v>50.232792071117</v>
      </c>
      <c r="BK19" s="3">
        <v>92.420719408073</v>
      </c>
      <c r="BL19" s="4"/>
      <c r="BM19" s="7"/>
    </row>
    <row r="20" spans="1:65">
      <c r="A20" s="3">
        <v>140919.14656322</v>
      </c>
      <c r="B20" s="5">
        <v>2.140846862793e-6</v>
      </c>
      <c r="C20" s="6">
        <f t="shared" si="0"/>
        <v>1.65452396756811e-11</v>
      </c>
      <c r="D20" s="5">
        <v>1.0789438281628e-12</v>
      </c>
      <c r="E20" s="5">
        <v>1.3119700131836e-12</v>
      </c>
      <c r="F20" s="5">
        <v>1.311969986771e-12</v>
      </c>
      <c r="G20" s="5">
        <v>1.3119699074547e-12</v>
      </c>
      <c r="H20" s="5">
        <v>1.0789437036658e-12</v>
      </c>
      <c r="I20" s="5">
        <v>1.078943742519e-12</v>
      </c>
      <c r="J20" s="5">
        <v>1.0789437186623e-12</v>
      </c>
      <c r="K20" s="5">
        <v>1.1393062305356e-12</v>
      </c>
      <c r="L20" s="5">
        <v>1.1393063141003e-12</v>
      </c>
      <c r="M20" s="5">
        <v>1.1393062013795e-12</v>
      </c>
      <c r="N20" s="5">
        <v>1.1942361614617e-12</v>
      </c>
      <c r="O20" s="5">
        <v>1.0789437057544e-12</v>
      </c>
      <c r="P20" s="5">
        <v>1.1942361171718e-12</v>
      </c>
      <c r="Q20" s="5">
        <v>1.1942364513804e-12</v>
      </c>
      <c r="R20" s="5">
        <v>1.3119699102655e-12</v>
      </c>
      <c r="S20" s="5">
        <v>1.3119698739832e-12</v>
      </c>
      <c r="T20" s="5">
        <v>1.3119699058266e-12</v>
      </c>
      <c r="U20" s="5">
        <v>1.0789437169582e-12</v>
      </c>
      <c r="V20" s="5">
        <v>1.1393062739325e-12</v>
      </c>
      <c r="W20" s="5">
        <v>1.1393063564455e-12</v>
      </c>
      <c r="X20" s="5">
        <v>1.1393062533744e-12</v>
      </c>
      <c r="Y20" s="5">
        <v>1.1942361488078e-12</v>
      </c>
      <c r="Z20" s="5">
        <v>1.1942364471456e-12</v>
      </c>
      <c r="AA20" s="5">
        <v>1.1942365418627e-12</v>
      </c>
      <c r="AB20" s="3">
        <v>0.99931711754228</v>
      </c>
      <c r="AC20" s="3">
        <v>0.99759292341659</v>
      </c>
      <c r="AD20" s="3">
        <v>0.00041340542576439</v>
      </c>
      <c r="AE20" s="5">
        <v>-5.1493770096568e-16</v>
      </c>
      <c r="AF20" s="5">
        <v>2.7504524120641e-15</v>
      </c>
      <c r="AG20" s="5">
        <v>1.9474937254658e-15</v>
      </c>
      <c r="AH20" s="5">
        <v>1.2345880348559e-16</v>
      </c>
      <c r="AI20" s="5">
        <v>-6.6640251071032e-17</v>
      </c>
      <c r="AJ20" s="5">
        <v>5.5069140174446e-16</v>
      </c>
      <c r="AK20" s="5">
        <v>3.1253287808961e-17</v>
      </c>
      <c r="AL20" s="5">
        <v>4.7005016452397e-16</v>
      </c>
      <c r="AM20" s="5">
        <v>1.501917064106e-16</v>
      </c>
      <c r="AN20" s="5">
        <v>-9.4468246521514e-17</v>
      </c>
      <c r="AO20" s="5">
        <v>6.4034156313759e-16</v>
      </c>
      <c r="AP20" s="5">
        <v>3.5072622263582e-18</v>
      </c>
      <c r="AQ20" s="5">
        <v>2.6145734644312e-16</v>
      </c>
      <c r="AR20" s="5">
        <v>-3.6981196658599e-15</v>
      </c>
      <c r="AS20" s="5">
        <v>-3.4520656424603e-16</v>
      </c>
      <c r="AT20" s="5">
        <v>1.7660853036553e-16</v>
      </c>
      <c r="AU20" s="5">
        <v>-5.8400363981381e-16</v>
      </c>
      <c r="AV20" s="5">
        <v>-4.1963874224696e-16</v>
      </c>
      <c r="AW20" s="5">
        <v>-2.4467876215366e-16</v>
      </c>
      <c r="AX20" s="5">
        <v>2.0131787987614e-15</v>
      </c>
      <c r="AY20" s="5">
        <v>3.8991515847063e-16</v>
      </c>
      <c r="AZ20" s="5">
        <v>-1.2477278685113e-15</v>
      </c>
      <c r="BA20" s="5">
        <v>2.4234898667372e-15</v>
      </c>
      <c r="BB20" s="5">
        <v>-7.0035501309049e-15</v>
      </c>
      <c r="BC20" s="3">
        <v>15999027.953677</v>
      </c>
      <c r="BD20" s="3">
        <v>3999667.7110761</v>
      </c>
      <c r="BE20" s="3">
        <v>-0.00020076826602633</v>
      </c>
      <c r="BF20" s="3">
        <v>0.00042345560173689</v>
      </c>
      <c r="BG20" s="3">
        <v>0.00012119061093486</v>
      </c>
      <c r="BH20" s="3">
        <v>-0.00050678443536844</v>
      </c>
      <c r="BI20" s="3">
        <v>100.45700337596</v>
      </c>
      <c r="BJ20" s="3">
        <v>50.232792706918</v>
      </c>
      <c r="BK20" s="3">
        <v>92.417822990291</v>
      </c>
      <c r="BL20" s="4"/>
      <c r="BM20" s="7"/>
    </row>
    <row r="21" spans="1:65">
      <c r="A21" s="3">
        <v>158113.88300842</v>
      </c>
      <c r="B21" s="5">
        <v>2.4021817225282e-6</v>
      </c>
      <c r="C21" s="6">
        <f t="shared" si="0"/>
        <v>1.65441390652665e-11</v>
      </c>
      <c r="D21" s="5">
        <v>1.0789338227514e-12</v>
      </c>
      <c r="E21" s="5">
        <v>1.3119172632495e-12</v>
      </c>
      <c r="F21" s="5">
        <v>1.311917233639e-12</v>
      </c>
      <c r="G21" s="5">
        <v>1.3119171447016e-12</v>
      </c>
      <c r="H21" s="5">
        <v>1.0789336830792e-12</v>
      </c>
      <c r="I21" s="5">
        <v>1.078933726662e-12</v>
      </c>
      <c r="J21" s="5">
        <v>1.0789336999061e-12</v>
      </c>
      <c r="K21" s="5">
        <v>1.1392861087227e-12</v>
      </c>
      <c r="L21" s="5">
        <v>1.1392862025099e-12</v>
      </c>
      <c r="M21" s="5">
        <v>1.1392860759924e-12</v>
      </c>
      <c r="N21" s="5">
        <v>1.1941940009047e-12</v>
      </c>
      <c r="O21" s="5">
        <v>1.0789336854221e-12</v>
      </c>
      <c r="P21" s="5">
        <v>1.1941939512043e-12</v>
      </c>
      <c r="Q21" s="5">
        <v>1.1941943262735e-12</v>
      </c>
      <c r="R21" s="5">
        <v>1.3119171478186e-12</v>
      </c>
      <c r="S21" s="5">
        <v>1.311917107127e-12</v>
      </c>
      <c r="T21" s="5">
        <v>1.3119171428531e-12</v>
      </c>
      <c r="U21" s="5">
        <v>1.0789336979996e-12</v>
      </c>
      <c r="V21" s="5">
        <v>1.1392861573513e-12</v>
      </c>
      <c r="W21" s="5">
        <v>1.1392862499986e-12</v>
      </c>
      <c r="X21" s="5">
        <v>1.1392861343785e-12</v>
      </c>
      <c r="Y21" s="5">
        <v>1.1941939866692e-12</v>
      </c>
      <c r="Z21" s="5">
        <v>1.194194321472e-12</v>
      </c>
      <c r="AA21" s="5">
        <v>1.1941944278306e-12</v>
      </c>
      <c r="AB21" s="3">
        <v>0.99931703674769</v>
      </c>
      <c r="AC21" s="3">
        <v>0.99759254075521</v>
      </c>
      <c r="AD21" s="3">
        <v>0.00041362299644311</v>
      </c>
      <c r="AE21" s="5">
        <v>-5.1539784631779e-16</v>
      </c>
      <c r="AF21" s="5">
        <v>2.7478396916722e-15</v>
      </c>
      <c r="AG21" s="5">
        <v>1.946282040658e-15</v>
      </c>
      <c r="AH21" s="5">
        <v>1.2378547577785e-16</v>
      </c>
      <c r="AI21" s="5">
        <v>-6.6674654356163e-17</v>
      </c>
      <c r="AJ21" s="5">
        <v>5.5064056222681e-16</v>
      </c>
      <c r="AK21" s="5">
        <v>3.1258390336619e-17</v>
      </c>
      <c r="AL21" s="5">
        <v>4.7002841507402e-16</v>
      </c>
      <c r="AM21" s="5">
        <v>1.5229873052207e-16</v>
      </c>
      <c r="AN21" s="5">
        <v>-9.4454856840188e-17</v>
      </c>
      <c r="AO21" s="5">
        <v>6.4014116783423e-16</v>
      </c>
      <c r="AP21" s="5">
        <v>3.5944698840721e-18</v>
      </c>
      <c r="AQ21" s="5">
        <v>2.6155360327198e-16</v>
      </c>
      <c r="AR21" s="5">
        <v>-3.696847511158e-15</v>
      </c>
      <c r="AS21" s="5">
        <v>-3.4465102290335e-16</v>
      </c>
      <c r="AT21" s="5">
        <v>1.7638860003879e-16</v>
      </c>
      <c r="AU21" s="5">
        <v>-5.835011604113e-16</v>
      </c>
      <c r="AV21" s="5">
        <v>-4.1967175621264e-16</v>
      </c>
      <c r="AW21" s="5">
        <v>-2.4444951304124e-16</v>
      </c>
      <c r="AX21" s="5">
        <v>2.01169952516e-15</v>
      </c>
      <c r="AY21" s="5">
        <v>3.8968570587927e-16</v>
      </c>
      <c r="AZ21" s="5">
        <v>-1.2464928210071e-15</v>
      </c>
      <c r="BA21" s="5">
        <v>2.4232241737631e-15</v>
      </c>
      <c r="BB21" s="5">
        <v>-7.0020729337189e-15</v>
      </c>
      <c r="BC21" s="3">
        <v>15998909.295901</v>
      </c>
      <c r="BD21" s="3">
        <v>3999627.1487968</v>
      </c>
      <c r="BE21" s="3">
        <v>-0.00020072345314127</v>
      </c>
      <c r="BF21" s="3">
        <v>0.00042374007384783</v>
      </c>
      <c r="BG21" s="3">
        <v>0.0001213485603255</v>
      </c>
      <c r="BH21" s="3">
        <v>-0.00050663987427016</v>
      </c>
      <c r="BI21" s="3">
        <v>100.45700307663</v>
      </c>
      <c r="BJ21" s="3">
        <v>50.232793419938</v>
      </c>
      <c r="BK21" s="3">
        <v>92.414574754785</v>
      </c>
      <c r="BL21" s="4"/>
      <c r="BM21" s="7"/>
    </row>
    <row r="22" spans="1:65">
      <c r="A22" s="3">
        <v>177406.69461679</v>
      </c>
      <c r="B22" s="5">
        <v>2.6953920539464e-6</v>
      </c>
      <c r="C22" s="6">
        <f t="shared" si="0"/>
        <v>1.65429047786648e-11</v>
      </c>
      <c r="D22" s="5">
        <v>1.0789225932022e-12</v>
      </c>
      <c r="E22" s="5">
        <v>1.3118580959893e-12</v>
      </c>
      <c r="F22" s="5">
        <v>1.311858062798e-12</v>
      </c>
      <c r="G22" s="5">
        <v>1.3118579630829e-12</v>
      </c>
      <c r="H22" s="5">
        <v>1.0789224365116e-12</v>
      </c>
      <c r="I22" s="5">
        <v>1.0789224853969e-12</v>
      </c>
      <c r="J22" s="5">
        <v>1.0789224553919e-12</v>
      </c>
      <c r="K22" s="5">
        <v>1.1392635303876e-12</v>
      </c>
      <c r="L22" s="5">
        <v>1.1392636356485e-12</v>
      </c>
      <c r="M22" s="5">
        <v>1.1392634936436e-12</v>
      </c>
      <c r="N22" s="5">
        <v>1.1941467133054e-12</v>
      </c>
      <c r="O22" s="5">
        <v>1.0789224391397e-12</v>
      </c>
      <c r="P22" s="5">
        <v>1.1941466575341e-12</v>
      </c>
      <c r="Q22" s="5">
        <v>1.1941470784588e-12</v>
      </c>
      <c r="R22" s="5">
        <v>1.311857966534e-12</v>
      </c>
      <c r="S22" s="5">
        <v>1.3118579209007e-12</v>
      </c>
      <c r="T22" s="5">
        <v>1.3118579609815e-12</v>
      </c>
      <c r="U22" s="5">
        <v>1.0789224532597e-12</v>
      </c>
      <c r="V22" s="5">
        <v>1.1392635848686e-12</v>
      </c>
      <c r="W22" s="5">
        <v>1.1392636889008e-12</v>
      </c>
      <c r="X22" s="5">
        <v>1.1392635592112e-12</v>
      </c>
      <c r="Y22" s="5">
        <v>1.1941466972862e-12</v>
      </c>
      <c r="Z22" s="5">
        <v>1.1941470730088e-12</v>
      </c>
      <c r="AA22" s="5">
        <v>1.194147192448e-12</v>
      </c>
      <c r="AB22" s="3">
        <v>0.99931694588335</v>
      </c>
      <c r="AC22" s="3">
        <v>0.99759211103032</v>
      </c>
      <c r="AD22" s="3">
        <v>0.0004138671586847</v>
      </c>
      <c r="AE22" s="5">
        <v>-5.1591405931504e-16</v>
      </c>
      <c r="AF22" s="5">
        <v>2.744910596917e-15</v>
      </c>
      <c r="AG22" s="5">
        <v>1.9449237034384e-15</v>
      </c>
      <c r="AH22" s="5">
        <v>1.2415215849221e-16</v>
      </c>
      <c r="AI22" s="5">
        <v>-6.6713247592869e-17</v>
      </c>
      <c r="AJ22" s="5">
        <v>5.5058328701973e-16</v>
      </c>
      <c r="AK22" s="5">
        <v>3.1263990772772e-17</v>
      </c>
      <c r="AL22" s="5">
        <v>4.7000425660523e-16</v>
      </c>
      <c r="AM22" s="5">
        <v>1.5466452584461e-16</v>
      </c>
      <c r="AN22" s="5">
        <v>-9.4439870181618e-17</v>
      </c>
      <c r="AO22" s="5">
        <v>6.3991659849543e-16</v>
      </c>
      <c r="AP22" s="5">
        <v>3.6922549882187e-18</v>
      </c>
      <c r="AQ22" s="5">
        <v>2.6166126517012e-16</v>
      </c>
      <c r="AR22" s="5">
        <v>-3.6954180445043e-15</v>
      </c>
      <c r="AS22" s="5">
        <v>-3.4402815687805e-16</v>
      </c>
      <c r="AT22" s="5">
        <v>1.7614197018826e-16</v>
      </c>
      <c r="AU22" s="5">
        <v>-5.8293755992863e-16</v>
      </c>
      <c r="AV22" s="5">
        <v>-4.1970891208495e-16</v>
      </c>
      <c r="AW22" s="5">
        <v>-2.441918489558e-16</v>
      </c>
      <c r="AX22" s="5">
        <v>2.010039384388e-15</v>
      </c>
      <c r="AY22" s="5">
        <v>3.8942748480479e-16</v>
      </c>
      <c r="AZ22" s="5">
        <v>-1.2451083881773e-15</v>
      </c>
      <c r="BA22" s="5">
        <v>2.4229249401372e-15</v>
      </c>
      <c r="BB22" s="5">
        <v>-7.0004125803364e-15</v>
      </c>
      <c r="BC22" s="3">
        <v>15998776.163308</v>
      </c>
      <c r="BD22" s="3">
        <v>3999581.6391725</v>
      </c>
      <c r="BE22" s="3">
        <v>-0.00020067316030108</v>
      </c>
      <c r="BF22" s="3">
        <v>0.00042405923299318</v>
      </c>
      <c r="BG22" s="3">
        <v>0.00012152577882433</v>
      </c>
      <c r="BH22" s="3">
        <v>-0.00050647751327415</v>
      </c>
      <c r="BI22" s="3">
        <v>100.45700274256</v>
      </c>
      <c r="BJ22" s="3">
        <v>50.232794219493</v>
      </c>
      <c r="BK22" s="3">
        <v>92.410932186021</v>
      </c>
      <c r="BL22" s="4"/>
      <c r="BM22" s="7"/>
    </row>
    <row r="23" spans="1:65">
      <c r="A23" s="3">
        <v>199053.58527675</v>
      </c>
      <c r="B23" s="5">
        <v>3.0243640992027e-6</v>
      </c>
      <c r="C23" s="6">
        <f t="shared" si="0"/>
        <v>1.65415206338298e-11</v>
      </c>
      <c r="D23" s="5">
        <v>1.0789099892884e-12</v>
      </c>
      <c r="E23" s="5">
        <v>1.3117917332968e-12</v>
      </c>
      <c r="F23" s="5">
        <v>1.3117916960969e-12</v>
      </c>
      <c r="G23" s="5">
        <v>1.3117915843109e-12</v>
      </c>
      <c r="H23" s="5">
        <v>1.0789098135133e-12</v>
      </c>
      <c r="I23" s="5">
        <v>1.0789098683429e-12</v>
      </c>
      <c r="J23" s="5">
        <v>1.0789098346971e-12</v>
      </c>
      <c r="K23" s="5">
        <v>1.1392381954505e-12</v>
      </c>
      <c r="L23" s="5">
        <v>1.1392383135897e-12</v>
      </c>
      <c r="M23" s="5">
        <v>1.1392381541988e-12</v>
      </c>
      <c r="N23" s="5">
        <v>1.1940936775274e-12</v>
      </c>
      <c r="O23" s="5">
        <v>1.0789098164611e-12</v>
      </c>
      <c r="P23" s="5">
        <v>1.1940936149444e-12</v>
      </c>
      <c r="Q23" s="5">
        <v>1.1940940873313e-12</v>
      </c>
      <c r="R23" s="5">
        <v>1.3117915881249e-12</v>
      </c>
      <c r="S23" s="5">
        <v>1.3117915369542e-12</v>
      </c>
      <c r="T23" s="5">
        <v>1.3117915819189e-12</v>
      </c>
      <c r="U23" s="5">
        <v>1.0789098323136e-12</v>
      </c>
      <c r="V23" s="5">
        <v>1.1392382564755e-12</v>
      </c>
      <c r="W23" s="5">
        <v>1.1392383732996e-12</v>
      </c>
      <c r="X23" s="5">
        <v>1.1392382278371e-12</v>
      </c>
      <c r="Y23" s="5">
        <v>1.1940936594951e-12</v>
      </c>
      <c r="Z23" s="5">
        <v>1.1940940811376e-12</v>
      </c>
      <c r="AA23" s="5">
        <v>1.1940942152766e-12</v>
      </c>
      <c r="AB23" s="3">
        <v>0.99931684366604</v>
      </c>
      <c r="AC23" s="3">
        <v>0.99759162840292</v>
      </c>
      <c r="AD23" s="3">
        <v>0.00041414116839111</v>
      </c>
      <c r="AE23" s="5">
        <v>-5.1649315910817e-16</v>
      </c>
      <c r="AF23" s="5">
        <v>2.741627150733e-15</v>
      </c>
      <c r="AG23" s="5">
        <v>1.9434011269059e-15</v>
      </c>
      <c r="AH23" s="5">
        <v>1.2456377237663e-16</v>
      </c>
      <c r="AI23" s="5">
        <v>-6.6756540293485e-17</v>
      </c>
      <c r="AJ23" s="5">
        <v>5.5051873045594e-16</v>
      </c>
      <c r="AK23" s="5">
        <v>3.1270117702355e-17</v>
      </c>
      <c r="AL23" s="5">
        <v>4.6997745806297e-16</v>
      </c>
      <c r="AM23" s="5">
        <v>1.5732110047158e-16</v>
      </c>
      <c r="AN23" s="5">
        <v>-9.4423101052337e-17</v>
      </c>
      <c r="AO23" s="5">
        <v>6.3966497587285e-16</v>
      </c>
      <c r="AP23" s="5">
        <v>3.8018916553206e-18</v>
      </c>
      <c r="AQ23" s="5">
        <v>2.6178163586382e-16</v>
      </c>
      <c r="AR23" s="5">
        <v>-3.6938115390474e-15</v>
      </c>
      <c r="AS23" s="5">
        <v>-3.4332987098275e-16</v>
      </c>
      <c r="AT23" s="5">
        <v>1.7586541790043e-16</v>
      </c>
      <c r="AU23" s="5">
        <v>-5.8230542942772e-16</v>
      </c>
      <c r="AV23" s="5">
        <v>-4.1975074467492e-16</v>
      </c>
      <c r="AW23" s="5">
        <v>-2.4390219072248e-16</v>
      </c>
      <c r="AX23" s="5">
        <v>2.008176209035e-15</v>
      </c>
      <c r="AY23" s="5">
        <v>3.8913678510861e-16</v>
      </c>
      <c r="AZ23" s="5">
        <v>-1.243556680896e-15</v>
      </c>
      <c r="BA23" s="5">
        <v>2.422587782678e-15</v>
      </c>
      <c r="BB23" s="5">
        <v>-6.9985459742042e-15</v>
      </c>
      <c r="BC23" s="3">
        <v>15998626.790642</v>
      </c>
      <c r="BD23" s="3">
        <v>3999530.5790533</v>
      </c>
      <c r="BE23" s="3">
        <v>-0.00020061671576752</v>
      </c>
      <c r="BF23" s="3">
        <v>0.00042441730548169</v>
      </c>
      <c r="BG23" s="3">
        <v>0.00012172461667983</v>
      </c>
      <c r="BH23" s="3">
        <v>-0.00050629513368892</v>
      </c>
      <c r="BI23" s="3">
        <v>100.45700236998</v>
      </c>
      <c r="BJ23" s="3">
        <v>50.232795116027</v>
      </c>
      <c r="BK23" s="3">
        <v>92.406847687158</v>
      </c>
      <c r="BL23" s="4"/>
      <c r="BM23" s="7"/>
    </row>
    <row r="24" spans="1:65">
      <c r="A24" s="3">
        <v>223341.79607548</v>
      </c>
      <c r="B24" s="5">
        <v>3.393457479717e-6</v>
      </c>
      <c r="C24" s="6">
        <f t="shared" si="0"/>
        <v>1.65399685488986e-11</v>
      </c>
      <c r="D24" s="5">
        <v>1.0788958422272e-12</v>
      </c>
      <c r="E24" s="5">
        <v>1.3117173033867e-12</v>
      </c>
      <c r="F24" s="5">
        <v>1.3117172617006e-12</v>
      </c>
      <c r="G24" s="5">
        <v>1.3117171363984e-12</v>
      </c>
      <c r="H24" s="5">
        <v>1.0788956450524e-12</v>
      </c>
      <c r="I24" s="5">
        <v>1.0788957065448e-12</v>
      </c>
      <c r="J24" s="5">
        <v>1.0788956688201e-12</v>
      </c>
      <c r="K24" s="5">
        <v>1.1392097671272e-12</v>
      </c>
      <c r="L24" s="5">
        <v>1.1392098997225e-12</v>
      </c>
      <c r="M24" s="5">
        <v>1.1392097208127e-12</v>
      </c>
      <c r="N24" s="5">
        <v>1.1940341977869e-12</v>
      </c>
      <c r="O24" s="5">
        <v>1.0788956483585e-12</v>
      </c>
      <c r="P24" s="5">
        <v>1.1940341275609e-12</v>
      </c>
      <c r="Q24" s="5">
        <v>1.1940346577037e-12</v>
      </c>
      <c r="R24" s="5">
        <v>1.3117171406044e-12</v>
      </c>
      <c r="S24" s="5">
        <v>1.3117170832298e-12</v>
      </c>
      <c r="T24" s="5">
        <v>1.3117171336714e-12</v>
      </c>
      <c r="U24" s="5">
        <v>1.0788956661568e-12</v>
      </c>
      <c r="V24" s="5">
        <v>1.1392098354667e-12</v>
      </c>
      <c r="W24" s="5">
        <v>1.139209966666e-12</v>
      </c>
      <c r="X24" s="5">
        <v>1.1392098035228e-12</v>
      </c>
      <c r="Y24" s="5">
        <v>1.1940341774813e-12</v>
      </c>
      <c r="Z24" s="5">
        <v>1.1940346506554e-12</v>
      </c>
      <c r="AA24" s="5">
        <v>1.1940348013174e-12</v>
      </c>
      <c r="AB24" s="3">
        <v>0.99931672864186</v>
      </c>
      <c r="AC24" s="3">
        <v>0.99759108629648</v>
      </c>
      <c r="AD24" s="3">
        <v>0.00041444868160065</v>
      </c>
      <c r="AE24" s="5">
        <v>-5.1714279059397e-16</v>
      </c>
      <c r="AF24" s="5">
        <v>2.7379469035842e-15</v>
      </c>
      <c r="AG24" s="5">
        <v>1.9416946569528e-15</v>
      </c>
      <c r="AH24" s="5">
        <v>1.2502584856124e-16</v>
      </c>
      <c r="AI24" s="5">
        <v>-6.6805103801669e-17</v>
      </c>
      <c r="AJ24" s="5">
        <v>5.5044592800148e-16</v>
      </c>
      <c r="AK24" s="5">
        <v>3.1276794912325e-17</v>
      </c>
      <c r="AL24" s="5">
        <v>4.6994777632877e-16</v>
      </c>
      <c r="AM24" s="5">
        <v>1.6030447999566e-16</v>
      </c>
      <c r="AN24" s="5">
        <v>-9.4404343688305e-17</v>
      </c>
      <c r="AO24" s="5">
        <v>6.3938308699659e-16</v>
      </c>
      <c r="AP24" s="5">
        <v>3.9248051464488e-18</v>
      </c>
      <c r="AQ24" s="5">
        <v>2.6191615546812e-16</v>
      </c>
      <c r="AR24" s="5">
        <v>-3.6920057268725e-15</v>
      </c>
      <c r="AS24" s="5">
        <v>-3.4254711326635e-16</v>
      </c>
      <c r="AT24" s="5">
        <v>1.7555533592431e-16</v>
      </c>
      <c r="AU24" s="5">
        <v>-5.8159646844657e-16</v>
      </c>
      <c r="AV24" s="5">
        <v>-4.1979786167175e-16</v>
      </c>
      <c r="AW24" s="5">
        <v>-2.4357649445941e-16</v>
      </c>
      <c r="AX24" s="5">
        <v>2.006085100088e-15</v>
      </c>
      <c r="AY24" s="5">
        <v>3.8880939198667e-16</v>
      </c>
      <c r="AZ24" s="5">
        <v>-1.241817714353e-15</v>
      </c>
      <c r="BA24" s="5">
        <v>2.4222077081297e-15</v>
      </c>
      <c r="BB24" s="5">
        <v>-6.9964470095111e-15</v>
      </c>
      <c r="BC24" s="3">
        <v>15998459.197497</v>
      </c>
      <c r="BD24" s="3">
        <v>3999473.2918279</v>
      </c>
      <c r="BE24" s="3">
        <v>-0.00020055336504543</v>
      </c>
      <c r="BF24" s="3">
        <v>0.00042481903172441</v>
      </c>
      <c r="BG24" s="3">
        <v>0.00012194771067183</v>
      </c>
      <c r="BH24" s="3">
        <v>-0.00050609024391715</v>
      </c>
      <c r="BI24" s="3">
        <v>100.45700195475</v>
      </c>
      <c r="BJ24" s="3">
        <v>50.232796121217</v>
      </c>
      <c r="BK24" s="3">
        <v>92.402267987347</v>
      </c>
      <c r="BL24" s="4"/>
      <c r="BM24" s="7"/>
    </row>
    <row r="25" spans="1:65">
      <c r="A25" s="3">
        <v>250593.61681364</v>
      </c>
      <c r="B25" s="5">
        <v>3.8075627474319e-6</v>
      </c>
      <c r="C25" s="6">
        <f t="shared" si="0"/>
        <v>1.65382282523572e-11</v>
      </c>
      <c r="D25" s="5">
        <v>1.078879962357e-12</v>
      </c>
      <c r="E25" s="5">
        <v>1.3116338296844e-12</v>
      </c>
      <c r="F25" s="5">
        <v>1.3116337829792e-12</v>
      </c>
      <c r="G25" s="5">
        <v>1.3116336425461e-12</v>
      </c>
      <c r="H25" s="5">
        <v>1.0788797411877e-12</v>
      </c>
      <c r="I25" s="5">
        <v>1.0788798101476e-12</v>
      </c>
      <c r="J25" s="5">
        <v>1.078879767854e-12</v>
      </c>
      <c r="K25" s="5">
        <v>1.1391778674269e-12</v>
      </c>
      <c r="L25" s="5">
        <v>1.1391780162499e-12</v>
      </c>
      <c r="M25" s="5">
        <v>1.1391778154251e-12</v>
      </c>
      <c r="N25" s="5">
        <v>1.1939674948345e-12</v>
      </c>
      <c r="O25" s="5">
        <v>1.0788797448955e-12</v>
      </c>
      <c r="P25" s="5">
        <v>1.1939674160325e-12</v>
      </c>
      <c r="Q25" s="5">
        <v>1.1939680109969e-12</v>
      </c>
      <c r="R25" s="5">
        <v>1.3116336471731e-12</v>
      </c>
      <c r="S25" s="5">
        <v>1.3116335828492e-12</v>
      </c>
      <c r="T25" s="5">
        <v>1.3116336394324e-12</v>
      </c>
      <c r="U25" s="5">
        <v>1.0788797648798e-12</v>
      </c>
      <c r="V25" s="5">
        <v>1.139177943938e-12</v>
      </c>
      <c r="W25" s="5">
        <v>1.1391780912947e-12</v>
      </c>
      <c r="X25" s="5">
        <v>1.1391779083344e-12</v>
      </c>
      <c r="Y25" s="5">
        <v>1.1939674719598e-12</v>
      </c>
      <c r="Z25" s="5">
        <v>1.1939680029643e-12</v>
      </c>
      <c r="AA25" s="5">
        <v>1.1939681722025e-12</v>
      </c>
      <c r="AB25" s="3">
        <v>0.99931659916184</v>
      </c>
      <c r="AC25" s="3">
        <v>0.99759047730048</v>
      </c>
      <c r="AD25" s="3">
        <v>0.00041479380402943</v>
      </c>
      <c r="AE25" s="5">
        <v>-5.1787152305087e-16</v>
      </c>
      <c r="AF25" s="5">
        <v>2.7338224294276e-15</v>
      </c>
      <c r="AG25" s="5">
        <v>1.9397823400373e-15</v>
      </c>
      <c r="AH25" s="5">
        <v>1.25544605566e-16</v>
      </c>
      <c r="AI25" s="5">
        <v>-6.6859578812355e-17</v>
      </c>
      <c r="AJ25" s="5">
        <v>5.503637775801e-16</v>
      </c>
      <c r="AK25" s="5">
        <v>3.1284038681755e-17</v>
      </c>
      <c r="AL25" s="5">
        <v>4.6991495879154e-16</v>
      </c>
      <c r="AM25" s="5">
        <v>1.6365522661855e-16</v>
      </c>
      <c r="AN25" s="5">
        <v>-9.4383370159486e-17</v>
      </c>
      <c r="AO25" s="5">
        <v>6.3906734877887e-16</v>
      </c>
      <c r="AP25" s="5">
        <v>4.0625891855217e-18</v>
      </c>
      <c r="AQ25" s="5">
        <v>2.6206641126508e-16</v>
      </c>
      <c r="AR25" s="5">
        <v>-3.6899754551959e-15</v>
      </c>
      <c r="AS25" s="5">
        <v>-3.4166976639742e-16</v>
      </c>
      <c r="AT25" s="5">
        <v>1.7520768803766e-16</v>
      </c>
      <c r="AU25" s="5">
        <v>-5.8080137939511e-16</v>
      </c>
      <c r="AV25" s="5">
        <v>-4.198509545139e-16</v>
      </c>
      <c r="AW25" s="5">
        <v>-2.4321018805695e-16</v>
      </c>
      <c r="AX25" s="5">
        <v>2.0037380863587e-15</v>
      </c>
      <c r="AY25" s="5">
        <v>3.8844051100173e-16</v>
      </c>
      <c r="AZ25" s="5">
        <v>-1.2398691746979e-15</v>
      </c>
      <c r="BA25" s="5">
        <v>2.4217790191523e-15</v>
      </c>
      <c r="BB25" s="5">
        <v>-6.9940861550528e-15</v>
      </c>
      <c r="BC25" s="3">
        <v>15998271.162126</v>
      </c>
      <c r="BD25" s="3">
        <v>3999409.0184942</v>
      </c>
      <c r="BE25" s="3">
        <v>-0.00020048226058163</v>
      </c>
      <c r="BF25" s="3">
        <v>0.00042526972855607</v>
      </c>
      <c r="BG25" s="3">
        <v>0.00012219801901146</v>
      </c>
      <c r="BH25" s="3">
        <v>-0.00050586002186951</v>
      </c>
      <c r="BI25" s="3">
        <v>100.45700149239</v>
      </c>
      <c r="BJ25" s="3">
        <v>50.232797248142</v>
      </c>
      <c r="BK25" s="3">
        <v>92.397133483737</v>
      </c>
      <c r="BL25" s="4"/>
      <c r="BM25" s="7"/>
    </row>
    <row r="26" spans="1:65">
      <c r="A26" s="3">
        <v>281170.66259518</v>
      </c>
      <c r="B26" s="5">
        <v>4.2721659047233e-6</v>
      </c>
      <c r="C26" s="6">
        <f t="shared" si="0"/>
        <v>1.65362770806088e-11</v>
      </c>
      <c r="D26" s="5">
        <v>1.0788621365131e-12</v>
      </c>
      <c r="E26" s="5">
        <v>1.3115402184457e-12</v>
      </c>
      <c r="F26" s="5">
        <v>1.3115401661272e-12</v>
      </c>
      <c r="G26" s="5">
        <v>1.3115400087604e-12</v>
      </c>
      <c r="H26" s="5">
        <v>1.0788618884424e-12</v>
      </c>
      <c r="I26" s="5">
        <v>1.0788619657703e-12</v>
      </c>
      <c r="J26" s="5">
        <v>1.0788619183599e-12</v>
      </c>
      <c r="K26" s="5">
        <v>1.1391420720928e-12</v>
      </c>
      <c r="L26" s="5">
        <v>1.1391422391335e-12</v>
      </c>
      <c r="M26" s="5">
        <v>1.1391420137016e-12</v>
      </c>
      <c r="N26" s="5">
        <v>1.1938926961365e-12</v>
      </c>
      <c r="O26" s="5">
        <v>1.0788618926003e-12</v>
      </c>
      <c r="P26" s="5">
        <v>1.1938926077118e-12</v>
      </c>
      <c r="Q26" s="5">
        <v>1.1938932754303e-12</v>
      </c>
      <c r="R26" s="5">
        <v>1.3115400138359e-12</v>
      </c>
      <c r="S26" s="5">
        <v>1.3115399417292e-12</v>
      </c>
      <c r="T26" s="5">
        <v>1.3115400051989e-12</v>
      </c>
      <c r="U26" s="5">
        <v>1.0788619150405e-12</v>
      </c>
      <c r="V26" s="5">
        <v>1.1391421577283e-12</v>
      </c>
      <c r="W26" s="5">
        <v>1.1391423232493e-12</v>
      </c>
      <c r="X26" s="5">
        <v>1.1391421180804e-12</v>
      </c>
      <c r="Y26" s="5">
        <v>1.1938926703563e-12</v>
      </c>
      <c r="Z26" s="5">
        <v>1.1938932662611e-12</v>
      </c>
      <c r="AA26" s="5">
        <v>1.1938934563892e-12</v>
      </c>
      <c r="AB26" s="3">
        <v>0.99931645335359</v>
      </c>
      <c r="AC26" s="3">
        <v>0.99758979306048</v>
      </c>
      <c r="AD26" s="3">
        <v>0.00041518114683473</v>
      </c>
      <c r="AE26" s="5">
        <v>-5.1868896045752e-16</v>
      </c>
      <c r="AF26" s="5">
        <v>2.7292007705414e-15</v>
      </c>
      <c r="AG26" s="5">
        <v>1.9376396676922e-15</v>
      </c>
      <c r="AH26" s="5">
        <v>1.261270363892e-16</v>
      </c>
      <c r="AI26" s="5">
        <v>-6.6920683804541e-17</v>
      </c>
      <c r="AJ26" s="5">
        <v>5.5027101764993e-16</v>
      </c>
      <c r="AK26" s="5">
        <v>3.1291854202806e-17</v>
      </c>
      <c r="AL26" s="5">
        <v>4.6987874733268e-16</v>
      </c>
      <c r="AM26" s="5">
        <v>1.6741902894076e-16</v>
      </c>
      <c r="AN26" s="5">
        <v>-9.4359928402355e-17</v>
      </c>
      <c r="AO26" s="5">
        <v>6.3871376813214e-16</v>
      </c>
      <c r="AP26" s="5">
        <v>4.2170250788816e-18</v>
      </c>
      <c r="AQ26" s="5">
        <v>2.622341483127e-16</v>
      </c>
      <c r="AR26" s="5">
        <v>-3.6876922930842e-15</v>
      </c>
      <c r="AS26" s="5">
        <v>-3.4068652776328e-16</v>
      </c>
      <c r="AT26" s="5">
        <v>1.7481795952193e-16</v>
      </c>
      <c r="AU26" s="5">
        <v>-5.7990974983735e-16</v>
      </c>
      <c r="AV26" s="5">
        <v>-4.1991081108194e-16</v>
      </c>
      <c r="AW26" s="5">
        <v>-2.4279809830855e-16</v>
      </c>
      <c r="AX26" s="5">
        <v>2.0011037401019e-15</v>
      </c>
      <c r="AY26" s="5">
        <v>3.8802468036262e-16</v>
      </c>
      <c r="AZ26" s="5">
        <v>-1.2376861627992e-15</v>
      </c>
      <c r="BA26" s="5">
        <v>2.4212952036658e-15</v>
      </c>
      <c r="BB26" s="5">
        <v>-6.9914299756855e-15</v>
      </c>
      <c r="BC26" s="3">
        <v>15998060.192074</v>
      </c>
      <c r="BD26" s="3">
        <v>3999336.9076498</v>
      </c>
      <c r="BE26" s="3">
        <v>-0.00020040245015562</v>
      </c>
      <c r="BF26" s="3">
        <v>0.00042577535905742</v>
      </c>
      <c r="BG26" s="3">
        <v>0.00012247886048368</v>
      </c>
      <c r="BH26" s="3">
        <v>-0.00050560131181375</v>
      </c>
      <c r="BI26" s="3">
        <v>100.45700097806</v>
      </c>
      <c r="BJ26" s="3">
        <v>50.232798511393</v>
      </c>
      <c r="BK26" s="3">
        <v>92.391377511959</v>
      </c>
      <c r="BL26" s="4"/>
      <c r="BM26" s="7"/>
    </row>
    <row r="27" spans="1:65">
      <c r="A27" s="3">
        <v>315478.6722401</v>
      </c>
      <c r="B27" s="5">
        <v>4.7934207287342e-6</v>
      </c>
      <c r="C27" s="6">
        <f t="shared" si="0"/>
        <v>1.6534089667134e-11</v>
      </c>
      <c r="D27" s="5">
        <v>1.0788421250654e-12</v>
      </c>
      <c r="E27" s="5">
        <v>1.311435244963e-12</v>
      </c>
      <c r="F27" s="5">
        <v>1.3114351863691e-12</v>
      </c>
      <c r="G27" s="5">
        <v>1.3114350100572e-12</v>
      </c>
      <c r="H27" s="5">
        <v>1.0788418468371e-12</v>
      </c>
      <c r="I27" s="5">
        <v>1.0788419335408e-12</v>
      </c>
      <c r="J27" s="5">
        <v>1.0788418804014e-12</v>
      </c>
      <c r="K27" s="5">
        <v>1.1391019049188e-12</v>
      </c>
      <c r="L27" s="5">
        <v>1.1391020924126e-12</v>
      </c>
      <c r="M27" s="5">
        <v>1.139101839348e-12</v>
      </c>
      <c r="N27" s="5">
        <v>1.1938088249486e-12</v>
      </c>
      <c r="O27" s="5">
        <v>1.0788418514993e-12</v>
      </c>
      <c r="P27" s="5">
        <v>1.1938087257267e-12</v>
      </c>
      <c r="Q27" s="5">
        <v>1.1938094751055e-12</v>
      </c>
      <c r="R27" s="5">
        <v>1.3114350156059e-12</v>
      </c>
      <c r="S27" s="5">
        <v>1.3114349347849e-12</v>
      </c>
      <c r="T27" s="5">
        <v>1.3114350059757e-12</v>
      </c>
      <c r="U27" s="5">
        <v>1.0788418766993e-12</v>
      </c>
      <c r="V27" s="5">
        <v>1.1391020007362e-12</v>
      </c>
      <c r="W27" s="5">
        <v>1.1391021866826e-12</v>
      </c>
      <c r="X27" s="5">
        <v>1.1391019566283e-12</v>
      </c>
      <c r="Y27" s="5">
        <v>1.1938087958792e-12</v>
      </c>
      <c r="Z27" s="5">
        <v>1.1938094646208e-12</v>
      </c>
      <c r="AA27" s="5">
        <v>1.1938096782468e-12</v>
      </c>
      <c r="AB27" s="3">
        <v>0.99931628908835</v>
      </c>
      <c r="AC27" s="3">
        <v>0.99758902415254</v>
      </c>
      <c r="AD27" s="3">
        <v>0.00041561588940114</v>
      </c>
      <c r="AE27" s="5">
        <v>-5.1960586430438e-16</v>
      </c>
      <c r="AF27" s="5">
        <v>2.7240228282444e-15</v>
      </c>
      <c r="AG27" s="5">
        <v>1.9352392961921e-15</v>
      </c>
      <c r="AH27" s="5">
        <v>1.2678100699494e-16</v>
      </c>
      <c r="AI27" s="5">
        <v>-6.6989224532652e-17</v>
      </c>
      <c r="AJ27" s="5">
        <v>5.501662012031e-16</v>
      </c>
      <c r="AK27" s="5">
        <v>3.1300230866169e-17</v>
      </c>
      <c r="AL27" s="5">
        <v>4.6983888401845e-16</v>
      </c>
      <c r="AM27" s="5">
        <v>1.7164737318278e-16</v>
      </c>
      <c r="AN27" s="5">
        <v>-9.4333740173996e-17</v>
      </c>
      <c r="AO27" s="5">
        <v>6.3831789852432e-16</v>
      </c>
      <c r="AP27" s="5">
        <v>4.3901027945243e-18</v>
      </c>
      <c r="AQ27" s="5">
        <v>2.6242127944363e-16</v>
      </c>
      <c r="AR27" s="5">
        <v>-3.6851240800275e-15</v>
      </c>
      <c r="AS27" s="5">
        <v>-3.3958477766313e-16</v>
      </c>
      <c r="AT27" s="5">
        <v>1.7438110231512e-16</v>
      </c>
      <c r="AU27" s="5">
        <v>-5.7890992142367e-16</v>
      </c>
      <c r="AV27" s="5">
        <v>-4.1997833062279e-16</v>
      </c>
      <c r="AW27" s="5">
        <v>-2.4233436719794e-16</v>
      </c>
      <c r="AX27" s="5">
        <v>1.9981467430406e-15</v>
      </c>
      <c r="AY27" s="5">
        <v>3.8755566810352e-16</v>
      </c>
      <c r="AZ27" s="5">
        <v>-1.2352409140024e-15</v>
      </c>
      <c r="BA27" s="5">
        <v>2.4207488047229e-15</v>
      </c>
      <c r="BB27" s="5">
        <v>-6.9884405799851e-15</v>
      </c>
      <c r="BC27" s="3">
        <v>15997823.491246</v>
      </c>
      <c r="BD27" s="3">
        <v>3999256.0042717</v>
      </c>
      <c r="BE27" s="3">
        <v>-0.00020031286378869</v>
      </c>
      <c r="BF27" s="3">
        <v>0.00042634261076519</v>
      </c>
      <c r="BG27" s="3">
        <v>0.0001227939583451</v>
      </c>
      <c r="BH27" s="3">
        <v>-0.0005053105235751</v>
      </c>
      <c r="BI27" s="3">
        <v>100.45700040657</v>
      </c>
      <c r="BJ27" s="3">
        <v>50.232799927316</v>
      </c>
      <c r="BK27" s="3">
        <v>92.384925538585</v>
      </c>
      <c r="BL27" s="4"/>
      <c r="BM27" s="7"/>
    </row>
    <row r="28" spans="1:65">
      <c r="A28" s="3">
        <v>353972.89219207</v>
      </c>
      <c r="B28" s="5">
        <v>5.3782298365171e-6</v>
      </c>
      <c r="C28" s="6">
        <f t="shared" si="0"/>
        <v>1.65316376760976e-11</v>
      </c>
      <c r="D28" s="5">
        <v>1.0788196585685e-12</v>
      </c>
      <c r="E28" s="5">
        <v>1.3113175382194e-12</v>
      </c>
      <c r="F28" s="5">
        <v>1.3113174726132e-12</v>
      </c>
      <c r="G28" s="5">
        <v>1.3113172751132e-12</v>
      </c>
      <c r="H28" s="5">
        <v>1.0788193465355e-12</v>
      </c>
      <c r="I28" s="5">
        <v>1.0788194437425e-12</v>
      </c>
      <c r="J28" s="5">
        <v>1.0788193841903e-12</v>
      </c>
      <c r="K28" s="5">
        <v>1.1390568313621e-12</v>
      </c>
      <c r="L28" s="5">
        <v>1.1390570418206e-12</v>
      </c>
      <c r="M28" s="5">
        <v>1.1390567577223e-12</v>
      </c>
      <c r="N28" s="5">
        <v>1.19371478817e-12</v>
      </c>
      <c r="O28" s="5">
        <v>1.0788193517629e-12</v>
      </c>
      <c r="P28" s="5">
        <v>1.1937146768328e-12</v>
      </c>
      <c r="Q28" s="5">
        <v>1.1937155178724e-12</v>
      </c>
      <c r="R28" s="5">
        <v>1.3113172811551e-12</v>
      </c>
      <c r="S28" s="5">
        <v>1.3113171905795e-12</v>
      </c>
      <c r="T28" s="5">
        <v>1.3113172704263e-12</v>
      </c>
      <c r="U28" s="5">
        <v>1.0788193800644e-12</v>
      </c>
      <c r="V28" s="5">
        <v>1.1390569385338e-12</v>
      </c>
      <c r="W28" s="5">
        <v>1.139057147454e-12</v>
      </c>
      <c r="X28" s="5">
        <v>1.1390568895194e-12</v>
      </c>
      <c r="Y28" s="5">
        <v>1.1937147553736e-12</v>
      </c>
      <c r="Z28" s="5">
        <v>1.1937155058609e-12</v>
      </c>
      <c r="AA28" s="5">
        <v>1.1937157459269e-12</v>
      </c>
      <c r="AB28" s="3">
        <v>0.99931610394252</v>
      </c>
      <c r="AC28" s="3">
        <v>0.99758815993969</v>
      </c>
      <c r="AD28" s="3">
        <v>0.00041610385005926</v>
      </c>
      <c r="AE28" s="5">
        <v>-5.2063429028727e-16</v>
      </c>
      <c r="AF28" s="5">
        <v>2.7182226956574e-15</v>
      </c>
      <c r="AG28" s="5">
        <v>1.9325507396955e-15</v>
      </c>
      <c r="AH28" s="5">
        <v>1.2751536784016e-16</v>
      </c>
      <c r="AI28" s="5">
        <v>-6.7066104707558e-17</v>
      </c>
      <c r="AJ28" s="5">
        <v>5.5004766484125e-16</v>
      </c>
      <c r="AK28" s="5">
        <v>3.1309136154589e-17</v>
      </c>
      <c r="AL28" s="5">
        <v>4.6979511914966e-16</v>
      </c>
      <c r="AM28" s="5">
        <v>1.7639830792822e-16</v>
      </c>
      <c r="AN28" s="5">
        <v>-9.4304498981647e-17</v>
      </c>
      <c r="AO28" s="5">
        <v>6.3787479264667e-16</v>
      </c>
      <c r="AP28" s="5">
        <v>4.5840441234978e-18</v>
      </c>
      <c r="AQ28" s="5">
        <v>2.6262989413051e-16</v>
      </c>
      <c r="AR28" s="5">
        <v>-3.6822344073647e-15</v>
      </c>
      <c r="AS28" s="5">
        <v>-3.3835043467358e-16</v>
      </c>
      <c r="AT28" s="5">
        <v>1.7389147431979e-16</v>
      </c>
      <c r="AU28" s="5">
        <v>-5.777888440473e-16</v>
      </c>
      <c r="AV28" s="5">
        <v>-4.2005454125965e-16</v>
      </c>
      <c r="AW28" s="5">
        <v>-2.4181235560387e-16</v>
      </c>
      <c r="AX28" s="5">
        <v>1.9948273958492e-15</v>
      </c>
      <c r="AY28" s="5">
        <v>3.8702635106446e-16</v>
      </c>
      <c r="AZ28" s="5">
        <v>-1.2325024924282e-15</v>
      </c>
      <c r="BA28" s="5">
        <v>2.4201312660382e-15</v>
      </c>
      <c r="BB28" s="5">
        <v>-6.9850749817641e-15</v>
      </c>
      <c r="BC28" s="3">
        <v>15997557.922986</v>
      </c>
      <c r="BD28" s="3">
        <v>3999165.237142</v>
      </c>
      <c r="BE28" s="3">
        <v>-0.00020021229897562</v>
      </c>
      <c r="BF28" s="3">
        <v>0.00042697898326206</v>
      </c>
      <c r="BG28" s="3">
        <v>0.0001231474895536</v>
      </c>
      <c r="BH28" s="3">
        <v>-0.00050498361899107</v>
      </c>
      <c r="BI28" s="3">
        <v>100.45699977236</v>
      </c>
      <c r="BJ28" s="3">
        <v>50.232801514151</v>
      </c>
      <c r="BK28" s="3">
        <v>92.377694268795</v>
      </c>
      <c r="BL28" s="4"/>
      <c r="BM28" s="7"/>
    </row>
    <row r="29" spans="1:65">
      <c r="A29" s="3">
        <v>397164.11736215</v>
      </c>
      <c r="B29" s="5">
        <v>6.0343355343682e-6</v>
      </c>
      <c r="C29" s="6">
        <f t="shared" si="0"/>
        <v>1.65288894135045e-11</v>
      </c>
      <c r="D29" s="5">
        <v>1.0787944339691e-12</v>
      </c>
      <c r="E29" s="5">
        <v>1.3111855638257e-12</v>
      </c>
      <c r="F29" s="5">
        <v>1.3111854903878e-12</v>
      </c>
      <c r="G29" s="5">
        <v>1.3111852692007e-12</v>
      </c>
      <c r="H29" s="5">
        <v>1.0787940840477e-12</v>
      </c>
      <c r="I29" s="5">
        <v>1.0787941930185e-12</v>
      </c>
      <c r="J29" s="5">
        <v>1.0787941262903e-12</v>
      </c>
      <c r="K29" s="5">
        <v>1.1390062513619e-12</v>
      </c>
      <c r="L29" s="5">
        <v>1.1390064876075e-12</v>
      </c>
      <c r="M29" s="5">
        <v>1.139006168652e-12</v>
      </c>
      <c r="N29" s="5">
        <v>1.1936093628591e-12</v>
      </c>
      <c r="O29" s="5">
        <v>1.0787940899081e-12</v>
      </c>
      <c r="P29" s="5">
        <v>1.1936092379274e-12</v>
      </c>
      <c r="Q29" s="5">
        <v>1.1936101818582e-12</v>
      </c>
      <c r="R29" s="5">
        <v>1.3111852757485e-12</v>
      </c>
      <c r="S29" s="5">
        <v>1.3111851742567e-12</v>
      </c>
      <c r="T29" s="5">
        <v>1.3111852638069e-12</v>
      </c>
      <c r="U29" s="5">
        <v>1.0787941216962e-12</v>
      </c>
      <c r="V29" s="5">
        <v>1.1390063711854e-12</v>
      </c>
      <c r="W29" s="5">
        <v>1.1390066059533e-12</v>
      </c>
      <c r="X29" s="5">
        <v>1.1390063167886e-12</v>
      </c>
      <c r="Y29" s="5">
        <v>1.1936093258349e-12</v>
      </c>
      <c r="Z29" s="5">
        <v>1.1936101680695e-12</v>
      </c>
      <c r="AA29" s="5">
        <v>1.1936104378963e-12</v>
      </c>
      <c r="AB29" s="3">
        <v>0.99931589515274</v>
      </c>
      <c r="AC29" s="3">
        <v>0.9975871884075</v>
      </c>
      <c r="AD29" s="3">
        <v>0.00041665156576642</v>
      </c>
      <c r="AE29" s="5">
        <v>-5.2178774028224e-16</v>
      </c>
      <c r="AF29" s="5">
        <v>2.7117269303863e-15</v>
      </c>
      <c r="AG29" s="5">
        <v>1.929540035874e-15</v>
      </c>
      <c r="AH29" s="5">
        <v>1.2834008025534e-16</v>
      </c>
      <c r="AI29" s="5">
        <v>-6.7152338047834e-17</v>
      </c>
      <c r="AJ29" s="5">
        <v>5.4991349197491e-16</v>
      </c>
      <c r="AK29" s="5">
        <v>3.1318507686492e-17</v>
      </c>
      <c r="AL29" s="5">
        <v>4.697472222095e-16</v>
      </c>
      <c r="AM29" s="5">
        <v>1.8173731697294e-16</v>
      </c>
      <c r="AN29" s="5">
        <v>-9.4271867995577e-17</v>
      </c>
      <c r="AO29" s="5">
        <v>6.3737895114026e-16</v>
      </c>
      <c r="AP29" s="5">
        <v>4.8013280691977e-18</v>
      </c>
      <c r="AQ29" s="5">
        <v>2.628622654551e-16</v>
      </c>
      <c r="AR29" s="5">
        <v>-3.6789820216248e-15</v>
      </c>
      <c r="AS29" s="5">
        <v>-3.3696779759557e-16</v>
      </c>
      <c r="AT29" s="5">
        <v>1.7334277242701e-16</v>
      </c>
      <c r="AU29" s="5">
        <v>-5.7653191374308e-16</v>
      </c>
      <c r="AV29" s="5">
        <v>-4.2014062069899e-16</v>
      </c>
      <c r="AW29" s="5">
        <v>-2.4122453245941e-16</v>
      </c>
      <c r="AX29" s="5">
        <v>1.991101063082e-15</v>
      </c>
      <c r="AY29" s="5">
        <v>3.8642857218571e-16</v>
      </c>
      <c r="AZ29" s="5">
        <v>-1.2294364592717e-15</v>
      </c>
      <c r="BA29" s="5">
        <v>2.4194327488463e-15</v>
      </c>
      <c r="BB29" s="5">
        <v>-6.9812843603284e-15</v>
      </c>
      <c r="BC29" s="3">
        <v>15997259.968677</v>
      </c>
      <c r="BD29" s="3">
        <v>3999063.4047558</v>
      </c>
      <c r="BE29" s="3">
        <v>-0.00020009940401245</v>
      </c>
      <c r="BF29" s="3">
        <v>0.00042769288624653</v>
      </c>
      <c r="BG29" s="3">
        <v>0.00012354413997303</v>
      </c>
      <c r="BH29" s="3">
        <v>-0.00050461603376325</v>
      </c>
      <c r="BI29" s="3">
        <v>100.45699906956</v>
      </c>
      <c r="BJ29" s="3">
        <v>50.232803292264</v>
      </c>
      <c r="BK29" s="3">
        <v>92.369590662461</v>
      </c>
      <c r="BL29" s="4"/>
      <c r="BM29" s="7"/>
    </row>
    <row r="30" spans="1:65">
      <c r="A30" s="3">
        <v>445625.46906688</v>
      </c>
      <c r="B30" s="5">
        <v>6.7704216191957e-6</v>
      </c>
      <c r="C30" s="6">
        <f t="shared" si="0"/>
        <v>1.65258094749306e-11</v>
      </c>
      <c r="D30" s="5">
        <v>1.0787661103106e-12</v>
      </c>
      <c r="E30" s="5">
        <v>1.311037605074e-12</v>
      </c>
      <c r="F30" s="5">
        <v>1.3110375228939e-12</v>
      </c>
      <c r="G30" s="5">
        <v>1.3110372752381e-12</v>
      </c>
      <c r="H30" s="5">
        <v>1.0787657179292e-12</v>
      </c>
      <c r="I30" s="5">
        <v>1.0787658400731e-12</v>
      </c>
      <c r="J30" s="5">
        <v>1.0787657653173e-12</v>
      </c>
      <c r="K30" s="5">
        <v>1.1389494912656e-12</v>
      </c>
      <c r="L30" s="5">
        <v>1.1389497564708e-12</v>
      </c>
      <c r="M30" s="5">
        <v>1.1389493983578e-12</v>
      </c>
      <c r="N30" s="5">
        <v>1.1934911812809e-12</v>
      </c>
      <c r="O30" s="5">
        <v>1.0787657244987e-12</v>
      </c>
      <c r="P30" s="5">
        <v>1.1934910410947e-12</v>
      </c>
      <c r="Q30" s="5">
        <v>1.1934921005292e-12</v>
      </c>
      <c r="R30" s="5">
        <v>1.3110372822938e-12</v>
      </c>
      <c r="S30" s="5">
        <v>1.3110371685901e-12</v>
      </c>
      <c r="T30" s="5">
        <v>1.3110372690165e-12</v>
      </c>
      <c r="U30" s="5">
        <v>1.0787657602068e-12</v>
      </c>
      <c r="V30" s="5">
        <v>1.1389496251744e-12</v>
      </c>
      <c r="W30" s="5">
        <v>1.1389498890328e-12</v>
      </c>
      <c r="X30" s="5">
        <v>1.1389495648927e-12</v>
      </c>
      <c r="Y30" s="5">
        <v>1.1934911394551e-12</v>
      </c>
      <c r="Z30" s="5">
        <v>1.1934920846659e-12</v>
      </c>
      <c r="AA30" s="5">
        <v>1.1934923880044e-12</v>
      </c>
      <c r="AB30" s="3">
        <v>0.99931565956315</v>
      </c>
      <c r="AC30" s="3">
        <v>0.99758609597522</v>
      </c>
      <c r="AD30" s="3">
        <v>0.00041726638192081</v>
      </c>
      <c r="AE30" s="5">
        <v>-5.2308133069008e-16</v>
      </c>
      <c r="AF30" s="5">
        <v>2.7044537645449e-15</v>
      </c>
      <c r="AG30" s="5">
        <v>1.9261693827608e-15</v>
      </c>
      <c r="AH30" s="5">
        <v>1.2926635987046e-16</v>
      </c>
      <c r="AI30" s="5">
        <v>-6.7249061900533e-17</v>
      </c>
      <c r="AJ30" s="5">
        <v>5.4976146872178e-16</v>
      </c>
      <c r="AK30" s="5">
        <v>3.1328242999523e-17</v>
      </c>
      <c r="AL30" s="5">
        <v>4.6969499660602e-16</v>
      </c>
      <c r="AM30" s="5">
        <v>1.8773831710657e-16</v>
      </c>
      <c r="AN30" s="5">
        <v>-9.4235478096318e-17</v>
      </c>
      <c r="AO30" s="5">
        <v>6.3682426717855e-16</v>
      </c>
      <c r="AP30" s="5">
        <v>5.0447185440737e-18</v>
      </c>
      <c r="AQ30" s="5">
        <v>2.6312085418875e-16</v>
      </c>
      <c r="AR30" s="5">
        <v>-3.6753201369086e-15</v>
      </c>
      <c r="AS30" s="5">
        <v>-3.3541937338854e-16</v>
      </c>
      <c r="AT30" s="5">
        <v>1.7272795867333e-16</v>
      </c>
      <c r="AU30" s="5">
        <v>-5.7512279266915e-16</v>
      </c>
      <c r="AV30" s="5">
        <v>-4.2023792071893e-16</v>
      </c>
      <c r="AW30" s="5">
        <v>-2.4056234701844e-16</v>
      </c>
      <c r="AX30" s="5">
        <v>1.986917544542e-15</v>
      </c>
      <c r="AY30" s="5">
        <v>3.8575297144091e-16</v>
      </c>
      <c r="AZ30" s="5">
        <v>-1.2260045144508e-15</v>
      </c>
      <c r="BA30" s="5">
        <v>2.4186419138265e-15</v>
      </c>
      <c r="BB30" s="5">
        <v>-6.9770132011237e-15</v>
      </c>
      <c r="BC30" s="3">
        <v>15996925.681338</v>
      </c>
      <c r="BD30" s="3">
        <v>3998949.1595326</v>
      </c>
      <c r="BE30" s="3">
        <v>-0.00019997265916446</v>
      </c>
      <c r="BF30" s="3">
        <v>0.0004284937493117</v>
      </c>
      <c r="BG30" s="3">
        <v>0.00012398916627426</v>
      </c>
      <c r="BH30" s="3">
        <v>-0.00050420260906063</v>
      </c>
      <c r="BI30" s="3">
        <v>100.45699829206</v>
      </c>
      <c r="BJ30" s="3">
        <v>50.232805284385</v>
      </c>
      <c r="BK30" s="3">
        <v>92.360510851712</v>
      </c>
      <c r="BL30" s="4"/>
      <c r="BM30" s="7"/>
    </row>
    <row r="31" spans="1:65">
      <c r="A31" s="3">
        <v>500000.00000001</v>
      </c>
      <c r="B31" s="5">
        <v>7.5962274339172e-6</v>
      </c>
      <c r="C31" s="6">
        <f t="shared" si="0"/>
        <v>1.6522358333442e-11</v>
      </c>
      <c r="D31" s="5">
        <v>1.0787343038616e-12</v>
      </c>
      <c r="E31" s="5">
        <v>1.3108717419221e-12</v>
      </c>
      <c r="F31" s="5">
        <v>1.3108716499903e-12</v>
      </c>
      <c r="G31" s="5">
        <v>1.3108713727723e-12</v>
      </c>
      <c r="H31" s="5">
        <v>1.0787338639038e-12</v>
      </c>
      <c r="I31" s="5">
        <v>1.078734000795e-12</v>
      </c>
      <c r="J31" s="5">
        <v>1.0787339170625e-12</v>
      </c>
      <c r="K31" s="5">
        <v>1.1388857947477e-12</v>
      </c>
      <c r="L31" s="5">
        <v>1.1388860924791e-12</v>
      </c>
      <c r="M31" s="5">
        <v>1.1388856903711e-12</v>
      </c>
      <c r="N31" s="5">
        <v>1.1933587143488e-12</v>
      </c>
      <c r="O31" s="5">
        <v>1.0787338712672e-12</v>
      </c>
      <c r="P31" s="5">
        <v>1.1933585570451e-12</v>
      </c>
      <c r="Q31" s="5">
        <v>1.1933597461498e-12</v>
      </c>
      <c r="R31" s="5">
        <v>1.3108713803231e-12</v>
      </c>
      <c r="S31" s="5">
        <v>1.3108712529627e-12</v>
      </c>
      <c r="T31" s="5">
        <v>1.3108713655781e-12</v>
      </c>
      <c r="U31" s="5">
        <v>1.0787339113839e-12</v>
      </c>
      <c r="V31" s="5">
        <v>1.1388859443221e-12</v>
      </c>
      <c r="W31" s="5">
        <v>1.1388862409324e-12</v>
      </c>
      <c r="X31" s="5">
        <v>1.1388858776308e-12</v>
      </c>
      <c r="Y31" s="5">
        <v>1.1933586670627e-12</v>
      </c>
      <c r="Z31" s="5">
        <v>1.1933597278574e-12</v>
      </c>
      <c r="AA31" s="5">
        <v>1.1933600689478e-12</v>
      </c>
      <c r="AB31" s="3">
        <v>0.99931539356341</v>
      </c>
      <c r="AC31" s="3">
        <v>0.99758486727843</v>
      </c>
      <c r="AD31" s="3">
        <v>0.00041795655363783</v>
      </c>
      <c r="AE31" s="5">
        <v>-5.2453197879477e-16</v>
      </c>
      <c r="AF31" s="5">
        <v>2.6963122513618e-15</v>
      </c>
      <c r="AG31" s="5">
        <v>1.9223967464562e-15</v>
      </c>
      <c r="AH31" s="5">
        <v>1.3030683945277e-16</v>
      </c>
      <c r="AI31" s="5">
        <v>-6.735755269504e-17</v>
      </c>
      <c r="AJ31" s="5">
        <v>5.4958903097572e-16</v>
      </c>
      <c r="AK31" s="5">
        <v>3.1338186376269e-17</v>
      </c>
      <c r="AL31" s="5">
        <v>4.6963829933522e-16</v>
      </c>
      <c r="AM31" s="5">
        <v>1.9448480084076e-16</v>
      </c>
      <c r="AN31" s="5">
        <v>-9.4194926010648e-17</v>
      </c>
      <c r="AO31" s="5">
        <v>6.3620396684635e-16</v>
      </c>
      <c r="AP31" s="5">
        <v>5.3172944664835e-18</v>
      </c>
      <c r="AQ31" s="5">
        <v>2.6340830869078e-16</v>
      </c>
      <c r="AR31" s="5">
        <v>-3.6711956414821e-15</v>
      </c>
      <c r="AS31" s="5">
        <v>-3.3368569070965e-16</v>
      </c>
      <c r="AT31" s="5">
        <v>1.7203917908284e-16</v>
      </c>
      <c r="AU31" s="5">
        <v>-5.7354320950492e-16</v>
      </c>
      <c r="AV31" s="5">
        <v>-4.2034799630826e-16</v>
      </c>
      <c r="AW31" s="5">
        <v>-2.3981608150471e-16</v>
      </c>
      <c r="AX31" s="5">
        <v>1.9822203618342e-15</v>
      </c>
      <c r="AY31" s="5">
        <v>3.8498878493454e-16</v>
      </c>
      <c r="AZ31" s="5">
        <v>-1.2221641118801e-15</v>
      </c>
      <c r="BA31" s="5">
        <v>2.4177456600739e-15</v>
      </c>
      <c r="BB31" s="5">
        <v>-6.9721982956724e-15</v>
      </c>
      <c r="BC31" s="3">
        <v>15996550.633607</v>
      </c>
      <c r="BD31" s="3">
        <v>3998820.9901292</v>
      </c>
      <c r="BE31" s="3">
        <v>-0.00019983035537845</v>
      </c>
      <c r="BF31" s="3">
        <v>0.00042939214479599</v>
      </c>
      <c r="BG31" s="3">
        <v>0.00012448846533971</v>
      </c>
      <c r="BH31" s="3">
        <v>-0.00050373750261215</v>
      </c>
      <c r="BI31" s="3">
        <v>100.45699743356</v>
      </c>
      <c r="BJ31" s="3">
        <v>50.232807515853</v>
      </c>
      <c r="BK31" s="3">
        <v>92.350338953402</v>
      </c>
      <c r="BL31" s="4"/>
      <c r="BM31" s="7"/>
    </row>
    <row r="32" spans="1:65">
      <c r="A32" s="3">
        <v>561009.22715099</v>
      </c>
      <c r="B32" s="5">
        <v>8.5226756481531e-6</v>
      </c>
      <c r="C32" s="6">
        <f t="shared" si="0"/>
        <v>1.65184917985613e-11</v>
      </c>
      <c r="D32" s="5">
        <v>1.0786985825032e-12</v>
      </c>
      <c r="E32" s="5">
        <v>1.3106858276532e-12</v>
      </c>
      <c r="F32" s="5">
        <v>1.3106857248513e-12</v>
      </c>
      <c r="G32" s="5">
        <v>1.3106854146352e-12</v>
      </c>
      <c r="H32" s="5">
        <v>1.0786980892445e-12</v>
      </c>
      <c r="I32" s="5">
        <v>1.078698242641e-12</v>
      </c>
      <c r="J32" s="5">
        <v>1.0786981488745e-12</v>
      </c>
      <c r="K32" s="5">
        <v>1.1388143126423e-12</v>
      </c>
      <c r="L32" s="5">
        <v>1.1388146469108e-12</v>
      </c>
      <c r="M32" s="5">
        <v>1.1388141953639e-12</v>
      </c>
      <c r="N32" s="5">
        <v>1.1932114599028e-12</v>
      </c>
      <c r="O32" s="5">
        <v>1.0786980974966e-12</v>
      </c>
      <c r="P32" s="5">
        <v>1.1932112833906e-12</v>
      </c>
      <c r="Q32" s="5">
        <v>1.1932126180797e-12</v>
      </c>
      <c r="R32" s="5">
        <v>1.3106854226472e-12</v>
      </c>
      <c r="S32" s="5">
        <v>1.3106852800207e-12</v>
      </c>
      <c r="T32" s="5">
        <v>1.3106854062949e-12</v>
      </c>
      <c r="U32" s="5">
        <v>1.0786981425727e-12</v>
      </c>
      <c r="V32" s="5">
        <v>1.1388144796201e-12</v>
      </c>
      <c r="W32" s="5">
        <v>1.1388148131194e-12</v>
      </c>
      <c r="X32" s="5">
        <v>1.1388144059801e-12</v>
      </c>
      <c r="Y32" s="5">
        <v>1.1932114063987e-12</v>
      </c>
      <c r="Z32" s="5">
        <v>1.1932125969338e-12</v>
      </c>
      <c r="AA32" s="5">
        <v>1.1932129805741e-12</v>
      </c>
      <c r="AB32" s="3">
        <v>0.99931509302383</v>
      </c>
      <c r="AC32" s="3">
        <v>0.99758348494227</v>
      </c>
      <c r="AD32" s="3">
        <v>0.00041873135996355</v>
      </c>
      <c r="AE32" s="5">
        <v>-5.261586085832e-16</v>
      </c>
      <c r="AF32" s="5">
        <v>2.6872013457529e-15</v>
      </c>
      <c r="AG32" s="5">
        <v>1.9181754416319e-15</v>
      </c>
      <c r="AH32" s="5">
        <v>1.3147575329686e-16</v>
      </c>
      <c r="AI32" s="5">
        <v>-6.7479243093084e-17</v>
      </c>
      <c r="AJ32" s="5">
        <v>5.4939320126794e-16</v>
      </c>
      <c r="AK32" s="5">
        <v>3.1348112248755e-17</v>
      </c>
      <c r="AL32" s="5">
        <v>4.6957707404624e-16</v>
      </c>
      <c r="AM32" s="5">
        <v>2.0207112612234e-16</v>
      </c>
      <c r="AN32" s="5">
        <v>-9.4149773204349e-17</v>
      </c>
      <c r="AO32" s="5">
        <v>6.3551054470473e-16</v>
      </c>
      <c r="AP32" s="5">
        <v>5.6224822116992e-18</v>
      </c>
      <c r="AQ32" s="5">
        <v>2.6372745902553e-16</v>
      </c>
      <c r="AR32" s="5">
        <v>-3.6665481850592e-15</v>
      </c>
      <c r="AS32" s="5">
        <v>-3.3174509641182e-16</v>
      </c>
      <c r="AT32" s="5">
        <v>1.7126767477876e-16</v>
      </c>
      <c r="AU32" s="5">
        <v>-5.7177273931497e-16</v>
      </c>
      <c r="AV32" s="5">
        <v>-4.204726396269e-16</v>
      </c>
      <c r="AW32" s="5">
        <v>-2.3897468159162e-16</v>
      </c>
      <c r="AX32" s="5">
        <v>1.9769459995078e-15</v>
      </c>
      <c r="AY32" s="5">
        <v>3.8412360558535e-16</v>
      </c>
      <c r="AZ32" s="5">
        <v>-1.2178680462364e-15</v>
      </c>
      <c r="BA32" s="5">
        <v>2.4167288156113e-15</v>
      </c>
      <c r="BB32" s="5">
        <v>-6.9667675799625e-15</v>
      </c>
      <c r="BC32" s="3">
        <v>15996129.859408</v>
      </c>
      <c r="BD32" s="3">
        <v>3998677.201617</v>
      </c>
      <c r="BE32" s="3">
        <v>-0.00019967057006023</v>
      </c>
      <c r="BF32" s="3">
        <v>0.00043039992521432</v>
      </c>
      <c r="BG32" s="3">
        <v>0.00012504865208211</v>
      </c>
      <c r="BH32" s="3">
        <v>-0.00050321411443365</v>
      </c>
      <c r="BI32" s="3">
        <v>100.45699648768</v>
      </c>
      <c r="BJ32" s="3">
        <v>50.232810014956</v>
      </c>
      <c r="BK32" s="3">
        <v>92.338945765665</v>
      </c>
      <c r="BL32" s="4"/>
      <c r="BM32" s="7"/>
    </row>
    <row r="33" spans="1:65">
      <c r="A33" s="3">
        <v>629462.7058971</v>
      </c>
      <c r="B33" s="5">
        <v>9.5620154242726e-6</v>
      </c>
      <c r="C33" s="6">
        <f t="shared" si="0"/>
        <v>1.65141604832501e-11</v>
      </c>
      <c r="D33" s="5">
        <v>1.0786584590068e-12</v>
      </c>
      <c r="E33" s="5">
        <v>1.3104774627532e-12</v>
      </c>
      <c r="F33" s="5">
        <v>1.3104773478448e-12</v>
      </c>
      <c r="G33" s="5">
        <v>1.3104770008191e-12</v>
      </c>
      <c r="H33" s="5">
        <v>1.0786579060442e-12</v>
      </c>
      <c r="I33" s="5">
        <v>1.078658077908e-12</v>
      </c>
      <c r="J33" s="5">
        <v>1.0786579729313e-12</v>
      </c>
      <c r="K33" s="5">
        <v>1.1387340917503e-12</v>
      </c>
      <c r="L33" s="5">
        <v>1.1387344670682e-12</v>
      </c>
      <c r="M33" s="5">
        <v>1.1387339599535e-12</v>
      </c>
      <c r="N33" s="5">
        <v>1.1930482615102e-12</v>
      </c>
      <c r="O33" s="5">
        <v>1.078657915291e-12</v>
      </c>
      <c r="P33" s="5">
        <v>1.1930480634425e-12</v>
      </c>
      <c r="Q33" s="5">
        <v>1.1930495615962e-12</v>
      </c>
      <c r="R33" s="5">
        <v>1.31047700923e-12</v>
      </c>
      <c r="S33" s="5">
        <v>1.3104768495462e-12</v>
      </c>
      <c r="T33" s="5">
        <v>1.3104769911237e-12</v>
      </c>
      <c r="U33" s="5">
        <v>1.0786579659478e-12</v>
      </c>
      <c r="V33" s="5">
        <v>1.1387342780375e-12</v>
      </c>
      <c r="W33" s="5">
        <v>1.138734653104e-12</v>
      </c>
      <c r="X33" s="5">
        <v>1.1387341969057e-12</v>
      </c>
      <c r="Y33" s="5">
        <v>1.1930482009143e-12</v>
      </c>
      <c r="Z33" s="5">
        <v>1.1930495370873e-12</v>
      </c>
      <c r="AA33" s="5">
        <v>1.1930499687118e-12</v>
      </c>
      <c r="AB33" s="3">
        <v>0.99931475321284</v>
      </c>
      <c r="AC33" s="3">
        <v>0.99758192940205</v>
      </c>
      <c r="AD33" s="3">
        <v>0.00041960123266909</v>
      </c>
      <c r="AE33" s="5">
        <v>-5.2798225075813e-16</v>
      </c>
      <c r="AF33" s="5">
        <v>2.6770089153466e-15</v>
      </c>
      <c r="AG33" s="5">
        <v>1.9134536877276e-15</v>
      </c>
      <c r="AH33" s="5">
        <v>1.3278914094151e-16</v>
      </c>
      <c r="AI33" s="5">
        <v>-6.7615739715777e-17</v>
      </c>
      <c r="AJ33" s="5">
        <v>5.491705011573e-16</v>
      </c>
      <c r="AK33" s="5">
        <v>3.1357720434976e-17</v>
      </c>
      <c r="AL33" s="5">
        <v>4.6951142335404e-16</v>
      </c>
      <c r="AM33" s="5">
        <v>2.1060389071886e-16</v>
      </c>
      <c r="AN33" s="5">
        <v>-9.4099546820453e-17</v>
      </c>
      <c r="AO33" s="5">
        <v>6.3473569431234e-16</v>
      </c>
      <c r="AP33" s="5">
        <v>5.9640900674062e-18</v>
      </c>
      <c r="AQ33" s="5">
        <v>2.6408130243959e-16</v>
      </c>
      <c r="AR33" s="5">
        <v>-3.6613091181478e-15</v>
      </c>
      <c r="AS33" s="5">
        <v>-3.2957352839108e-16</v>
      </c>
      <c r="AT33" s="5">
        <v>1.7040368592736e-16</v>
      </c>
      <c r="AU33" s="5">
        <v>-5.6978856378378e-16</v>
      </c>
      <c r="AV33" s="5">
        <v>-4.2061391626057e-16</v>
      </c>
      <c r="AW33" s="5">
        <v>-2.380255730531e-16</v>
      </c>
      <c r="AX33" s="5">
        <v>1.9710232749174e-15</v>
      </c>
      <c r="AY33" s="5">
        <v>3.8314309620293e-16</v>
      </c>
      <c r="AZ33" s="5">
        <v>-1.2130640024892e-15</v>
      </c>
      <c r="BA33" s="5">
        <v>2.4155737879529e-15</v>
      </c>
      <c r="BB33" s="5">
        <v>-6.960638766602e-15</v>
      </c>
      <c r="BC33" s="3">
        <v>15995657.788481</v>
      </c>
      <c r="BD33" s="3">
        <v>3998515.8932478</v>
      </c>
      <c r="BE33" s="3">
        <v>-0.00019949113921387</v>
      </c>
      <c r="BF33" s="3">
        <v>0.00043153037694797</v>
      </c>
      <c r="BG33" s="3">
        <v>0.00012567714668875</v>
      </c>
      <c r="BH33" s="3">
        <v>-0.00050262497570491</v>
      </c>
      <c r="BI33" s="3">
        <v>100.45699544821</v>
      </c>
      <c r="BJ33" s="3">
        <v>50.232812813406</v>
      </c>
      <c r="BK33" s="3">
        <v>92.326187335809</v>
      </c>
      <c r="BL33" s="4"/>
      <c r="BM33" s="7"/>
    </row>
    <row r="34" spans="1:65">
      <c r="A34" s="3">
        <v>706268.77231139</v>
      </c>
      <c r="B34" s="5">
        <v>1.0727982519808e-5</v>
      </c>
      <c r="C34" s="6">
        <f t="shared" si="0"/>
        <v>1.65093098420161e-11</v>
      </c>
      <c r="D34" s="5">
        <v>1.0786133845959e-12</v>
      </c>
      <c r="E34" s="5">
        <v>1.310243967139e-12</v>
      </c>
      <c r="F34" s="5">
        <v>1.3102438387593e-12</v>
      </c>
      <c r="G34" s="5">
        <v>1.3102434507023e-12</v>
      </c>
      <c r="H34" s="5">
        <v>1.0786127647706e-12</v>
      </c>
      <c r="I34" s="5">
        <v>1.0786129572899e-12</v>
      </c>
      <c r="J34" s="5">
        <v>1.0786128397951e-12</v>
      </c>
      <c r="K34" s="5">
        <v>1.1386440614414e-12</v>
      </c>
      <c r="L34" s="5">
        <v>1.1386444828867e-12</v>
      </c>
      <c r="M34" s="5">
        <v>1.1386439133014e-12</v>
      </c>
      <c r="N34" s="5">
        <v>1.1928655894507e-12</v>
      </c>
      <c r="O34" s="5">
        <v>1.0786127751303e-12</v>
      </c>
      <c r="P34" s="5">
        <v>1.192865367193e-12</v>
      </c>
      <c r="Q34" s="5">
        <v>1.1928670489032e-12</v>
      </c>
      <c r="R34" s="5">
        <v>1.3102434594122e-12</v>
      </c>
      <c r="S34" s="5">
        <v>1.3102432806795e-12</v>
      </c>
      <c r="T34" s="5">
        <v>1.3102434393997e-12</v>
      </c>
      <c r="U34" s="5">
        <v>1.0786128320689e-12</v>
      </c>
      <c r="V34" s="5">
        <v>1.1386442691217e-12</v>
      </c>
      <c r="W34" s="5">
        <v>1.13864469105e-12</v>
      </c>
      <c r="X34" s="5">
        <v>1.1386441799662e-12</v>
      </c>
      <c r="Y34" s="5">
        <v>1.1928655207529e-12</v>
      </c>
      <c r="Z34" s="5">
        <v>1.1928670204178e-12</v>
      </c>
      <c r="AA34" s="5">
        <v>1.1928675061889e-12</v>
      </c>
      <c r="AB34" s="3">
        <v>0.9993143686489</v>
      </c>
      <c r="AC34" s="3">
        <v>0.99758017816647</v>
      </c>
      <c r="AD34" s="3">
        <v>0.00042057790204851</v>
      </c>
      <c r="AE34" s="5">
        <v>-5.3002613604351e-16</v>
      </c>
      <c r="AF34" s="5">
        <v>2.6656107415899e-15</v>
      </c>
      <c r="AG34" s="5">
        <v>1.9081741045287e-15</v>
      </c>
      <c r="AH34" s="5">
        <v>1.3426509177551e-16</v>
      </c>
      <c r="AI34" s="5">
        <v>-6.7768849967803e-17</v>
      </c>
      <c r="AJ34" s="5">
        <v>5.4891683469334e-16</v>
      </c>
      <c r="AK34" s="5">
        <v>3.1366624943218e-17</v>
      </c>
      <c r="AL34" s="5">
        <v>4.6944157973444e-16</v>
      </c>
      <c r="AM34" s="5">
        <v>2.2020385696504e-16</v>
      </c>
      <c r="AN34" s="5">
        <v>-9.4043734093981e-17</v>
      </c>
      <c r="AO34" s="5">
        <v>6.338702407218e-16</v>
      </c>
      <c r="AP34" s="5">
        <v>6.3463456484383e-18</v>
      </c>
      <c r="AQ34" s="5">
        <v>2.6447297710025e-16</v>
      </c>
      <c r="AR34" s="5">
        <v>-3.6554002077936e-15</v>
      </c>
      <c r="AS34" s="5">
        <v>-3.271443167108e-16</v>
      </c>
      <c r="AT34" s="5">
        <v>1.6943634455706e-16</v>
      </c>
      <c r="AU34" s="5">
        <v>-5.675651915378e-16</v>
      </c>
      <c r="AV34" s="5">
        <v>-4.2077422027046e-16</v>
      </c>
      <c r="AW34" s="5">
        <v>-2.369544427486e-16</v>
      </c>
      <c r="AX34" s="5">
        <v>1.9643717963203e-15</v>
      </c>
      <c r="AY34" s="5">
        <v>3.8203064246328e-16</v>
      </c>
      <c r="AZ34" s="5">
        <v>-1.2076941350162e-15</v>
      </c>
      <c r="BA34" s="5">
        <v>2.4142600941903e-15</v>
      </c>
      <c r="BB34" s="5">
        <v>-6.9537176684997e-15</v>
      </c>
      <c r="BC34" s="3">
        <v>15995128.173405</v>
      </c>
      <c r="BD34" s="3">
        <v>3998334.933694</v>
      </c>
      <c r="BE34" s="3">
        <v>-0.00019928962743307</v>
      </c>
      <c r="BF34" s="3">
        <v>0.00043279839209615</v>
      </c>
      <c r="BG34" s="3">
        <v>0.0001263822723415</v>
      </c>
      <c r="BH34" s="3">
        <v>-0.00050196160505256</v>
      </c>
      <c r="BI34" s="3">
        <v>100.45699430925</v>
      </c>
      <c r="BJ34" s="3">
        <v>50.232815946302</v>
      </c>
      <c r="BK34" s="3">
        <v>92.31190345562</v>
      </c>
      <c r="BL34" s="4"/>
      <c r="BM34" s="7"/>
    </row>
    <row r="35" spans="1:65">
      <c r="A35" s="3">
        <v>792446.59623057</v>
      </c>
      <c r="B35" s="5">
        <v>1.2035978650091e-5</v>
      </c>
      <c r="C35" s="6">
        <f t="shared" si="0"/>
        <v>1.65038787504522e-11</v>
      </c>
      <c r="D35" s="5">
        <v>1.0785627405213e-12</v>
      </c>
      <c r="E35" s="5">
        <v>1.3099823486732e-12</v>
      </c>
      <c r="F35" s="5">
        <v>1.3099822053197e-12</v>
      </c>
      <c r="G35" s="5">
        <v>1.3099817715633e-12</v>
      </c>
      <c r="H35" s="5">
        <v>1.078562045832e-12</v>
      </c>
      <c r="I35" s="5">
        <v>1.0785622614455e-12</v>
      </c>
      <c r="J35" s="5">
        <v>1.0785621299809e-12</v>
      </c>
      <c r="K35" s="5">
        <v>1.1385430191093e-12</v>
      </c>
      <c r="L35" s="5">
        <v>1.1385434923992e-12</v>
      </c>
      <c r="M35" s="5">
        <v>1.1385428525641e-12</v>
      </c>
      <c r="N35" s="5">
        <v>1.1926609405166e-12</v>
      </c>
      <c r="O35" s="5">
        <v>1.0785620574366e-12</v>
      </c>
      <c r="P35" s="5">
        <v>1.1926606911109e-12</v>
      </c>
      <c r="Q35" s="5">
        <v>1.1926625789593e-12</v>
      </c>
      <c r="R35" s="5">
        <v>1.3099817804217e-12</v>
      </c>
      <c r="S35" s="5">
        <v>1.3099815804284e-12</v>
      </c>
      <c r="T35" s="5">
        <v>1.3099817583481e-12</v>
      </c>
      <c r="U35" s="5">
        <v>1.0785621214487e-12</v>
      </c>
      <c r="V35" s="5">
        <v>1.1385432504516e-12</v>
      </c>
      <c r="W35" s="5">
        <v>1.1385437252399e-12</v>
      </c>
      <c r="X35" s="5">
        <v>1.1385431527724e-12</v>
      </c>
      <c r="Y35" s="5">
        <v>1.1926608625464e-12</v>
      </c>
      <c r="Z35" s="5">
        <v>1.1926625457564e-12</v>
      </c>
      <c r="AA35" s="5">
        <v>1.1926630926707e-12</v>
      </c>
      <c r="AB35" s="3">
        <v>0.99931393302465</v>
      </c>
      <c r="AC35" s="3">
        <v>0.99757820577539</v>
      </c>
      <c r="AD35" s="3">
        <v>0.00042167456132888</v>
      </c>
      <c r="AE35" s="5">
        <v>-5.3231643830111e-16</v>
      </c>
      <c r="AF35" s="5">
        <v>2.6528694197118e-15</v>
      </c>
      <c r="AG35" s="5">
        <v>1.9022732421725e-15</v>
      </c>
      <c r="AH35" s="5">
        <v>1.3592402668309e-16</v>
      </c>
      <c r="AI35" s="5">
        <v>-6.7940607866031e-17</v>
      </c>
      <c r="AJ35" s="5">
        <v>5.4862742946349e-16</v>
      </c>
      <c r="AK35" s="5">
        <v>3.1374262873365e-17</v>
      </c>
      <c r="AL35" s="5">
        <v>4.6936798984858e-16</v>
      </c>
      <c r="AM35" s="5">
        <v>2.3100793967969e-16</v>
      </c>
      <c r="AN35" s="5">
        <v>-9.3981785745414e-17</v>
      </c>
      <c r="AO35" s="5">
        <v>6.3290405768384e-16</v>
      </c>
      <c r="AP35" s="5">
        <v>6.7739351730108e-18</v>
      </c>
      <c r="AQ35" s="5">
        <v>2.6490572568496e-16</v>
      </c>
      <c r="AR35" s="5">
        <v>-3.6487323086958e-15</v>
      </c>
      <c r="AS35" s="5">
        <v>-3.2442792691367e-16</v>
      </c>
      <c r="AT35" s="5">
        <v>1.6835355831227e-16</v>
      </c>
      <c r="AU35" s="5">
        <v>-5.6507416594969e-16</v>
      </c>
      <c r="AV35" s="5">
        <v>-4.2095633695674e-16</v>
      </c>
      <c r="AW35" s="5">
        <v>-2.3574494264678e-16</v>
      </c>
      <c r="AX35" s="5">
        <v>1.9569008971831e-15</v>
      </c>
      <c r="AY35" s="5">
        <v>3.8076694377684e-16</v>
      </c>
      <c r="AZ35" s="5">
        <v>-1.2016945901117e-15</v>
      </c>
      <c r="BA35" s="5">
        <v>2.4127637856619e-15</v>
      </c>
      <c r="BB35" s="5">
        <v>-6.9458964496432e-15</v>
      </c>
      <c r="BC35" s="3">
        <v>15994534.007587</v>
      </c>
      <c r="BD35" s="3">
        <v>3998131.933248</v>
      </c>
      <c r="BE35" s="3">
        <v>-0.00019906329282757</v>
      </c>
      <c r="BF35" s="3">
        <v>0.00043422066045309</v>
      </c>
      <c r="BG35" s="3">
        <v>0.00012717336483818</v>
      </c>
      <c r="BH35" s="3">
        <v>-0.00050121439006947</v>
      </c>
      <c r="BI35" s="3">
        <v>100.4569930655</v>
      </c>
      <c r="BJ35" s="3">
        <v>50.232819452594</v>
      </c>
      <c r="BK35" s="3">
        <v>92.295915995489</v>
      </c>
      <c r="BL35" s="4"/>
      <c r="BM35" s="7"/>
    </row>
    <row r="36" spans="1:65">
      <c r="A36" s="3">
        <v>889139.70501948</v>
      </c>
      <c r="B36" s="5">
        <v>1.3503272250357e-5</v>
      </c>
      <c r="C36" s="6">
        <f t="shared" si="0"/>
        <v>1.64977992756706e-11</v>
      </c>
      <c r="D36" s="5">
        <v>1.0785058285982e-12</v>
      </c>
      <c r="E36" s="5">
        <v>1.3096892686498e-12</v>
      </c>
      <c r="F36" s="5">
        <v>1.3096891086722e-12</v>
      </c>
      <c r="G36" s="5">
        <v>1.3096886240646e-12</v>
      </c>
      <c r="H36" s="5">
        <v>1.0785050501062e-12</v>
      </c>
      <c r="I36" s="5">
        <v>1.0785052915293e-12</v>
      </c>
      <c r="J36" s="5">
        <v>1.0785051444854e-12</v>
      </c>
      <c r="K36" s="5">
        <v>1.1384296138423e-12</v>
      </c>
      <c r="L36" s="5">
        <v>1.1384301454171e-12</v>
      </c>
      <c r="M36" s="5">
        <v>1.1384294265609e-12</v>
      </c>
      <c r="N36" s="5">
        <v>1.192431711763e-12</v>
      </c>
      <c r="O36" s="5">
        <v>1.0785050631026e-12</v>
      </c>
      <c r="P36" s="5">
        <v>1.1924314318881e-12</v>
      </c>
      <c r="Q36" s="5">
        <v>1.1924335512597e-12</v>
      </c>
      <c r="R36" s="5">
        <v>1.3096886328551e-12</v>
      </c>
      <c r="S36" s="5">
        <v>1.309688409148e-12</v>
      </c>
      <c r="T36" s="5">
        <v>1.3096886085665e-12</v>
      </c>
      <c r="U36" s="5">
        <v>1.078505135083e-12</v>
      </c>
      <c r="V36" s="5">
        <v>1.1384298713066e-12</v>
      </c>
      <c r="W36" s="5">
        <v>1.1384304057571e-12</v>
      </c>
      <c r="X36" s="5">
        <v>1.1384297646639e-12</v>
      </c>
      <c r="Y36" s="5">
        <v>1.1924316231603e-12</v>
      </c>
      <c r="Z36" s="5">
        <v>1.1924335124413e-12</v>
      </c>
      <c r="AA36" s="5">
        <v>1.1924341284542e-12</v>
      </c>
      <c r="AB36" s="3">
        <v>0.99931343905232</v>
      </c>
      <c r="AC36" s="3">
        <v>0.9975759832952</v>
      </c>
      <c r="AD36" s="3">
        <v>0.00042290605240466</v>
      </c>
      <c r="AE36" s="5">
        <v>-5.3488232472754e-16</v>
      </c>
      <c r="AF36" s="5">
        <v>2.638633253672e-15</v>
      </c>
      <c r="AG36" s="5">
        <v>1.8956810553583e-15</v>
      </c>
      <c r="AH36" s="5">
        <v>1.3778900557404e-16</v>
      </c>
      <c r="AI36" s="5">
        <v>-6.8133304403445e-17</v>
      </c>
      <c r="AJ36" s="5">
        <v>5.4829667177691e-16</v>
      </c>
      <c r="AK36" s="5">
        <v>3.1379879648071e-17</v>
      </c>
      <c r="AL36" s="5">
        <v>4.6929139122261e-16</v>
      </c>
      <c r="AM36" s="5">
        <v>2.4317147530058e-16</v>
      </c>
      <c r="AN36" s="5">
        <v>-9.3913117030687e-17</v>
      </c>
      <c r="AO36" s="5">
        <v>6.318259866422e-16</v>
      </c>
      <c r="AP36" s="5">
        <v>7.2520435243983e-18</v>
      </c>
      <c r="AQ36" s="5">
        <v>2.6538283561162e-16</v>
      </c>
      <c r="AR36" s="5">
        <v>-3.6412036886386e-15</v>
      </c>
      <c r="AS36" s="5">
        <v>-3.2139171438963e-16</v>
      </c>
      <c r="AT36" s="5">
        <v>1.6714188669009e-16</v>
      </c>
      <c r="AU36" s="5">
        <v>-5.6228373810953e-16</v>
      </c>
      <c r="AV36" s="5">
        <v>-4.2116351188922e-16</v>
      </c>
      <c r="AW36" s="5">
        <v>-2.343784095526e-16</v>
      </c>
      <c r="AX36" s="5">
        <v>1.948508327466e-15</v>
      </c>
      <c r="AY36" s="5">
        <v>3.7932951045603e-16</v>
      </c>
      <c r="AZ36" s="5">
        <v>-1.1949950315324e-15</v>
      </c>
      <c r="BA36" s="5">
        <v>2.4110568061597e-15</v>
      </c>
      <c r="BB36" s="5">
        <v>-6.9370513736157e-15</v>
      </c>
      <c r="BC36" s="3">
        <v>15993867.433364</v>
      </c>
      <c r="BD36" s="3">
        <v>3997904.212698</v>
      </c>
      <c r="BE36" s="3">
        <v>-0.0001988090469618</v>
      </c>
      <c r="BF36" s="3">
        <v>0.00043581588395323</v>
      </c>
      <c r="BG36" s="3">
        <v>0.00012806089538634</v>
      </c>
      <c r="BH36" s="3">
        <v>-0.00050037240822742</v>
      </c>
      <c r="BI36" s="3">
        <v>100.45699171277</v>
      </c>
      <c r="BJ36" s="3">
        <v>50.232823375519</v>
      </c>
      <c r="BK36" s="3">
        <v>92.278027120926</v>
      </c>
      <c r="BL36" s="4"/>
      <c r="BM36" s="7"/>
    </row>
    <row r="37" spans="1:65">
      <c r="A37" s="3">
        <v>997631.15748446</v>
      </c>
      <c r="B37" s="5">
        <v>1.5149223087627e-5</v>
      </c>
      <c r="C37" s="6">
        <f t="shared" si="0"/>
        <v>1.64909961168373e-11</v>
      </c>
      <c r="D37" s="5">
        <v>1.0784418606557e-12</v>
      </c>
      <c r="E37" s="5">
        <v>1.3093610038286e-12</v>
      </c>
      <c r="F37" s="5">
        <v>1.3093608254202e-12</v>
      </c>
      <c r="G37" s="5">
        <v>1.3093602842886e-12</v>
      </c>
      <c r="H37" s="5">
        <v>1.0784409883799e-12</v>
      </c>
      <c r="I37" s="5">
        <v>1.0784412586336e-12</v>
      </c>
      <c r="J37" s="5">
        <v>1.0784410942287e-12</v>
      </c>
      <c r="K37" s="5">
        <v>1.1383036801677e-12</v>
      </c>
      <c r="L37" s="5">
        <v>1.1383042772852e-12</v>
      </c>
      <c r="M37" s="5">
        <v>1.1383034695106e-12</v>
      </c>
      <c r="N37" s="5">
        <v>1.1921750023724e-12</v>
      </c>
      <c r="O37" s="5">
        <v>1.078441002932e-12</v>
      </c>
      <c r="P37" s="5">
        <v>1.1921746882984e-12</v>
      </c>
      <c r="Q37" s="5">
        <v>1.1921770677365e-12</v>
      </c>
      <c r="R37" s="5">
        <v>1.3093602927084e-12</v>
      </c>
      <c r="S37" s="5">
        <v>1.3093600425707e-12</v>
      </c>
      <c r="T37" s="5">
        <v>1.3093602660567e-12</v>
      </c>
      <c r="U37" s="5">
        <v>1.0784410838927e-12</v>
      </c>
      <c r="V37" s="5">
        <v>1.138303966406e-12</v>
      </c>
      <c r="W37" s="5">
        <v>1.1383045682419e-12</v>
      </c>
      <c r="X37" s="5">
        <v>1.1383038504584e-12</v>
      </c>
      <c r="Y37" s="5">
        <v>1.1921749015523e-12</v>
      </c>
      <c r="Z37" s="5">
        <v>1.1921770222106e-12</v>
      </c>
      <c r="AA37" s="5">
        <v>1.1921777163824e-12</v>
      </c>
      <c r="AB37" s="3">
        <v>0.99931287831959</v>
      </c>
      <c r="AC37" s="3">
        <v>0.99757347778712</v>
      </c>
      <c r="AD37" s="3">
        <v>0.00042428907572707</v>
      </c>
      <c r="AE37" s="5">
        <v>-5.3775627708025e-16</v>
      </c>
      <c r="AF37" s="5">
        <v>2.6227351393011e-15</v>
      </c>
      <c r="AG37" s="5">
        <v>1.8883203661014e-15</v>
      </c>
      <c r="AH37" s="5">
        <v>1.398860854375e-16</v>
      </c>
      <c r="AI37" s="5">
        <v>-6.8349523718305e-17</v>
      </c>
      <c r="AJ37" s="5">
        <v>5.4791793386248e-16</v>
      </c>
      <c r="AK37" s="5">
        <v>3.1382468688246e-17</v>
      </c>
      <c r="AL37" s="5">
        <v>4.6921290110797e-16</v>
      </c>
      <c r="AM37" s="5">
        <v>2.5687089826862e-16</v>
      </c>
      <c r="AN37" s="5">
        <v>-9.3837108449353e-17</v>
      </c>
      <c r="AO37" s="5">
        <v>6.3062374749097e-16</v>
      </c>
      <c r="AP37" s="5">
        <v>7.7863945373586e-18</v>
      </c>
      <c r="AQ37" s="5">
        <v>2.659075540853e-16</v>
      </c>
      <c r="AR37" s="5">
        <v>-3.6326981186622e-15</v>
      </c>
      <c r="AS37" s="5">
        <v>-3.1799967390696e-16</v>
      </c>
      <c r="AT37" s="5">
        <v>1.6578640804336e-16</v>
      </c>
      <c r="AU37" s="5">
        <v>-5.5915850648923e-16</v>
      </c>
      <c r="AV37" s="5">
        <v>-4.2139953778004e-16</v>
      </c>
      <c r="AW37" s="5">
        <v>-2.3283353337217e-16</v>
      </c>
      <c r="AX37" s="5">
        <v>1.939078675397e-15</v>
      </c>
      <c r="AY37" s="5">
        <v>3.7769205992546e-16</v>
      </c>
      <c r="AZ37" s="5">
        <v>-1.1875181686593e-15</v>
      </c>
      <c r="BA37" s="5">
        <v>2.409106198718e-15</v>
      </c>
      <c r="BB37" s="5">
        <v>-6.9270401373356e-15</v>
      </c>
      <c r="BC37" s="3">
        <v>15993119.639105</v>
      </c>
      <c r="BD37" s="3">
        <v>3997648.7685153</v>
      </c>
      <c r="BE37" s="3">
        <v>-0.00019852340932368</v>
      </c>
      <c r="BF37" s="3">
        <v>0.00043760501607454</v>
      </c>
      <c r="BG37" s="3">
        <v>0.00012905660815318</v>
      </c>
      <c r="BH37" s="3">
        <v>-0.00049942326495683</v>
      </c>
      <c r="BI37" s="3">
        <v>100.4569902486</v>
      </c>
      <c r="BJ37" s="3">
        <v>50.23282776292</v>
      </c>
      <c r="BK37" s="3">
        <v>92.258017405753</v>
      </c>
      <c r="BL37" s="4"/>
      <c r="BM37" s="7"/>
    </row>
    <row r="38" spans="1:65">
      <c r="A38" s="3">
        <v>1119360.5692842</v>
      </c>
      <c r="B38" s="5">
        <v>1.6995533604622e-5</v>
      </c>
      <c r="C38" s="6">
        <f t="shared" si="0"/>
        <v>1.6483386529469e-11</v>
      </c>
      <c r="D38" s="5">
        <v>1.0783699480934e-12</v>
      </c>
      <c r="E38" s="5">
        <v>1.3089934034101e-12</v>
      </c>
      <c r="F38" s="5">
        <v>1.3089932045993e-12</v>
      </c>
      <c r="G38" s="5">
        <v>1.3089926007132e-12</v>
      </c>
      <c r="H38" s="5">
        <v>1.0783689708942e-12</v>
      </c>
      <c r="I38" s="5">
        <v>1.0783692733358e-12</v>
      </c>
      <c r="J38" s="5">
        <v>1.0783690896014e-12</v>
      </c>
      <c r="K38" s="5">
        <v>1.1381640968294e-12</v>
      </c>
      <c r="L38" s="5">
        <v>1.1381647676751e-12</v>
      </c>
      <c r="M38" s="5">
        <v>1.1381638598058e-12</v>
      </c>
      <c r="N38" s="5">
        <v>1.1918875844794e-12</v>
      </c>
      <c r="O38" s="5">
        <v>1.0783689871841e-12</v>
      </c>
      <c r="P38" s="5">
        <v>1.1918872320165e-12</v>
      </c>
      <c r="Q38" s="5">
        <v>1.1918899036238e-12</v>
      </c>
      <c r="R38" s="5">
        <v>1.3089926083475e-12</v>
      </c>
      <c r="S38" s="5">
        <v>1.3089923287755e-12</v>
      </c>
      <c r="T38" s="5">
        <v>1.3089925791975e-12</v>
      </c>
      <c r="U38" s="5">
        <v>1.0783690782707e-12</v>
      </c>
      <c r="V38" s="5">
        <v>1.1381644146831e-12</v>
      </c>
      <c r="W38" s="5">
        <v>1.1381650926842e-12</v>
      </c>
      <c r="X38" s="5">
        <v>1.1381642892366e-12</v>
      </c>
      <c r="Y38" s="5">
        <v>1.1918874695899e-12</v>
      </c>
      <c r="Z38" s="5">
        <v>1.1918898500593e-12</v>
      </c>
      <c r="AA38" s="5">
        <v>1.1918906327265e-12</v>
      </c>
      <c r="AB38" s="3">
        <v>0.99931224104379</v>
      </c>
      <c r="AC38" s="3">
        <v>0.99757065169668</v>
      </c>
      <c r="AD38" s="3">
        <v>0.0004258424271508</v>
      </c>
      <c r="AE38" s="5">
        <v>-5.4097476201986e-16</v>
      </c>
      <c r="AF38" s="5">
        <v>2.6049914849617e-15</v>
      </c>
      <c r="AG38" s="5">
        <v>1.8801062532305e-15</v>
      </c>
      <c r="AH38" s="5">
        <v>1.4224473138917e-16</v>
      </c>
      <c r="AI38" s="5">
        <v>-6.8592184564836e-17</v>
      </c>
      <c r="AJ38" s="5">
        <v>5.4748336487631e-16</v>
      </c>
      <c r="AK38" s="5">
        <v>3.1380628629185e-17</v>
      </c>
      <c r="AL38" s="5">
        <v>4.6913410750325e-16</v>
      </c>
      <c r="AM38" s="5">
        <v>2.7230681701379e-16</v>
      </c>
      <c r="AN38" s="5">
        <v>-9.3753091403284e-17</v>
      </c>
      <c r="AO38" s="5">
        <v>6.2928383336991e-16</v>
      </c>
      <c r="AP38" s="5">
        <v>8.383285629038e-18</v>
      </c>
      <c r="AQ38" s="5">
        <v>2.6648295912975e-16</v>
      </c>
      <c r="AR38" s="5">
        <v>-3.6230825777171e-15</v>
      </c>
      <c r="AS38" s="5">
        <v>-3.142121976629e-16</v>
      </c>
      <c r="AT38" s="5">
        <v>1.6427058600005e-16</v>
      </c>
      <c r="AU38" s="5">
        <v>-5.5565900944252e-16</v>
      </c>
      <c r="AV38" s="5">
        <v>-4.2166885746848e-16</v>
      </c>
      <c r="AW38" s="5">
        <v>-2.3108604911942e-16</v>
      </c>
      <c r="AX38" s="5">
        <v>1.9284815141235e-15</v>
      </c>
      <c r="AY38" s="5">
        <v>3.7582380763286e-16</v>
      </c>
      <c r="AZ38" s="5">
        <v>-1.1791792610482e-15</v>
      </c>
      <c r="BA38" s="5">
        <v>2.4068732111063e-15</v>
      </c>
      <c r="BB38" s="5">
        <v>-6.9156981929416e-15</v>
      </c>
      <c r="BC38" s="3">
        <v>15992280.743767</v>
      </c>
      <c r="BD38" s="3">
        <v>3997362.2338465</v>
      </c>
      <c r="BE38" s="3">
        <v>-0.00019820245440553</v>
      </c>
      <c r="BF38" s="3">
        <v>0.00043961152902124</v>
      </c>
      <c r="BG38" s="3">
        <v>0.00013017367417704</v>
      </c>
      <c r="BH38" s="3">
        <v>-0.00049835285220002</v>
      </c>
      <c r="BI38" s="3">
        <v>100.45698867393</v>
      </c>
      <c r="BJ38" s="3">
        <v>50.232832667646</v>
      </c>
      <c r="BK38" s="3">
        <v>92.2356438763</v>
      </c>
      <c r="BL38" s="4"/>
      <c r="BM38" s="7"/>
    </row>
    <row r="39" spans="1:65">
      <c r="A39" s="3">
        <v>1255943.2157548</v>
      </c>
      <c r="B39" s="5">
        <v>1.9066529779641e-5</v>
      </c>
      <c r="C39" s="6">
        <f t="shared" si="0"/>
        <v>1.64748762678597e-11</v>
      </c>
      <c r="D39" s="5">
        <v>1.0782890854818e-12</v>
      </c>
      <c r="E39" s="5">
        <v>1.3085859756146e-12</v>
      </c>
      <c r="F39" s="5">
        <v>1.308585754259e-12</v>
      </c>
      <c r="G39" s="5">
        <v>1.3085850807961e-12</v>
      </c>
      <c r="H39" s="5">
        <v>1.078287990934e-12</v>
      </c>
      <c r="I39" s="5">
        <v>1.0782883292903e-12</v>
      </c>
      <c r="J39" s="5">
        <v>1.0782881240557e-12</v>
      </c>
      <c r="K39" s="5">
        <v>1.1380074081348e-12</v>
      </c>
      <c r="L39" s="5">
        <v>1.13800816195e-12</v>
      </c>
      <c r="M39" s="5">
        <v>1.1380071413536e-12</v>
      </c>
      <c r="N39" s="5">
        <v>1.1915679979911e-12</v>
      </c>
      <c r="O39" s="5">
        <v>1.0782880091646e-12</v>
      </c>
      <c r="P39" s="5">
        <v>1.1915676024303e-12</v>
      </c>
      <c r="Q39" s="5">
        <v>1.1915706023237e-12</v>
      </c>
      <c r="R39" s="5">
        <v>1.3085850870852e-12</v>
      </c>
      <c r="S39" s="5">
        <v>1.3085847747644e-12</v>
      </c>
      <c r="T39" s="5">
        <v>1.3085850553244e-12</v>
      </c>
      <c r="U39" s="5">
        <v>1.0782881116747e-12</v>
      </c>
      <c r="V39" s="5">
        <v>1.1380077606273e-12</v>
      </c>
      <c r="W39" s="5">
        <v>1.138008524788e-12</v>
      </c>
      <c r="X39" s="5">
        <v>1.1380076256998e-12</v>
      </c>
      <c r="Y39" s="5">
        <v>1.1915678668606e-12</v>
      </c>
      <c r="Z39" s="5">
        <v>1.1915705390937e-12</v>
      </c>
      <c r="AA39" s="5">
        <v>1.1915714220721e-12</v>
      </c>
      <c r="AB39" s="3">
        <v>0.99931151584108</v>
      </c>
      <c r="AC39" s="3">
        <v>0.99756746232544</v>
      </c>
      <c r="AD39" s="3">
        <v>0.00042758726661399</v>
      </c>
      <c r="AE39" s="5">
        <v>-5.4457796788721e-16</v>
      </c>
      <c r="AF39" s="5">
        <v>2.5852012386934e-15</v>
      </c>
      <c r="AG39" s="5">
        <v>1.8709456665802e-15</v>
      </c>
      <c r="AH39" s="5">
        <v>1.4489827563956e-16</v>
      </c>
      <c r="AI39" s="5">
        <v>-6.8864552532579e-17</v>
      </c>
      <c r="AJ39" s="5">
        <v>5.4698358333007e-16</v>
      </c>
      <c r="AK39" s="5">
        <v>3.1372586247817e-17</v>
      </c>
      <c r="AL39" s="5">
        <v>4.6905703274543e-16</v>
      </c>
      <c r="AM39" s="5">
        <v>2.8970772617353e-16</v>
      </c>
      <c r="AN39" s="5">
        <v>-9.3660285457827e-17</v>
      </c>
      <c r="AO39" s="5">
        <v>6.2779144138018e-16</v>
      </c>
      <c r="AP39" s="5">
        <v>9.0496345288493e-18</v>
      </c>
      <c r="AQ39" s="5">
        <v>2.6711179099218e-16</v>
      </c>
      <c r="AR39" s="5">
        <v>-3.612204781243e-15</v>
      </c>
      <c r="AS39" s="5">
        <v>-3.0998585504906e-16</v>
      </c>
      <c r="AT39" s="5">
        <v>1.6257611439324e-16</v>
      </c>
      <c r="AU39" s="5">
        <v>-5.5174132253666e-16</v>
      </c>
      <c r="AV39" s="5">
        <v>-4.2197662229821e-16</v>
      </c>
      <c r="AW39" s="5">
        <v>-2.2910836714666e-16</v>
      </c>
      <c r="AX39" s="5">
        <v>1.9165688838191e-15</v>
      </c>
      <c r="AY39" s="5">
        <v>3.7368862558877e-16</v>
      </c>
      <c r="AZ39" s="5">
        <v>-1.1698858105505e-15</v>
      </c>
      <c r="BA39" s="5">
        <v>2.4043120636402e-15</v>
      </c>
      <c r="BB39" s="5">
        <v>-6.9028356520466e-15</v>
      </c>
      <c r="BC39" s="3">
        <v>15991339.668037</v>
      </c>
      <c r="BD39" s="3">
        <v>3997040.8350263</v>
      </c>
      <c r="BE39" s="3">
        <v>-0.00019784175317559</v>
      </c>
      <c r="BF39" s="3">
        <v>0.00044186171122218</v>
      </c>
      <c r="BG39" s="3">
        <v>0.00013142686452688</v>
      </c>
      <c r="BH39" s="3">
        <v>-0.00049714517687309</v>
      </c>
      <c r="BI39" s="3">
        <v>100.45698699241</v>
      </c>
      <c r="BJ39" s="3">
        <v>50.232838147897</v>
      </c>
      <c r="BK39" s="3">
        <v>92.210637875545</v>
      </c>
      <c r="BL39" s="4"/>
      <c r="BM39" s="7"/>
    </row>
    <row r="40" spans="1:65">
      <c r="A40" s="3">
        <v>1409191.4656323</v>
      </c>
      <c r="B40" s="5">
        <v>2.1389475134064e-5</v>
      </c>
      <c r="C40" s="6">
        <f t="shared" si="0"/>
        <v>1.64653619005569e-11</v>
      </c>
      <c r="D40" s="5">
        <v>1.0781981351023e-12</v>
      </c>
      <c r="E40" s="5">
        <v>1.3081307908128e-12</v>
      </c>
      <c r="F40" s="5">
        <v>1.3081305445948e-12</v>
      </c>
      <c r="G40" s="5">
        <v>1.3081297941102e-12</v>
      </c>
      <c r="H40" s="5">
        <v>1.0781969093551e-12</v>
      </c>
      <c r="I40" s="5">
        <v>1.0781972877576e-12</v>
      </c>
      <c r="J40" s="5">
        <v>1.0781970586351e-12</v>
      </c>
      <c r="K40" s="5">
        <v>1.1378315023493e-12</v>
      </c>
      <c r="L40" s="5">
        <v>1.1378323495762e-12</v>
      </c>
      <c r="M40" s="5">
        <v>1.1378312019599e-12</v>
      </c>
      <c r="N40" s="5">
        <v>1.1912109943572e-12</v>
      </c>
      <c r="O40" s="5">
        <v>1.0781969297518e-12</v>
      </c>
      <c r="P40" s="5">
        <v>1.191210550406e-12</v>
      </c>
      <c r="Q40" s="5">
        <v>1.1912139192317e-12</v>
      </c>
      <c r="R40" s="5">
        <v>1.3081297983087e-12</v>
      </c>
      <c r="S40" s="5">
        <v>1.3081294495893e-12</v>
      </c>
      <c r="T40" s="5">
        <v>1.3081297638588e-12</v>
      </c>
      <c r="U40" s="5">
        <v>1.0781970451569e-12</v>
      </c>
      <c r="V40" s="5">
        <v>1.1378318926666e-12</v>
      </c>
      <c r="W40" s="5">
        <v>1.1378327543818e-12</v>
      </c>
      <c r="X40" s="5">
        <v>1.1378317485725e-12</v>
      </c>
      <c r="Y40" s="5">
        <v>1.191210844433e-12</v>
      </c>
      <c r="Z40" s="5">
        <v>1.1912138443411e-12</v>
      </c>
      <c r="AA40" s="5">
        <v>1.1912148411683e-12</v>
      </c>
      <c r="AB40" s="3">
        <v>0.99931068940946</v>
      </c>
      <c r="AC40" s="3">
        <v>0.99756386044448</v>
      </c>
      <c r="AD40" s="3">
        <v>0.00042954742140573</v>
      </c>
      <c r="AE40" s="5">
        <v>-5.4861025316366e-16</v>
      </c>
      <c r="AF40" s="5">
        <v>2.5631450347688e-15</v>
      </c>
      <c r="AG40" s="5">
        <v>1.8607369663355e-15</v>
      </c>
      <c r="AH40" s="5">
        <v>1.4788444503566e-16</v>
      </c>
      <c r="AI40" s="5">
        <v>-6.9170269734914e-17</v>
      </c>
      <c r="AJ40" s="5">
        <v>5.4640734302291e-16</v>
      </c>
      <c r="AK40" s="5">
        <v>3.1356057201244e-17</v>
      </c>
      <c r="AL40" s="5">
        <v>4.6898403942894e-16</v>
      </c>
      <c r="AM40" s="5">
        <v>3.0933425953009e-16</v>
      </c>
      <c r="AN40" s="5">
        <v>-9.3557717569772e-17</v>
      </c>
      <c r="AO40" s="5">
        <v>6.2613038577459e-16</v>
      </c>
      <c r="AP40" s="5">
        <v>9.7930109555713e-18</v>
      </c>
      <c r="AQ40" s="5">
        <v>2.677962023787e-16</v>
      </c>
      <c r="AR40" s="5">
        <v>-3.5998901736663e-15</v>
      </c>
      <c r="AS40" s="5">
        <v>-3.0527319042552e-16</v>
      </c>
      <c r="AT40" s="5">
        <v>1.6068277042322e-16</v>
      </c>
      <c r="AU40" s="5">
        <v>-5.4735659824649e-16</v>
      </c>
      <c r="AV40" s="5">
        <v>-4.2232878996273e-16</v>
      </c>
      <c r="AW40" s="5">
        <v>-2.2686926414754e-16</v>
      </c>
      <c r="AX40" s="5">
        <v>1.9031722603268e-15</v>
      </c>
      <c r="AY40" s="5">
        <v>3.7124409425277e-16</v>
      </c>
      <c r="AZ40" s="5">
        <v>-1.1595372167017e-15</v>
      </c>
      <c r="BA40" s="5">
        <v>2.4013687466846e-15</v>
      </c>
      <c r="BB40" s="5">
        <v>-6.8882323587825e-15</v>
      </c>
      <c r="BC40" s="3">
        <v>15990283.989894</v>
      </c>
      <c r="BD40" s="3">
        <v>3996680.3429086</v>
      </c>
      <c r="BE40" s="3">
        <v>-0.00019743630492044</v>
      </c>
      <c r="BF40" s="3">
        <v>0.00044438499911704</v>
      </c>
      <c r="BG40" s="3">
        <v>0.00013283274358045</v>
      </c>
      <c r="BH40" s="3">
        <v>-0.00049578202262237</v>
      </c>
      <c r="BI40" s="3">
        <v>100.45698521212</v>
      </c>
      <c r="BJ40" s="3">
        <v>50.232844267568</v>
      </c>
      <c r="BK40" s="3">
        <v>92.182702934311</v>
      </c>
      <c r="BL40" s="4"/>
      <c r="BM40" s="7"/>
    </row>
    <row r="41" spans="1:64">
      <c r="A41" s="3">
        <v>1581138.8300842</v>
      </c>
      <c r="B41" s="5">
        <v>2.3994920683905e-5</v>
      </c>
      <c r="C41" s="6">
        <f t="shared" si="0"/>
        <v>1.64547304737053e-11</v>
      </c>
      <c r="D41" s="5">
        <v>1.0780958062861e-12</v>
      </c>
      <c r="E41" s="5">
        <v>1.307621431902e-12</v>
      </c>
      <c r="F41" s="5">
        <v>1.3076211583294e-12</v>
      </c>
      <c r="G41" s="5">
        <v>1.3076203227312e-12</v>
      </c>
      <c r="H41" s="5">
        <v>1.0780944339103e-12</v>
      </c>
      <c r="I41" s="5">
        <v>1.0780948569318e-12</v>
      </c>
      <c r="J41" s="5">
        <v>1.0780946013024e-12</v>
      </c>
      <c r="K41" s="5">
        <v>1.13763400757e-12</v>
      </c>
      <c r="L41" s="5">
        <v>1.1376349600204e-12</v>
      </c>
      <c r="M41" s="5">
        <v>1.137633669193e-12</v>
      </c>
      <c r="N41" s="5">
        <v>1.1908116233974e-12</v>
      </c>
      <c r="O41" s="5">
        <v>1.078094456723e-12</v>
      </c>
      <c r="P41" s="5">
        <v>1.1908111251044e-12</v>
      </c>
      <c r="Q41" s="5">
        <v>1.1908149086231e-12</v>
      </c>
      <c r="R41" s="5">
        <v>1.3076203238556e-12</v>
      </c>
      <c r="S41" s="5">
        <v>1.307619934729e-12</v>
      </c>
      <c r="T41" s="5">
        <v>1.307620286689e-12</v>
      </c>
      <c r="U41" s="5">
        <v>1.0780945866938e-12</v>
      </c>
      <c r="V41" s="5">
        <v>1.1376344390309e-12</v>
      </c>
      <c r="W41" s="5">
        <v>1.1376354113127e-12</v>
      </c>
      <c r="X41" s="5">
        <v>1.1376342864886e-12</v>
      </c>
      <c r="Y41" s="5">
        <v>1.1908114516697e-12</v>
      </c>
      <c r="Z41" s="5">
        <v>1.1908148196189e-12</v>
      </c>
      <c r="AA41" s="5">
        <v>1.190815945844e-12</v>
      </c>
      <c r="AB41" s="3">
        <v>0.99930974616354</v>
      </c>
      <c r="AC41" s="3">
        <v>0.99755978953484</v>
      </c>
      <c r="AD41" s="3">
        <v>0.00043174973174764</v>
      </c>
      <c r="AE41" s="5">
        <v>-5.5312053902168e-16</v>
      </c>
      <c r="AF41" s="5">
        <v>2.5385841329819e-15</v>
      </c>
      <c r="AG41" s="5">
        <v>1.849369413331e-15</v>
      </c>
      <c r="AH41" s="5">
        <v>1.5124602862171e-16</v>
      </c>
      <c r="AI41" s="5">
        <v>-6.951356095456e-17</v>
      </c>
      <c r="AJ41" s="5">
        <v>5.4574125202371e-16</v>
      </c>
      <c r="AK41" s="5">
        <v>3.1328112048521e-17</v>
      </c>
      <c r="AL41" s="5">
        <v>4.6891884711262e-16</v>
      </c>
      <c r="AM41" s="5">
        <v>3.3148406991965e-16</v>
      </c>
      <c r="AN41" s="5">
        <v>-9.3444545901773e-17</v>
      </c>
      <c r="AO41" s="5">
        <v>6.2428287009246e-16</v>
      </c>
      <c r="AP41" s="5">
        <v>1.0621660326512e-17</v>
      </c>
      <c r="AQ41" s="5">
        <v>2.6853758899058e-16</v>
      </c>
      <c r="AR41" s="5">
        <v>-3.5859389862707e-15</v>
      </c>
      <c r="AS41" s="5">
        <v>-3.0002246975341e-16</v>
      </c>
      <c r="AT41" s="5">
        <v>1.5856820512967e-16</v>
      </c>
      <c r="AU41" s="5">
        <v>-5.4245053897569e-16</v>
      </c>
      <c r="AV41" s="5">
        <v>-4.2273254908057e-16</v>
      </c>
      <c r="AW41" s="5">
        <v>-2.2433271926912e-16</v>
      </c>
      <c r="AX41" s="5">
        <v>1.8881014102856e-15</v>
      </c>
      <c r="AY41" s="5">
        <v>3.6843978075613e-16</v>
      </c>
      <c r="AZ41" s="5">
        <v>-1.1480244956052e-15</v>
      </c>
      <c r="BA41" s="5">
        <v>2.397978789102e-15</v>
      </c>
      <c r="BB41" s="5">
        <v>-6.8716342687486e-15</v>
      </c>
      <c r="BC41" s="3">
        <v>15989099.784584</v>
      </c>
      <c r="BD41" s="3">
        <v>3996276.0190546</v>
      </c>
      <c r="BE41" s="3">
        <v>-0.00019698046577942</v>
      </c>
      <c r="BF41" s="3">
        <v>0.00044721434665476</v>
      </c>
      <c r="BG41" s="3">
        <v>0.00013440988523436</v>
      </c>
      <c r="BH41" s="3">
        <v>-0.00049424266938304</v>
      </c>
      <c r="BI41" s="3">
        <v>100.45698334707</v>
      </c>
      <c r="BJ41" s="3">
        <v>50.232851096874</v>
      </c>
      <c r="BK41" s="3">
        <v>92.151512529241</v>
      </c>
      <c r="BL41" s="4"/>
    </row>
    <row r="42" spans="1:64">
      <c r="A42" s="3">
        <v>1774066.9461679</v>
      </c>
      <c r="B42" s="5">
        <v>2.6917097244336e-5</v>
      </c>
      <c r="C42" s="6">
        <f t="shared" si="0"/>
        <v>1.64428556833246e-11</v>
      </c>
      <c r="D42" s="5">
        <v>1.0779844548663e-12</v>
      </c>
      <c r="E42" s="5">
        <v>1.3070516263631e-12</v>
      </c>
      <c r="F42" s="5">
        <v>1.3070513227731e-12</v>
      </c>
      <c r="G42" s="5">
        <v>1.3070503933085e-12</v>
      </c>
      <c r="H42" s="5">
        <v>1.0779829186843e-12</v>
      </c>
      <c r="I42" s="5">
        <v>1.077983391378e-12</v>
      </c>
      <c r="J42" s="5">
        <v>1.0779831063821e-12</v>
      </c>
      <c r="K42" s="5">
        <v>1.1374122571077e-12</v>
      </c>
      <c r="L42" s="5">
        <v>1.1374133281604e-12</v>
      </c>
      <c r="M42" s="5">
        <v>1.1374118757551e-12</v>
      </c>
      <c r="N42" s="5">
        <v>1.1903698270164e-12</v>
      </c>
      <c r="O42" s="5">
        <v>1.0779829441902e-12</v>
      </c>
      <c r="P42" s="5">
        <v>1.1903692676852e-12</v>
      </c>
      <c r="Q42" s="5">
        <v>1.1903735174373e-12</v>
      </c>
      <c r="R42" s="5">
        <v>1.3070503900715e-12</v>
      </c>
      <c r="S42" s="5">
        <v>1.307049956147e-12</v>
      </c>
      <c r="T42" s="5">
        <v>1.3070503502321e-12</v>
      </c>
      <c r="U42" s="5">
        <v>1.0779830906252e-12</v>
      </c>
      <c r="V42" s="5">
        <v>1.1374127331184e-12</v>
      </c>
      <c r="W42" s="5">
        <v>1.1374138308528e-12</v>
      </c>
      <c r="X42" s="5">
        <v>1.1374125733896e-12</v>
      </c>
      <c r="Y42" s="5">
        <v>1.1903696299248e-12</v>
      </c>
      <c r="Z42" s="5">
        <v>1.1903734112964e-12</v>
      </c>
      <c r="AA42" s="5">
        <v>1.1903746848264e-12</v>
      </c>
      <c r="AB42" s="3">
        <v>0.99930867173035</v>
      </c>
      <c r="AC42" s="3">
        <v>0.99755518731362</v>
      </c>
      <c r="AD42" s="3">
        <v>0.00043422443674493</v>
      </c>
      <c r="AE42" s="5">
        <v>-5.5816337095668e-16</v>
      </c>
      <c r="AF42" s="5">
        <v>2.5112600831754e-15</v>
      </c>
      <c r="AG42" s="5">
        <v>1.8367228117306e-15</v>
      </c>
      <c r="AH42" s="5">
        <v>1.5503157789102e-16</v>
      </c>
      <c r="AI42" s="5">
        <v>-6.9899263438926e-17</v>
      </c>
      <c r="AJ42" s="5">
        <v>5.4496923332691e-16</v>
      </c>
      <c r="AK42" s="5">
        <v>3.1284779044455e-17</v>
      </c>
      <c r="AL42" s="5">
        <v>4.6886639028766e-16</v>
      </c>
      <c r="AM42" s="5">
        <v>3.5649753529664e-16</v>
      </c>
      <c r="AN42" s="5">
        <v>-9.3319842016783e-17</v>
      </c>
      <c r="AO42" s="5">
        <v>6.2222934343507e-16</v>
      </c>
      <c r="AP42" s="5">
        <v>1.1544521781345e-17</v>
      </c>
      <c r="AQ42" s="5">
        <v>2.6933615084514e-16</v>
      </c>
      <c r="AR42" s="5">
        <v>-3.5701215130677e-15</v>
      </c>
      <c r="AS42" s="5">
        <v>-2.9417761743935e-16</v>
      </c>
      <c r="AT42" s="5">
        <v>1.5620778939867e-16</v>
      </c>
      <c r="AU42" s="5">
        <v>-5.3696282924681e-16</v>
      </c>
      <c r="AV42" s="5">
        <v>-4.2319645151075e-16</v>
      </c>
      <c r="AW42" s="5">
        <v>-2.2145839959361e-16</v>
      </c>
      <c r="AX42" s="5">
        <v>1.8711400308273e-15</v>
      </c>
      <c r="AY42" s="5">
        <v>3.6521573952359e-16</v>
      </c>
      <c r="AZ42" s="5">
        <v>-1.1352301415291e-15</v>
      </c>
      <c r="BA42" s="5">
        <v>2.3940653431277e-15</v>
      </c>
      <c r="BB42" s="5">
        <v>-6.8527459106886e-15</v>
      </c>
      <c r="BC42" s="3">
        <v>15987771.442827</v>
      </c>
      <c r="BD42" s="3">
        <v>3995822.5546765</v>
      </c>
      <c r="BE42" s="3">
        <v>-0.00019646785500808</v>
      </c>
      <c r="BF42" s="3">
        <v>0.00045038663582478</v>
      </c>
      <c r="BG42" s="3">
        <v>0.00013617911560977</v>
      </c>
      <c r="BH42" s="3">
        <v>-0.00049250358229467</v>
      </c>
      <c r="BI42" s="3">
        <v>100.45698141896</v>
      </c>
      <c r="BJ42" s="3">
        <v>50.232858712509</v>
      </c>
      <c r="BK42" s="3">
        <v>92.116708058725</v>
      </c>
      <c r="BL42" s="4"/>
    </row>
    <row r="43" spans="1:64">
      <c r="A43" s="3">
        <v>1990535.8527675</v>
      </c>
      <c r="B43" s="5">
        <v>3.0194353696219e-5</v>
      </c>
      <c r="C43" s="6">
        <f t="shared" si="0"/>
        <v>1.64295943305078e-11</v>
      </c>
      <c r="D43" s="5">
        <v>1.0778667305618e-12</v>
      </c>
      <c r="E43" s="5">
        <v>1.3064144293128e-12</v>
      </c>
      <c r="F43" s="5">
        <v>1.3064140928837e-12</v>
      </c>
      <c r="G43" s="5">
        <v>1.3064130601378e-12</v>
      </c>
      <c r="H43" s="5">
        <v>1.0778650114638e-12</v>
      </c>
      <c r="I43" s="5">
        <v>1.077865539403e-12</v>
      </c>
      <c r="J43" s="5">
        <v>1.0778652219311e-12</v>
      </c>
      <c r="K43" s="5">
        <v>1.1371632747808e-12</v>
      </c>
      <c r="L43" s="5">
        <v>1.137164479613e-12</v>
      </c>
      <c r="M43" s="5">
        <v>1.1371628447614e-12</v>
      </c>
      <c r="N43" s="5">
        <v>1.1898782297299e-12</v>
      </c>
      <c r="O43" s="5">
        <v>1.0778650399699e-12</v>
      </c>
      <c r="P43" s="5">
        <v>1.1898776018209e-12</v>
      </c>
      <c r="Q43" s="5">
        <v>1.1898823758824e-12</v>
      </c>
      <c r="R43" s="5">
        <v>1.3064130508653e-12</v>
      </c>
      <c r="S43" s="5">
        <v>1.3064125673498e-12</v>
      </c>
      <c r="T43" s="5">
        <v>1.3064130084956e-12</v>
      </c>
      <c r="U43" s="5">
        <v>1.0778652050295e-12</v>
      </c>
      <c r="V43" s="5">
        <v>1.1371637987709e-12</v>
      </c>
      <c r="W43" s="5">
        <v>1.13716503902e-12</v>
      </c>
      <c r="X43" s="5">
        <v>1.1371636338363e-12</v>
      </c>
      <c r="Y43" s="5">
        <v>1.1898780030495e-12</v>
      </c>
      <c r="Z43" s="5">
        <v>1.189882248871e-12</v>
      </c>
      <c r="AA43" s="5">
        <v>1.1898836903913e-12</v>
      </c>
      <c r="AB43" s="3">
        <v>0.99930744742675</v>
      </c>
      <c r="AC43" s="3">
        <v>0.997549980512</v>
      </c>
      <c r="AD43" s="3">
        <v>0.00043700560833907</v>
      </c>
      <c r="AE43" s="5">
        <v>-5.6380022696737e-16</v>
      </c>
      <c r="AF43" s="5">
        <v>2.4808944441995e-15</v>
      </c>
      <c r="AG43" s="5">
        <v>1.8226672568527e-15</v>
      </c>
      <c r="AH43" s="5">
        <v>1.5929623825494e-16</v>
      </c>
      <c r="AI43" s="5">
        <v>-7.0332991310565e-17</v>
      </c>
      <c r="AJ43" s="5">
        <v>5.4407149738379e-16</v>
      </c>
      <c r="AK43" s="5">
        <v>3.1220167966741e-17</v>
      </c>
      <c r="AL43" s="5">
        <v>4.6883336846993e-16</v>
      </c>
      <c r="AM43" s="5">
        <v>3.8476422154267e-16</v>
      </c>
      <c r="AN43" s="5">
        <v>-9.318245264601e-17</v>
      </c>
      <c r="AO43" s="5">
        <v>6.1994821235038e-16</v>
      </c>
      <c r="AP43" s="5">
        <v>1.2571291766257e-17</v>
      </c>
      <c r="AQ43" s="5">
        <v>2.7019009804265e-16</v>
      </c>
      <c r="AR43" s="5">
        <v>-3.5521658449693e-15</v>
      </c>
      <c r="AS43" s="5">
        <v>-2.8767818406618e-16</v>
      </c>
      <c r="AT43" s="5">
        <v>1.5357441903621e-16</v>
      </c>
      <c r="AU43" s="5">
        <v>-5.3082648137847e-16</v>
      </c>
      <c r="AV43" s="5">
        <v>-4.2373103420175e-16</v>
      </c>
      <c r="AW43" s="5">
        <v>-2.1820274865756e-16</v>
      </c>
      <c r="AX43" s="5">
        <v>1.8520432246055e-15</v>
      </c>
      <c r="AY43" s="5">
        <v>3.6149995874011e-16</v>
      </c>
      <c r="AZ43" s="5">
        <v>-1.1210276186042e-15</v>
      </c>
      <c r="BA43" s="5">
        <v>2.3895369169285e-15</v>
      </c>
      <c r="BB43" s="5">
        <v>-6.8312157055893e-15</v>
      </c>
      <c r="BC43" s="3">
        <v>15986281.466497</v>
      </c>
      <c r="BD43" s="3">
        <v>3995314.0021649</v>
      </c>
      <c r="BE43" s="3">
        <v>-0.00019589124376435</v>
      </c>
      <c r="BF43" s="3">
        <v>0.00045394313214538</v>
      </c>
      <c r="BG43" s="3">
        <v>0.00013816378588041</v>
      </c>
      <c r="BH43" s="3">
        <v>-0.00049053815518661</v>
      </c>
      <c r="BI43" s="3">
        <v>100.45697945968</v>
      </c>
      <c r="BJ43" s="3">
        <v>50.232867197218</v>
      </c>
      <c r="BK43" s="3">
        <v>92.077897171838</v>
      </c>
      <c r="BL43" s="4"/>
    </row>
    <row r="44" spans="1:64">
      <c r="A44" s="3">
        <v>2233417.9607549</v>
      </c>
      <c r="B44" s="5">
        <v>3.3869642346429e-5</v>
      </c>
      <c r="C44" s="6">
        <f t="shared" si="0"/>
        <v>1.64147990386631e-11</v>
      </c>
      <c r="D44" s="5">
        <v>1.0777366130165e-12</v>
      </c>
      <c r="E44" s="5">
        <v>1.3057021365517e-12</v>
      </c>
      <c r="F44" s="5">
        <v>1.3057017643229e-12</v>
      </c>
      <c r="G44" s="5">
        <v>1.3057006182363e-12</v>
      </c>
      <c r="H44" s="5">
        <v>1.0777346897681e-12</v>
      </c>
      <c r="I44" s="5">
        <v>1.0777352790865e-12</v>
      </c>
      <c r="J44" s="5">
        <v>1.0777349257613e-12</v>
      </c>
      <c r="K44" s="5">
        <v>1.1368864724185e-12</v>
      </c>
      <c r="L44" s="5">
        <v>1.1368878282784e-12</v>
      </c>
      <c r="M44" s="5">
        <v>1.1368859872266e-12</v>
      </c>
      <c r="N44" s="5">
        <v>1.1893333165207e-12</v>
      </c>
      <c r="O44" s="5">
        <v>1.0777347216138e-12</v>
      </c>
      <c r="P44" s="5">
        <v>1.1893326115374e-12</v>
      </c>
      <c r="Q44" s="5">
        <v>1.1893379753828e-12</v>
      </c>
      <c r="R44" s="5">
        <v>1.3057006007635e-12</v>
      </c>
      <c r="S44" s="5">
        <v>1.3057000624439e-12</v>
      </c>
      <c r="T44" s="5">
        <v>1.3057005561395e-12</v>
      </c>
      <c r="U44" s="5">
        <v>1.0777349077592e-12</v>
      </c>
      <c r="V44" s="5">
        <v>1.1368870477517e-12</v>
      </c>
      <c r="W44" s="5">
        <v>1.1368884501132e-12</v>
      </c>
      <c r="X44" s="5">
        <v>1.1368868805347e-12</v>
      </c>
      <c r="Y44" s="5">
        <v>1.1893330552223e-12</v>
      </c>
      <c r="Z44" s="5">
        <v>1.1893378228785e-12</v>
      </c>
      <c r="AA44" s="5">
        <v>1.1893394563633e-12</v>
      </c>
      <c r="AB44" s="3">
        <v>0.99930604445069</v>
      </c>
      <c r="AC44" s="3">
        <v>0.99754407940523</v>
      </c>
      <c r="AD44" s="3">
        <v>0.00044013165572706</v>
      </c>
      <c r="AE44" s="5">
        <v>-5.7009565337342e-16</v>
      </c>
      <c r="AF44" s="5">
        <v>2.4471897233563e-15</v>
      </c>
      <c r="AG44" s="5">
        <v>1.8070635044326e-15</v>
      </c>
      <c r="AH44" s="5">
        <v>1.6410259357725e-16</v>
      </c>
      <c r="AI44" s="5">
        <v>-7.0821170232552e-17</v>
      </c>
      <c r="AJ44" s="5">
        <v>5.430241404331e-16</v>
      </c>
      <c r="AK44" s="5">
        <v>3.1127584649092e-17</v>
      </c>
      <c r="AL44" s="5">
        <v>4.6882874783801e-16</v>
      </c>
      <c r="AM44" s="5">
        <v>4.1673270864882e-16</v>
      </c>
      <c r="AN44" s="5">
        <v>-9.3031500101663e-17</v>
      </c>
      <c r="AO44" s="5">
        <v>6.1741593816231e-16</v>
      </c>
      <c r="AP44" s="5">
        <v>1.3712291491479e-17</v>
      </c>
      <c r="AQ44" s="5">
        <v>2.7109544524028e-16</v>
      </c>
      <c r="AR44" s="5">
        <v>-3.5317654263446e-15</v>
      </c>
      <c r="AS44" s="5">
        <v>-2.8045944181144e-16</v>
      </c>
      <c r="AT44" s="5">
        <v>1.5063837142526e-16</v>
      </c>
      <c r="AU44" s="5">
        <v>-5.2396747782701e-16</v>
      </c>
      <c r="AV44" s="5">
        <v>-4.243485777858e-16</v>
      </c>
      <c r="AW44" s="5">
        <v>-2.1451257438616e-16</v>
      </c>
      <c r="AX44" s="5">
        <v>1.8305302190635e-15</v>
      </c>
      <c r="AY44" s="5">
        <v>3.5720605372293e-16</v>
      </c>
      <c r="AZ44" s="5">
        <v>-1.1052829004199e-15</v>
      </c>
      <c r="BA44" s="5">
        <v>2.3842850054118e-15</v>
      </c>
      <c r="BB44" s="5">
        <v>-6.8066393084054e-15</v>
      </c>
      <c r="BC44" s="3">
        <v>15984610.24777</v>
      </c>
      <c r="BD44" s="3">
        <v>3994743.7012081</v>
      </c>
      <c r="BE44" s="3">
        <v>-0.00019524245551381</v>
      </c>
      <c r="BF44" s="3">
        <v>0.00045792999313808</v>
      </c>
      <c r="BG44" s="3">
        <v>0.0001403900729955</v>
      </c>
      <c r="BH44" s="3">
        <v>-0.0004883159805258</v>
      </c>
      <c r="BI44" s="3">
        <v>100.45697751435</v>
      </c>
      <c r="BJ44" s="3">
        <v>50.232876640685</v>
      </c>
      <c r="BK44" s="3">
        <v>92.034651320562</v>
      </c>
      <c r="BL44" s="4"/>
    </row>
    <row r="45" spans="1:64">
      <c r="A45" s="3">
        <v>2505936.1681364</v>
      </c>
      <c r="B45" s="5">
        <v>3.7991066229706e-5</v>
      </c>
      <c r="C45" s="6">
        <f t="shared" si="0"/>
        <v>1.63983028470243e-11</v>
      </c>
      <c r="D45" s="5">
        <v>1.0776001283373e-12</v>
      </c>
      <c r="E45" s="5">
        <v>1.3049080548611e-12</v>
      </c>
      <c r="F45" s="5">
        <v>1.3049076437646e-12</v>
      </c>
      <c r="G45" s="5">
        <v>1.3049063736769e-12</v>
      </c>
      <c r="H45" s="5">
        <v>1.0775979773302e-12</v>
      </c>
      <c r="I45" s="5">
        <v>1.0775986347625e-12</v>
      </c>
      <c r="J45" s="5">
        <v>1.0775982419538e-12</v>
      </c>
      <c r="K45" s="5">
        <v>1.1365795991106e-12</v>
      </c>
      <c r="L45" s="5">
        <v>1.1365811256414e-12</v>
      </c>
      <c r="M45" s="5">
        <v>1.1365790512936e-12</v>
      </c>
      <c r="N45" s="5">
        <v>1.1887351343384e-12</v>
      </c>
      <c r="O45" s="5">
        <v>1.0775980128901e-12</v>
      </c>
      <c r="P45" s="5">
        <v>1.1887343426958e-12</v>
      </c>
      <c r="Q45" s="5">
        <v>1.1887403701842e-12</v>
      </c>
      <c r="R45" s="5">
        <v>1.3049063452178e-12</v>
      </c>
      <c r="S45" s="5">
        <v>1.3049057464486e-12</v>
      </c>
      <c r="T45" s="5">
        <v>1.304906298793e-12</v>
      </c>
      <c r="U45" s="5">
        <v>1.0775982229292e-12</v>
      </c>
      <c r="V45" s="5">
        <v>1.1365802289635e-12</v>
      </c>
      <c r="W45" s="5">
        <v>1.136581815999e-12</v>
      </c>
      <c r="X45" s="5">
        <v>1.1365800636129e-12</v>
      </c>
      <c r="Y45" s="5">
        <v>1.1887348324172e-12</v>
      </c>
      <c r="Z45" s="5">
        <v>1.1887401864507e-12</v>
      </c>
      <c r="AA45" s="5">
        <v>1.1887420397883e-12</v>
      </c>
      <c r="AB45" s="3">
        <v>0.99930444271958</v>
      </c>
      <c r="AC45" s="3">
        <v>0.9975373889013</v>
      </c>
      <c r="AD45" s="3">
        <v>0.00044364587404515</v>
      </c>
      <c r="AE45" s="5">
        <v>-5.7711978548231e-16</v>
      </c>
      <c r="AF45" s="5">
        <v>2.4098290215844e-15</v>
      </c>
      <c r="AG45" s="5">
        <v>1.789761802447e-15</v>
      </c>
      <c r="AH45" s="5">
        <v>1.6952111386712e-16</v>
      </c>
      <c r="AI45" s="5">
        <v>-7.1371168715792e-17</v>
      </c>
      <c r="AJ45" s="5">
        <v>5.4179822652621e-16</v>
      </c>
      <c r="AK45" s="5">
        <v>3.0998574422749e-17</v>
      </c>
      <c r="AL45" s="5">
        <v>4.6886278503477e-16</v>
      </c>
      <c r="AM45" s="5">
        <v>4.5292458174723e-16</v>
      </c>
      <c r="AN45" s="5">
        <v>-9.2866538685465e-17</v>
      </c>
      <c r="AO45" s="5">
        <v>6.1460823007782e-16</v>
      </c>
      <c r="AP45" s="5">
        <v>1.4978482964758e-17</v>
      </c>
      <c r="AQ45" s="5">
        <v>2.7204541036242e-16</v>
      </c>
      <c r="AR45" s="5">
        <v>-3.5085756570801e-15</v>
      </c>
      <c r="AS45" s="5">
        <v>-2.7245201585355e-16</v>
      </c>
      <c r="AT45" s="5">
        <v>1.4736717500107e-16</v>
      </c>
      <c r="AU45" s="5">
        <v>-5.1630382519173e-16</v>
      </c>
      <c r="AV45" s="5">
        <v>-4.2506315803789e-16</v>
      </c>
      <c r="AW45" s="5">
        <v>-2.1031652319732e-16</v>
      </c>
      <c r="AX45" s="5">
        <v>1.8062752689746e-15</v>
      </c>
      <c r="AY45" s="5">
        <v>3.5223163676002e-16</v>
      </c>
      <c r="AZ45" s="5">
        <v>-1.0878541154442e-15</v>
      </c>
      <c r="BA45" s="5">
        <v>2.3781975675148e-15</v>
      </c>
      <c r="BB45" s="5">
        <v>-6.7785464515775e-15</v>
      </c>
      <c r="BC45" s="3">
        <v>15982735.810398</v>
      </c>
      <c r="BD45" s="3">
        <v>3994104.1923429</v>
      </c>
      <c r="BE45" s="3">
        <v>-0.00019451220250386</v>
      </c>
      <c r="BF45" s="3">
        <v>0.00046239882923405</v>
      </c>
      <c r="BG45" s="3">
        <v>0.00014288732046669</v>
      </c>
      <c r="BH45" s="3">
        <v>-0.00048580239358825</v>
      </c>
      <c r="BI45" s="3">
        <v>100.45697564608</v>
      </c>
      <c r="BJ45" s="3">
        <v>50.232887138052</v>
      </c>
      <c r="BK45" s="3">
        <v>91.986505139164</v>
      </c>
      <c r="BL45" s="4"/>
    </row>
    <row r="46" spans="1:64">
      <c r="A46" s="3">
        <v>2811706.6259518</v>
      </c>
      <c r="B46" s="5">
        <v>4.2612483303124e-5</v>
      </c>
      <c r="C46" s="6">
        <f t="shared" si="0"/>
        <v>1.6379918927203e-11</v>
      </c>
      <c r="D46" s="5">
        <v>1.0774651266885e-12</v>
      </c>
      <c r="E46" s="5">
        <v>1.3040226695953e-12</v>
      </c>
      <c r="F46" s="5">
        <v>1.3040222165012e-12</v>
      </c>
      <c r="G46" s="5">
        <v>1.3040208112276e-12</v>
      </c>
      <c r="H46" s="5">
        <v>1.0774627217071e-12</v>
      </c>
      <c r="I46" s="5">
        <v>1.0774634546273e-12</v>
      </c>
      <c r="J46" s="5">
        <v>1.0774630184563e-12</v>
      </c>
      <c r="K46" s="5">
        <v>1.1362349103395e-12</v>
      </c>
      <c r="L46" s="5">
        <v>1.1362366299673e-12</v>
      </c>
      <c r="M46" s="5">
        <v>1.1362342913408e-12</v>
      </c>
      <c r="N46" s="5">
        <v>1.1880670891758e-12</v>
      </c>
      <c r="O46" s="5">
        <v>1.0774627613939e-12</v>
      </c>
      <c r="P46" s="5">
        <v>1.1880662000461e-12</v>
      </c>
      <c r="Q46" s="5">
        <v>1.1880729745502e-12</v>
      </c>
      <c r="R46" s="5">
        <v>1.3040207682116e-12</v>
      </c>
      <c r="S46" s="5">
        <v>1.3040201029097e-12</v>
      </c>
      <c r="T46" s="5">
        <v>1.3040207206731e-12</v>
      </c>
      <c r="U46" s="5">
        <v>1.0774629985349e-12</v>
      </c>
      <c r="V46" s="5">
        <v>1.1362355975436e-12</v>
      </c>
      <c r="W46" s="5">
        <v>1.1362373952878e-12</v>
      </c>
      <c r="X46" s="5">
        <v>1.1362354397875e-12</v>
      </c>
      <c r="Y46" s="5">
        <v>1.1880667394398e-12</v>
      </c>
      <c r="Z46" s="5">
        <v>1.1880727524539e-12</v>
      </c>
      <c r="AA46" s="5">
        <v>1.1880748582102e-12</v>
      </c>
      <c r="AB46" s="3">
        <v>0.99930260637176</v>
      </c>
      <c r="AC46" s="3">
        <v>0.9975297892818</v>
      </c>
      <c r="AD46" s="3">
        <v>0.00044759707441554</v>
      </c>
      <c r="AE46" s="5">
        <v>-5.8494731563894e-16</v>
      </c>
      <c r="AF46" s="5">
        <v>2.3684752903323e-15</v>
      </c>
      <c r="AG46" s="5">
        <v>1.7706014849999e-15</v>
      </c>
      <c r="AH46" s="5">
        <v>1.7563462911994e-16</v>
      </c>
      <c r="AI46" s="5">
        <v>-7.1991713428781e-17</v>
      </c>
      <c r="AJ46" s="5">
        <v>5.4035974720302e-16</v>
      </c>
      <c r="AK46" s="5">
        <v>3.0822336297935e-17</v>
      </c>
      <c r="AL46" s="5">
        <v>4.6894780896918e-16</v>
      </c>
      <c r="AM46" s="5">
        <v>4.9393082569538e-16</v>
      </c>
      <c r="AN46" s="5">
        <v>-9.2686812056257e-17</v>
      </c>
      <c r="AO46" s="5">
        <v>6.1149766405148e-16</v>
      </c>
      <c r="AP46" s="5">
        <v>1.6382508619879e-17</v>
      </c>
      <c r="AQ46" s="5">
        <v>2.730365997179e-16</v>
      </c>
      <c r="AR46" s="5">
        <v>-3.4822101497034e-15</v>
      </c>
      <c r="AS46" s="5">
        <v>-2.6358242507385e-16</v>
      </c>
      <c r="AT46" s="5">
        <v>1.4372489757526e-16</v>
      </c>
      <c r="AU46" s="5">
        <v>-5.0774315481895e-16</v>
      </c>
      <c r="AV46" s="5">
        <v>-4.2589173008595e-16</v>
      </c>
      <c r="AW46" s="5">
        <v>-2.0554109591214e-16</v>
      </c>
      <c r="AX46" s="5">
        <v>1.778918479673e-15</v>
      </c>
      <c r="AY46" s="5">
        <v>3.4645625099819e-16</v>
      </c>
      <c r="AZ46" s="5">
        <v>-1.068591457534e-15</v>
      </c>
      <c r="BA46" s="5">
        <v>2.3711362267838e-15</v>
      </c>
      <c r="BB46" s="5">
        <v>-6.7464568961955e-15</v>
      </c>
      <c r="BC46" s="3">
        <v>15980633.530081</v>
      </c>
      <c r="BD46" s="3">
        <v>3993387.1240032</v>
      </c>
      <c r="BE46" s="3">
        <v>-0.00019368993824581</v>
      </c>
      <c r="BF46" s="3">
        <v>0.0004674073245434</v>
      </c>
      <c r="BG46" s="3">
        <v>0.00014568842022493</v>
      </c>
      <c r="BH46" s="3">
        <v>-0.00048295818741976</v>
      </c>
      <c r="BI46" s="3">
        <v>100.45697393484</v>
      </c>
      <c r="BJ46" s="3">
        <v>50.232898793705</v>
      </c>
      <c r="BK46" s="3">
        <v>91.932955571903</v>
      </c>
      <c r="BL46" s="4"/>
    </row>
    <row r="47" spans="1:64">
      <c r="A47" s="3">
        <v>3154786.7224011</v>
      </c>
      <c r="B47" s="5">
        <v>4.7794175350597e-5</v>
      </c>
      <c r="C47" s="6">
        <f t="shared" si="0"/>
        <v>1.63594540532008e-11</v>
      </c>
      <c r="D47" s="5">
        <v>1.0773124041435e-12</v>
      </c>
      <c r="E47" s="5">
        <v>1.3030344880341e-12</v>
      </c>
      <c r="F47" s="5">
        <v>1.303033989815e-12</v>
      </c>
      <c r="G47" s="5">
        <v>1.3030324377665e-12</v>
      </c>
      <c r="H47" s="5">
        <v>1.0773097161676e-12</v>
      </c>
      <c r="I47" s="5">
        <v>1.0773105326207e-12</v>
      </c>
      <c r="J47" s="5">
        <v>1.0773100489538e-12</v>
      </c>
      <c r="K47" s="5">
        <v>1.1358477081415e-12</v>
      </c>
      <c r="L47" s="5">
        <v>1.1358496465434e-12</v>
      </c>
      <c r="M47" s="5">
        <v>1.1358470081124e-12</v>
      </c>
      <c r="N47" s="5">
        <v>1.1873213863263e-12</v>
      </c>
      <c r="O47" s="5">
        <v>1.0773097604355e-12</v>
      </c>
      <c r="P47" s="5">
        <v>1.1873203874587e-12</v>
      </c>
      <c r="Q47" s="5">
        <v>1.1873280031603e-12</v>
      </c>
      <c r="R47" s="5">
        <v>1.3030323756352e-12</v>
      </c>
      <c r="S47" s="5">
        <v>1.3030316372841e-12</v>
      </c>
      <c r="T47" s="5">
        <v>1.3030323279739e-12</v>
      </c>
      <c r="U47" s="5">
        <v>1.0773100283486e-12</v>
      </c>
      <c r="V47" s="5">
        <v>1.1358484549748e-12</v>
      </c>
      <c r="W47" s="5">
        <v>1.1358504935499e-12</v>
      </c>
      <c r="X47" s="5">
        <v>1.1358483125652e-12</v>
      </c>
      <c r="Y47" s="5">
        <v>1.1873209801356e-12</v>
      </c>
      <c r="Z47" s="5">
        <v>1.1873277338102e-12</v>
      </c>
      <c r="AA47" s="5">
        <v>1.1873301301833e-12</v>
      </c>
      <c r="AB47" s="3">
        <v>0.99930047999718</v>
      </c>
      <c r="AC47" s="3">
        <v>0.99752113392564</v>
      </c>
      <c r="AD47" s="3">
        <v>0.00045204031155339</v>
      </c>
      <c r="AE47" s="5">
        <v>-5.9365793775402e-16</v>
      </c>
      <c r="AF47" s="5">
        <v>2.3227813216611e-15</v>
      </c>
      <c r="AG47" s="5">
        <v>1.7494145004302e-15</v>
      </c>
      <c r="AH47" s="5">
        <v>1.8253953119147e-16</v>
      </c>
      <c r="AI47" s="5">
        <v>-7.2693182829773e-17</v>
      </c>
      <c r="AJ47" s="5">
        <v>5.3866681133299e-16</v>
      </c>
      <c r="AK47" s="5">
        <v>3.0585091800813e-17</v>
      </c>
      <c r="AL47" s="5">
        <v>4.6910028099222e-16</v>
      </c>
      <c r="AM47" s="5">
        <v>5.4043413139056e-16</v>
      </c>
      <c r="AN47" s="5">
        <v>-9.2491767104332e-17</v>
      </c>
      <c r="AO47" s="5">
        <v>6.080526218504e-16</v>
      </c>
      <c r="AP47" s="5">
        <v>1.7936926865007e-17</v>
      </c>
      <c r="AQ47" s="5">
        <v>2.7405734796274e-16</v>
      </c>
      <c r="AR47" s="5">
        <v>-3.4522238615416e-15</v>
      </c>
      <c r="AS47" s="5">
        <v>-2.5377496114911e-16</v>
      </c>
      <c r="AT47" s="5">
        <v>1.3967256206554e-16</v>
      </c>
      <c r="AU47" s="5">
        <v>-4.9818276140146e-16</v>
      </c>
      <c r="AV47" s="5">
        <v>-4.2685512975208e-16</v>
      </c>
      <c r="AW47" s="5">
        <v>-2.001067328354e-16</v>
      </c>
      <c r="AX47" s="5">
        <v>1.7480401274505e-15</v>
      </c>
      <c r="AY47" s="5">
        <v>3.397320473669e-16</v>
      </c>
      <c r="AZ47" s="5">
        <v>-1.0473417444111e-15</v>
      </c>
      <c r="BA47" s="5">
        <v>2.3629252078765e-15</v>
      </c>
      <c r="BB47" s="5">
        <v>-6.7097722026749e-15</v>
      </c>
      <c r="BC47" s="3">
        <v>15978275.83037</v>
      </c>
      <c r="BD47" s="3">
        <v>3992583.1517975</v>
      </c>
      <c r="BE47" s="3">
        <v>-0.00019276371676905</v>
      </c>
      <c r="BF47" s="3">
        <v>0.00047301992761783</v>
      </c>
      <c r="BG47" s="3">
        <v>0.00014883023305603</v>
      </c>
      <c r="BH47" s="3">
        <v>-0.00047973920218569</v>
      </c>
      <c r="BI47" s="3">
        <v>100.45697248691</v>
      </c>
      <c r="BJ47" s="3">
        <v>50.232911717427</v>
      </c>
      <c r="BK47" s="3">
        <v>91.873460009171</v>
      </c>
      <c r="BL47" s="4"/>
    </row>
    <row r="48" spans="1:64">
      <c r="A48" s="3">
        <v>3539728.9219208</v>
      </c>
      <c r="B48" s="5">
        <v>5.3603598673322e-5</v>
      </c>
      <c r="C48" s="6">
        <f t="shared" si="0"/>
        <v>1.63366932417295e-11</v>
      </c>
      <c r="D48" s="5">
        <v>1.0771404913267e-12</v>
      </c>
      <c r="E48" s="5">
        <v>1.3019318984455e-12</v>
      </c>
      <c r="F48" s="5">
        <v>1.3019313520629e-12</v>
      </c>
      <c r="G48" s="5">
        <v>1.3019296414234e-12</v>
      </c>
      <c r="H48" s="5">
        <v>1.0771374882229e-12</v>
      </c>
      <c r="I48" s="5">
        <v>1.0771383969559e-12</v>
      </c>
      <c r="J48" s="5">
        <v>1.0771378614447e-12</v>
      </c>
      <c r="K48" s="5">
        <v>1.1354187656448e-12</v>
      </c>
      <c r="L48" s="5">
        <v>1.1354209523191e-12</v>
      </c>
      <c r="M48" s="5">
        <v>1.1354179732196e-12</v>
      </c>
      <c r="N48" s="5">
        <v>1.1864899632085e-12</v>
      </c>
      <c r="O48" s="5">
        <v>1.0771375375702e-12</v>
      </c>
      <c r="P48" s="5">
        <v>1.1864888407138e-12</v>
      </c>
      <c r="Q48" s="5">
        <v>1.1864974040947e-12</v>
      </c>
      <c r="R48" s="5">
        <v>1.3019295543763e-12</v>
      </c>
      <c r="S48" s="5">
        <v>1.3019287360424e-12</v>
      </c>
      <c r="T48" s="5">
        <v>1.3019295079756e-12</v>
      </c>
      <c r="U48" s="5">
        <v>1.0771378404613e-12</v>
      </c>
      <c r="V48" s="5">
        <v>1.1354195735635e-12</v>
      </c>
      <c r="W48" s="5">
        <v>1.1354218879201e-12</v>
      </c>
      <c r="X48" s="5">
        <v>1.1354194568329e-12</v>
      </c>
      <c r="Y48" s="5">
        <v>1.1864894901533e-12</v>
      </c>
      <c r="Z48" s="5">
        <v>1.1864970763854e-12</v>
      </c>
      <c r="AA48" s="5">
        <v>1.1864998083924e-12</v>
      </c>
      <c r="AB48" s="3">
        <v>0.99929801235909</v>
      </c>
      <c r="AC48" s="3">
        <v>0.99751126062286</v>
      </c>
      <c r="AD48" s="3">
        <v>0.00045703767678069</v>
      </c>
      <c r="AE48" s="5">
        <v>-6.0333268402222e-16</v>
      </c>
      <c r="AF48" s="5">
        <v>2.2723893367051e-15</v>
      </c>
      <c r="AG48" s="5">
        <v>1.7260268650767e-15</v>
      </c>
      <c r="AH48" s="5">
        <v>1.9034305865327e-16</v>
      </c>
      <c r="AI48" s="5">
        <v>-7.3487569177184e-17</v>
      </c>
      <c r="AJ48" s="5">
        <v>5.3666777964811e-16</v>
      </c>
      <c r="AK48" s="5">
        <v>3.0269886387091e-17</v>
      </c>
      <c r="AL48" s="5">
        <v>4.6934074583258e-16</v>
      </c>
      <c r="AM48" s="5">
        <v>5.9322619656804e-16</v>
      </c>
      <c r="AN48" s="5">
        <v>-9.2281240615723e-17</v>
      </c>
      <c r="AO48" s="5">
        <v>6.042370449749e-16</v>
      </c>
      <c r="AP48" s="5">
        <v>1.9653926447991e-17</v>
      </c>
      <c r="AQ48" s="5">
        <v>2.7508871542488e-16</v>
      </c>
      <c r="AR48" s="5">
        <v>-3.4181120718304e-15</v>
      </c>
      <c r="AS48" s="5">
        <v>-2.4295113773219e-16</v>
      </c>
      <c r="AT48" s="5">
        <v>1.3516777987243e-16</v>
      </c>
      <c r="AU48" s="5">
        <v>-4.87511364028e-16</v>
      </c>
      <c r="AV48" s="5">
        <v>-4.2797855479151e-16</v>
      </c>
      <c r="AW48" s="5">
        <v>-1.9392441065531e-16</v>
      </c>
      <c r="AX48" s="5">
        <v>1.7131524767327e-15</v>
      </c>
      <c r="AY48" s="5">
        <v>3.318800792911e-16</v>
      </c>
      <c r="AZ48" s="5">
        <v>-1.0239473951355e-15</v>
      </c>
      <c r="BA48" s="5">
        <v>2.353355400758e-15</v>
      </c>
      <c r="BB48" s="5">
        <v>-6.6677858624834e-15</v>
      </c>
      <c r="BC48" s="3">
        <v>15975631.830897</v>
      </c>
      <c r="BD48" s="3">
        <v>3991681.8220409</v>
      </c>
      <c r="BE48" s="3">
        <v>-0.00019171997594243</v>
      </c>
      <c r="BF48" s="3">
        <v>0.00047930861024718</v>
      </c>
      <c r="BG48" s="3">
        <v>0.00015235406481144</v>
      </c>
      <c r="BH48" s="3">
        <v>-0.00047609546068261</v>
      </c>
      <c r="BI48" s="3">
        <v>100.45697144146</v>
      </c>
      <c r="BJ48" s="3">
        <v>50.232926022128</v>
      </c>
      <c r="BK48" s="3">
        <v>91.807436891958</v>
      </c>
      <c r="BL48" s="4"/>
    </row>
    <row r="49" spans="1:64">
      <c r="A49" s="3">
        <v>3971641.1736215</v>
      </c>
      <c r="B49" s="5">
        <v>6.0116220269047e-5</v>
      </c>
      <c r="C49" s="6">
        <f t="shared" si="0"/>
        <v>1.63113998620766e-11</v>
      </c>
      <c r="D49" s="5">
        <v>1.0769475996982e-12</v>
      </c>
      <c r="E49" s="5">
        <v>1.3007023853759e-12</v>
      </c>
      <c r="F49" s="5">
        <v>1.3007017879943e-12</v>
      </c>
      <c r="G49" s="5">
        <v>1.3006999069697e-12</v>
      </c>
      <c r="H49" s="5">
        <v>1.0769442459231e-12</v>
      </c>
      <c r="I49" s="5">
        <v>1.0769452564059e-12</v>
      </c>
      <c r="J49" s="5">
        <v>1.0769446645326e-12</v>
      </c>
      <c r="K49" s="5">
        <v>1.1349414211674e-12</v>
      </c>
      <c r="L49" s="5">
        <v>1.13494389022e-12</v>
      </c>
      <c r="M49" s="5">
        <v>1.1349405231812e-12</v>
      </c>
      <c r="N49" s="5">
        <v>1.1855759146291e-12</v>
      </c>
      <c r="O49" s="5">
        <v>1.0769443008959e-12</v>
      </c>
      <c r="P49" s="5">
        <v>1.1855746527226e-12</v>
      </c>
      <c r="Q49" s="5">
        <v>1.1855842842849e-12</v>
      </c>
      <c r="R49" s="5">
        <v>1.3006997876486e-12</v>
      </c>
      <c r="S49" s="5">
        <v>1.3006988820141e-12</v>
      </c>
      <c r="T49" s="5">
        <v>1.3006997443945e-12</v>
      </c>
      <c r="U49" s="5">
        <v>1.0769446435922e-12</v>
      </c>
      <c r="V49" s="5">
        <v>1.1349422904553e-12</v>
      </c>
      <c r="W49" s="5">
        <v>1.1349449214815e-12</v>
      </c>
      <c r="X49" s="5">
        <v>1.1349422130054e-12</v>
      </c>
      <c r="Y49" s="5">
        <v>1.1855753621301e-12</v>
      </c>
      <c r="Z49" s="5">
        <v>1.1855838843134e-12</v>
      </c>
      <c r="AA49" s="5">
        <v>1.185587005278e-12</v>
      </c>
      <c r="AB49" s="3">
        <v>0.99929514734392</v>
      </c>
      <c r="AC49" s="3">
        <v>0.99749998035028</v>
      </c>
      <c r="AD49" s="3">
        <v>0.00046265918363535</v>
      </c>
      <c r="AE49" s="5">
        <v>-6.1405287196407e-16</v>
      </c>
      <c r="AF49" s="5">
        <v>2.2169373116336e-15</v>
      </c>
      <c r="AG49" s="5">
        <v>1.7002585549043e-15</v>
      </c>
      <c r="AH49" s="5">
        <v>1.9916739411459e-16</v>
      </c>
      <c r="AI49" s="5">
        <v>-7.438868597545e-17</v>
      </c>
      <c r="AJ49" s="5">
        <v>5.3429940594269e-16</v>
      </c>
      <c r="AK49" s="5">
        <v>2.9856107461927e-17</v>
      </c>
      <c r="AL49" s="5">
        <v>4.6969340562969e-16</v>
      </c>
      <c r="AM49" s="5">
        <v>6.532231981552e-16</v>
      </c>
      <c r="AN49" s="5">
        <v>-9.2055936971839e-17</v>
      </c>
      <c r="AO49" s="5">
        <v>6.0000899049555e-16</v>
      </c>
      <c r="AP49" s="5">
        <v>2.1545286084553e-17</v>
      </c>
      <c r="AQ49" s="5">
        <v>2.7610437249068e-16</v>
      </c>
      <c r="AR49" s="5">
        <v>-3.3793079340443e-15</v>
      </c>
      <c r="AS49" s="5">
        <v>-2.310314843209e-16</v>
      </c>
      <c r="AT49" s="5">
        <v>1.301645368218e-16</v>
      </c>
      <c r="AU49" s="5">
        <v>-4.7560622675721e-16</v>
      </c>
      <c r="AV49" s="5">
        <v>-4.2929416405054e-16</v>
      </c>
      <c r="AW49" s="5">
        <v>-1.8689467732479e-16</v>
      </c>
      <c r="AX49" s="5">
        <v>1.6736872354346e-15</v>
      </c>
      <c r="AY49" s="5">
        <v>3.2268494390184e-16</v>
      </c>
      <c r="AZ49" s="5">
        <v>-9.9824929095277e-16</v>
      </c>
      <c r="BA49" s="5">
        <v>2.3421781687335e-15</v>
      </c>
      <c r="BB49" s="5">
        <v>-6.6196813477367e-15</v>
      </c>
      <c r="BC49" s="3">
        <v>15972666.951981</v>
      </c>
      <c r="BD49" s="3">
        <v>3990671.4412679</v>
      </c>
      <c r="BE49" s="3">
        <v>-0.00019054327248607</v>
      </c>
      <c r="BF49" s="3">
        <v>0.00048635370369</v>
      </c>
      <c r="BG49" s="3">
        <v>0.00015630619851997</v>
      </c>
      <c r="BH49" s="3">
        <v>-0.00047197111765443</v>
      </c>
      <c r="BI49" s="3">
        <v>100.4569709768</v>
      </c>
      <c r="BJ49" s="3">
        <v>50.232941822521</v>
      </c>
      <c r="BK49" s="3">
        <v>91.73426810121</v>
      </c>
      <c r="BL49" s="4"/>
    </row>
    <row r="50" spans="1:64">
      <c r="A50" s="3">
        <v>4456254.6906689</v>
      </c>
      <c r="B50" s="5">
        <v>6.7416442069512e-5</v>
      </c>
      <c r="C50" s="6">
        <f t="shared" si="0"/>
        <v>1.62833242593565e-11</v>
      </c>
      <c r="D50" s="5">
        <v>1.0767278456226e-12</v>
      </c>
      <c r="E50" s="5">
        <v>1.2993322848722e-12</v>
      </c>
      <c r="F50" s="5">
        <v>1.2993316340068e-12</v>
      </c>
      <c r="G50" s="5">
        <v>1.2993295711658e-12</v>
      </c>
      <c r="H50" s="5">
        <v>1.0767241019046e-12</v>
      </c>
      <c r="I50" s="5">
        <v>1.0767252243393e-12</v>
      </c>
      <c r="J50" s="5">
        <v>1.0767245714849e-12</v>
      </c>
      <c r="K50" s="5">
        <v>1.1344117837539e-12</v>
      </c>
      <c r="L50" s="5">
        <v>1.1344145747807e-12</v>
      </c>
      <c r="M50" s="5">
        <v>1.1344107649129e-12</v>
      </c>
      <c r="N50" s="5">
        <v>1.1845626434864e-12</v>
      </c>
      <c r="O50" s="5">
        <v>1.0767241630994e-12</v>
      </c>
      <c r="P50" s="5">
        <v>1.184561224174e-12</v>
      </c>
      <c r="Q50" s="5">
        <v>1.1845720604323e-12</v>
      </c>
      <c r="R50" s="5">
        <v>1.2993294102625e-12</v>
      </c>
      <c r="S50" s="5">
        <v>1.2993284096776e-12</v>
      </c>
      <c r="T50" s="5">
        <v>1.2993293726809e-12</v>
      </c>
      <c r="U50" s="5">
        <v>1.07672455115e-12</v>
      </c>
      <c r="V50" s="5">
        <v>1.1344127130872e-12</v>
      </c>
      <c r="W50" s="5">
        <v>1.1344157087429e-12</v>
      </c>
      <c r="X50" s="5">
        <v>1.1344126926487e-12</v>
      </c>
      <c r="Y50" s="5">
        <v>1.1845619962979e-12</v>
      </c>
      <c r="Z50" s="5">
        <v>1.1845715707542e-12</v>
      </c>
      <c r="AA50" s="5">
        <v>1.1845751441837e-12</v>
      </c>
      <c r="AB50" s="3">
        <v>0.9992918112575</v>
      </c>
      <c r="AC50" s="3">
        <v>0.99748706870954</v>
      </c>
      <c r="AD50" s="3">
        <v>0.00046898376335139</v>
      </c>
      <c r="AE50" s="5">
        <v>-6.2589529275015e-16</v>
      </c>
      <c r="AF50" s="5">
        <v>2.156075118498e-15</v>
      </c>
      <c r="AG50" s="5">
        <v>1.6719247804847e-15</v>
      </c>
      <c r="AH50" s="5">
        <v>2.0915178759462e-16</v>
      </c>
      <c r="AI50" s="5">
        <v>-7.5406975210881e-17</v>
      </c>
      <c r="AJ50" s="5">
        <v>5.3148378699736e-16</v>
      </c>
      <c r="AK50" s="5">
        <v>2.9320554484454e-17</v>
      </c>
      <c r="AL50" s="5">
        <v>4.7018824228873e-16</v>
      </c>
      <c r="AM50" s="5">
        <v>7.2147436877821e-16</v>
      </c>
      <c r="AN50" s="5">
        <v>-9.1817624471697e-17</v>
      </c>
      <c r="AO50" s="5">
        <v>5.9532077967006e-16</v>
      </c>
      <c r="AP50" s="5">
        <v>2.3622594676872e-17</v>
      </c>
      <c r="AQ50" s="5">
        <v>2.7706732353257e-16</v>
      </c>
      <c r="AR50" s="5">
        <v>-3.3351786863592e-15</v>
      </c>
      <c r="AS50" s="5">
        <v>-2.1793912757554e-16</v>
      </c>
      <c r="AT50" s="5">
        <v>1.2461371853183e-16</v>
      </c>
      <c r="AU50" s="5">
        <v>-4.6233275152452e-16</v>
      </c>
      <c r="AV50" s="5">
        <v>-4.3084146008975e-16</v>
      </c>
      <c r="AW50" s="5">
        <v>-1.7890708071959e-16</v>
      </c>
      <c r="AX50" s="5">
        <v>1.6289917912229e-15</v>
      </c>
      <c r="AY50" s="5">
        <v>3.1188439074323e-16</v>
      </c>
      <c r="AZ50" s="5">
        <v>-9.7009792394392e-16</v>
      </c>
      <c r="BA50" s="5">
        <v>2.3290937466461e-15</v>
      </c>
      <c r="BB50" s="5">
        <v>-6.5645072907147e-15</v>
      </c>
      <c r="BC50" s="3">
        <v>15969342.481567</v>
      </c>
      <c r="BD50" s="3">
        <v>3989538.9340468</v>
      </c>
      <c r="BE50" s="3">
        <v>-0.00018921600298831</v>
      </c>
      <c r="BF50" s="3">
        <v>0.00049424482272855</v>
      </c>
      <c r="BG50" s="3">
        <v>0.00016073848174937</v>
      </c>
      <c r="BH50" s="3">
        <v>-0.00046730429572613</v>
      </c>
      <c r="BI50" s="3">
        <v>100.45697131939</v>
      </c>
      <c r="BJ50" s="3">
        <v>50.232959232819</v>
      </c>
      <c r="BK50" s="3">
        <v>91.653302111644</v>
      </c>
      <c r="BL50" s="4"/>
    </row>
    <row r="51" spans="1:64">
      <c r="A51" s="3">
        <v>5000000.0000001</v>
      </c>
      <c r="B51" s="5">
        <v>7.559861601032e-5</v>
      </c>
      <c r="C51" s="6">
        <f t="shared" si="0"/>
        <v>1.62522016374716e-11</v>
      </c>
      <c r="D51" s="5">
        <v>1.0764770811949e-12</v>
      </c>
      <c r="E51" s="5">
        <v>1.2978065951907e-12</v>
      </c>
      <c r="F51" s="5">
        <v>1.2978058888945e-12</v>
      </c>
      <c r="G51" s="5">
        <v>1.2978036336239e-12</v>
      </c>
      <c r="H51" s="5">
        <v>1.0764729041934e-12</v>
      </c>
      <c r="I51" s="5">
        <v>1.0764741495065e-12</v>
      </c>
      <c r="J51" s="5">
        <v>1.0764734310488e-12</v>
      </c>
      <c r="K51" s="5">
        <v>1.1338161898066e-12</v>
      </c>
      <c r="L51" s="5">
        <v>1.1338193487904e-12</v>
      </c>
      <c r="M51" s="5">
        <v>1.1338150323063e-12</v>
      </c>
      <c r="N51" s="5">
        <v>1.1834340252784e-12</v>
      </c>
      <c r="O51" s="5">
        <v>1.0764729722589e-12</v>
      </c>
      <c r="P51" s="5">
        <v>1.1834324279718e-12</v>
      </c>
      <c r="Q51" s="5">
        <v>1.1834446237646e-12</v>
      </c>
      <c r="R51" s="5">
        <v>1.2978034193953e-12</v>
      </c>
      <c r="S51" s="5">
        <v>1.2978023159552e-12</v>
      </c>
      <c r="T51" s="5">
        <v>1.297803390822e-12</v>
      </c>
      <c r="U51" s="5">
        <v>1.0764734120567e-12</v>
      </c>
      <c r="V51" s="5">
        <v>1.1338171757251e-12</v>
      </c>
      <c r="W51" s="5">
        <v>1.1338205919456e-12</v>
      </c>
      <c r="X51" s="5">
        <v>1.1338172352242e-12</v>
      </c>
      <c r="Y51" s="5">
        <v>1.1834332648694e-12</v>
      </c>
      <c r="Z51" s="5">
        <v>1.1834440224432e-12</v>
      </c>
      <c r="AA51" s="5">
        <v>1.1834481244068e-12</v>
      </c>
      <c r="AB51" s="3">
        <v>0.99928791373253</v>
      </c>
      <c r="AC51" s="3">
        <v>0.99747225747463</v>
      </c>
      <c r="AD51" s="3">
        <v>0.00047610040715962</v>
      </c>
      <c r="AE51" s="5">
        <v>-6.3892914797961e-16</v>
      </c>
      <c r="AF51" s="5">
        <v>2.0894724930985e-15</v>
      </c>
      <c r="AG51" s="5">
        <v>1.6408449448986e-15</v>
      </c>
      <c r="AH51" s="5">
        <v>2.204568902961e-16</v>
      </c>
      <c r="AI51" s="5">
        <v>-7.6558752044821e-17</v>
      </c>
      <c r="AJ51" s="5">
        <v>5.281260610159e-16</v>
      </c>
      <c r="AK51" s="5">
        <v>2.863230909379e-17</v>
      </c>
      <c r="AL51" s="5">
        <v>4.708619158171e-16</v>
      </c>
      <c r="AM51" s="5">
        <v>7.9920040142306e-16</v>
      </c>
      <c r="AN51" s="5">
        <v>-9.1568834919671e-17</v>
      </c>
      <c r="AO51" s="5">
        <v>5.9011440531185e-16</v>
      </c>
      <c r="AP51" s="5">
        <v>2.5896173963473e-17</v>
      </c>
      <c r="AQ51" s="5">
        <v>2.7792805946692e-16</v>
      </c>
      <c r="AR51" s="5">
        <v>-3.2850297684968e-15</v>
      </c>
      <c r="AS51" s="5">
        <v>-2.0360063726782e-16</v>
      </c>
      <c r="AT51" s="5">
        <v>1.184624706765e-16</v>
      </c>
      <c r="AU51" s="5">
        <v>-4.475439903287e-16</v>
      </c>
      <c r="AV51" s="5">
        <v>-4.3266553404456e-16</v>
      </c>
      <c r="AW51" s="5">
        <v>-1.6984526705894e-16</v>
      </c>
      <c r="AX51" s="5">
        <v>1.578301190138e-15</v>
      </c>
      <c r="AY51" s="5">
        <v>2.9915961860784e-16</v>
      </c>
      <c r="AZ51" s="5">
        <v>-9.3935452204299e-16</v>
      </c>
      <c r="BA51" s="5">
        <v>2.3137466503382e-15</v>
      </c>
      <c r="BB51" s="5">
        <v>-6.5011714194985e-15</v>
      </c>
      <c r="BC51" s="3">
        <v>15965615.112994</v>
      </c>
      <c r="BD51" s="3">
        <v>3988269.6921738</v>
      </c>
      <c r="BE51" s="3">
        <v>-0.00018771816512795</v>
      </c>
      <c r="BF51" s="3">
        <v>0.00050308188113523</v>
      </c>
      <c r="BG51" s="3">
        <v>0.00016570898684535</v>
      </c>
      <c r="BH51" s="3">
        <v>-0.00046202571817294</v>
      </c>
      <c r="BI51" s="3">
        <v>100.45697275535</v>
      </c>
      <c r="BJ51" s="3">
        <v>50.232978364438</v>
      </c>
      <c r="BK51" s="3">
        <v>91.563858645951</v>
      </c>
      <c r="BL51" s="4"/>
    </row>
    <row r="52" spans="1:64">
      <c r="A52" s="3">
        <v>5610092.27151</v>
      </c>
      <c r="B52" s="5">
        <v>8.4768182539235e-5</v>
      </c>
      <c r="C52" s="6">
        <f t="shared" si="0"/>
        <v>1.62177468997972e-11</v>
      </c>
      <c r="D52" s="5">
        <v>1.0761904219836e-12</v>
      </c>
      <c r="E52" s="5">
        <v>1.2961108651741e-12</v>
      </c>
      <c r="F52" s="5">
        <v>1.2961101022731e-12</v>
      </c>
      <c r="G52" s="5">
        <v>1.2961076453753e-12</v>
      </c>
      <c r="H52" s="5">
        <v>1.076185763926e-12</v>
      </c>
      <c r="I52" s="5">
        <v>1.0761871437379e-12</v>
      </c>
      <c r="J52" s="5">
        <v>1.0761863551876e-12</v>
      </c>
      <c r="K52" s="5">
        <v>1.133150776736e-12</v>
      </c>
      <c r="L52" s="5">
        <v>1.1331543575227e-12</v>
      </c>
      <c r="M52" s="5">
        <v>1.1331494597636e-12</v>
      </c>
      <c r="N52" s="5">
        <v>1.1821778004571e-12</v>
      </c>
      <c r="O52" s="5">
        <v>1.076185839563e-12</v>
      </c>
      <c r="P52" s="5">
        <v>1.1821760014949e-12</v>
      </c>
      <c r="Q52" s="5">
        <v>1.1821897326787e-12</v>
      </c>
      <c r="R52" s="5">
        <v>1.2961073630438e-12</v>
      </c>
      <c r="S52" s="5">
        <v>1.2961061486941e-12</v>
      </c>
      <c r="T52" s="5">
        <v>1.2961073478337e-12</v>
      </c>
      <c r="U52" s="5">
        <v>1.0761863384891e-12</v>
      </c>
      <c r="V52" s="5">
        <v>1.1331518129528e-12</v>
      </c>
      <c r="W52" s="5">
        <v>1.1331557155849e-12</v>
      </c>
      <c r="X52" s="5">
        <v>1.1331519818267e-12</v>
      </c>
      <c r="Y52" s="5">
        <v>1.1821769042398e-12</v>
      </c>
      <c r="Z52" s="5">
        <v>1.182188992066e-12</v>
      </c>
      <c r="AA52" s="5">
        <v>1.1821937142257e-12</v>
      </c>
      <c r="AB52" s="3">
        <v>0.99928335132516</v>
      </c>
      <c r="AC52" s="3">
        <v>0.99745522946357</v>
      </c>
      <c r="AD52" s="3">
        <v>0.00048410939478834</v>
      </c>
      <c r="AE52" s="5">
        <v>-6.5320884115023e-16</v>
      </c>
      <c r="AF52" s="5">
        <v>2.0168348344352e-15</v>
      </c>
      <c r="AG52" s="5">
        <v>1.6068457682608e-15</v>
      </c>
      <c r="AH52" s="5">
        <v>2.3326728968396e-16</v>
      </c>
      <c r="AI52" s="5">
        <v>-7.7866082068566e-17</v>
      </c>
      <c r="AJ52" s="5">
        <v>5.2411029374e-16</v>
      </c>
      <c r="AK52" s="5">
        <v>2.775297720709e-17</v>
      </c>
      <c r="AL52" s="5">
        <v>4.7175762948586e-16</v>
      </c>
      <c r="AM52" s="5">
        <v>8.8781911773591e-16</v>
      </c>
      <c r="AN52" s="5">
        <v>-9.131384219669e-17</v>
      </c>
      <c r="AO52" s="5">
        <v>5.8431756849858e-16</v>
      </c>
      <c r="AP52" s="5">
        <v>2.8374160303041e-17</v>
      </c>
      <c r="AQ52" s="5">
        <v>2.7862133485582e-16</v>
      </c>
      <c r="AR52" s="5">
        <v>-3.2281099528509e-15</v>
      </c>
      <c r="AS52" s="5">
        <v>-1.8794943585672e-16</v>
      </c>
      <c r="AT52" s="5">
        <v>1.1165428259045e-16</v>
      </c>
      <c r="AU52" s="5">
        <v>-4.3107983781726e-16</v>
      </c>
      <c r="AV52" s="5">
        <v>-4.348227472733e-16</v>
      </c>
      <c r="AW52" s="5">
        <v>-1.5958774546125e-16</v>
      </c>
      <c r="AX52" s="5">
        <v>1.5207140902549e-15</v>
      </c>
      <c r="AY52" s="5">
        <v>2.8412323579019e-16</v>
      </c>
      <c r="AZ52" s="5">
        <v>-9.0589775995413e-16</v>
      </c>
      <c r="BA52" s="5">
        <v>2.2957161469567e-15</v>
      </c>
      <c r="BB52" s="5">
        <v>-6.4284228270361e-15</v>
      </c>
      <c r="BC52" s="3">
        <v>15961436.405161</v>
      </c>
      <c r="BD52" s="3">
        <v>3986847.3986974</v>
      </c>
      <c r="BE52" s="3">
        <v>-0.00018602696226351</v>
      </c>
      <c r="BF52" s="3">
        <v>0.0005129762031801</v>
      </c>
      <c r="BG52" s="3">
        <v>0.00017128274647743</v>
      </c>
      <c r="BH52" s="3">
        <v>-0.0004560588976781</v>
      </c>
      <c r="BI52" s="3">
        <v>100.45697564121</v>
      </c>
      <c r="BJ52" s="3">
        <v>50.232999320479</v>
      </c>
      <c r="BK52" s="3">
        <v>91.46523646819</v>
      </c>
      <c r="BL52" s="4"/>
    </row>
    <row r="53" spans="1:64">
      <c r="A53" s="3">
        <v>6294627.058971</v>
      </c>
      <c r="B53" s="5">
        <v>9.5042934985258e-5</v>
      </c>
      <c r="C53" s="6">
        <f t="shared" si="0"/>
        <v>1.6179648892177e-11</v>
      </c>
      <c r="D53" s="5">
        <v>1.0758717764455e-12</v>
      </c>
      <c r="E53" s="5">
        <v>1.2942375088283e-12</v>
      </c>
      <c r="F53" s="5">
        <v>1.2942366892092e-12</v>
      </c>
      <c r="G53" s="5">
        <v>1.2942340236776e-12</v>
      </c>
      <c r="H53" s="5">
        <v>1.0758665847109e-12</v>
      </c>
      <c r="I53" s="5">
        <v>1.0758681112796e-12</v>
      </c>
      <c r="J53" s="5">
        <v>1.0758672484846e-12</v>
      </c>
      <c r="K53" s="5">
        <v>1.1324056886149e-12</v>
      </c>
      <c r="L53" s="5">
        <v>1.1324097546539e-12</v>
      </c>
      <c r="M53" s="5">
        <v>1.1324041877541e-12</v>
      </c>
      <c r="N53" s="5">
        <v>1.1808049165896e-12</v>
      </c>
      <c r="O53" s="5">
        <v>1.0758666686715e-12</v>
      </c>
      <c r="P53" s="5">
        <v>1.1808028886275e-12</v>
      </c>
      <c r="Q53" s="5">
        <v>1.1808183552242e-12</v>
      </c>
      <c r="R53" s="5">
        <v>1.2942336546923e-12</v>
      </c>
      <c r="S53" s="5">
        <v>1.2942323213677e-12</v>
      </c>
      <c r="T53" s="5">
        <v>1.2942336584764e-12</v>
      </c>
      <c r="U53" s="5">
        <v>1.0758672352665e-12</v>
      </c>
      <c r="V53" s="5">
        <v>1.1324067651733e-12</v>
      </c>
      <c r="W53" s="5">
        <v>1.1324112320611e-12</v>
      </c>
      <c r="X53" s="5">
        <v>1.1324070809942e-12</v>
      </c>
      <c r="Y53" s="5">
        <v>1.1808038569459e-12</v>
      </c>
      <c r="Z53" s="5">
        <v>1.1808174404063e-12</v>
      </c>
      <c r="AA53" s="5">
        <v>1.180822893887e-12</v>
      </c>
      <c r="AB53" s="3">
        <v>0.99927804701314</v>
      </c>
      <c r="AC53" s="3">
        <v>0.9974356173824</v>
      </c>
      <c r="AD53" s="3">
        <v>0.00049312364173156</v>
      </c>
      <c r="AE53" s="5">
        <v>-6.6876017644035e-16</v>
      </c>
      <c r="AF53" s="5">
        <v>1.9379234701608e-15</v>
      </c>
      <c r="AG53" s="5">
        <v>1.5697676059315e-15</v>
      </c>
      <c r="AH53" s="5">
        <v>2.4779401623003e-16</v>
      </c>
      <c r="AI53" s="5">
        <v>-7.9359200108277e-17</v>
      </c>
      <c r="AJ53" s="5">
        <v>5.1929282567186e-16</v>
      </c>
      <c r="AK53" s="5">
        <v>2.663640735451e-17</v>
      </c>
      <c r="AL53" s="5">
        <v>4.7292194898278e-16</v>
      </c>
      <c r="AM53" s="5">
        <v>9.8897322711868e-16</v>
      </c>
      <c r="AN53" s="5">
        <v>-9.1059682294756e-17</v>
      </c>
      <c r="AO53" s="5">
        <v>5.7783770008352e-16</v>
      </c>
      <c r="AP53" s="5">
        <v>3.1061545496502e-17</v>
      </c>
      <c r="AQ53" s="5">
        <v>2.79062080574e-16</v>
      </c>
      <c r="AR53" s="5">
        <v>-3.1636246957865e-15</v>
      </c>
      <c r="AS53" s="5">
        <v>-1.7092956133118e-16</v>
      </c>
      <c r="AT53" s="5">
        <v>1.0412923331707e-16</v>
      </c>
      <c r="AU53" s="5">
        <v>-4.1276682133903e-16</v>
      </c>
      <c r="AV53" s="5">
        <v>-4.3739459879383e-16</v>
      </c>
      <c r="AW53" s="5">
        <v>-1.4801014617242e-16</v>
      </c>
      <c r="AX53" s="5">
        <v>1.4551603843355e-15</v>
      </c>
      <c r="AY53" s="5">
        <v>2.6630827817184e-16</v>
      </c>
      <c r="AZ53" s="5">
        <v>-8.6963218774616e-16</v>
      </c>
      <c r="BA53" s="5">
        <v>2.2745119632912e-15</v>
      </c>
      <c r="BB53" s="5">
        <v>-6.3448303202319e-15</v>
      </c>
      <c r="BC53" s="3">
        <v>15956752.17532</v>
      </c>
      <c r="BD53" s="3">
        <v>3985253.8306846</v>
      </c>
      <c r="BE53" s="3">
        <v>-0.00018411631245736</v>
      </c>
      <c r="BF53" s="3">
        <v>0.0005240517356957</v>
      </c>
      <c r="BG53" s="3">
        <v>0.0001775325802814</v>
      </c>
      <c r="BH53" s="3">
        <v>-0.0004493194490716</v>
      </c>
      <c r="BI53" s="3">
        <v>100.45698041326</v>
      </c>
      <c r="BJ53" s="3">
        <v>50.233022187227</v>
      </c>
      <c r="BK53" s="3">
        <v>91.356724640861</v>
      </c>
      <c r="BL53" s="4"/>
    </row>
    <row r="54" spans="1:64">
      <c r="A54" s="3">
        <v>7062687.723114</v>
      </c>
      <c r="B54" s="3">
        <v>0.00010655442903506</v>
      </c>
      <c r="C54" s="6">
        <f t="shared" si="0"/>
        <v>1.61375687056307e-11</v>
      </c>
      <c r="D54" s="5">
        <v>1.0755287245976e-12</v>
      </c>
      <c r="E54" s="5">
        <v>1.2921750260777e-12</v>
      </c>
      <c r="F54" s="5">
        <v>1.2921741510366e-12</v>
      </c>
      <c r="G54" s="5">
        <v>1.2921712730664e-12</v>
      </c>
      <c r="H54" s="5">
        <v>1.0755229412714e-12</v>
      </c>
      <c r="I54" s="5">
        <v>1.0755246273964e-12</v>
      </c>
      <c r="J54" s="5">
        <v>1.075523686817e-12</v>
      </c>
      <c r="K54" s="5">
        <v>1.1315780883585e-12</v>
      </c>
      <c r="L54" s="5">
        <v>1.1315827149197e-12</v>
      </c>
      <c r="M54" s="5">
        <v>1.1315763748602e-12</v>
      </c>
      <c r="N54" s="5">
        <v>1.1793065303277e-12</v>
      </c>
      <c r="O54" s="5">
        <v>1.0755230343545e-12</v>
      </c>
      <c r="P54" s="5">
        <v>1.1793042415684e-12</v>
      </c>
      <c r="Q54" s="5">
        <v>1.1793216714414e-12</v>
      </c>
      <c r="R54" s="5">
        <v>1.2921707941765e-12</v>
      </c>
      <c r="S54" s="5">
        <v>1.2921693339785e-12</v>
      </c>
      <c r="T54" s="5">
        <v>1.2921708241889e-12</v>
      </c>
      <c r="U54" s="5">
        <v>1.0755236785245e-12</v>
      </c>
      <c r="V54" s="5">
        <v>1.1315791905917e-12</v>
      </c>
      <c r="W54" s="5">
        <v>1.13158431418e-12</v>
      </c>
      <c r="X54" s="5">
        <v>1.1315797010734e-12</v>
      </c>
      <c r="Y54" s="5">
        <v>1.1793052733938e-12</v>
      </c>
      <c r="Z54" s="5">
        <v>1.1793205382522e-12</v>
      </c>
      <c r="AA54" s="5">
        <v>1.1793268585984e-12</v>
      </c>
      <c r="AB54" s="3">
        <v>0.9992719023332</v>
      </c>
      <c r="AC54" s="3">
        <v>0.9974129806296</v>
      </c>
      <c r="AD54" s="3">
        <v>0.00050327012437385</v>
      </c>
      <c r="AE54" s="5">
        <v>-6.855614085942e-16</v>
      </c>
      <c r="AF54" s="5">
        <v>1.8525733135272e-15</v>
      </c>
      <c r="AG54" s="5">
        <v>1.5294711351207e-15</v>
      </c>
      <c r="AH54" s="5">
        <v>2.6427590264583e-16</v>
      </c>
      <c r="AI54" s="5">
        <v>-8.1087443228668e-17</v>
      </c>
      <c r="AJ54" s="5">
        <v>5.1350368175967e-16</v>
      </c>
      <c r="AK54" s="5">
        <v>2.5228525148359e-17</v>
      </c>
      <c r="AL54" s="5">
        <v>4.7439571555951e-16</v>
      </c>
      <c r="AM54" s="5">
        <v>1.1045441739497e-15</v>
      </c>
      <c r="AN54" s="5">
        <v>-9.0815927574523e-17</v>
      </c>
      <c r="AO54" s="5">
        <v>5.7055429403715e-16</v>
      </c>
      <c r="AP54" s="5">
        <v>3.396568707919e-17</v>
      </c>
      <c r="AQ54" s="5">
        <v>2.7914422263509e-16</v>
      </c>
      <c r="AR54" s="5">
        <v>-3.0907220403767e-15</v>
      </c>
      <c r="AS54" s="5">
        <v>-1.5249901949008e-16</v>
      </c>
      <c r="AT54" s="5">
        <v>9.5823802888292e-17</v>
      </c>
      <c r="AU54" s="5">
        <v>-3.9241931036122e-16</v>
      </c>
      <c r="AV54" s="5">
        <v>-4.4053091326195e-16</v>
      </c>
      <c r="AW54" s="5">
        <v>-1.3499998372424e-16</v>
      </c>
      <c r="AX54" s="5">
        <v>1.3803593344827e-15</v>
      </c>
      <c r="AY54" s="5">
        <v>2.4515261514102e-16</v>
      </c>
      <c r="AZ54" s="5">
        <v>-8.3049442074238e-16</v>
      </c>
      <c r="BA54" s="5">
        <v>2.2495758718855e-15</v>
      </c>
      <c r="BB54" s="5">
        <v>-6.2487585325168e-15</v>
      </c>
      <c r="BC54" s="3">
        <v>15951501.80173</v>
      </c>
      <c r="BD54" s="3">
        <v>3983468.6335507</v>
      </c>
      <c r="BE54" s="3">
        <v>-0.00018195617349889</v>
      </c>
      <c r="BF54" s="3">
        <v>0.0005364463674334</v>
      </c>
      <c r="BG54" s="3">
        <v>0.00018454001163896</v>
      </c>
      <c r="BH54" s="3">
        <v>-0.00044172254838913</v>
      </c>
      <c r="BI54" s="3">
        <v>100.45698762125</v>
      </c>
      <c r="BJ54" s="3">
        <v>50.233047012486</v>
      </c>
      <c r="BK54" s="3">
        <v>91.237619561388</v>
      </c>
      <c r="BL54" s="4"/>
    </row>
    <row r="55" spans="1:64">
      <c r="A55" s="3">
        <v>7924465.9623058</v>
      </c>
      <c r="B55" s="3">
        <v>0.00011944949370091</v>
      </c>
      <c r="C55" s="6">
        <f t="shared" si="0"/>
        <v>1.60911390598292e-11</v>
      </c>
      <c r="D55" s="5">
        <v>1.0751417536213e-12</v>
      </c>
      <c r="E55" s="5">
        <v>1.2899158829016e-12</v>
      </c>
      <c r="F55" s="5">
        <v>1.2899149555594e-12</v>
      </c>
      <c r="G55" s="5">
        <v>1.2899118657936e-12</v>
      </c>
      <c r="H55" s="5">
        <v>1.0751353151621e-12</v>
      </c>
      <c r="I55" s="5">
        <v>1.0751371740371e-12</v>
      </c>
      <c r="J55" s="5">
        <v>1.0751361529969e-12</v>
      </c>
      <c r="K55" s="5">
        <v>1.1306451711826e-12</v>
      </c>
      <c r="L55" s="5">
        <v>1.1306504482313e-12</v>
      </c>
      <c r="M55" s="5">
        <v>1.1306432110801e-12</v>
      </c>
      <c r="N55" s="5">
        <v>1.1776590392092e-12</v>
      </c>
      <c r="O55" s="5">
        <v>1.0751354182017e-12</v>
      </c>
      <c r="P55" s="5">
        <v>1.1776564524107e-12</v>
      </c>
      <c r="Q55" s="5">
        <v>1.1776761056365e-12</v>
      </c>
      <c r="R55" s="5">
        <v>1.2899112479477e-12</v>
      </c>
      <c r="S55" s="5">
        <v>1.2899096533612e-12</v>
      </c>
      <c r="T55" s="5">
        <v>1.2899113133999e-12</v>
      </c>
      <c r="U55" s="5">
        <v>1.0751361514822e-12</v>
      </c>
      <c r="V55" s="5">
        <v>1.1306462784527e-12</v>
      </c>
      <c r="W55" s="5">
        <v>1.1306521690616e-12</v>
      </c>
      <c r="X55" s="5">
        <v>1.1306470439037e-12</v>
      </c>
      <c r="Y55" s="5">
        <v>1.1776575433373e-12</v>
      </c>
      <c r="Z55" s="5">
        <v>1.1776746980518e-12</v>
      </c>
      <c r="AA55" s="5">
        <v>1.1776820517026e-12</v>
      </c>
      <c r="AB55" s="3">
        <v>0.99926464379891</v>
      </c>
      <c r="AC55" s="3">
        <v>0.99738675761082</v>
      </c>
      <c r="AD55" s="3">
        <v>0.00051469160724358</v>
      </c>
      <c r="AE55" s="5">
        <v>-7.0351177460721e-16</v>
      </c>
      <c r="AF55" s="5">
        <v>1.7607305117655e-15</v>
      </c>
      <c r="AG55" s="5">
        <v>1.4858521642008e-15</v>
      </c>
      <c r="AH55" s="5">
        <v>2.8299536146048e-16</v>
      </c>
      <c r="AI55" s="5">
        <v>-8.3102374500307e-17</v>
      </c>
      <c r="AJ55" s="5">
        <v>5.0652806305e-16</v>
      </c>
      <c r="AK55" s="5">
        <v>2.345755329213e-17</v>
      </c>
      <c r="AL55" s="5">
        <v>4.7622719394568e-16</v>
      </c>
      <c r="AM55" s="5">
        <v>1.2366865098179e-15</v>
      </c>
      <c r="AN55" s="5">
        <v>-9.0592296748293e-17</v>
      </c>
      <c r="AO55" s="5">
        <v>5.622843062701e-16</v>
      </c>
      <c r="AP55" s="5">
        <v>3.708526755657e-17</v>
      </c>
      <c r="AQ55" s="5">
        <v>2.7873704285676e-16</v>
      </c>
      <c r="AR55" s="5">
        <v>-3.0086306051472e-15</v>
      </c>
      <c r="AS55" s="5">
        <v>-1.3263562947836e-16</v>
      </c>
      <c r="AT55" s="5">
        <v>8.667094762544e-17</v>
      </c>
      <c r="AU55" s="5">
        <v>-3.6983750293502e-16</v>
      </c>
      <c r="AV55" s="5">
        <v>-4.4436960415205e-16</v>
      </c>
      <c r="AW55" s="5">
        <v>-1.2048896922031e-16</v>
      </c>
      <c r="AX55" s="5">
        <v>1.2948176515308e-15</v>
      </c>
      <c r="AY55" s="5">
        <v>2.1997128094268e-16</v>
      </c>
      <c r="AZ55" s="5">
        <v>-7.884678725214e-16</v>
      </c>
      <c r="BA55" s="5">
        <v>2.2200337472156e-15</v>
      </c>
      <c r="BB55" s="5">
        <v>-6.1385104654963e-15</v>
      </c>
      <c r="BC55" s="3">
        <v>15945617.543301</v>
      </c>
      <c r="BD55" s="3">
        <v>3981469.1041529</v>
      </c>
      <c r="BE55" s="3">
        <v>-0.00017951218601849</v>
      </c>
      <c r="BF55" s="3">
        <v>0.00055031336091897</v>
      </c>
      <c r="BG55" s="3">
        <v>0.0001923963340003</v>
      </c>
      <c r="BH55" s="3">
        <v>-0.00043318353831604</v>
      </c>
      <c r="BI55" s="3">
        <v>100.45699802273</v>
      </c>
      <c r="BJ55" s="3">
        <v>50.233073800383</v>
      </c>
      <c r="BK55" s="3">
        <v>91.107242207092</v>
      </c>
      <c r="BL55" s="4"/>
    </row>
    <row r="56" spans="1:64">
      <c r="A56" s="3">
        <v>8891397.0501949</v>
      </c>
      <c r="B56" s="3">
        <v>0.0001338918879795</v>
      </c>
      <c r="C56" s="6">
        <f t="shared" si="0"/>
        <v>1.60400594509883e-11</v>
      </c>
      <c r="D56" s="5">
        <v>1.0747071141848e-12</v>
      </c>
      <c r="E56" s="5">
        <v>1.2874107983367e-12</v>
      </c>
      <c r="F56" s="5">
        <v>1.2874098241258e-12</v>
      </c>
      <c r="G56" s="5">
        <v>1.287406529213e-12</v>
      </c>
      <c r="H56" s="5">
        <v>1.0746999509724e-12</v>
      </c>
      <c r="I56" s="5">
        <v>1.0747019959723e-12</v>
      </c>
      <c r="J56" s="5">
        <v>1.0747008931191e-12</v>
      </c>
      <c r="K56" s="5">
        <v>1.1295930076727e-12</v>
      </c>
      <c r="L56" s="5">
        <v>1.1295990435979e-12</v>
      </c>
      <c r="M56" s="5">
        <v>1.1295907606948e-12</v>
      </c>
      <c r="N56" s="5">
        <v>1.1758407586648e-12</v>
      </c>
      <c r="O56" s="5">
        <v>1.0747000648172e-12</v>
      </c>
      <c r="P56" s="5">
        <v>1.1758378298144e-12</v>
      </c>
      <c r="Q56" s="5">
        <v>1.1758600037912e-12</v>
      </c>
      <c r="R56" s="5">
        <v>1.2874057362173e-12</v>
      </c>
      <c r="S56" s="5">
        <v>1.2874040003689e-12</v>
      </c>
      <c r="T56" s="5">
        <v>1.2874058487464e-12</v>
      </c>
      <c r="U56" s="5">
        <v>1.0747009006946e-12</v>
      </c>
      <c r="V56" s="5">
        <v>1.1295940918072e-12</v>
      </c>
      <c r="W56" s="5">
        <v>1.1296008818222e-12</v>
      </c>
      <c r="X56" s="5">
        <v>1.1295951881706e-12</v>
      </c>
      <c r="Y56" s="5">
        <v>1.1758389724397e-12</v>
      </c>
      <c r="Z56" s="5">
        <v>1.1758582507491e-12</v>
      </c>
      <c r="AA56" s="5">
        <v>1.1758668432648e-12</v>
      </c>
      <c r="AB56" s="3">
        <v>0.99925606367211</v>
      </c>
      <c r="AC56" s="3">
        <v>0.99735628519939</v>
      </c>
      <c r="AD56" s="3">
        <v>0.0005275485659333</v>
      </c>
      <c r="AE56" s="5">
        <v>-7.2242788363802e-16</v>
      </c>
      <c r="AF56" s="5">
        <v>1.662486658654e-15</v>
      </c>
      <c r="AG56" s="5">
        <v>1.4388641822101e-15</v>
      </c>
      <c r="AH56" s="5">
        <v>3.0428351725619e-16</v>
      </c>
      <c r="AI56" s="5">
        <v>-8.5468041329642e-17</v>
      </c>
      <c r="AJ56" s="5">
        <v>4.9810556759458e-16</v>
      </c>
      <c r="AK56" s="5">
        <v>2.1241587856774e-17</v>
      </c>
      <c r="AL56" s="5">
        <v>4.7847165359104e-16</v>
      </c>
      <c r="AM56" s="5">
        <v>1.3878919193382e-15</v>
      </c>
      <c r="AN56" s="5">
        <v>-9.0411422335466e-17</v>
      </c>
      <c r="AO56" s="5">
        <v>5.5279863254636e-16</v>
      </c>
      <c r="AP56" s="5">
        <v>4.0408729435905e-17</v>
      </c>
      <c r="AQ56" s="5">
        <v>2.7767890045414e-16</v>
      </c>
      <c r="AR56" s="5">
        <v>-2.9166705307021e-15</v>
      </c>
      <c r="AS56" s="5">
        <v>-1.1134323664349e-16</v>
      </c>
      <c r="AT56" s="5">
        <v>7.6599977543237e-17</v>
      </c>
      <c r="AU56" s="5">
        <v>-3.4480560576446e-16</v>
      </c>
      <c r="AV56" s="5">
        <v>-4.4907506733835e-16</v>
      </c>
      <c r="AW56" s="5">
        <v>-1.0440370543106e-16</v>
      </c>
      <c r="AX56" s="5">
        <v>1.1967531096029e-15</v>
      </c>
      <c r="AY56" s="5">
        <v>1.8993493893568e-16</v>
      </c>
      <c r="AZ56" s="5">
        <v>-7.435973102807e-16</v>
      </c>
      <c r="BA56" s="5">
        <v>2.185010040805e-15</v>
      </c>
      <c r="BB56" s="5">
        <v>-6.0122730806353e-15</v>
      </c>
      <c r="BC56" s="3">
        <v>15939023.797912</v>
      </c>
      <c r="BD56" s="3">
        <v>3979229.9559135</v>
      </c>
      <c r="BE56" s="3">
        <v>-0.00017674522787614</v>
      </c>
      <c r="BF56" s="3">
        <v>0.00056582299305372</v>
      </c>
      <c r="BG56" s="3">
        <v>0.0002012036558558</v>
      </c>
      <c r="BH56" s="3">
        <v>-0.00042360847317462</v>
      </c>
      <c r="BI56" s="3">
        <v>100.45701247041</v>
      </c>
      <c r="BJ56" s="3">
        <v>50.233102515572</v>
      </c>
      <c r="BK56" s="3">
        <v>90.964961430125</v>
      </c>
      <c r="BL56" s="4"/>
    </row>
    <row r="57" spans="1:64">
      <c r="A57" s="3">
        <v>9976311.5748447</v>
      </c>
      <c r="B57" s="3">
        <v>0.00015006417889703</v>
      </c>
      <c r="C57" s="6">
        <f t="shared" si="0"/>
        <v>1.59839713656591e-11</v>
      </c>
      <c r="D57" s="5">
        <v>1.0742287169944e-12</v>
      </c>
      <c r="E57" s="5">
        <v>1.2846358139487e-12</v>
      </c>
      <c r="F57" s="5">
        <v>1.2846348011628e-12</v>
      </c>
      <c r="G57" s="5">
        <v>1.2846313157335e-12</v>
      </c>
      <c r="H57" s="5">
        <v>1.074220752955e-12</v>
      </c>
      <c r="I57" s="5">
        <v>1.0742229973279e-12</v>
      </c>
      <c r="J57" s="5">
        <v>1.0742218131757e-12</v>
      </c>
      <c r="K57" s="5">
        <v>1.1284061590176e-12</v>
      </c>
      <c r="L57" s="5">
        <v>1.1284130854968e-12</v>
      </c>
      <c r="M57" s="5">
        <v>1.1284035772613e-12</v>
      </c>
      <c r="N57" s="5">
        <v>1.1738430220797e-12</v>
      </c>
      <c r="O57" s="5">
        <v>1.0742208784171e-12</v>
      </c>
      <c r="P57" s="5">
        <v>1.1738396986409e-12</v>
      </c>
      <c r="Q57" s="5">
        <v>1.1738647340836e-12</v>
      </c>
      <c r="R57" s="5">
        <v>1.2846303025816e-12</v>
      </c>
      <c r="S57" s="5">
        <v>1.2846284195377e-12</v>
      </c>
      <c r="T57" s="5">
        <v>1.2846304768171e-12</v>
      </c>
      <c r="U57" s="5">
        <v>1.0742218327802e-12</v>
      </c>
      <c r="V57" s="5">
        <v>1.128407182428e-12</v>
      </c>
      <c r="W57" s="5">
        <v>1.1284150316357e-12</v>
      </c>
      <c r="X57" s="5">
        <v>1.1284087050024e-12</v>
      </c>
      <c r="Y57" s="5">
        <v>1.1738408817803e-12</v>
      </c>
      <c r="Z57" s="5">
        <v>1.1738625454375e-12</v>
      </c>
      <c r="AA57" s="5">
        <v>1.1738726321971e-12</v>
      </c>
      <c r="AB57" s="3">
        <v>0.99924592604082</v>
      </c>
      <c r="AC57" s="3">
        <v>0.99732079151557</v>
      </c>
      <c r="AD57" s="3">
        <v>0.00054202105279136</v>
      </c>
      <c r="AE57" s="5">
        <v>-7.4196414310456e-16</v>
      </c>
      <c r="AF57" s="5">
        <v>1.5581020689169e-15</v>
      </c>
      <c r="AG57" s="5">
        <v>1.388531394282e-15</v>
      </c>
      <c r="AH57" s="5">
        <v>3.285167016215e-16</v>
      </c>
      <c r="AI57" s="5">
        <v>-8.8267068895092e-17</v>
      </c>
      <c r="AJ57" s="5">
        <v>4.879047297706e-16</v>
      </c>
      <c r="AK57" s="5">
        <v>1.8494005064378e-17</v>
      </c>
      <c r="AL57" s="5">
        <v>4.8117960945988e-16</v>
      </c>
      <c r="AM57" s="5">
        <v>1.5610064976429e-15</v>
      </c>
      <c r="AN57" s="5">
        <v>-9.0307760196897e-17</v>
      </c>
      <c r="AO57" s="5">
        <v>5.4178002732377e-16</v>
      </c>
      <c r="AP57" s="5">
        <v>4.3913580418651e-17</v>
      </c>
      <c r="AQ57" s="5">
        <v>2.7576405008527e-16</v>
      </c>
      <c r="AR57" s="5">
        <v>-2.814299791929e-15</v>
      </c>
      <c r="AS57" s="5">
        <v>-8.8650710283685e-17</v>
      </c>
      <c r="AT57" s="5">
        <v>6.5535624793738e-17</v>
      </c>
      <c r="AU57" s="5">
        <v>-3.1709905526584e-16</v>
      </c>
      <c r="AV57" s="5">
        <v>-4.5485490250576e-16</v>
      </c>
      <c r="AW57" s="5">
        <v>-8.6699800877612e-17</v>
      </c>
      <c r="AX57" s="5">
        <v>1.0840842553963e-15</v>
      </c>
      <c r="AY57" s="5">
        <v>1.540579970136e-16</v>
      </c>
      <c r="AZ57" s="5">
        <v>-6.9599485579842e-16</v>
      </c>
      <c r="BA57" s="5">
        <v>2.1435178848361e-15</v>
      </c>
      <c r="BB57" s="5">
        <v>-5.8680582556689e-15</v>
      </c>
      <c r="BC57" s="3">
        <v>15931636.178636</v>
      </c>
      <c r="BD57" s="3">
        <v>3976723.0259123</v>
      </c>
      <c r="BE57" s="3">
        <v>-0.00017361048283831</v>
      </c>
      <c r="BF57" s="3">
        <v>0.00058316423574991</v>
      </c>
      <c r="BG57" s="3">
        <v>0.00021107619336546</v>
      </c>
      <c r="BH57" s="3">
        <v>-0.00041290325689493</v>
      </c>
      <c r="BI57" s="3">
        <v>100.45703196172</v>
      </c>
      <c r="BJ57" s="3">
        <v>50.233133059766</v>
      </c>
      <c r="BK57" s="3">
        <v>90.810229214967</v>
      </c>
      <c r="BL57" s="4"/>
    </row>
    <row r="58" spans="1:64">
      <c r="A58" s="3">
        <v>11193605.692842</v>
      </c>
      <c r="B58" s="3">
        <v>0.00016816977196323</v>
      </c>
      <c r="C58" s="6">
        <f t="shared" si="0"/>
        <v>1.59225006321956e-11</v>
      </c>
      <c r="D58" s="5">
        <v>1.0737053950332e-12</v>
      </c>
      <c r="E58" s="5">
        <v>1.281569774055e-12</v>
      </c>
      <c r="F58" s="5">
        <v>1.2815687344787e-12</v>
      </c>
      <c r="G58" s="5">
        <v>1.2815650835583e-12</v>
      </c>
      <c r="H58" s="5">
        <v>1.0736965473335e-12</v>
      </c>
      <c r="I58" s="5">
        <v>1.0736990038024e-12</v>
      </c>
      <c r="J58" s="5">
        <v>1.0736977414216e-12</v>
      </c>
      <c r="K58" s="5">
        <v>1.1270707544128e-12</v>
      </c>
      <c r="L58" s="5">
        <v>1.1270787327835e-12</v>
      </c>
      <c r="M58" s="5">
        <v>1.1270677807298e-12</v>
      </c>
      <c r="N58" s="5">
        <v>1.1716275988791e-12</v>
      </c>
      <c r="O58" s="5">
        <v>1.0736966851364e-12</v>
      </c>
      <c r="P58" s="5">
        <v>1.171623817397e-12</v>
      </c>
      <c r="Q58" s="5">
        <v>1.1716521051454e-12</v>
      </c>
      <c r="R58" s="5">
        <v>1.2815637944134e-12</v>
      </c>
      <c r="S58" s="5">
        <v>1.2815617595111e-12</v>
      </c>
      <c r="T58" s="5">
        <v>1.2815640486562e-12</v>
      </c>
      <c r="U58" s="5">
        <v>1.0736977767614e-12</v>
      </c>
      <c r="V58" s="5">
        <v>1.1270716678313e-12</v>
      </c>
      <c r="W58" s="5">
        <v>1.127080770286e-12</v>
      </c>
      <c r="X58" s="5">
        <v>1.127073735835e-12</v>
      </c>
      <c r="Y58" s="5">
        <v>1.17162502518e-12</v>
      </c>
      <c r="Z58" s="5">
        <v>1.1716493668594e-12</v>
      </c>
      <c r="AA58" s="5">
        <v>1.1716612662464e-12</v>
      </c>
      <c r="AB58" s="3">
        <v>0.99923396221528</v>
      </c>
      <c r="AC58" s="3">
        <v>0.9972793428959</v>
      </c>
      <c r="AD58" s="3">
        <v>0.00055831086995327</v>
      </c>
      <c r="AE58" s="5">
        <v>-7.6164420916991e-16</v>
      </c>
      <c r="AF58" s="5">
        <v>1.4480319433461e-15</v>
      </c>
      <c r="AG58" s="5">
        <v>1.3349844105824e-15</v>
      </c>
      <c r="AH58" s="5">
        <v>3.56128919253e-16</v>
      </c>
      <c r="AI58" s="5">
        <v>-9.1605200275139e-17</v>
      </c>
      <c r="AJ58" s="5">
        <v>4.7554494290686e-16</v>
      </c>
      <c r="AK58" s="5">
        <v>1.510987707739e-17</v>
      </c>
      <c r="AL58" s="5">
        <v>4.8440721704557e-16</v>
      </c>
      <c r="AM58" s="5">
        <v>1.7592610263767e-15</v>
      </c>
      <c r="AN58" s="5">
        <v>-9.0333458809866e-17</v>
      </c>
      <c r="AO58" s="5">
        <v>5.28788664887e-16</v>
      </c>
      <c r="AP58" s="5">
        <v>4.7562737734937e-17</v>
      </c>
      <c r="AQ58" s="5">
        <v>2.7274234534653e-16</v>
      </c>
      <c r="AR58" s="5">
        <v>-2.7012947139455e-15</v>
      </c>
      <c r="AS58" s="5">
        <v>-6.4610998966114e-17</v>
      </c>
      <c r="AT58" s="5">
        <v>5.3396522662007e-17</v>
      </c>
      <c r="AU58" s="5">
        <v>-2.8648562268157e-16</v>
      </c>
      <c r="AV58" s="5">
        <v>-4.6196498110416e-16</v>
      </c>
      <c r="AW58" s="5">
        <v>-6.7381951231034e-17</v>
      </c>
      <c r="AX58" s="5">
        <v>9.5442002561123e-16</v>
      </c>
      <c r="AY58" s="5">
        <v>1.1117907146146e-16</v>
      </c>
      <c r="AZ58" s="5">
        <v>-6.4584332973607e-16</v>
      </c>
      <c r="BA58" s="5">
        <v>2.094423105389e-15</v>
      </c>
      <c r="BB58" s="5">
        <v>-5.7039228261614e-15</v>
      </c>
      <c r="BC58" s="3">
        <v>15923360.567506</v>
      </c>
      <c r="BD58" s="3">
        <v>3973916.978475</v>
      </c>
      <c r="BE58" s="3">
        <v>-0.00017005668058423</v>
      </c>
      <c r="BF58" s="3">
        <v>0.00060254660211329</v>
      </c>
      <c r="BG58" s="3">
        <v>0.00022214170392333</v>
      </c>
      <c r="BH58" s="3">
        <v>-0.00040097464251747</v>
      </c>
      <c r="BI58" s="3">
        <v>100.45705768421</v>
      </c>
      <c r="BJ58" s="3">
        <v>50.233165255446</v>
      </c>
      <c r="BK58" s="3">
        <v>90.642613248138</v>
      </c>
      <c r="BL58" s="4"/>
    </row>
    <row r="59" spans="1:64">
      <c r="A59" s="3">
        <v>12559432.157548</v>
      </c>
      <c r="B59" s="3">
        <v>0.00018843516288744</v>
      </c>
      <c r="C59" s="6">
        <f t="shared" si="0"/>
        <v>1.58552335283688e-11</v>
      </c>
      <c r="D59" s="5">
        <v>1.0731684031013e-12</v>
      </c>
      <c r="E59" s="5">
        <v>1.2781896479568e-12</v>
      </c>
      <c r="F59" s="5">
        <v>1.278188597575e-12</v>
      </c>
      <c r="G59" s="5">
        <v>1.2781848195625e-12</v>
      </c>
      <c r="H59" s="5">
        <v>1.0731585819666e-12</v>
      </c>
      <c r="I59" s="5">
        <v>1.0731612622007e-12</v>
      </c>
      <c r="J59" s="5">
        <v>1.0731599280718e-12</v>
      </c>
      <c r="K59" s="5">
        <v>1.1255642274457e-12</v>
      </c>
      <c r="L59" s="5">
        <v>1.1255734569944e-12</v>
      </c>
      <c r="M59" s="5">
        <v>1.1255607934724e-12</v>
      </c>
      <c r="N59" s="5">
        <v>1.1691724920003e-12</v>
      </c>
      <c r="O59" s="5">
        <v>1.0731587326471e-12</v>
      </c>
      <c r="P59" s="5">
        <v>1.1691681748393e-12</v>
      </c>
      <c r="Q59" s="5">
        <v>1.1692001640355e-12</v>
      </c>
      <c r="R59" s="5">
        <v>1.2781831852816e-12</v>
      </c>
      <c r="S59" s="5">
        <v>1.2781809954911e-12</v>
      </c>
      <c r="T59" s="5">
        <v>1.2781835423348e-12</v>
      </c>
      <c r="U59" s="5">
        <v>1.0731599838627e-12</v>
      </c>
      <c r="V59" s="5">
        <v>1.1255649671983e-12</v>
      </c>
      <c r="W59" s="5">
        <v>1.1255755601762e-12</v>
      </c>
      <c r="X59" s="5">
        <v>1.1255677293605e-12</v>
      </c>
      <c r="Y59" s="5">
        <v>1.1691693856319e-12</v>
      </c>
      <c r="Z59" s="5">
        <v>1.1691967320432e-12</v>
      </c>
      <c r="AA59" s="5">
        <v>1.1692108427113e-12</v>
      </c>
      <c r="AB59" s="3">
        <v>0.99921987496001</v>
      </c>
      <c r="AC59" s="3">
        <v>0.9972308234764</v>
      </c>
      <c r="AD59" s="3">
        <v>0.00057664377088862</v>
      </c>
      <c r="AE59" s="5">
        <v>-7.8081436274162e-16</v>
      </c>
      <c r="AF59" s="5">
        <v>1.3329863274352e-15</v>
      </c>
      <c r="AG59" s="5">
        <v>1.2784541003599e-15</v>
      </c>
      <c r="AH59" s="5">
        <v>3.8763737938363e-16</v>
      </c>
      <c r="AI59" s="5">
        <v>-9.5617501588403e-17</v>
      </c>
      <c r="AJ59" s="5">
        <v>4.605845537953e-16</v>
      </c>
      <c r="AK59" s="5">
        <v>1.095908719355e-17</v>
      </c>
      <c r="AL59" s="5">
        <v>4.8813231565187e-16</v>
      </c>
      <c r="AM59" s="5">
        <v>1.9862424970812e-15</v>
      </c>
      <c r="AN59" s="5">
        <v>-9.0564077017311e-17</v>
      </c>
      <c r="AO59" s="5">
        <v>5.1318535310213e-16</v>
      </c>
      <c r="AP59" s="5">
        <v>5.1300396980127e-17</v>
      </c>
      <c r="AQ59" s="5">
        <v>2.6834196497583e-16</v>
      </c>
      <c r="AR59" s="5">
        <v>-2.5778521506388e-15</v>
      </c>
      <c r="AS59" s="5">
        <v>-3.9311113669447e-17</v>
      </c>
      <c r="AT59" s="5">
        <v>4.0094349993434e-17</v>
      </c>
      <c r="AU59" s="5">
        <v>-2.5271843053858e-16</v>
      </c>
      <c r="AV59" s="5">
        <v>-4.7069115329097e-16</v>
      </c>
      <c r="AW59" s="5">
        <v>-4.6521540513201e-17</v>
      </c>
      <c r="AX59" s="5">
        <v>8.0480233232265e-16</v>
      </c>
      <c r="AY59" s="5">
        <v>5.996124737762e-17</v>
      </c>
      <c r="AZ59" s="5">
        <v>-5.9341374581408e-16</v>
      </c>
      <c r="BA59" s="5">
        <v>2.0362254923382e-15</v>
      </c>
      <c r="BB59" s="5">
        <v>-5.5184831695286e-15</v>
      </c>
      <c r="BC59" s="3">
        <v>15914092.019918</v>
      </c>
      <c r="BD59" s="3">
        <v>3970776.9646126</v>
      </c>
      <c r="BE59" s="3">
        <v>-0.00016602495811291</v>
      </c>
      <c r="BF59" s="3">
        <v>0.00062420209967043</v>
      </c>
      <c r="BG59" s="3">
        <v>0.00023454308051399</v>
      </c>
      <c r="BH59" s="3">
        <v>-0.00038774166307614</v>
      </c>
      <c r="BI59" s="3">
        <v>100.45709114745</v>
      </c>
      <c r="BJ59" s="3">
        <v>50.233198765177</v>
      </c>
      <c r="BK59" s="3">
        <v>90.4618394161</v>
      </c>
      <c r="BL59" s="4"/>
    </row>
    <row r="60" spans="1:64">
      <c r="A60" s="3">
        <v>14091914.656323</v>
      </c>
      <c r="B60" s="3">
        <v>0.00021111238314969</v>
      </c>
      <c r="C60" s="6">
        <f t="shared" si="0"/>
        <v>1.57817986329715e-11</v>
      </c>
      <c r="D60" s="5">
        <v>1.0725657673722e-12</v>
      </c>
      <c r="E60" s="5">
        <v>1.2745113567402e-12</v>
      </c>
      <c r="F60" s="5">
        <v>1.2745103164815e-12</v>
      </c>
      <c r="G60" s="5">
        <v>1.2745064667916e-12</v>
      </c>
      <c r="H60" s="5">
        <v>1.072554876213e-12</v>
      </c>
      <c r="I60" s="5">
        <v>1.0725577901203e-12</v>
      </c>
      <c r="J60" s="5">
        <v>1.0725563951442e-12</v>
      </c>
      <c r="K60" s="5">
        <v>1.1238771120114e-12</v>
      </c>
      <c r="L60" s="5">
        <v>1.1238878408809e-12</v>
      </c>
      <c r="M60" s="5">
        <v>1.1238731358539e-12</v>
      </c>
      <c r="N60" s="5">
        <v>1.166468393242e-12</v>
      </c>
      <c r="O60" s="5">
        <v>1.0725550399432e-12</v>
      </c>
      <c r="P60" s="5">
        <v>1.1664634441002e-12</v>
      </c>
      <c r="Q60" s="5">
        <v>1.166499651354e-12</v>
      </c>
      <c r="R60" s="5">
        <v>1.2745044019146e-12</v>
      </c>
      <c r="S60" s="5">
        <v>1.2745020562095e-12</v>
      </c>
      <c r="T60" s="5">
        <v>1.2745048900912e-12</v>
      </c>
      <c r="U60" s="5">
        <v>1.0725564775546e-12</v>
      </c>
      <c r="V60" s="5">
        <v>1.1238775968382e-12</v>
      </c>
      <c r="W60" s="5">
        <v>1.123889972365e-12</v>
      </c>
      <c r="X60" s="5">
        <v>1.1238812382406e-12</v>
      </c>
      <c r="Y60" s="5">
        <v>1.1664646292476e-12</v>
      </c>
      <c r="Z60" s="5">
        <v>1.1664953442096e-12</v>
      </c>
      <c r="AA60" s="5">
        <v>1.1665121671745e-12</v>
      </c>
      <c r="AB60" s="3">
        <v>0.99920333071691</v>
      </c>
      <c r="AC60" s="3">
        <v>0.99717388235245</v>
      </c>
      <c r="AD60" s="3">
        <v>0.00059727204530101</v>
      </c>
      <c r="AE60" s="5">
        <v>-7.9856839073332e-16</v>
      </c>
      <c r="AF60" s="5">
        <v>1.2139778274019e-15</v>
      </c>
      <c r="AG60" s="5">
        <v>1.2193208075784e-15</v>
      </c>
      <c r="AH60" s="5">
        <v>4.2364578732504e-16</v>
      </c>
      <c r="AI60" s="5">
        <v>-1.0047576023001e-16</v>
      </c>
      <c r="AJ60" s="5">
        <v>4.425030492788e-16</v>
      </c>
      <c r="AK60" s="5">
        <v>5.8990156130833e-18</v>
      </c>
      <c r="AL60" s="5">
        <v>4.9223935494691e-16</v>
      </c>
      <c r="AM60" s="5">
        <v>2.245893992012e-15</v>
      </c>
      <c r="AN60" s="5">
        <v>-9.1111687432744e-17</v>
      </c>
      <c r="AO60" s="5">
        <v>4.9407347495693e-16</v>
      </c>
      <c r="AP60" s="5">
        <v>5.5045776068814e-17</v>
      </c>
      <c r="AQ60" s="5">
        <v>2.6223735896477e-16</v>
      </c>
      <c r="AR60" s="5">
        <v>-2.4449519180862e-15</v>
      </c>
      <c r="AS60" s="5">
        <v>-1.2876415782478e-17</v>
      </c>
      <c r="AT60" s="5">
        <v>2.5531470291268e-17</v>
      </c>
      <c r="AU60" s="5">
        <v>-2.1554206488301e-16</v>
      </c>
      <c r="AV60" s="5">
        <v>-4.8138849471588e-16</v>
      </c>
      <c r="AW60" s="5">
        <v>-2.4257741247011e-17</v>
      </c>
      <c r="AX60" s="5">
        <v>6.3180701799645e-16</v>
      </c>
      <c r="AY60" s="5">
        <v>-1.092590287194e-18</v>
      </c>
      <c r="AZ60" s="5">
        <v>-5.3906547258342e-16</v>
      </c>
      <c r="BA60" s="5">
        <v>1.9673029905973e-15</v>
      </c>
      <c r="BB60" s="5">
        <v>-5.3108791354778e-15</v>
      </c>
      <c r="BC60" s="3">
        <v>15903713.623495</v>
      </c>
      <c r="BD60" s="3">
        <v>3967264.2708928</v>
      </c>
      <c r="BE60" s="3">
        <v>-0.00016144779644169</v>
      </c>
      <c r="BF60" s="3">
        <v>0.00064838742987465</v>
      </c>
      <c r="BG60" s="3">
        <v>0.00024844004288513</v>
      </c>
      <c r="BH60" s="3">
        <v>-0.0003731331920086</v>
      </c>
      <c r="BI60" s="3">
        <v>100.45713402262</v>
      </c>
      <c r="BJ60" s="3">
        <v>50.233233143871</v>
      </c>
      <c r="BK60" s="3">
        <v>90.267850358931</v>
      </c>
      <c r="BL60" s="4"/>
    </row>
    <row r="61" spans="1:64">
      <c r="A61" s="3">
        <v>15811388.300842</v>
      </c>
      <c r="B61" s="3">
        <v>0.00023648171482425</v>
      </c>
      <c r="C61" s="6">
        <f t="shared" si="0"/>
        <v>1.57017904915911e-11</v>
      </c>
      <c r="D61" s="5">
        <v>1.0718684096071e-12</v>
      </c>
      <c r="E61" s="5">
        <v>1.2705000916681e-12</v>
      </c>
      <c r="F61" s="5">
        <v>1.2704990881567e-12</v>
      </c>
      <c r="G61" s="5">
        <v>1.2704952436248e-12</v>
      </c>
      <c r="H61" s="5">
        <v>1.0718563455312e-12</v>
      </c>
      <c r="I61" s="5">
        <v>1.0718595003788e-12</v>
      </c>
      <c r="J61" s="5">
        <v>1.0718580610732e-12</v>
      </c>
      <c r="K61" s="5">
        <v>1.1219809535592e-12</v>
      </c>
      <c r="L61" s="5">
        <v>1.121993493064e-12</v>
      </c>
      <c r="M61" s="5">
        <v>1.1219763370596e-12</v>
      </c>
      <c r="N61" s="5">
        <v>1.163512159907e-12</v>
      </c>
      <c r="O61" s="5">
        <v>1.0718565218643e-12</v>
      </c>
      <c r="P61" s="5">
        <v>1.1635064575042e-12</v>
      </c>
      <c r="Q61" s="5">
        <v>1.1635474768957e-12</v>
      </c>
      <c r="R61" s="5">
        <v>1.270492642701e-12</v>
      </c>
      <c r="S61" s="5">
        <v>1.2704901424178e-12</v>
      </c>
      <c r="T61" s="5">
        <v>1.2704932970732e-12</v>
      </c>
      <c r="U61" s="5">
        <v>1.0718581783372e-12</v>
      </c>
      <c r="V61" s="5">
        <v>1.121981080935e-12</v>
      </c>
      <c r="W61" s="5">
        <v>1.1219956008104e-12</v>
      </c>
      <c r="X61" s="5">
        <v>1.1219858312498e-12</v>
      </c>
      <c r="Y61" s="5">
        <v>1.1635075798971e-12</v>
      </c>
      <c r="Z61" s="5">
        <v>1.1635420675906e-12</v>
      </c>
      <c r="AA61" s="5">
        <v>1.1635622335082e-12</v>
      </c>
      <c r="AB61" s="3">
        <v>0.99918398826132</v>
      </c>
      <c r="AC61" s="3">
        <v>0.99710695695672</v>
      </c>
      <c r="AD61" s="3">
        <v>0.00062047713884182</v>
      </c>
      <c r="AE61" s="5">
        <v>-8.1366861084229e-16</v>
      </c>
      <c r="AF61" s="5">
        <v>1.0923505996023e-15</v>
      </c>
      <c r="AG61" s="5">
        <v>1.1581409670043e-15</v>
      </c>
      <c r="AH61" s="5">
        <v>4.6488322460589e-16</v>
      </c>
      <c r="AI61" s="5">
        <v>-1.0640755459732e-16</v>
      </c>
      <c r="AJ61" s="5">
        <v>4.2067816138848e-16</v>
      </c>
      <c r="AK61" s="5">
        <v>-2.2130376829636e-19</v>
      </c>
      <c r="AL61" s="5">
        <v>4.9649031430221e-16</v>
      </c>
      <c r="AM61" s="5">
        <v>2.542385421609e-15</v>
      </c>
      <c r="AN61" s="5">
        <v>-9.2138581639067e-17</v>
      </c>
      <c r="AO61" s="5">
        <v>4.7019033673363e-16</v>
      </c>
      <c r="AP61" s="5">
        <v>5.8684065951876e-17</v>
      </c>
      <c r="AQ61" s="5">
        <v>2.5400106791285e-16</v>
      </c>
      <c r="AR61" s="5">
        <v>-2.3047075814313e-15</v>
      </c>
      <c r="AS61" s="5">
        <v>1.4531319373806e-17</v>
      </c>
      <c r="AT61" s="5">
        <v>9.5971191516338e-18</v>
      </c>
      <c r="AU61" s="5">
        <v>-1.7466773489921e-16</v>
      </c>
      <c r="AV61" s="5">
        <v>-4.9453120892574e-16</v>
      </c>
      <c r="AW61" s="5">
        <v>-7.4226170323294e-19</v>
      </c>
      <c r="AX61" s="5">
        <v>4.3166377221255e-16</v>
      </c>
      <c r="AY61" s="5">
        <v>-7.3580597145309e-17</v>
      </c>
      <c r="AZ61" s="5">
        <v>-4.8323700434442e-16</v>
      </c>
      <c r="BA61" s="5">
        <v>1.8859047864519e-15</v>
      </c>
      <c r="BB61" s="5">
        <v>-5.0809056659772e-15</v>
      </c>
      <c r="BC61" s="3">
        <v>15892095.165746</v>
      </c>
      <c r="BD61" s="3">
        <v>3963335.9113585</v>
      </c>
      <c r="BE61" s="3">
        <v>-0.00015624745886039</v>
      </c>
      <c r="BF61" s="3">
        <v>0.0006753862447967</v>
      </c>
      <c r="BG61" s="3">
        <v>0.00026401113178482</v>
      </c>
      <c r="BH61" s="3">
        <v>-0.00035716475112272</v>
      </c>
      <c r="BI61" s="3">
        <v>100.45718799435</v>
      </c>
      <c r="BJ61" s="3">
        <v>50.233267746201</v>
      </c>
      <c r="BK61" s="3">
        <v>90.060869240181</v>
      </c>
      <c r="BL61" s="4"/>
    </row>
    <row r="62" spans="1:64">
      <c r="A62" s="3">
        <v>17740669.461679</v>
      </c>
      <c r="B62" s="3">
        <v>0.00026485444093545</v>
      </c>
      <c r="C62" s="6">
        <f t="shared" si="0"/>
        <v>1.56149350232759e-11</v>
      </c>
      <c r="D62" s="5">
        <v>1.0710328754399e-12</v>
      </c>
      <c r="E62" s="5">
        <v>1.266112520192e-12</v>
      </c>
      <c r="F62" s="5">
        <v>1.2661115865157e-12</v>
      </c>
      <c r="G62" s="5">
        <v>1.2661078507466e-12</v>
      </c>
      <c r="H62" s="5">
        <v>1.0710195304754e-12</v>
      </c>
      <c r="I62" s="5">
        <v>1.0710229297871e-12</v>
      </c>
      <c r="J62" s="5">
        <v>1.0710214696351e-12</v>
      </c>
      <c r="K62" s="5">
        <v>1.1198415494946e-12</v>
      </c>
      <c r="L62" s="5">
        <v>1.1198562926014e-12</v>
      </c>
      <c r="M62" s="5">
        <v>1.119836175051e-12</v>
      </c>
      <c r="N62" s="5">
        <v>1.1602874365396e-12</v>
      </c>
      <c r="O62" s="5">
        <v>1.0710197179564e-12</v>
      </c>
      <c r="P62" s="5">
        <v>1.1602808256285e-12</v>
      </c>
      <c r="Q62" s="5">
        <v>1.1603273393029e-12</v>
      </c>
      <c r="R62" s="5">
        <v>1.2661045837953e-12</v>
      </c>
      <c r="S62" s="5">
        <v>1.2661019329674e-12</v>
      </c>
      <c r="T62" s="5">
        <v>1.2661054477614e-12</v>
      </c>
      <c r="U62" s="5">
        <v>1.0710216330651e-12</v>
      </c>
      <c r="V62" s="5">
        <v>1.1198411912681e-12</v>
      </c>
      <c r="W62" s="5">
        <v>1.1198583067729e-12</v>
      </c>
      <c r="X62" s="5">
        <v>1.1198473349752e-12</v>
      </c>
      <c r="Y62" s="5">
        <v>1.1602818380557e-12</v>
      </c>
      <c r="Z62" s="5">
        <v>1.1603205467321e-12</v>
      </c>
      <c r="AA62" s="5">
        <v>1.1603448489718e-12</v>
      </c>
      <c r="AB62" s="3">
        <v>0.99916147837135</v>
      </c>
      <c r="AC62" s="3">
        <v>0.99702815890183</v>
      </c>
      <c r="AD62" s="3">
        <v>0.00064657284031</v>
      </c>
      <c r="AE62" s="5">
        <v>-8.245778885756e-16</v>
      </c>
      <c r="AF62" s="5">
        <v>9.6977742970435e-16</v>
      </c>
      <c r="AG62" s="5">
        <v>1.0957397750198e-15</v>
      </c>
      <c r="AH62" s="5">
        <v>5.1222199423894e-16</v>
      </c>
      <c r="AI62" s="5">
        <v>-1.1371318221617e-16</v>
      </c>
      <c r="AJ62" s="5">
        <v>3.9438930643348e-16</v>
      </c>
      <c r="AK62" s="5">
        <v>-7.5806019617286e-18</v>
      </c>
      <c r="AL62" s="5">
        <v>5.0047809741899e-16</v>
      </c>
      <c r="AM62" s="5">
        <v>2.8800807284842e-15</v>
      </c>
      <c r="AN62" s="5">
        <v>-9.3859656712648e-17</v>
      </c>
      <c r="AO62" s="5">
        <v>4.3976515696913e-16</v>
      </c>
      <c r="AP62" s="5">
        <v>6.207333102043e-17</v>
      </c>
      <c r="AQ62" s="5">
        <v>2.4313677064628e-16</v>
      </c>
      <c r="AR62" s="5">
        <v>-2.1606439030772e-15</v>
      </c>
      <c r="AS62" s="5">
        <v>4.2753958771581e-17</v>
      </c>
      <c r="AT62" s="5">
        <v>-7.8451001147235e-18</v>
      </c>
      <c r="AU62" s="5">
        <v>-1.2980169282369e-16</v>
      </c>
      <c r="AV62" s="5">
        <v>-5.1070985597147e-16</v>
      </c>
      <c r="AW62" s="5">
        <v>2.363440988242e-17</v>
      </c>
      <c r="AX62" s="5">
        <v>2.0004023015554e-16</v>
      </c>
      <c r="AY62" s="5">
        <v>-1.5928096883956e-16</v>
      </c>
      <c r="AZ62" s="5">
        <v>-4.2644076525183e-16</v>
      </c>
      <c r="BA62" s="5">
        <v>1.7901518839236e-15</v>
      </c>
      <c r="BB62" s="5">
        <v>-4.8298397551916e-15</v>
      </c>
      <c r="BC62" s="3">
        <v>15879092.057494</v>
      </c>
      <c r="BD62" s="3">
        <v>3958944.3217919</v>
      </c>
      <c r="BE62" s="3">
        <v>-0.00015033573418783</v>
      </c>
      <c r="BF62" s="3">
        <v>0.0007055118447648</v>
      </c>
      <c r="BG62" s="3">
        <v>0.0002814555541001</v>
      </c>
      <c r="BH62" s="3">
        <v>-0.00033980801520734</v>
      </c>
      <c r="BI62" s="3">
        <v>100.45725510082</v>
      </c>
      <c r="BJ62" s="3">
        <v>50.233301742669</v>
      </c>
      <c r="BK62" s="3">
        <v>89.841457110923</v>
      </c>
      <c r="BL62" s="4"/>
    </row>
    <row r="63" spans="1:64">
      <c r="A63" s="3">
        <v>19905358.527676</v>
      </c>
      <c r="B63" s="3">
        <v>0.00029657607601249</v>
      </c>
      <c r="C63" s="6">
        <f t="shared" si="0"/>
        <v>1.55208915560469e-11</v>
      </c>
      <c r="D63" s="5">
        <v>1.0700640428638e-12</v>
      </c>
      <c r="E63" s="5">
        <v>1.2613165725395e-12</v>
      </c>
      <c r="F63" s="5">
        <v>1.2613157490658e-12</v>
      </c>
      <c r="G63" s="5">
        <v>1.2613122588488e-12</v>
      </c>
      <c r="H63" s="5">
        <v>1.0700493061875e-12</v>
      </c>
      <c r="I63" s="5">
        <v>1.0700529484188e-12</v>
      </c>
      <c r="J63" s="5">
        <v>1.0700514992926e-12</v>
      </c>
      <c r="K63" s="5">
        <v>1.117429316105e-12</v>
      </c>
      <c r="L63" s="5">
        <v>1.1174467614965e-12</v>
      </c>
      <c r="M63" s="5">
        <v>1.1174230430688e-12</v>
      </c>
      <c r="N63" s="5">
        <v>1.1567420140966e-12</v>
      </c>
      <c r="O63" s="5">
        <v>1.0700495017774e-12</v>
      </c>
      <c r="P63" s="5">
        <v>1.1567342925692e-12</v>
      </c>
      <c r="Q63" s="5">
        <v>1.1567870811306e-12</v>
      </c>
      <c r="R63" s="5">
        <v>1.261308165755e-12</v>
      </c>
      <c r="S63" s="5">
        <v>1.261305371377e-12</v>
      </c>
      <c r="T63" s="5">
        <v>1.2613092930001e-12</v>
      </c>
      <c r="U63" s="5">
        <v>1.0700517249043e-12</v>
      </c>
      <c r="V63" s="5">
        <v>1.1174283136784e-12</v>
      </c>
      <c r="W63" s="5">
        <v>1.1174485910744e-12</v>
      </c>
      <c r="X63" s="5">
        <v>1.1174362024576e-12</v>
      </c>
      <c r="Y63" s="5">
        <v>1.1567351358583e-12</v>
      </c>
      <c r="Z63" s="5">
        <v>1.1567785622719e-12</v>
      </c>
      <c r="AA63" s="5">
        <v>1.1568079961476e-12</v>
      </c>
      <c r="AB63" s="3">
        <v>0.99913544323568</v>
      </c>
      <c r="AC63" s="3">
        <v>0.99693518178241</v>
      </c>
      <c r="AD63" s="3">
        <v>0.00067590825829326</v>
      </c>
      <c r="AE63" s="5">
        <v>-8.294269597801e-16</v>
      </c>
      <c r="AF63" s="5">
        <v>8.4823966897139e-16</v>
      </c>
      <c r="AG63" s="5">
        <v>1.0332222933379e-15</v>
      </c>
      <c r="AH63" s="5">
        <v>5.6671789446769e-16</v>
      </c>
      <c r="AI63" s="5">
        <v>-1.2279568470494e-16</v>
      </c>
      <c r="AJ63" s="5">
        <v>3.6278099941451e-16</v>
      </c>
      <c r="AK63" s="5">
        <v>-1.6395252986544e-17</v>
      </c>
      <c r="AL63" s="5">
        <v>5.0337466023163e-16</v>
      </c>
      <c r="AM63" s="5">
        <v>3.2635356773759e-15</v>
      </c>
      <c r="AN63" s="5">
        <v>-9.6556984825524e-17</v>
      </c>
      <c r="AO63" s="5">
        <v>4.0027336805928e-16</v>
      </c>
      <c r="AP63" s="5">
        <v>6.5087637896986e-17</v>
      </c>
      <c r="AQ63" s="5">
        <v>2.2907490905326e-16</v>
      </c>
      <c r="AR63" s="5">
        <v>-2.0180178967101e-15</v>
      </c>
      <c r="AS63" s="5">
        <v>7.1649960183442e-17</v>
      </c>
      <c r="AT63" s="5">
        <v>-2.6973936516365e-17</v>
      </c>
      <c r="AU63" s="5">
        <v>-8.0632748149822e-17</v>
      </c>
      <c r="AV63" s="5">
        <v>-5.3065462333319e-16</v>
      </c>
      <c r="AW63" s="5">
        <v>4.8284895515174e-17</v>
      </c>
      <c r="AX63" s="5">
        <v>-6.7909880937398e-17</v>
      </c>
      <c r="AY63" s="5">
        <v>-2.5968467650896e-16</v>
      </c>
      <c r="AZ63" s="5">
        <v>-3.6919855913822e-16</v>
      </c>
      <c r="BA63" s="5">
        <v>1.6779142720842e-15</v>
      </c>
      <c r="BB63" s="5">
        <v>-4.5612487234836e-15</v>
      </c>
      <c r="BC63" s="3">
        <v>15864543.742577</v>
      </c>
      <c r="BD63" s="3">
        <v>3954036.8853934</v>
      </c>
      <c r="BE63" s="3">
        <v>-0.00014361184126241</v>
      </c>
      <c r="BF63" s="3">
        <v>0.0007391097490107</v>
      </c>
      <c r="BG63" s="3">
        <v>0.00030099560362575</v>
      </c>
      <c r="BH63" s="3">
        <v>-0.00032113828681471</v>
      </c>
      <c r="BI63" s="3">
        <v>100.45733761542</v>
      </c>
      <c r="BJ63" s="3">
        <v>50.233333970651</v>
      </c>
      <c r="BK63" s="3">
        <v>89.610585604818</v>
      </c>
      <c r="BL63" s="4"/>
    </row>
    <row r="64" spans="1:64">
      <c r="A64" s="3">
        <v>22334179.607549</v>
      </c>
      <c r="B64" s="3">
        <v>0.00033202973807789</v>
      </c>
      <c r="C64" s="6">
        <f t="shared" si="0"/>
        <v>1.54193266178579e-11</v>
      </c>
      <c r="D64" s="5">
        <v>1.0689142173387e-12</v>
      </c>
      <c r="E64" s="5">
        <v>1.2560565610523e-12</v>
      </c>
      <c r="F64" s="5">
        <v>1.2560558962742e-12</v>
      </c>
      <c r="G64" s="5">
        <v>1.256052829246e-12</v>
      </c>
      <c r="H64" s="5">
        <v>1.0688979789293e-12</v>
      </c>
      <c r="I64" s="5">
        <v>1.0689018559285e-12</v>
      </c>
      <c r="J64" s="5">
        <v>1.0689004594707e-12</v>
      </c>
      <c r="K64" s="5">
        <v>1.114741808083e-12</v>
      </c>
      <c r="L64" s="5">
        <v>1.1147625904559e-12</v>
      </c>
      <c r="M64" s="5">
        <v>1.1147344686431e-12</v>
      </c>
      <c r="N64" s="5">
        <v>1.1529056773289e-12</v>
      </c>
      <c r="O64" s="5">
        <v>1.0688981772084e-12</v>
      </c>
      <c r="P64" s="5">
        <v>1.152896577427e-12</v>
      </c>
      <c r="Q64" s="5">
        <v>1.1529565288532e-12</v>
      </c>
      <c r="R64" s="5">
        <v>1.256047712797e-12</v>
      </c>
      <c r="S64" s="5">
        <v>1.2560447850046e-12</v>
      </c>
      <c r="T64" s="5">
        <v>1.2560491697741e-12</v>
      </c>
      <c r="U64" s="5">
        <v>1.0689007705301e-12</v>
      </c>
      <c r="V64" s="5">
        <v>1.1147399670001e-12</v>
      </c>
      <c r="W64" s="5">
        <v>1.1147641199935e-12</v>
      </c>
      <c r="X64" s="5">
        <v>1.1147500352248e-12</v>
      </c>
      <c r="Y64" s="5">
        <v>1.1528971783458e-12</v>
      </c>
      <c r="Z64" s="5">
        <v>1.1529458736012e-12</v>
      </c>
      <c r="AA64" s="5">
        <v>1.1529816813061e-12</v>
      </c>
      <c r="AB64" s="3">
        <v>0.99910551188207</v>
      </c>
      <c r="AC64" s="3">
        <v>0.99682516533844</v>
      </c>
      <c r="AD64" s="3">
        <v>0.00070887125015693</v>
      </c>
      <c r="AE64" s="5">
        <v>-8.2594514000007e-16</v>
      </c>
      <c r="AF64" s="5">
        <v>7.2999908600049e-16</v>
      </c>
      <c r="AG64" s="5">
        <v>9.720103398303e-16</v>
      </c>
      <c r="AH64" s="5">
        <v>6.2967673129957e-16</v>
      </c>
      <c r="AI64" s="5">
        <v>-1.3419302038717e-16</v>
      </c>
      <c r="AJ64" s="5">
        <v>3.2481370967179e-16</v>
      </c>
      <c r="AK64" s="5">
        <v>-2.6935231741409e-17</v>
      </c>
      <c r="AL64" s="5">
        <v>5.0409580610688e-16</v>
      </c>
      <c r="AM64" s="5">
        <v>3.6973199772562e-15</v>
      </c>
      <c r="AN64" s="5">
        <v>-1.0062888336963e-16</v>
      </c>
      <c r="AO64" s="5">
        <v>3.4813040552219e-16</v>
      </c>
      <c r="AP64" s="5">
        <v>6.7533832300243e-17</v>
      </c>
      <c r="AQ64" s="5">
        <v>2.1113611763249e-16</v>
      </c>
      <c r="AR64" s="5">
        <v>-1.8841296104389e-15</v>
      </c>
      <c r="AS64" s="5">
        <v>1.0111941835985e-16</v>
      </c>
      <c r="AT64" s="5">
        <v>-4.8035161669537e-17</v>
      </c>
      <c r="AU64" s="5">
        <v>-2.6805682053735e-17</v>
      </c>
      <c r="AV64" s="5">
        <v>-5.5526688708285e-16</v>
      </c>
      <c r="AW64" s="5">
        <v>7.2442872185493e-17</v>
      </c>
      <c r="AX64" s="5">
        <v>-3.7717880748728e-16</v>
      </c>
      <c r="AY64" s="5">
        <v>-3.7663199022689e-16</v>
      </c>
      <c r="AZ64" s="5">
        <v>-3.1196510929116e-16</v>
      </c>
      <c r="BA64" s="5">
        <v>1.5468018303658e-15</v>
      </c>
      <c r="BB64" s="5">
        <v>-4.2817602686218e-15</v>
      </c>
      <c r="BC64" s="3">
        <v>15848272.219488</v>
      </c>
      <c r="BD64" s="3">
        <v>3948555.5150182</v>
      </c>
      <c r="BE64" s="3">
        <v>-0.00013596109469509</v>
      </c>
      <c r="BF64" s="3">
        <v>0.0007765605345376</v>
      </c>
      <c r="BG64" s="3">
        <v>0.00032287922033806</v>
      </c>
      <c r="BH64" s="3">
        <v>-0.00030116927965255</v>
      </c>
      <c r="BI64" s="3">
        <v>100.45743822974</v>
      </c>
      <c r="BJ64" s="3">
        <v>50.233363026576</v>
      </c>
      <c r="BK64" s="3">
        <v>89.369712178518</v>
      </c>
      <c r="BL64" s="4"/>
    </row>
    <row r="65" spans="1:64">
      <c r="A65" s="3">
        <v>25059361.681365</v>
      </c>
      <c r="B65" s="3">
        <v>0.00037164022131878</v>
      </c>
      <c r="C65" s="6">
        <f t="shared" si="0"/>
        <v>1.53098443461459e-11</v>
      </c>
      <c r="D65" s="5">
        <v>1.0675635629315e-12</v>
      </c>
      <c r="E65" s="5">
        <v>1.250358127116e-12</v>
      </c>
      <c r="F65" s="5">
        <v>1.2503576786143e-12</v>
      </c>
      <c r="G65" s="5">
        <v>1.250355262455e-12</v>
      </c>
      <c r="H65" s="5">
        <v>1.0675457191253e-12</v>
      </c>
      <c r="I65" s="5">
        <v>1.0675498145862e-12</v>
      </c>
      <c r="J65" s="5">
        <v>1.0675485232565e-12</v>
      </c>
      <c r="K65" s="5">
        <v>1.1117266414207e-12</v>
      </c>
      <c r="L65" s="5">
        <v>1.1117515700757e-12</v>
      </c>
      <c r="M65" s="5">
        <v>1.1117180360659e-12</v>
      </c>
      <c r="N65" s="5">
        <v>1.1488848246445e-12</v>
      </c>
      <c r="O65" s="5">
        <v>1.0675459111207e-12</v>
      </c>
      <c r="P65" s="5">
        <v>1.148873985269e-12</v>
      </c>
      <c r="Q65" s="5">
        <v>1.1489421007631e-12</v>
      </c>
      <c r="R65" s="5">
        <v>1.2503488795945e-12</v>
      </c>
      <c r="S65" s="5">
        <v>1.2503458317811e-12</v>
      </c>
      <c r="T65" s="5">
        <v>1.2503507487566e-12</v>
      </c>
      <c r="U65" s="5">
        <v>1.0675489541332e-12</v>
      </c>
      <c r="V65" s="5">
        <v>1.1117237255991e-12</v>
      </c>
      <c r="W65" s="5">
        <v>1.1117526572909e-12</v>
      </c>
      <c r="X65" s="5">
        <v>1.1117365091529e-12</v>
      </c>
      <c r="Y65" s="5">
        <v>1.1488742541387e-12</v>
      </c>
      <c r="Z65" s="5">
        <v>1.1489288322151e-12</v>
      </c>
      <c r="AA65" s="5">
        <v>1.1489725522948e-12</v>
      </c>
      <c r="AB65" s="3">
        <v>0.9990713377232</v>
      </c>
      <c r="AC65" s="3">
        <v>0.99669460218113</v>
      </c>
      <c r="AD65" s="3">
        <v>0.00074589133271047</v>
      </c>
      <c r="AE65" s="5">
        <v>-8.116270141777e-16</v>
      </c>
      <c r="AF65" s="5">
        <v>6.1751770704703e-16</v>
      </c>
      <c r="AG65" s="5">
        <v>9.1391890848273e-16</v>
      </c>
      <c r="AH65" s="5">
        <v>7.0313317090137e-16</v>
      </c>
      <c r="AI65" s="5">
        <v>-1.4861421050221e-16</v>
      </c>
      <c r="AJ65" s="5">
        <v>2.7914150703818e-16</v>
      </c>
      <c r="AK65" s="5">
        <v>-3.9600469376423e-17</v>
      </c>
      <c r="AL65" s="5">
        <v>5.0111488264326e-16</v>
      </c>
      <c r="AM65" s="5">
        <v>4.1860766913734e-15</v>
      </c>
      <c r="AN65" s="5">
        <v>-1.0657341122696e-16</v>
      </c>
      <c r="AO65" s="5">
        <v>2.7822020555366e-16</v>
      </c>
      <c r="AP65" s="5">
        <v>6.9120557733304e-17</v>
      </c>
      <c r="AQ65" s="5">
        <v>1.8846864480842e-16</v>
      </c>
      <c r="AR65" s="5">
        <v>-1.7688085925686e-15</v>
      </c>
      <c r="AS65" s="5">
        <v>1.3113592432919e-16</v>
      </c>
      <c r="AT65" s="5">
        <v>-7.1388835475624e-17</v>
      </c>
      <c r="AU65" s="5">
        <v>3.2334948552461e-17</v>
      </c>
      <c r="AV65" s="5">
        <v>-5.8565061335051e-16</v>
      </c>
      <c r="AW65" s="5">
        <v>9.5127561063002e-17</v>
      </c>
      <c r="AX65" s="5">
        <v>-7.3263639070004e-16</v>
      </c>
      <c r="AY65" s="5">
        <v>-5.1193557248767e-16</v>
      </c>
      <c r="AZ65" s="5">
        <v>-2.5499184816386e-16</v>
      </c>
      <c r="BA65" s="5">
        <v>1.3947982270807e-15</v>
      </c>
      <c r="BB65" s="5">
        <v>-4.0015977297441e-15</v>
      </c>
      <c r="BC65" s="3">
        <v>15830079.735769</v>
      </c>
      <c r="BD65" s="3">
        <v>3942435.9602534</v>
      </c>
      <c r="BE65" s="3">
        <v>-0.00012725001425977</v>
      </c>
      <c r="BF65" s="3">
        <v>0.00081828264790263</v>
      </c>
      <c r="BG65" s="3">
        <v>0.00034738271900998</v>
      </c>
      <c r="BH65" s="3">
        <v>-0.00028013404734477</v>
      </c>
      <c r="BI65" s="3">
        <v>100.45755934271</v>
      </c>
      <c r="BJ65" s="3">
        <v>50.233386932792</v>
      </c>
      <c r="BK65" s="3">
        <v>89.120895073405</v>
      </c>
      <c r="BL65" s="4"/>
    </row>
    <row r="66" spans="1:64">
      <c r="A66" s="3">
        <v>28117066.259519</v>
      </c>
      <c r="B66" s="3">
        <v>0.00041587771760368</v>
      </c>
      <c r="C66" s="6">
        <f t="shared" si="0"/>
        <v>1.51921022373831e-11</v>
      </c>
      <c r="D66" s="5">
        <v>1.0659855185763e-12</v>
      </c>
      <c r="E66" s="5">
        <v>1.2441565145025e-12</v>
      </c>
      <c r="F66" s="5">
        <v>1.2441563500598e-12</v>
      </c>
      <c r="G66" s="5">
        <v>1.244154874459e-12</v>
      </c>
      <c r="H66" s="5">
        <v>1.0659659803064e-12</v>
      </c>
      <c r="I66" s="5">
        <v>1.065970268336e-12</v>
      </c>
      <c r="J66" s="5">
        <v>1.0659691457855e-12</v>
      </c>
      <c r="K66" s="5">
        <v>1.108368952761e-12</v>
      </c>
      <c r="L66" s="5">
        <v>1.1083990602691e-12</v>
      </c>
      <c r="M66" s="5">
        <v>1.1083588455448e-12</v>
      </c>
      <c r="N66" s="5">
        <v>1.1444854461716e-12</v>
      </c>
      <c r="O66" s="5">
        <v>1.0659661517464e-12</v>
      </c>
      <c r="P66" s="5">
        <v>1.1444723727933e-12</v>
      </c>
      <c r="Q66" s="5">
        <v>1.1445497663881e-12</v>
      </c>
      <c r="R66" s="5">
        <v>1.2441469243032e-12</v>
      </c>
      <c r="S66" s="5">
        <v>1.2441437733303e-12</v>
      </c>
      <c r="T66" s="5">
        <v>1.244149308661e-12</v>
      </c>
      <c r="U66" s="5">
        <v>1.0659697479126e-12</v>
      </c>
      <c r="V66" s="5">
        <v>1.1083646786851e-12</v>
      </c>
      <c r="W66" s="5">
        <v>1.1083995340173e-12</v>
      </c>
      <c r="X66" s="5">
        <v>1.1083808375747e-12</v>
      </c>
      <c r="Y66" s="5">
        <v>1.1444722004652e-12</v>
      </c>
      <c r="Z66" s="5">
        <v>1.1445333497823e-12</v>
      </c>
      <c r="AA66" s="5">
        <v>1.1445868683599e-12</v>
      </c>
      <c r="AB66" s="3">
        <v>0.99903243727825</v>
      </c>
      <c r="AC66" s="3">
        <v>0.99653883230003</v>
      </c>
      <c r="AD66" s="3">
        <v>0.00078744444244923</v>
      </c>
      <c r="AE66" s="5">
        <v>-7.8377287533266e-16</v>
      </c>
      <c r="AF66" s="5">
        <v>5.1351375766808e-16</v>
      </c>
      <c r="AG66" s="5">
        <v>8.6102217404649e-16</v>
      </c>
      <c r="AH66" s="5">
        <v>7.8929043687899e-16</v>
      </c>
      <c r="AI66" s="5">
        <v>-1.6708106677351e-16</v>
      </c>
      <c r="AJ66" s="5">
        <v>2.2397371621514e-16</v>
      </c>
      <c r="AK66" s="5">
        <v>-5.5006291096179e-17</v>
      </c>
      <c r="AL66" s="5">
        <v>4.9204651581572e-16</v>
      </c>
      <c r="AM66" s="5">
        <v>4.7351350563609e-15</v>
      </c>
      <c r="AN66" s="5">
        <v>-1.150261218322e-16</v>
      </c>
      <c r="AO66" s="5">
        <v>1.8308883591184e-16</v>
      </c>
      <c r="AP66" s="5">
        <v>6.9525225897768e-17</v>
      </c>
      <c r="AQ66" s="5">
        <v>1.6008711590927e-16</v>
      </c>
      <c r="AR66" s="5">
        <v>-1.6841251370536e-15</v>
      </c>
      <c r="AS66" s="5">
        <v>1.6171365128806e-16</v>
      </c>
      <c r="AT66" s="5">
        <v>-9.7537274542092e-17</v>
      </c>
      <c r="AU66" s="5">
        <v>9.7485452067009e-17</v>
      </c>
      <c r="AV66" s="5">
        <v>-6.2326741408807e-16</v>
      </c>
      <c r="AW66" s="5">
        <v>1.150896537945e-16</v>
      </c>
      <c r="AX66" s="5">
        <v>-1.1388090058554e-15</v>
      </c>
      <c r="AY66" s="5">
        <v>-6.6695015716075e-16</v>
      </c>
      <c r="AZ66" s="5">
        <v>-1.9832090489344e-16</v>
      </c>
      <c r="BA66" s="5">
        <v>1.2185642323893e-15</v>
      </c>
      <c r="BB66" s="5">
        <v>-3.737183950933e-15</v>
      </c>
      <c r="BC66" s="3">
        <v>15809747.568679</v>
      </c>
      <c r="BD66" s="3">
        <v>3935607.520335</v>
      </c>
      <c r="BE66" s="3">
        <v>-0.00011732697267038</v>
      </c>
      <c r="BF66" s="3">
        <v>0.00086473560846566</v>
      </c>
      <c r="BG66" s="3">
        <v>0.0003748142761745</v>
      </c>
      <c r="BH66" s="3">
        <v>-0.00025846192071546</v>
      </c>
      <c r="BI66" s="3">
        <v>100.45770352561</v>
      </c>
      <c r="BJ66" s="3">
        <v>50.233403215855</v>
      </c>
      <c r="BK66" s="3">
        <v>88.866826156429</v>
      </c>
      <c r="BL66" s="4"/>
    </row>
    <row r="67" spans="1:64">
      <c r="A67" s="3">
        <v>31547867.224011</v>
      </c>
      <c r="B67" s="3">
        <v>0.00046526181223454</v>
      </c>
      <c r="C67" s="6">
        <f t="shared" ref="C67:C71" si="1">(BF67-BF66)/(A67-A66)</f>
        <v>1.50659768380366e-11</v>
      </c>
      <c r="D67" s="5">
        <v>1.0641214458091e-12</v>
      </c>
      <c r="E67" s="5">
        <v>1.2373472510881e-12</v>
      </c>
      <c r="F67" s="5">
        <v>1.2373474497083e-12</v>
      </c>
      <c r="G67" s="5">
        <v>1.2373472810834e-12</v>
      </c>
      <c r="H67" s="5">
        <v>1.064100150269e-12</v>
      </c>
      <c r="I67" s="5">
        <v>1.0641045946509e-12</v>
      </c>
      <c r="J67" s="5">
        <v>1.064103714628e-12</v>
      </c>
      <c r="K67" s="5">
        <v>1.1046893454433e-12</v>
      </c>
      <c r="L67" s="5">
        <v>1.104725950506e-12</v>
      </c>
      <c r="M67" s="5">
        <v>1.1046774598944e-12</v>
      </c>
      <c r="N67" s="5">
        <v>1.1396769767014e-12</v>
      </c>
      <c r="O67" s="5">
        <v>1.0641002789547e-12</v>
      </c>
      <c r="P67" s="5">
        <v>1.1396609810548e-12</v>
      </c>
      <c r="Q67" s="5">
        <v>1.1397488714316e-12</v>
      </c>
      <c r="R67" s="5">
        <v>1.2373373896199e-12</v>
      </c>
      <c r="S67" s="5">
        <v>1.2373341562255e-12</v>
      </c>
      <c r="T67" s="5">
        <v>1.2373404185679e-12</v>
      </c>
      <c r="U67" s="5">
        <v>1.0641045657221e-12</v>
      </c>
      <c r="V67" s="5">
        <v>1.1046833773627e-12</v>
      </c>
      <c r="W67" s="5">
        <v>1.1047256089267e-12</v>
      </c>
      <c r="X67" s="5">
        <v>1.1047037219951e-12</v>
      </c>
      <c r="Y67" s="5">
        <v>1.1396602350807e-12</v>
      </c>
      <c r="Z67" s="5">
        <v>1.1397287378677e-12</v>
      </c>
      <c r="AA67" s="5">
        <v>1.1397943388089e-12</v>
      </c>
      <c r="AB67" s="3">
        <v>0.99898801582791</v>
      </c>
      <c r="AC67" s="3">
        <v>0.99635121427733</v>
      </c>
      <c r="AD67" s="3">
        <v>0.00083405773774576</v>
      </c>
      <c r="AE67" s="5">
        <v>-7.3979225687319e-16</v>
      </c>
      <c r="AF67" s="5">
        <v>4.2091553452824e-16</v>
      </c>
      <c r="AG67" s="5">
        <v>8.1584995669893e-16</v>
      </c>
      <c r="AH67" s="5">
        <v>8.9075317819082e-16</v>
      </c>
      <c r="AI67" s="5">
        <v>-1.910596415986e-16</v>
      </c>
      <c r="AJ67" s="5">
        <v>1.5669481256066e-16</v>
      </c>
      <c r="AK67" s="5">
        <v>-7.4260539355894e-17</v>
      </c>
      <c r="AL67" s="5">
        <v>4.7379285129615e-16</v>
      </c>
      <c r="AM67" s="5">
        <v>5.3530623240532e-15</v>
      </c>
      <c r="AN67" s="5">
        <v>-1.2693215943106e-16</v>
      </c>
      <c r="AO67" s="5">
        <v>5.2062922415093e-17</v>
      </c>
      <c r="AP67" s="5">
        <v>6.8357470558946e-17</v>
      </c>
      <c r="AQ67" s="5">
        <v>1.2446227830616e-16</v>
      </c>
      <c r="AR67" s="5">
        <v>-1.6431374301233e-15</v>
      </c>
      <c r="AS67" s="5">
        <v>1.9301260103362e-16</v>
      </c>
      <c r="AT67" s="5">
        <v>-1.27227164651e-16</v>
      </c>
      <c r="AU67" s="5">
        <v>1.6943735109293e-16</v>
      </c>
      <c r="AV67" s="5">
        <v>-6.6993669506071e-16</v>
      </c>
      <c r="AW67" s="5">
        <v>1.3087775376628e-16</v>
      </c>
      <c r="AX67" s="5">
        <v>-1.5995191372352e-15</v>
      </c>
      <c r="AY67" s="5">
        <v>-8.430418659786e-16</v>
      </c>
      <c r="AZ67" s="5">
        <v>-1.4160533641395e-16</v>
      </c>
      <c r="BA67" s="5">
        <v>1.0128643925732e-15</v>
      </c>
      <c r="BB67" s="5">
        <v>-3.5091823262147e-15</v>
      </c>
      <c r="BC67" s="3">
        <v>15787034.71978</v>
      </c>
      <c r="BD67" s="3">
        <v>3927992.7563103</v>
      </c>
      <c r="BE67" s="3">
        <v>-0.0001060221571848</v>
      </c>
      <c r="BF67" s="3">
        <v>0.00091642397633261</v>
      </c>
      <c r="BG67" s="3">
        <v>0.00040551658171036</v>
      </c>
      <c r="BH67" s="3">
        <v>-0.00023656100553025</v>
      </c>
      <c r="BI67" s="3">
        <v>100.45787353854</v>
      </c>
      <c r="BJ67" s="3">
        <v>50.233409310112</v>
      </c>
      <c r="BK67" s="3">
        <v>88.610870902619</v>
      </c>
      <c r="BL67" s="4"/>
    </row>
    <row r="68" spans="1:64">
      <c r="A68" s="3">
        <v>35397289.219208</v>
      </c>
      <c r="B68" s="3">
        <v>0.0005203661041513</v>
      </c>
      <c r="C68" s="6">
        <f t="shared" si="1"/>
        <v>1.49312650495178e-11</v>
      </c>
      <c r="D68" s="5">
        <v>1.0618949663303e-12</v>
      </c>
      <c r="E68" s="5">
        <v>1.2299567679692e-12</v>
      </c>
      <c r="F68" s="5">
        <v>1.2299574215605e-12</v>
      </c>
      <c r="G68" s="5">
        <v>1.2299590214286e-12</v>
      </c>
      <c r="H68" s="5">
        <v>1.0618718920433e-12</v>
      </c>
      <c r="I68" s="5">
        <v>1.0618764475077e-12</v>
      </c>
      <c r="J68" s="5">
        <v>1.0618758903718e-12</v>
      </c>
      <c r="K68" s="5">
        <v>1.1005880750172e-12</v>
      </c>
      <c r="L68" s="5">
        <v>1.100632866359e-12</v>
      </c>
      <c r="M68" s="5">
        <v>1.1005740905604e-12</v>
      </c>
      <c r="N68" s="5">
        <v>1.1343810844095e-12</v>
      </c>
      <c r="O68" s="5">
        <v>1.0618719442418e-12</v>
      </c>
      <c r="P68" s="5">
        <v>1.1343611939838e-12</v>
      </c>
      <c r="Q68" s="5">
        <v>1.1344608877635e-12</v>
      </c>
      <c r="R68" s="5">
        <v>1.2299467214783e-12</v>
      </c>
      <c r="S68" s="5">
        <v>1.2299434312246e-12</v>
      </c>
      <c r="T68" s="5">
        <v>1.2299505584325e-12</v>
      </c>
      <c r="U68" s="5">
        <v>1.0618771079553e-12</v>
      </c>
      <c r="V68" s="5">
        <v>1.1005800220396e-12</v>
      </c>
      <c r="W68" s="5">
        <v>1.100631470248e-12</v>
      </c>
      <c r="X68" s="5">
        <v>1.1006055453154e-12</v>
      </c>
      <c r="Y68" s="5">
        <v>1.134359713593e-12</v>
      </c>
      <c r="Z68" s="5">
        <v>1.1344364769805e-12</v>
      </c>
      <c r="AA68" s="5">
        <v>1.1345168878107e-12</v>
      </c>
      <c r="AB68" s="3">
        <v>0.99893670257709</v>
      </c>
      <c r="AC68" s="3">
        <v>0.99612210141954</v>
      </c>
      <c r="AD68" s="3">
        <v>0.00088631386016937</v>
      </c>
      <c r="AE68" s="5">
        <v>-6.7741894465008e-16</v>
      </c>
      <c r="AF68" s="5">
        <v>3.4279563704133e-16</v>
      </c>
      <c r="AG68" s="5">
        <v>7.813467582421e-16</v>
      </c>
      <c r="AH68" s="5">
        <v>1.0108000970792e-15</v>
      </c>
      <c r="AI68" s="5">
        <v>-2.2265193471869e-16</v>
      </c>
      <c r="AJ68" s="5">
        <v>7.3159766725753e-17</v>
      </c>
      <c r="AK68" s="5">
        <v>-9.935897809258e-17</v>
      </c>
      <c r="AL68" s="5">
        <v>4.4244241248301e-16</v>
      </c>
      <c r="AM68" s="5">
        <v>6.0544572697082e-15</v>
      </c>
      <c r="AN68" s="5">
        <v>-1.4360666369491e-16</v>
      </c>
      <c r="AO68" s="5">
        <v>-1.3022285031115e-16</v>
      </c>
      <c r="AP68" s="5">
        <v>6.5129956092048e-17</v>
      </c>
      <c r="AQ68" s="5">
        <v>7.9216048942072e-17</v>
      </c>
      <c r="AR68" s="5">
        <v>-1.6593874226204e-15</v>
      </c>
      <c r="AS68" s="5">
        <v>2.2536255080691e-16</v>
      </c>
      <c r="AT68" s="5">
        <v>-1.6159940386835e-16</v>
      </c>
      <c r="AU68" s="5">
        <v>2.4920858038353e-16</v>
      </c>
      <c r="AV68" s="5">
        <v>-7.2786652109652e-16</v>
      </c>
      <c r="AW68" s="5">
        <v>1.4067623408304e-16</v>
      </c>
      <c r="AX68" s="5">
        <v>-2.1180962504362e-15</v>
      </c>
      <c r="AY68" s="5">
        <v>-1.041498223053e-15</v>
      </c>
      <c r="AZ68" s="5">
        <v>-8.3803767043568e-17</v>
      </c>
      <c r="BA68" s="5">
        <v>7.6974295102176e-16</v>
      </c>
      <c r="BB68" s="5">
        <v>-3.3428293893279e-15</v>
      </c>
      <c r="BC68" s="3">
        <v>15761675.997772</v>
      </c>
      <c r="BD68" s="3">
        <v>3919507.0209045</v>
      </c>
      <c r="BE68" s="5">
        <v>-9.3145093736421e-5</v>
      </c>
      <c r="BF68" s="3">
        <v>0.00097390071643034</v>
      </c>
      <c r="BG68" s="3">
        <v>0.00043987060694719</v>
      </c>
      <c r="BH68" s="3">
        <v>-0.00021472838010984</v>
      </c>
      <c r="BI68" s="3">
        <v>100.45807228539</v>
      </c>
      <c r="BJ68" s="3">
        <v>50.233402351624</v>
      </c>
      <c r="BK68" s="3">
        <v>88.357090924946</v>
      </c>
      <c r="BL68" s="4"/>
    </row>
    <row r="69" spans="1:64">
      <c r="A69" s="3">
        <v>39716411.736216</v>
      </c>
      <c r="B69" s="3">
        <v>0.00058182353368367</v>
      </c>
      <c r="C69" s="6">
        <f t="shared" si="1"/>
        <v>1.47876669223324e-11</v>
      </c>
      <c r="D69" s="5">
        <v>1.0593221028721e-12</v>
      </c>
      <c r="E69" s="5">
        <v>1.2220054809333e-12</v>
      </c>
      <c r="F69" s="5">
        <v>1.2220066965775e-12</v>
      </c>
      <c r="G69" s="5">
        <v>1.2220106450219e-12</v>
      </c>
      <c r="H69" s="5">
        <v>1.0592972887905e-12</v>
      </c>
      <c r="I69" s="5">
        <v>1.0593019064061e-12</v>
      </c>
      <c r="J69" s="5">
        <v>1.0593017516128e-12</v>
      </c>
      <c r="K69" s="5">
        <v>1.096050435977e-12</v>
      </c>
      <c r="L69" s="5">
        <v>1.0961055871223e-12</v>
      </c>
      <c r="M69" s="5">
        <v>1.0960339848347e-12</v>
      </c>
      <c r="N69" s="5">
        <v>1.1285852361109e-12</v>
      </c>
      <c r="O69" s="5">
        <v>1.0592972141785e-12</v>
      </c>
      <c r="P69" s="5">
        <v>1.1285600561454e-12</v>
      </c>
      <c r="Q69" s="5">
        <v>1.1286729233268e-12</v>
      </c>
      <c r="R69" s="5">
        <v>1.2219953497535e-12</v>
      </c>
      <c r="S69" s="5">
        <v>1.221992034984e-12</v>
      </c>
      <c r="T69" s="5">
        <v>1.2220002019479e-12</v>
      </c>
      <c r="U69" s="5">
        <v>1.0593035128533e-12</v>
      </c>
      <c r="V69" s="5">
        <v>1.0960398519196e-12</v>
      </c>
      <c r="W69" s="5">
        <v>1.0961028428521e-12</v>
      </c>
      <c r="X69" s="5">
        <v>1.0960717708863e-12</v>
      </c>
      <c r="Y69" s="5">
        <v>1.1285576455065e-12</v>
      </c>
      <c r="Z69" s="5">
        <v>1.1286437540467e-12</v>
      </c>
      <c r="AA69" s="5">
        <v>1.1287421777636e-12</v>
      </c>
      <c r="AB69" s="3">
        <v>0.99887615083383</v>
      </c>
      <c r="AC69" s="3">
        <v>0.99583736763277</v>
      </c>
      <c r="AD69" s="3">
        <v>0.00094485527431439</v>
      </c>
      <c r="AE69" s="5">
        <v>-5.9450775835656e-16</v>
      </c>
      <c r="AF69" s="5">
        <v>2.8251280943725e-16</v>
      </c>
      <c r="AG69" s="5">
        <v>7.6079997212715e-16</v>
      </c>
      <c r="AH69" s="5">
        <v>1.1533388654216e-15</v>
      </c>
      <c r="AI69" s="5">
        <v>-2.6492503347394e-16</v>
      </c>
      <c r="AJ69" s="5">
        <v>-3.353973715614e-17</v>
      </c>
      <c r="AK69" s="5">
        <v>-1.3378435151515e-16</v>
      </c>
      <c r="AL69" s="5">
        <v>3.9276262074876e-16</v>
      </c>
      <c r="AM69" s="5">
        <v>6.8649268402097e-15</v>
      </c>
      <c r="AN69" s="5">
        <v>-1.6680154102864e-16</v>
      </c>
      <c r="AO69" s="5">
        <v>-3.8597508087291e-16</v>
      </c>
      <c r="AP69" s="5">
        <v>5.9240168285648e-17</v>
      </c>
      <c r="AQ69" s="5">
        <v>2.0680425288915e-17</v>
      </c>
      <c r="AR69" s="5">
        <v>-1.7460659173114e-15</v>
      </c>
      <c r="AS69" s="5">
        <v>2.5925124840905e-16</v>
      </c>
      <c r="AT69" s="5">
        <v>-2.0238210988228e-16</v>
      </c>
      <c r="AU69" s="5">
        <v>3.3798665621265e-16</v>
      </c>
      <c r="AV69" s="5">
        <v>-7.9967544683473e-16</v>
      </c>
      <c r="AW69" s="5">
        <v>1.4210903158389e-16</v>
      </c>
      <c r="AX69" s="5">
        <v>-2.6982745156515e-15</v>
      </c>
      <c r="AY69" s="5">
        <v>-1.2622827580515e-15</v>
      </c>
      <c r="AZ69" s="5">
        <v>-2.2839410141113e-17</v>
      </c>
      <c r="BA69" s="5">
        <v>4.773844561007e-16</v>
      </c>
      <c r="BB69" s="5">
        <v>-3.267987544851e-15</v>
      </c>
      <c r="BC69" s="3">
        <v>15733379.423123</v>
      </c>
      <c r="BD69" s="3">
        <v>3910057.7858753</v>
      </c>
      <c r="BE69" s="5">
        <v>-7.8479121465644e-5</v>
      </c>
      <c r="BF69" s="3">
        <v>0.0010377704616086</v>
      </c>
      <c r="BG69" s="3">
        <v>0.0004782998096502</v>
      </c>
      <c r="BH69" s="3">
        <v>-0.00019351703443502</v>
      </c>
      <c r="BI69" s="3">
        <v>100.45830227283</v>
      </c>
      <c r="BJ69" s="3">
        <v>50.233378856166</v>
      </c>
      <c r="BK69" s="3">
        <v>88.110272541006</v>
      </c>
      <c r="BL69" s="4"/>
    </row>
    <row r="70" spans="1:64">
      <c r="A70" s="3">
        <v>44562546.906689</v>
      </c>
      <c r="B70" s="3">
        <v>0.000650331867947</v>
      </c>
      <c r="C70" s="6">
        <f t="shared" si="1"/>
        <v>1.4634904380407e-11</v>
      </c>
      <c r="D70" s="5">
        <v>1.0563624929194e-12</v>
      </c>
      <c r="E70" s="5">
        <v>1.2134365337648e-12</v>
      </c>
      <c r="F70" s="5">
        <v>1.2134384359477e-12</v>
      </c>
      <c r="G70" s="5">
        <v>1.2134454619421e-12</v>
      </c>
      <c r="H70" s="5">
        <v>1.0563360618198e-12</v>
      </c>
      <c r="I70" s="5">
        <v>1.0563407024764e-12</v>
      </c>
      <c r="J70" s="5">
        <v>1.0563410145963e-12</v>
      </c>
      <c r="K70" s="5">
        <v>1.0909935551971e-12</v>
      </c>
      <c r="L70" s="5">
        <v>1.0910618923822e-12</v>
      </c>
      <c r="M70" s="5">
        <v>1.0909742205535e-12</v>
      </c>
      <c r="N70" s="5">
        <v>1.1223358146222e-12</v>
      </c>
      <c r="O70" s="5">
        <v>1.0563357863169e-12</v>
      </c>
      <c r="P70" s="5">
        <v>1.1223033168369e-12</v>
      </c>
      <c r="Q70" s="5">
        <v>1.1224307576288e-12</v>
      </c>
      <c r="R70" s="5">
        <v>1.2134264301468e-12</v>
      </c>
      <c r="S70" s="5">
        <v>1.2134231340685e-12</v>
      </c>
      <c r="T70" s="5">
        <v>1.2134325606523e-12</v>
      </c>
      <c r="U70" s="5">
        <v>1.05634358508e-12</v>
      </c>
      <c r="V70" s="5">
        <v>1.090979944993e-12</v>
      </c>
      <c r="W70" s="5">
        <v>1.0910574111695e-12</v>
      </c>
      <c r="X70" s="5">
        <v>1.0910197532857e-12</v>
      </c>
      <c r="Y70" s="5">
        <v>1.122299734836e-12</v>
      </c>
      <c r="Z70" s="5">
        <v>1.1223965362472e-12</v>
      </c>
      <c r="AA70" s="5">
        <v>1.1225166641102e-12</v>
      </c>
      <c r="AB70" s="3">
        <v>0.99880192429549</v>
      </c>
      <c r="AC70" s="3">
        <v>0.99547607447459</v>
      </c>
      <c r="AD70" s="3">
        <v>0.0010103891312166</v>
      </c>
      <c r="AE70" s="5">
        <v>-4.8976859643525e-16</v>
      </c>
      <c r="AF70" s="5">
        <v>2.4405073007977e-16</v>
      </c>
      <c r="AG70" s="5">
        <v>7.5775540224175e-16</v>
      </c>
      <c r="AH70" s="5">
        <v>1.3235194861949e-15</v>
      </c>
      <c r="AI70" s="5">
        <v>-3.2246213829186e-16</v>
      </c>
      <c r="AJ70" s="5">
        <v>-1.7519224172691e-16</v>
      </c>
      <c r="AK70" s="5">
        <v>-1.8391442089336e-16</v>
      </c>
      <c r="AL70" s="5">
        <v>3.170890414251e-16</v>
      </c>
      <c r="AM70" s="5">
        <v>7.8286665314722e-15</v>
      </c>
      <c r="AN70" s="5">
        <v>-1.9912020162389e-16</v>
      </c>
      <c r="AO70" s="5">
        <v>-7.4777362918528e-16</v>
      </c>
      <c r="AP70" s="5">
        <v>4.9885970075297e-17</v>
      </c>
      <c r="AQ70" s="5">
        <v>-5.6874692203561e-17</v>
      </c>
      <c r="AR70" s="5">
        <v>-1.9152147483329e-15</v>
      </c>
      <c r="AS70" s="5">
        <v>2.9520217185664e-16</v>
      </c>
      <c r="AT70" s="5">
        <v>-2.5223230468207e-16</v>
      </c>
      <c r="AU70" s="5">
        <v>4.3742965786267e-16</v>
      </c>
      <c r="AV70" s="5">
        <v>-8.8837998408813e-16</v>
      </c>
      <c r="AW70" s="5">
        <v>1.3154358242238e-16</v>
      </c>
      <c r="AX70" s="5">
        <v>-3.3473339241715e-15</v>
      </c>
      <c r="AY70" s="5">
        <v>-1.5043881872805e-15</v>
      </c>
      <c r="AZ70" s="5">
        <v>4.4909738924721e-17</v>
      </c>
      <c r="BA70" s="5">
        <v>1.1862172443102e-16</v>
      </c>
      <c r="BB70" s="5">
        <v>-3.3198331117021e-15</v>
      </c>
      <c r="BC70" s="3">
        <v>15701824.014423</v>
      </c>
      <c r="BD70" s="3">
        <v>3899544.1558933</v>
      </c>
      <c r="BE70" s="5">
        <v>-6.1776963728967e-5</v>
      </c>
      <c r="BF70" s="3">
        <v>0.001108693186443</v>
      </c>
      <c r="BG70" s="3">
        <v>0.0005212740185395</v>
      </c>
      <c r="BH70" s="3">
        <v>-0.00017414701932696</v>
      </c>
      <c r="BI70" s="3">
        <v>100.45856598309</v>
      </c>
      <c r="BJ70" s="3">
        <v>50.23333425706</v>
      </c>
      <c r="BK70" s="3">
        <v>87.875921263234</v>
      </c>
      <c r="BL70" s="4"/>
    </row>
    <row r="71" spans="1:64">
      <c r="A71" s="3">
        <v>50000000</v>
      </c>
      <c r="B71" s="3">
        <v>0.00072665865071869</v>
      </c>
      <c r="C71" s="6">
        <f t="shared" si="1"/>
        <v>1.44729653592616e-11</v>
      </c>
      <c r="D71" s="5">
        <v>1.0528673739848e-12</v>
      </c>
      <c r="E71" s="5">
        <v>1.2042219797397e-12</v>
      </c>
      <c r="F71" s="5">
        <v>1.2042247109565e-12</v>
      </c>
      <c r="G71" s="5">
        <v>1.2042357345349e-12</v>
      </c>
      <c r="H71" s="5">
        <v>1.0528395610393e-12</v>
      </c>
      <c r="I71" s="5">
        <v>1.0528442240046e-12</v>
      </c>
      <c r="J71" s="5">
        <v>1.0528450292207e-12</v>
      </c>
      <c r="K71" s="5">
        <v>1.0853801856269e-12</v>
      </c>
      <c r="L71" s="5">
        <v>1.0854654451132e-12</v>
      </c>
      <c r="M71" s="5">
        <v>1.0853575049276e-12</v>
      </c>
      <c r="N71" s="5">
        <v>1.1154947530827e-12</v>
      </c>
      <c r="O71" s="5">
        <v>1.0528389760471e-12</v>
      </c>
      <c r="P71" s="5">
        <v>1.115451953594e-12</v>
      </c>
      <c r="Q71" s="5">
        <v>1.1155953598289e-12</v>
      </c>
      <c r="R71" s="5">
        <v>1.204212022867e-12</v>
      </c>
      <c r="S71" s="5">
        <v>1.2042088080244e-12</v>
      </c>
      <c r="T71" s="5">
        <v>1.2042197661335e-12</v>
      </c>
      <c r="U71" s="5">
        <v>1.0528488039285e-12</v>
      </c>
      <c r="V71" s="5">
        <v>1.0853630254566e-12</v>
      </c>
      <c r="W71" s="5">
        <v>1.0854586526496e-12</v>
      </c>
      <c r="X71" s="5">
        <v>1.0854125561755e-12</v>
      </c>
      <c r="Y71" s="5">
        <v>1.1154468950598e-12</v>
      </c>
      <c r="Z71" s="5">
        <v>1.1155561337752e-12</v>
      </c>
      <c r="AA71" s="5">
        <v>1.1157021565862e-12</v>
      </c>
      <c r="AB71" s="3">
        <v>0.99870677350353</v>
      </c>
      <c r="AC71" s="3">
        <v>0.99500710810776</v>
      </c>
      <c r="AD71" s="3">
        <v>0.0010836942280114</v>
      </c>
      <c r="AE71" s="5">
        <v>-3.620653601403e-16</v>
      </c>
      <c r="AF71" s="5">
        <v>2.3276939475319e-16</v>
      </c>
      <c r="AG71" s="5">
        <v>7.7611866492344e-16</v>
      </c>
      <c r="AH71" s="5">
        <v>1.5285062603664e-15</v>
      </c>
      <c r="AI71" s="5">
        <v>-4.0229297932757e-16</v>
      </c>
      <c r="AJ71" s="5">
        <v>-3.7200396597148e-16</v>
      </c>
      <c r="AK71" s="5">
        <v>-2.6130473415925e-16</v>
      </c>
      <c r="AL71" s="5">
        <v>2.066721712509e-16</v>
      </c>
      <c r="AM71" s="5">
        <v>9.0171505877047e-15</v>
      </c>
      <c r="AN71" s="5">
        <v>-2.4459771597193e-16</v>
      </c>
      <c r="AO71" s="5">
        <v>-1.2628976371297e-15</v>
      </c>
      <c r="AP71" s="5">
        <v>3.634992089451e-17</v>
      </c>
      <c r="AQ71" s="5">
        <v>-1.6426216249083e-16</v>
      </c>
      <c r="AR71" s="5">
        <v>-2.1779157313313e-15</v>
      </c>
      <c r="AS71" s="5">
        <v>3.3357082919985e-16</v>
      </c>
      <c r="AT71" s="5">
        <v>-3.1536250233661e-16</v>
      </c>
      <c r="AU71" s="5">
        <v>5.499392926176e-16</v>
      </c>
      <c r="AV71" s="5">
        <v>-9.9709623351826e-16</v>
      </c>
      <c r="AW71" s="5">
        <v>1.0293531875365e-16</v>
      </c>
      <c r="AX71" s="5">
        <v>-4.0787348570225e-15</v>
      </c>
      <c r="AY71" s="5">
        <v>-1.7694950018382e-15</v>
      </c>
      <c r="AZ71" s="5">
        <v>1.2529244178916e-16</v>
      </c>
      <c r="BA71" s="5">
        <v>-3.3041394031084e-16</v>
      </c>
      <c r="BB71" s="5">
        <v>-3.5317373225957e-15</v>
      </c>
      <c r="BC71" s="3">
        <v>15666659.269727</v>
      </c>
      <c r="BD71" s="3">
        <v>3887857.0391535</v>
      </c>
      <c r="BE71" s="5">
        <v>-4.2764321428806e-5</v>
      </c>
      <c r="BF71" s="3">
        <v>0.0011873892567051</v>
      </c>
      <c r="BG71" s="3">
        <v>0.00056931366106752</v>
      </c>
      <c r="BH71" s="3">
        <v>-0.00015840638178698</v>
      </c>
      <c r="BI71" s="3">
        <v>100.4588663404</v>
      </c>
      <c r="BJ71" s="3">
        <v>50.233262910379</v>
      </c>
      <c r="BK71" s="3">
        <v>87.660115267881</v>
      </c>
      <c r="BL71" s="4"/>
    </row>
    <row r="75" spans="1:2">
      <c r="A75" s="1">
        <f>A71-A36</f>
        <v>49110860.2949805</v>
      </c>
      <c r="B75" s="1">
        <f>B71-B36</f>
        <v>0.000713155378468333</v>
      </c>
    </row>
    <row r="76" spans="1:2">
      <c r="A76" s="1"/>
      <c r="B76">
        <f>B75/A75</f>
        <v>1.45213375246294e-11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M74"/>
  <sheetViews>
    <sheetView topLeftCell="A39" workbookViewId="0">
      <selection activeCell="A73" sqref="A73:B74"/>
    </sheetView>
  </sheetViews>
  <sheetFormatPr defaultColWidth="8.81481481481481" defaultRowHeight="15"/>
  <cols>
    <col min="1" max="4" width="12.4518518518519"/>
  </cols>
  <sheetData>
    <row r="1" spans="1:65">
      <c r="A1" s="3" t="s">
        <v>4</v>
      </c>
      <c r="B1" s="3" t="s">
        <v>5</v>
      </c>
      <c r="C1" s="4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19</v>
      </c>
      <c r="Q1" s="3" t="s">
        <v>20</v>
      </c>
      <c r="R1" s="3" t="s">
        <v>21</v>
      </c>
      <c r="S1" s="3" t="s">
        <v>22</v>
      </c>
      <c r="T1" s="3" t="s">
        <v>23</v>
      </c>
      <c r="U1" s="3" t="s">
        <v>24</v>
      </c>
      <c r="V1" s="3" t="s">
        <v>25</v>
      </c>
      <c r="W1" s="3" t="s">
        <v>26</v>
      </c>
      <c r="X1" s="3" t="s">
        <v>27</v>
      </c>
      <c r="Y1" s="3" t="s">
        <v>28</v>
      </c>
      <c r="Z1" s="3" t="s">
        <v>29</v>
      </c>
      <c r="AA1" s="3" t="s">
        <v>30</v>
      </c>
      <c r="AB1" s="3" t="s">
        <v>31</v>
      </c>
      <c r="AC1" s="3" t="s">
        <v>32</v>
      </c>
      <c r="AD1" s="3" t="s">
        <v>33</v>
      </c>
      <c r="AE1" s="3" t="s">
        <v>34</v>
      </c>
      <c r="AF1" s="3" t="s">
        <v>35</v>
      </c>
      <c r="AG1" s="3" t="s">
        <v>36</v>
      </c>
      <c r="AH1" s="3" t="s">
        <v>37</v>
      </c>
      <c r="AI1" s="3" t="s">
        <v>38</v>
      </c>
      <c r="AJ1" s="3" t="s">
        <v>39</v>
      </c>
      <c r="AK1" s="3" t="s">
        <v>40</v>
      </c>
      <c r="AL1" s="3" t="s">
        <v>41</v>
      </c>
      <c r="AM1" s="3" t="s">
        <v>42</v>
      </c>
      <c r="AN1" s="3" t="s">
        <v>43</v>
      </c>
      <c r="AO1" s="3" t="s">
        <v>44</v>
      </c>
      <c r="AP1" s="3" t="s">
        <v>45</v>
      </c>
      <c r="AQ1" s="3" t="s">
        <v>46</v>
      </c>
      <c r="AR1" s="3" t="s">
        <v>47</v>
      </c>
      <c r="AS1" s="3" t="s">
        <v>48</v>
      </c>
      <c r="AT1" s="3" t="s">
        <v>49</v>
      </c>
      <c r="AU1" s="3" t="s">
        <v>50</v>
      </c>
      <c r="AV1" s="3" t="s">
        <v>51</v>
      </c>
      <c r="AW1" s="3" t="s">
        <v>52</v>
      </c>
      <c r="AX1" s="3" t="s">
        <v>53</v>
      </c>
      <c r="AY1" s="3" t="s">
        <v>54</v>
      </c>
      <c r="AZ1" s="3" t="s">
        <v>55</v>
      </c>
      <c r="BA1" s="3" t="s">
        <v>56</v>
      </c>
      <c r="BB1" s="3" t="s">
        <v>57</v>
      </c>
      <c r="BC1" s="3" t="s">
        <v>58</v>
      </c>
      <c r="BD1" s="3" t="s">
        <v>59</v>
      </c>
      <c r="BE1" s="3" t="s">
        <v>60</v>
      </c>
      <c r="BF1" s="3" t="s">
        <v>61</v>
      </c>
      <c r="BG1" s="3" t="s">
        <v>62</v>
      </c>
      <c r="BH1" s="3" t="s">
        <v>63</v>
      </c>
      <c r="BI1" s="3" t="s">
        <v>64</v>
      </c>
      <c r="BJ1" s="3" t="s">
        <v>65</v>
      </c>
      <c r="BK1" s="3" t="s">
        <v>66</v>
      </c>
      <c r="BL1" s="4"/>
      <c r="BM1" s="7"/>
    </row>
    <row r="2" spans="1:65">
      <c r="A2" s="3">
        <v>0</v>
      </c>
      <c r="B2" s="3">
        <v>0</v>
      </c>
      <c r="C2" s="4"/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>
        <v>0</v>
      </c>
      <c r="AZ2" s="3">
        <v>0</v>
      </c>
      <c r="BA2" s="3">
        <v>0</v>
      </c>
      <c r="BB2" s="3">
        <v>0</v>
      </c>
      <c r="BC2" s="3">
        <v>0</v>
      </c>
      <c r="BD2" s="3">
        <v>0</v>
      </c>
      <c r="BE2" s="3">
        <v>0</v>
      </c>
      <c r="BF2" s="3">
        <v>0</v>
      </c>
      <c r="BG2" s="3">
        <v>0</v>
      </c>
      <c r="BH2" s="3">
        <v>0</v>
      </c>
      <c r="BI2" s="3">
        <v>0</v>
      </c>
      <c r="BJ2" s="3">
        <v>0</v>
      </c>
      <c r="BK2" s="3">
        <v>0</v>
      </c>
      <c r="BL2" s="4"/>
      <c r="BM2" s="7"/>
    </row>
    <row r="3" spans="1:65">
      <c r="A3" s="3">
        <v>0.39716411736214</v>
      </c>
      <c r="B3" s="5">
        <v>9.0532381450157e-15</v>
      </c>
      <c r="C3" s="6">
        <f t="shared" ref="C3:C66" si="0">(BF3-BF2)/(A3-A2)</f>
        <v>3.91652964071945e-6</v>
      </c>
      <c r="D3" s="5">
        <v>2.9907101417528e-15</v>
      </c>
      <c r="E3" s="5">
        <v>3.6169584574199e-15</v>
      </c>
      <c r="F3" s="5">
        <v>3.6169584574199e-15</v>
      </c>
      <c r="G3" s="5">
        <v>3.6169584574199e-15</v>
      </c>
      <c r="H3" s="5">
        <v>2.9907101417528e-15</v>
      </c>
      <c r="I3" s="5">
        <v>2.9907101417528e-15</v>
      </c>
      <c r="J3" s="5">
        <v>2.9907101417528e-15</v>
      </c>
      <c r="K3" s="5">
        <v>3.1705683297039e-15</v>
      </c>
      <c r="L3" s="5">
        <v>3.1705683297039e-15</v>
      </c>
      <c r="M3" s="5">
        <v>3.1705683297039e-15</v>
      </c>
      <c r="N3" s="5">
        <v>3.3039162296889e-15</v>
      </c>
      <c r="O3" s="5">
        <v>2.9907101417528e-15</v>
      </c>
      <c r="P3" s="5">
        <v>3.3039162296889e-15</v>
      </c>
      <c r="Q3" s="5">
        <v>3.3039162296889e-15</v>
      </c>
      <c r="R3" s="5">
        <v>3.6169584574199e-15</v>
      </c>
      <c r="S3" s="5">
        <v>3.6169584574199e-15</v>
      </c>
      <c r="T3" s="5">
        <v>3.6169584574199e-15</v>
      </c>
      <c r="U3" s="5">
        <v>2.9907101417528e-15</v>
      </c>
      <c r="V3" s="5">
        <v>3.1705683297039e-15</v>
      </c>
      <c r="W3" s="5">
        <v>3.1705683297039e-15</v>
      </c>
      <c r="X3" s="5">
        <v>3.1705683297039e-15</v>
      </c>
      <c r="Y3" s="5">
        <v>3.3039162296889e-15</v>
      </c>
      <c r="Z3" s="5">
        <v>3.3039162296889e-15</v>
      </c>
      <c r="AA3" s="5">
        <v>3.3039162296889e-15</v>
      </c>
      <c r="AB3" s="3">
        <v>0.99999999999972</v>
      </c>
      <c r="AC3" s="3">
        <v>0.99999999999963</v>
      </c>
      <c r="AD3" s="5">
        <v>1.519147461013e-6</v>
      </c>
      <c r="AE3" s="5">
        <v>2.8539486830054e-28</v>
      </c>
      <c r="AF3" s="5">
        <v>-2.9840517835336e-28</v>
      </c>
      <c r="AG3" s="5">
        <v>3.0170621749962e-28</v>
      </c>
      <c r="AH3" s="5">
        <v>-3.749955090625e-28</v>
      </c>
      <c r="AI3" s="5">
        <v>-7.1323901274794e-29</v>
      </c>
      <c r="AJ3" s="5">
        <v>-2.5858331543663e-28</v>
      </c>
      <c r="AK3" s="5">
        <v>1.536747128955e-28</v>
      </c>
      <c r="AL3" s="5">
        <v>2.0485987171442e-28</v>
      </c>
      <c r="AM3" s="5">
        <v>1.5708675456598e-28</v>
      </c>
      <c r="AN3" s="5">
        <v>-3.2517880757928e-28</v>
      </c>
      <c r="AO3" s="5">
        <v>1.3876507389493e-28</v>
      </c>
      <c r="AP3" s="5">
        <v>-1.7448293766833e-28</v>
      </c>
      <c r="AQ3" s="5">
        <v>5.2208145855019e-28</v>
      </c>
      <c r="AR3" s="5">
        <v>-6.1192935450955e-28</v>
      </c>
      <c r="AS3" s="5">
        <v>3.2357097405423e-28</v>
      </c>
      <c r="AT3" s="5">
        <v>3.6067023340467e-29</v>
      </c>
      <c r="AU3" s="5">
        <v>-3.4479541730569e-28</v>
      </c>
      <c r="AV3" s="5">
        <v>-1.6099660505553e-28</v>
      </c>
      <c r="AW3" s="5">
        <v>1.9455655556271e-28</v>
      </c>
      <c r="AX3" s="5">
        <v>3.0665399686111e-29</v>
      </c>
      <c r="AY3" s="5">
        <v>-2.0299625293828e-28</v>
      </c>
      <c r="AZ3" s="5">
        <v>2.6437345238767e-28</v>
      </c>
      <c r="BA3" s="5">
        <v>4.519422281457e-28</v>
      </c>
      <c r="BB3" s="5">
        <v>-6.4154253325281e-28</v>
      </c>
      <c r="BC3" s="3">
        <v>15999999.999985</v>
      </c>
      <c r="BD3" s="3">
        <v>3999999.9999986</v>
      </c>
      <c r="BE3" s="5">
        <v>-7.4107022875466e-7</v>
      </c>
      <c r="BF3" s="5">
        <v>1.555505037879e-6</v>
      </c>
      <c r="BG3" s="5">
        <v>4.4124622319751e-7</v>
      </c>
      <c r="BH3" s="5">
        <v>-6.9413069834599e-9</v>
      </c>
      <c r="BI3" s="3">
        <v>0.36995265227646</v>
      </c>
      <c r="BJ3" s="3">
        <v>0.18497638468533</v>
      </c>
      <c r="BK3" s="3">
        <v>0.34051031554592</v>
      </c>
      <c r="BL3" s="4"/>
      <c r="BM3" s="7"/>
    </row>
    <row r="4" spans="1:65">
      <c r="A4" s="3">
        <v>3.9716411736214</v>
      </c>
      <c r="B4" s="5">
        <v>9.2713750592455e-13</v>
      </c>
      <c r="C4" s="6">
        <f t="shared" si="0"/>
        <v>3.91614606660178e-6</v>
      </c>
      <c r="D4" s="5">
        <v>2.9948473124403e-14</v>
      </c>
      <c r="E4" s="5">
        <v>3.6225165574113e-14</v>
      </c>
      <c r="F4" s="5">
        <v>3.6225165574113e-14</v>
      </c>
      <c r="G4" s="5">
        <v>3.6225165574113e-14</v>
      </c>
      <c r="H4" s="5">
        <v>2.9948473124403e-14</v>
      </c>
      <c r="I4" s="5">
        <v>2.9948473124403e-14</v>
      </c>
      <c r="J4" s="5">
        <v>2.9948473124403e-14</v>
      </c>
      <c r="K4" s="5">
        <v>3.1746645455353e-14</v>
      </c>
      <c r="L4" s="5">
        <v>3.1746645455353e-14</v>
      </c>
      <c r="M4" s="5">
        <v>3.1746645455353e-14</v>
      </c>
      <c r="N4" s="5">
        <v>3.3086862634247e-14</v>
      </c>
      <c r="O4" s="5">
        <v>2.9948473124403e-14</v>
      </c>
      <c r="P4" s="5">
        <v>3.3086862634247e-14</v>
      </c>
      <c r="Q4" s="5">
        <v>3.3086862634247e-14</v>
      </c>
      <c r="R4" s="5">
        <v>3.6225165574113e-14</v>
      </c>
      <c r="S4" s="5">
        <v>3.6225165574113e-14</v>
      </c>
      <c r="T4" s="5">
        <v>3.6225165574113e-14</v>
      </c>
      <c r="U4" s="5">
        <v>2.9948473124403e-14</v>
      </c>
      <c r="V4" s="5">
        <v>3.1746645455353e-14</v>
      </c>
      <c r="W4" s="5">
        <v>3.1746645455353e-14</v>
      </c>
      <c r="X4" s="5">
        <v>3.1746645455353e-14</v>
      </c>
      <c r="Y4" s="5">
        <v>3.3086862634247e-14</v>
      </c>
      <c r="Z4" s="5">
        <v>3.3086862634247e-14</v>
      </c>
      <c r="AA4" s="5">
        <v>3.3086862634247e-14</v>
      </c>
      <c r="AB4" s="3">
        <v>0.99999999999943</v>
      </c>
      <c r="AC4" s="3">
        <v>0.99999999999894</v>
      </c>
      <c r="AD4" s="5">
        <v>1.5190522637611e-5</v>
      </c>
      <c r="AE4" s="5">
        <v>3.614923540886e-27</v>
      </c>
      <c r="AF4" s="5">
        <v>8.7372271392994e-27</v>
      </c>
      <c r="AG4" s="5">
        <v>1.753737484335e-26</v>
      </c>
      <c r="AH4" s="5">
        <v>-7.7460710396106e-28</v>
      </c>
      <c r="AI4" s="5">
        <v>1.1077495401723e-27</v>
      </c>
      <c r="AJ4" s="5">
        <v>-5.1053298206641e-28</v>
      </c>
      <c r="AK4" s="5">
        <v>6.9370376579013e-27</v>
      </c>
      <c r="AL4" s="5">
        <v>6.1717522730776e-27</v>
      </c>
      <c r="AM4" s="5">
        <v>-2.150206118688e-27</v>
      </c>
      <c r="AN4" s="5">
        <v>-3.2832987010795e-27</v>
      </c>
      <c r="AO4" s="5">
        <v>8.2206588748558e-27</v>
      </c>
      <c r="AP4" s="5">
        <v>-1.6916757532248e-27</v>
      </c>
      <c r="AQ4" s="5">
        <v>1.0491365557873e-26</v>
      </c>
      <c r="AR4" s="5">
        <v>-2.1705485329055e-26</v>
      </c>
      <c r="AS4" s="5">
        <v>3.8954059830801e-27</v>
      </c>
      <c r="AT4" s="5">
        <v>4.1904076924244e-27</v>
      </c>
      <c r="AU4" s="5">
        <v>-1.1630160450665e-26</v>
      </c>
      <c r="AV4" s="5">
        <v>-4.1481662960402e-27</v>
      </c>
      <c r="AW4" s="5">
        <v>2.8242757843172e-27</v>
      </c>
      <c r="AX4" s="5">
        <v>7.3983400196173e-27</v>
      </c>
      <c r="AY4" s="5">
        <v>-3.0142160613166e-27</v>
      </c>
      <c r="AZ4" s="5">
        <v>-4.9054796388255e-27</v>
      </c>
      <c r="BA4" s="5">
        <v>1.116115336125e-26</v>
      </c>
      <c r="BB4" s="5">
        <v>-2.5069505232005e-26</v>
      </c>
      <c r="BC4" s="3">
        <v>15999999.999055</v>
      </c>
      <c r="BD4" s="3">
        <v>3999999.9998551</v>
      </c>
      <c r="BE4" s="5">
        <v>-7.4105879151069e-6</v>
      </c>
      <c r="BF4" s="5">
        <v>1.5553679301907e-5</v>
      </c>
      <c r="BG4" s="5">
        <v>4.4125565234489e-6</v>
      </c>
      <c r="BH4" s="5">
        <v>-6.9425035635433e-7</v>
      </c>
      <c r="BI4" s="3">
        <v>3.6995205152444</v>
      </c>
      <c r="BJ4" s="3">
        <v>1.8497661115461</v>
      </c>
      <c r="BK4" s="3">
        <v>3.4050780463608</v>
      </c>
      <c r="BL4" s="4"/>
      <c r="BM4" s="7"/>
    </row>
    <row r="5" spans="1:65">
      <c r="A5" s="3">
        <v>39.716411736214</v>
      </c>
      <c r="B5" s="5">
        <v>9.3827133243859e-11</v>
      </c>
      <c r="C5" s="6">
        <f t="shared" si="0"/>
        <v>3.91235395349254e-6</v>
      </c>
      <c r="D5" s="5">
        <v>3.0376647303547e-13</v>
      </c>
      <c r="E5" s="5">
        <v>3.6797743102295e-13</v>
      </c>
      <c r="F5" s="5">
        <v>3.6797743102295e-13</v>
      </c>
      <c r="G5" s="5">
        <v>3.6797743102295e-13</v>
      </c>
      <c r="H5" s="5">
        <v>3.0376647303547e-13</v>
      </c>
      <c r="I5" s="5">
        <v>3.0376647303547e-13</v>
      </c>
      <c r="J5" s="5">
        <v>3.0376647303547e-13</v>
      </c>
      <c r="K5" s="5">
        <v>3.2168508237534e-13</v>
      </c>
      <c r="L5" s="5">
        <v>3.2168508237534e-13</v>
      </c>
      <c r="M5" s="5">
        <v>3.2168508237534e-13</v>
      </c>
      <c r="N5" s="5">
        <v>3.3579056379847e-13</v>
      </c>
      <c r="O5" s="5">
        <v>3.0376647303547e-13</v>
      </c>
      <c r="P5" s="5">
        <v>3.3579056379847e-13</v>
      </c>
      <c r="Q5" s="5">
        <v>3.3579056379847e-13</v>
      </c>
      <c r="R5" s="5">
        <v>3.6797743102295e-13</v>
      </c>
      <c r="S5" s="5">
        <v>3.6797743102295e-13</v>
      </c>
      <c r="T5" s="5">
        <v>3.6797743102295e-13</v>
      </c>
      <c r="U5" s="5">
        <v>3.0376647303547e-13</v>
      </c>
      <c r="V5" s="5">
        <v>3.2168508237534e-13</v>
      </c>
      <c r="W5" s="5">
        <v>3.2168508237534e-13</v>
      </c>
      <c r="X5" s="5">
        <v>3.2168508237534e-13</v>
      </c>
      <c r="Y5" s="5">
        <v>3.3579056379847e-13</v>
      </c>
      <c r="Z5" s="5">
        <v>3.3579056379847e-13</v>
      </c>
      <c r="AA5" s="5">
        <v>3.3579056379847e-13</v>
      </c>
      <c r="AB5" s="3">
        <v>0.99999999684402</v>
      </c>
      <c r="AC5" s="3">
        <v>0.99999998999113</v>
      </c>
      <c r="AD5" s="3">
        <v>0.00015181015609726</v>
      </c>
      <c r="AE5" s="5">
        <v>-3.624729583962e-22</v>
      </c>
      <c r="AF5" s="5">
        <v>2.4632263831582e-21</v>
      </c>
      <c r="AG5" s="5">
        <v>2.2333083537964e-21</v>
      </c>
      <c r="AH5" s="5">
        <v>3.890118666984e-22</v>
      </c>
      <c r="AI5" s="5">
        <v>-4.935613100101e-23</v>
      </c>
      <c r="AJ5" s="5">
        <v>6.0432161764635e-22</v>
      </c>
      <c r="AK5" s="5">
        <v>2.6840146926456e-22</v>
      </c>
      <c r="AL5" s="5">
        <v>7.8151695886733e-22</v>
      </c>
      <c r="AM5" s="5">
        <v>-2.0579018268842e-22</v>
      </c>
      <c r="AN5" s="5">
        <v>5.0301977075153e-24</v>
      </c>
      <c r="AO5" s="5">
        <v>9.0977497070758e-22</v>
      </c>
      <c r="AP5" s="5">
        <v>-4.0416649173476e-23</v>
      </c>
      <c r="AQ5" s="5">
        <v>5.5055087760986e-22</v>
      </c>
      <c r="AR5" s="5">
        <v>-2.9226263085533e-21</v>
      </c>
      <c r="AS5" s="5">
        <v>-2.7926330696098e-22</v>
      </c>
      <c r="AT5" s="5">
        <v>3.8359561135191e-22</v>
      </c>
      <c r="AU5" s="5">
        <v>-9.0431406057582e-22</v>
      </c>
      <c r="AV5" s="5">
        <v>-5.9544969417033e-22</v>
      </c>
      <c r="AW5" s="5">
        <v>-1.6833638690603e-22</v>
      </c>
      <c r="AX5" s="5">
        <v>1.9790413744261e-21</v>
      </c>
      <c r="AY5" s="5">
        <v>3.4783004728954e-22</v>
      </c>
      <c r="AZ5" s="5">
        <v>-1.5065133447906e-21</v>
      </c>
      <c r="BA5" s="5">
        <v>1.2952064003449e-21</v>
      </c>
      <c r="BB5" s="5">
        <v>-4.6306520106168e-21</v>
      </c>
      <c r="BC5" s="3">
        <v>15999999.939889</v>
      </c>
      <c r="BD5" s="3">
        <v>3999999.9853508</v>
      </c>
      <c r="BE5" s="5">
        <v>-7.40944565324e-5</v>
      </c>
      <c r="BF5" s="3">
        <v>0.00015539987372915</v>
      </c>
      <c r="BG5" s="5">
        <v>4.4134960800484e-5</v>
      </c>
      <c r="BH5" s="5">
        <v>-6.9485681267612e-5</v>
      </c>
      <c r="BI5" s="3">
        <v>36.994604078527</v>
      </c>
      <c r="BJ5" s="3">
        <v>18.497886767539</v>
      </c>
      <c r="BK5" s="3">
        <v>34.048272838115</v>
      </c>
      <c r="BL5" s="4"/>
      <c r="BM5" s="7"/>
    </row>
    <row r="6" spans="1:65">
      <c r="A6" s="3">
        <v>397.16411736214</v>
      </c>
      <c r="B6" s="5">
        <v>7.2855627274831e-9</v>
      </c>
      <c r="C6" s="6">
        <f t="shared" si="0"/>
        <v>1.20190627024914e-6</v>
      </c>
      <c r="D6" s="5">
        <v>1.533462463705e-12</v>
      </c>
      <c r="E6" s="5">
        <v>1.8693261006384e-12</v>
      </c>
      <c r="F6" s="5">
        <v>1.869326092239e-12</v>
      </c>
      <c r="G6" s="5">
        <v>1.8693260717176e-12</v>
      </c>
      <c r="H6" s="5">
        <v>1.5334624347021e-12</v>
      </c>
      <c r="I6" s="5">
        <v>1.5334624429472e-12</v>
      </c>
      <c r="J6" s="5">
        <v>1.5334624375354e-12</v>
      </c>
      <c r="K6" s="5">
        <v>1.6167069175513e-12</v>
      </c>
      <c r="L6" s="5">
        <v>1.6167069383318e-12</v>
      </c>
      <c r="M6" s="5">
        <v>1.6167069120019e-12</v>
      </c>
      <c r="N6" s="5">
        <v>1.6991275775702e-12</v>
      </c>
      <c r="O6" s="5">
        <v>1.5334624351076e-12</v>
      </c>
      <c r="P6" s="5">
        <v>1.6991275671992e-12</v>
      </c>
      <c r="Q6" s="5">
        <v>1.6991276556244e-12</v>
      </c>
      <c r="R6" s="5">
        <v>1.8693260722746e-12</v>
      </c>
      <c r="S6" s="5">
        <v>1.8693260644958e-12</v>
      </c>
      <c r="T6" s="5">
        <v>1.8693260712218e-12</v>
      </c>
      <c r="U6" s="5">
        <v>1.5334624376026e-12</v>
      </c>
      <c r="V6" s="5">
        <v>1.6167069291694e-12</v>
      </c>
      <c r="W6" s="5">
        <v>1.6167069494716e-12</v>
      </c>
      <c r="X6" s="5">
        <v>1.6167069245241e-12</v>
      </c>
      <c r="Y6" s="5">
        <v>1.6991275758125e-12</v>
      </c>
      <c r="Z6" s="5">
        <v>1.6991276580211e-12</v>
      </c>
      <c r="AA6" s="5">
        <v>1.6991276823287e-12</v>
      </c>
      <c r="AB6" s="3">
        <v>0.95166450984993</v>
      </c>
      <c r="AC6" s="3">
        <v>0.87101860972612</v>
      </c>
      <c r="AD6" s="3">
        <v>0.00057200624697934</v>
      </c>
      <c r="AE6" s="5">
        <v>-7.896490608731e-14</v>
      </c>
      <c r="AF6" s="5">
        <v>4.3120396776653e-13</v>
      </c>
      <c r="AG6" s="5">
        <v>2.8238989094054e-13</v>
      </c>
      <c r="AH6" s="5">
        <v>9.7819787993669e-15</v>
      </c>
      <c r="AI6" s="5">
        <v>-8.850635255488e-15</v>
      </c>
      <c r="AJ6" s="5">
        <v>7.7227448876903e-14</v>
      </c>
      <c r="AK6" s="5">
        <v>1.2575556448653e-15</v>
      </c>
      <c r="AL6" s="5">
        <v>5.906604139707e-14</v>
      </c>
      <c r="AM6" s="5">
        <v>2.8143862426939e-14</v>
      </c>
      <c r="AN6" s="5">
        <v>-1.8021884045493e-14</v>
      </c>
      <c r="AO6" s="5">
        <v>8.771633329499e-14</v>
      </c>
      <c r="AP6" s="5">
        <v>1.089021726075e-15</v>
      </c>
      <c r="AQ6" s="5">
        <v>3.1308375925255e-14</v>
      </c>
      <c r="AR6" s="5">
        <v>-6.3358938593417e-13</v>
      </c>
      <c r="AS6" s="5">
        <v>-5.1368341762269e-14</v>
      </c>
      <c r="AT6" s="5">
        <v>2.0596809851433e-14</v>
      </c>
      <c r="AU6" s="5">
        <v>-7.7206628467946e-14</v>
      </c>
      <c r="AV6" s="5">
        <v>-5.5054982360526e-14</v>
      </c>
      <c r="AW6" s="5">
        <v>-4.0103114563986e-14</v>
      </c>
      <c r="AX6" s="5">
        <v>3.0614876079239e-13</v>
      </c>
      <c r="AY6" s="5">
        <v>5.9664886696693e-14</v>
      </c>
      <c r="AZ6" s="5">
        <v>-1.7791868663172e-13</v>
      </c>
      <c r="BA6" s="5">
        <v>4.3588482117566e-13</v>
      </c>
      <c r="BB6" s="5">
        <v>-1.2331463822207e-12</v>
      </c>
      <c r="BC6" s="3">
        <v>15999997.317794</v>
      </c>
      <c r="BD6" s="3">
        <v>3999999.0594031</v>
      </c>
      <c r="BE6" s="3">
        <v>-0.00027968213804018</v>
      </c>
      <c r="BF6" s="3">
        <v>0.00058501851240712</v>
      </c>
      <c r="BG6" s="3">
        <v>0.00016679719398027</v>
      </c>
      <c r="BH6" s="3">
        <v>-0.00097949112720002</v>
      </c>
      <c r="BI6" s="3">
        <v>139.71343490712</v>
      </c>
      <c r="BJ6" s="3">
        <v>69.864978885352</v>
      </c>
      <c r="BK6" s="3">
        <v>128.56012489656</v>
      </c>
      <c r="BL6" s="4"/>
      <c r="BM6" s="7"/>
    </row>
    <row r="7" spans="1:65">
      <c r="A7" s="3">
        <v>3971.6411736214</v>
      </c>
      <c r="B7" s="5">
        <v>9.3529753855086e-8</v>
      </c>
      <c r="C7" s="6">
        <f t="shared" si="0"/>
        <v>2.70910004501131e-11</v>
      </c>
      <c r="D7" s="5">
        <v>1.5334612888936e-12</v>
      </c>
      <c r="E7" s="5">
        <v>1.8693077476803e-12</v>
      </c>
      <c r="F7" s="5">
        <v>1.8693075887745e-12</v>
      </c>
      <c r="G7" s="5">
        <v>1.8693072007479e-12</v>
      </c>
      <c r="H7" s="5">
        <v>1.5334607412985e-12</v>
      </c>
      <c r="I7" s="5">
        <v>1.5334608969211e-12</v>
      </c>
      <c r="J7" s="5">
        <v>1.5334607946688e-12</v>
      </c>
      <c r="K7" s="5">
        <v>1.6166985867045e-12</v>
      </c>
      <c r="L7" s="5">
        <v>1.6166989792403e-12</v>
      </c>
      <c r="M7" s="5">
        <v>1.6166984820799e-12</v>
      </c>
      <c r="N7" s="5">
        <v>1.6991171051184e-12</v>
      </c>
      <c r="O7" s="5">
        <v>1.5334607489683e-12</v>
      </c>
      <c r="P7" s="5">
        <v>1.6991169094298e-12</v>
      </c>
      <c r="Q7" s="5">
        <v>1.6991185778582e-12</v>
      </c>
      <c r="R7" s="5">
        <v>1.8693072115735e-12</v>
      </c>
      <c r="S7" s="5">
        <v>1.8693070649014e-12</v>
      </c>
      <c r="T7" s="5">
        <v>1.8693071916898e-12</v>
      </c>
      <c r="U7" s="5">
        <v>1.5334607959338e-12</v>
      </c>
      <c r="V7" s="5">
        <v>1.6166988060518e-12</v>
      </c>
      <c r="W7" s="5">
        <v>1.6166991896323e-12</v>
      </c>
      <c r="X7" s="5">
        <v>1.6166987185766e-12</v>
      </c>
      <c r="Y7" s="5">
        <v>1.6991170721885e-12</v>
      </c>
      <c r="Z7" s="5">
        <v>1.699118625516e-12</v>
      </c>
      <c r="AA7" s="5">
        <v>1.6991190826959e-12</v>
      </c>
      <c r="AB7" s="3">
        <v>0.95168536435074</v>
      </c>
      <c r="AC7" s="3">
        <v>0.87103437512245</v>
      </c>
      <c r="AD7" s="3">
        <v>0.00057208551870703</v>
      </c>
      <c r="AE7" s="5">
        <v>-7.8924734972072e-14</v>
      </c>
      <c r="AF7" s="5">
        <v>4.3071718954531e-13</v>
      </c>
      <c r="AG7" s="5">
        <v>2.8227058718815e-13</v>
      </c>
      <c r="AH7" s="5">
        <v>9.8145027990011e-15</v>
      </c>
      <c r="AI7" s="5">
        <v>-8.8513295626008e-15</v>
      </c>
      <c r="AJ7" s="5">
        <v>7.7192412388706e-14</v>
      </c>
      <c r="AK7" s="5">
        <v>1.252968746879e-15</v>
      </c>
      <c r="AL7" s="5">
        <v>5.9036091229314e-14</v>
      </c>
      <c r="AM7" s="5">
        <v>2.8166204846357e-14</v>
      </c>
      <c r="AN7" s="5">
        <v>-1.8009875651194e-14</v>
      </c>
      <c r="AO7" s="5">
        <v>8.7573275385004e-14</v>
      </c>
      <c r="AP7" s="5">
        <v>1.0883739286389e-15</v>
      </c>
      <c r="AQ7" s="5">
        <v>3.1227549944527e-14</v>
      </c>
      <c r="AR7" s="5">
        <v>-6.2954906065415e-13</v>
      </c>
      <c r="AS7" s="5">
        <v>-5.128185670119e-14</v>
      </c>
      <c r="AT7" s="5">
        <v>2.0571968379294e-14</v>
      </c>
      <c r="AU7" s="5">
        <v>-7.7166549523484e-14</v>
      </c>
      <c r="AV7" s="5">
        <v>-5.5057379791053e-14</v>
      </c>
      <c r="AW7" s="5">
        <v>-4.0067394426579e-14</v>
      </c>
      <c r="AX7" s="5">
        <v>3.0586051145254e-13</v>
      </c>
      <c r="AY7" s="5">
        <v>5.964054534274e-14</v>
      </c>
      <c r="AZ7" s="5">
        <v>-1.7780187875736e-13</v>
      </c>
      <c r="BA7" s="5">
        <v>4.3484513742874e-13</v>
      </c>
      <c r="BB7" s="5">
        <v>-1.2276714273702e-12</v>
      </c>
      <c r="BC7" s="3">
        <v>15999968.288047</v>
      </c>
      <c r="BD7" s="3">
        <v>3999988.5815115</v>
      </c>
      <c r="BE7" s="3">
        <v>-0.00027968142161106</v>
      </c>
      <c r="BF7" s="3">
        <v>0.00058511534856666</v>
      </c>
      <c r="BG7" s="3">
        <v>0.00016684365794413</v>
      </c>
      <c r="BH7" s="3">
        <v>-0.00097968602812029</v>
      </c>
      <c r="BI7" s="3">
        <v>139.71343348086</v>
      </c>
      <c r="BJ7" s="3">
        <v>69.864979152256</v>
      </c>
      <c r="BK7" s="3">
        <v>128.55921370695</v>
      </c>
      <c r="BL7" s="4"/>
      <c r="BM7" s="7"/>
    </row>
    <row r="8" spans="1:65">
      <c r="A8" s="3">
        <v>39716.411736214</v>
      </c>
      <c r="B8" s="5">
        <v>9.5441983047366e-7</v>
      </c>
      <c r="C8" s="6">
        <f t="shared" si="0"/>
        <v>2.7047627291578e-11</v>
      </c>
      <c r="D8" s="5">
        <v>1.5334482673478e-12</v>
      </c>
      <c r="E8" s="5">
        <v>1.8691254020068e-12</v>
      </c>
      <c r="F8" s="5">
        <v>1.8691237636402e-12</v>
      </c>
      <c r="G8" s="5">
        <v>1.8691197113729e-12</v>
      </c>
      <c r="H8" s="5">
        <v>1.5334425435424e-12</v>
      </c>
      <c r="I8" s="5">
        <v>1.5334441696001e-12</v>
      </c>
      <c r="J8" s="5">
        <v>1.5334431016635e-12</v>
      </c>
      <c r="K8" s="5">
        <v>1.6166155075044e-12</v>
      </c>
      <c r="L8" s="5">
        <v>1.6166196083161e-12</v>
      </c>
      <c r="M8" s="5">
        <v>1.616614412933e-12</v>
      </c>
      <c r="N8" s="5">
        <v>1.6990116724612e-12</v>
      </c>
      <c r="O8" s="5">
        <v>1.5334426236883e-12</v>
      </c>
      <c r="P8" s="5">
        <v>1.6990096364474e-12</v>
      </c>
      <c r="Q8" s="5">
        <v>1.6990267969721e-12</v>
      </c>
      <c r="R8" s="5">
        <v>1.8691198192671e-12</v>
      </c>
      <c r="S8" s="5">
        <v>1.8691182898115e-12</v>
      </c>
      <c r="T8" s="5">
        <v>1.8691196155581e-12</v>
      </c>
      <c r="U8" s="5">
        <v>1.533443115793e-12</v>
      </c>
      <c r="V8" s="5">
        <v>1.6166177919603e-12</v>
      </c>
      <c r="W8" s="5">
        <v>1.6166217979116e-12</v>
      </c>
      <c r="X8" s="5">
        <v>1.6166168901305e-12</v>
      </c>
      <c r="Y8" s="5">
        <v>1.6990113376387e-12</v>
      </c>
      <c r="Z8" s="5">
        <v>1.6990274713495e-12</v>
      </c>
      <c r="AA8" s="5">
        <v>1.6990320509757e-12</v>
      </c>
      <c r="AB8" s="3">
        <v>0.95189165773681</v>
      </c>
      <c r="AC8" s="3">
        <v>0.87119345968467</v>
      </c>
      <c r="AD8" s="3">
        <v>0.00057287656431482</v>
      </c>
      <c r="AE8" s="5">
        <v>-7.8517641651478e-14</v>
      </c>
      <c r="AF8" s="5">
        <v>4.2593973830261e-13</v>
      </c>
      <c r="AG8" s="5">
        <v>2.8107870342592e-13</v>
      </c>
      <c r="AH8" s="5">
        <v>1.0135155263063e-14</v>
      </c>
      <c r="AI8" s="5">
        <v>-8.8579206998768e-15</v>
      </c>
      <c r="AJ8" s="5">
        <v>7.6841816047377e-14</v>
      </c>
      <c r="AK8" s="5">
        <v>1.2091776032435e-15</v>
      </c>
      <c r="AL8" s="5">
        <v>5.8742711916423e-14</v>
      </c>
      <c r="AM8" s="5">
        <v>2.8402490721136e-14</v>
      </c>
      <c r="AN8" s="5">
        <v>-1.7890090793711e-14</v>
      </c>
      <c r="AO8" s="5">
        <v>8.6175656262606e-14</v>
      </c>
      <c r="AP8" s="5">
        <v>1.0819435527886e-15</v>
      </c>
      <c r="AQ8" s="5">
        <v>3.0464565527145e-14</v>
      </c>
      <c r="AR8" s="5">
        <v>-5.9298862986732e-13</v>
      </c>
      <c r="AS8" s="5">
        <v>-5.0433297587662e-14</v>
      </c>
      <c r="AT8" s="5">
        <v>2.0327866652366e-14</v>
      </c>
      <c r="AU8" s="5">
        <v>-7.6767190827539e-14</v>
      </c>
      <c r="AV8" s="5">
        <v>-5.5080194897741e-14</v>
      </c>
      <c r="AW8" s="5">
        <v>-3.9710458699384e-14</v>
      </c>
      <c r="AX8" s="5">
        <v>3.030234908195e-13</v>
      </c>
      <c r="AY8" s="5">
        <v>5.9397346778952e-14</v>
      </c>
      <c r="AZ8" s="5">
        <v>-1.7664231953459e-13</v>
      </c>
      <c r="BA8" s="5">
        <v>4.2477282412293e-13</v>
      </c>
      <c r="BB8" s="5">
        <v>-1.1775099317966e-12</v>
      </c>
      <c r="BC8" s="3">
        <v>15999677.447061</v>
      </c>
      <c r="BD8" s="3">
        <v>3999883.6500461</v>
      </c>
      <c r="BE8" s="3">
        <v>-0.00027967284164705</v>
      </c>
      <c r="BF8" s="3">
        <v>0.00058608215979846</v>
      </c>
      <c r="BG8" s="3">
        <v>0.00016730839861256</v>
      </c>
      <c r="BH8" s="3">
        <v>-0.00098032000058498</v>
      </c>
      <c r="BI8" s="3">
        <v>139.71342484075</v>
      </c>
      <c r="BJ8" s="3">
        <v>69.864982442828</v>
      </c>
      <c r="BK8" s="3">
        <v>128.55010827589</v>
      </c>
      <c r="BL8" s="4"/>
      <c r="BM8" s="7"/>
    </row>
    <row r="9" spans="1:65">
      <c r="A9" s="3">
        <v>397164.11736214</v>
      </c>
      <c r="B9" s="5">
        <v>9.4528596964639e-6</v>
      </c>
      <c r="C9" s="6">
        <f t="shared" si="0"/>
        <v>2.67398434275662e-11</v>
      </c>
      <c r="D9" s="5">
        <v>1.5332425219217e-12</v>
      </c>
      <c r="E9" s="5">
        <v>1.8673797950513e-12</v>
      </c>
      <c r="F9" s="5">
        <v>1.8673655472698e-12</v>
      </c>
      <c r="G9" s="5">
        <v>1.8673259517682e-12</v>
      </c>
      <c r="H9" s="5">
        <v>1.5331860060859e-12</v>
      </c>
      <c r="I9" s="5">
        <v>1.533202005493e-12</v>
      </c>
      <c r="J9" s="5">
        <v>1.5331915492049e-12</v>
      </c>
      <c r="K9" s="5">
        <v>1.6158076422937e-12</v>
      </c>
      <c r="L9" s="5">
        <v>1.615847917667e-12</v>
      </c>
      <c r="M9" s="5">
        <v>1.615796714838e-12</v>
      </c>
      <c r="N9" s="5">
        <v>1.6979180332378e-12</v>
      </c>
      <c r="O9" s="5">
        <v>1.5331867931167e-12</v>
      </c>
      <c r="P9" s="5">
        <v>1.6978987426345e-12</v>
      </c>
      <c r="Q9" s="5">
        <v>1.6980504897362e-12</v>
      </c>
      <c r="R9" s="5">
        <v>1.8673264961428e-12</v>
      </c>
      <c r="S9" s="5">
        <v>1.8673117030128e-12</v>
      </c>
      <c r="T9" s="5">
        <v>1.8673248468987e-12</v>
      </c>
      <c r="U9" s="5">
        <v>1.5331917807999e-12</v>
      </c>
      <c r="V9" s="5">
        <v>1.6158294235178e-12</v>
      </c>
      <c r="W9" s="5">
        <v>1.6158687188037e-12</v>
      </c>
      <c r="X9" s="5">
        <v>1.6158216761363e-12</v>
      </c>
      <c r="Y9" s="5">
        <v>1.6979154611058e-12</v>
      </c>
      <c r="Z9" s="5">
        <v>1.6980661991918e-12</v>
      </c>
      <c r="AA9" s="5">
        <v>1.6981011422651e-12</v>
      </c>
      <c r="AB9" s="3">
        <v>0.95373532918996</v>
      </c>
      <c r="AC9" s="3">
        <v>0.87284205492877</v>
      </c>
      <c r="AD9" s="3">
        <v>0.00058067204626961</v>
      </c>
      <c r="AE9" s="5">
        <v>-7.4227338059656e-14</v>
      </c>
      <c r="AF9" s="5">
        <v>3.8561140585331e-13</v>
      </c>
      <c r="AG9" s="5">
        <v>2.694459814426e-13</v>
      </c>
      <c r="AH9" s="5">
        <v>1.2971147247411e-14</v>
      </c>
      <c r="AI9" s="5">
        <v>-8.899310140339e-15</v>
      </c>
      <c r="AJ9" s="5">
        <v>7.3415140429157e-14</v>
      </c>
      <c r="AK9" s="5">
        <v>9.2072267325671e-16</v>
      </c>
      <c r="AL9" s="5">
        <v>5.6313414036008e-14</v>
      </c>
      <c r="AM9" s="5">
        <v>3.1530658326787e-14</v>
      </c>
      <c r="AN9" s="5">
        <v>-1.6727336617919e-14</v>
      </c>
      <c r="AO9" s="5">
        <v>7.4817269718101e-14</v>
      </c>
      <c r="AP9" s="5">
        <v>1.0262161910733e-15</v>
      </c>
      <c r="AQ9" s="5">
        <v>2.5523911391661e-14</v>
      </c>
      <c r="AR9" s="5">
        <v>-4.1137499696914e-13</v>
      </c>
      <c r="AS9" s="5">
        <v>-4.3296335869078e-14</v>
      </c>
      <c r="AT9" s="5">
        <v>1.8240829770587e-14</v>
      </c>
      <c r="AU9" s="5">
        <v>-7.2928470613409e-14</v>
      </c>
      <c r="AV9" s="5">
        <v>-5.5230331921459e-14</v>
      </c>
      <c r="AW9" s="5">
        <v>-3.631423552642e-14</v>
      </c>
      <c r="AX9" s="5">
        <v>2.786240762695e-13</v>
      </c>
      <c r="AY9" s="5">
        <v>5.7028055667272e-14</v>
      </c>
      <c r="AZ9" s="5">
        <v>-1.6591809275027e-13</v>
      </c>
      <c r="BA9" s="5">
        <v>3.4824059130011e-13</v>
      </c>
      <c r="BB9" s="5">
        <v>-9.0461894041222e-13</v>
      </c>
      <c r="BC9" s="3">
        <v>15996732.933422</v>
      </c>
      <c r="BD9" s="3">
        <v>3998823.8337798</v>
      </c>
      <c r="BE9" s="3">
        <v>-0.00027948647183295</v>
      </c>
      <c r="BF9" s="3">
        <v>0.00059564025548044</v>
      </c>
      <c r="BG9" s="3">
        <v>0.00017196018852964</v>
      </c>
      <c r="BH9" s="3">
        <v>-0.00099416578536898</v>
      </c>
      <c r="BI9" s="3">
        <v>139.71335642074</v>
      </c>
      <c r="BJ9" s="3">
        <v>69.865008436073</v>
      </c>
      <c r="BK9" s="3">
        <v>128.45944106863</v>
      </c>
      <c r="BL9" s="4"/>
      <c r="BM9" s="7"/>
    </row>
    <row r="10" spans="1:65">
      <c r="A10" s="3">
        <v>44562.546906687</v>
      </c>
      <c r="B10" s="5">
        <v>1.0708737701898e-6</v>
      </c>
      <c r="C10" s="6">
        <f t="shared" si="0"/>
        <v>2.67364722167084e-11</v>
      </c>
      <c r="D10" s="5">
        <v>1.533441634009e-12</v>
      </c>
      <c r="E10" s="5">
        <v>1.8690456228945e-12</v>
      </c>
      <c r="F10" s="5">
        <v>1.8690433486233e-12</v>
      </c>
      <c r="G10" s="5">
        <v>1.8690376893631e-12</v>
      </c>
      <c r="H10" s="5">
        <v>1.5334336366328e-12</v>
      </c>
      <c r="I10" s="5">
        <v>1.5334359082077e-12</v>
      </c>
      <c r="J10" s="5">
        <v>1.5334344166598e-12</v>
      </c>
      <c r="K10" s="5">
        <v>1.6165788506264e-12</v>
      </c>
      <c r="L10" s="5">
        <v>1.6165845787401e-12</v>
      </c>
      <c r="M10" s="5">
        <v>1.6165773205835e-12</v>
      </c>
      <c r="N10" s="5">
        <v>1.6989646246381e-12</v>
      </c>
      <c r="O10" s="5">
        <v>1.5334337485973e-12</v>
      </c>
      <c r="P10" s="5">
        <v>1.6989617860475e-12</v>
      </c>
      <c r="Q10" s="5">
        <v>1.6989855915826e-12</v>
      </c>
      <c r="R10" s="5">
        <v>1.8690378365059e-12</v>
      </c>
      <c r="S10" s="5">
        <v>1.8690357018561e-12</v>
      </c>
      <c r="T10" s="5">
        <v>1.86903755459e-12</v>
      </c>
      <c r="U10" s="5">
        <v>1.5334344370064e-12</v>
      </c>
      <c r="V10" s="5">
        <v>1.6165820370442e-12</v>
      </c>
      <c r="W10" s="5">
        <v>1.6165876318364e-12</v>
      </c>
      <c r="X10" s="5">
        <v>1.6165807851654e-12</v>
      </c>
      <c r="Y10" s="5">
        <v>1.698964162792e-12</v>
      </c>
      <c r="Z10" s="5">
        <v>1.6989866379568e-12</v>
      </c>
      <c r="AA10" s="5">
        <v>1.6989929185901e-12</v>
      </c>
      <c r="AB10" s="3">
        <v>0.95198107161451</v>
      </c>
      <c r="AC10" s="3">
        <v>0.87126427816624</v>
      </c>
      <c r="AD10" s="3">
        <v>0.0005729834905067</v>
      </c>
      <c r="AE10" s="5">
        <v>-7.8335297666733e-14</v>
      </c>
      <c r="AF10" s="5">
        <v>4.2388752775273e-13</v>
      </c>
      <c r="AG10" s="5">
        <v>2.8055443055536e-13</v>
      </c>
      <c r="AH10" s="5">
        <v>1.0273652180286e-14</v>
      </c>
      <c r="AI10" s="5">
        <v>-8.8606120887198e-15</v>
      </c>
      <c r="AJ10" s="5">
        <v>7.6687338737321e-14</v>
      </c>
      <c r="AK10" s="5">
        <v>1.1911366954486e-15</v>
      </c>
      <c r="AL10" s="5">
        <v>5.8616973741435e-14</v>
      </c>
      <c r="AM10" s="5">
        <v>2.8513134855783e-14</v>
      </c>
      <c r="AN10" s="5">
        <v>-1.7837433619619e-14</v>
      </c>
      <c r="AO10" s="5">
        <v>8.5579252965101e-14</v>
      </c>
      <c r="AP10" s="5">
        <v>1.0791356173733e-15</v>
      </c>
      <c r="AQ10" s="5">
        <v>3.015316244759e-14</v>
      </c>
      <c r="AR10" s="5">
        <v>-5.788851846454e-13</v>
      </c>
      <c r="AS10" s="5">
        <v>-5.0068961082034e-14</v>
      </c>
      <c r="AT10" s="5">
        <v>2.0222845752003e-14</v>
      </c>
      <c r="AU10" s="5">
        <v>-7.6592137966433e-14</v>
      </c>
      <c r="AV10" s="5">
        <v>-5.5089539577522e-14</v>
      </c>
      <c r="AW10" s="5">
        <v>-3.9553623034382e-14</v>
      </c>
      <c r="AX10" s="5">
        <v>3.0180095202927e-13</v>
      </c>
      <c r="AY10" s="5">
        <v>5.9290500106633e-14</v>
      </c>
      <c r="AZ10" s="5">
        <v>-1.7613652751228e-13</v>
      </c>
      <c r="BA10" s="5">
        <v>4.2052347431513e-13</v>
      </c>
      <c r="BB10" s="5">
        <v>-1.1578210426534e-12</v>
      </c>
      <c r="BC10" s="3">
        <v>15999637.927601</v>
      </c>
      <c r="BD10" s="3">
        <v>3999869.3988651</v>
      </c>
      <c r="BE10" s="3">
        <v>-0.00027967145182541</v>
      </c>
      <c r="BF10" s="3">
        <v>0.00058621293338839</v>
      </c>
      <c r="BG10" s="3">
        <v>0.00016737141253168</v>
      </c>
      <c r="BH10" s="3">
        <v>-0.00098029793035002</v>
      </c>
      <c r="BI10" s="3">
        <v>139.71342377161</v>
      </c>
      <c r="BJ10" s="3">
        <v>69.864982932652</v>
      </c>
      <c r="BK10" s="3">
        <v>128.54886930315</v>
      </c>
      <c r="BL10" s="4"/>
      <c r="BM10" s="7"/>
    </row>
    <row r="11" spans="1:65">
      <c r="A11" s="3">
        <v>50000</v>
      </c>
      <c r="B11" s="5">
        <v>1.201475347265e-6</v>
      </c>
      <c r="C11" s="6">
        <f t="shared" si="0"/>
        <v>2.69820174670448e-11</v>
      </c>
      <c r="D11" s="5">
        <v>1.5334386866361e-12</v>
      </c>
      <c r="E11" s="5">
        <v>1.8690115432473e-12</v>
      </c>
      <c r="F11" s="5">
        <v>1.869008999437e-12</v>
      </c>
      <c r="G11" s="5">
        <v>1.8690026510747e-12</v>
      </c>
      <c r="H11" s="5">
        <v>1.5334297134573e-12</v>
      </c>
      <c r="I11" s="5">
        <v>1.5334322620069e-12</v>
      </c>
      <c r="J11" s="5">
        <v>1.533430588773e-12</v>
      </c>
      <c r="K11" s="5">
        <v>1.6165632063215e-12</v>
      </c>
      <c r="L11" s="5">
        <v>1.6165696324494e-12</v>
      </c>
      <c r="M11" s="5">
        <v>1.6165614892259e-12</v>
      </c>
      <c r="N11" s="5">
        <v>1.6989443906052e-12</v>
      </c>
      <c r="O11" s="5">
        <v>1.5334298390779e-12</v>
      </c>
      <c r="P11" s="5">
        <v>1.6989412089515e-12</v>
      </c>
      <c r="Q11" s="5">
        <v>1.6989678303732e-12</v>
      </c>
      <c r="R11" s="5">
        <v>1.8690028142188e-12</v>
      </c>
      <c r="S11" s="5">
        <v>1.8690004203502e-12</v>
      </c>
      <c r="T11" s="5">
        <v>1.8690024993545e-12</v>
      </c>
      <c r="U11" s="5">
        <v>1.5334306119252e-12</v>
      </c>
      <c r="V11" s="5">
        <v>1.6165667786229e-12</v>
      </c>
      <c r="W11" s="5">
        <v>1.6165730547558e-12</v>
      </c>
      <c r="X11" s="5">
        <v>1.6165653783621e-12</v>
      </c>
      <c r="Y11" s="5">
        <v>1.6989438755711e-12</v>
      </c>
      <c r="Z11" s="5">
        <v>1.6989690573231e-12</v>
      </c>
      <c r="AA11" s="5">
        <v>1.698976044231e-12</v>
      </c>
      <c r="AB11" s="3">
        <v>0.95201913058273</v>
      </c>
      <c r="AC11" s="3">
        <v>0.87129481270194</v>
      </c>
      <c r="AD11" s="3">
        <v>0.00057310343521175</v>
      </c>
      <c r="AE11" s="5">
        <v>-7.8256301745574e-14</v>
      </c>
      <c r="AF11" s="5">
        <v>4.230165771285e-13</v>
      </c>
      <c r="AG11" s="5">
        <v>2.803292439466e-13</v>
      </c>
      <c r="AH11" s="5">
        <v>1.033260472041e-14</v>
      </c>
      <c r="AI11" s="5">
        <v>-8.8617254111817e-15</v>
      </c>
      <c r="AJ11" s="5">
        <v>7.6620910469101e-14</v>
      </c>
      <c r="AK11" s="5">
        <v>1.1836194059109e-15</v>
      </c>
      <c r="AL11" s="5">
        <v>5.8563692719027e-14</v>
      </c>
      <c r="AM11" s="5">
        <v>2.8562588905452e-14</v>
      </c>
      <c r="AN11" s="5">
        <v>-1.7814868795716e-14</v>
      </c>
      <c r="AO11" s="5">
        <v>8.5326877071643e-14</v>
      </c>
      <c r="AP11" s="5">
        <v>1.0779424551266e-15</v>
      </c>
      <c r="AQ11" s="5">
        <v>3.0024135328407e-14</v>
      </c>
      <c r="AR11" s="5">
        <v>-5.7319288097023e-13</v>
      </c>
      <c r="AS11" s="5">
        <v>-4.9914384467722e-14</v>
      </c>
      <c r="AT11" s="5">
        <v>2.0178238150648e-14</v>
      </c>
      <c r="AU11" s="5">
        <v>-7.651708227865e-14</v>
      </c>
      <c r="AV11" s="5">
        <v>-5.5093413393022e-14</v>
      </c>
      <c r="AW11" s="5">
        <v>-3.9486272430899e-14</v>
      </c>
      <c r="AX11" s="5">
        <v>3.0128087947292e-13</v>
      </c>
      <c r="AY11" s="5">
        <v>5.9244586070677e-14</v>
      </c>
      <c r="AZ11" s="5">
        <v>-1.7592027114867e-13</v>
      </c>
      <c r="BA11" s="5">
        <v>4.1873506130201e-13</v>
      </c>
      <c r="BB11" s="5">
        <v>-1.1498076391331e-12</v>
      </c>
      <c r="BC11" s="3">
        <v>15999593.565331</v>
      </c>
      <c r="BD11" s="3">
        <v>3999853.4028799</v>
      </c>
      <c r="BE11" s="3">
        <v>-0.0002796698297557</v>
      </c>
      <c r="BF11" s="3">
        <v>0.00058635964684273</v>
      </c>
      <c r="BG11" s="3">
        <v>0.00016744212859712</v>
      </c>
      <c r="BH11" s="3">
        <v>-0.00098037515030213</v>
      </c>
      <c r="BI11" s="3">
        <v>139.71342251285</v>
      </c>
      <c r="BJ11" s="3">
        <v>69.86498343526</v>
      </c>
      <c r="BK11" s="3">
        <v>128.54748394891</v>
      </c>
      <c r="BL11" s="4"/>
      <c r="BM11" s="7"/>
    </row>
    <row r="12" spans="1:65">
      <c r="A12" s="3">
        <v>56100.922715098</v>
      </c>
      <c r="B12" s="5">
        <v>1.347936491242e-6</v>
      </c>
      <c r="C12" s="6">
        <f t="shared" si="0"/>
        <v>2.69696635039705e-11</v>
      </c>
      <c r="D12" s="5">
        <v>1.5334352980903e-12</v>
      </c>
      <c r="E12" s="5">
        <v>1.8689733882485e-12</v>
      </c>
      <c r="F12" s="5">
        <v>1.8689705440818e-12</v>
      </c>
      <c r="G12" s="5">
        <v>1.8689634234816e-12</v>
      </c>
      <c r="H12" s="5">
        <v>1.5334252308899e-12</v>
      </c>
      <c r="I12" s="5">
        <v>1.5334280899224e-12</v>
      </c>
      <c r="J12" s="5">
        <v>1.5334262130666e-12</v>
      </c>
      <c r="K12" s="5">
        <v>1.6165456751101e-12</v>
      </c>
      <c r="L12" s="5">
        <v>1.6165528836104e-12</v>
      </c>
      <c r="M12" s="5">
        <v>1.6165437482066e-12</v>
      </c>
      <c r="N12" s="5">
        <v>1.6989216435513e-12</v>
      </c>
      <c r="O12" s="5">
        <v>1.5334253718188e-12</v>
      </c>
      <c r="P12" s="5">
        <v>1.6989180780392e-12</v>
      </c>
      <c r="Q12" s="5">
        <v>1.6989478376869e-12</v>
      </c>
      <c r="R12" s="5">
        <v>1.8689636041001e-12</v>
      </c>
      <c r="S12" s="5">
        <v>1.8689609198969e-12</v>
      </c>
      <c r="T12" s="5">
        <v>1.8689632526338e-12</v>
      </c>
      <c r="U12" s="5">
        <v>1.5334262394427e-12</v>
      </c>
      <c r="V12" s="5">
        <v>1.6165496793534e-12</v>
      </c>
      <c r="W12" s="5">
        <v>1.6165567190865e-12</v>
      </c>
      <c r="X12" s="5">
        <v>1.6165481137708e-12</v>
      </c>
      <c r="Y12" s="5">
        <v>1.698921069605e-12</v>
      </c>
      <c r="Z12" s="5">
        <v>1.6989492776397e-12</v>
      </c>
      <c r="AA12" s="5">
        <v>1.6989570443976e-12</v>
      </c>
      <c r="AB12" s="3">
        <v>0.95206163540162</v>
      </c>
      <c r="AC12" s="3">
        <v>0.87132914371244</v>
      </c>
      <c r="AD12" s="3">
        <v>0.00057323793412545</v>
      </c>
      <c r="AE12" s="5">
        <v>-7.8167357122085e-14</v>
      </c>
      <c r="AF12" s="5">
        <v>4.2204616468709e-13</v>
      </c>
      <c r="AG12" s="5">
        <v>2.8007673927298e-13</v>
      </c>
      <c r="AH12" s="5">
        <v>1.0398402463508e-14</v>
      </c>
      <c r="AI12" s="5">
        <v>-8.8629497329346e-15</v>
      </c>
      <c r="AJ12" s="5">
        <v>7.6546399747479e-14</v>
      </c>
      <c r="AK12" s="5">
        <v>1.175332838253e-15</v>
      </c>
      <c r="AL12" s="5">
        <v>5.8504372885677e-14</v>
      </c>
      <c r="AM12" s="5">
        <v>2.8618936479943e-14</v>
      </c>
      <c r="AN12" s="5">
        <v>-1.7789577688929e-14</v>
      </c>
      <c r="AO12" s="5">
        <v>8.5046152475602e-14</v>
      </c>
      <c r="AP12" s="5">
        <v>1.0766101499794e-15</v>
      </c>
      <c r="AQ12" s="5">
        <v>2.9882192711268e-14</v>
      </c>
      <c r="AR12" s="5">
        <v>-5.6701742442412e-13</v>
      </c>
      <c r="AS12" s="5">
        <v>-4.9742180039253e-14</v>
      </c>
      <c r="AT12" s="5">
        <v>2.0128512514695e-14</v>
      </c>
      <c r="AU12" s="5">
        <v>-7.6432991170041e-14</v>
      </c>
      <c r="AV12" s="5">
        <v>-5.5097679031132e-14</v>
      </c>
      <c r="AW12" s="5">
        <v>-3.9410796339484e-14</v>
      </c>
      <c r="AX12" s="5">
        <v>3.007008717364e-13</v>
      </c>
      <c r="AY12" s="5">
        <v>5.9193106177305e-14</v>
      </c>
      <c r="AZ12" s="5">
        <v>-1.756783446911e-13</v>
      </c>
      <c r="BA12" s="5">
        <v>4.1675170751067e-13</v>
      </c>
      <c r="BB12" s="5">
        <v>-1.1410746669373e-12</v>
      </c>
      <c r="BC12" s="3">
        <v>15999543.7646</v>
      </c>
      <c r="BD12" s="3">
        <v>3999835.4478265</v>
      </c>
      <c r="BE12" s="3">
        <v>-0.000279667941321</v>
      </c>
      <c r="BF12" s="3">
        <v>0.00058652418667542</v>
      </c>
      <c r="BG12" s="3">
        <v>0.00016752147743016</v>
      </c>
      <c r="BH12" s="3">
        <v>-0.00098046066073789</v>
      </c>
      <c r="BI12" s="3">
        <v>139.71342111014</v>
      </c>
      <c r="BJ12" s="3">
        <v>69.864983998328</v>
      </c>
      <c r="BK12" s="3">
        <v>128.54592968987</v>
      </c>
      <c r="BL12" s="4"/>
      <c r="BM12" s="7"/>
    </row>
    <row r="13" spans="1:65">
      <c r="A13" s="3">
        <v>62946.270589709</v>
      </c>
      <c r="B13" s="5">
        <v>1.5121748862659e-6</v>
      </c>
      <c r="C13" s="6">
        <f t="shared" si="0"/>
        <v>2.69561205537055e-11</v>
      </c>
      <c r="D13" s="5">
        <v>1.5334313971962e-12</v>
      </c>
      <c r="E13" s="5">
        <v>1.868930678382e-12</v>
      </c>
      <c r="F13" s="5">
        <v>1.8689274997886e-12</v>
      </c>
      <c r="G13" s="5">
        <v>1.8689195139174e-12</v>
      </c>
      <c r="H13" s="5">
        <v>1.5334201035496e-12</v>
      </c>
      <c r="I13" s="5">
        <v>1.5334233105875e-12</v>
      </c>
      <c r="J13" s="5">
        <v>1.5334212055573e-12</v>
      </c>
      <c r="K13" s="5">
        <v>1.6165260320645e-12</v>
      </c>
      <c r="L13" s="5">
        <v>1.6165341173799e-12</v>
      </c>
      <c r="M13" s="5">
        <v>1.6165238698383e-12</v>
      </c>
      <c r="N13" s="5">
        <v>1.6988960672898e-12</v>
      </c>
      <c r="O13" s="5">
        <v>1.5334202616368e-12</v>
      </c>
      <c r="P13" s="5">
        <v>1.6988920724111e-12</v>
      </c>
      <c r="Q13" s="5">
        <v>1.6989253272923e-12</v>
      </c>
      <c r="R13" s="5">
        <v>1.8689197135409e-12</v>
      </c>
      <c r="S13" s="5">
        <v>1.8689167042199e-12</v>
      </c>
      <c r="T13" s="5">
        <v>1.8689193214641e-12</v>
      </c>
      <c r="U13" s="5">
        <v>1.5334212356467e-12</v>
      </c>
      <c r="V13" s="5">
        <v>1.6165305196672e-12</v>
      </c>
      <c r="W13" s="5">
        <v>1.6165384150788e-12</v>
      </c>
      <c r="X13" s="5">
        <v>1.6165287700503e-12</v>
      </c>
      <c r="Y13" s="5">
        <v>1.6988954281909e-12</v>
      </c>
      <c r="Z13" s="5">
        <v>1.698927018627e-12</v>
      </c>
      <c r="AA13" s="5">
        <v>1.6989356453116e-12</v>
      </c>
      <c r="AB13" s="3">
        <v>0.9521090785661</v>
      </c>
      <c r="AC13" s="3">
        <v>0.87136774670086</v>
      </c>
      <c r="AD13" s="3">
        <v>0.00057338874457649</v>
      </c>
      <c r="AE13" s="5">
        <v>-7.8067194706534e-14</v>
      </c>
      <c r="AF13" s="5">
        <v>4.2096580785338e-13</v>
      </c>
      <c r="AG13" s="5">
        <v>2.7979363762699e-13</v>
      </c>
      <c r="AH13" s="5">
        <v>1.0471796874295e-14</v>
      </c>
      <c r="AI13" s="5">
        <v>-8.8642929555622e-15</v>
      </c>
      <c r="AJ13" s="5">
        <v>7.6462834603597e-14</v>
      </c>
      <c r="AK13" s="5">
        <v>1.1662172174301e-15</v>
      </c>
      <c r="AL13" s="5">
        <v>5.8438389910357e-14</v>
      </c>
      <c r="AM13" s="5">
        <v>2.868320020663e-14</v>
      </c>
      <c r="AN13" s="5">
        <v>-1.7761234826733e-14</v>
      </c>
      <c r="AO13" s="5">
        <v>8.4734205818393e-14</v>
      </c>
      <c r="AP13" s="5">
        <v>1.075123690575e-15</v>
      </c>
      <c r="AQ13" s="5">
        <v>2.9726356966799e-14</v>
      </c>
      <c r="AR13" s="5">
        <v>-5.6033995160017e-13</v>
      </c>
      <c r="AS13" s="5">
        <v>-4.9550496748126e-14</v>
      </c>
      <c r="AT13" s="5">
        <v>2.0073123113756e-14</v>
      </c>
      <c r="AU13" s="5">
        <v>-7.6338794836275e-14</v>
      </c>
      <c r="AV13" s="5">
        <v>-5.5102366245399e-14</v>
      </c>
      <c r="AW13" s="5">
        <v>-3.9326239097593e-14</v>
      </c>
      <c r="AX13" s="5">
        <v>3.0005449151335e-13</v>
      </c>
      <c r="AY13" s="5">
        <v>5.9135393981922e-14</v>
      </c>
      <c r="AZ13" s="5">
        <v>-1.7540780412128e-13</v>
      </c>
      <c r="BA13" s="5">
        <v>4.1455506565715e-13</v>
      </c>
      <c r="BB13" s="5">
        <v>-1.1315843689398e-12</v>
      </c>
      <c r="BC13" s="3">
        <v>15999487.856063</v>
      </c>
      <c r="BD13" s="3">
        <v>3999815.2929991</v>
      </c>
      <c r="BE13" s="3">
        <v>-0.00027966573818586</v>
      </c>
      <c r="BF13" s="3">
        <v>0.00058670871069796</v>
      </c>
      <c r="BG13" s="3">
        <v>0.00016761051315359</v>
      </c>
      <c r="BH13" s="3">
        <v>-0.00098055522764211</v>
      </c>
      <c r="BI13" s="3">
        <v>139.71341954798</v>
      </c>
      <c r="BJ13" s="3">
        <v>69.864984629046</v>
      </c>
      <c r="BK13" s="3">
        <v>128.54418595795</v>
      </c>
      <c r="BL13" s="4"/>
      <c r="BM13" s="7"/>
    </row>
    <row r="14" spans="1:65">
      <c r="A14" s="3">
        <v>70626.877231138</v>
      </c>
      <c r="B14" s="5">
        <v>1.6963384553901e-6</v>
      </c>
      <c r="C14" s="6">
        <f t="shared" si="0"/>
        <v>2.69413052861956e-11</v>
      </c>
      <c r="D14" s="5">
        <v>1.5334269008487e-12</v>
      </c>
      <c r="E14" s="5">
        <v>1.8688828789854e-12</v>
      </c>
      <c r="F14" s="5">
        <v>1.8688793283643e-12</v>
      </c>
      <c r="G14" s="5">
        <v>1.8688703731488e-12</v>
      </c>
      <c r="H14" s="5">
        <v>1.5334142324492e-12</v>
      </c>
      <c r="I14" s="5">
        <v>1.5334178294997e-12</v>
      </c>
      <c r="J14" s="5">
        <v>1.5334154688226e-12</v>
      </c>
      <c r="K14" s="5">
        <v>1.6165040260422e-12</v>
      </c>
      <c r="L14" s="5">
        <v>1.616513093877e-12</v>
      </c>
      <c r="M14" s="5">
        <v>1.6165015998856e-12</v>
      </c>
      <c r="N14" s="5">
        <v>1.6988673052094e-12</v>
      </c>
      <c r="O14" s="5">
        <v>1.5334144097657e-12</v>
      </c>
      <c r="P14" s="5">
        <v>1.6988628302327e-12</v>
      </c>
      <c r="Q14" s="5">
        <v>1.6988999753246e-12</v>
      </c>
      <c r="R14" s="5">
        <v>1.868870593342e-12</v>
      </c>
      <c r="S14" s="5">
        <v>1.8688672200366e-12</v>
      </c>
      <c r="T14" s="5">
        <v>1.8688701562695e-12</v>
      </c>
      <c r="U14" s="5">
        <v>1.5334155031991e-12</v>
      </c>
      <c r="V14" s="5">
        <v>1.6165090543693e-12</v>
      </c>
      <c r="W14" s="5">
        <v>1.6165179085009e-12</v>
      </c>
      <c r="X14" s="5">
        <v>1.6165071000896e-12</v>
      </c>
      <c r="Y14" s="5">
        <v>1.6988665941797e-12</v>
      </c>
      <c r="Z14" s="5">
        <v>1.6989019633914e-12</v>
      </c>
      <c r="AA14" s="5">
        <v>1.6989115369857e-12</v>
      </c>
      <c r="AB14" s="3">
        <v>0.95216200038966</v>
      </c>
      <c r="AC14" s="3">
        <v>0.87141115634849</v>
      </c>
      <c r="AD14" s="3">
        <v>0.00057355783436385</v>
      </c>
      <c r="AE14" s="5">
        <v>-7.7954384710623e-14</v>
      </c>
      <c r="AF14" s="5">
        <v>4.1976413003581e-13</v>
      </c>
      <c r="AG14" s="5">
        <v>2.7947627852624e-13</v>
      </c>
      <c r="AH14" s="5">
        <v>1.0553611876607e-14</v>
      </c>
      <c r="AI14" s="5">
        <v>-8.8657627537915e-15</v>
      </c>
      <c r="AJ14" s="5">
        <v>7.6369130832311e-14</v>
      </c>
      <c r="AK14" s="5">
        <v>1.1562127502204e-15</v>
      </c>
      <c r="AL14" s="5">
        <v>5.8365069473282e-14</v>
      </c>
      <c r="AM14" s="5">
        <v>2.8756560263532e-14</v>
      </c>
      <c r="AN14" s="5">
        <v>-1.7729476967977e-14</v>
      </c>
      <c r="AO14" s="5">
        <v>8.4387946529557e-14</v>
      </c>
      <c r="AP14" s="5">
        <v>1.0734668244535e-15</v>
      </c>
      <c r="AQ14" s="5">
        <v>2.9555642721924e-14</v>
      </c>
      <c r="AR14" s="5">
        <v>-5.5314523626521e-13</v>
      </c>
      <c r="AS14" s="5">
        <v>-4.933732764813e-14</v>
      </c>
      <c r="AT14" s="5">
        <v>2.0011475931082e-14</v>
      </c>
      <c r="AU14" s="5">
        <v>-7.6233301643988e-14</v>
      </c>
      <c r="AV14" s="5">
        <v>-5.5107504710735e-14</v>
      </c>
      <c r="AW14" s="5">
        <v>-3.9231541335588e-14</v>
      </c>
      <c r="AX14" s="5">
        <v>2.9933472708549e-13</v>
      </c>
      <c r="AY14" s="5">
        <v>5.9070706062104e-14</v>
      </c>
      <c r="AZ14" s="5">
        <v>-1.7510539512807e-13</v>
      </c>
      <c r="BA14" s="5">
        <v>4.1212574103965e-13</v>
      </c>
      <c r="BB14" s="5">
        <v>-1.1213021930407e-12</v>
      </c>
      <c r="BC14" s="3">
        <v>15999425.087497</v>
      </c>
      <c r="BD14" s="3">
        <v>3999792.6679645</v>
      </c>
      <c r="BE14" s="3">
        <v>-0.00027966316266188</v>
      </c>
      <c r="BF14" s="3">
        <v>0.00058691563626627</v>
      </c>
      <c r="BG14" s="3">
        <v>0.00016771041861695</v>
      </c>
      <c r="BH14" s="3">
        <v>-0.00098065963656448</v>
      </c>
      <c r="BI14" s="3">
        <v>139.71341780942</v>
      </c>
      <c r="BJ14" s="3">
        <v>69.864985335456</v>
      </c>
      <c r="BK14" s="3">
        <v>128.54222968824</v>
      </c>
      <c r="BL14" s="4"/>
      <c r="BM14" s="7"/>
    </row>
    <row r="15" spans="1:65">
      <c r="A15" s="3">
        <v>79244.659623056</v>
      </c>
      <c r="B15" s="5">
        <v>1.9028327241991e-6</v>
      </c>
      <c r="C15" s="6">
        <f t="shared" si="0"/>
        <v>2.69251337301845e-11</v>
      </c>
      <c r="D15" s="5">
        <v>1.5334217120902e-12</v>
      </c>
      <c r="E15" s="5">
        <v>1.8688293940197e-12</v>
      </c>
      <c r="F15" s="5">
        <v>1.8688254299556e-12</v>
      </c>
      <c r="G15" s="5">
        <v>1.868815389016e-12</v>
      </c>
      <c r="H15" s="5">
        <v>1.533407502882e-12</v>
      </c>
      <c r="I15" s="5">
        <v>1.5334115369607e-12</v>
      </c>
      <c r="J15" s="5">
        <v>1.5334088899069e-12</v>
      </c>
      <c r="K15" s="5">
        <v>1.6164793767499e-12</v>
      </c>
      <c r="L15" s="5">
        <v>1.6164895453775e-12</v>
      </c>
      <c r="M15" s="5">
        <v>1.6164766545903e-12</v>
      </c>
      <c r="N15" s="5">
        <v>1.698834955059e-12</v>
      </c>
      <c r="O15" s="5">
        <v>1.5334077017456e-12</v>
      </c>
      <c r="P15" s="5">
        <v>1.6988299434712e-12</v>
      </c>
      <c r="Q15" s="5">
        <v>1.6988714152686e-12</v>
      </c>
      <c r="R15" s="5">
        <v>1.8688156313437e-12</v>
      </c>
      <c r="S15" s="5">
        <v>1.8688118506453e-12</v>
      </c>
      <c r="T15" s="5">
        <v>1.868815144494e-12</v>
      </c>
      <c r="U15" s="5">
        <v>1.5334089292455e-12</v>
      </c>
      <c r="V15" s="5">
        <v>1.6164850097578e-12</v>
      </c>
      <c r="W15" s="5">
        <v>1.6164949378863e-12</v>
      </c>
      <c r="X15" s="5">
        <v>1.6164828281284e-12</v>
      </c>
      <c r="Y15" s="5">
        <v>1.6988341647663e-12</v>
      </c>
      <c r="Z15" s="5">
        <v>1.6988737535453e-12</v>
      </c>
      <c r="AA15" s="5">
        <v>1.6988843683657e-12</v>
      </c>
      <c r="AB15" s="3">
        <v>0.95222099198324</v>
      </c>
      <c r="AC15" s="3">
        <v>0.87145997342285</v>
      </c>
      <c r="AD15" s="3">
        <v>0.00057374740668045</v>
      </c>
      <c r="AE15" s="5">
        <v>-7.7827318133638e-14</v>
      </c>
      <c r="AF15" s="5">
        <v>4.1842883472435e-13</v>
      </c>
      <c r="AG15" s="5">
        <v>2.791205794863e-13</v>
      </c>
      <c r="AH15" s="5">
        <v>1.0644748631162e-14</v>
      </c>
      <c r="AI15" s="5">
        <v>-8.8673663263616e-15</v>
      </c>
      <c r="AJ15" s="5">
        <v>7.6264080708484e-14</v>
      </c>
      <c r="AK15" s="5">
        <v>1.1452609668444e-15</v>
      </c>
      <c r="AL15" s="5">
        <v>5.8283686775156e-14</v>
      </c>
      <c r="AM15" s="5">
        <v>2.8840377492137e-14</v>
      </c>
      <c r="AN15" s="5">
        <v>-1.7693899032353e-14</v>
      </c>
      <c r="AO15" s="5">
        <v>8.4004068083955e-14</v>
      </c>
      <c r="AP15" s="5">
        <v>1.0716220748698e-15</v>
      </c>
      <c r="AQ15" s="5">
        <v>2.936907214638e-14</v>
      </c>
      <c r="AR15" s="5">
        <v>-5.454225197857e-13</v>
      </c>
      <c r="AS15" s="5">
        <v>-4.9100506032055e-14</v>
      </c>
      <c r="AT15" s="5">
        <v>1.9942926717819e-14</v>
      </c>
      <c r="AU15" s="5">
        <v>-7.6115185569657e-14</v>
      </c>
      <c r="AV15" s="5">
        <v>-5.5113123351168e-14</v>
      </c>
      <c r="AW15" s="5">
        <v>-3.9125531622807e-14</v>
      </c>
      <c r="AX15" s="5">
        <v>2.98533970244e-13</v>
      </c>
      <c r="AY15" s="5">
        <v>5.8998214062761e-14</v>
      </c>
      <c r="AZ15" s="5">
        <v>-1.7476752760667e-13</v>
      </c>
      <c r="BA15" s="5">
        <v>4.0944339572626e-13</v>
      </c>
      <c r="BB15" s="5">
        <v>-1.1101978479529e-12</v>
      </c>
      <c r="BC15" s="3">
        <v>15999354.613462</v>
      </c>
      <c r="BD15" s="3">
        <v>3999767.2688663</v>
      </c>
      <c r="BE15" s="3">
        <v>-0.00027966014587653</v>
      </c>
      <c r="BF15" s="3">
        <v>0.00058714767120963</v>
      </c>
      <c r="BG15" s="3">
        <v>0.00016782252110344</v>
      </c>
      <c r="BH15" s="3">
        <v>-0.00098077472472657</v>
      </c>
      <c r="BI15" s="3">
        <v>139.71341587587</v>
      </c>
      <c r="BJ15" s="3">
        <v>69.864986126525</v>
      </c>
      <c r="BK15" s="3">
        <v>128.54003501824</v>
      </c>
      <c r="BL15" s="4"/>
      <c r="BM15" s="7"/>
    </row>
    <row r="16" spans="1:65">
      <c r="A16" s="3">
        <v>88913.970501947</v>
      </c>
      <c r="B16" s="5">
        <v>2.1343514028902e-6</v>
      </c>
      <c r="C16" s="6">
        <f t="shared" si="0"/>
        <v>2.69075221904378e-11</v>
      </c>
      <c r="D16" s="5">
        <v>1.5334157179252e-12</v>
      </c>
      <c r="E16" s="5">
        <v>1.868769559121e-12</v>
      </c>
      <c r="F16" s="5">
        <v>1.8687651360967e-12</v>
      </c>
      <c r="G16" s="5">
        <v>1.8687538793483e-12</v>
      </c>
      <c r="H16" s="5">
        <v>1.5333997820279e-12</v>
      </c>
      <c r="I16" s="5">
        <v>1.533404305739e-12</v>
      </c>
      <c r="J16" s="5">
        <v>1.5334013379487e-12</v>
      </c>
      <c r="K16" s="5">
        <v>1.6164517715029e-12</v>
      </c>
      <c r="L16" s="5">
        <v>1.6164631732155e-12</v>
      </c>
      <c r="M16" s="5">
        <v>1.6164487173851e-12</v>
      </c>
      <c r="N16" s="5">
        <v>1.6987985630771e-12</v>
      </c>
      <c r="O16" s="5">
        <v>1.5334000050314e-12</v>
      </c>
      <c r="P16" s="5">
        <v>1.6987929519744e-12</v>
      </c>
      <c r="Q16" s="5">
        <v>1.698839232296e-12</v>
      </c>
      <c r="R16" s="5">
        <v>1.8687541453271e-12</v>
      </c>
      <c r="S16" s="5">
        <v>1.86874990878e-12</v>
      </c>
      <c r="T16" s="5">
        <v>1.8687536035075e-12</v>
      </c>
      <c r="U16" s="5">
        <v>1.5334013830457e-12</v>
      </c>
      <c r="V16" s="5">
        <v>1.6164580804416e-12</v>
      </c>
      <c r="W16" s="5">
        <v>1.6164692114914e-12</v>
      </c>
      <c r="X16" s="5">
        <v>1.616455646579e-12</v>
      </c>
      <c r="Y16" s="5">
        <v>1.6987976856263e-12</v>
      </c>
      <c r="Z16" s="5">
        <v>1.6988419836871e-12</v>
      </c>
      <c r="AA16" s="5">
        <v>1.6988537418438e-12</v>
      </c>
      <c r="AB16" s="3">
        <v>0.95228669800071</v>
      </c>
      <c r="AC16" s="3">
        <v>0.87151487228844</v>
      </c>
      <c r="AD16" s="3">
        <v>0.00057395992795712</v>
      </c>
      <c r="AE16" s="5">
        <v>-7.7684186950246e-14</v>
      </c>
      <c r="AF16" s="5">
        <v>4.169466920115e-13</v>
      </c>
      <c r="AG16" s="5">
        <v>2.7872199257413e-13</v>
      </c>
      <c r="AH16" s="5">
        <v>1.0746190173626e-14</v>
      </c>
      <c r="AI16" s="5">
        <v>-8.8691100817604e-15</v>
      </c>
      <c r="AJ16" s="5">
        <v>7.6146341122409e-14</v>
      </c>
      <c r="AK16" s="5">
        <v>1.1333063959532e-15</v>
      </c>
      <c r="AL16" s="5">
        <v>5.8193466999834e-14</v>
      </c>
      <c r="AM16" s="5">
        <v>2.8936219018094e-14</v>
      </c>
      <c r="AN16" s="5">
        <v>-1.7654049689886e-14</v>
      </c>
      <c r="AO16" s="5">
        <v>8.3579054228343e-14</v>
      </c>
      <c r="AP16" s="5">
        <v>1.0695708021557e-15</v>
      </c>
      <c r="AQ16" s="5">
        <v>2.9165693186103e-14</v>
      </c>
      <c r="AR16" s="5">
        <v>-5.3716632446651e-13</v>
      </c>
      <c r="AS16" s="5">
        <v>-4.8837703946767e-14</v>
      </c>
      <c r="AT16" s="5">
        <v>1.9866779548888e-14</v>
      </c>
      <c r="AU16" s="5">
        <v>-7.5982972684307e-14</v>
      </c>
      <c r="AV16" s="5">
        <v>-5.5119249495227e-14</v>
      </c>
      <c r="AW16" s="5">
        <v>-3.9006918332746e-14</v>
      </c>
      <c r="AX16" s="5">
        <v>2.9764400118408e-13</v>
      </c>
      <c r="AY16" s="5">
        <v>5.8916996204304e-14</v>
      </c>
      <c r="AZ16" s="5">
        <v>-1.7439025001735e-13</v>
      </c>
      <c r="BA16" s="5">
        <v>4.0648690032477e-13</v>
      </c>
      <c r="BB16" s="5">
        <v>-1.098246389679e-12</v>
      </c>
      <c r="BC16" s="3">
        <v>15999275.483667</v>
      </c>
      <c r="BD16" s="3">
        <v>3999738.7542661</v>
      </c>
      <c r="BE16" s="3">
        <v>-0.00027965660559666</v>
      </c>
      <c r="BF16" s="3">
        <v>0.00058740784840667</v>
      </c>
      <c r="BG16" s="3">
        <v>0.00016794830994782</v>
      </c>
      <c r="BH16" s="3">
        <v>-0.00098090135928477</v>
      </c>
      <c r="BI16" s="3">
        <v>139.71341372704</v>
      </c>
      <c r="BJ16" s="3">
        <v>69.864987012265</v>
      </c>
      <c r="BK16" s="3">
        <v>128.53757295158</v>
      </c>
      <c r="BL16" s="4"/>
      <c r="BM16" s="7"/>
    </row>
    <row r="17" spans="1:65">
      <c r="A17" s="3">
        <v>99763.115748445</v>
      </c>
      <c r="B17" s="5">
        <v>2.3939105629841e-6</v>
      </c>
      <c r="C17" s="6">
        <f t="shared" si="0"/>
        <v>2.68883879220033e-11</v>
      </c>
      <c r="D17" s="5">
        <v>1.533408786854e-12</v>
      </c>
      <c r="E17" s="5">
        <v>1.868702633827e-12</v>
      </c>
      <c r="F17" s="5">
        <v>1.8686977019402e-12</v>
      </c>
      <c r="G17" s="5">
        <v>1.8686850840497e-12</v>
      </c>
      <c r="H17" s="5">
        <v>1.5333909162552e-12</v>
      </c>
      <c r="I17" s="5">
        <v>1.5333959884363e-12</v>
      </c>
      <c r="J17" s="5">
        <v>1.533392661507e-12</v>
      </c>
      <c r="K17" s="5">
        <v>1.6164208616439e-12</v>
      </c>
      <c r="L17" s="5">
        <v>1.616433644359e-12</v>
      </c>
      <c r="M17" s="5">
        <v>1.6164174352636e-12</v>
      </c>
      <c r="N17" s="5">
        <v>1.6987576173883e-12</v>
      </c>
      <c r="O17" s="5">
        <v>1.5333911662984e-12</v>
      </c>
      <c r="P17" s="5">
        <v>1.6987513368159e-12</v>
      </c>
      <c r="Q17" s="5">
        <v>1.6988029568806e-12</v>
      </c>
      <c r="R17" s="5">
        <v>1.8686853750834e-12</v>
      </c>
      <c r="S17" s="5">
        <v>1.8686806286291e-12</v>
      </c>
      <c r="T17" s="5">
        <v>1.8686847726795e-12</v>
      </c>
      <c r="U17" s="5">
        <v>1.5333927133052e-12</v>
      </c>
      <c r="V17" s="5">
        <v>1.6164279258205e-12</v>
      </c>
      <c r="W17" s="5">
        <v>1.6164404039294e-12</v>
      </c>
      <c r="X17" s="5">
        <v>1.6164252125167e-12</v>
      </c>
      <c r="Y17" s="5">
        <v>1.698756644324e-12</v>
      </c>
      <c r="Z17" s="5">
        <v>1.6988061951609e-12</v>
      </c>
      <c r="AA17" s="5">
        <v>1.6988192070699e-12</v>
      </c>
      <c r="AB17" s="3">
        <v>0.95235981902763</v>
      </c>
      <c r="AC17" s="3">
        <v>0.87157660900232</v>
      </c>
      <c r="AD17" s="3">
        <v>0.00057419815896894</v>
      </c>
      <c r="AE17" s="5">
        <v>-7.7522963245246e-14</v>
      </c>
      <c r="AF17" s="5">
        <v>4.1530354092567e-13</v>
      </c>
      <c r="AG17" s="5">
        <v>2.7827545814392e-13</v>
      </c>
      <c r="AH17" s="5">
        <v>1.085900581212e-14</v>
      </c>
      <c r="AI17" s="5">
        <v>-8.8709992502077e-15</v>
      </c>
      <c r="AJ17" s="5">
        <v>7.601442128256e-14</v>
      </c>
      <c r="AK17" s="5">
        <v>1.1202986127088e-15</v>
      </c>
      <c r="AL17" s="5">
        <v>5.8093586927868e-14</v>
      </c>
      <c r="AM17" s="5">
        <v>2.9045886272021e-14</v>
      </c>
      <c r="AN17" s="5">
        <v>-1.7609426611797e-14</v>
      </c>
      <c r="AO17" s="5">
        <v>8.3109191257428e-14</v>
      </c>
      <c r="AP17" s="5">
        <v>1.0672933235207e-15</v>
      </c>
      <c r="AQ17" s="5">
        <v>2.8944600805133e-14</v>
      </c>
      <c r="AR17" s="5">
        <v>-5.2837720566374e-13</v>
      </c>
      <c r="AS17" s="5">
        <v>-4.8546433735716e-14</v>
      </c>
      <c r="AT17" s="5">
        <v>1.9782286028108e-14</v>
      </c>
      <c r="AU17" s="5">
        <v>-7.5835026729414e-14</v>
      </c>
      <c r="AV17" s="5">
        <v>-5.5125907828503e-14</v>
      </c>
      <c r="AW17" s="5">
        <v>-3.8874282122094e-14</v>
      </c>
      <c r="AX17" s="5">
        <v>2.966559827635e-13</v>
      </c>
      <c r="AY17" s="5">
        <v>5.8826028322506e-14</v>
      </c>
      <c r="AZ17" s="5">
        <v>-1.7396922414454e-13</v>
      </c>
      <c r="BA17" s="5">
        <v>4.0323454090979e-13</v>
      </c>
      <c r="BB17" s="5">
        <v>-1.0854292957272e-12</v>
      </c>
      <c r="BC17" s="3">
        <v>15999186.629882</v>
      </c>
      <c r="BD17" s="3">
        <v>3999706.7404645</v>
      </c>
      <c r="BE17" s="3">
        <v>-0.00027965244364863</v>
      </c>
      <c r="BF17" s="3">
        <v>0.00058769956443268</v>
      </c>
      <c r="BG17" s="3">
        <v>0.00016808945629404</v>
      </c>
      <c r="BH17" s="3">
        <v>-0.00098104041082524</v>
      </c>
      <c r="BI17" s="3">
        <v>139.71341134076</v>
      </c>
      <c r="BJ17" s="3">
        <v>69.864988003871</v>
      </c>
      <c r="BK17" s="3">
        <v>128.53481098213</v>
      </c>
      <c r="BL17" s="4"/>
      <c r="BM17" s="7"/>
    </row>
    <row r="18" spans="1:65">
      <c r="A18" s="3">
        <v>111936.05692842</v>
      </c>
      <c r="B18" s="5">
        <v>2.6848868312992e-6</v>
      </c>
      <c r="C18" s="6">
        <f t="shared" si="0"/>
        <v>2.68676500735935e-11</v>
      </c>
      <c r="D18" s="5">
        <v>1.5334007661023e-12</v>
      </c>
      <c r="E18" s="5">
        <v>1.8686277928786e-12</v>
      </c>
      <c r="F18" s="5">
        <v>1.8686222975686e-12</v>
      </c>
      <c r="G18" s="5">
        <v>1.8686081562569e-12</v>
      </c>
      <c r="H18" s="5">
        <v>1.5333807280988e-12</v>
      </c>
      <c r="I18" s="5">
        <v>1.5333864145335e-12</v>
      </c>
      <c r="J18" s="5">
        <v>1.533382685565e-12</v>
      </c>
      <c r="K18" s="5">
        <v>1.6163862585902e-12</v>
      </c>
      <c r="L18" s="5">
        <v>1.6164005876266e-12</v>
      </c>
      <c r="M18" s="5">
        <v>1.6163824147717e-12</v>
      </c>
      <c r="N18" s="5">
        <v>1.6987115405909e-12</v>
      </c>
      <c r="O18" s="5">
        <v>1.5333810084228e-12</v>
      </c>
      <c r="P18" s="5">
        <v>1.6987045128261e-12</v>
      </c>
      <c r="Q18" s="5">
        <v>1.6987620576138e-12</v>
      </c>
      <c r="R18" s="5">
        <v>1.8686084735482e-12</v>
      </c>
      <c r="S18" s="5">
        <v>1.8686031569164e-12</v>
      </c>
      <c r="T18" s="5">
        <v>1.8686078045209e-12</v>
      </c>
      <c r="U18" s="5">
        <v>1.533382745184e-12</v>
      </c>
      <c r="V18" s="5">
        <v>1.6163941661942e-12</v>
      </c>
      <c r="W18" s="5">
        <v>1.6164081524485e-12</v>
      </c>
      <c r="X18" s="5">
        <v>1.6163911438069e-12</v>
      </c>
      <c r="Y18" s="5">
        <v>1.6987104629114e-12</v>
      </c>
      <c r="Z18" s="5">
        <v>1.6987658690134e-12</v>
      </c>
      <c r="AA18" s="5">
        <v>1.6987802539854e-12</v>
      </c>
      <c r="AB18" s="3">
        <v>0.95244111346475</v>
      </c>
      <c r="AC18" s="3">
        <v>0.87164602994535</v>
      </c>
      <c r="AD18" s="3">
        <v>0.00057446518958844</v>
      </c>
      <c r="AE18" s="5">
        <v>-7.7341377642904e-14</v>
      </c>
      <c r="AF18" s="5">
        <v>4.1348431149821e-13</v>
      </c>
      <c r="AG18" s="5">
        <v>2.777753560868e-13</v>
      </c>
      <c r="AH18" s="5">
        <v>1.0984355188185e-14</v>
      </c>
      <c r="AI18" s="5">
        <v>-8.8730374122461e-15</v>
      </c>
      <c r="AJ18" s="5">
        <v>7.5866670209767e-14</v>
      </c>
      <c r="AK18" s="5">
        <v>1.1061946846487e-15</v>
      </c>
      <c r="AL18" s="5">
        <v>5.7983177957129e-14</v>
      </c>
      <c r="AM18" s="5">
        <v>2.9171445189369e-14</v>
      </c>
      <c r="AN18" s="5">
        <v>-1.7559471397344e-14</v>
      </c>
      <c r="AO18" s="5">
        <v>8.2590587490122e-14</v>
      </c>
      <c r="AP18" s="5">
        <v>1.0647691073489e-15</v>
      </c>
      <c r="AQ18" s="5">
        <v>2.8704961209805e-14</v>
      </c>
      <c r="AR18" s="5">
        <v>-5.1906239349633e-13</v>
      </c>
      <c r="AS18" s="5">
        <v>-4.8224053334587e-14</v>
      </c>
      <c r="AT18" s="5">
        <v>1.9688645320873e-14</v>
      </c>
      <c r="AU18" s="5">
        <v>-7.5669533832942e-14</v>
      </c>
      <c r="AV18" s="5">
        <v>-5.51331191232e-14</v>
      </c>
      <c r="AW18" s="5">
        <v>-3.8726069447612e-14</v>
      </c>
      <c r="AX18" s="5">
        <v>2.9556046672784e-13</v>
      </c>
      <c r="AY18" s="5">
        <v>5.8724174520765e-14</v>
      </c>
      <c r="AZ18" s="5">
        <v>-1.7349970106853e-13</v>
      </c>
      <c r="BA18" s="5">
        <v>3.9966428793809e-13</v>
      </c>
      <c r="BB18" s="5">
        <v>-1.0717354776551e-12</v>
      </c>
      <c r="BC18" s="3">
        <v>15999086.851206</v>
      </c>
      <c r="BD18" s="3">
        <v>3999670.7962382</v>
      </c>
      <c r="BE18" s="3">
        <v>-0.00027964754286608</v>
      </c>
      <c r="BF18" s="3">
        <v>0.00058802662275667</v>
      </c>
      <c r="BG18" s="3">
        <v>0.00016824783525302</v>
      </c>
      <c r="BH18" s="3">
        <v>-0.000981192775936</v>
      </c>
      <c r="BI18" s="3">
        <v>139.71340869287</v>
      </c>
      <c r="BJ18" s="3">
        <v>69.864989113824</v>
      </c>
      <c r="BK18" s="3">
        <v>128.53171267404</v>
      </c>
      <c r="BL18" s="4"/>
      <c r="BM18" s="7"/>
    </row>
    <row r="19" spans="1:65">
      <c r="A19" s="3">
        <v>125594.32157548</v>
      </c>
      <c r="B19" s="5">
        <v>3.0110600736119e-6</v>
      </c>
      <c r="C19" s="6">
        <f t="shared" si="0"/>
        <v>2.6845230553427e-11</v>
      </c>
      <c r="D19" s="5">
        <v>1.5333914785268e-12</v>
      </c>
      <c r="E19" s="5">
        <v>1.8685441164642e-12</v>
      </c>
      <c r="F19" s="5">
        <v>1.8685379982582e-12</v>
      </c>
      <c r="G19" s="5">
        <v>1.8685221524376e-12</v>
      </c>
      <c r="H19" s="5">
        <v>1.5333690128883e-12</v>
      </c>
      <c r="I19" s="5">
        <v>1.5333753870948e-12</v>
      </c>
      <c r="J19" s="5">
        <v>1.5333712081881e-12</v>
      </c>
      <c r="K19" s="5">
        <v>1.6163475294673e-12</v>
      </c>
      <c r="L19" s="5">
        <v>1.6163635895058e-12</v>
      </c>
      <c r="M19" s="5">
        <v>1.6163432175784e-12</v>
      </c>
      <c r="N19" s="5">
        <v>1.6986596814464e-12</v>
      </c>
      <c r="O19" s="5">
        <v>1.5333693271144e-12</v>
      </c>
      <c r="P19" s="5">
        <v>1.6986518202265e-12</v>
      </c>
      <c r="Q19" s="5">
        <v>1.6987159331373e-12</v>
      </c>
      <c r="R19" s="5">
        <v>1.8685224968723e-12</v>
      </c>
      <c r="S19" s="5">
        <v>1.8685165429146e-12</v>
      </c>
      <c r="T19" s="5">
        <v>1.8685217547656e-12</v>
      </c>
      <c r="U19" s="5">
        <v>1.5333712769617e-12</v>
      </c>
      <c r="V19" s="5">
        <v>1.6163563784589e-12</v>
      </c>
      <c r="W19" s="5">
        <v>1.6163720528135e-12</v>
      </c>
      <c r="X19" s="5">
        <v>1.6163530148284e-12</v>
      </c>
      <c r="Y19" s="5">
        <v>1.6986584896344e-12</v>
      </c>
      <c r="Z19" s="5">
        <v>1.6987204180577e-12</v>
      </c>
      <c r="AA19" s="5">
        <v>1.6987363049996e-12</v>
      </c>
      <c r="AB19" s="3">
        <v>0.95253139874111</v>
      </c>
      <c r="AC19" s="3">
        <v>0.87172408090985</v>
      </c>
      <c r="AD19" s="3">
        <v>0.00057476447761549</v>
      </c>
      <c r="AE19" s="5">
        <v>-7.7136897574711e-14</v>
      </c>
      <c r="AF19" s="5">
        <v>4.1147307053789e-13</v>
      </c>
      <c r="AG19" s="5">
        <v>2.7721545515469e-13</v>
      </c>
      <c r="AH19" s="5">
        <v>1.112349189769e-14</v>
      </c>
      <c r="AI19" s="5">
        <v>-8.8752259262611e-15</v>
      </c>
      <c r="AJ19" s="5">
        <v>7.5701264330696e-14</v>
      </c>
      <c r="AK19" s="5">
        <v>1.0909620340038e-15</v>
      </c>
      <c r="AL19" s="5">
        <v>5.7861330716322e-14</v>
      </c>
      <c r="AM19" s="5">
        <v>2.9315258118151e-14</v>
      </c>
      <c r="AN19" s="5">
        <v>-1.7503564217181e-14</v>
      </c>
      <c r="AO19" s="5">
        <v>8.2019201061819e-14</v>
      </c>
      <c r="AP19" s="5">
        <v>1.0619770614027e-15</v>
      </c>
      <c r="AQ19" s="5">
        <v>2.8446038890292e-14</v>
      </c>
      <c r="AR19" s="5">
        <v>-5.0923627316125e-13</v>
      </c>
      <c r="AS19" s="5">
        <v>-4.7867776079762e-14</v>
      </c>
      <c r="AT19" s="5">
        <v>1.9585005189872e-14</v>
      </c>
      <c r="AU19" s="5">
        <v>-7.5484486473121e-14</v>
      </c>
      <c r="AV19" s="5">
        <v>-5.5140898695177e-14</v>
      </c>
      <c r="AW19" s="5">
        <v>-3.8560587616135e-14</v>
      </c>
      <c r="AX19" s="5">
        <v>2.9434741489026e-13</v>
      </c>
      <c r="AY19" s="5">
        <v>5.8610177594855e-14</v>
      </c>
      <c r="AZ19" s="5">
        <v>-1.7297649923347e-13</v>
      </c>
      <c r="BA19" s="5">
        <v>3.9575413331182e-13</v>
      </c>
      <c r="BB19" s="5">
        <v>-1.0571621782121e-12</v>
      </c>
      <c r="BC19" s="3">
        <v>15998974.797499</v>
      </c>
      <c r="BD19" s="3">
        <v>3999630.4369181</v>
      </c>
      <c r="BE19" s="3">
        <v>-0.00027964176348433</v>
      </c>
      <c r="BF19" s="3">
        <v>0.00058839328202008</v>
      </c>
      <c r="BG19" s="3">
        <v>0.00016842555075201</v>
      </c>
      <c r="BH19" s="3">
        <v>-0.00098135932788683</v>
      </c>
      <c r="BI19" s="3">
        <v>139.71340575703</v>
      </c>
      <c r="BJ19" s="3">
        <v>69.864990356067</v>
      </c>
      <c r="BK19" s="3">
        <v>128.5282371929</v>
      </c>
      <c r="BL19" s="4"/>
      <c r="BM19" s="7"/>
    </row>
    <row r="20" spans="1:65">
      <c r="A20" s="3">
        <v>140919.14656322</v>
      </c>
      <c r="B20" s="5">
        <v>3.3766610938648e-6</v>
      </c>
      <c r="C20" s="6">
        <f t="shared" si="0"/>
        <v>2.6821054374115e-11</v>
      </c>
      <c r="D20" s="5">
        <v>1.5333807191787e-12</v>
      </c>
      <c r="E20" s="5">
        <v>1.8684505792645e-12</v>
      </c>
      <c r="F20" s="5">
        <v>1.8684437735555e-12</v>
      </c>
      <c r="G20" s="5">
        <v>1.8684260212931e-12</v>
      </c>
      <c r="H20" s="5">
        <v>1.5333555350103e-12</v>
      </c>
      <c r="I20" s="5">
        <v>1.5333626791106e-12</v>
      </c>
      <c r="J20" s="5">
        <v>1.5333579968179e-12</v>
      </c>
      <c r="K20" s="5">
        <v>1.616304192288e-12</v>
      </c>
      <c r="L20" s="5">
        <v>1.6163221895317e-12</v>
      </c>
      <c r="M20" s="5">
        <v>1.6162993555859e-12</v>
      </c>
      <c r="N20" s="5">
        <v>1.698601305579e-12</v>
      </c>
      <c r="O20" s="5">
        <v>1.5333558871822e-12</v>
      </c>
      <c r="P20" s="5">
        <v>1.6985925152702e-12</v>
      </c>
      <c r="Q20" s="5">
        <v>1.6986639030993e-12</v>
      </c>
      <c r="R20" s="5">
        <v>1.8684263932877e-12</v>
      </c>
      <c r="S20" s="5">
        <v>1.8684197272505e-12</v>
      </c>
      <c r="T20" s="5">
        <v>1.8684255712483e-12</v>
      </c>
      <c r="U20" s="5">
        <v>1.5333580763397e-12</v>
      </c>
      <c r="V20" s="5">
        <v>1.6163140913478e-12</v>
      </c>
      <c r="W20" s="5">
        <v>1.6163316547489e-12</v>
      </c>
      <c r="X20" s="5">
        <v>1.616310351755e-12</v>
      </c>
      <c r="Y20" s="5">
        <v>1.698599989651e-12</v>
      </c>
      <c r="Z20" s="5">
        <v>1.6986691779452e-12</v>
      </c>
      <c r="AA20" s="5">
        <v>1.6986867062181e-12</v>
      </c>
      <c r="AB20" s="3">
        <v>0.95263155167164</v>
      </c>
      <c r="AC20" s="3">
        <v>0.87181181651513</v>
      </c>
      <c r="AD20" s="3">
        <v>0.00057509989216603</v>
      </c>
      <c r="AE20" s="5">
        <v>-7.6906706107694e-14</v>
      </c>
      <c r="AF20" s="5">
        <v>4.0925309524923e-13</v>
      </c>
      <c r="AG20" s="5">
        <v>2.7658886114991e-13</v>
      </c>
      <c r="AH20" s="5">
        <v>1.1277766596212e-14</v>
      </c>
      <c r="AI20" s="5">
        <v>-8.877563250546e-15</v>
      </c>
      <c r="AJ20" s="5">
        <v>7.5516195560574e-14</v>
      </c>
      <c r="AK20" s="5">
        <v>1.0745817094457e-15</v>
      </c>
      <c r="AL20" s="5">
        <v>5.7727101450275e-14</v>
      </c>
      <c r="AM20" s="5">
        <v>2.9480016705881e-14</v>
      </c>
      <c r="AN20" s="5">
        <v>-1.74410182274e-14</v>
      </c>
      <c r="AO20" s="5">
        <v>8.1390877104983e-14</v>
      </c>
      <c r="AP20" s="5">
        <v>1.058895934081e-15</v>
      </c>
      <c r="AQ20" s="5">
        <v>2.8167226162514e-14</v>
      </c>
      <c r="AR20" s="5">
        <v>-4.9892065522967e-13</v>
      </c>
      <c r="AS20" s="5">
        <v>-4.7474685809534e-14</v>
      </c>
      <c r="AT20" s="5">
        <v>1.9470464219173e-14</v>
      </c>
      <c r="AU20" s="5">
        <v>-7.5277666840639e-14</v>
      </c>
      <c r="AV20" s="5">
        <v>-5.5149254573435e-14</v>
      </c>
      <c r="AW20" s="5">
        <v>-3.8376002092997e-14</v>
      </c>
      <c r="AX20" s="5">
        <v>2.930062382512e-13</v>
      </c>
      <c r="AY20" s="5">
        <v>5.8482649403699e-14</v>
      </c>
      <c r="AZ20" s="5">
        <v>-1.7239398578455e-13</v>
      </c>
      <c r="BA20" s="5">
        <v>3.914824994693e-13</v>
      </c>
      <c r="BB20" s="5">
        <v>-1.0417156994024e-12</v>
      </c>
      <c r="BC20" s="3">
        <v>15998848.950739</v>
      </c>
      <c r="BD20" s="3">
        <v>3999585.1177281</v>
      </c>
      <c r="BE20" s="3">
        <v>-0.00027963493889259</v>
      </c>
      <c r="BF20" s="3">
        <v>0.00058880430998435</v>
      </c>
      <c r="BG20" s="3">
        <v>0.00016862496339444</v>
      </c>
      <c r="BH20" s="3">
        <v>-0.00098154092508104</v>
      </c>
      <c r="BI20" s="3">
        <v>139.71340250458</v>
      </c>
      <c r="BJ20" s="3">
        <v>69.864991746154</v>
      </c>
      <c r="BK20" s="3">
        <v>128.52433878245</v>
      </c>
      <c r="BL20" s="4"/>
      <c r="BM20" s="7"/>
    </row>
    <row r="21" spans="1:65">
      <c r="A21" s="3">
        <v>158113.88300842</v>
      </c>
      <c r="B21" s="5">
        <v>3.7864249417558e-6</v>
      </c>
      <c r="C21" s="6">
        <f t="shared" si="0"/>
        <v>2.67950503829087e-11</v>
      </c>
      <c r="D21" s="5">
        <v>1.5333682515011e-12</v>
      </c>
      <c r="E21" s="5">
        <v>1.8683460381399e-12</v>
      </c>
      <c r="F21" s="5">
        <v>1.8683384750082e-12</v>
      </c>
      <c r="G21" s="5">
        <v>1.8683185913074e-12</v>
      </c>
      <c r="H21" s="5">
        <v>1.5333400237786e-12</v>
      </c>
      <c r="I21" s="5">
        <v>1.533348029456e-12</v>
      </c>
      <c r="J21" s="5">
        <v>1.5333427841778e-12</v>
      </c>
      <c r="K21" s="5">
        <v>1.616255710623e-12</v>
      </c>
      <c r="L21" s="5">
        <v>1.6162758751724e-12</v>
      </c>
      <c r="M21" s="5">
        <v>1.6162502855215e-12</v>
      </c>
      <c r="N21" s="5">
        <v>1.6985355850848e-12</v>
      </c>
      <c r="O21" s="5">
        <v>1.5333404184087e-12</v>
      </c>
      <c r="P21" s="5">
        <v>1.6985257597921e-12</v>
      </c>
      <c r="Q21" s="5">
        <v>1.698605198039e-12</v>
      </c>
      <c r="R21" s="5">
        <v>1.8683189906112e-12</v>
      </c>
      <c r="S21" s="5">
        <v>1.8683115293456e-12</v>
      </c>
      <c r="T21" s="5">
        <v>1.8683180814261e-12</v>
      </c>
      <c r="U21" s="5">
        <v>1.5333428763578e-12</v>
      </c>
      <c r="V21" s="5">
        <v>1.6162667801601e-12</v>
      </c>
      <c r="W21" s="5">
        <v>1.6162864568901e-12</v>
      </c>
      <c r="X21" s="5">
        <v>1.6162626273395e-12</v>
      </c>
      <c r="Y21" s="5">
        <v>1.6985341346628e-12</v>
      </c>
      <c r="Z21" s="5">
        <v>1.6986113971388e-12</v>
      </c>
      <c r="AA21" s="5">
        <v>1.6986307176312e-12</v>
      </c>
      <c r="AB21" s="3">
        <v>0.95274250775833</v>
      </c>
      <c r="AC21" s="3">
        <v>0.87191040976908</v>
      </c>
      <c r="AD21" s="3">
        <v>0.00057547576216127</v>
      </c>
      <c r="AE21" s="5">
        <v>-7.6647682319738e-14</v>
      </c>
      <c r="AF21" s="5">
        <v>4.0680697855535e-13</v>
      </c>
      <c r="AG21" s="5">
        <v>2.7588796512714e-13</v>
      </c>
      <c r="AH21" s="5">
        <v>1.1448629539963e-14</v>
      </c>
      <c r="AI21" s="5">
        <v>-8.880044139318e-15</v>
      </c>
      <c r="AJ21" s="5">
        <v>7.5309260392833e-14</v>
      </c>
      <c r="AK21" s="5">
        <v>1.0570520365472e-15</v>
      </c>
      <c r="AL21" s="5">
        <v>5.7579520305667e-14</v>
      </c>
      <c r="AM21" s="5">
        <v>2.9668774744091e-14</v>
      </c>
      <c r="AN21" s="5">
        <v>-1.7371073852661e-14</v>
      </c>
      <c r="AO21" s="5">
        <v>8.0701395182524e-14</v>
      </c>
      <c r="AP21" s="5">
        <v>1.0555048493141e-15</v>
      </c>
      <c r="AQ21" s="5">
        <v>2.7868074708741e-14</v>
      </c>
      <c r="AR21" s="5">
        <v>-4.8814479527147e-13</v>
      </c>
      <c r="AS21" s="5">
        <v>-4.7041757993349e-14</v>
      </c>
      <c r="AT21" s="5">
        <v>1.9344075398844e-14</v>
      </c>
      <c r="AU21" s="5">
        <v>-7.5046629823087e-14</v>
      </c>
      <c r="AV21" s="5">
        <v>-5.5158185335778e-14</v>
      </c>
      <c r="AW21" s="5">
        <v>-3.8170336806147e-14</v>
      </c>
      <c r="AX21" s="5">
        <v>2.9152585725641e-13</v>
      </c>
      <c r="AY21" s="5">
        <v>5.8340061437301e-14</v>
      </c>
      <c r="AZ21" s="5">
        <v>-1.7174606252084e-13</v>
      </c>
      <c r="BA21" s="5">
        <v>3.8682872195227e-13</v>
      </c>
      <c r="BB21" s="5">
        <v>-1.0254119123399e-12</v>
      </c>
      <c r="BC21" s="3">
        <v>15998707.604054</v>
      </c>
      <c r="BD21" s="3">
        <v>3999534.2262923</v>
      </c>
      <c r="BE21" s="3">
        <v>-0.00027962687063404</v>
      </c>
      <c r="BF21" s="3">
        <v>0.00058926504381372</v>
      </c>
      <c r="BG21" s="3">
        <v>0.00016884872170057</v>
      </c>
      <c r="BH21" s="3">
        <v>-0.00098173835979133</v>
      </c>
      <c r="BI21" s="3">
        <v>139.71339890435</v>
      </c>
      <c r="BJ21" s="3">
        <v>69.864993301468</v>
      </c>
      <c r="BK21" s="3">
        <v>128.51996618109</v>
      </c>
      <c r="BL21" s="4"/>
      <c r="BM21" s="7"/>
    </row>
    <row r="22" spans="1:65">
      <c r="A22" s="3">
        <v>177406.69461679</v>
      </c>
      <c r="B22" s="5">
        <v>4.2456504869813e-6</v>
      </c>
      <c r="C22" s="6">
        <f t="shared" si="0"/>
        <v>2.67671514371711e-11</v>
      </c>
      <c r="D22" s="5">
        <v>1.5333538031442e-12</v>
      </c>
      <c r="E22" s="5">
        <v>1.8682292182755e-12</v>
      </c>
      <c r="F22" s="5">
        <v>1.8682208223702e-12</v>
      </c>
      <c r="G22" s="5">
        <v>1.8681985567648e-12</v>
      </c>
      <c r="H22" s="5">
        <v>1.5333221688951e-12</v>
      </c>
      <c r="I22" s="5">
        <v>1.5333311384452e-12</v>
      </c>
      <c r="J22" s="5">
        <v>1.5333252637728e-12</v>
      </c>
      <c r="K22" s="5">
        <v>1.6162014877088e-12</v>
      </c>
      <c r="L22" s="5">
        <v>1.6162240761664e-12</v>
      </c>
      <c r="M22" s="5">
        <v>1.6161954029584e-12</v>
      </c>
      <c r="N22" s="5">
        <v>1.6984615869451e-12</v>
      </c>
      <c r="O22" s="5">
        <v>1.5333226110155e-12</v>
      </c>
      <c r="P22" s="5">
        <v>1.698450609563e-12</v>
      </c>
      <c r="Q22" s="5">
        <v>1.698538948094e-12</v>
      </c>
      <c r="R22" s="5">
        <v>1.8681989822053e-12</v>
      </c>
      <c r="S22" s="5">
        <v>1.8681906333099e-12</v>
      </c>
      <c r="T22" s="5">
        <v>1.8681979783597e-12</v>
      </c>
      <c r="U22" s="5">
        <v>1.5333253709064e-12</v>
      </c>
      <c r="V22" s="5">
        <v>1.6162138609218e-12</v>
      </c>
      <c r="W22" s="5">
        <v>1.6162359011857e-12</v>
      </c>
      <c r="X22" s="5">
        <v>1.6162092551506e-12</v>
      </c>
      <c r="Y22" s="5">
        <v>1.698459991353e-12</v>
      </c>
      <c r="Z22" s="5">
        <v>1.6985462256761e-12</v>
      </c>
      <c r="AA22" s="5">
        <v>1.6985675021611e-12</v>
      </c>
      <c r="AB22" s="3">
        <v>0.95286525922729</v>
      </c>
      <c r="AC22" s="3">
        <v>0.87202116152672</v>
      </c>
      <c r="AD22" s="3">
        <v>0.0005758969305244</v>
      </c>
      <c r="AE22" s="5">
        <v>-7.6356384448351e-14</v>
      </c>
      <c r="AF22" s="5">
        <v>4.0411676943415e-13</v>
      </c>
      <c r="AG22" s="5">
        <v>2.7510439309105e-13</v>
      </c>
      <c r="AH22" s="5">
        <v>1.1637632564048e-14</v>
      </c>
      <c r="AI22" s="5">
        <v>-8.8826587076388e-15</v>
      </c>
      <c r="AJ22" s="5">
        <v>7.5078050627763e-14</v>
      </c>
      <c r="AK22" s="5">
        <v>1.0383925860775e-15</v>
      </c>
      <c r="AL22" s="5">
        <v>5.7417601508649e-14</v>
      </c>
      <c r="AM22" s="5">
        <v>2.9884979514594e-14</v>
      </c>
      <c r="AN22" s="5">
        <v>-1.7292893067796e-14</v>
      </c>
      <c r="AO22" s="5">
        <v>7.9946527564214e-14</v>
      </c>
      <c r="AP22" s="5">
        <v>1.0517840009567e-15</v>
      </c>
      <c r="AQ22" s="5">
        <v>2.7548328396498e-14</v>
      </c>
      <c r="AR22" s="5">
        <v>-4.7694513492664e-13</v>
      </c>
      <c r="AS22" s="5">
        <v>-4.6565887535396e-14</v>
      </c>
      <c r="AT22" s="5">
        <v>1.9204851213714e-14</v>
      </c>
      <c r="AU22" s="5">
        <v>-7.4788685905568e-14</v>
      </c>
      <c r="AV22" s="5">
        <v>-5.5167677574359e-14</v>
      </c>
      <c r="AW22" s="5">
        <v>-3.7941478337194e-14</v>
      </c>
      <c r="AX22" s="5">
        <v>2.8989478610479e-13</v>
      </c>
      <c r="AY22" s="5">
        <v>5.8180735925395e-14</v>
      </c>
      <c r="AZ22" s="5">
        <v>-1.7102615800408e-13</v>
      </c>
      <c r="BA22" s="5">
        <v>3.8177360286582e-13</v>
      </c>
      <c r="BB22" s="5">
        <v>-1.008276509036e-12</v>
      </c>
      <c r="BC22" s="3">
        <v>15998548.83814</v>
      </c>
      <c r="BD22" s="3">
        <v>3999477.0742074</v>
      </c>
      <c r="BE22" s="3">
        <v>-0.00027961732253517</v>
      </c>
      <c r="BF22" s="3">
        <v>0.00058978145742369</v>
      </c>
      <c r="BG22" s="3">
        <v>0.0001690997971321</v>
      </c>
      <c r="BH22" s="3">
        <v>-0.00098195235258736</v>
      </c>
      <c r="BI22" s="3">
        <v>139.71339492246</v>
      </c>
      <c r="BJ22" s="3">
        <v>69.864995041389</v>
      </c>
      <c r="BK22" s="3">
        <v>128.51506197158</v>
      </c>
      <c r="BL22" s="4"/>
      <c r="BM22" s="7"/>
    </row>
    <row r="23" spans="1:65">
      <c r="A23" s="3">
        <v>199053.58527675</v>
      </c>
      <c r="B23" s="5">
        <v>4.7602670000942e-6</v>
      </c>
      <c r="C23" s="6">
        <f t="shared" si="0"/>
        <v>2.67372946134288e-11</v>
      </c>
      <c r="D23" s="5">
        <v>1.5333370613674e-12</v>
      </c>
      <c r="E23" s="5">
        <v>1.8680986975938e-12</v>
      </c>
      <c r="F23" s="5">
        <v>1.8680893880911e-12</v>
      </c>
      <c r="G23" s="5">
        <v>1.8680644620504e-12</v>
      </c>
      <c r="H23" s="5">
        <v>1.5333016154716e-12</v>
      </c>
      <c r="I23" s="5">
        <v>1.5333116629534e-12</v>
      </c>
      <c r="J23" s="5">
        <v>1.5333050849533e-12</v>
      </c>
      <c r="K23" s="5">
        <v>1.6161408599134e-12</v>
      </c>
      <c r="L23" s="5">
        <v>1.6161661582337e-12</v>
      </c>
      <c r="M23" s="5">
        <v>1.6161340356829e-12</v>
      </c>
      <c r="N23" s="5">
        <v>1.6983782601302e-12</v>
      </c>
      <c r="O23" s="5">
        <v>1.5333021106892e-12</v>
      </c>
      <c r="P23" s="5">
        <v>1.6983660013325e-12</v>
      </c>
      <c r="Q23" s="5">
        <v>1.6984641704197e-12</v>
      </c>
      <c r="R23" s="5">
        <v>1.8680649112065e-12</v>
      </c>
      <c r="S23" s="5">
        <v>1.868055572103e-12</v>
      </c>
      <c r="T23" s="5">
        <v>1.8680638049688e-12</v>
      </c>
      <c r="U23" s="5">
        <v>1.5333052098067e-12</v>
      </c>
      <c r="V23" s="5">
        <v>1.6161546838951e-12</v>
      </c>
      <c r="W23" s="5">
        <v>1.6161793666725e-12</v>
      </c>
      <c r="X23" s="5">
        <v>1.6161495831827e-12</v>
      </c>
      <c r="Y23" s="5">
        <v>1.6983765085174e-12</v>
      </c>
      <c r="Z23" s="5">
        <v>1.6984727026005e-12</v>
      </c>
      <c r="AA23" s="5">
        <v>1.6984961134619e-12</v>
      </c>
      <c r="AB23" s="3">
        <v>0.95300085158612</v>
      </c>
      <c r="AC23" s="3">
        <v>0.8721455095158</v>
      </c>
      <c r="AD23" s="3">
        <v>0.00057636881476691</v>
      </c>
      <c r="AE23" s="5">
        <v>-7.602903739547e-14</v>
      </c>
      <c r="AF23" s="5">
        <v>4.0116415072142e-13</v>
      </c>
      <c r="AG23" s="5">
        <v>2.742289592006e-13</v>
      </c>
      <c r="AH23" s="5">
        <v>1.1846430562532e-14</v>
      </c>
      <c r="AI23" s="5">
        <v>-8.8853913502367e-15</v>
      </c>
      <c r="AJ23" s="5">
        <v>7.4819946527922e-14</v>
      </c>
      <c r="AK23" s="5">
        <v>1.0186483568568e-15</v>
      </c>
      <c r="AL23" s="5">
        <v>5.7240355298867e-14</v>
      </c>
      <c r="AM23" s="5">
        <v>3.0132499798189e-14</v>
      </c>
      <c r="AN23" s="5">
        <v>-1.7205553869157e-14</v>
      </c>
      <c r="AO23" s="5">
        <v>7.9122108503661e-14</v>
      </c>
      <c r="AP23" s="5">
        <v>1.0477155236333e-15</v>
      </c>
      <c r="AQ23" s="5">
        <v>2.7207956424823e-14</v>
      </c>
      <c r="AR23" s="5">
        <v>-4.6536475441347e-13</v>
      </c>
      <c r="AS23" s="5">
        <v>-4.6043923721455e-14</v>
      </c>
      <c r="AT23" s="5">
        <v>1.905177034769e-14</v>
      </c>
      <c r="AU23" s="5">
        <v>-7.4500884380787e-14</v>
      </c>
      <c r="AV23" s="5">
        <v>-5.517770296e-14</v>
      </c>
      <c r="AW23" s="5">
        <v>-3.7687185008399e-14</v>
      </c>
      <c r="AX23" s="5">
        <v>2.8810124358218e-13</v>
      </c>
      <c r="AY23" s="5">
        <v>5.8002837906811e-14</v>
      </c>
      <c r="AZ23" s="5">
        <v>-1.7022722760832e-13</v>
      </c>
      <c r="BA23" s="5">
        <v>3.7630002781224e-13</v>
      </c>
      <c r="BB23" s="5">
        <v>-9.9034497031231e-13</v>
      </c>
      <c r="BC23" s="3">
        <v>15998370.494739</v>
      </c>
      <c r="BD23" s="3">
        <v>3999412.8875641</v>
      </c>
      <c r="BE23" s="3">
        <v>-0.00027960601382032</v>
      </c>
      <c r="BF23" s="3">
        <v>0.00059036023671673</v>
      </c>
      <c r="BG23" s="3">
        <v>0.00016938152336213</v>
      </c>
      <c r="BH23" s="3">
        <v>-0.00098218349911961</v>
      </c>
      <c r="BI23" s="3">
        <v>139.71339052209</v>
      </c>
      <c r="BJ23" s="3">
        <v>69.864996987574</v>
      </c>
      <c r="BK23" s="3">
        <v>128.50956185687</v>
      </c>
      <c r="BL23" s="4"/>
      <c r="BM23" s="7"/>
    </row>
    <row r="24" spans="1:65">
      <c r="A24" s="3">
        <v>223341.79607548</v>
      </c>
      <c r="B24" s="5">
        <v>5.3369085654497e-6</v>
      </c>
      <c r="C24" s="6">
        <f t="shared" si="0"/>
        <v>2.670542112735e-11</v>
      </c>
      <c r="D24" s="5">
        <v>1.5333176680018e-12</v>
      </c>
      <c r="E24" s="5">
        <v>1.8679528892062e-12</v>
      </c>
      <c r="F24" s="5">
        <v>1.8679425798644e-12</v>
      </c>
      <c r="G24" s="5">
        <v>1.8679146840111e-12</v>
      </c>
      <c r="H24" s="5">
        <v>1.5332779585852e-12</v>
      </c>
      <c r="I24" s="5">
        <v>1.533289211078e-12</v>
      </c>
      <c r="J24" s="5">
        <v>1.5332818475169e-12</v>
      </c>
      <c r="K24" s="5">
        <v>1.6160730894897e-12</v>
      </c>
      <c r="L24" s="5">
        <v>1.6161014160874e-12</v>
      </c>
      <c r="M24" s="5">
        <v>1.6160654363375e-12</v>
      </c>
      <c r="N24" s="5">
        <v>1.6982844212713e-12</v>
      </c>
      <c r="O24" s="5">
        <v>1.5332785131419e-12</v>
      </c>
      <c r="P24" s="5">
        <v>1.6982707384424e-12</v>
      </c>
      <c r="Q24" s="5">
        <v>1.6983797551983e-12</v>
      </c>
      <c r="R24" s="5">
        <v>1.8679151527986e-12</v>
      </c>
      <c r="S24" s="5">
        <v>1.8679047097368e-12</v>
      </c>
      <c r="T24" s="5">
        <v>1.867913936337e-12</v>
      </c>
      <c r="U24" s="5">
        <v>1.5332819934319e-12</v>
      </c>
      <c r="V24" s="5">
        <v>1.6160885263614e-12</v>
      </c>
      <c r="W24" s="5">
        <v>1.616116162548e-12</v>
      </c>
      <c r="X24" s="5">
        <v>1.6160828867713e-12</v>
      </c>
      <c r="Y24" s="5">
        <v>1.6982825027652e-12</v>
      </c>
      <c r="Z24" s="5">
        <v>1.6983897419316e-12</v>
      </c>
      <c r="AA24" s="5">
        <v>1.6984154823541e-12</v>
      </c>
      <c r="AB24" s="3">
        <v>0.95315037849246</v>
      </c>
      <c r="AC24" s="3">
        <v>0.87228503650616</v>
      </c>
      <c r="AD24" s="3">
        <v>0.00057689747473166</v>
      </c>
      <c r="AE24" s="5">
        <v>-7.5661526485968e-14</v>
      </c>
      <c r="AF24" s="5">
        <v>3.9793065538713e-13</v>
      </c>
      <c r="AG24" s="5">
        <v>2.7325162488781e-13</v>
      </c>
      <c r="AH24" s="5">
        <v>1.2076782631775e-14</v>
      </c>
      <c r="AI24" s="5">
        <v>-8.8882195087066e-15</v>
      </c>
      <c r="AJ24" s="5">
        <v>7.4532113324063e-14</v>
      </c>
      <c r="AK24" s="5">
        <v>9.978940254528e-16</v>
      </c>
      <c r="AL24" s="5">
        <v>5.7046801275651e-14</v>
      </c>
      <c r="AM24" s="5">
        <v>3.0415648214414e-14</v>
      </c>
      <c r="AN24" s="5">
        <v>-1.7108045191197e-14</v>
      </c>
      <c r="AO24" s="5">
        <v>7.8224114106109e-14</v>
      </c>
      <c r="AP24" s="5">
        <v>1.0432845609138e-15</v>
      </c>
      <c r="AQ24" s="5">
        <v>2.6847185570836e-14</v>
      </c>
      <c r="AR24" s="5">
        <v>-4.534525471625e-13</v>
      </c>
      <c r="AS24" s="5">
        <v>-4.5472712523932e-14</v>
      </c>
      <c r="AT24" s="5">
        <v>1.8883786041081e-14</v>
      </c>
      <c r="AU24" s="5">
        <v>-7.4179997350437e-14</v>
      </c>
      <c r="AV24" s="5">
        <v>-5.5188214865704e-14</v>
      </c>
      <c r="AW24" s="5">
        <v>-3.7405101902171e-14</v>
      </c>
      <c r="AX24" s="5">
        <v>2.8613329216282e-13</v>
      </c>
      <c r="AY24" s="5">
        <v>5.78043687481e-14</v>
      </c>
      <c r="AZ24" s="5">
        <v>-1.6934176343692e-13</v>
      </c>
      <c r="BA24" s="5">
        <v>3.7039363315854e-13</v>
      </c>
      <c r="BB24" s="5">
        <v>-9.7166224021592e-13</v>
      </c>
      <c r="BC24" s="3">
        <v>15998170.146824</v>
      </c>
      <c r="BD24" s="3">
        <v>3999340.7962894</v>
      </c>
      <c r="BE24" s="3">
        <v>-0.00027959261105113</v>
      </c>
      <c r="BF24" s="3">
        <v>0.00059100886361454</v>
      </c>
      <c r="BG24" s="3">
        <v>0.0001696976403022</v>
      </c>
      <c r="BH24" s="3">
        <v>-0.00098243221865709</v>
      </c>
      <c r="BI24" s="3">
        <v>139.71338566332</v>
      </c>
      <c r="BJ24" s="3">
        <v>69.864999164194</v>
      </c>
      <c r="BK24" s="3">
        <v>128.50339385445</v>
      </c>
      <c r="BL24" s="4"/>
      <c r="BM24" s="7"/>
    </row>
    <row r="25" spans="1:65">
      <c r="A25" s="3">
        <v>250593.61681364</v>
      </c>
      <c r="B25" s="5">
        <v>5.9829972517676e-6</v>
      </c>
      <c r="C25" s="6">
        <f t="shared" si="0"/>
        <v>2.66714761561672e-11</v>
      </c>
      <c r="D25" s="5">
        <v>1.5332952139351e-12</v>
      </c>
      <c r="E25" s="5">
        <v>1.8677900216765e-12</v>
      </c>
      <c r="F25" s="5">
        <v>1.8677786210079e-12</v>
      </c>
      <c r="G25" s="5">
        <v>1.8677474121588e-12</v>
      </c>
      <c r="H25" s="5">
        <v>1.533250737331e-12</v>
      </c>
      <c r="I25" s="5">
        <v>1.5332633363014e-12</v>
      </c>
      <c r="J25" s="5">
        <v>1.5332550958112e-12</v>
      </c>
      <c r="K25" s="5">
        <v>1.6159973565101e-12</v>
      </c>
      <c r="L25" s="5">
        <v>1.6160290656408e-12</v>
      </c>
      <c r="M25" s="5">
        <v>1.6159887742304e-12</v>
      </c>
      <c r="N25" s="5">
        <v>1.6981787387753e-12</v>
      </c>
      <c r="O25" s="5">
        <v>1.5332513581686e-12</v>
      </c>
      <c r="P25" s="5">
        <v>1.6981634748799e-12</v>
      </c>
      <c r="Q25" s="5">
        <v>1.6982844501133e-12</v>
      </c>
      <c r="R25" s="5">
        <v>1.8677478943048e-12</v>
      </c>
      <c r="S25" s="5">
        <v>1.8677362212981e-12</v>
      </c>
      <c r="T25" s="5">
        <v>1.8677465598428e-12</v>
      </c>
      <c r="U25" s="5">
        <v>1.5332552668345e-12</v>
      </c>
      <c r="V25" s="5">
        <v>1.6160145845686e-12</v>
      </c>
      <c r="W25" s="5">
        <v>1.6160455204346e-12</v>
      </c>
      <c r="X25" s="5">
        <v>1.6160083607082e-12</v>
      </c>
      <c r="Y25" s="5">
        <v>1.6981766426602e-12</v>
      </c>
      <c r="Z25" s="5">
        <v>1.6982961170406e-12</v>
      </c>
      <c r="AA25" s="5">
        <v>1.6983244017748e-12</v>
      </c>
      <c r="AB25" s="3">
        <v>0.95331497473285</v>
      </c>
      <c r="AC25" s="3">
        <v>0.87244147708959</v>
      </c>
      <c r="AD25" s="3">
        <v>0.00057748968835583</v>
      </c>
      <c r="AE25" s="5">
        <v>-7.5249399703528e-14</v>
      </c>
      <c r="AF25" s="5">
        <v>3.9439792049076e-13</v>
      </c>
      <c r="AG25" s="5">
        <v>2.721614670617e-13</v>
      </c>
      <c r="AH25" s="5">
        <v>1.2330553136242e-14</v>
      </c>
      <c r="AI25" s="5">
        <v>-8.8911122836255e-15</v>
      </c>
      <c r="AJ25" s="5">
        <v>7.421150214885e-14</v>
      </c>
      <c r="AK25" s="5">
        <v>9.7623806649175e-16</v>
      </c>
      <c r="AL25" s="5">
        <v>5.6835982574497e-14</v>
      </c>
      <c r="AM25" s="5">
        <v>3.0739195111294e-14</v>
      </c>
      <c r="AN25" s="5">
        <v>-1.6999262591414e-14</v>
      </c>
      <c r="AO25" s="5">
        <v>7.7248751691006e-14</v>
      </c>
      <c r="AP25" s="5">
        <v>1.0384805450969e-15</v>
      </c>
      <c r="AQ25" s="5">
        <v>2.6466530049834e-14</v>
      </c>
      <c r="AR25" s="5">
        <v>-4.412621495344e-13</v>
      </c>
      <c r="AS25" s="5">
        <v>-4.4849146131306e-14</v>
      </c>
      <c r="AT25" s="5">
        <v>1.8699836060496e-14</v>
      </c>
      <c r="AU25" s="5">
        <v>-7.3822505151077e-14</v>
      </c>
      <c r="AV25" s="5">
        <v>-5.5199144532184e-14</v>
      </c>
      <c r="AW25" s="5">
        <v>-3.7092782952127e-14</v>
      </c>
      <c r="AX25" s="5">
        <v>2.8397900589329e-13</v>
      </c>
      <c r="AY25" s="5">
        <v>5.7583161738873e-14</v>
      </c>
      <c r="AZ25" s="5">
        <v>-1.6836181618592e-13</v>
      </c>
      <c r="BA25" s="5">
        <v>3.6404350388833e-13</v>
      </c>
      <c r="BB25" s="5">
        <v>-9.5228211582044e-13</v>
      </c>
      <c r="BC25" s="3">
        <v>15997945.065075</v>
      </c>
      <c r="BD25" s="3">
        <v>3999259.822162</v>
      </c>
      <c r="BE25" s="3">
        <v>-0.00027957671870376</v>
      </c>
      <c r="BF25" s="3">
        <v>0.00059173570990157</v>
      </c>
      <c r="BG25" s="3">
        <v>0.00017005234346462</v>
      </c>
      <c r="BH25" s="3">
        <v>-0.00098269871859054</v>
      </c>
      <c r="BI25" s="3">
        <v>139.71338030278</v>
      </c>
      <c r="BJ25" s="3">
        <v>69.865001598234</v>
      </c>
      <c r="BK25" s="3">
        <v>128.49647740077</v>
      </c>
      <c r="BL25" s="4"/>
      <c r="BM25" s="7"/>
    </row>
    <row r="26" spans="1:65">
      <c r="A26" s="3">
        <v>281170.66259518</v>
      </c>
      <c r="B26" s="5">
        <v>6.7068360765004e-6</v>
      </c>
      <c r="C26" s="6">
        <f t="shared" si="0"/>
        <v>2.66354085322313e-11</v>
      </c>
      <c r="D26" s="5">
        <v>1.5332692330684e-12</v>
      </c>
      <c r="E26" s="5">
        <v>1.8676081168358e-12</v>
      </c>
      <c r="F26" s="5">
        <v>1.867595528418e-12</v>
      </c>
      <c r="G26" s="5">
        <v>1.8675606264633e-12</v>
      </c>
      <c r="H26" s="5">
        <v>1.533219428323e-12</v>
      </c>
      <c r="I26" s="5">
        <v>1.5332335311071e-12</v>
      </c>
      <c r="J26" s="5">
        <v>1.5332243122891e-12</v>
      </c>
      <c r="K26" s="5">
        <v>1.6159127498724e-12</v>
      </c>
      <c r="L26" s="5">
        <v>1.6159482352974e-12</v>
      </c>
      <c r="M26" s="5">
        <v>1.615903126202e-12</v>
      </c>
      <c r="N26" s="5">
        <v>1.6980598165012e-12</v>
      </c>
      <c r="O26" s="5">
        <v>1.5332201231529e-12</v>
      </c>
      <c r="P26" s="5">
        <v>1.6980427988947e-12</v>
      </c>
      <c r="Q26" s="5">
        <v>1.6981769444114e-12</v>
      </c>
      <c r="R26" s="5">
        <v>1.8675611128446e-12</v>
      </c>
      <c r="S26" s="5">
        <v>1.8675480705361e-12</v>
      </c>
      <c r="T26" s="5">
        <v>1.8675596528641e-12</v>
      </c>
      <c r="U26" s="5">
        <v>1.5332245133309e-12</v>
      </c>
      <c r="V26" s="5">
        <v>1.6159319647241e-12</v>
      </c>
      <c r="W26" s="5">
        <v>1.6159665857217e-12</v>
      </c>
      <c r="X26" s="5">
        <v>1.6159251104508e-12</v>
      </c>
      <c r="Y26" s="5">
        <v>1.6980575324215e-12</v>
      </c>
      <c r="Z26" s="5">
        <v>1.6981905445456e-12</v>
      </c>
      <c r="AA26" s="5">
        <v>1.6982216113675e-12</v>
      </c>
      <c r="AB26" s="3">
        <v>0.95349580752323</v>
      </c>
      <c r="AC26" s="3">
        <v>0.87261672301946</v>
      </c>
      <c r="AD26" s="3">
        <v>0.0005781530364274</v>
      </c>
      <c r="AE26" s="5">
        <v>-7.4787880968857e-14</v>
      </c>
      <c r="AF26" s="5">
        <v>3.9054797572969e-13</v>
      </c>
      <c r="AG26" s="5">
        <v>2.7094665907584e-13</v>
      </c>
      <c r="AH26" s="5">
        <v>1.2609713098994e-14</v>
      </c>
      <c r="AI26" s="5">
        <v>-8.894028896606e-15</v>
      </c>
      <c r="AJ26" s="5">
        <v>7.3854856609789e-14</v>
      </c>
      <c r="AK26" s="5">
        <v>9.5382650319599e-16</v>
      </c>
      <c r="AL26" s="5">
        <v>5.6606979968696e-14</v>
      </c>
      <c r="AM26" s="5">
        <v>3.1108370842621e-14</v>
      </c>
      <c r="AN26" s="5">
        <v>-1.6878005140428e-14</v>
      </c>
      <c r="AO26" s="5">
        <v>7.6192556719109e-14</v>
      </c>
      <c r="AP26" s="5">
        <v>1.0332986940433e-15</v>
      </c>
      <c r="AQ26" s="5">
        <v>2.6066817228035e-14</v>
      </c>
      <c r="AR26" s="5">
        <v>-4.2885067886782e-13</v>
      </c>
      <c r="AS26" s="5">
        <v>-4.4170219125082e-14</v>
      </c>
      <c r="AT26" s="5">
        <v>1.8498854133199e-14</v>
      </c>
      <c r="AU26" s="5">
        <v>-7.3424583943187e-14</v>
      </c>
      <c r="AV26" s="5">
        <v>-5.5210396764242e-14</v>
      </c>
      <c r="AW26" s="5">
        <v>-3.6747721190768e-14</v>
      </c>
      <c r="AX26" s="5">
        <v>2.8162666595828e-13</v>
      </c>
      <c r="AY26" s="5">
        <v>5.7336880467863e-14</v>
      </c>
      <c r="AZ26" s="5">
        <v>-1.6727903108628e-13</v>
      </c>
      <c r="BA26" s="5">
        <v>3.572428757682e-13</v>
      </c>
      <c r="BB26" s="5">
        <v>-9.322663774993e-13</v>
      </c>
      <c r="BC26" s="3">
        <v>15997692.180201</v>
      </c>
      <c r="BD26" s="3">
        <v>3999168.8653409</v>
      </c>
      <c r="BE26" s="3">
        <v>-0.00027955786816971</v>
      </c>
      <c r="BF26" s="3">
        <v>0.00059255014200767</v>
      </c>
      <c r="BG26" s="3">
        <v>0.00017045033930661</v>
      </c>
      <c r="BH26" s="3">
        <v>-0.0009829829100453</v>
      </c>
      <c r="BI26" s="3">
        <v>139.71337439349</v>
      </c>
      <c r="BJ26" s="3">
        <v>69.865004319805</v>
      </c>
      <c r="BK26" s="3">
        <v>128.48872235694</v>
      </c>
      <c r="BL26" s="4"/>
      <c r="BM26" s="7"/>
    </row>
    <row r="27" spans="1:65">
      <c r="A27" s="3">
        <v>315478.6722401</v>
      </c>
      <c r="B27" s="5">
        <v>7.5177129228116e-6</v>
      </c>
      <c r="C27" s="6">
        <f t="shared" si="0"/>
        <v>2.65971705046181e-11</v>
      </c>
      <c r="D27" s="5">
        <v>1.5332391958404e-12</v>
      </c>
      <c r="E27" s="5">
        <v>1.8674049648375e-12</v>
      </c>
      <c r="F27" s="5">
        <v>1.8673910877844e-12</v>
      </c>
      <c r="G27" s="5">
        <v>1.867352072433e-12</v>
      </c>
      <c r="H27" s="5">
        <v>1.5331834387433e-12</v>
      </c>
      <c r="I27" s="5">
        <v>1.533199220145e-12</v>
      </c>
      <c r="J27" s="5">
        <v>1.5331889106168e-12</v>
      </c>
      <c r="K27" s="5">
        <v>1.6158182573118e-12</v>
      </c>
      <c r="L27" s="5">
        <v>1.6158579562578e-12</v>
      </c>
      <c r="M27" s="5">
        <v>1.6158074664775e-12</v>
      </c>
      <c r="N27" s="5">
        <v>1.6979273522354e-12</v>
      </c>
      <c r="O27" s="5">
        <v>1.5331842161211e-12</v>
      </c>
      <c r="P27" s="5">
        <v>1.6979083914117e-12</v>
      </c>
      <c r="Q27" s="5">
        <v>1.6980570278482e-12</v>
      </c>
      <c r="R27" s="5">
        <v>1.8673525502477e-12</v>
      </c>
      <c r="S27" s="5">
        <v>1.8673379847091e-12</v>
      </c>
      <c r="T27" s="5">
        <v>1.8673509577459e-12</v>
      </c>
      <c r="U27" s="5">
        <v>1.5331891476459e-12</v>
      </c>
      <c r="V27" s="5">
        <v>1.6158396729621e-12</v>
      </c>
      <c r="W27" s="5">
        <v>1.6158784079166e-12</v>
      </c>
      <c r="X27" s="5">
        <v>1.6158321423598e-12</v>
      </c>
      <c r="Y27" s="5">
        <v>1.6979248704151e-12</v>
      </c>
      <c r="Z27" s="5">
        <v>1.6980728429636e-12</v>
      </c>
      <c r="AA27" s="5">
        <v>1.6981069569593e-12</v>
      </c>
      <c r="AB27" s="3">
        <v>0.95369406940884</v>
      </c>
      <c r="AC27" s="3">
        <v>0.87281283155842</v>
      </c>
      <c r="AD27" s="3">
        <v>0.0005788959973819</v>
      </c>
      <c r="AE27" s="5">
        <v>-7.4271870783844e-14</v>
      </c>
      <c r="AF27" s="5">
        <v>3.8636356060129e-13</v>
      </c>
      <c r="AG27" s="5">
        <v>2.6959446808842e-13</v>
      </c>
      <c r="AH27" s="5">
        <v>1.2916342388855e-14</v>
      </c>
      <c r="AI27" s="5">
        <v>-8.8969170443572e-15</v>
      </c>
      <c r="AJ27" s="5">
        <v>7.3458725324186e-14</v>
      </c>
      <c r="AK27" s="5">
        <v>9.3085233219271e-16</v>
      </c>
      <c r="AL27" s="5">
        <v>5.6358924286693e-14</v>
      </c>
      <c r="AM27" s="5">
        <v>3.1528851811179e-14</v>
      </c>
      <c r="AN27" s="5">
        <v>-1.6742973752926e-14</v>
      </c>
      <c r="AO27" s="5">
        <v>7.5052494194129e-14</v>
      </c>
      <c r="AP27" s="5">
        <v>1.0277417100949e-15</v>
      </c>
      <c r="AQ27" s="5">
        <v>2.5649206677594e-14</v>
      </c>
      <c r="AR27" s="5">
        <v>-4.162773356634e-13</v>
      </c>
      <c r="AS27" s="5">
        <v>-4.3433090335434e-14</v>
      </c>
      <c r="AT27" s="5">
        <v>1.8279782580821e-14</v>
      </c>
      <c r="AU27" s="5">
        <v>-7.2982095940443e-14</v>
      </c>
      <c r="AV27" s="5">
        <v>-5.5221845136707e-14</v>
      </c>
      <c r="AW27" s="5">
        <v>-3.6367384551367e-14</v>
      </c>
      <c r="AX27" s="5">
        <v>2.7906498110286e-13</v>
      </c>
      <c r="AY27" s="5">
        <v>5.7063020870294e-14</v>
      </c>
      <c r="AZ27" s="5">
        <v>-1.6608469968599e-13</v>
      </c>
      <c r="BA27" s="5">
        <v>3.4998980803387e-13</v>
      </c>
      <c r="BB27" s="5">
        <v>-9.1168367867791e-13</v>
      </c>
      <c r="BC27" s="3">
        <v>15997408.040556</v>
      </c>
      <c r="BD27" s="3">
        <v>3999066.6892072</v>
      </c>
      <c r="BE27" s="3">
        <v>-0.00027953550474322</v>
      </c>
      <c r="BF27" s="3">
        <v>0.00059346263798987</v>
      </c>
      <c r="BG27" s="3">
        <v>0.00017089690727245</v>
      </c>
      <c r="BH27" s="3">
        <v>-0.00098328431136761</v>
      </c>
      <c r="BI27" s="3">
        <v>139.71336788462</v>
      </c>
      <c r="BJ27" s="3">
        <v>69.865007362563</v>
      </c>
      <c r="BK27" s="3">
        <v>128.48002790318</v>
      </c>
      <c r="BL27" s="4"/>
      <c r="BM27" s="7"/>
    </row>
    <row r="28" spans="1:65">
      <c r="A28" s="3">
        <v>353972.89219207</v>
      </c>
      <c r="B28" s="5">
        <v>8.4260167208529e-6</v>
      </c>
      <c r="C28" s="6">
        <f t="shared" si="0"/>
        <v>2.65567170501304e-11</v>
      </c>
      <c r="D28" s="5">
        <v>1.5332045018433e-12</v>
      </c>
      <c r="E28" s="5">
        <v>1.8671780962739e-12</v>
      </c>
      <c r="F28" s="5">
        <v>1.8671628258886e-12</v>
      </c>
      <c r="G28" s="5">
        <v>1.8671192333207e-12</v>
      </c>
      <c r="H28" s="5">
        <v>1.5331420984654e-12</v>
      </c>
      <c r="I28" s="5">
        <v>1.5331597524728e-12</v>
      </c>
      <c r="J28" s="5">
        <v>1.53314822786e-12</v>
      </c>
      <c r="K28" s="5">
        <v>1.6157127540672e-12</v>
      </c>
      <c r="L28" s="5">
        <v>1.6157571514899e-12</v>
      </c>
      <c r="M28" s="5">
        <v>1.6157006551537e-12</v>
      </c>
      <c r="N28" s="5">
        <v>1.6977781302225e-12</v>
      </c>
      <c r="O28" s="5">
        <v>1.53314296787e-12</v>
      </c>
      <c r="P28" s="5">
        <v>1.6977570184968e-12</v>
      </c>
      <c r="Q28" s="5">
        <v>1.6979215834223e-12</v>
      </c>
      <c r="R28" s="5">
        <v>1.8671196850535e-12</v>
      </c>
      <c r="S28" s="5">
        <v>1.8671034265209e-12</v>
      </c>
      <c r="T28" s="5">
        <v>1.8671179538646e-12</v>
      </c>
      <c r="U28" s="5">
        <v>1.5331485081439e-12</v>
      </c>
      <c r="V28" s="5">
        <v>1.6157366039249e-12</v>
      </c>
      <c r="W28" s="5">
        <v>1.6157799296503e-12</v>
      </c>
      <c r="X28" s="5">
        <v>1.6157283526171e-12</v>
      </c>
      <c r="Y28" s="5">
        <v>1.6977754416876e-12</v>
      </c>
      <c r="Z28" s="5">
        <v>1.6979399253312e-12</v>
      </c>
      <c r="AA28" s="5">
        <v>1.6979773841469e-12</v>
      </c>
      <c r="AB28" s="3">
        <v>0.95391094930049</v>
      </c>
      <c r="AC28" s="3">
        <v>0.87303200019234</v>
      </c>
      <c r="AD28" s="3">
        <v>0.00057972805354289</v>
      </c>
      <c r="AE28" s="5">
        <v>-7.369600808834e-14</v>
      </c>
      <c r="AF28" s="5">
        <v>3.8182846273831e-13</v>
      </c>
      <c r="AG28" s="5">
        <v>2.6809127597446e-13</v>
      </c>
      <c r="AH28" s="5">
        <v>1.3252633447538e-14</v>
      </c>
      <c r="AI28" s="5">
        <v>-8.899711105497e-15</v>
      </c>
      <c r="AJ28" s="5">
        <v>7.3019484577434e-14</v>
      </c>
      <c r="AK28" s="5">
        <v>9.0755349279582e-16</v>
      </c>
      <c r="AL28" s="5">
        <v>5.6091006678104e-14</v>
      </c>
      <c r="AM28" s="5">
        <v>3.200672977041e-14</v>
      </c>
      <c r="AN28" s="5">
        <v>-1.6592772354871e-14</v>
      </c>
      <c r="AO28" s="5">
        <v>7.3826061737129e-14</v>
      </c>
      <c r="AP28" s="5">
        <v>1.0218217023429e-15</v>
      </c>
      <c r="AQ28" s="5">
        <v>2.5215201913743e-14</v>
      </c>
      <c r="AR28" s="5">
        <v>-4.0360198646889e-13</v>
      </c>
      <c r="AS28" s="5">
        <v>-4.2635148489732e-14</v>
      </c>
      <c r="AT28" s="5">
        <v>1.8041585764681e-14</v>
      </c>
      <c r="AU28" s="5">
        <v>-7.2490584449087e-14</v>
      </c>
      <c r="AV28" s="5">
        <v>-5.5233326859716e-14</v>
      </c>
      <c r="AW28" s="5">
        <v>-3.5949267486869e-14</v>
      </c>
      <c r="AX28" s="5">
        <v>2.7628332683417e-13</v>
      </c>
      <c r="AY28" s="5">
        <v>5.6758917597906e-14</v>
      </c>
      <c r="AZ28" s="5">
        <v>-1.6476983048946e-13</v>
      </c>
      <c r="BA28" s="5">
        <v>3.4228779234915e-13</v>
      </c>
      <c r="BB28" s="5">
        <v>-8.906082973183e-13</v>
      </c>
      <c r="BC28" s="3">
        <v>15997088.764611</v>
      </c>
      <c r="BD28" s="3">
        <v>3998951.9033665</v>
      </c>
      <c r="BE28" s="3">
        <v>-0.00027950897290264</v>
      </c>
      <c r="BF28" s="3">
        <v>0.0005944849180972</v>
      </c>
      <c r="BG28" s="3">
        <v>0.0001713979693795</v>
      </c>
      <c r="BH28" s="3">
        <v>-0.00098360197821974</v>
      </c>
      <c r="BI28" s="3">
        <v>139.71336072113</v>
      </c>
      <c r="BJ28" s="3">
        <v>69.865010764029</v>
      </c>
      <c r="BK28" s="3">
        <v>128.47028132122</v>
      </c>
      <c r="BL28" s="4"/>
      <c r="BM28" s="7"/>
    </row>
    <row r="29" spans="1:65">
      <c r="A29" s="3">
        <v>397164.11736215</v>
      </c>
      <c r="B29" s="5">
        <v>9.4433671788688e-6</v>
      </c>
      <c r="C29" s="6">
        <f t="shared" si="0"/>
        <v>2.65140056444445e-11</v>
      </c>
      <c r="D29" s="5">
        <v>1.533171353752e-12</v>
      </c>
      <c r="E29" s="5">
        <v>1.8669247516186e-12</v>
      </c>
      <c r="F29" s="5">
        <v>1.8669079802447e-12</v>
      </c>
      <c r="G29" s="5">
        <v>1.8668592997264e-12</v>
      </c>
      <c r="H29" s="5">
        <v>1.5331015324365e-12</v>
      </c>
      <c r="I29" s="5">
        <v>1.533121274092e-12</v>
      </c>
      <c r="J29" s="5">
        <v>1.5331083972971e-12</v>
      </c>
      <c r="K29" s="5">
        <v>1.6155949897223e-12</v>
      </c>
      <c r="L29" s="5">
        <v>1.6156446228815e-12</v>
      </c>
      <c r="M29" s="5">
        <v>1.6155814248364e-12</v>
      </c>
      <c r="N29" s="5">
        <v>1.6976100433388e-12</v>
      </c>
      <c r="O29" s="5">
        <v>1.5331025043527e-12</v>
      </c>
      <c r="P29" s="5">
        <v>1.6975865534588e-12</v>
      </c>
      <c r="Q29" s="5">
        <v>1.6977686101752e-12</v>
      </c>
      <c r="R29" s="5">
        <v>1.866859701863e-12</v>
      </c>
      <c r="S29" s="5">
        <v>1.8668415634154e-12</v>
      </c>
      <c r="T29" s="5">
        <v>1.8668578270547e-12</v>
      </c>
      <c r="U29" s="5">
        <v>1.533108729333e-12</v>
      </c>
      <c r="V29" s="5">
        <v>1.6156215274685e-12</v>
      </c>
      <c r="W29" s="5">
        <v>1.6156699738563e-12</v>
      </c>
      <c r="X29" s="5">
        <v>1.615612514348e-12</v>
      </c>
      <c r="Y29" s="5">
        <v>1.6976071401229e-12</v>
      </c>
      <c r="Z29" s="5">
        <v>1.6977898214646e-12</v>
      </c>
      <c r="AA29" s="5">
        <v>1.6978309616531e-12</v>
      </c>
      <c r="AB29" s="3">
        <v>0.95414796295789</v>
      </c>
      <c r="AC29" s="3">
        <v>0.87327662685921</v>
      </c>
      <c r="AD29" s="3">
        <v>0.00058065980958621</v>
      </c>
      <c r="AE29" s="5">
        <v>-7.3054756826098e-14</v>
      </c>
      <c r="AF29" s="5">
        <v>3.7692786223322e-13</v>
      </c>
      <c r="AG29" s="5">
        <v>2.6642262130319e-13</v>
      </c>
      <c r="AH29" s="5">
        <v>1.3620896779057e-14</v>
      </c>
      <c r="AI29" s="5">
        <v>-8.9023304846283e-15</v>
      </c>
      <c r="AJ29" s="5">
        <v>7.2533378560907e-14</v>
      </c>
      <c r="AK29" s="5">
        <v>8.8420781880135e-16</v>
      </c>
      <c r="AL29" s="5">
        <v>5.5802484768798e-14</v>
      </c>
      <c r="AM29" s="5">
        <v>3.2548423908648e-14</v>
      </c>
      <c r="AN29" s="5">
        <v>-1.6425911993546e-14</v>
      </c>
      <c r="AO29" s="5">
        <v>7.2511392894906e-14</v>
      </c>
      <c r="AP29" s="5">
        <v>1.0155671602954e-15</v>
      </c>
      <c r="AQ29" s="5">
        <v>2.476669106884e-14</v>
      </c>
      <c r="AR29" s="5">
        <v>-3.9088383633443e-13</v>
      </c>
      <c r="AS29" s="5">
        <v>-4.1774080139233e-14</v>
      </c>
      <c r="AT29" s="5">
        <v>1.7783263442018e-14</v>
      </c>
      <c r="AU29" s="5">
        <v>-7.1945273181103e-14</v>
      </c>
      <c r="AV29" s="5">
        <v>-5.5244637558661e-14</v>
      </c>
      <c r="AW29" s="5">
        <v>-3.5490957267586e-14</v>
      </c>
      <c r="AX29" s="5">
        <v>2.7327203449137e-13</v>
      </c>
      <c r="AY29" s="5">
        <v>5.6421756499895e-14</v>
      </c>
      <c r="AZ29" s="5">
        <v>-1.6332523538778e-13</v>
      </c>
      <c r="BA29" s="5">
        <v>3.3414626074382e-13</v>
      </c>
      <c r="BB29" s="5">
        <v>-8.6911925225964e-13</v>
      </c>
      <c r="BC29" s="3">
        <v>15996729.987383</v>
      </c>
      <c r="BD29" s="3">
        <v>3998822.9444782</v>
      </c>
      <c r="BE29" s="3">
        <v>-0.00027947749827693</v>
      </c>
      <c r="BF29" s="3">
        <v>0.00059563009048515</v>
      </c>
      <c r="BG29" s="3">
        <v>0.00017196016821946</v>
      </c>
      <c r="BH29" s="3">
        <v>-0.00098393434896753</v>
      </c>
      <c r="BI29" s="3">
        <v>139.71335284361</v>
      </c>
      <c r="BJ29" s="3">
        <v>69.865014566039</v>
      </c>
      <c r="BK29" s="3">
        <v>128.45935668218</v>
      </c>
      <c r="BL29" s="4"/>
      <c r="BM29" s="7"/>
    </row>
    <row r="30" spans="1:65">
      <c r="A30" s="3">
        <v>445625.46906688</v>
      </c>
      <c r="B30" s="5">
        <v>1.0582760009095e-5</v>
      </c>
      <c r="C30" s="6">
        <f t="shared" si="0"/>
        <v>2.64689966383007e-11</v>
      </c>
      <c r="D30" s="5">
        <v>1.533134773554e-12</v>
      </c>
      <c r="E30" s="5">
        <v>1.8666418471314e-12</v>
      </c>
      <c r="F30" s="5">
        <v>1.8666234652187e-12</v>
      </c>
      <c r="G30" s="5">
        <v>1.8665691357563e-12</v>
      </c>
      <c r="H30" s="5">
        <v>1.5330566788578e-12</v>
      </c>
      <c r="I30" s="5">
        <v>1.5330787461478e-12</v>
      </c>
      <c r="J30" s="5">
        <v>1.5330643658187e-12</v>
      </c>
      <c r="K30" s="5">
        <v>1.6154635734077e-12</v>
      </c>
      <c r="L30" s="5">
        <v>1.615519036762e-12</v>
      </c>
      <c r="M30" s="5">
        <v>1.6154483656104e-12</v>
      </c>
      <c r="N30" s="5">
        <v>1.6974207317189e-12</v>
      </c>
      <c r="O30" s="5">
        <v>1.533057764863e-12</v>
      </c>
      <c r="P30" s="5">
        <v>1.697394615395e-12</v>
      </c>
      <c r="Q30" s="5">
        <v>1.6975958621935e-12</v>
      </c>
      <c r="R30" s="5">
        <v>1.8665694571917e-12</v>
      </c>
      <c r="S30" s="5">
        <v>1.8665492333798e-12</v>
      </c>
      <c r="T30" s="5">
        <v>1.8665674355465e-12</v>
      </c>
      <c r="U30" s="5">
        <v>1.5330647601815e-12</v>
      </c>
      <c r="V30" s="5">
        <v>1.6154930736655e-12</v>
      </c>
      <c r="W30" s="5">
        <v>1.6155472293045e-12</v>
      </c>
      <c r="X30" s="5">
        <v>1.6154832631341e-12</v>
      </c>
      <c r="Y30" s="5">
        <v>1.6974176070232e-12</v>
      </c>
      <c r="Z30" s="5">
        <v>1.6976203165887e-12</v>
      </c>
      <c r="AA30" s="5">
        <v>1.6976655212006e-12</v>
      </c>
      <c r="AB30" s="3">
        <v>0.95440606054391</v>
      </c>
      <c r="AC30" s="3">
        <v>0.87354917797891</v>
      </c>
      <c r="AD30" s="3">
        <v>0.00058170312562453</v>
      </c>
      <c r="AE30" s="5">
        <v>-7.2342468254784e-14</v>
      </c>
      <c r="AF30" s="5">
        <v>3.7164867104854e-13</v>
      </c>
      <c r="AG30" s="5">
        <v>2.6457327258393e-13</v>
      </c>
      <c r="AH30" s="5">
        <v>1.4023569238314e-14</v>
      </c>
      <c r="AI30" s="5">
        <v>-8.9046780742733e-15</v>
      </c>
      <c r="AJ30" s="5">
        <v>7.1996571304246e-14</v>
      </c>
      <c r="AK30" s="5">
        <v>8.6113749607786e-16</v>
      </c>
      <c r="AL30" s="5">
        <v>5.5492681615716e-14</v>
      </c>
      <c r="AM30" s="5">
        <v>3.316056009574e-14</v>
      </c>
      <c r="AN30" s="5">
        <v>-1.624081845994e-14</v>
      </c>
      <c r="AO30" s="5">
        <v>7.11073528344e-14</v>
      </c>
      <c r="AP30" s="5">
        <v>1.0090313566662e-15</v>
      </c>
      <c r="AQ30" s="5">
        <v>2.4305974264296e-14</v>
      </c>
      <c r="AR30" s="5">
        <v>-3.7818019075556e-13</v>
      </c>
      <c r="AS30" s="5">
        <v>-4.0847936971681e-14</v>
      </c>
      <c r="AT30" s="5">
        <v>1.7503863746093e-14</v>
      </c>
      <c r="AU30" s="5">
        <v>-7.1341071221858e-14</v>
      </c>
      <c r="AV30" s="5">
        <v>-5.5255525931316e-14</v>
      </c>
      <c r="AW30" s="5">
        <v>-3.4990204678567e-14</v>
      </c>
      <c r="AX30" s="5">
        <v>2.7002268844354e-13</v>
      </c>
      <c r="AY30" s="5">
        <v>5.6048593245777e-14</v>
      </c>
      <c r="AZ30" s="5">
        <v>-1.6174163600053e-13</v>
      </c>
      <c r="BA30" s="5">
        <v>3.2558094645447e-13</v>
      </c>
      <c r="BB30" s="5">
        <v>-8.4729930375479e-13</v>
      </c>
      <c r="BC30" s="3">
        <v>15996326.800368</v>
      </c>
      <c r="BD30" s="3">
        <v>3998678.0547611</v>
      </c>
      <c r="BE30" s="3">
        <v>-0.00027944016714744</v>
      </c>
      <c r="BF30" s="3">
        <v>0.00059691281384051</v>
      </c>
      <c r="BG30" s="3">
        <v>0.00017259095442682</v>
      </c>
      <c r="BH30" s="3">
        <v>-0.00098427907744745</v>
      </c>
      <c r="BI30" s="3">
        <v>139.71334418797</v>
      </c>
      <c r="BJ30" s="3">
        <v>69.865018815181</v>
      </c>
      <c r="BK30" s="3">
        <v>128.44711337216</v>
      </c>
      <c r="BL30" s="4"/>
      <c r="BM30" s="7"/>
    </row>
    <row r="31" spans="1:65">
      <c r="A31" s="3">
        <v>500000.00000001</v>
      </c>
      <c r="B31" s="5">
        <v>1.1858729869454e-5</v>
      </c>
      <c r="C31" s="6">
        <f t="shared" si="0"/>
        <v>2.64216524561262e-11</v>
      </c>
      <c r="D31" s="5">
        <v>1.5330920415045e-12</v>
      </c>
      <c r="E31" s="5">
        <v>1.866325933561e-12</v>
      </c>
      <c r="F31" s="5">
        <v>1.8663058309512e-12</v>
      </c>
      <c r="G31" s="5">
        <v>1.866245238083e-12</v>
      </c>
      <c r="H31" s="5">
        <v>1.5330047260356e-12</v>
      </c>
      <c r="I31" s="5">
        <v>1.533029381943e-12</v>
      </c>
      <c r="J31" s="5">
        <v>1.5330133314135e-12</v>
      </c>
      <c r="K31" s="5">
        <v>1.6153169591432e-12</v>
      </c>
      <c r="L31" s="5">
        <v>1.6153789095751e-12</v>
      </c>
      <c r="M31" s="5">
        <v>1.6152999101184e-12</v>
      </c>
      <c r="N31" s="5">
        <v>1.697208547106e-12</v>
      </c>
      <c r="O31" s="5">
        <v>1.533005938889e-12</v>
      </c>
      <c r="P31" s="5">
        <v>1.6971795334476e-12</v>
      </c>
      <c r="Q31" s="5">
        <v>1.6974018135013e-12</v>
      </c>
      <c r="R31" s="5">
        <v>1.8662454381585e-12</v>
      </c>
      <c r="S31" s="5">
        <v>1.8662229035951e-12</v>
      </c>
      <c r="T31" s="5">
        <v>1.866243268752e-12</v>
      </c>
      <c r="U31" s="5">
        <v>1.533013801126e-12</v>
      </c>
      <c r="V31" s="5">
        <v>1.6153497178741e-12</v>
      </c>
      <c r="W31" s="5">
        <v>1.6154102362734e-12</v>
      </c>
      <c r="X31" s="5">
        <v>1.6153390826986e-12</v>
      </c>
      <c r="Y31" s="5">
        <v>1.6972051953717e-12</v>
      </c>
      <c r="Z31" s="5">
        <v>1.6974299157115e-12</v>
      </c>
      <c r="AA31" s="5">
        <v>1.6974796232661e-12</v>
      </c>
      <c r="AB31" s="3">
        <v>0.95468625962214</v>
      </c>
      <c r="AC31" s="3">
        <v>0.8738522536785</v>
      </c>
      <c r="AD31" s="3">
        <v>0.00058287126797888</v>
      </c>
      <c r="AE31" s="5">
        <v>-7.1553507231269e-14</v>
      </c>
      <c r="AF31" s="5">
        <v>3.6597987406083e-13</v>
      </c>
      <c r="AG31" s="5">
        <v>2.6252737942682e-13</v>
      </c>
      <c r="AH31" s="5">
        <v>1.4463228782042e-14</v>
      </c>
      <c r="AI31" s="5">
        <v>-8.9066377958121e-15</v>
      </c>
      <c r="AJ31" s="5">
        <v>7.1405171898385e-14</v>
      </c>
      <c r="AK31" s="5">
        <v>8.3870448788366e-16</v>
      </c>
      <c r="AL31" s="5">
        <v>5.5160974056066e-14</v>
      </c>
      <c r="AM31" s="5">
        <v>3.3850014248699e-14</v>
      </c>
      <c r="AN31" s="5">
        <v>-1.6035846263872e-14</v>
      </c>
      <c r="AO31" s="5">
        <v>6.9613602331027e-14</v>
      </c>
      <c r="AP31" s="5">
        <v>1.0022750986732e-15</v>
      </c>
      <c r="AQ31" s="5">
        <v>2.3835575890565e-14</v>
      </c>
      <c r="AR31" s="5">
        <v>-3.65545155882e-13</v>
      </c>
      <c r="AS31" s="5">
        <v>-3.9855196431877e-14</v>
      </c>
      <c r="AT31" s="5">
        <v>1.7202497219391e-14</v>
      </c>
      <c r="AU31" s="5">
        <v>-7.0672592319608e-14</v>
      </c>
      <c r="AV31" s="5">
        <v>-5.5265687487425e-14</v>
      </c>
      <c r="AW31" s="5">
        <v>-3.4444993645098e-14</v>
      </c>
      <c r="AX31" s="5">
        <v>2.6652820604104e-13</v>
      </c>
      <c r="AY31" s="5">
        <v>5.5636374844016e-14</v>
      </c>
      <c r="AZ31" s="5">
        <v>-1.6000981467712e-13</v>
      </c>
      <c r="BA31" s="5">
        <v>3.1661403835129e-13</v>
      </c>
      <c r="BB31" s="5">
        <v>-8.2523146862977e-13</v>
      </c>
      <c r="BC31" s="3">
        <v>15995873.684606</v>
      </c>
      <c r="BD31" s="3">
        <v>3998515.2580708</v>
      </c>
      <c r="BE31" s="3">
        <v>-0.00027939590527364</v>
      </c>
      <c r="BF31" s="3">
        <v>0.00059834947879929</v>
      </c>
      <c r="BG31" s="3">
        <v>0.00017329868479295</v>
      </c>
      <c r="BH31" s="3">
        <v>-0.00098463292400053</v>
      </c>
      <c r="BI31" s="3">
        <v>139.71333468562</v>
      </c>
      <c r="BJ31" s="3">
        <v>69.865023563496</v>
      </c>
      <c r="BK31" s="3">
        <v>128.43339435761</v>
      </c>
      <c r="BL31" s="4"/>
      <c r="BM31" s="7"/>
    </row>
    <row r="32" spans="1:65">
      <c r="A32" s="3">
        <v>561009.22715099</v>
      </c>
      <c r="B32" s="5">
        <v>1.328753184386e-5</v>
      </c>
      <c r="C32" s="6">
        <f t="shared" si="0"/>
        <v>2.63719371412196e-11</v>
      </c>
      <c r="D32" s="5">
        <v>1.533042226153e-12</v>
      </c>
      <c r="E32" s="5">
        <v>1.8659731542095e-12</v>
      </c>
      <c r="F32" s="5">
        <v>1.8659512216457e-12</v>
      </c>
      <c r="G32" s="5">
        <v>1.8658836944983e-12</v>
      </c>
      <c r="H32" s="5">
        <v>1.5329446418537e-12</v>
      </c>
      <c r="I32" s="5">
        <v>1.5329721765012e-12</v>
      </c>
      <c r="J32" s="5">
        <v>1.5329542727477e-12</v>
      </c>
      <c r="K32" s="5">
        <v>1.6151534267788e-12</v>
      </c>
      <c r="L32" s="5">
        <v>1.6152225891579e-12</v>
      </c>
      <c r="M32" s="5">
        <v>1.6151343142016e-12</v>
      </c>
      <c r="N32" s="5">
        <v>1.6969699098072e-12</v>
      </c>
      <c r="O32" s="5">
        <v>1.5329459955859e-12</v>
      </c>
      <c r="P32" s="5">
        <v>1.6969377036421e-12</v>
      </c>
      <c r="Q32" s="5">
        <v>1.6971830152628e-12</v>
      </c>
      <c r="R32" s="5">
        <v>1.865883720589e-12</v>
      </c>
      <c r="S32" s="5">
        <v>1.8658586285147e-12</v>
      </c>
      <c r="T32" s="5">
        <v>1.8658814054778e-12</v>
      </c>
      <c r="U32" s="5">
        <v>1.5329548337212e-12</v>
      </c>
      <c r="V32" s="5">
        <v>1.6151897613169e-12</v>
      </c>
      <c r="W32" s="5">
        <v>1.6152573678101e-12</v>
      </c>
      <c r="X32" s="5">
        <v>1.615178286229e-12</v>
      </c>
      <c r="Y32" s="5">
        <v>1.6969663266486e-12</v>
      </c>
      <c r="Z32" s="5">
        <v>1.6972152003577e-12</v>
      </c>
      <c r="AA32" s="5">
        <v>1.697269915495e-12</v>
      </c>
      <c r="AB32" s="3">
        <v>0.95498959270076</v>
      </c>
      <c r="AC32" s="3">
        <v>0.87418854725919</v>
      </c>
      <c r="AD32" s="3">
        <v>0.00058417907611762</v>
      </c>
      <c r="AE32" s="5">
        <v>-7.0682382352522e-14</v>
      </c>
      <c r="AF32" s="5">
        <v>3.5991281536456e-13</v>
      </c>
      <c r="AG32" s="5">
        <v>2.6026862777956e-13</v>
      </c>
      <c r="AH32" s="5">
        <v>1.494261065261e-14</v>
      </c>
      <c r="AI32" s="5">
        <v>-8.9080736160865e-15</v>
      </c>
      <c r="AJ32" s="5">
        <v>7.0755316429337e-14</v>
      </c>
      <c r="AK32" s="5">
        <v>8.1730615464321e-16</v>
      </c>
      <c r="AL32" s="5">
        <v>5.4806772646389e-14</v>
      </c>
      <c r="AM32" s="5">
        <v>3.4623715164772e-14</v>
      </c>
      <c r="AN32" s="5">
        <v>-1.5809296911153e-14</v>
      </c>
      <c r="AO32" s="5">
        <v>6.8030662750568e-14</v>
      </c>
      <c r="AP32" s="5">
        <v>9.9537831703371e-16</v>
      </c>
      <c r="AQ32" s="5">
        <v>2.3358284830896e-14</v>
      </c>
      <c r="AR32" s="5">
        <v>-3.5302885308664e-13</v>
      </c>
      <c r="AS32" s="5">
        <v>-3.8794818518063e-14</v>
      </c>
      <c r="AT32" s="5">
        <v>1.6878346909209e-14</v>
      </c>
      <c r="AU32" s="5">
        <v>-6.9934176707594e-14</v>
      </c>
      <c r="AV32" s="5">
        <v>-5.5274760023504e-14</v>
      </c>
      <c r="AW32" s="5">
        <v>-3.3853637876054e-14</v>
      </c>
      <c r="AX32" s="5">
        <v>2.6278312369592e-13</v>
      </c>
      <c r="AY32" s="5">
        <v>5.5181973857175e-14</v>
      </c>
      <c r="AZ32" s="5">
        <v>-1.5812076162799e-13</v>
      </c>
      <c r="BA32" s="5">
        <v>3.0727415221758e-13</v>
      </c>
      <c r="BB32" s="5">
        <v>-8.029985409371e-13</v>
      </c>
      <c r="BC32" s="3">
        <v>15995364.43491</v>
      </c>
      <c r="BD32" s="3">
        <v>3998332.3327723</v>
      </c>
      <c r="BE32" s="3">
        <v>-0.00027934344980032</v>
      </c>
      <c r="BF32" s="3">
        <v>0.00059995841030275</v>
      </c>
      <c r="BG32" s="3">
        <v>0.00017409273220211</v>
      </c>
      <c r="BH32" s="3">
        <v>-0.00098499150007387</v>
      </c>
      <c r="BI32" s="3">
        <v>139.71332426325</v>
      </c>
      <c r="BJ32" s="3">
        <v>69.865028868986</v>
      </c>
      <c r="BK32" s="3">
        <v>128.41802444271</v>
      </c>
      <c r="BL32" s="4"/>
      <c r="BM32" s="7"/>
    </row>
    <row r="33" spans="1:65">
      <c r="A33" s="3">
        <v>629462.7058971</v>
      </c>
      <c r="B33" s="5">
        <v>1.4887344737833e-5</v>
      </c>
      <c r="C33" s="6">
        <f t="shared" si="0"/>
        <v>2.63198163101729e-11</v>
      </c>
      <c r="D33" s="5">
        <v>1.5329842733089e-12</v>
      </c>
      <c r="E33" s="5">
        <v>1.8655791975613e-12</v>
      </c>
      <c r="F33" s="5">
        <v>1.8655553284162e-12</v>
      </c>
      <c r="G33" s="5">
        <v>1.8654801371834e-12</v>
      </c>
      <c r="H33" s="5">
        <v>1.5328752625504e-12</v>
      </c>
      <c r="I33" s="5">
        <v>1.5329059954043e-12</v>
      </c>
      <c r="J33" s="5">
        <v>1.5328860379366e-12</v>
      </c>
      <c r="K33" s="5">
        <v>1.6149710606599e-12</v>
      </c>
      <c r="L33" s="5">
        <v>1.6150482337619e-12</v>
      </c>
      <c r="M33" s="5">
        <v>1.614949635223e-12</v>
      </c>
      <c r="N33" s="5">
        <v>1.6967012592901e-12</v>
      </c>
      <c r="O33" s="5">
        <v>1.5328767725522e-12</v>
      </c>
      <c r="P33" s="5">
        <v>1.6966655393343e-12</v>
      </c>
      <c r="Q33" s="5">
        <v>1.6969360469913e-12</v>
      </c>
      <c r="R33" s="5">
        <v>1.8654799217426e-12</v>
      </c>
      <c r="S33" s="5">
        <v>1.8654520025844e-12</v>
      </c>
      <c r="T33" s="5">
        <v>1.865477466776e-12</v>
      </c>
      <c r="U33" s="5">
        <v>1.5328867096166e-12</v>
      </c>
      <c r="V33" s="5">
        <v>1.6150113092794e-12</v>
      </c>
      <c r="W33" s="5">
        <v>1.615086808715e-12</v>
      </c>
      <c r="X33" s="5">
        <v>1.614998995463e-12</v>
      </c>
      <c r="Y33" s="5">
        <v>1.6966974412135e-12</v>
      </c>
      <c r="Z33" s="5">
        <v>1.6969727791595e-12</v>
      </c>
      <c r="AA33" s="5">
        <v>1.697033084907e-12</v>
      </c>
      <c r="AB33" s="3">
        <v>0.95531699299758</v>
      </c>
      <c r="AC33" s="3">
        <v>0.87456080065147</v>
      </c>
      <c r="AD33" s="3">
        <v>0.00058564315104129</v>
      </c>
      <c r="AE33" s="5">
        <v>-6.9723912274816e-14</v>
      </c>
      <c r="AF33" s="5">
        <v>3.5344144449614e-13</v>
      </c>
      <c r="AG33" s="5">
        <v>2.5778046284361e-13</v>
      </c>
      <c r="AH33" s="5">
        <v>1.5464629511563e-14</v>
      </c>
      <c r="AI33" s="5">
        <v>-8.9088287005046e-15</v>
      </c>
      <c r="AJ33" s="5">
        <v>7.0043252211378e-14</v>
      </c>
      <c r="AK33" s="5">
        <v>7.9737140712542e-16</v>
      </c>
      <c r="AL33" s="5">
        <v>5.4429490378764e-14</v>
      </c>
      <c r="AM33" s="5">
        <v>3.54884917907e-14</v>
      </c>
      <c r="AN33" s="5">
        <v>-1.555944616712e-14</v>
      </c>
      <c r="AO33" s="5">
        <v>6.6359952050324e-14</v>
      </c>
      <c r="AP33" s="5">
        <v>9.8844309813473e-16</v>
      </c>
      <c r="AQ33" s="5">
        <v>2.2877106283528e-14</v>
      </c>
      <c r="AR33" s="5">
        <v>-3.4067681537315e-13</v>
      </c>
      <c r="AS33" s="5">
        <v>-3.7666290735915e-14</v>
      </c>
      <c r="AT33" s="5">
        <v>1.6530676874039e-14</v>
      </c>
      <c r="AU33" s="5">
        <v>-6.9119926934162e-14</v>
      </c>
      <c r="AV33" s="5">
        <v>-5.5282320354215e-14</v>
      </c>
      <c r="AW33" s="5">
        <v>-3.3214866624886e-14</v>
      </c>
      <c r="AX33" s="5">
        <v>2.5878376820864e-13</v>
      </c>
      <c r="AY33" s="5">
        <v>5.4682228158755e-14</v>
      </c>
      <c r="AZ33" s="5">
        <v>-1.560658516763e-13</v>
      </c>
      <c r="BA33" s="5">
        <v>2.9759606546773e-13</v>
      </c>
      <c r="BB33" s="5">
        <v>-7.8068178719195e-13</v>
      </c>
      <c r="BC33" s="3">
        <v>15994792.075228</v>
      </c>
      <c r="BD33" s="3">
        <v>3998126.7814638</v>
      </c>
      <c r="BE33" s="3">
        <v>-0.0002792813186812</v>
      </c>
      <c r="BF33" s="3">
        <v>0.00060176009328914</v>
      </c>
      <c r="BG33" s="3">
        <v>0.00017498360895635</v>
      </c>
      <c r="BH33" s="3">
        <v>-0.00098534903028179</v>
      </c>
      <c r="BI33" s="3">
        <v>139.71331284302</v>
      </c>
      <c r="BJ33" s="3">
        <v>69.865034796215</v>
      </c>
      <c r="BK33" s="3">
        <v>128.40080832355</v>
      </c>
      <c r="BL33" s="4"/>
      <c r="BM33" s="7"/>
    </row>
    <row r="34" spans="1:65">
      <c r="A34" s="3">
        <v>706268.77231139</v>
      </c>
      <c r="B34" s="5">
        <v>1.6678498614595e-5</v>
      </c>
      <c r="C34" s="6">
        <f t="shared" si="0"/>
        <v>2.62652576166132e-11</v>
      </c>
      <c r="D34" s="5">
        <v>1.5329169920283e-12</v>
      </c>
      <c r="E34" s="5">
        <v>1.8651392446353e-12</v>
      </c>
      <c r="F34" s="5">
        <v>1.8651133368405e-12</v>
      </c>
      <c r="G34" s="5">
        <v>1.8650296908801e-12</v>
      </c>
      <c r="H34" s="5">
        <v>1.532795278306e-12</v>
      </c>
      <c r="I34" s="5">
        <v>1.5328295604258e-12</v>
      </c>
      <c r="J34" s="5">
        <v>1.5328073302216e-12</v>
      </c>
      <c r="K34" s="5">
        <v>1.6147677258508e-12</v>
      </c>
      <c r="L34" s="5">
        <v>1.614853788659e-12</v>
      </c>
      <c r="M34" s="5">
        <v>1.6147437079001e-12</v>
      </c>
      <c r="N34" s="5">
        <v>1.6963989069982e-12</v>
      </c>
      <c r="O34" s="5">
        <v>1.5327969614132e-12</v>
      </c>
      <c r="P34" s="5">
        <v>1.6963593238342e-12</v>
      </c>
      <c r="Q34" s="5">
        <v>1.6966573698634e-12</v>
      </c>
      <c r="R34" s="5">
        <v>1.8650291478315e-12</v>
      </c>
      <c r="S34" s="5">
        <v>1.8649981077745e-12</v>
      </c>
      <c r="T34" s="5">
        <v>1.8650265636018e-12</v>
      </c>
      <c r="U34" s="5">
        <v>1.532808136372e-12</v>
      </c>
      <c r="V34" s="5">
        <v>1.614812246746e-12</v>
      </c>
      <c r="W34" s="5">
        <v>1.6148965320886e-12</v>
      </c>
      <c r="X34" s="5">
        <v>1.6147991173782e-12</v>
      </c>
      <c r="Y34" s="5">
        <v>1.6963948508152e-12</v>
      </c>
      <c r="Z34" s="5">
        <v>1.6966991405605e-12</v>
      </c>
      <c r="AA34" s="5">
        <v>1.6967657124659e-12</v>
      </c>
      <c r="AB34" s="3">
        <v>0.95566926544485</v>
      </c>
      <c r="AC34" s="3">
        <v>0.87497175192144</v>
      </c>
      <c r="AD34" s="3">
        <v>0.00058728206681629</v>
      </c>
      <c r="AE34" s="5">
        <v>-6.8673416041108e-14</v>
      </c>
      <c r="AF34" s="5">
        <v>3.4656250701166e-13</v>
      </c>
      <c r="AG34" s="5">
        <v>2.5504636710194e-13</v>
      </c>
      <c r="AH34" s="5">
        <v>1.6032406419334e-14</v>
      </c>
      <c r="AI34" s="5">
        <v>-8.9087253256538e-15</v>
      </c>
      <c r="AJ34" s="5">
        <v>6.9265431019143e-14</v>
      </c>
      <c r="AK34" s="5">
        <v>7.7935102982091e-16</v>
      </c>
      <c r="AL34" s="5">
        <v>5.4028497481371e-14</v>
      </c>
      <c r="AM34" s="5">
        <v>3.6450908459805e-14</v>
      </c>
      <c r="AN34" s="5">
        <v>-1.5284577849013e-14</v>
      </c>
      <c r="AO34" s="5">
        <v>6.4603791664876e-14</v>
      </c>
      <c r="AP34" s="5">
        <v>9.8159564492671e-16</v>
      </c>
      <c r="AQ34" s="5">
        <v>2.23951936858e-14</v>
      </c>
      <c r="AR34" s="5">
        <v>-3.2852959566234e-13</v>
      </c>
      <c r="AS34" s="5">
        <v>-3.6469660727577e-14</v>
      </c>
      <c r="AT34" s="5">
        <v>1.6158838149051e-14</v>
      </c>
      <c r="AU34" s="5">
        <v>-6.8223754910229e-14</v>
      </c>
      <c r="AV34" s="5">
        <v>-5.5287882403125e-14</v>
      </c>
      <c r="AW34" s="5">
        <v>-3.2527926221394e-14</v>
      </c>
      <c r="AX34" s="5">
        <v>2.5452836540422e-13</v>
      </c>
      <c r="AY34" s="5">
        <v>5.4133988063702e-14</v>
      </c>
      <c r="AZ34" s="5">
        <v>-1.5383703958632e-13</v>
      </c>
      <c r="BA34" s="5">
        <v>2.8762021660343e-13</v>
      </c>
      <c r="BB34" s="5">
        <v>-7.5835961682038e-13</v>
      </c>
      <c r="BC34" s="3">
        <v>15994148.763669</v>
      </c>
      <c r="BD34" s="3">
        <v>3997895.796999</v>
      </c>
      <c r="BE34" s="3">
        <v>-0.00027920777485739</v>
      </c>
      <c r="BF34" s="3">
        <v>0.00060377742441003</v>
      </c>
      <c r="BG34" s="3">
        <v>0.00017598310496816</v>
      </c>
      <c r="BH34" s="3">
        <v>-0.00098569805953867</v>
      </c>
      <c r="BI34" s="3">
        <v>139.71330034268</v>
      </c>
      <c r="BJ34" s="3">
        <v>69.865041417008</v>
      </c>
      <c r="BK34" s="3">
        <v>128.38152845241</v>
      </c>
      <c r="BL34" s="4"/>
      <c r="BM34" s="7"/>
    </row>
    <row r="35" spans="1:65">
      <c r="A35" s="3">
        <v>792446.59623057</v>
      </c>
      <c r="B35" s="5">
        <v>1.868372947118e-5</v>
      </c>
      <c r="C35" s="6">
        <f t="shared" si="0"/>
        <v>2.62082303311358e-11</v>
      </c>
      <c r="D35" s="5">
        <v>1.5328390385574e-12</v>
      </c>
      <c r="E35" s="5">
        <v>1.8646479109515e-12</v>
      </c>
      <c r="F35" s="5">
        <v>1.8646198691094e-12</v>
      </c>
      <c r="G35" s="5">
        <v>1.8645269158921e-12</v>
      </c>
      <c r="H35" s="5">
        <v>1.532703216851e-12</v>
      </c>
      <c r="I35" s="5">
        <v>1.5327414331517e-12</v>
      </c>
      <c r="J35" s="5">
        <v>1.5327166916709e-12</v>
      </c>
      <c r="K35" s="5">
        <v>1.6145410410479e-12</v>
      </c>
      <c r="L35" s="5">
        <v>1.6146369594805e-12</v>
      </c>
      <c r="M35" s="5">
        <v>1.6145141167763e-12</v>
      </c>
      <c r="N35" s="5">
        <v>1.6960609827279e-12</v>
      </c>
      <c r="O35" s="5">
        <v>1.532705091422e-12</v>
      </c>
      <c r="P35" s="5">
        <v>1.6960171565361e-12</v>
      </c>
      <c r="Q35" s="5">
        <v>1.6963452736091e-12</v>
      </c>
      <c r="R35" s="5">
        <v>1.8645259362381e-12</v>
      </c>
      <c r="S35" s="5">
        <v>1.8644914558366e-12</v>
      </c>
      <c r="T35" s="5">
        <v>1.8645232391877e-12</v>
      </c>
      <c r="U35" s="5">
        <v>1.5327176613229e-12</v>
      </c>
      <c r="V35" s="5">
        <v>1.61459021059e-12</v>
      </c>
      <c r="W35" s="5">
        <v>1.6146842725865e-12</v>
      </c>
      <c r="X35" s="5">
        <v>1.614576317622e-12</v>
      </c>
      <c r="Y35" s="5">
        <v>1.6960566845475e-12</v>
      </c>
      <c r="Z35" s="5">
        <v>1.6963925990745e-12</v>
      </c>
      <c r="AA35" s="5">
        <v>1.6964662213849e-12</v>
      </c>
      <c r="AB35" s="3">
        <v>0.95604705652601</v>
      </c>
      <c r="AC35" s="3">
        <v>0.87542407141796</v>
      </c>
      <c r="AD35" s="3">
        <v>0.00058911660840904</v>
      </c>
      <c r="AE35" s="5">
        <v>-6.7526926024772e-14</v>
      </c>
      <c r="AF35" s="5">
        <v>3.392756703816e-13</v>
      </c>
      <c r="AG35" s="5">
        <v>2.5205019985035e-13</v>
      </c>
      <c r="AH35" s="5">
        <v>1.6649300178574e-14</v>
      </c>
      <c r="AI35" s="5">
        <v>-8.9075657840855e-15</v>
      </c>
      <c r="AJ35" s="5">
        <v>6.8418613550218e-14</v>
      </c>
      <c r="AK35" s="5">
        <v>7.6370762048628e-16</v>
      </c>
      <c r="AL35" s="5">
        <v>5.3603067274384e-14</v>
      </c>
      <c r="AM35" s="5">
        <v>3.7517086143229e-14</v>
      </c>
      <c r="AN35" s="5">
        <v>-1.4983027206998e-14</v>
      </c>
      <c r="AO35" s="5">
        <v>6.2765382657251e-14</v>
      </c>
      <c r="AP35" s="5">
        <v>9.749877181798e-16</v>
      </c>
      <c r="AQ35" s="5">
        <v>2.1915770114458e-14</v>
      </c>
      <c r="AR35" s="5">
        <v>-3.1662262208285e-13</v>
      </c>
      <c r="AS35" s="5">
        <v>-3.5205552609928e-14</v>
      </c>
      <c r="AT35" s="5">
        <v>1.5762271850498e-14</v>
      </c>
      <c r="AU35" s="5">
        <v>-6.723944271802e-14</v>
      </c>
      <c r="AV35" s="5">
        <v>-5.5290898089414e-14</v>
      </c>
      <c r="AW35" s="5">
        <v>-3.1792676008736e-14</v>
      </c>
      <c r="AX35" s="5">
        <v>2.5001709570747e-13</v>
      </c>
      <c r="AY35" s="5">
        <v>5.3534169172947e-14</v>
      </c>
      <c r="AZ35" s="5">
        <v>-1.5142706997463e-13</v>
      </c>
      <c r="BA35" s="5">
        <v>2.7739198272079e-13</v>
      </c>
      <c r="BB35" s="5">
        <v>-7.3610639990869e-13</v>
      </c>
      <c r="BC35" s="3">
        <v>15993425.686049</v>
      </c>
      <c r="BD35" s="3">
        <v>3997636.2244157</v>
      </c>
      <c r="BE35" s="3">
        <v>-0.00027912078488785</v>
      </c>
      <c r="BF35" s="3">
        <v>0.00060603599266874</v>
      </c>
      <c r="BG35" s="3">
        <v>0.00017710444270488</v>
      </c>
      <c r="BH35" s="3">
        <v>-0.00098602911616133</v>
      </c>
      <c r="BI35" s="3">
        <v>139.71328667614</v>
      </c>
      <c r="BJ35" s="3">
        <v>69.865048811454</v>
      </c>
      <c r="BK35" s="3">
        <v>128.35994271711</v>
      </c>
      <c r="BL35" s="4"/>
      <c r="BM35" s="7"/>
    </row>
    <row r="36" spans="1:65">
      <c r="A36" s="3">
        <v>889139.70501948</v>
      </c>
      <c r="B36" s="5">
        <v>2.0928464254355e-5</v>
      </c>
      <c r="C36" s="6">
        <f t="shared" si="0"/>
        <v>2.61487052460978e-11</v>
      </c>
      <c r="D36" s="5">
        <v>1.5327488981092e-12</v>
      </c>
      <c r="E36" s="5">
        <v>1.8640991827423e-12</v>
      </c>
      <c r="F36" s="5">
        <v>1.8640689203896e-12</v>
      </c>
      <c r="G36" s="5">
        <v>1.8639657455805e-12</v>
      </c>
      <c r="H36" s="5">
        <v>1.5325974249934e-12</v>
      </c>
      <c r="I36" s="5">
        <v>1.5326399964814e-12</v>
      </c>
      <c r="J36" s="5">
        <v>1.5326124848024e-12</v>
      </c>
      <c r="K36" s="5">
        <v>1.6142883478229e-12</v>
      </c>
      <c r="L36" s="5">
        <v>1.614395181948e-12</v>
      </c>
      <c r="M36" s="5">
        <v>1.6142581649604e-12</v>
      </c>
      <c r="N36" s="5">
        <v>1.6956818875011e-12</v>
      </c>
      <c r="O36" s="5">
        <v>1.5325995109751e-12</v>
      </c>
      <c r="P36" s="5">
        <v>1.6956334054631e-12</v>
      </c>
      <c r="Q36" s="5">
        <v>1.6959943299707e-12</v>
      </c>
      <c r="R36" s="5">
        <v>1.8639641920726e-12</v>
      </c>
      <c r="S36" s="5">
        <v>1.8639259249319e-12</v>
      </c>
      <c r="T36" s="5">
        <v>1.8639614057795e-12</v>
      </c>
      <c r="U36" s="5">
        <v>1.5326136534015e-12</v>
      </c>
      <c r="V36" s="5">
        <v>1.6143425579401e-12</v>
      </c>
      <c r="W36" s="5">
        <v>1.6144474960365e-12</v>
      </c>
      <c r="X36" s="5">
        <v>1.6143279903282e-12</v>
      </c>
      <c r="Y36" s="5">
        <v>1.6956773411521e-12</v>
      </c>
      <c r="Z36" s="5">
        <v>1.6960477480831e-12</v>
      </c>
      <c r="AA36" s="5">
        <v>1.6961293321305e-12</v>
      </c>
      <c r="AB36" s="3">
        <v>0.95645082056628</v>
      </c>
      <c r="AC36" s="3">
        <v>0.87592027896531</v>
      </c>
      <c r="AD36" s="3">
        <v>0.00059117003936636</v>
      </c>
      <c r="AE36" s="5">
        <v>-6.6281416809637e-14</v>
      </c>
      <c r="AF36" s="5">
        <v>3.3158358412345e-13</v>
      </c>
      <c r="AG36" s="5">
        <v>2.487765976364e-13</v>
      </c>
      <c r="AH36" s="5">
        <v>1.731894205566e-14</v>
      </c>
      <c r="AI36" s="5">
        <v>-8.9051346922385e-15</v>
      </c>
      <c r="AJ36" s="5">
        <v>6.7499981103177e-14</v>
      </c>
      <c r="AK36" s="5">
        <v>7.5090452033574e-16</v>
      </c>
      <c r="AL36" s="5">
        <v>5.3152314475142e-14</v>
      </c>
      <c r="AM36" s="5">
        <v>3.8692520635621e-14</v>
      </c>
      <c r="AN36" s="5">
        <v>-1.4653233964053e-14</v>
      </c>
      <c r="AO36" s="5">
        <v>6.0848749448738e-14</v>
      </c>
      <c r="AP36" s="5">
        <v>9.6879723044247e-16</v>
      </c>
      <c r="AQ36" s="5">
        <v>2.1442041998424e-14</v>
      </c>
      <c r="AR36" s="5">
        <v>-3.0498626214412e-13</v>
      </c>
      <c r="AS36" s="5">
        <v>-3.3875165849611e-14</v>
      </c>
      <c r="AT36" s="5">
        <v>1.5340509514548e-14</v>
      </c>
      <c r="AU36" s="5">
        <v>-6.6160717239304e-14</v>
      </c>
      <c r="AV36" s="5">
        <v>-5.5290762041337e-14</v>
      </c>
      <c r="AW36" s="5">
        <v>-3.1009677357523e-14</v>
      </c>
      <c r="AX36" s="5">
        <v>2.4525208649823e-13</v>
      </c>
      <c r="AY36" s="5">
        <v>5.2879808680466e-14</v>
      </c>
      <c r="AZ36" s="5">
        <v>-1.4882969672064e-13</v>
      </c>
      <c r="BA36" s="5">
        <v>2.6696075893943e-13</v>
      </c>
      <c r="BB36" s="5">
        <v>-7.1399145131506e-13</v>
      </c>
      <c r="BC36" s="3">
        <v>15992612.936717</v>
      </c>
      <c r="BD36" s="3">
        <v>3997344.5183363</v>
      </c>
      <c r="BE36" s="3">
        <v>-0.00027901797157311</v>
      </c>
      <c r="BF36" s="3">
        <v>0.00060856439226979</v>
      </c>
      <c r="BG36" s="3">
        <v>0.00017836245083382</v>
      </c>
      <c r="BH36" s="3">
        <v>-0.00098633035499414</v>
      </c>
      <c r="BI36" s="3">
        <v>139.71327175412</v>
      </c>
      <c r="BJ36" s="3">
        <v>69.865057068913</v>
      </c>
      <c r="BK36" s="3">
        <v>128.33578194584</v>
      </c>
      <c r="BL36" s="4"/>
      <c r="BM36" s="7"/>
    </row>
    <row r="37" spans="1:65">
      <c r="A37" s="3">
        <v>997631.15748446</v>
      </c>
      <c r="B37" s="5">
        <v>2.3441139611158e-5</v>
      </c>
      <c r="C37" s="6">
        <f t="shared" si="0"/>
        <v>2.60866547413357e-11</v>
      </c>
      <c r="D37" s="5">
        <v>1.5326448666105e-12</v>
      </c>
      <c r="E37" s="5">
        <v>1.8634863495514e-12</v>
      </c>
      <c r="F37" s="5">
        <v>1.8634537915407e-12</v>
      </c>
      <c r="G37" s="5">
        <v>1.8633394205399e-12</v>
      </c>
      <c r="H37" s="5">
        <v>1.53247605022e-12</v>
      </c>
      <c r="I37" s="5">
        <v>1.5325234361532e-12</v>
      </c>
      <c r="J37" s="5">
        <v>1.5324928742842e-12</v>
      </c>
      <c r="K37" s="5">
        <v>1.614006673958e-12</v>
      </c>
      <c r="L37" s="5">
        <v>1.6141255857971e-12</v>
      </c>
      <c r="M37" s="5">
        <v>1.6139728368956e-12</v>
      </c>
      <c r="N37" s="5">
        <v>1.6952576474865e-12</v>
      </c>
      <c r="O37" s="5">
        <v>1.5324783691947e-12</v>
      </c>
      <c r="P37" s="5">
        <v>1.6952040607633e-12</v>
      </c>
      <c r="Q37" s="5">
        <v>1.695600747284e-12</v>
      </c>
      <c r="R37" s="5">
        <v>1.8633371212314e-12</v>
      </c>
      <c r="S37" s="5">
        <v>1.8632946927931e-12</v>
      </c>
      <c r="T37" s="5">
        <v>1.8633342778975e-12</v>
      </c>
      <c r="U37" s="5">
        <v>1.5324942850696e-12</v>
      </c>
      <c r="V37" s="5">
        <v>1.6140663284735e-12</v>
      </c>
      <c r="W37" s="5">
        <v>1.6141833632115e-12</v>
      </c>
      <c r="X37" s="5">
        <v>1.6140512220955e-12</v>
      </c>
      <c r="Y37" s="5">
        <v>1.6952528421908e-12</v>
      </c>
      <c r="Z37" s="5">
        <v>1.6956608137336e-12</v>
      </c>
      <c r="AA37" s="5">
        <v>1.6957514187135e-12</v>
      </c>
      <c r="AB37" s="3">
        <v>0.95688078624521</v>
      </c>
      <c r="AC37" s="3">
        <v>0.87646264806818</v>
      </c>
      <c r="AD37" s="3">
        <v>0.00059346840370713</v>
      </c>
      <c r="AE37" s="5">
        <v>-6.4935038756542e-14</v>
      </c>
      <c r="AF37" s="5">
        <v>3.2349188399894e-13</v>
      </c>
      <c r="AG37" s="5">
        <v>2.4521142305162e-13</v>
      </c>
      <c r="AH37" s="5">
        <v>1.8045274838048e-14</v>
      </c>
      <c r="AI37" s="5">
        <v>-8.9012040853306e-15</v>
      </c>
      <c r="AJ37" s="5">
        <v>6.650724687013e-14</v>
      </c>
      <c r="AK37" s="5">
        <v>7.4139344590175e-16</v>
      </c>
      <c r="AL37" s="5">
        <v>5.2675109709553e-14</v>
      </c>
      <c r="AM37" s="5">
        <v>3.998197801671e-14</v>
      </c>
      <c r="AN37" s="5">
        <v>-1.4293803255662e-14</v>
      </c>
      <c r="AO37" s="5">
        <v>5.8858653724427e-14</v>
      </c>
      <c r="AP37" s="5">
        <v>9.6322766988898e-16</v>
      </c>
      <c r="AQ37" s="5">
        <v>2.0977109346993e-14</v>
      </c>
      <c r="AR37" s="5">
        <v>-2.9364605139377e-13</v>
      </c>
      <c r="AS37" s="5">
        <v>-3.2480263187516e-14</v>
      </c>
      <c r="AT37" s="5">
        <v>1.4893170643983e-14</v>
      </c>
      <c r="AU37" s="5">
        <v>-6.4981335244156e-14</v>
      </c>
      <c r="AV37" s="5">
        <v>-5.5286822366588e-14</v>
      </c>
      <c r="AW37" s="5">
        <v>-3.0180269821488e-14</v>
      </c>
      <c r="AX37" s="5">
        <v>2.4023717197488e-13</v>
      </c>
      <c r="AY37" s="5">
        <v>5.2168119668886e-14</v>
      </c>
      <c r="AZ37" s="5">
        <v>-1.4603991418969e-13</v>
      </c>
      <c r="BA37" s="5">
        <v>2.5637889938755e-13</v>
      </c>
      <c r="BB37" s="5">
        <v>-6.9207820490047e-13</v>
      </c>
      <c r="BC37" s="3">
        <v>15991699.385639</v>
      </c>
      <c r="BD37" s="3">
        <v>3997016.6954926</v>
      </c>
      <c r="BE37" s="3">
        <v>-0.00027889656159196</v>
      </c>
      <c r="BF37" s="3">
        <v>0.00061139457133263</v>
      </c>
      <c r="BG37" s="3">
        <v>0.00017977375873518</v>
      </c>
      <c r="BH37" s="3">
        <v>-0.00098658701590455</v>
      </c>
      <c r="BI37" s="3">
        <v>139.71325548511</v>
      </c>
      <c r="BJ37" s="3">
        <v>69.86506628793</v>
      </c>
      <c r="BK37" s="3">
        <v>128.30874732085</v>
      </c>
      <c r="BL37" s="4"/>
      <c r="BM37" s="7"/>
    </row>
    <row r="38" spans="1:65">
      <c r="A38" s="3">
        <v>1119360.5692842</v>
      </c>
      <c r="B38" s="5">
        <v>2.6253559190353e-5</v>
      </c>
      <c r="C38" s="6">
        <f t="shared" si="0"/>
        <v>2.60220499994794e-11</v>
      </c>
      <c r="D38" s="5">
        <v>1.5325250281628e-12</v>
      </c>
      <c r="E38" s="5">
        <v>1.862801933241e-12</v>
      </c>
      <c r="F38" s="5">
        <v>1.8627670182121e-12</v>
      </c>
      <c r="G38" s="5">
        <v>1.8626404195352e-12</v>
      </c>
      <c r="H38" s="5">
        <v>1.5323370181377e-12</v>
      </c>
      <c r="I38" s="5">
        <v>1.5323897180492e-12</v>
      </c>
      <c r="J38" s="5">
        <v>1.532355804478e-12</v>
      </c>
      <c r="K38" s="5">
        <v>1.6136926928731e-12</v>
      </c>
      <c r="L38" s="5">
        <v>1.6138249549292e-12</v>
      </c>
      <c r="M38" s="5">
        <v>1.6136547571463e-12</v>
      </c>
      <c r="N38" s="5">
        <v>1.6947841000142e-12</v>
      </c>
      <c r="O38" s="5">
        <v>1.5323395933449e-12</v>
      </c>
      <c r="P38" s="5">
        <v>1.6947249201712e-12</v>
      </c>
      <c r="Q38" s="5">
        <v>1.6951605572491e-12</v>
      </c>
      <c r="R38" s="5">
        <v>1.8626371599996e-12</v>
      </c>
      <c r="S38" s="5">
        <v>1.8625901664738e-12</v>
      </c>
      <c r="T38" s="5">
        <v>1.862634302177e-12</v>
      </c>
      <c r="U38" s="5">
        <v>1.5323575101385e-12</v>
      </c>
      <c r="V38" s="5">
        <v>1.6137582026156e-12</v>
      </c>
      <c r="W38" s="5">
        <v>1.6138886897985e-12</v>
      </c>
      <c r="X38" s="5">
        <v>1.6137427521353e-12</v>
      </c>
      <c r="Y38" s="5">
        <v>1.6947790170921e-12</v>
      </c>
      <c r="Z38" s="5">
        <v>1.6952278409944e-12</v>
      </c>
      <c r="AA38" s="5">
        <v>1.695328697363e-12</v>
      </c>
      <c r="AB38" s="3">
        <v>0.95733692191109</v>
      </c>
      <c r="AC38" s="3">
        <v>0.87705309386595</v>
      </c>
      <c r="AD38" s="3">
        <v>0.00059604086483354</v>
      </c>
      <c r="AE38" s="5">
        <v>-6.3487346519389e-14</v>
      </c>
      <c r="AF38" s="5">
        <v>3.1500909592334e-13</v>
      </c>
      <c r="AG38" s="5">
        <v>2.4134223853952e-13</v>
      </c>
      <c r="AH38" s="5">
        <v>1.883259193147e-14</v>
      </c>
      <c r="AI38" s="5">
        <v>-8.8955401406889e-15</v>
      </c>
      <c r="AJ38" s="5">
        <v>6.5438758164091e-14</v>
      </c>
      <c r="AK38" s="5">
        <v>7.3559949764803e-16</v>
      </c>
      <c r="AL38" s="5">
        <v>5.2170015323443e-14</v>
      </c>
      <c r="AM38" s="5">
        <v>4.1389353467868e-14</v>
      </c>
      <c r="AN38" s="5">
        <v>-1.3903572700915e-14</v>
      </c>
      <c r="AO38" s="5">
        <v>5.6800494747009e-14</v>
      </c>
      <c r="AP38" s="5">
        <v>9.5850550052764e-16</v>
      </c>
      <c r="AQ38" s="5">
        <v>2.0523877914504e-14</v>
      </c>
      <c r="AR38" s="5">
        <v>-2.8262310312285e-13</v>
      </c>
      <c r="AS38" s="5">
        <v>-3.1023133387666e-14</v>
      </c>
      <c r="AT38" s="5">
        <v>1.4419957282113e-14</v>
      </c>
      <c r="AU38" s="5">
        <v>-6.369517755738e-14</v>
      </c>
      <c r="AV38" s="5">
        <v>-5.527838512712e-14</v>
      </c>
      <c r="AW38" s="5">
        <v>-2.9306638581978e-14</v>
      </c>
      <c r="AX38" s="5">
        <v>2.3497772518968e-13</v>
      </c>
      <c r="AY38" s="5">
        <v>5.1396529693642e-14</v>
      </c>
      <c r="AZ38" s="5">
        <v>-1.4305416482673e-13</v>
      </c>
      <c r="BA38" s="5">
        <v>2.4570089708062e-13</v>
      </c>
      <c r="BB38" s="5">
        <v>-6.7042363359684e-13</v>
      </c>
      <c r="BC38" s="3">
        <v>15990672.528745</v>
      </c>
      <c r="BD38" s="3">
        <v>3996648.2813072</v>
      </c>
      <c r="BE38" s="3">
        <v>-0.00027875332122905</v>
      </c>
      <c r="BF38" s="3">
        <v>0.00061456222017289</v>
      </c>
      <c r="BG38" s="3">
        <v>0.000181357014927</v>
      </c>
      <c r="BH38" s="3">
        <v>-0.00098678090408491</v>
      </c>
      <c r="BI38" s="3">
        <v>139.71323777778</v>
      </c>
      <c r="BJ38" s="3">
        <v>69.865076577236</v>
      </c>
      <c r="BK38" s="3">
        <v>128.27850759708</v>
      </c>
      <c r="BL38" s="4"/>
      <c r="BM38" s="7"/>
    </row>
    <row r="39" spans="1:65">
      <c r="A39" s="3">
        <v>1255943.2157548</v>
      </c>
      <c r="B39" s="5">
        <v>2.9401292522588e-5</v>
      </c>
      <c r="C39" s="6">
        <f t="shared" si="0"/>
        <v>2.59548661672256e-11</v>
      </c>
      <c r="D39" s="5">
        <v>1.5323872298506e-12</v>
      </c>
      <c r="E39" s="5">
        <v>1.8620376008814e-12</v>
      </c>
      <c r="F39" s="5">
        <v>1.8620002837937e-12</v>
      </c>
      <c r="G39" s="5">
        <v>1.861860374726e-12</v>
      </c>
      <c r="H39" s="5">
        <v>1.5321780074097e-12</v>
      </c>
      <c r="I39" s="5">
        <v>1.5322365629246e-12</v>
      </c>
      <c r="J39" s="5">
        <v>1.5321989744798e-12</v>
      </c>
      <c r="K39" s="5">
        <v>1.6133426773853e-12</v>
      </c>
      <c r="L39" s="5">
        <v>1.6134896820853e-12</v>
      </c>
      <c r="M39" s="5">
        <v>1.6133001434408e-12</v>
      </c>
      <c r="N39" s="5">
        <v>1.6942521544608e-12</v>
      </c>
      <c r="O39" s="5">
        <v>1.5321808637304e-12</v>
      </c>
      <c r="P39" s="5">
        <v>1.6941868491679e-12</v>
      </c>
      <c r="Q39" s="5">
        <v>1.6946648766926e-12</v>
      </c>
      <c r="R39" s="5">
        <v>1.8618558886908e-12</v>
      </c>
      <c r="S39" s="5">
        <v>1.8618038961822e-12</v>
      </c>
      <c r="T39" s="5">
        <v>1.8618530712881e-12</v>
      </c>
      <c r="U39" s="5">
        <v>1.5322010391336e-12</v>
      </c>
      <c r="V39" s="5">
        <v>1.6134144538765e-12</v>
      </c>
      <c r="W39" s="5">
        <v>1.613559900851e-12</v>
      </c>
      <c r="X39" s="5">
        <v>1.61339892685e-12</v>
      </c>
      <c r="Y39" s="5">
        <v>1.6942467627971e-12</v>
      </c>
      <c r="Z39" s="5">
        <v>1.6947399547198e-12</v>
      </c>
      <c r="AA39" s="5">
        <v>1.6948524903726e-12</v>
      </c>
      <c r="AB39" s="3">
        <v>0.95781890236045</v>
      </c>
      <c r="AC39" s="3">
        <v>0.8776930457863</v>
      </c>
      <c r="AD39" s="3">
        <v>0.00059892009027956</v>
      </c>
      <c r="AE39" s="5">
        <v>-6.1939511337175e-14</v>
      </c>
      <c r="AF39" s="5">
        <v>3.0614662166774e-13</v>
      </c>
      <c r="AG39" s="5">
        <v>2.3715890350367e-13</v>
      </c>
      <c r="AH39" s="5">
        <v>1.968556870601e-14</v>
      </c>
      <c r="AI39" s="5">
        <v>-8.8879138653e-15</v>
      </c>
      <c r="AJ39" s="5">
        <v>6.4293601669474e-14</v>
      </c>
      <c r="AK39" s="5">
        <v>7.33916783618e-16</v>
      </c>
      <c r="AL39" s="5">
        <v>5.1635208730854e-14</v>
      </c>
      <c r="AM39" s="5">
        <v>4.2917629315559e-14</v>
      </c>
      <c r="AN39" s="5">
        <v>-1.3481698748984e-14</v>
      </c>
      <c r="AO39" s="5">
        <v>5.4680131123774e-14</v>
      </c>
      <c r="AP39" s="5">
        <v>9.5487604053671e-16</v>
      </c>
      <c r="AQ39" s="5">
        <v>2.0084973106834e-14</v>
      </c>
      <c r="AR39" s="5">
        <v>-2.7193445443239e-13</v>
      </c>
      <c r="AS39" s="5">
        <v>-2.9506547712606e-14</v>
      </c>
      <c r="AT39" s="5">
        <v>1.3920652111652e-14</v>
      </c>
      <c r="AU39" s="5">
        <v>-6.2296365481145e-14</v>
      </c>
      <c r="AV39" s="5">
        <v>-5.5264759641851e-14</v>
      </c>
      <c r="AW39" s="5">
        <v>-2.8391829928994e-14</v>
      </c>
      <c r="AX39" s="5">
        <v>2.2948032192879e-13</v>
      </c>
      <c r="AY39" s="5">
        <v>5.0562737171436e-14</v>
      </c>
      <c r="AZ39" s="5">
        <v>-1.3987056941086e-13</v>
      </c>
      <c r="BA39" s="5">
        <v>2.3498149009981e-13</v>
      </c>
      <c r="BB39" s="5">
        <v>-6.4907792011676e-13</v>
      </c>
      <c r="BC39" s="3">
        <v>15989518.322243</v>
      </c>
      <c r="BD39" s="3">
        <v>3996234.2508678</v>
      </c>
      <c r="BE39" s="3">
        <v>-0.00027858448959944</v>
      </c>
      <c r="BF39" s="3">
        <v>0.0006181072044828</v>
      </c>
      <c r="BG39" s="3">
        <v>0.00018313313040247</v>
      </c>
      <c r="BH39" s="3">
        <v>-0.0009868898321006</v>
      </c>
      <c r="BI39" s="3">
        <v>139.71321854115</v>
      </c>
      <c r="BJ39" s="3">
        <v>69.865088057084</v>
      </c>
      <c r="BK39" s="3">
        <v>128.24469609136</v>
      </c>
      <c r="BL39" s="4"/>
      <c r="BM39" s="7"/>
    </row>
    <row r="40" spans="1:65">
      <c r="A40" s="3">
        <v>1409191.4656323</v>
      </c>
      <c r="B40" s="5">
        <v>3.2924122415378e-5</v>
      </c>
      <c r="C40" s="6">
        <f t="shared" si="0"/>
        <v>2.58850752137856e-11</v>
      </c>
      <c r="D40" s="5">
        <v>1.5322290552905e-12</v>
      </c>
      <c r="E40" s="5">
        <v>1.8611904945927e-12</v>
      </c>
      <c r="F40" s="5">
        <v>1.8611507493189e-12</v>
      </c>
      <c r="G40" s="5">
        <v>1.8609964043183e-12</v>
      </c>
      <c r="H40" s="5">
        <v>1.5319964235895e-12</v>
      </c>
      <c r="I40" s="5">
        <v>1.5320614199515e-12</v>
      </c>
      <c r="J40" s="5">
        <v>1.5320198120635e-12</v>
      </c>
      <c r="K40" s="5">
        <v>1.6129524494614e-12</v>
      </c>
      <c r="L40" s="5">
        <v>1.6131157197795e-12</v>
      </c>
      <c r="M40" s="5">
        <v>1.6129047556265e-12</v>
      </c>
      <c r="N40" s="5">
        <v>1.6936637612419e-12</v>
      </c>
      <c r="O40" s="5">
        <v>1.5319995874817e-12</v>
      </c>
      <c r="P40" s="5">
        <v>1.6935917490209e-12</v>
      </c>
      <c r="Q40" s="5">
        <v>1.6941158775442e-12</v>
      </c>
      <c r="R40" s="5">
        <v>1.8609903624204e-12</v>
      </c>
      <c r="S40" s="5">
        <v>1.8609329062971e-12</v>
      </c>
      <c r="T40" s="5">
        <v>1.8609876550555e-12</v>
      </c>
      <c r="U40" s="5">
        <v>1.5320223136175e-12</v>
      </c>
      <c r="V40" s="5">
        <v>1.6130308969779e-12</v>
      </c>
      <c r="W40" s="5">
        <v>1.6131929814626e-12</v>
      </c>
      <c r="X40" s="5">
        <v>1.6130156505244e-12</v>
      </c>
      <c r="Y40" s="5">
        <v>1.6936580111757e-12</v>
      </c>
      <c r="Z40" s="5">
        <v>1.6941993288886e-12</v>
      </c>
      <c r="AA40" s="5">
        <v>1.6943251983995e-12</v>
      </c>
      <c r="AB40" s="3">
        <v>0.95832619307891</v>
      </c>
      <c r="AC40" s="3">
        <v>0.87838339374276</v>
      </c>
      <c r="AD40" s="3">
        <v>0.00060214268164653</v>
      </c>
      <c r="AE40" s="5">
        <v>-6.0294678181982e-14</v>
      </c>
      <c r="AF40" s="5">
        <v>2.9691861479362e-13</v>
      </c>
      <c r="AG40" s="5">
        <v>2.3265409511938e-13</v>
      </c>
      <c r="AH40" s="5">
        <v>2.0609290598738e-14</v>
      </c>
      <c r="AI40" s="5">
        <v>-8.878116344958e-15</v>
      </c>
      <c r="AJ40" s="5">
        <v>6.3071678078224e-14</v>
      </c>
      <c r="AK40" s="5">
        <v>7.3666699931106e-16</v>
      </c>
      <c r="AL40" s="5">
        <v>5.1068366979724e-14</v>
      </c>
      <c r="AM40" s="5">
        <v>4.4568854275459e-14</v>
      </c>
      <c r="AN40" s="5">
        <v>-1.3027726565273e-14</v>
      </c>
      <c r="AO40" s="5">
        <v>5.2503710414664e-14</v>
      </c>
      <c r="AP40" s="5">
        <v>9.5260144692039e-16</v>
      </c>
      <c r="AQ40" s="5">
        <v>1.9662661639033e-14</v>
      </c>
      <c r="AR40" s="5">
        <v>-2.6159343767067e-13</v>
      </c>
      <c r="AS40" s="5">
        <v>-2.7933702742655e-14</v>
      </c>
      <c r="AT40" s="5">
        <v>1.339511359675e-14</v>
      </c>
      <c r="AU40" s="5">
        <v>-6.0779361743213e-14</v>
      </c>
      <c r="AV40" s="5">
        <v>-5.5245294251433e-14</v>
      </c>
      <c r="AW40" s="5">
        <v>-2.7439901484098e-14</v>
      </c>
      <c r="AX40" s="5">
        <v>2.2375224999176e-13</v>
      </c>
      <c r="AY40" s="5">
        <v>4.9664854917279e-14</v>
      </c>
      <c r="AZ40" s="5">
        <v>-1.364891094238e-13</v>
      </c>
      <c r="BA40" s="5">
        <v>2.2427447727815e-13</v>
      </c>
      <c r="BB40" s="5">
        <v>-6.2808423757541e-13</v>
      </c>
      <c r="BC40" s="3">
        <v>15988220.994942</v>
      </c>
      <c r="BD40" s="3">
        <v>3995768.9621282</v>
      </c>
      <c r="BE40" s="3">
        <v>-0.00027838569097924</v>
      </c>
      <c r="BF40" s="3">
        <v>0.00062207404695726</v>
      </c>
      <c r="BG40" s="3">
        <v>0.00018512555229711</v>
      </c>
      <c r="BH40" s="3">
        <v>-0.00098688708262829</v>
      </c>
      <c r="BI40" s="3">
        <v>139.71319768636</v>
      </c>
      <c r="BJ40" s="3">
        <v>69.865100860026</v>
      </c>
      <c r="BK40" s="3">
        <v>128.20690778949</v>
      </c>
      <c r="BL40" s="4"/>
      <c r="BM40" s="7"/>
    </row>
    <row r="41" spans="1:64">
      <c r="A41" s="3">
        <v>1581138.8300842</v>
      </c>
      <c r="B41" s="5">
        <v>3.686654479706e-5</v>
      </c>
      <c r="C41" s="6">
        <f t="shared" si="0"/>
        <v>2.58126474010105e-11</v>
      </c>
      <c r="D41" s="5">
        <v>1.5320478643081e-12</v>
      </c>
      <c r="E41" s="5">
        <v>1.8602499501104e-12</v>
      </c>
      <c r="F41" s="5">
        <v>1.8602077720718e-12</v>
      </c>
      <c r="G41" s="5">
        <v>1.8600378345133e-12</v>
      </c>
      <c r="H41" s="5">
        <v>1.5317894393004e-12</v>
      </c>
      <c r="I41" s="5">
        <v>1.5318615065014e-12</v>
      </c>
      <c r="J41" s="5">
        <v>1.5318155139619e-12</v>
      </c>
      <c r="K41" s="5">
        <v>1.6125187382541e-12</v>
      </c>
      <c r="L41" s="5">
        <v>1.6126999396317e-12</v>
      </c>
      <c r="M41" s="5">
        <v>1.6124652526008e-12</v>
      </c>
      <c r="N41" s="5">
        <v>1.6930076925309e-12</v>
      </c>
      <c r="O41" s="5">
        <v>1.5317929386639e-12</v>
      </c>
      <c r="P41" s="5">
        <v>1.6929283362848e-12</v>
      </c>
      <c r="Q41" s="5">
        <v>1.6935025687145e-12</v>
      </c>
      <c r="R41" s="5">
        <v>1.8600298308118e-12</v>
      </c>
      <c r="S41" s="5">
        <v>1.8599664153774e-12</v>
      </c>
      <c r="T41" s="5">
        <v>1.8600273205904e-12</v>
      </c>
      <c r="U41" s="5">
        <v>1.5318185469364e-12</v>
      </c>
      <c r="V41" s="5">
        <v>1.6126042438343e-12</v>
      </c>
      <c r="W41" s="5">
        <v>1.612784835833e-12</v>
      </c>
      <c r="X41" s="5">
        <v>1.6125897443025e-12</v>
      </c>
      <c r="Y41" s="5">
        <v>1.6930015077834e-12</v>
      </c>
      <c r="Z41" s="5">
        <v>1.6935949676797e-12</v>
      </c>
      <c r="AA41" s="5">
        <v>1.6937360849686e-12</v>
      </c>
      <c r="AB41" s="3">
        <v>0.95885769152068</v>
      </c>
      <c r="AC41" s="3">
        <v>0.87912408065526</v>
      </c>
      <c r="AD41" s="3">
        <v>0.00060574966215942</v>
      </c>
      <c r="AE41" s="5">
        <v>-5.8558098811975e-14</v>
      </c>
      <c r="AF41" s="5">
        <v>2.8734185971313e-13</v>
      </c>
      <c r="AG41" s="5">
        <v>2.2782383931317e-13</v>
      </c>
      <c r="AH41" s="5">
        <v>2.1609272420611e-14</v>
      </c>
      <c r="AI41" s="5">
        <v>-8.8659775263073e-15</v>
      </c>
      <c r="AJ41" s="5">
        <v>6.1773735412178e-14</v>
      </c>
      <c r="AK41" s="5">
        <v>7.4409281922911e-16</v>
      </c>
      <c r="AL41" s="5">
        <v>5.0466584251067e-14</v>
      </c>
      <c r="AM41" s="5">
        <v>4.6344233992027e-14</v>
      </c>
      <c r="AN41" s="5">
        <v>-1.2541668607573e-14</v>
      </c>
      <c r="AO41" s="5">
        <v>5.0277484773815e-14</v>
      </c>
      <c r="AP41" s="5">
        <v>9.5195248102315e-16</v>
      </c>
      <c r="AQ41" s="5">
        <v>1.9258779792204e-14</v>
      </c>
      <c r="AR41" s="5">
        <v>-2.5161003724098e-13</v>
      </c>
      <c r="AS41" s="5">
        <v>-2.6308153060406e-14</v>
      </c>
      <c r="AT41" s="5">
        <v>1.2843273333971e-14</v>
      </c>
      <c r="AU41" s="5">
        <v>-5.9139076848693e-14</v>
      </c>
      <c r="AV41" s="5">
        <v>-5.5219421011458e-14</v>
      </c>
      <c r="AW41" s="5">
        <v>-2.6455903429534e-14</v>
      </c>
      <c r="AX41" s="5">
        <v>2.1780096188478e-13</v>
      </c>
      <c r="AY41" s="5">
        <v>4.870147184296e-14</v>
      </c>
      <c r="AZ41" s="5">
        <v>-1.329117861404e-13</v>
      </c>
      <c r="BA41" s="5">
        <v>2.1363163071233e-13</v>
      </c>
      <c r="BB41" s="5">
        <v>-6.0747873615529e-13</v>
      </c>
      <c r="BC41" s="3">
        <v>15986762.840213</v>
      </c>
      <c r="BD41" s="3">
        <v>3995246.0820293</v>
      </c>
      <c r="BE41" s="3">
        <v>-0.00027815184114132</v>
      </c>
      <c r="BF41" s="3">
        <v>0.00062651246364739</v>
      </c>
      <c r="BG41" s="3">
        <v>0.00018736056994428</v>
      </c>
      <c r="BH41" s="3">
        <v>-0.00098674031145647</v>
      </c>
      <c r="BI41" s="3">
        <v>139.71317513053</v>
      </c>
      <c r="BJ41" s="3">
        <v>69.865115131344</v>
      </c>
      <c r="BK41" s="3">
        <v>128.16469630825</v>
      </c>
      <c r="BL41" s="4"/>
    </row>
    <row r="42" spans="1:64">
      <c r="A42" s="3">
        <v>1774066.9461679</v>
      </c>
      <c r="B42" s="5">
        <v>4.1278327611149e-5</v>
      </c>
      <c r="C42" s="6">
        <f t="shared" si="0"/>
        <v>2.57375494924533e-11</v>
      </c>
      <c r="D42" s="5">
        <v>1.5318481479039e-12</v>
      </c>
      <c r="E42" s="5">
        <v>1.8592038039587e-12</v>
      </c>
      <c r="F42" s="5">
        <v>1.8591592128706e-12</v>
      </c>
      <c r="G42" s="5">
        <v>1.8589725106675e-12</v>
      </c>
      <c r="H42" s="5">
        <v>1.5315613502986e-12</v>
      </c>
      <c r="I42" s="5">
        <v>1.5316411633017e-12</v>
      </c>
      <c r="J42" s="5">
        <v>1.5315904017495e-12</v>
      </c>
      <c r="K42" s="5">
        <v>1.6120384390184e-12</v>
      </c>
      <c r="L42" s="5">
        <v>1.6122393932162e-12</v>
      </c>
      <c r="M42" s="5">
        <v>1.6119784502371e-12</v>
      </c>
      <c r="N42" s="5">
        <v>1.6922750829852e-12</v>
      </c>
      <c r="O42" s="5">
        <v>1.5315652138523e-12</v>
      </c>
      <c r="P42" s="5">
        <v>1.6921876819012e-12</v>
      </c>
      <c r="Q42" s="5">
        <v>1.6928163380921e-12</v>
      </c>
      <c r="R42" s="5">
        <v>1.8589620465524e-12</v>
      </c>
      <c r="S42" s="5">
        <v>1.8588921450824e-12</v>
      </c>
      <c r="T42" s="5">
        <v>1.8589598413139e-12</v>
      </c>
      <c r="U42" s="5">
        <v>1.5315940822472e-12</v>
      </c>
      <c r="V42" s="5">
        <v>1.6121313603673e-12</v>
      </c>
      <c r="W42" s="5">
        <v>1.6123325477376e-12</v>
      </c>
      <c r="X42" s="5">
        <v>1.6121182063852e-12</v>
      </c>
      <c r="Y42" s="5">
        <v>1.6922683500938e-12</v>
      </c>
      <c r="Z42" s="5">
        <v>1.6929182466351e-12</v>
      </c>
      <c r="AA42" s="5">
        <v>1.6930768214883e-12</v>
      </c>
      <c r="AB42" s="3">
        <v>0.95941198159674</v>
      </c>
      <c r="AC42" s="3">
        <v>0.87991419477581</v>
      </c>
      <c r="AD42" s="3">
        <v>0.00060978702579953</v>
      </c>
      <c r="AE42" s="5">
        <v>-5.6736867644806e-14</v>
      </c>
      <c r="AF42" s="5">
        <v>2.7743573186285e-13</v>
      </c>
      <c r="AG42" s="5">
        <v>2.2266821743376e-13</v>
      </c>
      <c r="AH42" s="5">
        <v>2.2691461783381e-14</v>
      </c>
      <c r="AI42" s="5">
        <v>-8.8513747602904e-15</v>
      </c>
      <c r="AJ42" s="5">
        <v>6.0401348194456e-14</v>
      </c>
      <c r="AK42" s="5">
        <v>7.5641456481574e-16</v>
      </c>
      <c r="AL42" s="5">
        <v>4.982668657991e-14</v>
      </c>
      <c r="AM42" s="5">
        <v>4.8244233595628e-14</v>
      </c>
      <c r="AN42" s="5">
        <v>-1.2024079072388e-14</v>
      </c>
      <c r="AO42" s="5">
        <v>4.8007642899068e-14</v>
      </c>
      <c r="AP42" s="5">
        <v>9.5317519563867e-16</v>
      </c>
      <c r="AQ42" s="5">
        <v>1.8874685006438e-14</v>
      </c>
      <c r="AR42" s="5">
        <v>-2.4199175208081e-13</v>
      </c>
      <c r="AS42" s="5">
        <v>-2.463372349914e-14</v>
      </c>
      <c r="AT42" s="5">
        <v>1.2265144110586e-14</v>
      </c>
      <c r="AU42" s="5">
        <v>-5.7371015176151e-14</v>
      </c>
      <c r="AV42" s="5">
        <v>-5.5186686603384e-14</v>
      </c>
      <c r="AW42" s="5">
        <v>-2.5445575818136e-14</v>
      </c>
      <c r="AX42" s="5">
        <v>2.1163468523649e-13</v>
      </c>
      <c r="AY42" s="5">
        <v>4.7671286653464e-14</v>
      </c>
      <c r="AZ42" s="5">
        <v>-1.2914270456038e-13</v>
      </c>
      <c r="BA42" s="5">
        <v>2.0310186243634e-13</v>
      </c>
      <c r="BB42" s="5">
        <v>-5.8729130050192e-13</v>
      </c>
      <c r="BC42" s="3">
        <v>15985123.983784</v>
      </c>
      <c r="BD42" s="3">
        <v>3994658.5042377</v>
      </c>
      <c r="BE42" s="3">
        <v>-0.00027787703973783</v>
      </c>
      <c r="BF42" s="3">
        <v>0.00063147796058358</v>
      </c>
      <c r="BG42" s="3">
        <v>0.0001898676574054</v>
      </c>
      <c r="BH42" s="3">
        <v>-0.00098641092200217</v>
      </c>
      <c r="BI42" s="3">
        <v>139.71315080806</v>
      </c>
      <c r="BJ42" s="3">
        <v>69.865131028512</v>
      </c>
      <c r="BK42" s="3">
        <v>128.11757090899</v>
      </c>
      <c r="BL42" s="4"/>
    </row>
    <row r="43" spans="1:64">
      <c r="A43" s="3">
        <v>1990535.8527675</v>
      </c>
      <c r="B43" s="5">
        <v>4.6215133313272e-5</v>
      </c>
      <c r="C43" s="6">
        <f t="shared" si="0"/>
        <v>2.56597420218148e-11</v>
      </c>
      <c r="D43" s="5">
        <v>1.5316319312356e-12</v>
      </c>
      <c r="E43" s="5">
        <v>1.8580361369172e-12</v>
      </c>
      <c r="F43" s="5">
        <v>1.8579891797468e-12</v>
      </c>
      <c r="G43" s="5">
        <v>1.8577845454812e-12</v>
      </c>
      <c r="H43" s="5">
        <v>1.531313977843e-12</v>
      </c>
      <c r="I43" s="5">
        <v>1.5314022572377e-12</v>
      </c>
      <c r="J43" s="5">
        <v>1.5313463259439e-12</v>
      </c>
      <c r="K43" s="5">
        <v>1.6115027164757e-12</v>
      </c>
      <c r="L43" s="5">
        <v>1.6117254189319e-12</v>
      </c>
      <c r="M43" s="5">
        <v>1.6114354246628e-12</v>
      </c>
      <c r="N43" s="5">
        <v>1.6914576869237e-12</v>
      </c>
      <c r="O43" s="5">
        <v>1.5313182354609e-12</v>
      </c>
      <c r="P43" s="5">
        <v>1.6913614660727e-12</v>
      </c>
      <c r="Q43" s="5">
        <v>1.692049210806e-12</v>
      </c>
      <c r="R43" s="5">
        <v>1.857771010502e-12</v>
      </c>
      <c r="S43" s="5">
        <v>1.857694065706e-12</v>
      </c>
      <c r="T43" s="5">
        <v>1.8577692426721e-12</v>
      </c>
      <c r="U43" s="5">
        <v>1.5313507920096e-12</v>
      </c>
      <c r="V43" s="5">
        <v>1.611603368546e-12</v>
      </c>
      <c r="W43" s="5">
        <v>1.6118274870904e-12</v>
      </c>
      <c r="X43" s="5">
        <v>1.6115923176343e-12</v>
      </c>
      <c r="Y43" s="5">
        <v>1.6914502413789e-12</v>
      </c>
      <c r="Z43" s="5">
        <v>1.6921611703858e-12</v>
      </c>
      <c r="AA43" s="5">
        <v>1.6923397488244e-12</v>
      </c>
      <c r="AB43" s="3">
        <v>0.95998742370021</v>
      </c>
      <c r="AC43" s="3">
        <v>0.88075168529089</v>
      </c>
      <c r="AD43" s="3">
        <v>0.00061430636375551</v>
      </c>
      <c r="AE43" s="5">
        <v>-5.4839970237693e-14</v>
      </c>
      <c r="AF43" s="5">
        <v>2.6722210196379e-13</v>
      </c>
      <c r="AG43" s="5">
        <v>2.1719192177058e-13</v>
      </c>
      <c r="AH43" s="5">
        <v>2.3862217855977e-14</v>
      </c>
      <c r="AI43" s="5">
        <v>-8.8342955090922e-15</v>
      </c>
      <c r="AJ43" s="5">
        <v>5.8956897160609e-14</v>
      </c>
      <c r="AK43" s="5">
        <v>7.7382115586038e-16</v>
      </c>
      <c r="AL43" s="5">
        <v>4.9145022018113e-14</v>
      </c>
      <c r="AM43" s="5">
        <v>5.0268836851136e-14</v>
      </c>
      <c r="AN43" s="5">
        <v>-1.1476182759339e-14</v>
      </c>
      <c r="AO43" s="5">
        <v>4.5700062548787e-14</v>
      </c>
      <c r="AP43" s="5">
        <v>9.5647980133972e-16</v>
      </c>
      <c r="AQ43" s="5">
        <v>1.8511226707278e-14</v>
      </c>
      <c r="AR43" s="5">
        <v>-2.3274379012802e-13</v>
      </c>
      <c r="AS43" s="5">
        <v>-2.2914411051727e-14</v>
      </c>
      <c r="AT43" s="5">
        <v>1.1660817320839e-14</v>
      </c>
      <c r="AU43" s="5">
        <v>-5.5471361166421e-14</v>
      </c>
      <c r="AV43" s="5">
        <v>-5.514692370535e-14</v>
      </c>
      <c r="AW43" s="5">
        <v>-2.4415274685761e-14</v>
      </c>
      <c r="AX43" s="5">
        <v>2.0526125781018e-13</v>
      </c>
      <c r="AY43" s="5">
        <v>4.6573258608992e-14</v>
      </c>
      <c r="AZ43" s="5">
        <v>-1.2518815175616e-13</v>
      </c>
      <c r="BA43" s="5">
        <v>1.9272963868684e-13</v>
      </c>
      <c r="BB43" s="5">
        <v>-5.6754656808704e-13</v>
      </c>
      <c r="BC43" s="3">
        <v>15983282.127737</v>
      </c>
      <c r="BD43" s="3">
        <v>3993998.2588511</v>
      </c>
      <c r="BE43" s="3">
        <v>-0.00027755446120674</v>
      </c>
      <c r="BF43" s="3">
        <v>0.00063703249688267</v>
      </c>
      <c r="BG43" s="3">
        <v>0.0001926798573551</v>
      </c>
      <c r="BH43" s="3">
        <v>-0.00098585287555491</v>
      </c>
      <c r="BI43" s="3">
        <v>139.71312466743</v>
      </c>
      <c r="BJ43" s="3">
        <v>69.865148723212</v>
      </c>
      <c r="BK43" s="3">
        <v>128.06499345845</v>
      </c>
      <c r="BL43" s="4"/>
    </row>
    <row r="44" spans="1:64">
      <c r="A44" s="3">
        <v>2233417.9607549</v>
      </c>
      <c r="B44" s="5">
        <v>5.1739215457694e-5</v>
      </c>
      <c r="C44" s="6">
        <f t="shared" si="0"/>
        <v>2.55791737248601e-11</v>
      </c>
      <c r="D44" s="5">
        <v>1.5313967317897e-12</v>
      </c>
      <c r="E44" s="5">
        <v>1.8567331870194e-12</v>
      </c>
      <c r="F44" s="5">
        <v>1.8566839413009e-12</v>
      </c>
      <c r="G44" s="5">
        <v>1.8564602376561e-12</v>
      </c>
      <c r="H44" s="5">
        <v>1.5310446295295e-12</v>
      </c>
      <c r="I44" s="5">
        <v>1.5311421403924e-12</v>
      </c>
      <c r="J44" s="5">
        <v>1.5310806251883e-12</v>
      </c>
      <c r="K44" s="5">
        <v>1.610905034444e-12</v>
      </c>
      <c r="L44" s="5">
        <v>1.6111516736674e-12</v>
      </c>
      <c r="M44" s="5">
        <v>1.6108295395255e-12</v>
      </c>
      <c r="N44" s="5">
        <v>1.6905424533407e-12</v>
      </c>
      <c r="O44" s="5">
        <v>1.5310493114312e-12</v>
      </c>
      <c r="P44" s="5">
        <v>1.6904365512647e-12</v>
      </c>
      <c r="Q44" s="5">
        <v>1.6911884260364e-12</v>
      </c>
      <c r="R44" s="5">
        <v>1.8564428866407e-12</v>
      </c>
      <c r="S44" s="5">
        <v>1.856358311614e-12</v>
      </c>
      <c r="T44" s="5">
        <v>1.8564417179743e-12</v>
      </c>
      <c r="U44" s="5">
        <v>1.531086042927e-12</v>
      </c>
      <c r="V44" s="5">
        <v>1.6110136722239e-12</v>
      </c>
      <c r="W44" s="5">
        <v>1.6112633415243e-12</v>
      </c>
      <c r="X44" s="5">
        <v>1.611005672095e-12</v>
      </c>
      <c r="Y44" s="5">
        <v>1.6905340625557e-12</v>
      </c>
      <c r="Z44" s="5">
        <v>1.6913109485064e-12</v>
      </c>
      <c r="AA44" s="5">
        <v>1.6915124581218e-12</v>
      </c>
      <c r="AB44" s="3">
        <v>0.96058176492808</v>
      </c>
      <c r="AC44" s="3">
        <v>0.88163309889846</v>
      </c>
      <c r="AD44" s="3">
        <v>0.00061936555862734</v>
      </c>
      <c r="AE44" s="5">
        <v>-5.2877951398082e-14</v>
      </c>
      <c r="AF44" s="5">
        <v>2.5672524307176e-13</v>
      </c>
      <c r="AG44" s="5">
        <v>2.1140439035656e-13</v>
      </c>
      <c r="AH44" s="5">
        <v>2.5128297983601e-14</v>
      </c>
      <c r="AI44" s="5">
        <v>-8.814874667612e-15</v>
      </c>
      <c r="AJ44" s="5">
        <v>5.7443336987512e-14</v>
      </c>
      <c r="AK44" s="5">
        <v>7.9647456713802e-16</v>
      </c>
      <c r="AL44" s="5">
        <v>4.8417316414147e-14</v>
      </c>
      <c r="AM44" s="5">
        <v>5.2417876359727e-14</v>
      </c>
      <c r="AN44" s="5">
        <v>-1.0899928480572e-14</v>
      </c>
      <c r="AO44" s="5">
        <v>4.3360048417437e-14</v>
      </c>
      <c r="AP44" s="5">
        <v>9.62024459598e-16</v>
      </c>
      <c r="AQ44" s="5">
        <v>1.8168776288676e-14</v>
      </c>
      <c r="AR44" s="5">
        <v>-2.238696796222e-13</v>
      </c>
      <c r="AS44" s="5">
        <v>-2.1154335831843e-14</v>
      </c>
      <c r="AT44" s="5">
        <v>1.1030465378921e-14</v>
      </c>
      <c r="AU44" s="5">
        <v>-5.3436981957612e-14</v>
      </c>
      <c r="AV44" s="5">
        <v>-5.51003887532e-14</v>
      </c>
      <c r="AW44" s="5">
        <v>-2.3371873000203e-14</v>
      </c>
      <c r="AX44" s="5">
        <v>1.9868689200252e-13</v>
      </c>
      <c r="AY44" s="5">
        <v>4.5406281556821e-14</v>
      </c>
      <c r="AZ44" s="5">
        <v>-1.2105649930065e-13</v>
      </c>
      <c r="BA44" s="5">
        <v>1.8255407765332e-13</v>
      </c>
      <c r="BB44" s="5">
        <v>-5.4826680622822e-13</v>
      </c>
      <c r="BC44" s="3">
        <v>15981212.259498</v>
      </c>
      <c r="BD44" s="3">
        <v>3993256.4100301</v>
      </c>
      <c r="BE44" s="3">
        <v>-0.00027717620417717</v>
      </c>
      <c r="BF44" s="3">
        <v>0.00064324522051754</v>
      </c>
      <c r="BG44" s="3">
        <v>0.00019583421208479</v>
      </c>
      <c r="BH44" s="3">
        <v>-0.00098501216843152</v>
      </c>
      <c r="BI44" s="3">
        <v>139.71309668039</v>
      </c>
      <c r="BJ44" s="3">
        <v>69.86516839971</v>
      </c>
      <c r="BK44" s="3">
        <v>128.00637665487</v>
      </c>
      <c r="BL44" s="4"/>
    </row>
    <row r="45" spans="1:64">
      <c r="A45" s="3">
        <v>2505936.1681364</v>
      </c>
      <c r="B45" s="5">
        <v>5.7920198389272e-5</v>
      </c>
      <c r="C45" s="6">
        <f t="shared" si="0"/>
        <v>2.5495803364299e-11</v>
      </c>
      <c r="D45" s="5">
        <v>1.5311414796657e-12</v>
      </c>
      <c r="E45" s="5">
        <v>1.8552797546279e-12</v>
      </c>
      <c r="F45" s="5">
        <v>1.8552283322832e-12</v>
      </c>
      <c r="G45" s="5">
        <v>1.8549844835023e-12</v>
      </c>
      <c r="H45" s="5">
        <v>1.5307520212974e-12</v>
      </c>
      <c r="I45" s="5">
        <v>1.5308595713211e-12</v>
      </c>
      <c r="J45" s="5">
        <v>1.5307920475077e-12</v>
      </c>
      <c r="K45" s="5">
        <v>1.6102379850293e-12</v>
      </c>
      <c r="L45" s="5">
        <v>1.6105109665162e-12</v>
      </c>
      <c r="M45" s="5">
        <v>1.6101532743347e-12</v>
      </c>
      <c r="N45" s="5">
        <v>1.6895185577218e-12</v>
      </c>
      <c r="O45" s="5">
        <v>1.5307571573263e-12</v>
      </c>
      <c r="P45" s="5">
        <v>1.6894020098081e-12</v>
      </c>
      <c r="Q45" s="5">
        <v>1.6902234696348e-12</v>
      </c>
      <c r="R45" s="5">
        <v>1.8549624093912e-12</v>
      </c>
      <c r="S45" s="5">
        <v>1.8548695891165e-12</v>
      </c>
      <c r="T45" s="5">
        <v>1.8549620366991e-12</v>
      </c>
      <c r="U45" s="5">
        <v>1.5307986178667e-12</v>
      </c>
      <c r="V45" s="5">
        <v>1.610354783983e-12</v>
      </c>
      <c r="W45" s="5">
        <v>1.6106329498747e-12</v>
      </c>
      <c r="X45" s="5">
        <v>1.6103510086673e-12</v>
      </c>
      <c r="Y45" s="5">
        <v>1.6895088985452e-12</v>
      </c>
      <c r="Z45" s="5">
        <v>1.690357027543e-12</v>
      </c>
      <c r="AA45" s="5">
        <v>1.6905848279851e-12</v>
      </c>
      <c r="AB45" s="3">
        <v>0.96119205227617</v>
      </c>
      <c r="AC45" s="3">
        <v>0.88255343527288</v>
      </c>
      <c r="AD45" s="3">
        <v>0.00062502959016784</v>
      </c>
      <c r="AE45" s="5">
        <v>-5.0862961850987e-14</v>
      </c>
      <c r="AF45" s="5">
        <v>2.4597198959528e-13</v>
      </c>
      <c r="AG45" s="5">
        <v>2.0532030194702e-13</v>
      </c>
      <c r="AH45" s="5">
        <v>2.6496848331288e-14</v>
      </c>
      <c r="AI45" s="5">
        <v>-8.7934204807795e-15</v>
      </c>
      <c r="AJ45" s="5">
        <v>5.5864143566598e-14</v>
      </c>
      <c r="AK45" s="5">
        <v>8.2455890692956e-16</v>
      </c>
      <c r="AL45" s="5">
        <v>4.7639010967181e-14</v>
      </c>
      <c r="AM45" s="5">
        <v>5.4691408917423e-14</v>
      </c>
      <c r="AN45" s="5">
        <v>-1.0298040001019e-14</v>
      </c>
      <c r="AO45" s="5">
        <v>4.0992105374522e-14</v>
      </c>
      <c r="AP45" s="5">
        <v>9.6985754643489e-16</v>
      </c>
      <c r="AQ45" s="5">
        <v>1.7847144230422e-14</v>
      </c>
      <c r="AR45" s="5">
        <v>-2.1537118405014e-13</v>
      </c>
      <c r="AS45" s="5">
        <v>-1.9357671242897e-14</v>
      </c>
      <c r="AT45" s="5">
        <v>1.0374360243911e-14</v>
      </c>
      <c r="AU45" s="5">
        <v>-5.1265512866363e-14</v>
      </c>
      <c r="AV45" s="5">
        <v>-5.5047761072896e-14</v>
      </c>
      <c r="AW45" s="5">
        <v>-2.2322595821842e-14</v>
      </c>
      <c r="AX45" s="5">
        <v>1.9191614298135e-13</v>
      </c>
      <c r="AY45" s="5">
        <v>4.41689861445e-14</v>
      </c>
      <c r="AZ45" s="5">
        <v>-1.1675832534093e-13</v>
      </c>
      <c r="BA45" s="5">
        <v>1.7260804840184e-13</v>
      </c>
      <c r="BB45" s="5">
        <v>-5.2946978138483e-13</v>
      </c>
      <c r="BC45" s="3">
        <v>15978886.337957</v>
      </c>
      <c r="BD45" s="3">
        <v>3992422.9461511</v>
      </c>
      <c r="BE45" s="3">
        <v>-0.00027673315880533</v>
      </c>
      <c r="BF45" s="3">
        <v>0.00065019329114613</v>
      </c>
      <c r="BG45" s="3">
        <v>0.00019937223562919</v>
      </c>
      <c r="BH45" s="3">
        <v>-0.00098382490489567</v>
      </c>
      <c r="BI45" s="3">
        <v>139.71306684569</v>
      </c>
      <c r="BJ45" s="3">
        <v>69.865190258198</v>
      </c>
      <c r="BK45" s="3">
        <v>127.94108090845</v>
      </c>
      <c r="BL45" s="4"/>
    </row>
    <row r="46" spans="1:64">
      <c r="A46" s="3">
        <v>2811706.6259518</v>
      </c>
      <c r="B46" s="5">
        <v>6.4835945280373e-5</v>
      </c>
      <c r="C46" s="6">
        <f t="shared" si="0"/>
        <v>2.54095671780715e-11</v>
      </c>
      <c r="D46" s="5">
        <v>1.5308650336389e-12</v>
      </c>
      <c r="E46" s="5">
        <v>1.8536591298398e-12</v>
      </c>
      <c r="F46" s="5">
        <v>1.8536056817639e-12</v>
      </c>
      <c r="G46" s="5">
        <v>1.8533407119545e-12</v>
      </c>
      <c r="H46" s="5">
        <v>1.5304347940376e-12</v>
      </c>
      <c r="I46" s="5">
        <v>1.5305532304275e-12</v>
      </c>
      <c r="J46" s="5">
        <v>1.5304792690735e-12</v>
      </c>
      <c r="K46" s="5">
        <v>1.6094932080781e-12</v>
      </c>
      <c r="L46" s="5">
        <v>1.6097951834105e-12</v>
      </c>
      <c r="M46" s="5">
        <v>1.6093981424785e-12</v>
      </c>
      <c r="N46" s="5">
        <v>1.688374157261e-12</v>
      </c>
      <c r="O46" s="5">
        <v>1.5304404126569e-12</v>
      </c>
      <c r="P46" s="5">
        <v>1.6882458746919e-12</v>
      </c>
      <c r="Q46" s="5">
        <v>1.689142830529e-12</v>
      </c>
      <c r="R46" s="5">
        <v>1.8533128135852e-12</v>
      </c>
      <c r="S46" s="5">
        <v>1.8532111070195e-12</v>
      </c>
      <c r="T46" s="5">
        <v>1.85331347575e-12</v>
      </c>
      <c r="U46" s="5">
        <v>1.5304872336146e-12</v>
      </c>
      <c r="V46" s="5">
        <v>1.609618241435e-12</v>
      </c>
      <c r="W46" s="5">
        <v>1.6099282267869e-12</v>
      </c>
      <c r="X46" s="5">
        <v>1.6096201332188e-12</v>
      </c>
      <c r="Y46" s="5">
        <v>1.6883627876851e-12</v>
      </c>
      <c r="Z46" s="5">
        <v>1.6892878465835e-12</v>
      </c>
      <c r="AA46" s="5">
        <v>1.6895457864317e-12</v>
      </c>
      <c r="AB46" s="3">
        <v>0.96181504593233</v>
      </c>
      <c r="AC46" s="3">
        <v>0.88350603164745</v>
      </c>
      <c r="AD46" s="3">
        <v>0.00063137141564702</v>
      </c>
      <c r="AE46" s="5">
        <v>-4.880835322159e-14</v>
      </c>
      <c r="AF46" s="5">
        <v>2.3499139265361e-13</v>
      </c>
      <c r="AG46" s="5">
        <v>1.9895981451454e-13</v>
      </c>
      <c r="AH46" s="5">
        <v>2.797556113436e-14</v>
      </c>
      <c r="AI46" s="5">
        <v>-8.7704712812529e-15</v>
      </c>
      <c r="AJ46" s="5">
        <v>5.4223035134751e-14</v>
      </c>
      <c r="AK46" s="5">
        <v>8.5831654550507e-16</v>
      </c>
      <c r="AL46" s="5">
        <v>4.6805250411914e-14</v>
      </c>
      <c r="AM46" s="5">
        <v>5.709016679216e-14</v>
      </c>
      <c r="AN46" s="5">
        <v>-9.6740588600557e-15</v>
      </c>
      <c r="AO46" s="5">
        <v>3.8599595843535e-14</v>
      </c>
      <c r="AP46" s="5">
        <v>9.7987398259908e-16</v>
      </c>
      <c r="AQ46" s="5">
        <v>1.7545633116044e-14</v>
      </c>
      <c r="AR46" s="5">
        <v>-2.0724858691402e-13</v>
      </c>
      <c r="AS46" s="5">
        <v>-1.7528460289393e-14</v>
      </c>
      <c r="AT46" s="5">
        <v>9.6928633613668e-15</v>
      </c>
      <c r="AU46" s="5">
        <v>-4.8955223715775e-14</v>
      </c>
      <c r="AV46" s="5">
        <v>-5.4990307666217e-14</v>
      </c>
      <c r="AW46" s="5">
        <v>-2.1274689860295e-14</v>
      </c>
      <c r="AX46" s="5">
        <v>1.8495231361569e-13</v>
      </c>
      <c r="AY46" s="5">
        <v>4.2859584598412e-14</v>
      </c>
      <c r="AZ46" s="5">
        <v>-1.1230606741828e-13</v>
      </c>
      <c r="BA46" s="5">
        <v>1.6291753997102e-13</v>
      </c>
      <c r="BB46" s="5">
        <v>-5.11171008175e-13</v>
      </c>
      <c r="BC46" s="3">
        <v>15976272.930598</v>
      </c>
      <c r="BD46" s="3">
        <v>3991486.6532101</v>
      </c>
      <c r="BE46" s="3">
        <v>-0.00027621479807839</v>
      </c>
      <c r="BF46" s="3">
        <v>0.00065796278613506</v>
      </c>
      <c r="BG46" s="3">
        <v>0.00020334045380177</v>
      </c>
      <c r="BH46" s="3">
        <v>-0.0009822163270425</v>
      </c>
      <c r="BI46" s="3">
        <v>139.71303519706</v>
      </c>
      <c r="BJ46" s="3">
        <v>69.865214517679</v>
      </c>
      <c r="BK46" s="3">
        <v>127.86841423234</v>
      </c>
      <c r="BL46" s="4"/>
    </row>
    <row r="47" spans="1:64">
      <c r="A47" s="3">
        <v>3154786.7224011</v>
      </c>
      <c r="B47" s="5">
        <v>7.2573521825116e-5</v>
      </c>
      <c r="C47" s="6">
        <f t="shared" si="0"/>
        <v>2.53204004554187e-11</v>
      </c>
      <c r="D47" s="5">
        <v>1.530548810971e-12</v>
      </c>
      <c r="E47" s="5">
        <v>1.851852958331e-12</v>
      </c>
      <c r="F47" s="5">
        <v>1.8517976802213e-12</v>
      </c>
      <c r="G47" s="5">
        <v>1.8515107593984e-12</v>
      </c>
      <c r="H47" s="5">
        <v>1.5300741457937e-12</v>
      </c>
      <c r="I47" s="5">
        <v>1.5302043506373e-12</v>
      </c>
      <c r="J47" s="5">
        <v>1.5301235256128e-12</v>
      </c>
      <c r="K47" s="5">
        <v>1.6086612575755e-12</v>
      </c>
      <c r="L47" s="5">
        <v>1.6089951600364e-12</v>
      </c>
      <c r="M47" s="5">
        <v>1.6085545560495e-12</v>
      </c>
      <c r="N47" s="5">
        <v>1.6870963322044e-12</v>
      </c>
      <c r="O47" s="5">
        <v>1.5300802727189e-12</v>
      </c>
      <c r="P47" s="5">
        <v>1.6869550748703e-12</v>
      </c>
      <c r="Q47" s="5">
        <v>1.6879339425245e-12</v>
      </c>
      <c r="R47" s="5">
        <v>1.851475703338e-12</v>
      </c>
      <c r="S47" s="5">
        <v>1.8513644461427e-12</v>
      </c>
      <c r="T47" s="5">
        <v>1.8514776899871e-12</v>
      </c>
      <c r="U47" s="5">
        <v>1.5301331743028e-12</v>
      </c>
      <c r="V47" s="5">
        <v>1.6087944701641e-12</v>
      </c>
      <c r="W47" s="5">
        <v>1.6091400361268e-12</v>
      </c>
      <c r="X47" s="5">
        <v>1.6088037882075e-12</v>
      </c>
      <c r="Y47" s="5">
        <v>1.6870826554815e-12</v>
      </c>
      <c r="Z47" s="5">
        <v>1.6880907784834e-12</v>
      </c>
      <c r="AA47" s="5">
        <v>1.6883832597361e-12</v>
      </c>
      <c r="AB47" s="3">
        <v>0.96244696918376</v>
      </c>
      <c r="AC47" s="3">
        <v>0.88448220505105</v>
      </c>
      <c r="AD47" s="3">
        <v>0.00063847299374988</v>
      </c>
      <c r="AE47" s="5">
        <v>-4.6728107908733e-14</v>
      </c>
      <c r="AF47" s="5">
        <v>2.2381541338602e-13</v>
      </c>
      <c r="AG47" s="5">
        <v>1.9234852782466e-13</v>
      </c>
      <c r="AH47" s="5">
        <v>2.9572219134025e-14</v>
      </c>
      <c r="AI47" s="5">
        <v>-8.7468846382376e-15</v>
      </c>
      <c r="AJ47" s="5">
        <v>5.2523659580689e-14</v>
      </c>
      <c r="AK47" s="5">
        <v>8.9810807872951e-16</v>
      </c>
      <c r="AL47" s="5">
        <v>4.5910937374155e-14</v>
      </c>
      <c r="AM47" s="5">
        <v>5.9615945285463e-14</v>
      </c>
      <c r="AN47" s="5">
        <v>-9.0323166091003e-15</v>
      </c>
      <c r="AO47" s="5">
        <v>3.6184523729353e-14</v>
      </c>
      <c r="AP47" s="5">
        <v>9.917585938017e-16</v>
      </c>
      <c r="AQ47" s="5">
        <v>1.7262900316206e-14</v>
      </c>
      <c r="AR47" s="5">
        <v>-1.9950073908495e-13</v>
      </c>
      <c r="AS47" s="5">
        <v>-1.5670694221045e-14</v>
      </c>
      <c r="AT47" s="5">
        <v>8.9864908245976e-15</v>
      </c>
      <c r="AU47" s="5">
        <v>-4.6505115299857e-14</v>
      </c>
      <c r="AV47" s="5">
        <v>-5.4930129108846e-14</v>
      </c>
      <c r="AW47" s="5">
        <v>-2.0235476566658e-14</v>
      </c>
      <c r="AX47" s="5">
        <v>1.777960331623e-13</v>
      </c>
      <c r="AY47" s="5">
        <v>4.1475647905046e-14</v>
      </c>
      <c r="AZ47" s="5">
        <v>-1.0771401939531e-13</v>
      </c>
      <c r="BA47" s="5">
        <v>1.5350131480704e-13</v>
      </c>
      <c r="BB47" s="5">
        <v>-4.9338338396539e-13</v>
      </c>
      <c r="BC47" s="3">
        <v>15973336.83016</v>
      </c>
      <c r="BD47" s="3">
        <v>3990434.9824264</v>
      </c>
      <c r="BE47" s="3">
        <v>-0.00027560902510096</v>
      </c>
      <c r="BF47" s="3">
        <v>0.00066664971156544</v>
      </c>
      <c r="BG47" s="3">
        <v>0.00020779099764345</v>
      </c>
      <c r="BH47" s="3">
        <v>-0.00098009955821826</v>
      </c>
      <c r="BI47" s="3">
        <v>139.71300182137</v>
      </c>
      <c r="BJ47" s="3">
        <v>69.865241406121</v>
      </c>
      <c r="BK47" s="3">
        <v>127.78763017943</v>
      </c>
      <c r="BL47" s="4"/>
    </row>
    <row r="48" spans="1:64">
      <c r="A48" s="3">
        <v>3539728.9219208</v>
      </c>
      <c r="B48" s="5">
        <v>8.1230272685252e-5</v>
      </c>
      <c r="C48" s="6">
        <f t="shared" si="0"/>
        <v>2.52282249904195e-11</v>
      </c>
      <c r="D48" s="5">
        <v>1.5301874219858e-12</v>
      </c>
      <c r="E48" s="5">
        <v>1.8498425781102e-12</v>
      </c>
      <c r="F48" s="5">
        <v>1.8497857177394e-12</v>
      </c>
      <c r="G48" s="5">
        <v>1.8494762165975e-12</v>
      </c>
      <c r="H48" s="5">
        <v>1.529664468581e-12</v>
      </c>
      <c r="I48" s="5">
        <v>1.5298073523566e-12</v>
      </c>
      <c r="J48" s="5">
        <v>1.5297192491614e-12</v>
      </c>
      <c r="K48" s="5">
        <v>1.6077314603669e-12</v>
      </c>
      <c r="L48" s="5">
        <v>1.6081005486542e-12</v>
      </c>
      <c r="M48" s="5">
        <v>1.6076116828185e-12</v>
      </c>
      <c r="N48" s="5">
        <v>1.6856760080726e-12</v>
      </c>
      <c r="O48" s="5">
        <v>1.5296711249276e-12</v>
      </c>
      <c r="P48" s="5">
        <v>1.6855203494817e-12</v>
      </c>
      <c r="Q48" s="5">
        <v>1.686588106089e-12</v>
      </c>
      <c r="R48" s="5">
        <v>1.8494323920179e-12</v>
      </c>
      <c r="S48" s="5">
        <v>1.8493108999146e-12</v>
      </c>
      <c r="T48" s="5">
        <v>1.8494360542747e-12</v>
      </c>
      <c r="U48" s="5">
        <v>1.5297309296887e-12</v>
      </c>
      <c r="V48" s="5">
        <v>1.6078726386504e-12</v>
      </c>
      <c r="W48" s="5">
        <v>1.6082580586322e-12</v>
      </c>
      <c r="X48" s="5">
        <v>1.6078915153614e-12</v>
      </c>
      <c r="Y48" s="5">
        <v>1.6856592272268e-12</v>
      </c>
      <c r="Z48" s="5">
        <v>1.686757051364e-12</v>
      </c>
      <c r="AA48" s="5">
        <v>1.6870891024896e-12</v>
      </c>
      <c r="AB48" s="3">
        <v>0.96308362315071</v>
      </c>
      <c r="AC48" s="3">
        <v>0.88547130453738</v>
      </c>
      <c r="AD48" s="3">
        <v>0.00064642641398345</v>
      </c>
      <c r="AE48" s="5">
        <v>-4.4636219921983e-14</v>
      </c>
      <c r="AF48" s="5">
        <v>2.1247899716212e-13</v>
      </c>
      <c r="AG48" s="5">
        <v>1.855174126198e-13</v>
      </c>
      <c r="AH48" s="5">
        <v>3.1294685803169e-14</v>
      </c>
      <c r="AI48" s="5">
        <v>-8.7239159697826e-15</v>
      </c>
      <c r="AJ48" s="5">
        <v>5.0769229503571e-14</v>
      </c>
      <c r="AK48" s="5">
        <v>9.4449890503412e-16</v>
      </c>
      <c r="AL48" s="5">
        <v>4.4950865782598e-14</v>
      </c>
      <c r="AM48" s="5">
        <v>6.2272377024047e-14</v>
      </c>
      <c r="AN48" s="5">
        <v>-8.3779412848227e-15</v>
      </c>
      <c r="AO48" s="5">
        <v>3.374713618364e-14</v>
      </c>
      <c r="AP48" s="5">
        <v>1.0049157429203e-15</v>
      </c>
      <c r="AQ48" s="5">
        <v>1.6996948593014e-14</v>
      </c>
      <c r="AR48" s="5">
        <v>-1.9212528140799e-13</v>
      </c>
      <c r="AS48" s="5">
        <v>-1.378825825927e-14</v>
      </c>
      <c r="AT48" s="5">
        <v>8.2559285650434e-15</v>
      </c>
      <c r="AU48" s="5">
        <v>-4.3914754756702e-14</v>
      </c>
      <c r="AV48" s="5">
        <v>-5.4870354474661e-14</v>
      </c>
      <c r="AW48" s="5">
        <v>-1.9211694949206e-14</v>
      </c>
      <c r="AX48" s="5">
        <v>1.7044503297674e-13</v>
      </c>
      <c r="AY48" s="5">
        <v>4.0013721274623e-14</v>
      </c>
      <c r="AZ48" s="5">
        <v>-1.0299805742098e-13</v>
      </c>
      <c r="BA48" s="5">
        <v>1.4437058723048e-13</v>
      </c>
      <c r="BB48" s="5">
        <v>-4.7611832749939e-13</v>
      </c>
      <c r="BC48" s="3">
        <v>15970038.615598</v>
      </c>
      <c r="BD48" s="3">
        <v>3989253.8991359</v>
      </c>
      <c r="BE48" s="3">
        <v>-0.0002749019344807</v>
      </c>
      <c r="BF48" s="3">
        <v>0.00067636111998323</v>
      </c>
      <c r="BG48" s="3">
        <v>0.00021278227033213</v>
      </c>
      <c r="BH48" s="3">
        <v>-0.00097737425317</v>
      </c>
      <c r="BI48" s="3">
        <v>139.71296687095</v>
      </c>
      <c r="BJ48" s="3">
        <v>69.865271159437</v>
      </c>
      <c r="BK48" s="3">
        <v>127.69792931036</v>
      </c>
      <c r="BL48" s="4"/>
    </row>
    <row r="49" spans="1:64">
      <c r="A49" s="3">
        <v>3971641.1736215</v>
      </c>
      <c r="B49" s="5">
        <v>9.0915019794411e-5</v>
      </c>
      <c r="C49" s="6">
        <f t="shared" si="0"/>
        <v>2.51329516164833e-11</v>
      </c>
      <c r="D49" s="5">
        <v>1.529774781686e-12</v>
      </c>
      <c r="E49" s="5">
        <v>1.8476118323394e-12</v>
      </c>
      <c r="F49" s="5">
        <v>1.8475536987468e-12</v>
      </c>
      <c r="G49" s="5">
        <v>1.8472212531942e-12</v>
      </c>
      <c r="H49" s="5">
        <v>1.5291994626156e-12</v>
      </c>
      <c r="I49" s="5">
        <v>1.5293559554466e-12</v>
      </c>
      <c r="J49" s="5">
        <v>1.5292601820805e-12</v>
      </c>
      <c r="K49" s="5">
        <v>1.6066934326461e-12</v>
      </c>
      <c r="L49" s="5">
        <v>1.6071013446503e-12</v>
      </c>
      <c r="M49" s="5">
        <v>1.6065589607161e-12</v>
      </c>
      <c r="N49" s="5">
        <v>1.6840960894186e-12</v>
      </c>
      <c r="O49" s="5">
        <v>1.5292066624149e-12</v>
      </c>
      <c r="P49" s="5">
        <v>1.6839243711053e-12</v>
      </c>
      <c r="Q49" s="5">
        <v>1.6850886202335e-12</v>
      </c>
      <c r="R49" s="5">
        <v>1.8471667186076e-12</v>
      </c>
      <c r="S49" s="5">
        <v>1.8470342913223e-12</v>
      </c>
      <c r="T49" s="5">
        <v>1.8471724824856e-12</v>
      </c>
      <c r="U49" s="5">
        <v>1.5292743110799e-12</v>
      </c>
      <c r="V49" s="5">
        <v>1.6068421705502e-12</v>
      </c>
      <c r="W49" s="5">
        <v>1.6072723200949e-12</v>
      </c>
      <c r="X49" s="5">
        <v>1.6068731770102e-12</v>
      </c>
      <c r="Y49" s="5">
        <v>1.6840751495578e-12</v>
      </c>
      <c r="Z49" s="5">
        <v>1.6852698806541e-12</v>
      </c>
      <c r="AA49" s="5">
        <v>1.6856472398902e-12</v>
      </c>
      <c r="AB49" s="3">
        <v>0.96372009277658</v>
      </c>
      <c r="AC49" s="3">
        <v>0.88646037025309</v>
      </c>
      <c r="AD49" s="3">
        <v>0.00065533516650667</v>
      </c>
      <c r="AE49" s="5">
        <v>-4.254598543444e-14</v>
      </c>
      <c r="AF49" s="5">
        <v>2.0102012101563e-13</v>
      </c>
      <c r="AG49" s="5">
        <v>1.7850258126792e-13</v>
      </c>
      <c r="AH49" s="5">
        <v>3.3150865884135e-14</v>
      </c>
      <c r="AI49" s="5">
        <v>-8.7033352597105e-15</v>
      </c>
      <c r="AJ49" s="5">
        <v>4.8962123791621e-14</v>
      </c>
      <c r="AK49" s="5">
        <v>9.9837880142668e-16</v>
      </c>
      <c r="AL49" s="5">
        <v>4.3919665585553e-14</v>
      </c>
      <c r="AM49" s="5">
        <v>6.5066162801558e-14</v>
      </c>
      <c r="AN49" s="5">
        <v>-7.7168487268706e-15</v>
      </c>
      <c r="AO49" s="5">
        <v>3.1285381771075e-14</v>
      </c>
      <c r="AP49" s="5">
        <v>1.0183868449597e-15</v>
      </c>
      <c r="AQ49" s="5">
        <v>1.6745031196303e-14</v>
      </c>
      <c r="AR49" s="5">
        <v>-1.8511815537189e-13</v>
      </c>
      <c r="AS49" s="5">
        <v>-1.1884856202506e-14</v>
      </c>
      <c r="AT49" s="5">
        <v>7.5020468451267e-15</v>
      </c>
      <c r="AU49" s="5">
        <v>-4.1184047326833e-14</v>
      </c>
      <c r="AV49" s="5">
        <v>-5.4815404223625e-14</v>
      </c>
      <c r="AW49" s="5">
        <v>-1.8208398854413e-14</v>
      </c>
      <c r="AX49" s="5">
        <v>1.6289346140637e-13</v>
      </c>
      <c r="AY49" s="5">
        <v>3.8469053977741e-14</v>
      </c>
      <c r="AZ49" s="5">
        <v>-9.8175333145057e-14</v>
      </c>
      <c r="BA49" s="5">
        <v>1.3552874183095e-13</v>
      </c>
      <c r="BB49" s="5">
        <v>-4.5938578240765e-13</v>
      </c>
      <c r="BC49" s="3">
        <v>15966334.165543</v>
      </c>
      <c r="BD49" s="3">
        <v>3987927.7166099</v>
      </c>
      <c r="BE49" s="3">
        <v>-0.00027407753724686</v>
      </c>
      <c r="BF49" s="3">
        <v>0.00068721634970779</v>
      </c>
      <c r="BG49" s="3">
        <v>0.00021837968971336</v>
      </c>
      <c r="BH49" s="3">
        <v>-0.0009739238562732</v>
      </c>
      <c r="BI49" s="3">
        <v>139.71293057451</v>
      </c>
      <c r="BJ49" s="3">
        <v>69.865304018919</v>
      </c>
      <c r="BK49" s="3">
        <v>127.59846233244</v>
      </c>
      <c r="BL49" s="4"/>
    </row>
    <row r="50" spans="1:64">
      <c r="A50" s="3">
        <v>4456254.6906689</v>
      </c>
      <c r="B50" s="3">
        <v>0.00010174939409286</v>
      </c>
      <c r="C50" s="6">
        <f t="shared" si="0"/>
        <v>2.50344750363069e-11</v>
      </c>
      <c r="D50" s="5">
        <v>1.5293039867219e-12</v>
      </c>
      <c r="E50" s="5">
        <v>1.8451308316388e-12</v>
      </c>
      <c r="F50" s="5">
        <v>1.8450718065992e-12</v>
      </c>
      <c r="G50" s="5">
        <v>1.8447163932681e-12</v>
      </c>
      <c r="H50" s="5">
        <v>1.5286720162179e-12</v>
      </c>
      <c r="I50" s="5">
        <v>1.5288430564709e-12</v>
      </c>
      <c r="J50" s="5">
        <v>1.5287392565309e-12</v>
      </c>
      <c r="K50" s="5">
        <v>1.6055384322181e-12</v>
      </c>
      <c r="L50" s="5">
        <v>1.6059892529056e-12</v>
      </c>
      <c r="M50" s="5">
        <v>1.6053874477559e-12</v>
      </c>
      <c r="N50" s="5">
        <v>1.6823486437024e-12</v>
      </c>
      <c r="O50" s="5">
        <v>1.5286797631297e-12</v>
      </c>
      <c r="P50" s="5">
        <v>1.6821589158445e-12</v>
      </c>
      <c r="Q50" s="5">
        <v>1.6834279629642e-12</v>
      </c>
      <c r="R50" s="5">
        <v>1.8446488137761e-12</v>
      </c>
      <c r="S50" s="5">
        <v>1.8445047394706e-12</v>
      </c>
      <c r="T50" s="5">
        <v>1.844657196799e-12</v>
      </c>
      <c r="U50" s="5">
        <v>1.5287563332038e-12</v>
      </c>
      <c r="V50" s="5">
        <v>1.6056940928144e-12</v>
      </c>
      <c r="W50" s="5">
        <v>1.6061745618161e-12</v>
      </c>
      <c r="X50" s="5">
        <v>1.6057403143621e-12</v>
      </c>
      <c r="Y50" s="5">
        <v>1.6823221587255e-12</v>
      </c>
      <c r="Z50" s="5">
        <v>1.6836216498203e-12</v>
      </c>
      <c r="AA50" s="5">
        <v>1.6840508618826e-12</v>
      </c>
      <c r="AB50" s="3">
        <v>0.9643511214648</v>
      </c>
      <c r="AC50" s="3">
        <v>0.88743398831608</v>
      </c>
      <c r="AD50" s="3">
        <v>0.00066531557637011</v>
      </c>
      <c r="AE50" s="5">
        <v>-4.0469121179251e-14</v>
      </c>
      <c r="AF50" s="5">
        <v>1.8948008842658e-13</v>
      </c>
      <c r="AG50" s="5">
        <v>1.7134500165274e-13</v>
      </c>
      <c r="AH50" s="5">
        <v>3.5148622700913e-14</v>
      </c>
      <c r="AI50" s="5">
        <v>-8.6874898044407e-15</v>
      </c>
      <c r="AJ50" s="5">
        <v>4.7103466659157e-14</v>
      </c>
      <c r="AK50" s="5">
        <v>1.0611204267612e-15</v>
      </c>
      <c r="AL50" s="5">
        <v>4.281174933436e-14</v>
      </c>
      <c r="AM50" s="5">
        <v>6.8006452228582e-14</v>
      </c>
      <c r="AN50" s="5">
        <v>-7.0555809585233e-15</v>
      </c>
      <c r="AO50" s="5">
        <v>2.8794282988518e-14</v>
      </c>
      <c r="AP50" s="5">
        <v>1.0307513812721e-15</v>
      </c>
      <c r="AQ50" s="5">
        <v>1.6503615524775e-14</v>
      </c>
      <c r="AR50" s="5">
        <v>-1.7847467965524e-13</v>
      </c>
      <c r="AS50" s="5">
        <v>-9.9640171160838e-15</v>
      </c>
      <c r="AT50" s="5">
        <v>6.7259245261413e-15</v>
      </c>
      <c r="AU50" s="5">
        <v>-3.8313021485428e-14</v>
      </c>
      <c r="AV50" s="5">
        <v>-5.4771515061658e-14</v>
      </c>
      <c r="AW50" s="5">
        <v>-1.7231217104825e-14</v>
      </c>
      <c r="AX50" s="5">
        <v>1.5513343833571e-13</v>
      </c>
      <c r="AY50" s="5">
        <v>3.6835369833489e-14</v>
      </c>
      <c r="AZ50" s="5">
        <v>-9.3264001604678e-14</v>
      </c>
      <c r="BA50" s="5">
        <v>1.2697121038757e-13</v>
      </c>
      <c r="BB50" s="5">
        <v>-4.4319572673061e-13</v>
      </c>
      <c r="BC50" s="3">
        <v>15962174.130874</v>
      </c>
      <c r="BD50" s="3">
        <v>3986438.9179233</v>
      </c>
      <c r="BE50" s="3">
        <v>-0.00027311749724088</v>
      </c>
      <c r="BF50" s="3">
        <v>0.00069934839470257</v>
      </c>
      <c r="BG50" s="3">
        <v>0.00022465652133376</v>
      </c>
      <c r="BH50" s="3">
        <v>-0.00096961662061587</v>
      </c>
      <c r="BI50" s="3">
        <v>139.71289326143</v>
      </c>
      <c r="BJ50" s="3">
        <v>69.865340224845</v>
      </c>
      <c r="BK50" s="3">
        <v>127.48833484333</v>
      </c>
      <c r="BL50" s="4"/>
    </row>
    <row r="51" spans="1:64">
      <c r="A51" s="3">
        <v>5000000.0000001</v>
      </c>
      <c r="B51" s="3">
        <v>0.00011386931620601</v>
      </c>
      <c r="C51" s="6">
        <f t="shared" si="0"/>
        <v>2.49326791380048e-11</v>
      </c>
      <c r="D51" s="5">
        <v>1.5287728744335e-12</v>
      </c>
      <c r="E51" s="5">
        <v>1.8423799594961e-12</v>
      </c>
      <c r="F51" s="5">
        <v>1.842320511693e-12</v>
      </c>
      <c r="G51" s="5">
        <v>1.8419425359757e-12</v>
      </c>
      <c r="H51" s="5">
        <v>1.5280797682647e-12</v>
      </c>
      <c r="I51" s="5">
        <v>1.5282662880157e-12</v>
      </c>
      <c r="J51" s="5">
        <v>1.5281541562434e-12</v>
      </c>
      <c r="K51" s="5">
        <v>1.6042633191955e-12</v>
      </c>
      <c r="L51" s="5">
        <v>1.6047617053828e-12</v>
      </c>
      <c r="M51" s="5">
        <v>1.6040937772801e-12</v>
      </c>
      <c r="N51" s="5">
        <v>1.6804157729709e-12</v>
      </c>
      <c r="O51" s="5">
        <v>1.5280880513352e-12</v>
      </c>
      <c r="P51" s="5">
        <v>1.6802057167302e-12</v>
      </c>
      <c r="Q51" s="5">
        <v>1.6815886562255e-12</v>
      </c>
      <c r="R51" s="5">
        <v>1.8418591091412e-12</v>
      </c>
      <c r="S51" s="5">
        <v>1.841702669179e-12</v>
      </c>
      <c r="T51" s="5">
        <v>1.8418707414231e-12</v>
      </c>
      <c r="U51" s="5">
        <v>1.5281747789546e-12</v>
      </c>
      <c r="V51" s="5">
        <v>1.604424988482e-12</v>
      </c>
      <c r="W51" s="5">
        <v>1.6049623238656e-12</v>
      </c>
      <c r="X51" s="5">
        <v>1.6044901127688e-12</v>
      </c>
      <c r="Y51" s="5">
        <v>1.6803819321606e-12</v>
      </c>
      <c r="Z51" s="5">
        <v>1.681794776682e-12</v>
      </c>
      <c r="AA51" s="5">
        <v>1.6822833051313e-12</v>
      </c>
      <c r="AB51" s="3">
        <v>0.96497078297382</v>
      </c>
      <c r="AC51" s="3">
        <v>0.88837437388382</v>
      </c>
      <c r="AD51" s="3">
        <v>0.00067649838183963</v>
      </c>
      <c r="AE51" s="5">
        <v>-3.8414870410098e-14</v>
      </c>
      <c r="AF51" s="5">
        <v>1.7790349179928e-13</v>
      </c>
      <c r="AG51" s="5">
        <v>1.6408952376112e-13</v>
      </c>
      <c r="AH51" s="5">
        <v>3.7295509211863e-14</v>
      </c>
      <c r="AI51" s="5">
        <v>-8.6787594614362e-15</v>
      </c>
      <c r="AJ51" s="5">
        <v>4.5192703297484e-14</v>
      </c>
      <c r="AK51" s="5">
        <v>1.1350206660195e-15</v>
      </c>
      <c r="AL51" s="5">
        <v>4.1621371924731e-14</v>
      </c>
      <c r="AM51" s="5">
        <v>7.1105131580395e-14</v>
      </c>
      <c r="AN51" s="5">
        <v>-6.4012850614367e-15</v>
      </c>
      <c r="AO51" s="5">
        <v>2.6265131893247e-14</v>
      </c>
      <c r="AP51" s="5">
        <v>1.0400158541179e-15</v>
      </c>
      <c r="AQ51" s="5">
        <v>1.6268258153675e-14</v>
      </c>
      <c r="AR51" s="5">
        <v>-1.7219013884862e-13</v>
      </c>
      <c r="AS51" s="5">
        <v>-8.0291094517152e-15</v>
      </c>
      <c r="AT51" s="5">
        <v>5.9288560244503e-15</v>
      </c>
      <c r="AU51" s="5">
        <v>-3.530145715015e-14</v>
      </c>
      <c r="AV51" s="5">
        <v>-5.4747546574262e-14</v>
      </c>
      <c r="AW51" s="5">
        <v>-1.6284763649171e-14</v>
      </c>
      <c r="AX51" s="5">
        <v>1.4715649587025e-13</v>
      </c>
      <c r="AY51" s="5">
        <v>3.510440038912e-14</v>
      </c>
      <c r="AZ51" s="5">
        <v>-8.8282731494344e-14</v>
      </c>
      <c r="BA51" s="5">
        <v>1.1868517998289e-13</v>
      </c>
      <c r="BB51" s="5">
        <v>-4.2755806932654e-13</v>
      </c>
      <c r="BC51" s="3">
        <v>15957503.338882</v>
      </c>
      <c r="BD51" s="3">
        <v>3984767.9561655</v>
      </c>
      <c r="BE51" s="3">
        <v>-0.0002720007611169</v>
      </c>
      <c r="BF51" s="3">
        <v>0.00071290542203292</v>
      </c>
      <c r="BG51" s="3">
        <v>0.00023169480024271</v>
      </c>
      <c r="BH51" s="3">
        <v>-0.00096430261008684</v>
      </c>
      <c r="BI51" s="3">
        <v>139.71285538148</v>
      </c>
      <c r="BJ51" s="3">
        <v>69.865380008552</v>
      </c>
      <c r="BK51" s="3">
        <v>127.36661614107</v>
      </c>
      <c r="BL51" s="4"/>
    </row>
    <row r="52" spans="1:64">
      <c r="A52" s="3">
        <v>5610092.27151</v>
      </c>
      <c r="B52" s="3">
        <v>0.00012742663809738</v>
      </c>
      <c r="C52" s="6">
        <f t="shared" si="0"/>
        <v>2.48274050241009e-11</v>
      </c>
      <c r="D52" s="5">
        <v>1.5282158024251e-12</v>
      </c>
      <c r="E52" s="5">
        <v>1.8393578184181e-12</v>
      </c>
      <c r="F52" s="5">
        <v>1.8392985210363e-12</v>
      </c>
      <c r="G52" s="5">
        <v>1.8388989197301e-12</v>
      </c>
      <c r="H52" s="5">
        <v>1.5274568824316e-12</v>
      </c>
      <c r="I52" s="5">
        <v>1.5276597894519e-12</v>
      </c>
      <c r="J52" s="5">
        <v>1.527539096205e-12</v>
      </c>
      <c r="K52" s="5">
        <v>1.6028448871609e-12</v>
      </c>
      <c r="L52" s="5">
        <v>1.6033960965578e-12</v>
      </c>
      <c r="M52" s="5">
        <v>1.602654493725e-12</v>
      </c>
      <c r="N52" s="5">
        <v>1.6783074319263e-12</v>
      </c>
      <c r="O52" s="5">
        <v>1.5274656706012e-12</v>
      </c>
      <c r="P52" s="5">
        <v>1.6780742583675e-12</v>
      </c>
      <c r="Q52" s="5">
        <v>1.6795810746522e-12</v>
      </c>
      <c r="R52" s="5">
        <v>1.8387962876359e-12</v>
      </c>
      <c r="S52" s="5">
        <v>1.8386267615064e-12</v>
      </c>
      <c r="T52" s="5">
        <v>1.8388119389654e-12</v>
      </c>
      <c r="U52" s="5">
        <v>1.5275639765935e-12</v>
      </c>
      <c r="V52" s="5">
        <v>1.6030113295373e-12</v>
      </c>
      <c r="W52" s="5">
        <v>1.6036130116289e-12</v>
      </c>
      <c r="X52" s="5">
        <v>1.603099750092e-12</v>
      </c>
      <c r="Y52" s="5">
        <v>1.6782638812925e-12</v>
      </c>
      <c r="Z52" s="5">
        <v>1.6797995212968e-12</v>
      </c>
      <c r="AA52" s="5">
        <v>1.6803558838502e-12</v>
      </c>
      <c r="AB52" s="3">
        <v>0.9655753826477</v>
      </c>
      <c r="AC52" s="3">
        <v>0.8892614628465</v>
      </c>
      <c r="AD52" s="3">
        <v>0.00068903043032412</v>
      </c>
      <c r="AE52" s="5">
        <v>-3.6389475549053e-14</v>
      </c>
      <c r="AF52" s="5">
        <v>1.6633804864975e-13</v>
      </c>
      <c r="AG52" s="5">
        <v>1.5678401906279e-13</v>
      </c>
      <c r="AH52" s="5">
        <v>3.9599767171077e-14</v>
      </c>
      <c r="AI52" s="5">
        <v>-8.6806637168065e-15</v>
      </c>
      <c r="AJ52" s="5">
        <v>4.3227422858014e-14</v>
      </c>
      <c r="AK52" s="5">
        <v>1.2226636725831e-15</v>
      </c>
      <c r="AL52" s="5">
        <v>4.034233771888e-14</v>
      </c>
      <c r="AM52" s="5">
        <v>7.4378296690403e-14</v>
      </c>
      <c r="AN52" s="5">
        <v>-5.7616168148795e-15</v>
      </c>
      <c r="AO52" s="5">
        <v>2.3683934897093e-14</v>
      </c>
      <c r="AP52" s="5">
        <v>1.0437060734273e-15</v>
      </c>
      <c r="AQ52" s="5">
        <v>1.6033746592405e-14</v>
      </c>
      <c r="AR52" s="5">
        <v>-1.6626104652197e-13</v>
      </c>
      <c r="AS52" s="5">
        <v>-6.0833057074244e-15</v>
      </c>
      <c r="AT52" s="5">
        <v>5.1123208632584e-15</v>
      </c>
      <c r="AU52" s="5">
        <v>-3.2147877421687e-14</v>
      </c>
      <c r="AV52" s="5">
        <v>-5.4756450315318e-14</v>
      </c>
      <c r="AW52" s="5">
        <v>-1.5372452364738e-14</v>
      </c>
      <c r="AX52" s="5">
        <v>1.3895369995608e-13</v>
      </c>
      <c r="AY52" s="5">
        <v>3.3265089801019e-14</v>
      </c>
      <c r="AZ52" s="5">
        <v>-8.3250125317863e-14</v>
      </c>
      <c r="BA52" s="5">
        <v>1.1064026908038e-13</v>
      </c>
      <c r="BB52" s="5">
        <v>-4.1248627347831e-13</v>
      </c>
      <c r="BC52" s="3">
        <v>15952260.109991</v>
      </c>
      <c r="BD52" s="3">
        <v>3982893.0271188</v>
      </c>
      <c r="BE52" s="3">
        <v>-0.00027070302578526</v>
      </c>
      <c r="BF52" s="3">
        <v>0.00072805242995977</v>
      </c>
      <c r="BG52" s="3">
        <v>0.00023958638633686</v>
      </c>
      <c r="BH52" s="3">
        <v>-0.00095781835924625</v>
      </c>
      <c r="BI52" s="3">
        <v>139.71281749452</v>
      </c>
      <c r="BJ52" s="3">
        <v>69.865423576771</v>
      </c>
      <c r="BK52" s="3">
        <v>127.23235592296</v>
      </c>
      <c r="BL52" s="4"/>
    </row>
    <row r="53" spans="1:64">
      <c r="A53" s="3">
        <v>6294627.058971</v>
      </c>
      <c r="B53" s="3">
        <v>0.00014259096340165</v>
      </c>
      <c r="C53" s="6">
        <f t="shared" si="0"/>
        <v>2.47185552883885e-11</v>
      </c>
      <c r="D53" s="5">
        <v>1.527591339461e-12</v>
      </c>
      <c r="E53" s="5">
        <v>1.8360081846279e-12</v>
      </c>
      <c r="F53" s="5">
        <v>1.8359497367431e-12</v>
      </c>
      <c r="G53" s="5">
        <v>1.8355300915565e-12</v>
      </c>
      <c r="H53" s="5">
        <v>1.5267617630119e-12</v>
      </c>
      <c r="I53" s="5">
        <v>1.526981917909e-12</v>
      </c>
      <c r="J53" s="5">
        <v>1.5268525224081e-12</v>
      </c>
      <c r="K53" s="5">
        <v>1.6012661390536e-12</v>
      </c>
      <c r="L53" s="5">
        <v>1.6018761872723e-12</v>
      </c>
      <c r="M53" s="5">
        <v>1.6010523174828e-12</v>
      </c>
      <c r="N53" s="5">
        <v>1.6759759553351e-12</v>
      </c>
      <c r="O53" s="5">
        <v>1.5267709978788e-12</v>
      </c>
      <c r="P53" s="5">
        <v>1.6757162724968e-12</v>
      </c>
      <c r="Q53" s="5">
        <v>1.6773579523521e-12</v>
      </c>
      <c r="R53" s="5">
        <v>1.8354042425406e-12</v>
      </c>
      <c r="S53" s="5">
        <v>1.835220912438e-12</v>
      </c>
      <c r="T53" s="5">
        <v>1.8354248528688e-12</v>
      </c>
      <c r="U53" s="5">
        <v>1.5268825195961e-12</v>
      </c>
      <c r="V53" s="5">
        <v>1.6014357393872e-12</v>
      </c>
      <c r="W53" s="5">
        <v>1.6021104641744e-12</v>
      </c>
      <c r="X53" s="5">
        <v>1.6015526768928e-12</v>
      </c>
      <c r="Y53" s="5">
        <v>1.6759196450198e-12</v>
      </c>
      <c r="Z53" s="5">
        <v>1.6775885044849e-12</v>
      </c>
      <c r="AA53" s="5">
        <v>1.6782224232132e-12</v>
      </c>
      <c r="AB53" s="3">
        <v>0.96615459170458</v>
      </c>
      <c r="AC53" s="3">
        <v>0.89007053267734</v>
      </c>
      <c r="AD53" s="3">
        <v>0.00070307676319016</v>
      </c>
      <c r="AE53" s="5">
        <v>-3.4394927732486e-14</v>
      </c>
      <c r="AF53" s="5">
        <v>1.5483408275124e-13</v>
      </c>
      <c r="AG53" s="5">
        <v>1.4947922258682e-13</v>
      </c>
      <c r="AH53" s="5">
        <v>4.2068704819948e-14</v>
      </c>
      <c r="AI53" s="5">
        <v>-8.6988009965372e-15</v>
      </c>
      <c r="AJ53" s="5">
        <v>4.1203559611123e-14</v>
      </c>
      <c r="AK53" s="5">
        <v>1.327413587478e-15</v>
      </c>
      <c r="AL53" s="5">
        <v>3.8967690911294e-14</v>
      </c>
      <c r="AM53" s="5">
        <v>7.7849086481314e-14</v>
      </c>
      <c r="AN53" s="5">
        <v>-5.1445880576413e-15</v>
      </c>
      <c r="AO53" s="5">
        <v>2.1030624427528e-14</v>
      </c>
      <c r="AP53" s="5">
        <v>1.03911278466e-15</v>
      </c>
      <c r="AQ53" s="5">
        <v>1.5794223833624e-14</v>
      </c>
      <c r="AR53" s="5">
        <v>-1.6068546841524e-13</v>
      </c>
      <c r="AS53" s="5">
        <v>-4.1294480441638e-15</v>
      </c>
      <c r="AT53" s="5">
        <v>4.2778965479446e-15</v>
      </c>
      <c r="AU53" s="5">
        <v>-2.8850166954508e-14</v>
      </c>
      <c r="AV53" s="5">
        <v>-5.4816750688885e-14</v>
      </c>
      <c r="AW53" s="5">
        <v>-1.449676927413e-14</v>
      </c>
      <c r="AX53" s="5">
        <v>1.3051468035522e-13</v>
      </c>
      <c r="AY53" s="5">
        <v>3.1303912575791e-14</v>
      </c>
      <c r="AZ53" s="5">
        <v>-7.8184161678834e-14</v>
      </c>
      <c r="BA53" s="5">
        <v>1.0280103625692e-13</v>
      </c>
      <c r="BB53" s="5">
        <v>-3.9800364488572e-13</v>
      </c>
      <c r="BC53" s="3">
        <v>15946375.596024</v>
      </c>
      <c r="BD53" s="3">
        <v>3980789.8552811</v>
      </c>
      <c r="BE53" s="3">
        <v>-0.00026919651050013</v>
      </c>
      <c r="BF53" s="3">
        <v>0.00074497314095045</v>
      </c>
      <c r="BG53" s="3">
        <v>0.00024843406756249</v>
      </c>
      <c r="BH53" s="3">
        <v>-0.00094998715581649</v>
      </c>
      <c r="BI53" s="3">
        <v>139.71278033485</v>
      </c>
      <c r="BJ53" s="3">
        <v>69.865471086152</v>
      </c>
      <c r="BK53" s="3">
        <v>127.08459675768</v>
      </c>
      <c r="BL53" s="4"/>
    </row>
    <row r="54" spans="1:64">
      <c r="A54" s="3">
        <v>7062687.723114</v>
      </c>
      <c r="B54" s="3">
        <v>0.00015955167520181</v>
      </c>
      <c r="C54" s="6">
        <f t="shared" si="0"/>
        <v>2.46060399637539e-11</v>
      </c>
      <c r="D54" s="5">
        <v>1.5268783696009e-12</v>
      </c>
      <c r="E54" s="5">
        <v>1.8323202422566e-12</v>
      </c>
      <c r="F54" s="5">
        <v>1.832263495097e-12</v>
      </c>
      <c r="G54" s="5">
        <v>1.8318261674211e-12</v>
      </c>
      <c r="H54" s="5">
        <v>1.5259731541601e-12</v>
      </c>
      <c r="I54" s="5">
        <v>1.52621134353e-12</v>
      </c>
      <c r="J54" s="5">
        <v>1.5260732161119e-12</v>
      </c>
      <c r="K54" s="5">
        <v>1.5995050267837e-12</v>
      </c>
      <c r="L54" s="5">
        <v>1.6001808465188e-12</v>
      </c>
      <c r="M54" s="5">
        <v>1.5992648825303e-12</v>
      </c>
      <c r="N54" s="5">
        <v>1.6734238157284e-12</v>
      </c>
      <c r="O54" s="5">
        <v>1.5259827407857e-12</v>
      </c>
      <c r="P54" s="5">
        <v>1.6731334551648e-12</v>
      </c>
      <c r="Q54" s="5">
        <v>1.6749221172272e-12</v>
      </c>
      <c r="R54" s="5">
        <v>1.8316723160262e-12</v>
      </c>
      <c r="S54" s="5">
        <v>1.8314744707752e-12</v>
      </c>
      <c r="T54" s="5">
        <v>1.8316990377433e-12</v>
      </c>
      <c r="U54" s="5">
        <v>1.5261093713269e-12</v>
      </c>
      <c r="V54" s="5">
        <v>1.5996757281844e-12</v>
      </c>
      <c r="W54" s="5">
        <v>1.6004336542358e-12</v>
      </c>
      <c r="X54" s="5">
        <v>1.5998273708397e-12</v>
      </c>
      <c r="Y54" s="5">
        <v>1.673350804273e-12</v>
      </c>
      <c r="Z54" s="5">
        <v>1.6751644516581e-12</v>
      </c>
      <c r="AA54" s="5">
        <v>1.6758870327867e-12</v>
      </c>
      <c r="AB54" s="3">
        <v>0.96669934984984</v>
      </c>
      <c r="AC54" s="3">
        <v>0.89077480825012</v>
      </c>
      <c r="AD54" s="3">
        <v>0.00071882291365072</v>
      </c>
      <c r="AE54" s="5">
        <v>-3.2428842846639e-14</v>
      </c>
      <c r="AF54" s="5">
        <v>1.4344438685978e-13</v>
      </c>
      <c r="AG54" s="5">
        <v>1.4222890523993e-13</v>
      </c>
      <c r="AH54" s="5">
        <v>4.4709248993566e-14</v>
      </c>
      <c r="AI54" s="5">
        <v>-8.7391698365352e-15</v>
      </c>
      <c r="AJ54" s="5">
        <v>3.9113132760779e-14</v>
      </c>
      <c r="AK54" s="5">
        <v>1.4532193360845e-15</v>
      </c>
      <c r="AL54" s="5">
        <v>3.7487275923377e-14</v>
      </c>
      <c r="AM54" s="5">
        <v>8.1550612573401e-14</v>
      </c>
      <c r="AN54" s="5">
        <v>-4.5580601963385e-15</v>
      </c>
      <c r="AO54" s="5">
        <v>1.8276506917581e-14</v>
      </c>
      <c r="AP54" s="5">
        <v>1.0227546759495e-15</v>
      </c>
      <c r="AQ54" s="5">
        <v>1.5541382662906e-14</v>
      </c>
      <c r="AR54" s="5">
        <v>-1.5546222107884e-13</v>
      </c>
      <c r="AS54" s="5">
        <v>-2.1698587383276e-15</v>
      </c>
      <c r="AT54" s="5">
        <v>3.4271723385097e-15</v>
      </c>
      <c r="AU54" s="5">
        <v>-2.5405220532241e-14</v>
      </c>
      <c r="AV54" s="5">
        <v>-5.4945935658077e-14</v>
      </c>
      <c r="AW54" s="5">
        <v>-1.365941904667e-14</v>
      </c>
      <c r="AX54" s="5">
        <v>1.2182911317226e-13</v>
      </c>
      <c r="AY54" s="5">
        <v>2.9212250284108e-14</v>
      </c>
      <c r="AZ54" s="5">
        <v>-7.31023505843e-14</v>
      </c>
      <c r="BA54" s="5">
        <v>9.5133314728245e-14</v>
      </c>
      <c r="BB54" s="5">
        <v>-3.8412292617094e-13</v>
      </c>
      <c r="BC54" s="3">
        <v>15939773.04419</v>
      </c>
      <c r="BD54" s="3">
        <v>3978431.4587165</v>
      </c>
      <c r="BE54" s="3">
        <v>-0.00026744965119028</v>
      </c>
      <c r="BF54" s="3">
        <v>0.00076387207234694</v>
      </c>
      <c r="BG54" s="3">
        <v>0.00025835282228836</v>
      </c>
      <c r="BH54" s="3">
        <v>-0.00094061087221983</v>
      </c>
      <c r="BI54" s="3">
        <v>139.71274492673</v>
      </c>
      <c r="BJ54" s="3">
        <v>69.865522644587</v>
      </c>
      <c r="BK54" s="3">
        <v>126.92239093037</v>
      </c>
      <c r="BL54" s="4"/>
    </row>
    <row r="55" spans="1:64">
      <c r="A55" s="3">
        <v>7924465.9623058</v>
      </c>
      <c r="B55" s="3">
        <v>0.00017852019345601</v>
      </c>
      <c r="C55" s="6">
        <f t="shared" si="0"/>
        <v>2.44897286122038e-11</v>
      </c>
      <c r="D55" s="5">
        <v>1.5260697889259e-12</v>
      </c>
      <c r="E55" s="5">
        <v>1.828240515621e-12</v>
      </c>
      <c r="F55" s="5">
        <v>1.828186503201e-12</v>
      </c>
      <c r="G55" s="5">
        <v>1.8277347859312e-12</v>
      </c>
      <c r="H55" s="5">
        <v>1.5250838407741e-12</v>
      </c>
      <c r="I55" s="5">
        <v>1.5253407451892e-12</v>
      </c>
      <c r="J55" s="5">
        <v>1.5251939914591e-12</v>
      </c>
      <c r="K55" s="5">
        <v>1.5975401848464e-12</v>
      </c>
      <c r="L55" s="5">
        <v>1.5982898184949e-12</v>
      </c>
      <c r="M55" s="5">
        <v>1.5972704638062e-12</v>
      </c>
      <c r="N55" s="5">
        <v>1.6706271383103e-12</v>
      </c>
      <c r="O55" s="5">
        <v>1.5250936367572e-12</v>
      </c>
      <c r="P55" s="5">
        <v>1.6703009288903e-12</v>
      </c>
      <c r="Q55" s="5">
        <v>1.6722499724034e-12</v>
      </c>
      <c r="R55" s="5">
        <v>1.8275472348848e-12</v>
      </c>
      <c r="S55" s="5">
        <v>1.8273341722195e-12</v>
      </c>
      <c r="T55" s="5">
        <v>1.8275814843099e-12</v>
      </c>
      <c r="U55" s="5">
        <v>1.5252375711522e-12</v>
      </c>
      <c r="V55" s="5">
        <v>1.5977094181942e-12</v>
      </c>
      <c r="W55" s="5">
        <v>1.5985624630944e-12</v>
      </c>
      <c r="X55" s="5">
        <v>1.5979030911057e-12</v>
      </c>
      <c r="Y55" s="5">
        <v>1.6705323420681e-12</v>
      </c>
      <c r="Z55" s="5">
        <v>1.6725036857615e-12</v>
      </c>
      <c r="AA55" s="5">
        <v>1.6733276347243e-12</v>
      </c>
      <c r="AB55" s="3">
        <v>0.96720058136161</v>
      </c>
      <c r="AC55" s="3">
        <v>0.89134427386521</v>
      </c>
      <c r="AD55" s="3">
        <v>0.0007364772678091</v>
      </c>
      <c r="AE55" s="5">
        <v>-3.0482903419138e-14</v>
      </c>
      <c r="AF55" s="5">
        <v>1.322238545181e-13</v>
      </c>
      <c r="AG55" s="5">
        <v>1.3508880846308e-13</v>
      </c>
      <c r="AH55" s="5">
        <v>4.7528118103871e-14</v>
      </c>
      <c r="AI55" s="5">
        <v>-8.8089780435731e-15</v>
      </c>
      <c r="AJ55" s="5">
        <v>3.6944596373514e-14</v>
      </c>
      <c r="AK55" s="5">
        <v>1.6045153782514e-15</v>
      </c>
      <c r="AL55" s="5">
        <v>3.5889118854273e-14</v>
      </c>
      <c r="AM55" s="5">
        <v>8.5525455982936e-14</v>
      </c>
      <c r="AN55" s="5">
        <v>-4.0095870964652e-15</v>
      </c>
      <c r="AO55" s="5">
        <v>1.538159966019e-14</v>
      </c>
      <c r="AP55" s="5">
        <v>9.8991984582181e-16</v>
      </c>
      <c r="AQ55" s="5">
        <v>1.5264839359596e-14</v>
      </c>
      <c r="AR55" s="5">
        <v>-1.5059213006235e-13</v>
      </c>
      <c r="AS55" s="5">
        <v>-2.0638525791725e-16</v>
      </c>
      <c r="AT55" s="5">
        <v>2.5615496017803e-15</v>
      </c>
      <c r="AU55" s="5">
        <v>-2.1808463337369e-14</v>
      </c>
      <c r="AV55" s="5">
        <v>-5.5164696989074e-14</v>
      </c>
      <c r="AW55" s="5">
        <v>-1.2862993686174e-14</v>
      </c>
      <c r="AX55" s="5">
        <v>1.1289240188313e-13</v>
      </c>
      <c r="AY55" s="5">
        <v>2.6979169650781e-14</v>
      </c>
      <c r="AZ55" s="5">
        <v>-6.8020332704069e-14</v>
      </c>
      <c r="BA55" s="5">
        <v>8.7591239348314e-14</v>
      </c>
      <c r="BB55" s="5">
        <v>-3.7085760320897e-13</v>
      </c>
      <c r="BC55" s="3">
        <v>15932366.922761</v>
      </c>
      <c r="BD55" s="3">
        <v>3975787.8717626</v>
      </c>
      <c r="BE55" s="3">
        <v>-0.00026542644943346</v>
      </c>
      <c r="BF55" s="3">
        <v>0.00078497678754865</v>
      </c>
      <c r="BG55" s="3">
        <v>0.00026947126889083</v>
      </c>
      <c r="BH55" s="3">
        <v>-0.00092949277812114</v>
      </c>
      <c r="BI55" s="3">
        <v>139.71271264625</v>
      </c>
      <c r="BJ55" s="3">
        <v>69.865578252145</v>
      </c>
      <c r="BK55" s="3">
        <v>126.74483652618</v>
      </c>
      <c r="BL55" s="4"/>
    </row>
    <row r="56" spans="1:64">
      <c r="A56" s="3">
        <v>8891397.0501949</v>
      </c>
      <c r="B56" s="3">
        <v>0.00019973242571767</v>
      </c>
      <c r="C56" s="6">
        <f t="shared" si="0"/>
        <v>2.43695327750725e-11</v>
      </c>
      <c r="D56" s="5">
        <v>1.5251710625849e-12</v>
      </c>
      <c r="E56" s="5">
        <v>1.8237344233985e-12</v>
      </c>
      <c r="F56" s="5">
        <v>1.8236843984683e-12</v>
      </c>
      <c r="G56" s="5">
        <v>1.8232226881627e-12</v>
      </c>
      <c r="H56" s="5">
        <v>1.5240992199071e-12</v>
      </c>
      <c r="I56" s="5">
        <v>1.5243753762328e-12</v>
      </c>
      <c r="J56" s="5">
        <v>1.5242202584756e-12</v>
      </c>
      <c r="K56" s="5">
        <v>1.5953328599884e-12</v>
      </c>
      <c r="L56" s="5">
        <v>1.5961656959925e-12</v>
      </c>
      <c r="M56" s="5">
        <v>1.595029898694e-12</v>
      </c>
      <c r="N56" s="5">
        <v>1.6675466017252e-12</v>
      </c>
      <c r="O56" s="5">
        <v>1.5241090214143e-12</v>
      </c>
      <c r="P56" s="5">
        <v>1.667178073228e-12</v>
      </c>
      <c r="Q56" s="5">
        <v>1.6693023423387e-12</v>
      </c>
      <c r="R56" s="5">
        <v>1.8229946679336e-12</v>
      </c>
      <c r="S56" s="5">
        <v>1.8227656943471e-12</v>
      </c>
      <c r="T56" s="5">
        <v>1.8230381897233e-12</v>
      </c>
      <c r="U56" s="5">
        <v>1.5242728134302e-12</v>
      </c>
      <c r="V56" s="5">
        <v>1.5954974611058e-12</v>
      </c>
      <c r="W56" s="5">
        <v>1.5964596613022e-12</v>
      </c>
      <c r="X56" s="5">
        <v>1.5957418270822e-12</v>
      </c>
      <c r="Y56" s="5">
        <v>1.6674234707529e-12</v>
      </c>
      <c r="Z56" s="5">
        <v>1.6695669986407e-12</v>
      </c>
      <c r="AA56" s="5">
        <v>1.6705068661035e-12</v>
      </c>
      <c r="AB56" s="3">
        <v>0.96764843285835</v>
      </c>
      <c r="AC56" s="3">
        <v>0.89174580185309</v>
      </c>
      <c r="AD56" s="3">
        <v>0.00075627386196202</v>
      </c>
      <c r="AE56" s="5">
        <v>-2.854466019548e-14</v>
      </c>
      <c r="AF56" s="5">
        <v>1.2122764711187e-13</v>
      </c>
      <c r="AG56" s="5">
        <v>1.2811620437375e-13</v>
      </c>
      <c r="AH56" s="5">
        <v>5.0531822641268e-14</v>
      </c>
      <c r="AI56" s="5">
        <v>-8.9169034343079e-15</v>
      </c>
      <c r="AJ56" s="5">
        <v>3.468307824955e-14</v>
      </c>
      <c r="AK56" s="5">
        <v>1.785774726609e-15</v>
      </c>
      <c r="AL56" s="5">
        <v>3.4159784865394e-14</v>
      </c>
      <c r="AM56" s="5">
        <v>8.9826848362258e-14</v>
      </c>
      <c r="AN56" s="5">
        <v>-3.5069952636787e-15</v>
      </c>
      <c r="AO56" s="5">
        <v>1.2291462470986e-14</v>
      </c>
      <c r="AP56" s="5">
        <v>9.3412914360649e-16</v>
      </c>
      <c r="AQ56" s="5">
        <v>1.4951387578683e-14</v>
      </c>
      <c r="AR56" s="5">
        <v>-1.4607893338068e-13</v>
      </c>
      <c r="AS56" s="5">
        <v>1.7599934521962e-15</v>
      </c>
      <c r="AT56" s="5">
        <v>1.6820326587136e-15</v>
      </c>
      <c r="AU56" s="5">
        <v>-1.8052921249103e-14</v>
      </c>
      <c r="AV56" s="5">
        <v>-5.5497261739061e-14</v>
      </c>
      <c r="AW56" s="5">
        <v>-1.2106493375116e-14</v>
      </c>
      <c r="AX56" s="5">
        <v>1.037138874927e-13</v>
      </c>
      <c r="AY56" s="5">
        <v>2.458752906042e-14</v>
      </c>
      <c r="AZ56" s="5">
        <v>-6.295135635561e-14</v>
      </c>
      <c r="BA56" s="5">
        <v>8.0117766957944e-14</v>
      </c>
      <c r="BB56" s="5">
        <v>-3.5821888849149e-13</v>
      </c>
      <c r="BC56" s="3">
        <v>15924062.073306</v>
      </c>
      <c r="BD56" s="3">
        <v>3972825.8870832</v>
      </c>
      <c r="BE56" s="3">
        <v>-0.00026308618992102</v>
      </c>
      <c r="BF56" s="3">
        <v>0.0008085404463862</v>
      </c>
      <c r="BG56" s="3">
        <v>0.00028193320946867</v>
      </c>
      <c r="BH56" s="3">
        <v>-0.0009164077901273</v>
      </c>
      <c r="BI56" s="3">
        <v>139.71268503097</v>
      </c>
      <c r="BJ56" s="3">
        <v>69.865637850018</v>
      </c>
      <c r="BK56" s="3">
        <v>126.5511170289</v>
      </c>
      <c r="BL56" s="4"/>
    </row>
    <row r="57" spans="1:64">
      <c r="A57" s="3">
        <v>9976311.5748447</v>
      </c>
      <c r="B57" s="3">
        <v>0.00022345152901877</v>
      </c>
      <c r="C57" s="6">
        <f t="shared" si="0"/>
        <v>2.4245393507033e-11</v>
      </c>
      <c r="D57" s="5">
        <v>1.5241606243868e-12</v>
      </c>
      <c r="E57" s="5">
        <v>1.8187722497226e-12</v>
      </c>
      <c r="F57" s="5">
        <v>1.818727729643e-12</v>
      </c>
      <c r="G57" s="5">
        <v>1.8182617215018e-12</v>
      </c>
      <c r="H57" s="5">
        <v>1.5229977125557e-12</v>
      </c>
      <c r="I57" s="5">
        <v>1.5232934724136e-12</v>
      </c>
      <c r="J57" s="5">
        <v>1.5231304255966e-12</v>
      </c>
      <c r="K57" s="5">
        <v>1.5928647978707e-12</v>
      </c>
      <c r="L57" s="5">
        <v>1.5937918620512e-12</v>
      </c>
      <c r="M57" s="5">
        <v>1.5925244661536e-12</v>
      </c>
      <c r="N57" s="5">
        <v>1.664156485322e-12</v>
      </c>
      <c r="O57" s="5">
        <v>1.5230072368114e-12</v>
      </c>
      <c r="P57" s="5">
        <v>1.6637374858931e-12</v>
      </c>
      <c r="Q57" s="5">
        <v>1.6660534501821e-12</v>
      </c>
      <c r="R57" s="5">
        <v>1.8179852023713e-12</v>
      </c>
      <c r="S57" s="5">
        <v>1.817739630417e-12</v>
      </c>
      <c r="T57" s="5">
        <v>1.8180401524896e-12</v>
      </c>
      <c r="U57" s="5">
        <v>1.523193869609e-12</v>
      </c>
      <c r="V57" s="5">
        <v>1.5930209154015e-12</v>
      </c>
      <c r="W57" s="5">
        <v>1.59410886016e-12</v>
      </c>
      <c r="X57" s="5">
        <v>1.5933262081386e-12</v>
      </c>
      <c r="Y57" s="5">
        <v>1.6639965880095e-12</v>
      </c>
      <c r="Z57" s="5">
        <v>1.6663286586421e-12</v>
      </c>
      <c r="AA57" s="5">
        <v>1.6674011342678e-12</v>
      </c>
      <c r="AB57" s="3">
        <v>0.96803218451053</v>
      </c>
      <c r="AC57" s="3">
        <v>0.89194279398288</v>
      </c>
      <c r="AD57" s="3">
        <v>0.00077847536559848</v>
      </c>
      <c r="AE57" s="5">
        <v>-2.659699755968e-14</v>
      </c>
      <c r="AF57" s="5">
        <v>1.1051400780335e-13</v>
      </c>
      <c r="AG57" s="5">
        <v>1.2136962743797e-13</v>
      </c>
      <c r="AH57" s="5">
        <v>5.3726844732855e-14</v>
      </c>
      <c r="AI57" s="5">
        <v>-9.0738409916914e-15</v>
      </c>
      <c r="AJ57" s="5">
        <v>3.230856506636e-14</v>
      </c>
      <c r="AK57" s="5">
        <v>2.0004892174424e-15</v>
      </c>
      <c r="AL57" s="5">
        <v>3.2280921031327e-14</v>
      </c>
      <c r="AM57" s="5">
        <v>9.451925403174e-14</v>
      </c>
      <c r="AN57" s="5">
        <v>-3.0574933950203e-15</v>
      </c>
      <c r="AO57" s="5">
        <v>8.9353002872199e-15</v>
      </c>
      <c r="AP57" s="5">
        <v>8.4764646815698e-16</v>
      </c>
      <c r="AQ57" s="5">
        <v>1.4584156116566e-14</v>
      </c>
      <c r="AR57" s="5">
        <v>-1.4193196986596e-13</v>
      </c>
      <c r="AS57" s="5">
        <v>3.7284020587068e-15</v>
      </c>
      <c r="AT57" s="5">
        <v>7.8912162981853e-16</v>
      </c>
      <c r="AU57" s="5">
        <v>-1.4129218706955e-14</v>
      </c>
      <c r="AV57" s="5">
        <v>-5.5971790201283e-14</v>
      </c>
      <c r="AW57" s="5">
        <v>-1.1388123444987e-14</v>
      </c>
      <c r="AX57" s="5">
        <v>9.4311813589062e-14</v>
      </c>
      <c r="AY57" s="5">
        <v>2.2021343679244e-14</v>
      </c>
      <c r="AZ57" s="5">
        <v>-5.790806195641e-14</v>
      </c>
      <c r="BA57" s="5">
        <v>7.2648177860962e-14</v>
      </c>
      <c r="BB57" s="5">
        <v>-3.4621703961271e-13</v>
      </c>
      <c r="BC57" s="3">
        <v>15914752.730178</v>
      </c>
      <c r="BD57" s="3">
        <v>3969508.7615795</v>
      </c>
      <c r="BE57" s="3">
        <v>-0.00026038280990534</v>
      </c>
      <c r="BF57" s="3">
        <v>0.00083484462595783</v>
      </c>
      <c r="BG57" s="3">
        <v>0.00029589931897117</v>
      </c>
      <c r="BH57" s="3">
        <v>-0.00090112859771211</v>
      </c>
      <c r="BI57" s="3">
        <v>139.71266398623</v>
      </c>
      <c r="BJ57" s="3">
        <v>69.86570122075</v>
      </c>
      <c r="BK57" s="3">
        <v>126.3405432483</v>
      </c>
      <c r="BL57" s="4"/>
    </row>
    <row r="58" spans="1:64">
      <c r="A58" s="3">
        <v>11193605.692842</v>
      </c>
      <c r="B58" s="3">
        <v>0.00024997097558054</v>
      </c>
      <c r="C58" s="6">
        <f t="shared" si="0"/>
        <v>2.41172752564184e-11</v>
      </c>
      <c r="D58" s="5">
        <v>1.5230457932883e-12</v>
      </c>
      <c r="E58" s="5">
        <v>1.8133204104089e-12</v>
      </c>
      <c r="F58" s="5">
        <v>1.8132832320774e-12</v>
      </c>
      <c r="G58" s="5">
        <v>1.81282013897e-12</v>
      </c>
      <c r="H58" s="5">
        <v>1.5217866955656e-12</v>
      </c>
      <c r="I58" s="5">
        <v>1.5221021817932e-12</v>
      </c>
      <c r="J58" s="5">
        <v>1.5219318186466e-12</v>
      </c>
      <c r="K58" s="5">
        <v>1.5900941742131e-12</v>
      </c>
      <c r="L58" s="5">
        <v>1.5911284810212e-12</v>
      </c>
      <c r="M58" s="5">
        <v>1.5897118067666e-12</v>
      </c>
      <c r="N58" s="5">
        <v>1.6604523934429e-12</v>
      </c>
      <c r="O58" s="5">
        <v>1.5217955591908e-12</v>
      </c>
      <c r="P58" s="5">
        <v>1.6599725937397e-12</v>
      </c>
      <c r="Q58" s="5">
        <v>1.6624985685992e-12</v>
      </c>
      <c r="R58" s="5">
        <v>1.8124856118868e-12</v>
      </c>
      <c r="S58" s="5">
        <v>1.8122227537303e-12</v>
      </c>
      <c r="T58" s="5">
        <v>1.812554663605e-12</v>
      </c>
      <c r="U58" s="5">
        <v>1.5220085340816e-12</v>
      </c>
      <c r="V58" s="5">
        <v>1.5902371643113e-12</v>
      </c>
      <c r="W58" s="5">
        <v>1.5914705074361e-12</v>
      </c>
      <c r="X58" s="5">
        <v>1.5906154625992e-12</v>
      </c>
      <c r="Y58" s="5">
        <v>1.6602448816872e-12</v>
      </c>
      <c r="Z58" s="5">
        <v>1.662784088452e-12</v>
      </c>
      <c r="AA58" s="5">
        <v>1.6640083862688e-12</v>
      </c>
      <c r="AB58" s="3">
        <v>0.9683402684238</v>
      </c>
      <c r="AC58" s="3">
        <v>0.89189545710269</v>
      </c>
      <c r="AD58" s="3">
        <v>0.00080337635342524</v>
      </c>
      <c r="AE58" s="5">
        <v>-2.4617473364495e-14</v>
      </c>
      <c r="AF58" s="5">
        <v>1.0014383512361e-13</v>
      </c>
      <c r="AG58" s="5">
        <v>1.1490756936506e-13</v>
      </c>
      <c r="AH58" s="5">
        <v>5.7119621780512e-14</v>
      </c>
      <c r="AI58" s="5">
        <v>-9.2934210972118e-15</v>
      </c>
      <c r="AJ58" s="5">
        <v>2.9793557556329e-14</v>
      </c>
      <c r="AK58" s="5">
        <v>2.2502116333064e-15</v>
      </c>
      <c r="AL58" s="5">
        <v>3.0231951067331e-14</v>
      </c>
      <c r="AM58" s="5">
        <v>9.9678706050693e-14</v>
      </c>
      <c r="AN58" s="5">
        <v>-2.667403140355e-15</v>
      </c>
      <c r="AO58" s="5">
        <v>5.2249619915126e-15</v>
      </c>
      <c r="AP58" s="5">
        <v>7.211400050336e-16</v>
      </c>
      <c r="AQ58" s="5">
        <v>1.4141832480088e-14</v>
      </c>
      <c r="AR58" s="5">
        <v>-1.3816677884787e-13</v>
      </c>
      <c r="AS58" s="5">
        <v>5.6975750506987e-15</v>
      </c>
      <c r="AT58" s="5">
        <v>-1.1755846144628e-16</v>
      </c>
      <c r="AU58" s="5">
        <v>-1.0025472597503e-14</v>
      </c>
      <c r="AV58" s="5">
        <v>-5.6620221550541e-14</v>
      </c>
      <c r="AW58" s="5">
        <v>-1.0706140368021e-14</v>
      </c>
      <c r="AX58" s="5">
        <v>8.4717713176409e-14</v>
      </c>
      <c r="AY58" s="5">
        <v>1.9263452320111e-14</v>
      </c>
      <c r="AZ58" s="5">
        <v>-5.2902222498274e-14</v>
      </c>
      <c r="BA58" s="5">
        <v>6.5104136968575e-14</v>
      </c>
      <c r="BB58" s="5">
        <v>-3.3486389272525e-13</v>
      </c>
      <c r="BC58" s="3">
        <v>15904321.461037</v>
      </c>
      <c r="BD58" s="3">
        <v>3965795.9078537</v>
      </c>
      <c r="BE58" s="3">
        <v>-0.00025726418783185</v>
      </c>
      <c r="BF58" s="3">
        <v>0.00086420244326959</v>
      </c>
      <c r="BG58" s="3">
        <v>0.00031154902786937</v>
      </c>
      <c r="BH58" s="3">
        <v>-0.00088338604255683</v>
      </c>
      <c r="BI58" s="3">
        <v>139.71265176022</v>
      </c>
      <c r="BJ58" s="3">
        <v>69.865767948312</v>
      </c>
      <c r="BK58" s="3">
        <v>126.11261252232</v>
      </c>
      <c r="BL58" s="4"/>
    </row>
    <row r="59" spans="1:64">
      <c r="A59" s="3">
        <v>12559432.157548</v>
      </c>
      <c r="B59" s="3">
        <v>0.00027961794079677</v>
      </c>
      <c r="C59" s="6">
        <f t="shared" si="0"/>
        <v>2.39850941813912e-11</v>
      </c>
      <c r="D59" s="5">
        <v>1.5218669580775e-12</v>
      </c>
      <c r="E59" s="5">
        <v>1.8073390349093e-12</v>
      </c>
      <c r="F59" s="5">
        <v>1.807311412591e-12</v>
      </c>
      <c r="G59" s="5">
        <v>1.8068602172818e-12</v>
      </c>
      <c r="H59" s="5">
        <v>1.5205067075106e-12</v>
      </c>
      <c r="I59" s="5">
        <v>1.5208417702986e-12</v>
      </c>
      <c r="J59" s="5">
        <v>1.5206648690446e-12</v>
      </c>
      <c r="K59" s="5">
        <v>1.5869766422448e-12</v>
      </c>
      <c r="L59" s="5">
        <v>1.5881336106705e-12</v>
      </c>
      <c r="M59" s="5">
        <v>1.586546951492e-12</v>
      </c>
      <c r="N59" s="5">
        <v>1.656409651145e-12</v>
      </c>
      <c r="O59" s="5">
        <v>1.5205143988582e-12</v>
      </c>
      <c r="P59" s="5">
        <v>1.655855900692e-12</v>
      </c>
      <c r="Q59" s="5">
        <v>1.6586122553467e-12</v>
      </c>
      <c r="R59" s="5">
        <v>1.8064564376848e-12</v>
      </c>
      <c r="S59" s="5">
        <v>1.8061755946669e-12</v>
      </c>
      <c r="T59" s="5">
        <v>1.8065429155494e-12</v>
      </c>
      <c r="U59" s="5">
        <v>1.52075785215e-12</v>
      </c>
      <c r="V59" s="5">
        <v>1.5871009437447e-12</v>
      </c>
      <c r="W59" s="5">
        <v>1.5885030022199e-12</v>
      </c>
      <c r="X59" s="5">
        <v>1.5875664969206e-12</v>
      </c>
      <c r="Y59" s="5">
        <v>1.6561405716148e-12</v>
      </c>
      <c r="Z59" s="5">
        <v>1.6589081975962e-12</v>
      </c>
      <c r="AA59" s="5">
        <v>1.6603064317635e-12</v>
      </c>
      <c r="AB59" s="3">
        <v>0.96856013364168</v>
      </c>
      <c r="AC59" s="3">
        <v>0.89156072051199</v>
      </c>
      <c r="AD59" s="3">
        <v>0.00083130667506754</v>
      </c>
      <c r="AE59" s="5">
        <v>-2.2575993390472e-14</v>
      </c>
      <c r="AF59" s="5">
        <v>9.0177912825279e-14</v>
      </c>
      <c r="AG59" s="5">
        <v>1.0878592667626e-13</v>
      </c>
      <c r="AH59" s="5">
        <v>6.071814226984e-14</v>
      </c>
      <c r="AI59" s="5">
        <v>-9.5924180218395e-15</v>
      </c>
      <c r="AJ59" s="5">
        <v>2.7099361993326e-14</v>
      </c>
      <c r="AK59" s="5">
        <v>2.5349031025375e-15</v>
      </c>
      <c r="AL59" s="5">
        <v>2.7981082808226e-14</v>
      </c>
      <c r="AM59" s="5">
        <v>1.0539067474847e-13</v>
      </c>
      <c r="AN59" s="5">
        <v>-2.3414201519471e-15</v>
      </c>
      <c r="AO59" s="5">
        <v>1.0558166627798e-15</v>
      </c>
      <c r="AP59" s="5">
        <v>5.4358936244745e-16</v>
      </c>
      <c r="AQ59" s="5">
        <v>1.360016855146e-14</v>
      </c>
      <c r="AR59" s="5">
        <v>-1.3480463137289e-13</v>
      </c>
      <c r="AS59" s="5">
        <v>7.6668193715287e-15</v>
      </c>
      <c r="AT59" s="5">
        <v>-1.0396307626276e-15</v>
      </c>
      <c r="AU59" s="5">
        <v>-5.7264734386997e-15</v>
      </c>
      <c r="AV59" s="5">
        <v>-5.7473307580036e-14</v>
      </c>
      <c r="AW59" s="5">
        <v>-1.0060500876207e-14</v>
      </c>
      <c r="AX59" s="5">
        <v>7.4982148512178e-14</v>
      </c>
      <c r="AY59" s="5">
        <v>1.6306050382175e-14</v>
      </c>
      <c r="AZ59" s="5">
        <v>-4.7943798069795e-14</v>
      </c>
      <c r="BA59" s="5">
        <v>5.7375339495076e-14</v>
      </c>
      <c r="BB59" s="5">
        <v>-3.2421767378858e-13</v>
      </c>
      <c r="BC59" s="3">
        <v>15892637.964137</v>
      </c>
      <c r="BD59" s="3">
        <v>3961642.5528027</v>
      </c>
      <c r="BE59" s="3">
        <v>-0.00025367108821106</v>
      </c>
      <c r="BF59" s="3">
        <v>0.000896961919661</v>
      </c>
      <c r="BG59" s="3">
        <v>0.00032908271690323</v>
      </c>
      <c r="BH59" s="3">
        <v>-0.00086310002627679</v>
      </c>
      <c r="BI59" s="3">
        <v>139.7126514586</v>
      </c>
      <c r="BJ59" s="3">
        <v>69.865837164129</v>
      </c>
      <c r="BK59" s="3">
        <v>125.86708374576</v>
      </c>
      <c r="BL59" s="4"/>
    </row>
    <row r="60" spans="1:64">
      <c r="A60" s="3">
        <v>14091914.656323</v>
      </c>
      <c r="B60" s="3">
        <v>0.00031275701340041</v>
      </c>
      <c r="C60" s="6">
        <f t="shared" si="0"/>
        <v>2.38489956811546e-11</v>
      </c>
      <c r="D60" s="5">
        <v>1.5205039439232e-12</v>
      </c>
      <c r="E60" s="5">
        <v>1.8007969425151e-12</v>
      </c>
      <c r="F60" s="5">
        <v>1.800781536034e-12</v>
      </c>
      <c r="G60" s="5">
        <v>1.8003532760764e-12</v>
      </c>
      <c r="H60" s="5">
        <v>1.5190378532262e-12</v>
      </c>
      <c r="I60" s="5">
        <v>1.5193920304762e-12</v>
      </c>
      <c r="J60" s="5">
        <v>1.5192094956578e-12</v>
      </c>
      <c r="K60" s="5">
        <v>1.5834685204074e-12</v>
      </c>
      <c r="L60" s="5">
        <v>1.5847664616969e-12</v>
      </c>
      <c r="M60" s="5">
        <v>1.582985494632e-12</v>
      </c>
      <c r="N60" s="5">
        <v>1.6519782356112e-12</v>
      </c>
      <c r="O60" s="5">
        <v>1.5190436993424e-12</v>
      </c>
      <c r="P60" s="5">
        <v>1.6513337363296e-12</v>
      </c>
      <c r="Q60" s="5">
        <v>1.6543430637425e-12</v>
      </c>
      <c r="R60" s="5">
        <v>1.7998669646021e-12</v>
      </c>
      <c r="S60" s="5">
        <v>1.7995674120303e-12</v>
      </c>
      <c r="T60" s="5">
        <v>1.799975015461e-12</v>
      </c>
      <c r="U60" s="5">
        <v>1.5193225421152e-12</v>
      </c>
      <c r="V60" s="5">
        <v>1.583567512208e-12</v>
      </c>
      <c r="W60" s="5">
        <v>1.5851659407947e-12</v>
      </c>
      <c r="X60" s="5">
        <v>1.5841371187218e-12</v>
      </c>
      <c r="Y60" s="5">
        <v>1.6516296462732e-12</v>
      </c>
      <c r="Z60" s="5">
        <v>1.6546502038334e-12</v>
      </c>
      <c r="AA60" s="5">
        <v>1.656247796031e-12</v>
      </c>
      <c r="AB60" s="3">
        <v>0.96867613738208</v>
      </c>
      <c r="AC60" s="3">
        <v>0.89089043956774</v>
      </c>
      <c r="AD60" s="3">
        <v>0.00086263607997718</v>
      </c>
      <c r="AE60" s="5">
        <v>-2.0443189408556e-14</v>
      </c>
      <c r="AF60" s="5">
        <v>8.0678796327748e-14</v>
      </c>
      <c r="AG60" s="5">
        <v>1.030617185367e-13</v>
      </c>
      <c r="AH60" s="5">
        <v>6.4530100765523e-14</v>
      </c>
      <c r="AI60" s="5">
        <v>-9.9922578176736e-15</v>
      </c>
      <c r="AJ60" s="5">
        <v>2.4173565900789e-14</v>
      </c>
      <c r="AK60" s="5">
        <v>2.8466158311129e-15</v>
      </c>
      <c r="AL60" s="5">
        <v>2.548610100298e-14</v>
      </c>
      <c r="AM60" s="5">
        <v>1.1174969327862e-13</v>
      </c>
      <c r="AN60" s="5">
        <v>-2.0824128924379e-15</v>
      </c>
      <c r="AO60" s="5">
        <v>-3.6794534512294e-15</v>
      </c>
      <c r="AP60" s="5">
        <v>3.0202232942986e-16</v>
      </c>
      <c r="AQ60" s="5">
        <v>1.2927285536909e-14</v>
      </c>
      <c r="AR60" s="5">
        <v>-1.3188355464446e-13</v>
      </c>
      <c r="AS60" s="5">
        <v>9.6358599581641e-15</v>
      </c>
      <c r="AT60" s="5">
        <v>-1.9800031810978e-15</v>
      </c>
      <c r="AU60" s="5">
        <v>-1.2143892466812e-15</v>
      </c>
      <c r="AV60" s="5">
        <v>-5.8566961156119e-14</v>
      </c>
      <c r="AW60" s="5">
        <v>-9.4546727117558e-15</v>
      </c>
      <c r="AX60" s="5">
        <v>6.5179209470953e-14</v>
      </c>
      <c r="AY60" s="5">
        <v>1.3151848298684e-14</v>
      </c>
      <c r="AZ60" s="5">
        <v>-4.3042282693108e-14</v>
      </c>
      <c r="BA60" s="5">
        <v>4.934920714229e-14</v>
      </c>
      <c r="BB60" s="5">
        <v>-3.1433480028194e-13</v>
      </c>
      <c r="BC60" s="3">
        <v>15879558.199549</v>
      </c>
      <c r="BD60" s="3">
        <v>3956999.5386212</v>
      </c>
      <c r="BE60" s="3">
        <v>-0.00024953783230389</v>
      </c>
      <c r="BF60" s="3">
        <v>0.00093351008815573</v>
      </c>
      <c r="BG60" s="3">
        <v>0.00034872382010078</v>
      </c>
      <c r="BH60" s="3">
        <v>-0.0008400802140291</v>
      </c>
      <c r="BI60" s="3">
        <v>139.71266653295</v>
      </c>
      <c r="BJ60" s="3">
        <v>69.865907772279</v>
      </c>
      <c r="BK60" s="3">
        <v>125.60404210128</v>
      </c>
      <c r="BL60" s="4"/>
    </row>
    <row r="61" spans="1:64">
      <c r="A61" s="3">
        <v>15811388.300842</v>
      </c>
      <c r="B61" s="3">
        <v>0.00034979435759338</v>
      </c>
      <c r="C61" s="6">
        <f t="shared" si="0"/>
        <v>2.3709175072424e-11</v>
      </c>
      <c r="D61" s="5">
        <v>1.5189265189944e-12</v>
      </c>
      <c r="E61" s="5">
        <v>1.7936524722368e-12</v>
      </c>
      <c r="F61" s="5">
        <v>1.793652465303e-12</v>
      </c>
      <c r="G61" s="5">
        <v>1.7932605521841e-12</v>
      </c>
      <c r="H61" s="5">
        <v>1.5173503502693e-12</v>
      </c>
      <c r="I61" s="5">
        <v>1.5177228432058e-12</v>
      </c>
      <c r="J61" s="5">
        <v>1.5175356237108e-12</v>
      </c>
      <c r="K61" s="5">
        <v>1.579535910238e-12</v>
      </c>
      <c r="L61" s="5">
        <v>1.5809965865747e-12</v>
      </c>
      <c r="M61" s="5">
        <v>1.5789926880372e-12</v>
      </c>
      <c r="N61" s="5">
        <v>1.6471310802753e-12</v>
      </c>
      <c r="O61" s="5">
        <v>1.5173534757163e-12</v>
      </c>
      <c r="P61" s="5">
        <v>1.6463743267157e-12</v>
      </c>
      <c r="Q61" s="5">
        <v>1.6496616420667e-12</v>
      </c>
      <c r="R61" s="5">
        <v>1.7926760466685e-12</v>
      </c>
      <c r="S61" s="5">
        <v>1.7923570121433e-12</v>
      </c>
      <c r="T61" s="5">
        <v>1.7928108557112e-12</v>
      </c>
      <c r="U61" s="5">
        <v>1.5176735758072e-12</v>
      </c>
      <c r="V61" s="5">
        <v>1.5796017430905e-12</v>
      </c>
      <c r="W61" s="5">
        <v>1.5814292825806e-12</v>
      </c>
      <c r="X61" s="5">
        <v>1.5802951923036e-12</v>
      </c>
      <c r="Y61" s="5">
        <v>1.6466799149867e-12</v>
      </c>
      <c r="Z61" s="5">
        <v>1.6499818185063e-12</v>
      </c>
      <c r="AA61" s="5">
        <v>1.6518080494037e-12</v>
      </c>
      <c r="AB61" s="3">
        <v>0.96867117636575</v>
      </c>
      <c r="AC61" s="3">
        <v>0.8898337610875</v>
      </c>
      <c r="AD61" s="3">
        <v>0.00089777864985306</v>
      </c>
      <c r="AE61" s="5">
        <v>-1.8191185240658e-14</v>
      </c>
      <c r="AF61" s="5">
        <v>7.1711555395295e-14</v>
      </c>
      <c r="AG61" s="5">
        <v>9.7793643082678e-14</v>
      </c>
      <c r="AH61" s="5">
        <v>6.8561276827007e-14</v>
      </c>
      <c r="AI61" s="5">
        <v>-1.0521134814668e-14</v>
      </c>
      <c r="AJ61" s="5">
        <v>2.0941728908343e-14</v>
      </c>
      <c r="AK61" s="5">
        <v>3.166663410978e-15</v>
      </c>
      <c r="AL61" s="5">
        <v>2.2691681980449e-14</v>
      </c>
      <c r="AM61" s="5">
        <v>1.1885314837938e-13</v>
      </c>
      <c r="AN61" s="5">
        <v>-1.8909196337236e-15</v>
      </c>
      <c r="AO61" s="5">
        <v>-9.0738428247038e-15</v>
      </c>
      <c r="AP61" s="5">
        <v>-1.8563790604007e-17</v>
      </c>
      <c r="AQ61" s="5">
        <v>1.2080932627079e-14</v>
      </c>
      <c r="AR61" s="5">
        <v>-1.294640785297e-13</v>
      </c>
      <c r="AS61" s="5">
        <v>1.1605213128051e-14</v>
      </c>
      <c r="AT61" s="5">
        <v>-2.9431377569536e-15</v>
      </c>
      <c r="AU61" s="5">
        <v>3.5300580511401e-15</v>
      </c>
      <c r="AV61" s="5">
        <v>-5.9944023807623e-14</v>
      </c>
      <c r="AW61" s="5">
        <v>-8.8983347866361e-15</v>
      </c>
      <c r="AX61" s="5">
        <v>5.5408462771355e-14</v>
      </c>
      <c r="AY61" s="5">
        <v>9.8195990999575e-15</v>
      </c>
      <c r="AZ61" s="5">
        <v>-3.8207157178372e-14</v>
      </c>
      <c r="BA61" s="5">
        <v>4.0917458832983e-14</v>
      </c>
      <c r="BB61" s="5">
        <v>-3.052685179417e-13</v>
      </c>
      <c r="BC61" s="3">
        <v>15864923.224932</v>
      </c>
      <c r="BD61" s="3">
        <v>3951813.0451152</v>
      </c>
      <c r="BE61" s="3">
        <v>-0.0002447918702915</v>
      </c>
      <c r="BF61" s="3">
        <v>0.00097427738982605</v>
      </c>
      <c r="BG61" s="3">
        <v>0.00037072128485857</v>
      </c>
      <c r="BH61" s="3">
        <v>-0.00081421015867342</v>
      </c>
      <c r="BI61" s="3">
        <v>139.71270091938</v>
      </c>
      <c r="BJ61" s="3">
        <v>69.865978311817</v>
      </c>
      <c r="BK61" s="3">
        <v>125.32399369377</v>
      </c>
      <c r="BL61" s="4"/>
    </row>
    <row r="62" spans="1:64">
      <c r="A62" s="3">
        <v>17740669.461679</v>
      </c>
      <c r="B62" s="3">
        <v>0.00039118245952831</v>
      </c>
      <c r="C62" s="6">
        <f t="shared" si="0"/>
        <v>2.35658189238863e-11</v>
      </c>
      <c r="D62" s="5">
        <v>1.5171248559552e-12</v>
      </c>
      <c r="E62" s="5">
        <v>1.7859100441446e-12</v>
      </c>
      <c r="F62" s="5">
        <v>1.7859292360155e-12</v>
      </c>
      <c r="G62" s="5">
        <v>1.7855898093495e-12</v>
      </c>
      <c r="H62" s="5">
        <v>1.5154350477964e-12</v>
      </c>
      <c r="I62" s="5">
        <v>1.5158247242278e-12</v>
      </c>
      <c r="J62" s="5">
        <v>1.5156336672514e-12</v>
      </c>
      <c r="K62" s="5">
        <v>1.5751483839393e-12</v>
      </c>
      <c r="L62" s="5">
        <v>1.5767976267647e-12</v>
      </c>
      <c r="M62" s="5">
        <v>1.5745370940722e-12</v>
      </c>
      <c r="N62" s="5">
        <v>1.6418597432192e-12</v>
      </c>
      <c r="O62" s="5">
        <v>1.5154343195977e-12</v>
      </c>
      <c r="P62" s="5">
        <v>1.6409631721262e-12</v>
      </c>
      <c r="Q62" s="5">
        <v>1.644556064009e-12</v>
      </c>
      <c r="R62" s="5">
        <v>1.7848886624133e-12</v>
      </c>
      <c r="S62" s="5">
        <v>1.7845492975333e-12</v>
      </c>
      <c r="T62" s="5">
        <v>1.7850567236895e-12</v>
      </c>
      <c r="U62" s="5">
        <v>1.5158027479603e-12</v>
      </c>
      <c r="V62" s="5">
        <v>1.5751717795197e-12</v>
      </c>
      <c r="W62" s="5">
        <v>1.577267057788e-12</v>
      </c>
      <c r="X62" s="5">
        <v>1.576012349934e-12</v>
      </c>
      <c r="Y62" s="5">
        <v>1.6412763636011e-12</v>
      </c>
      <c r="Z62" s="5">
        <v>1.6448927477553e-12</v>
      </c>
      <c r="AA62" s="5">
        <v>1.6469813356899e-12</v>
      </c>
      <c r="AB62" s="3">
        <v>0.96852616512855</v>
      </c>
      <c r="AC62" s="3">
        <v>0.88833635714051</v>
      </c>
      <c r="AD62" s="3">
        <v>0.0009371974339863</v>
      </c>
      <c r="AE62" s="5">
        <v>-1.5792716741424e-14</v>
      </c>
      <c r="AF62" s="5">
        <v>6.3345797033168e-14</v>
      </c>
      <c r="AG62" s="5">
        <v>9.3041105121465e-14</v>
      </c>
      <c r="AH62" s="5">
        <v>7.2811403680489e-14</v>
      </c>
      <c r="AI62" s="5">
        <v>-1.1215855529082e-14</v>
      </c>
      <c r="AJ62" s="5">
        <v>1.7295533057403e-14</v>
      </c>
      <c r="AK62" s="5">
        <v>3.460896308066e-15</v>
      </c>
      <c r="AL62" s="5">
        <v>1.9522001540965e-14</v>
      </c>
      <c r="AM62" s="5">
        <v>1.2678887524149e-13</v>
      </c>
      <c r="AN62" s="5">
        <v>-1.7655641525816e-15</v>
      </c>
      <c r="AO62" s="5">
        <v>-1.5184171951033e-14</v>
      </c>
      <c r="AP62" s="5">
        <v>-4.3564437342168e-16</v>
      </c>
      <c r="AQ62" s="5">
        <v>1.1006197334378e-14</v>
      </c>
      <c r="AR62" s="5">
        <v>-1.2763681818357e-13</v>
      </c>
      <c r="AS62" s="5">
        <v>1.3575540264844e-14</v>
      </c>
      <c r="AT62" s="5">
        <v>-3.9353822174559e-15</v>
      </c>
      <c r="AU62" s="5">
        <v>8.5261821571763e-15</v>
      </c>
      <c r="AV62" s="5">
        <v>-6.1649068031915e-14</v>
      </c>
      <c r="AW62" s="5">
        <v>-8.410818886915e-15</v>
      </c>
      <c r="AX62" s="5">
        <v>4.5797728556825e-14</v>
      </c>
      <c r="AY62" s="5">
        <v>6.3617446251744e-15</v>
      </c>
      <c r="AZ62" s="5">
        <v>-3.3446425440342e-14</v>
      </c>
      <c r="BA62" s="5">
        <v>3.1987705851694e-14</v>
      </c>
      <c r="BB62" s="5">
        <v>-2.9709744680018e-13</v>
      </c>
      <c r="BC62" s="3">
        <v>15848557.755298</v>
      </c>
      <c r="BD62" s="3">
        <v>3946024.2415495</v>
      </c>
      <c r="BE62" s="3">
        <v>-0.0002393523105251</v>
      </c>
      <c r="BF62" s="3">
        <v>0.0010197424803156</v>
      </c>
      <c r="BG62" s="3">
        <v>0.00039535240817421</v>
      </c>
      <c r="BH62" s="3">
        <v>-0.00078542438138615</v>
      </c>
      <c r="BI62" s="3">
        <v>139.71275887161</v>
      </c>
      <c r="BJ62" s="3">
        <v>69.866046895973</v>
      </c>
      <c r="BK62" s="3">
        <v>125.0279669497</v>
      </c>
      <c r="BL62" s="4"/>
    </row>
    <row r="63" spans="1:64">
      <c r="A63" s="3">
        <v>19905358.527676</v>
      </c>
      <c r="B63" s="3">
        <v>0.00043742529986169</v>
      </c>
      <c r="C63" s="6">
        <f t="shared" si="0"/>
        <v>2.34192517890098e-11</v>
      </c>
      <c r="D63" s="5">
        <v>1.5150875825836e-12</v>
      </c>
      <c r="E63" s="5">
        <v>1.7775262933169e-12</v>
      </c>
      <c r="F63" s="5">
        <v>1.7775691916284e-12</v>
      </c>
      <c r="G63" s="5">
        <v>1.7773015176946e-12</v>
      </c>
      <c r="H63" s="5">
        <v>1.5132815526972e-12</v>
      </c>
      <c r="I63" s="5">
        <v>1.5136870015123e-12</v>
      </c>
      <c r="J63" s="5">
        <v>1.5134926125694e-12</v>
      </c>
      <c r="K63" s="5">
        <v>1.5702134634587e-12</v>
      </c>
      <c r="L63" s="5">
        <v>1.5720818353605e-12</v>
      </c>
      <c r="M63" s="5">
        <v>1.5695250173374e-12</v>
      </c>
      <c r="N63" s="5">
        <v>1.6361566368271e-12</v>
      </c>
      <c r="O63" s="5">
        <v>1.513275503426e-12</v>
      </c>
      <c r="P63" s="5">
        <v>1.6350849440013e-12</v>
      </c>
      <c r="Q63" s="5">
        <v>1.6390136613172e-12</v>
      </c>
      <c r="R63" s="5">
        <v>1.776462028566e-12</v>
      </c>
      <c r="S63" s="5">
        <v>1.7761013732674e-12</v>
      </c>
      <c r="T63" s="5">
        <v>1.7766714830709e-12</v>
      </c>
      <c r="U63" s="5">
        <v>1.5137008678809e-12</v>
      </c>
      <c r="V63" s="5">
        <v>1.5701834800302e-12</v>
      </c>
      <c r="W63" s="5">
        <v>1.5725918115862e-12</v>
      </c>
      <c r="X63" s="5">
        <v>1.5711984990157e-12</v>
      </c>
      <c r="Y63" s="5">
        <v>1.635403019544e-12</v>
      </c>
      <c r="Z63" s="5">
        <v>1.6393727135319e-12</v>
      </c>
      <c r="AA63" s="5">
        <v>1.6417624604344e-12</v>
      </c>
      <c r="AB63" s="3">
        <v>0.96821786502801</v>
      </c>
      <c r="AC63" s="3">
        <v>0.88633846529452</v>
      </c>
      <c r="AD63" s="3">
        <v>0.00098140999277601</v>
      </c>
      <c r="AE63" s="5">
        <v>-1.3215785152003e-14</v>
      </c>
      <c r="AF63" s="5">
        <v>5.5654055644597e-14</v>
      </c>
      <c r="AG63" s="5">
        <v>8.8865229318375e-14</v>
      </c>
      <c r="AH63" s="5">
        <v>7.7277747526459e-14</v>
      </c>
      <c r="AI63" s="5">
        <v>-1.2128107737379e-14</v>
      </c>
      <c r="AJ63" s="5">
        <v>1.3075467997924e-14</v>
      </c>
      <c r="AK63" s="5">
        <v>3.6737715680748e-15</v>
      </c>
      <c r="AL63" s="5">
        <v>1.5875831036231e-14</v>
      </c>
      <c r="AM63" s="5">
        <v>1.3561131790869e-13</v>
      </c>
      <c r="AN63" s="5">
        <v>-1.7014562540157e-15</v>
      </c>
      <c r="AO63" s="5">
        <v>-2.201424690488e-14</v>
      </c>
      <c r="AP63" s="5">
        <v>-9.6665432295257e-16</v>
      </c>
      <c r="AQ63" s="5">
        <v>9.6344541472804e-15</v>
      </c>
      <c r="AR63" s="5">
        <v>-1.2652251579657e-13</v>
      </c>
      <c r="AS63" s="5">
        <v>1.5547658969439e-14</v>
      </c>
      <c r="AT63" s="5">
        <v>-4.9665271805014e-15</v>
      </c>
      <c r="AU63" s="5">
        <v>1.3793470147518e-14</v>
      </c>
      <c r="AV63" s="5">
        <v>-6.3727601764378e-14</v>
      </c>
      <c r="AW63" s="5">
        <v>-8.0229965760316e-15</v>
      </c>
      <c r="AX63" s="5">
        <v>3.6529170613513e-14</v>
      </c>
      <c r="AY63" s="5">
        <v>2.8648190940203e-15</v>
      </c>
      <c r="AZ63" s="5">
        <v>-2.8762347186941e-14</v>
      </c>
      <c r="BA63" s="5">
        <v>2.2496628246921e-14</v>
      </c>
      <c r="BB63" s="5">
        <v>-2.8993970036248e-13</v>
      </c>
      <c r="BC63" s="3">
        <v>15830268.997182</v>
      </c>
      <c r="BD63" s="3">
        <v>3939569.0837331</v>
      </c>
      <c r="BE63" s="3">
        <v>-0.00023312982183636</v>
      </c>
      <c r="BF63" s="3">
        <v>0.0010704378785971</v>
      </c>
      <c r="BG63" s="3">
        <v>0.00042292565209205</v>
      </c>
      <c r="BH63" s="3">
        <v>-0.00075383362681101</v>
      </c>
      <c r="BI63" s="3">
        <v>139.71284520617</v>
      </c>
      <c r="BJ63" s="3">
        <v>69.866111204774</v>
      </c>
      <c r="BK63" s="3">
        <v>124.71763852503</v>
      </c>
      <c r="BL63" s="4"/>
    </row>
    <row r="64" spans="1:64">
      <c r="A64" s="3">
        <v>22334179.607549</v>
      </c>
      <c r="B64" s="3">
        <v>0.00048908413197398</v>
      </c>
      <c r="C64" s="6">
        <f t="shared" si="0"/>
        <v>2.32699557133929e-11</v>
      </c>
      <c r="D64" s="5">
        <v>1.5128060131875e-12</v>
      </c>
      <c r="E64" s="5">
        <v>1.768523753264e-12</v>
      </c>
      <c r="F64" s="5">
        <v>1.7685956801428e-12</v>
      </c>
      <c r="G64" s="5">
        <v>1.7684225911826e-12</v>
      </c>
      <c r="H64" s="5">
        <v>1.5108825598247e-12</v>
      </c>
      <c r="I64" s="5">
        <v>1.5113022307377e-12</v>
      </c>
      <c r="J64" s="5">
        <v>1.5111043023249e-12</v>
      </c>
      <c r="K64" s="5">
        <v>1.5646717927274e-12</v>
      </c>
      <c r="L64" s="5">
        <v>1.5667952333003e-12</v>
      </c>
      <c r="M64" s="5">
        <v>1.5638956208391e-12</v>
      </c>
      <c r="N64" s="5">
        <v>1.6299936957284e-12</v>
      </c>
      <c r="O64" s="5">
        <v>1.5108692717748e-12</v>
      </c>
      <c r="P64" s="5">
        <v>1.6287018111775e-12</v>
      </c>
      <c r="Q64" s="5">
        <v>1.6329992518046e-12</v>
      </c>
      <c r="R64" s="5">
        <v>1.7674192573447e-12</v>
      </c>
      <c r="S64" s="5">
        <v>1.7670362009204e-12</v>
      </c>
      <c r="T64" s="5">
        <v>1.7676803124746e-12</v>
      </c>
      <c r="U64" s="5">
        <v>1.5113621828236e-12</v>
      </c>
      <c r="V64" s="5">
        <v>1.5645755197404e-12</v>
      </c>
      <c r="W64" s="5">
        <v>1.5673497154634e-12</v>
      </c>
      <c r="X64" s="5">
        <v>1.5657970058511e-12</v>
      </c>
      <c r="Y64" s="5">
        <v>1.6290212262548e-12</v>
      </c>
      <c r="Z64" s="5">
        <v>1.6333898737708e-12</v>
      </c>
      <c r="AA64" s="5">
        <v>1.6361253679854e-12</v>
      </c>
      <c r="AB64" s="3">
        <v>0.9677171616365</v>
      </c>
      <c r="AC64" s="3">
        <v>0.88377197804174</v>
      </c>
      <c r="AD64" s="3">
        <v>0.0010309946547176</v>
      </c>
      <c r="AE64" s="5">
        <v>-1.0418523523436e-14</v>
      </c>
      <c r="AF64" s="5">
        <v>4.8714333585385e-14</v>
      </c>
      <c r="AG64" s="5">
        <v>8.5333953762139e-14</v>
      </c>
      <c r="AH64" s="5">
        <v>8.1942824044602e-14</v>
      </c>
      <c r="AI64" s="5">
        <v>-1.3330504077411e-14</v>
      </c>
      <c r="AJ64" s="5">
        <v>8.0500546394749e-15</v>
      </c>
      <c r="AK64" s="5">
        <v>3.7205014633332e-15</v>
      </c>
      <c r="AL64" s="5">
        <v>1.1618668021245e-14</v>
      </c>
      <c r="AM64" s="5">
        <v>1.4533319125245e-13</v>
      </c>
      <c r="AN64" s="5">
        <v>-1.6909936816749e-15</v>
      </c>
      <c r="AO64" s="5">
        <v>-2.9513410608087e-14</v>
      </c>
      <c r="AP64" s="5">
        <v>-1.6260122079277e-15</v>
      </c>
      <c r="AQ64" s="5">
        <v>7.8831639276867e-15</v>
      </c>
      <c r="AR64" s="5">
        <v>-1.2629527418241e-13</v>
      </c>
      <c r="AS64" s="5">
        <v>1.7526458488326e-14</v>
      </c>
      <c r="AT64" s="5">
        <v>-6.0540313576765e-15</v>
      </c>
      <c r="AU64" s="5">
        <v>1.9342089282592e-14</v>
      </c>
      <c r="AV64" s="5">
        <v>-6.6222108840638e-14</v>
      </c>
      <c r="AW64" s="5">
        <v>-7.8011943490242e-15</v>
      </c>
      <c r="AX64" s="5">
        <v>2.7787957789816e-14</v>
      </c>
      <c r="AY64" s="5">
        <v>-5.5980124520898e-16</v>
      </c>
      <c r="AZ64" s="5">
        <v>-2.4146675623953e-14</v>
      </c>
      <c r="BA64" s="5">
        <v>1.2454198261816e-14</v>
      </c>
      <c r="BB64" s="5">
        <v>-2.8402493315512e-13</v>
      </c>
      <c r="BC64" s="3">
        <v>15809845.470832</v>
      </c>
      <c r="BD64" s="3">
        <v>3932378.1587016</v>
      </c>
      <c r="BE64" s="3">
        <v>-0.00022602659365714</v>
      </c>
      <c r="BF64" s="3">
        <v>0.0011269564375615</v>
      </c>
      <c r="BG64" s="3">
        <v>0.00045378366244888</v>
      </c>
      <c r="BH64" s="3">
        <v>-0.00071962612438085</v>
      </c>
      <c r="BI64" s="3">
        <v>139.71296555349</v>
      </c>
      <c r="BJ64" s="3">
        <v>69.86616844497</v>
      </c>
      <c r="BK64" s="3">
        <v>124.39543046348</v>
      </c>
      <c r="BL64" s="4"/>
    </row>
    <row r="65" spans="1:64">
      <c r="A65" s="3">
        <v>25059361.681365</v>
      </c>
      <c r="B65" s="3">
        <v>0.00054678398276396</v>
      </c>
      <c r="C65" s="6">
        <f t="shared" si="0"/>
        <v>2.31185636751895e-11</v>
      </c>
      <c r="D65" s="5">
        <v>1.5101644970007e-12</v>
      </c>
      <c r="E65" s="5">
        <v>1.7588867410468e-12</v>
      </c>
      <c r="F65" s="5">
        <v>1.7589939651176e-12</v>
      </c>
      <c r="G65" s="5">
        <v>1.7589423119634e-12</v>
      </c>
      <c r="H65" s="5">
        <v>1.5081243522524e-12</v>
      </c>
      <c r="I65" s="5">
        <v>1.5085568242948e-12</v>
      </c>
      <c r="J65" s="5">
        <v>1.5083538808826e-12</v>
      </c>
      <c r="K65" s="5">
        <v>1.5584639175295e-12</v>
      </c>
      <c r="L65" s="5">
        <v>1.5608843363559e-12</v>
      </c>
      <c r="M65" s="5">
        <v>1.557587637137e-12</v>
      </c>
      <c r="N65" s="5">
        <v>1.6233603926542e-12</v>
      </c>
      <c r="O65" s="5">
        <v>1.5081012646705e-12</v>
      </c>
      <c r="P65" s="5">
        <v>1.6217912092869e-12</v>
      </c>
      <c r="Q65" s="5">
        <v>1.6264927730312e-12</v>
      </c>
      <c r="R65" s="5">
        <v>1.7577452117142e-12</v>
      </c>
      <c r="S65" s="5">
        <v>1.7573384585743e-12</v>
      </c>
      <c r="T65" s="5">
        <v>1.7580706319355e-12</v>
      </c>
      <c r="U65" s="5">
        <v>1.5086750065426e-12</v>
      </c>
      <c r="V65" s="5">
        <v>1.5582861242225e-12</v>
      </c>
      <c r="W65" s="5">
        <v>1.5614872366345e-12</v>
      </c>
      <c r="X65" s="5">
        <v>1.5597514963116e-12</v>
      </c>
      <c r="Y65" s="5">
        <v>1.6221073210632e-12</v>
      </c>
      <c r="Z65" s="5">
        <v>1.6269285709772e-12</v>
      </c>
      <c r="AA65" s="5">
        <v>1.6300611806255e-12</v>
      </c>
      <c r="AB65" s="3">
        <v>0.96698873798365</v>
      </c>
      <c r="AC65" s="3">
        <v>0.8805531104585</v>
      </c>
      <c r="AD65" s="3">
        <v>0.0010865974844751</v>
      </c>
      <c r="AE65" s="5">
        <v>-7.3541093360875e-15</v>
      </c>
      <c r="AF65" s="5">
        <v>4.2620256239147e-14</v>
      </c>
      <c r="AG65" s="5">
        <v>8.2527264207172e-14</v>
      </c>
      <c r="AH65" s="5">
        <v>8.6768367386347e-14</v>
      </c>
      <c r="AI65" s="5">
        <v>-1.492547497141e-14</v>
      </c>
      <c r="AJ65" s="5">
        <v>1.893045382833e-15</v>
      </c>
      <c r="AK65" s="5">
        <v>3.4750623404208e-15</v>
      </c>
      <c r="AL65" s="5">
        <v>6.5902744771089e-15</v>
      </c>
      <c r="AM65" s="5">
        <v>1.5589723605149e-13</v>
      </c>
      <c r="AN65" s="5">
        <v>-1.729211401985e-15</v>
      </c>
      <c r="AO65" s="5">
        <v>-3.7597619422924e-14</v>
      </c>
      <c r="AP65" s="5">
        <v>-2.4190713273483e-15</v>
      </c>
      <c r="AQ65" s="5">
        <v>5.6483546632585e-15</v>
      </c>
      <c r="AR65" s="5">
        <v>-1.2719123856166e-13</v>
      </c>
      <c r="AS65" s="5">
        <v>1.9521017185778e-14</v>
      </c>
      <c r="AT65" s="5">
        <v>-7.2307613942833e-15</v>
      </c>
      <c r="AU65" s="5">
        <v>2.5165118398507e-14</v>
      </c>
      <c r="AV65" s="5">
        <v>-6.9160653409333e-14</v>
      </c>
      <c r="AW65" s="5">
        <v>-7.8581319562118e-15</v>
      </c>
      <c r="AX65" s="5">
        <v>1.9781935194407e-14</v>
      </c>
      <c r="AY65" s="5">
        <v>-3.836092572378e-15</v>
      </c>
      <c r="AZ65" s="5">
        <v>-1.9568456383048e-14</v>
      </c>
      <c r="BA65" s="5">
        <v>1.9733830900565e-15</v>
      </c>
      <c r="BB65" s="5">
        <v>-2.7968847664073e-13</v>
      </c>
      <c r="BC65" s="3">
        <v>15787055.889142</v>
      </c>
      <c r="BD65" s="3">
        <v>3924376.6187279</v>
      </c>
      <c r="BE65" s="3">
        <v>-0.00021793659003867</v>
      </c>
      <c r="BF65" s="3">
        <v>0.0011899587328615</v>
      </c>
      <c r="BG65" s="3">
        <v>0.00048830660478511</v>
      </c>
      <c r="BH65" s="3">
        <v>-0.00068325057405138</v>
      </c>
      <c r="BI65" s="3">
        <v>139.71312669193</v>
      </c>
      <c r="BJ65" s="3">
        <v>69.86621526633</v>
      </c>
      <c r="BK65" s="3">
        <v>124.06459155847</v>
      </c>
      <c r="BL65" s="4"/>
    </row>
    <row r="66" spans="1:64">
      <c r="A66" s="3">
        <v>28117066.259519</v>
      </c>
      <c r="B66" s="3">
        <v>0.00061122107030582</v>
      </c>
      <c r="C66" s="6">
        <f t="shared" si="0"/>
        <v>2.29659561868122e-11</v>
      </c>
      <c r="D66" s="5">
        <v>1.5071441174514e-12</v>
      </c>
      <c r="E66" s="5">
        <v>1.7485209653319e-12</v>
      </c>
      <c r="F66" s="5">
        <v>1.7486708502868e-12</v>
      </c>
      <c r="G66" s="5">
        <v>1.7487719713187e-12</v>
      </c>
      <c r="H66" s="5">
        <v>1.5049906314494e-12</v>
      </c>
      <c r="I66" s="5">
        <v>1.5054350806029e-12</v>
      </c>
      <c r="J66" s="5">
        <v>1.5052235976369e-12</v>
      </c>
      <c r="K66" s="5">
        <v>1.5515419672174e-12</v>
      </c>
      <c r="L66" s="5">
        <v>1.5543076993535e-12</v>
      </c>
      <c r="M66" s="5">
        <v>1.550550965557e-12</v>
      </c>
      <c r="N66" s="5">
        <v>1.6163631806843e-12</v>
      </c>
      <c r="O66" s="5">
        <v>1.5049542195315e-12</v>
      </c>
      <c r="P66" s="5">
        <v>1.6144452114462e-12</v>
      </c>
      <c r="Q66" s="5">
        <v>1.6195885058956e-12</v>
      </c>
      <c r="R66" s="5">
        <v>1.7473460617358e-12</v>
      </c>
      <c r="S66" s="5">
        <v>1.7469141306721e-12</v>
      </c>
      <c r="T66" s="5">
        <v>1.7477517267432e-12</v>
      </c>
      <c r="U66" s="5">
        <v>1.5056257240448e-12</v>
      </c>
      <c r="V66" s="5">
        <v>1.551264694095e-12</v>
      </c>
      <c r="W66" s="5">
        <v>1.5549625894723e-12</v>
      </c>
      <c r="X66" s="5">
        <v>1.5530177358391e-12</v>
      </c>
      <c r="Y66" s="5">
        <v>1.6147518651829e-12</v>
      </c>
      <c r="Z66" s="5">
        <v>1.6200886427603e-12</v>
      </c>
      <c r="AA66" s="5">
        <v>1.623677822526e-12</v>
      </c>
      <c r="AB66" s="3">
        <v>0.96599289201155</v>
      </c>
      <c r="AC66" s="3">
        <v>0.87657908522809</v>
      </c>
      <c r="AD66" s="3">
        <v>0.0011489402388064</v>
      </c>
      <c r="AE66" s="5">
        <v>-3.9303326381207e-15</v>
      </c>
      <c r="AF66" s="5">
        <v>3.7486729641017e-14</v>
      </c>
      <c r="AG66" s="5">
        <v>8.055701569669e-14</v>
      </c>
      <c r="AH66" s="5">
        <v>9.1725607575725e-14</v>
      </c>
      <c r="AI66" s="5">
        <v>-1.7049903165458e-14</v>
      </c>
      <c r="AJ66" s="5">
        <v>-5.8288389131928e-15</v>
      </c>
      <c r="AK66" s="5">
        <v>2.7651599325792e-15</v>
      </c>
      <c r="AL66" s="5">
        <v>6.010909953463e-16</v>
      </c>
      <c r="AM66" s="5">
        <v>1.6716126634783e-13</v>
      </c>
      <c r="AN66" s="5">
        <v>-1.8227422915821e-15</v>
      </c>
      <c r="AO66" s="5">
        <v>-4.6219703906242e-14</v>
      </c>
      <c r="AP66" s="5">
        <v>-3.3259649263707e-15</v>
      </c>
      <c r="AQ66" s="5">
        <v>2.792116007577e-15</v>
      </c>
      <c r="AR66" s="5">
        <v>-1.2950570901423e-13</v>
      </c>
      <c r="AS66" s="5">
        <v>2.1556000191578e-14</v>
      </c>
      <c r="AT66" s="5">
        <v>-8.5594658943438e-15</v>
      </c>
      <c r="AU66" s="5">
        <v>3.1245634201214e-14</v>
      </c>
      <c r="AV66" s="5">
        <v>-7.2539382934117e-14</v>
      </c>
      <c r="AW66" s="5">
        <v>-8.3631517585286e-15</v>
      </c>
      <c r="AX66" s="5">
        <v>1.2782812859725e-14</v>
      </c>
      <c r="AY66" s="5">
        <v>-6.9966335450561e-15</v>
      </c>
      <c r="AZ66" s="5">
        <v>-1.4959848597335e-14</v>
      </c>
      <c r="BA66" s="5">
        <v>-8.6299875681722e-15</v>
      </c>
      <c r="BB66" s="5">
        <v>-2.7728465681548e-13</v>
      </c>
      <c r="BC66" s="3">
        <v>15761648.359975</v>
      </c>
      <c r="BD66" s="3">
        <v>3915484.3333776</v>
      </c>
      <c r="BE66" s="3">
        <v>-0.00020874698184269</v>
      </c>
      <c r="BF66" s="3">
        <v>0.0012601818422356</v>
      </c>
      <c r="BG66" s="3">
        <v>0.0005269154130828</v>
      </c>
      <c r="BH66" s="3">
        <v>-0.00064513660870478</v>
      </c>
      <c r="BI66" s="3">
        <v>139.71333644011</v>
      </c>
      <c r="BJ66" s="3">
        <v>69.866247873707</v>
      </c>
      <c r="BK66" s="3">
        <v>123.7292306948</v>
      </c>
      <c r="BL66" s="4"/>
    </row>
    <row r="67" spans="1:64">
      <c r="A67" s="3">
        <v>31547867.224011</v>
      </c>
      <c r="B67" s="3">
        <v>0.00068317182255963</v>
      </c>
      <c r="C67" s="6">
        <f t="shared" ref="C67:C71" si="1">(BF67-BF66)/(A67-A66)</f>
        <v>2.28131133856053e-11</v>
      </c>
      <c r="D67" s="5">
        <v>1.5036972248171e-12</v>
      </c>
      <c r="E67" s="5">
        <v>1.7374607967535e-12</v>
      </c>
      <c r="F67" s="5">
        <v>1.7376620303953e-12</v>
      </c>
      <c r="G67" s="5">
        <v>1.7379521919615e-12</v>
      </c>
      <c r="H67" s="5">
        <v>1.50143729739e-12</v>
      </c>
      <c r="I67" s="5">
        <v>1.5018941811695e-12</v>
      </c>
      <c r="J67" s="5">
        <v>1.5016675460158e-12</v>
      </c>
      <c r="K67" s="5">
        <v>1.5439265885214e-12</v>
      </c>
      <c r="L67" s="5">
        <v>1.547092553794e-12</v>
      </c>
      <c r="M67" s="5">
        <v>1.5428034666089e-12</v>
      </c>
      <c r="N67" s="5">
        <v>1.60917425595e-12</v>
      </c>
      <c r="O67" s="5">
        <v>1.5013824909752e-12</v>
      </c>
      <c r="P67" s="5">
        <v>1.6068195708153e-12</v>
      </c>
      <c r="Q67" s="5">
        <v>1.6124439626331e-12</v>
      </c>
      <c r="R67" s="5">
        <v>1.7362565009513e-12</v>
      </c>
      <c r="S67" s="5">
        <v>1.7357977888493e-12</v>
      </c>
      <c r="T67" s="5">
        <v>1.7367620205077e-12</v>
      </c>
      <c r="U67" s="5">
        <v>1.5021737914311e-12</v>
      </c>
      <c r="V67" s="5">
        <v>1.5435286123469e-12</v>
      </c>
      <c r="W67" s="5">
        <v>1.5478027120136e-12</v>
      </c>
      <c r="X67" s="5">
        <v>1.5456210435558e-12</v>
      </c>
      <c r="Y67" s="5">
        <v>1.6071084999372e-12</v>
      </c>
      <c r="Z67" s="5">
        <v>1.6130344137483e-12</v>
      </c>
      <c r="AA67" s="5">
        <v>1.6171491866327e-12</v>
      </c>
      <c r="AB67" s="3">
        <v>0.96468201436406</v>
      </c>
      <c r="AC67" s="3">
        <v>0.87172419738538</v>
      </c>
      <c r="AD67" s="3">
        <v>0.0012188281052736</v>
      </c>
      <c r="AE67" s="5">
        <v>-2.2645298727291e-17</v>
      </c>
      <c r="AF67" s="5">
        <v>3.3461448407362e-14</v>
      </c>
      <c r="AG67" s="5">
        <v>7.9580875057864e-14</v>
      </c>
      <c r="AH67" s="5">
        <v>9.6827840069095e-14</v>
      </c>
      <c r="AI67" s="5">
        <v>-1.9887993458039e-14</v>
      </c>
      <c r="AJ67" s="5">
        <v>-1.5626632905565e-14</v>
      </c>
      <c r="AK67" s="5">
        <v>1.3642566166347e-15</v>
      </c>
      <c r="AL67" s="5">
        <v>-6.5790854612088e-15</v>
      </c>
      <c r="AM67" s="5">
        <v>1.7893747185068e-13</v>
      </c>
      <c r="AN67" s="5">
        <v>-1.9892706573645e-15</v>
      </c>
      <c r="AO67" s="5">
        <v>-5.5441115297693e-14</v>
      </c>
      <c r="AP67" s="5">
        <v>-4.2754643073878e-15</v>
      </c>
      <c r="AQ67" s="5">
        <v>-8.474998946329e-16</v>
      </c>
      <c r="AR67" s="5">
        <v>-1.336062294733e-13</v>
      </c>
      <c r="AS67" s="5">
        <v>2.3671328562479e-14</v>
      </c>
      <c r="AT67" s="5">
        <v>-1.0144414219245e-14</v>
      </c>
      <c r="AU67" s="5">
        <v>3.7575971896639e-14</v>
      </c>
      <c r="AV67" s="5">
        <v>-7.6310521204168e-14</v>
      </c>
      <c r="AW67" s="5">
        <v>-9.5499775345893e-15</v>
      </c>
      <c r="AX67" s="5">
        <v>7.0419337821079e-15</v>
      </c>
      <c r="AY67" s="5">
        <v>-1.023000914947e-14</v>
      </c>
      <c r="AZ67" s="5">
        <v>-1.0215452855948e-14</v>
      </c>
      <c r="BA67" s="5">
        <v>-1.8782436869645e-14</v>
      </c>
      <c r="BB67" s="5">
        <v>-2.7725079311165e-13</v>
      </c>
      <c r="BC67" s="3">
        <v>15733348.396097</v>
      </c>
      <c r="BD67" s="3">
        <v>3905615.7106056</v>
      </c>
      <c r="BE67" s="3">
        <v>-0.000198333335909</v>
      </c>
      <c r="BF67" s="3">
        <v>0.001338449093642</v>
      </c>
      <c r="BG67" s="3">
        <v>0.00057007568450102</v>
      </c>
      <c r="BH67" s="3">
        <v>-0.0006062903796293</v>
      </c>
      <c r="BI67" s="3">
        <v>139.71360193858</v>
      </c>
      <c r="BJ67" s="3">
        <v>69.866261270413</v>
      </c>
      <c r="BK67" s="3">
        <v>123.39438944446</v>
      </c>
      <c r="BL67" s="4"/>
    </row>
    <row r="68" spans="1:64">
      <c r="A68" s="3">
        <v>35397289.219208</v>
      </c>
      <c r="B68" s="3">
        <v>0.0007635027901054</v>
      </c>
      <c r="C68" s="6">
        <f t="shared" si="1"/>
        <v>2.26619595902308e-11</v>
      </c>
      <c r="D68" s="5">
        <v>1.4997136555136e-12</v>
      </c>
      <c r="E68" s="5">
        <v>1.7256681761072e-12</v>
      </c>
      <c r="F68" s="5">
        <v>1.7259311041036e-12</v>
      </c>
      <c r="G68" s="5">
        <v>1.7264519982381e-12</v>
      </c>
      <c r="H68" s="5">
        <v>1.4973589945951e-12</v>
      </c>
      <c r="I68" s="5">
        <v>1.4978308514314e-12</v>
      </c>
      <c r="J68" s="5">
        <v>1.4975781457287e-12</v>
      </c>
      <c r="K68" s="5">
        <v>1.535574293274e-12</v>
      </c>
      <c r="L68" s="5">
        <v>1.5392018641623e-12</v>
      </c>
      <c r="M68" s="5">
        <v>1.5342983407907e-12</v>
      </c>
      <c r="N68" s="5">
        <v>1.6016141644553e-12</v>
      </c>
      <c r="O68" s="5">
        <v>1.4972781214603e-12</v>
      </c>
      <c r="P68" s="5">
        <v>1.5987170258903e-12</v>
      </c>
      <c r="Q68" s="5">
        <v>1.6048630760568e-12</v>
      </c>
      <c r="R68" s="5">
        <v>1.7244385416643e-12</v>
      </c>
      <c r="S68" s="5">
        <v>1.7239514957129e-12</v>
      </c>
      <c r="T68" s="5">
        <v>1.7250679737744e-12</v>
      </c>
      <c r="U68" s="5">
        <v>1.4982185460489e-12</v>
      </c>
      <c r="V68" s="5">
        <v>1.5350306430807e-12</v>
      </c>
      <c r="W68" s="5">
        <v>1.5399709376186e-12</v>
      </c>
      <c r="X68" s="5">
        <v>1.5375244784804e-12</v>
      </c>
      <c r="Y68" s="5">
        <v>1.5989769088395e-12</v>
      </c>
      <c r="Z68" s="5">
        <v>1.6055777255737e-12</v>
      </c>
      <c r="AA68" s="5">
        <v>1.6102991489771e-12</v>
      </c>
      <c r="AB68" s="3">
        <v>0.96300174215247</v>
      </c>
      <c r="AC68" s="3">
        <v>0.86584640495808</v>
      </c>
      <c r="AD68" s="3">
        <v>0.0012971629440986</v>
      </c>
      <c r="AE68" s="5">
        <v>4.5178164956176e-15</v>
      </c>
      <c r="AF68" s="5">
        <v>3.0741956246344e-14</v>
      </c>
      <c r="AG68" s="5">
        <v>7.982561291227e-14</v>
      </c>
      <c r="AH68" s="5">
        <v>1.0210343409745e-13</v>
      </c>
      <c r="AI68" s="5">
        <v>-2.3676096235586e-14</v>
      </c>
      <c r="AJ68" s="5">
        <v>-2.796135031694e-14</v>
      </c>
      <c r="AK68" s="5">
        <v>-1.0149621251768e-15</v>
      </c>
      <c r="AL68" s="5">
        <v>-1.5194215861796e-14</v>
      </c>
      <c r="AM68" s="5">
        <v>1.911352357243e-13</v>
      </c>
      <c r="AN68" s="5">
        <v>-2.2608725361555e-15</v>
      </c>
      <c r="AO68" s="5">
        <v>-6.5412817435026e-14</v>
      </c>
      <c r="AP68" s="5">
        <v>-5.0862793955041e-15</v>
      </c>
      <c r="AQ68" s="5">
        <v>-5.4399454075547e-15</v>
      </c>
      <c r="AR68" s="5">
        <v>-1.3984832734395e-13</v>
      </c>
      <c r="AS68" s="5">
        <v>2.5918304951808e-14</v>
      </c>
      <c r="AT68" s="5">
        <v>-1.2129526289751e-14</v>
      </c>
      <c r="AU68" s="5">
        <v>4.4142477575963e-14</v>
      </c>
      <c r="AV68" s="5">
        <v>-8.0343695363104e-14</v>
      </c>
      <c r="AW68" s="5">
        <v>-1.172267059172e-14</v>
      </c>
      <c r="AX68" s="5">
        <v>2.5492483804017e-15</v>
      </c>
      <c r="AY68" s="5">
        <v>-1.397882577262e-14</v>
      </c>
      <c r="AZ68" s="5">
        <v>-5.2221353786067e-15</v>
      </c>
      <c r="BA68" s="5">
        <v>-2.7701754931954e-14</v>
      </c>
      <c r="BB68" s="5">
        <v>-2.798687250176e-13</v>
      </c>
      <c r="BC68" s="3">
        <v>15701859.734245</v>
      </c>
      <c r="BD68" s="3">
        <v>3894680.7193729</v>
      </c>
      <c r="BE68" s="3">
        <v>-0.00018656719899635</v>
      </c>
      <c r="BF68" s="3">
        <v>0.0014256845393429</v>
      </c>
      <c r="BG68" s="3">
        <v>0.00061830020975105</v>
      </c>
      <c r="BH68" s="3">
        <v>-0.00056836440278133</v>
      </c>
      <c r="BI68" s="3">
        <v>139.71393111294</v>
      </c>
      <c r="BJ68" s="3">
        <v>69.866249729854</v>
      </c>
      <c r="BK68" s="3">
        <v>123.06600840466</v>
      </c>
      <c r="BL68" s="4"/>
    </row>
    <row r="69" spans="1:64">
      <c r="A69" s="3">
        <v>39716411.736216</v>
      </c>
      <c r="B69" s="3">
        <v>0.00085318263820723</v>
      </c>
      <c r="C69" s="6">
        <f t="shared" si="1"/>
        <v>2.25149773171206e-11</v>
      </c>
      <c r="D69" s="5">
        <v>1.4950608183895e-12</v>
      </c>
      <c r="E69" s="5">
        <v>1.7130665146701e-12</v>
      </c>
      <c r="F69" s="5">
        <v>1.7134036614757e-12</v>
      </c>
      <c r="G69" s="5">
        <v>1.714202688154e-12</v>
      </c>
      <c r="H69" s="5">
        <v>1.4926294967061e-12</v>
      </c>
      <c r="I69" s="5">
        <v>1.4931216285112e-12</v>
      </c>
      <c r="J69" s="5">
        <v>1.4928265478928e-12</v>
      </c>
      <c r="K69" s="5">
        <v>1.5264001707577e-12</v>
      </c>
      <c r="L69" s="5">
        <v>1.5305569888807e-12</v>
      </c>
      <c r="M69" s="5">
        <v>1.5249468187919e-12</v>
      </c>
      <c r="N69" s="5">
        <v>1.5935504291741e-12</v>
      </c>
      <c r="O69" s="5">
        <v>1.4925105787623e-12</v>
      </c>
      <c r="P69" s="5">
        <v>1.5899866799427e-12</v>
      </c>
      <c r="Q69" s="5">
        <v>1.5966957261464e-12</v>
      </c>
      <c r="R69" s="5">
        <v>1.7118152376119e-12</v>
      </c>
      <c r="S69" s="5">
        <v>1.7112986232282e-12</v>
      </c>
      <c r="T69" s="5">
        <v>1.712597863638e-12</v>
      </c>
      <c r="U69" s="5">
        <v>1.4936398057658e-12</v>
      </c>
      <c r="V69" s="5">
        <v>1.525681709577e-12</v>
      </c>
      <c r="W69" s="5">
        <v>1.5313908005527e-12</v>
      </c>
      <c r="X69" s="5">
        <v>1.5286521875392e-12</v>
      </c>
      <c r="Y69" s="5">
        <v>1.5902019277206e-12</v>
      </c>
      <c r="Z69" s="5">
        <v>1.5975776831596e-12</v>
      </c>
      <c r="AA69" s="5">
        <v>1.6030017951291e-12</v>
      </c>
      <c r="AB69" s="3">
        <v>0.96090071415309</v>
      </c>
      <c r="AC69" s="3">
        <v>0.85882379263396</v>
      </c>
      <c r="AD69" s="3">
        <v>0.0013849587345666</v>
      </c>
      <c r="AE69" s="5">
        <v>9.8507537934557e-15</v>
      </c>
      <c r="AF69" s="5">
        <v>2.9577156828857e-14</v>
      </c>
      <c r="AG69" s="5">
        <v>8.1642768208212e-14</v>
      </c>
      <c r="AH69" s="5">
        <v>1.075033834524e-13</v>
      </c>
      <c r="AI69" s="5">
        <v>-2.8682046517205e-14</v>
      </c>
      <c r="AJ69" s="5">
        <v>-4.3002618165955e-14</v>
      </c>
      <c r="AK69" s="5">
        <v>-4.686955179739e-15</v>
      </c>
      <c r="AL69" s="5">
        <v>-2.5487080709003e-14</v>
      </c>
      <c r="AM69" s="5">
        <v>2.0343607729504e-13</v>
      </c>
      <c r="AN69" s="5">
        <v>-2.5918684203491e-15</v>
      </c>
      <c r="AO69" s="5">
        <v>-7.6147095784213e-14</v>
      </c>
      <c r="AP69" s="5">
        <v>-5.4202608285441e-15</v>
      </c>
      <c r="AQ69" s="5">
        <v>-1.109956707839e-14</v>
      </c>
      <c r="AR69" s="5">
        <v>-1.4859514932776e-13</v>
      </c>
      <c r="AS69" s="5">
        <v>2.8370656724928e-14</v>
      </c>
      <c r="AT69" s="5">
        <v>-1.4652841094628e-14</v>
      </c>
      <c r="AU69" s="5">
        <v>5.0872276731597e-14</v>
      </c>
      <c r="AV69" s="5">
        <v>-8.445065061454e-14</v>
      </c>
      <c r="AW69" s="5">
        <v>-1.5240385628458e-14</v>
      </c>
      <c r="AX69" s="5">
        <v>-9.4944145321129e-16</v>
      </c>
      <c r="AY69" s="5">
        <v>-1.8554324298501e-14</v>
      </c>
      <c r="AZ69" s="5">
        <v>7.6559395722251e-17</v>
      </c>
      <c r="BA69" s="5">
        <v>-3.4271333670685e-14</v>
      </c>
      <c r="BB69" s="5">
        <v>-2.8534673307888e-13</v>
      </c>
      <c r="BC69" s="3">
        <v>15666866.815327</v>
      </c>
      <c r="BD69" s="3">
        <v>3882586.6604553</v>
      </c>
      <c r="BE69" s="3">
        <v>-0.00017333123952471</v>
      </c>
      <c r="BF69" s="3">
        <v>0.0015229294848432</v>
      </c>
      <c r="BG69" s="3">
        <v>0.00067215401275022</v>
      </c>
      <c r="BH69" s="3">
        <v>-0.00053255613758946</v>
      </c>
      <c r="BI69" s="3">
        <v>139.71433312865</v>
      </c>
      <c r="BJ69" s="3">
        <v>69.866208311171</v>
      </c>
      <c r="BK69" s="3">
        <v>122.75067899277</v>
      </c>
      <c r="BL69" s="4"/>
    </row>
    <row r="70" spans="1:64">
      <c r="A70" s="3">
        <v>44562546.906689</v>
      </c>
      <c r="B70" s="3">
        <v>0.00095329697231618</v>
      </c>
      <c r="C70" s="6">
        <f t="shared" si="1"/>
        <v>2.23743693897455e-11</v>
      </c>
      <c r="D70" s="5">
        <v>1.4896723549489e-12</v>
      </c>
      <c r="E70" s="5">
        <v>1.6997107244625e-12</v>
      </c>
      <c r="F70" s="5">
        <v>1.7001377651386e-12</v>
      </c>
      <c r="G70" s="5">
        <v>1.7012673959367e-12</v>
      </c>
      <c r="H70" s="5">
        <v>1.4871906377165e-12</v>
      </c>
      <c r="I70" s="5">
        <v>1.4877107438588e-12</v>
      </c>
      <c r="J70" s="5">
        <v>1.4873515640214e-12</v>
      </c>
      <c r="K70" s="5">
        <v>1.5163612175215e-12</v>
      </c>
      <c r="L70" s="5">
        <v>1.5211204616794e-12</v>
      </c>
      <c r="M70" s="5">
        <v>1.514701382779e-12</v>
      </c>
      <c r="N70" s="5">
        <v>1.5850687268403e-12</v>
      </c>
      <c r="O70" s="5">
        <v>1.4870147754382e-12</v>
      </c>
      <c r="P70" s="5">
        <v>1.5806957186543e-12</v>
      </c>
      <c r="Q70" s="5">
        <v>1.5880101531964e-12</v>
      </c>
      <c r="R70" s="5">
        <v>1.6984405359117e-12</v>
      </c>
      <c r="S70" s="5">
        <v>1.6978935684023e-12</v>
      </c>
      <c r="T70" s="5">
        <v>1.6994116530651e-12</v>
      </c>
      <c r="U70" s="5">
        <v>1.4883870113999e-12</v>
      </c>
      <c r="V70" s="5">
        <v>1.5154344407293e-12</v>
      </c>
      <c r="W70" s="5">
        <v>1.5220314849053e-12</v>
      </c>
      <c r="X70" s="5">
        <v>1.5189718591071e-12</v>
      </c>
      <c r="Y70" s="5">
        <v>1.5808451810322e-12</v>
      </c>
      <c r="Z70" s="5">
        <v>1.5891136732921e-12</v>
      </c>
      <c r="AA70" s="5">
        <v>1.5953546525034e-12</v>
      </c>
      <c r="AB70" s="3">
        <v>0.95835725358476</v>
      </c>
      <c r="AC70" s="3">
        <v>0.85061351562976</v>
      </c>
      <c r="AD70" s="3">
        <v>0.0014833538573303</v>
      </c>
      <c r="AE70" s="5">
        <v>1.609342391331e-14</v>
      </c>
      <c r="AF70" s="5">
        <v>3.0210776052099e-14</v>
      </c>
      <c r="AG70" s="5">
        <v>8.5525722584015e-14</v>
      </c>
      <c r="AH70" s="5">
        <v>1.1289675193041e-13</v>
      </c>
      <c r="AI70" s="5">
        <v>-3.5151907151325e-14</v>
      </c>
      <c r="AJ70" s="5">
        <v>-6.0295507285252e-14</v>
      </c>
      <c r="AK70" s="5">
        <v>-9.9119268933749e-15</v>
      </c>
      <c r="AL70" s="5">
        <v>-3.7657407120433e-14</v>
      </c>
      <c r="AM70" s="5">
        <v>2.1527499073081e-13</v>
      </c>
      <c r="AN70" s="5">
        <v>-2.669165845943e-15</v>
      </c>
      <c r="AO70" s="5">
        <v>-8.7405054828055e-14</v>
      </c>
      <c r="AP70" s="5">
        <v>-4.7612720715586e-15</v>
      </c>
      <c r="AQ70" s="5">
        <v>-1.7739374065069e-14</v>
      </c>
      <c r="AR70" s="5">
        <v>-1.6014324815191e-13</v>
      </c>
      <c r="AS70" s="5">
        <v>3.1118302460856e-14</v>
      </c>
      <c r="AT70" s="5">
        <v>-1.7757449462402e-14</v>
      </c>
      <c r="AU70" s="5">
        <v>5.7661033873081e-14</v>
      </c>
      <c r="AV70" s="5">
        <v>-8.8430961513072e-14</v>
      </c>
      <c r="AW70" s="5">
        <v>-2.0439093689221e-14</v>
      </c>
      <c r="AX70" s="5">
        <v>-4.1925239873158e-15</v>
      </c>
      <c r="AY70" s="5">
        <v>-2.3340944825389e-14</v>
      </c>
      <c r="AZ70" s="5">
        <v>5.674917029288e-15</v>
      </c>
      <c r="BA70" s="5">
        <v>-3.6942628499259e-14</v>
      </c>
      <c r="BB70" s="5">
        <v>-2.9385989975979e-13</v>
      </c>
      <c r="BC70" s="3">
        <v>15628034.285465</v>
      </c>
      <c r="BD70" s="3">
        <v>3869238.8336781</v>
      </c>
      <c r="BE70" s="3">
        <v>-0.00015851967118282</v>
      </c>
      <c r="BF70" s="3">
        <v>0.00163135870326</v>
      </c>
      <c r="BG70" s="3">
        <v>0.0007322591989486</v>
      </c>
      <c r="BH70" s="3">
        <v>-0.0005006537536002</v>
      </c>
      <c r="BI70" s="3">
        <v>139.71481753998</v>
      </c>
      <c r="BJ70" s="3">
        <v>69.866132072504</v>
      </c>
      <c r="BK70" s="3">
        <v>122.45555711186</v>
      </c>
      <c r="BL70" s="4"/>
    </row>
    <row r="71" spans="1:64">
      <c r="A71" s="3">
        <v>50000000</v>
      </c>
      <c r="B71" s="3">
        <v>0.0010650638936392</v>
      </c>
      <c r="C71" s="6">
        <f t="shared" si="1"/>
        <v>2.22412706051243e-11</v>
      </c>
      <c r="D71" s="5">
        <v>1.4834729582464e-12</v>
      </c>
      <c r="E71" s="5">
        <v>1.6854520101964e-12</v>
      </c>
      <c r="F71" s="5">
        <v>1.6859894102739e-12</v>
      </c>
      <c r="G71" s="5">
        <v>1.6875052648434e-12</v>
      </c>
      <c r="H71" s="5">
        <v>1.480977114852e-12</v>
      </c>
      <c r="I71" s="5">
        <v>1.4815329246973e-12</v>
      </c>
      <c r="J71" s="5">
        <v>1.4810844548701e-12</v>
      </c>
      <c r="K71" s="5">
        <v>1.5055580977376e-12</v>
      </c>
      <c r="L71" s="5">
        <v>1.5109972244724e-12</v>
      </c>
      <c r="M71" s="5">
        <v>1.5036569743264e-12</v>
      </c>
      <c r="N71" s="5">
        <v>1.5761798317599e-12</v>
      </c>
      <c r="O71" s="5">
        <v>1.4807152388375e-12</v>
      </c>
      <c r="P71" s="5">
        <v>1.5708366136699e-12</v>
      </c>
      <c r="Q71" s="5">
        <v>1.5788016211373e-12</v>
      </c>
      <c r="R71" s="5">
        <v>1.6841638681772e-12</v>
      </c>
      <c r="S71" s="5">
        <v>1.6835858760879e-12</v>
      </c>
      <c r="T71" s="5">
        <v>1.6853659057148e-12</v>
      </c>
      <c r="U71" s="5">
        <v>1.4824041049117e-12</v>
      </c>
      <c r="V71" s="5">
        <v>1.5043852457525e-12</v>
      </c>
      <c r="W71" s="5">
        <v>1.512012461862e-12</v>
      </c>
      <c r="X71" s="5">
        <v>1.5085926166094e-12</v>
      </c>
      <c r="Y71" s="5">
        <v>1.5708929176009e-12</v>
      </c>
      <c r="Z71" s="5">
        <v>1.5801946930703e-12</v>
      </c>
      <c r="AA71" s="5">
        <v>1.5873876648606e-12</v>
      </c>
      <c r="AB71" s="3">
        <v>0.9553800063959</v>
      </c>
      <c r="AC71" s="3">
        <v>0.84126897629917</v>
      </c>
      <c r="AD71" s="3">
        <v>0.0015936234801142</v>
      </c>
      <c r="AE71" s="5">
        <v>2.3292839581607e-14</v>
      </c>
      <c r="AF71" s="5">
        <v>3.2792958030084e-14</v>
      </c>
      <c r="AG71" s="5">
        <v>9.202847335135e-14</v>
      </c>
      <c r="AH71" s="5">
        <v>1.1804283430486e-13</v>
      </c>
      <c r="AI71" s="5">
        <v>-4.3209301617276e-14</v>
      </c>
      <c r="AJ71" s="5">
        <v>-7.8671034119015e-14</v>
      </c>
      <c r="AK71" s="5">
        <v>-1.6739840287907e-14</v>
      </c>
      <c r="AL71" s="5">
        <v>-5.1782657536086e-14</v>
      </c>
      <c r="AM71" s="5">
        <v>2.2626920740032e-13</v>
      </c>
      <c r="AN71" s="5">
        <v>-1.8202998416714e-15</v>
      </c>
      <c r="AO71" s="5">
        <v>-9.8753118579058e-14</v>
      </c>
      <c r="AP71" s="5">
        <v>-2.5598117405047e-15</v>
      </c>
      <c r="AQ71" s="5">
        <v>-2.4873422113951e-14</v>
      </c>
      <c r="AR71" s="5">
        <v>-1.7458755579262e-13</v>
      </c>
      <c r="AS71" s="5">
        <v>3.4237218636193e-14</v>
      </c>
      <c r="AT71" s="5">
        <v>-2.1336659434969e-14</v>
      </c>
      <c r="AU71" s="5">
        <v>6.4358636281095e-14</v>
      </c>
      <c r="AV71" s="5">
        <v>-9.2129369718091e-14</v>
      </c>
      <c r="AW71" s="5">
        <v>-2.7507715022863e-14</v>
      </c>
      <c r="AX71" s="5">
        <v>-8.3261288386136e-15</v>
      </c>
      <c r="AY71" s="5">
        <v>-2.6648302786884e-14</v>
      </c>
      <c r="AZ71" s="5">
        <v>1.1566917085683e-14</v>
      </c>
      <c r="BA71" s="5">
        <v>-3.4160436344049e-14</v>
      </c>
      <c r="BB71" s="5">
        <v>-3.0559663623638e-13</v>
      </c>
      <c r="BC71" s="3">
        <v>15585005.697336</v>
      </c>
      <c r="BD71" s="3">
        <v>3854540.8500036</v>
      </c>
      <c r="BE71" s="3">
        <v>-0.00014203965684892</v>
      </c>
      <c r="BF71" s="3">
        <v>0.001752294568911</v>
      </c>
      <c r="BG71" s="3">
        <v>0.00079930266518192</v>
      </c>
      <c r="BH71" s="3">
        <v>-0.00047538179683113</v>
      </c>
      <c r="BI71" s="3">
        <v>139.71539294511</v>
      </c>
      <c r="BJ71" s="3">
        <v>69.866017163855</v>
      </c>
      <c r="BK71" s="3">
        <v>122.18817505803</v>
      </c>
      <c r="BL71" s="4"/>
    </row>
    <row r="73" spans="1:2">
      <c r="A73" s="1">
        <f>A69-A34</f>
        <v>39010142.9639046</v>
      </c>
      <c r="B73" s="1">
        <f>B69-B34</f>
        <v>0.000836504139592635</v>
      </c>
    </row>
    <row r="74" spans="1:2">
      <c r="A74" s="1"/>
      <c r="B74">
        <f>B73/A73</f>
        <v>2.14432472182078e-11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workbookViewId="0">
      <selection activeCell="I10" sqref="I10:J11"/>
    </sheetView>
  </sheetViews>
  <sheetFormatPr defaultColWidth="9" defaultRowHeight="15"/>
  <cols>
    <col min="1" max="2" width="26.5407407407407" customWidth="1"/>
    <col min="3" max="3" width="13.362962962963" customWidth="1"/>
  </cols>
  <sheetData>
    <row r="1" spans="1:4">
      <c r="A1" t="s">
        <v>67</v>
      </c>
      <c r="B1" t="s">
        <v>68</v>
      </c>
      <c r="C1" t="s">
        <v>69</v>
      </c>
      <c r="D1" s="2" t="s">
        <v>70</v>
      </c>
    </row>
    <row r="2" spans="1:4">
      <c r="A2" s="1">
        <v>883.3378968</v>
      </c>
      <c r="B2" s="1">
        <f t="shared" ref="B2:B6" si="0">A2*3600</f>
        <v>3180016.42848</v>
      </c>
      <c r="C2" s="1">
        <v>0.006841656</v>
      </c>
      <c r="D2" s="1">
        <f t="shared" ref="D2:D6" si="1">0.0069*0.000000005*EXP(B2*0.000000005)</f>
        <v>3.50529370571542e-11</v>
      </c>
    </row>
    <row r="3" spans="1:4">
      <c r="A3" s="1">
        <v>7645.906611</v>
      </c>
      <c r="B3" s="1">
        <f t="shared" si="0"/>
        <v>27525263.7996</v>
      </c>
      <c r="C3" s="1">
        <v>0.008317993</v>
      </c>
      <c r="D3" s="1">
        <f t="shared" si="1"/>
        <v>3.95903595547376e-11</v>
      </c>
    </row>
    <row r="4" spans="1:4">
      <c r="A4" s="1">
        <v>10516.22823</v>
      </c>
      <c r="B4" s="1">
        <f t="shared" si="0"/>
        <v>37858421.628</v>
      </c>
      <c r="C4" s="1">
        <v>0.008089998</v>
      </c>
      <c r="D4" s="1">
        <f t="shared" si="1"/>
        <v>4.16895889504917e-11</v>
      </c>
    </row>
    <row r="5" spans="1:4">
      <c r="A5" s="1">
        <v>14008.71964</v>
      </c>
      <c r="B5" s="1">
        <f t="shared" si="0"/>
        <v>50431390.704</v>
      </c>
      <c r="C5" s="1">
        <v>0.008376861</v>
      </c>
      <c r="D5" s="1">
        <f t="shared" si="1"/>
        <v>4.43945306173883e-11</v>
      </c>
    </row>
    <row r="6" spans="1:4">
      <c r="A6" s="1">
        <v>17141.89431</v>
      </c>
      <c r="B6" s="1">
        <f t="shared" si="0"/>
        <v>61710819.516</v>
      </c>
      <c r="C6" s="1">
        <v>0.009354873</v>
      </c>
      <c r="D6" s="1">
        <f t="shared" si="1"/>
        <v>4.69702029849765e-11</v>
      </c>
    </row>
    <row r="10" spans="9:10">
      <c r="I10" s="1">
        <f>B6-B2</f>
        <v>58530803.08752</v>
      </c>
      <c r="J10" s="1">
        <f>C6-C2</f>
        <v>0.002513217</v>
      </c>
    </row>
    <row r="11" spans="10:10">
      <c r="J11" s="1">
        <f>J10/I10</f>
        <v>4.29383652269735e-11</v>
      </c>
    </row>
  </sheetData>
  <pageMargins left="0.7" right="0.7" top="0.75" bottom="0.75" header="0.3" footer="0.3"/>
  <pageSetup paperSize="1" orientation="portrait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workbookViewId="0">
      <selection activeCell="B40" sqref="B40"/>
    </sheetView>
  </sheetViews>
  <sheetFormatPr defaultColWidth="9" defaultRowHeight="15" outlineLevelCol="6"/>
  <cols>
    <col min="1" max="2" width="26.5407407407407" customWidth="1"/>
    <col min="3" max="3" width="13.362962962963" customWidth="1"/>
  </cols>
  <sheetData>
    <row r="1" spans="1:4">
      <c r="A1" t="s">
        <v>67</v>
      </c>
      <c r="B1" t="s">
        <v>68</v>
      </c>
      <c r="C1" t="s">
        <v>69</v>
      </c>
      <c r="D1" s="2" t="s">
        <v>70</v>
      </c>
    </row>
    <row r="2" spans="1:4">
      <c r="A2" s="1">
        <v>740.537922</v>
      </c>
      <c r="B2" s="1">
        <f t="shared" ref="B2:B6" si="0">A2*3600</f>
        <v>2665936.5192</v>
      </c>
      <c r="C2" s="1">
        <v>0.002051855</v>
      </c>
      <c r="D2" s="1">
        <f>0.002*0.000000007*EXP(0.000000007*B2)</f>
        <v>1.42637147897328e-11</v>
      </c>
    </row>
    <row r="3" spans="1:4">
      <c r="A3" s="1">
        <v>7171.591651</v>
      </c>
      <c r="B3" s="1">
        <f t="shared" si="0"/>
        <v>25817729.9436</v>
      </c>
      <c r="C3" s="1">
        <v>0.002231513</v>
      </c>
      <c r="D3" s="1">
        <f t="shared" ref="D3:D6" si="1">0.002*0.000000007*EXP(0.000000007*B3)</f>
        <v>1.67731843112547e-11</v>
      </c>
    </row>
    <row r="4" spans="1:4">
      <c r="A4" s="1">
        <v>10242.42297</v>
      </c>
      <c r="B4" s="1">
        <f t="shared" si="0"/>
        <v>36872722.692</v>
      </c>
      <c r="C4" s="1">
        <v>0.002667074</v>
      </c>
      <c r="D4" s="1">
        <f t="shared" si="1"/>
        <v>1.812271979584e-11</v>
      </c>
    </row>
    <row r="5" spans="1:4">
      <c r="A5" s="1">
        <v>14368.45763</v>
      </c>
      <c r="B5" s="1">
        <f t="shared" si="0"/>
        <v>51726447.468</v>
      </c>
      <c r="C5" s="1">
        <v>0.002655595</v>
      </c>
      <c r="D5" s="1">
        <f t="shared" si="1"/>
        <v>2.01084969966951e-11</v>
      </c>
    </row>
    <row r="6" spans="1:4">
      <c r="A6" s="1">
        <v>17158.74387</v>
      </c>
      <c r="B6" s="1">
        <f t="shared" si="0"/>
        <v>61771477.932</v>
      </c>
      <c r="C6" s="1">
        <v>0.00315013</v>
      </c>
      <c r="D6" s="1">
        <f t="shared" si="1"/>
        <v>2.15733266684069e-11</v>
      </c>
    </row>
    <row r="11" spans="6:7">
      <c r="F11" s="1"/>
      <c r="G11" s="1"/>
    </row>
    <row r="12" spans="7:7">
      <c r="G12" s="1"/>
    </row>
  </sheetData>
  <pageMargins left="0.7" right="0.7" top="0.75" bottom="0.75" header="0.3" footer="0.3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workbookViewId="0">
      <selection activeCell="T17" sqref="T17:U21"/>
    </sheetView>
  </sheetViews>
  <sheetFormatPr defaultColWidth="9" defaultRowHeight="15" outlineLevelCol="6"/>
  <sheetData>
    <row r="1" spans="1:4">
      <c r="A1" t="s">
        <v>67</v>
      </c>
      <c r="B1" t="s">
        <v>68</v>
      </c>
      <c r="C1" t="s">
        <v>69</v>
      </c>
      <c r="D1" s="2" t="s">
        <v>70</v>
      </c>
    </row>
    <row r="2" spans="1:4">
      <c r="A2">
        <v>1028.665305</v>
      </c>
      <c r="B2" s="1">
        <f t="shared" ref="B2:B6" si="0">A2*3600</f>
        <v>3703195.098</v>
      </c>
      <c r="C2">
        <v>0.001450747</v>
      </c>
      <c r="D2" s="1">
        <f>0.0014*0.000000007*EXP(0.000000007*B2)</f>
        <v>1.005736046845e-11</v>
      </c>
    </row>
    <row r="3" spans="1:4">
      <c r="A3">
        <v>7392.320816</v>
      </c>
      <c r="B3" s="1">
        <f t="shared" si="0"/>
        <v>26612354.9376</v>
      </c>
      <c r="C3">
        <v>0.001449378</v>
      </c>
      <c r="D3" s="1">
        <f t="shared" ref="D3:D6" si="1">0.0014*0.000000007*EXP(0.000000007*B3)</f>
        <v>1.18067201102918e-11</v>
      </c>
    </row>
    <row r="4" spans="1:4">
      <c r="A4">
        <v>10531.81407</v>
      </c>
      <c r="B4" s="1">
        <f t="shared" si="0"/>
        <v>37914530.652</v>
      </c>
      <c r="C4">
        <v>0.00197561</v>
      </c>
      <c r="D4" s="1">
        <f t="shared" si="1"/>
        <v>1.27787559440553e-11</v>
      </c>
    </row>
    <row r="5" spans="1:4">
      <c r="A5">
        <v>14380.25232</v>
      </c>
      <c r="B5" s="1">
        <f t="shared" si="0"/>
        <v>51768908.352</v>
      </c>
      <c r="C5">
        <v>0.001812275</v>
      </c>
      <c r="D5" s="1">
        <f t="shared" si="1"/>
        <v>1.40801322598429e-11</v>
      </c>
    </row>
    <row r="6" spans="1:4">
      <c r="A6">
        <v>16963.28903</v>
      </c>
      <c r="B6" s="1">
        <f t="shared" si="0"/>
        <v>61067840.508</v>
      </c>
      <c r="C6">
        <v>0.00212515</v>
      </c>
      <c r="D6" s="1">
        <f t="shared" si="1"/>
        <v>1.5027130527928e-11</v>
      </c>
    </row>
    <row r="11" spans="5:7">
      <c r="E11" s="1">
        <f>B6-B2</f>
        <v>57364645.41</v>
      </c>
      <c r="F11" s="1">
        <f>C6-C2</f>
        <v>0.000674403</v>
      </c>
      <c r="G11" s="1">
        <f>F11/E11</f>
        <v>1.17564223604952e-11</v>
      </c>
    </row>
    <row r="12" spans="7:7">
      <c r="G12" s="1"/>
    </row>
  </sheetData>
  <pageMargins left="0.7" right="0.7" top="0.75" bottom="0.75" header="0.3" footer="0.3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workbookViewId="0">
      <selection activeCell="A7" sqref="$A7:$XFD1048576"/>
    </sheetView>
  </sheetViews>
  <sheetFormatPr defaultColWidth="9" defaultRowHeight="15" outlineLevelCol="6"/>
  <sheetData>
    <row r="1" spans="1:4">
      <c r="A1" t="s">
        <v>67</v>
      </c>
      <c r="B1" t="s">
        <v>68</v>
      </c>
      <c r="C1" t="s">
        <v>69</v>
      </c>
      <c r="D1" s="2" t="s">
        <v>70</v>
      </c>
    </row>
    <row r="2" spans="1:4">
      <c r="A2">
        <v>511.8052191</v>
      </c>
      <c r="B2" s="1">
        <f>A2*3600</f>
        <v>1842498.78876</v>
      </c>
      <c r="C2">
        <v>0.003406243</v>
      </c>
      <c r="D2" s="1">
        <f>0.0033*0.000000008*EXP(0.000000008*B2)</f>
        <v>2.67920178158941e-11</v>
      </c>
    </row>
    <row r="3" spans="1:4">
      <c r="A3">
        <v>7011.520883</v>
      </c>
      <c r="B3" s="1">
        <f>A3*3600</f>
        <v>25241475.1788</v>
      </c>
      <c r="C3">
        <v>0.003676573</v>
      </c>
      <c r="D3" s="1">
        <f t="shared" ref="D3:D6" si="0">0.0033*0.000000008*EXP(0.000000008*B3)</f>
        <v>3.23073840216288e-11</v>
      </c>
    </row>
    <row r="4" spans="1:4">
      <c r="A4">
        <v>10351.52383</v>
      </c>
      <c r="B4" s="1">
        <f>A4*3600</f>
        <v>37265485.788</v>
      </c>
      <c r="C4">
        <v>0.004866362</v>
      </c>
      <c r="D4" s="1">
        <f t="shared" si="0"/>
        <v>3.55694774981771e-11</v>
      </c>
    </row>
    <row r="5" spans="1:4">
      <c r="A5">
        <v>14126.66653</v>
      </c>
      <c r="B5" s="1">
        <f>A5*3600</f>
        <v>50855999.508</v>
      </c>
      <c r="C5">
        <v>0.004943659</v>
      </c>
      <c r="D5" s="1">
        <f t="shared" si="0"/>
        <v>3.96548002456177e-11</v>
      </c>
    </row>
    <row r="6" spans="1:4">
      <c r="A6">
        <v>16849.55454</v>
      </c>
      <c r="B6" s="1">
        <f>A6*3600</f>
        <v>60658396.344</v>
      </c>
      <c r="C6">
        <v>0.005257166</v>
      </c>
      <c r="D6" s="1">
        <f t="shared" si="0"/>
        <v>4.28896775702964e-11</v>
      </c>
    </row>
    <row r="11" spans="5:7">
      <c r="E11" s="1"/>
      <c r="F11" s="1"/>
      <c r="G11" s="1"/>
    </row>
    <row r="12" spans="7:7">
      <c r="G12" s="1"/>
    </row>
  </sheetData>
  <pageMargins left="0.7" right="0.7" top="0.75" bottom="0.75" header="0.3" footer="0.3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8"/>
  <sheetViews>
    <sheetView workbookViewId="0">
      <selection activeCell="A1" sqref="A1:A48"/>
    </sheetView>
  </sheetViews>
  <sheetFormatPr defaultColWidth="8.8" defaultRowHeight="15"/>
  <sheetData>
    <row r="1" spans="1:1">
      <c r="A1" s="1">
        <v>265000</v>
      </c>
    </row>
    <row r="2" spans="1:1">
      <c r="A2" s="1">
        <v>104</v>
      </c>
    </row>
    <row r="3" spans="1:1">
      <c r="A3" s="1">
        <v>136000</v>
      </c>
    </row>
    <row r="4" spans="1:1">
      <c r="A4" s="1">
        <v>10.3</v>
      </c>
    </row>
    <row r="5" spans="1:1">
      <c r="A5" s="1">
        <v>125000</v>
      </c>
    </row>
    <row r="6" spans="1:1">
      <c r="A6" s="1">
        <v>13.5</v>
      </c>
    </row>
    <row r="7" spans="1:1">
      <c r="A7" s="1">
        <v>95300</v>
      </c>
    </row>
    <row r="8" spans="1:1">
      <c r="A8" s="1">
        <v>41.3</v>
      </c>
    </row>
    <row r="9" spans="1:1">
      <c r="A9" s="1">
        <v>2.48e-7</v>
      </c>
    </row>
    <row r="10" spans="1:1">
      <c r="A10" s="1">
        <v>100000</v>
      </c>
    </row>
    <row r="11" spans="1:1">
      <c r="A11">
        <v>0.8</v>
      </c>
    </row>
    <row r="12" spans="1:1">
      <c r="A12">
        <v>0.5</v>
      </c>
    </row>
    <row r="13" spans="1:1">
      <c r="A13">
        <v>1.62</v>
      </c>
    </row>
    <row r="14" spans="1:1">
      <c r="A14">
        <v>380</v>
      </c>
    </row>
    <row r="15" spans="1:1">
      <c r="A15">
        <v>0</v>
      </c>
    </row>
    <row r="16" spans="1:1">
      <c r="A16">
        <v>55</v>
      </c>
    </row>
    <row r="17" spans="1:1">
      <c r="A17">
        <v>386</v>
      </c>
    </row>
    <row r="18" spans="1:1">
      <c r="A18">
        <v>1</v>
      </c>
    </row>
    <row r="19" spans="1:1">
      <c r="A19">
        <v>0.3</v>
      </c>
    </row>
    <row r="20" spans="1:1">
      <c r="A20">
        <v>0.015</v>
      </c>
    </row>
    <row r="21" spans="1:1">
      <c r="A21">
        <v>1</v>
      </c>
    </row>
    <row r="22" spans="1:1">
      <c r="A22" s="1">
        <v>4000000</v>
      </c>
    </row>
    <row r="23" spans="1:1">
      <c r="A23" s="1">
        <v>16000000</v>
      </c>
    </row>
    <row r="24" spans="1:1">
      <c r="A24" s="1">
        <v>5e-5</v>
      </c>
    </row>
    <row r="25" spans="1:1">
      <c r="A25">
        <v>0.1</v>
      </c>
    </row>
    <row r="26" spans="1:1">
      <c r="A26" s="1">
        <v>1.49e-6</v>
      </c>
    </row>
    <row r="27" spans="1:1">
      <c r="A27">
        <v>2</v>
      </c>
    </row>
    <row r="28" spans="1:1">
      <c r="A28">
        <v>20</v>
      </c>
    </row>
    <row r="29" spans="1:1">
      <c r="A29">
        <v>0</v>
      </c>
    </row>
    <row r="30" spans="1:1">
      <c r="A30">
        <v>0</v>
      </c>
    </row>
    <row r="31" spans="1:1">
      <c r="A31">
        <v>0.0534</v>
      </c>
    </row>
    <row r="32" spans="1:1">
      <c r="A32">
        <v>0.787</v>
      </c>
    </row>
    <row r="33" spans="1:1">
      <c r="A33" s="1">
        <v>2.4e-17</v>
      </c>
    </row>
    <row r="34" spans="1:1">
      <c r="A34" s="1">
        <v>9.6e-17</v>
      </c>
    </row>
    <row r="35" spans="1:1">
      <c r="A35" s="1">
        <v>2.543e-16</v>
      </c>
    </row>
    <row r="36" spans="1:1">
      <c r="A36" s="1">
        <v>0.0012</v>
      </c>
    </row>
    <row r="37" spans="1:1">
      <c r="A37" s="1">
        <v>0.001</v>
      </c>
    </row>
    <row r="38" spans="1:1">
      <c r="A38">
        <v>0.3</v>
      </c>
    </row>
    <row r="39" spans="1:1">
      <c r="A39">
        <v>0</v>
      </c>
    </row>
    <row r="40" spans="1:1">
      <c r="A40">
        <v>0</v>
      </c>
    </row>
    <row r="41" spans="1:1">
      <c r="A41" s="1">
        <v>1.53e-20</v>
      </c>
    </row>
    <row r="42" spans="1:1">
      <c r="A42" s="1">
        <v>1.24e-6</v>
      </c>
    </row>
    <row r="43" spans="1:1">
      <c r="A43" s="1">
        <v>8.6e+19</v>
      </c>
    </row>
    <row r="44" spans="1:1">
      <c r="A44" s="1">
        <v>0.001</v>
      </c>
    </row>
    <row r="45" spans="1:1">
      <c r="A45">
        <v>10</v>
      </c>
    </row>
    <row r="46" spans="1:1">
      <c r="A46" s="1">
        <v>0.001</v>
      </c>
    </row>
    <row r="47" spans="1:1">
      <c r="A47">
        <v>5</v>
      </c>
    </row>
    <row r="48" spans="1:1">
      <c r="A48">
        <v>500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Compiled</vt:lpstr>
      <vt:lpstr>773K_173MPa_64g</vt:lpstr>
      <vt:lpstr>773K_52MPa_64g</vt:lpstr>
      <vt:lpstr>773K_87MPa_64g</vt:lpstr>
      <vt:lpstr>773K_121MPa_64g</vt:lpstr>
      <vt:lpstr>Exp_773K_173MPa</vt:lpstr>
      <vt:lpstr>Exp_773K_87MPa</vt:lpstr>
      <vt:lpstr>Exp_773K_52MPa</vt:lpstr>
      <vt:lpstr>Exp_773K_121MPa</vt:lpstr>
      <vt:lpstr>props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vikramroy</dc:creator>
  <cp:lastModifiedBy>vikramr</cp:lastModifiedBy>
  <dcterms:created xsi:type="dcterms:W3CDTF">2025-01-30T02:13:00Z</dcterms:created>
  <dcterms:modified xsi:type="dcterms:W3CDTF">2025-05-27T15:50:32Z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