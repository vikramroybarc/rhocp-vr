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85" windowHeight="12525" activeTab="1"/>
  </bookViews>
  <sheets>
    <sheet name="Compiled" sheetId="12" r:id="rId1"/>
    <sheet name="773K_173MPa_64g" sheetId="2" r:id="rId2"/>
    <sheet name="773K_52MPa_64g" sheetId="3" r:id="rId3"/>
    <sheet name="773K_87MPa_64g" sheetId="4" r:id="rId4"/>
    <sheet name="773K_121MPa_64g" sheetId="5" r:id="rId5"/>
    <sheet name="Exp_773K_173MPa" sheetId="8" r:id="rId6"/>
    <sheet name="Exp_773K_87MPa" sheetId="9" r:id="rId7"/>
    <sheet name="Exp_773K_52MPa" sheetId="10" r:id="rId8"/>
    <sheet name="Exp_773K_121MPa" sheetId="11" r:id="rId9"/>
    <sheet name="props" sheetId="13" r:id="rId10"/>
  </sheets>
  <calcPr calcId="144525"/>
</workbook>
</file>

<file path=xl/sharedStrings.xml><?xml version="1.0" encoding="utf-8"?>
<sst xmlns="http://schemas.openxmlformats.org/spreadsheetml/2006/main" count="271" uniqueCount="71">
  <si>
    <t>Stress</t>
  </si>
  <si>
    <t>Exp</t>
  </si>
  <si>
    <t>Sim</t>
  </si>
  <si>
    <t>Ratio</t>
  </si>
  <si>
    <t>time</t>
  </si>
  <si>
    <t>Ep_eff</t>
  </si>
  <si>
    <t>cstrain_1</t>
  </si>
  <si>
    <t>cstrain_10</t>
  </si>
  <si>
    <t>cstrain_11</t>
  </si>
  <si>
    <t>cstrain_12</t>
  </si>
  <si>
    <t>cstrain_13</t>
  </si>
  <si>
    <t>cstrain_14</t>
  </si>
  <si>
    <t>cstrain_15</t>
  </si>
  <si>
    <t>cstrain_16</t>
  </si>
  <si>
    <t>cstrain_17</t>
  </si>
  <si>
    <t>cstrain_18</t>
  </si>
  <si>
    <t>cstrain_19</t>
  </si>
  <si>
    <t>cstrain_2</t>
  </si>
  <si>
    <t>cstrain_20</t>
  </si>
  <si>
    <t>cstrain_21</t>
  </si>
  <si>
    <t>cstrain_22</t>
  </si>
  <si>
    <t>cstrain_23</t>
  </si>
  <si>
    <t>cstrain_24</t>
  </si>
  <si>
    <t>cstrain_3</t>
  </si>
  <si>
    <t>cstrain_4</t>
  </si>
  <si>
    <t>cstrain_5</t>
  </si>
  <si>
    <t>cstrain_6</t>
  </si>
  <si>
    <t>cstrain_7</t>
  </si>
  <si>
    <t>cstrain_8</t>
  </si>
  <si>
    <t>cstrain_9</t>
  </si>
  <si>
    <t>cstrainfrac1</t>
  </si>
  <si>
    <t>cstrainfrac2</t>
  </si>
  <si>
    <t>eeq</t>
  </si>
  <si>
    <t>gstrain_1</t>
  </si>
  <si>
    <t>gstrain_10</t>
  </si>
  <si>
    <t>gstrain_11</t>
  </si>
  <si>
    <t>gstrain_12</t>
  </si>
  <si>
    <t>gstrain_13</t>
  </si>
  <si>
    <t>gstrain_14</t>
  </si>
  <si>
    <t>gstrain_15</t>
  </si>
  <si>
    <t>gstrain_16</t>
  </si>
  <si>
    <t>gstrain_17</t>
  </si>
  <si>
    <t>gstrain_18</t>
  </si>
  <si>
    <t>gstrain_19</t>
  </si>
  <si>
    <t>gstrain_2</t>
  </si>
  <si>
    <t>gstrain_20</t>
  </si>
  <si>
    <t>gstrain_21</t>
  </si>
  <si>
    <t>gstrain_22</t>
  </si>
  <si>
    <t>gstrain_23</t>
  </si>
  <si>
    <t>gstrain_24</t>
  </si>
  <si>
    <t>gstrain_3</t>
  </si>
  <si>
    <t>gstrain_4</t>
  </si>
  <si>
    <t>gstrain_5</t>
  </si>
  <si>
    <t>gstrain_6</t>
  </si>
  <si>
    <t>gstrain_7</t>
  </si>
  <si>
    <t>gstrain_8</t>
  </si>
  <si>
    <t>gstrain_9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</si>
  <si>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</si>
  <si>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</si>
  <si>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</si>
  <si>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</si>
  <si>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</si>
  <si>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</si>
  <si>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</si>
  <si>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</si>
  <si>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</si>
  <si>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StrainRate</t>
  </si>
  <si>
    <t>Time (Hours)</t>
  </si>
  <si>
    <t>Time (Seconds)</t>
  </si>
  <si>
    <t>Creep Strain</t>
  </si>
  <si>
    <t>CreepStrain Rate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</si>
</sst>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(&quot;$&quot;* #,##0_);_(&quot;$&quot;* \(#,##0\);_(&quot;$&quot;* &quot;-&quot;_);_(@_)"/>
    <numFmt numFmtId="178" formatCode="_ * #,##0.00_ ;_ * \-#,##0.00_ ;_ * &quot;-&quot;??_ ;_ @_ "/>
    <numFmt numFmtId="179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8" fillId="8" borderId="8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Fon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Alignment="1"/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11" fontId="0" fillId="0" borderId="0" xfId="0" applyNumberFormat="1" applyAlignment="1"/>
    <xf numFmtId="2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'773K_173MPa_64g'!$A$2:$A$1309</c:f>
              <c:numCache>
                <c:formatCode>General</c:formatCode>
                <c:ptCount val="1308"/>
                <c:pt idx="0">
                  <c:v>0</c:v>
                </c:pt>
                <c:pt idx="1">
                  <c:v>0.39716411736214</c:v>
                </c:pt>
                <c:pt idx="2">
                  <c:v>3.9716411736214</c:v>
                </c:pt>
                <c:pt idx="3">
                  <c:v>39.716411736214</c:v>
                </c:pt>
                <c:pt idx="4">
                  <c:v>397.16411736214</c:v>
                </c:pt>
                <c:pt idx="5">
                  <c:v>3971.6411736214</c:v>
                </c:pt>
                <c:pt idx="6">
                  <c:v>39716.411736214</c:v>
                </c:pt>
                <c:pt idx="7">
                  <c:v>397164.11736214</c:v>
                </c:pt>
                <c:pt idx="8">
                  <c:v>44562.546906687</c:v>
                </c:pt>
                <c:pt idx="9">
                  <c:v>50000</c:v>
                </c:pt>
                <c:pt idx="10">
                  <c:v>56100.922715098</c:v>
                </c:pt>
                <c:pt idx="11">
                  <c:v>62946.270589709</c:v>
                </c:pt>
                <c:pt idx="12">
                  <c:v>70626.877231138</c:v>
                </c:pt>
                <c:pt idx="13">
                  <c:v>79244.659623056</c:v>
                </c:pt>
                <c:pt idx="14">
                  <c:v>88913.970501947</c:v>
                </c:pt>
                <c:pt idx="15">
                  <c:v>99763.115748445</c:v>
                </c:pt>
                <c:pt idx="16">
                  <c:v>111936.05692842</c:v>
                </c:pt>
                <c:pt idx="17">
                  <c:v>125594.32157548</c:v>
                </c:pt>
                <c:pt idx="18">
                  <c:v>140919.14656322</c:v>
                </c:pt>
                <c:pt idx="19">
                  <c:v>158113.88300842</c:v>
                </c:pt>
                <c:pt idx="20">
                  <c:v>177406.69461679</c:v>
                </c:pt>
                <c:pt idx="21">
                  <c:v>199053.58527675</c:v>
                </c:pt>
                <c:pt idx="22">
                  <c:v>223341.79607548</c:v>
                </c:pt>
                <c:pt idx="23">
                  <c:v>250593.61681364</c:v>
                </c:pt>
                <c:pt idx="24">
                  <c:v>281170.66259518</c:v>
                </c:pt>
                <c:pt idx="25">
                  <c:v>315478.6722401</c:v>
                </c:pt>
                <c:pt idx="26">
                  <c:v>353972.89219207</c:v>
                </c:pt>
                <c:pt idx="27">
                  <c:v>397164.11736215</c:v>
                </c:pt>
                <c:pt idx="28">
                  <c:v>445625.46906688</c:v>
                </c:pt>
                <c:pt idx="29">
                  <c:v>500000.00000001</c:v>
                </c:pt>
                <c:pt idx="30">
                  <c:v>561009.22715099</c:v>
                </c:pt>
                <c:pt idx="31">
                  <c:v>629462.7058971</c:v>
                </c:pt>
                <c:pt idx="32">
                  <c:v>706268.77231139</c:v>
                </c:pt>
                <c:pt idx="33">
                  <c:v>792446.59623057</c:v>
                </c:pt>
                <c:pt idx="34">
                  <c:v>889139.70501948</c:v>
                </c:pt>
                <c:pt idx="35">
                  <c:v>997631.15748446</c:v>
                </c:pt>
                <c:pt idx="36">
                  <c:v>1119360.5692842</c:v>
                </c:pt>
                <c:pt idx="37">
                  <c:v>1255943.2157548</c:v>
                </c:pt>
                <c:pt idx="38">
                  <c:v>1409191.4656323</c:v>
                </c:pt>
                <c:pt idx="39">
                  <c:v>1581138.8300842</c:v>
                </c:pt>
                <c:pt idx="40">
                  <c:v>1774066.9461679</c:v>
                </c:pt>
                <c:pt idx="41">
                  <c:v>1990535.8527675</c:v>
                </c:pt>
                <c:pt idx="42">
                  <c:v>2233417.9607549</c:v>
                </c:pt>
                <c:pt idx="43">
                  <c:v>2505936.1681364</c:v>
                </c:pt>
                <c:pt idx="44">
                  <c:v>2811706.6259518</c:v>
                </c:pt>
                <c:pt idx="45">
                  <c:v>3154786.7224011</c:v>
                </c:pt>
                <c:pt idx="46">
                  <c:v>3539728.9219208</c:v>
                </c:pt>
                <c:pt idx="47">
                  <c:v>3971641.1736215</c:v>
                </c:pt>
                <c:pt idx="48">
                  <c:v>4456254.6906689</c:v>
                </c:pt>
                <c:pt idx="49">
                  <c:v>5000000.0000001</c:v>
                </c:pt>
                <c:pt idx="50">
                  <c:v>5610092.27151</c:v>
                </c:pt>
                <c:pt idx="51">
                  <c:v>6294627.058971</c:v>
                </c:pt>
                <c:pt idx="52">
                  <c:v>7062687.723114</c:v>
                </c:pt>
                <c:pt idx="53">
                  <c:v>7924465.9623058</c:v>
                </c:pt>
                <c:pt idx="54">
                  <c:v>8891397.0501949</c:v>
                </c:pt>
                <c:pt idx="55">
                  <c:v>9976311.5748447</c:v>
                </c:pt>
                <c:pt idx="56">
                  <c:v>11193605.692842</c:v>
                </c:pt>
                <c:pt idx="57">
                  <c:v>12559432.157548</c:v>
                </c:pt>
                <c:pt idx="58">
                  <c:v>14091914.656323</c:v>
                </c:pt>
                <c:pt idx="59">
                  <c:v>15811388.300842</c:v>
                </c:pt>
                <c:pt idx="60">
                  <c:v>17740669.461679</c:v>
                </c:pt>
                <c:pt idx="61">
                  <c:v>19905358.527676</c:v>
                </c:pt>
                <c:pt idx="62">
                  <c:v>22334179.607549</c:v>
                </c:pt>
                <c:pt idx="63">
                  <c:v>25059361.681365</c:v>
                </c:pt>
                <c:pt idx="64">
                  <c:v>27084784.885595</c:v>
                </c:pt>
                <c:pt idx="65">
                  <c:v>29135422.661694</c:v>
                </c:pt>
                <c:pt idx="66">
                  <c:v>31074085.314428</c:v>
                </c:pt>
                <c:pt idx="67">
                  <c:v>33160900.893527</c:v>
                </c:pt>
                <c:pt idx="68">
                  <c:v>35101361.285603</c:v>
                </c:pt>
                <c:pt idx="69">
                  <c:v>37848582.464035</c:v>
                </c:pt>
                <c:pt idx="70">
                  <c:v>39951119.856248</c:v>
                </c:pt>
                <c:pt idx="71">
                  <c:v>42288920.205794</c:v>
                </c:pt>
                <c:pt idx="72">
                  <c:v>44229172.166529</c:v>
                </c:pt>
                <c:pt idx="73">
                  <c:v>47250191.572468</c:v>
                </c:pt>
                <c:pt idx="74">
                  <c:v>49077747.192267</c:v>
                </c:pt>
              </c:numCache>
            </c:numRef>
          </c:xVal>
          <c:yVal>
            <c:numRef>
              <c:f>'773K_173MPa_64g'!$BN$2:$BN$1309</c:f>
              <c:numCache>
                <c:formatCode>General</c:formatCode>
                <c:ptCount val="1308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540533"/>
        <c:axId val="345369220"/>
      </c:scatterChart>
      <c:valAx>
        <c:axId val="58354053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369220"/>
        <c:crosses val="autoZero"/>
        <c:crossBetween val="midCat"/>
      </c:valAx>
      <c:valAx>
        <c:axId val="345369220"/>
        <c:scaling>
          <c:orientation val="minMax"/>
          <c:max val="1e-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354053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'773K_173MPa_64g'!$B$1</c:f>
              <c:strCache>
                <c:ptCount val="1"/>
                <c:pt idx="0">
                  <c:v>Ep_eff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'773K_173MPa_64g'!$A$2:$A$353</c:f>
              <c:numCache>
                <c:formatCode>General</c:formatCode>
                <c:ptCount val="352"/>
                <c:pt idx="0">
                  <c:v>0</c:v>
                </c:pt>
                <c:pt idx="1">
                  <c:v>0.39716411736214</c:v>
                </c:pt>
                <c:pt idx="2">
                  <c:v>3.9716411736214</c:v>
                </c:pt>
                <c:pt idx="3">
                  <c:v>39.716411736214</c:v>
                </c:pt>
                <c:pt idx="4">
                  <c:v>397.16411736214</c:v>
                </c:pt>
                <c:pt idx="5">
                  <c:v>3971.6411736214</c:v>
                </c:pt>
                <c:pt idx="6">
                  <c:v>39716.411736214</c:v>
                </c:pt>
                <c:pt idx="7">
                  <c:v>397164.11736214</c:v>
                </c:pt>
                <c:pt idx="8">
                  <c:v>44562.546906687</c:v>
                </c:pt>
                <c:pt idx="9">
                  <c:v>50000</c:v>
                </c:pt>
                <c:pt idx="10">
                  <c:v>56100.922715098</c:v>
                </c:pt>
                <c:pt idx="11">
                  <c:v>62946.270589709</c:v>
                </c:pt>
                <c:pt idx="12">
                  <c:v>70626.877231138</c:v>
                </c:pt>
                <c:pt idx="13">
                  <c:v>79244.659623056</c:v>
                </c:pt>
                <c:pt idx="14">
                  <c:v>88913.970501947</c:v>
                </c:pt>
                <c:pt idx="15">
                  <c:v>99763.115748445</c:v>
                </c:pt>
                <c:pt idx="16">
                  <c:v>111936.05692842</c:v>
                </c:pt>
                <c:pt idx="17">
                  <c:v>125594.32157548</c:v>
                </c:pt>
                <c:pt idx="18">
                  <c:v>140919.14656322</c:v>
                </c:pt>
                <c:pt idx="19">
                  <c:v>158113.88300842</c:v>
                </c:pt>
                <c:pt idx="20">
                  <c:v>177406.69461679</c:v>
                </c:pt>
                <c:pt idx="21">
                  <c:v>199053.58527675</c:v>
                </c:pt>
                <c:pt idx="22">
                  <c:v>223341.79607548</c:v>
                </c:pt>
                <c:pt idx="23">
                  <c:v>250593.61681364</c:v>
                </c:pt>
                <c:pt idx="24">
                  <c:v>281170.66259518</c:v>
                </c:pt>
                <c:pt idx="25">
                  <c:v>315478.6722401</c:v>
                </c:pt>
                <c:pt idx="26">
                  <c:v>353972.89219207</c:v>
                </c:pt>
                <c:pt idx="27">
                  <c:v>397164.11736215</c:v>
                </c:pt>
                <c:pt idx="28">
                  <c:v>445625.46906688</c:v>
                </c:pt>
                <c:pt idx="29">
                  <c:v>500000.00000001</c:v>
                </c:pt>
                <c:pt idx="30">
                  <c:v>561009.22715099</c:v>
                </c:pt>
                <c:pt idx="31">
                  <c:v>629462.7058971</c:v>
                </c:pt>
                <c:pt idx="32">
                  <c:v>706268.77231139</c:v>
                </c:pt>
                <c:pt idx="33">
                  <c:v>792446.59623057</c:v>
                </c:pt>
                <c:pt idx="34">
                  <c:v>889139.70501948</c:v>
                </c:pt>
                <c:pt idx="35">
                  <c:v>997631.15748446</c:v>
                </c:pt>
                <c:pt idx="36">
                  <c:v>1119360.5692842</c:v>
                </c:pt>
                <c:pt idx="37">
                  <c:v>1255943.2157548</c:v>
                </c:pt>
                <c:pt idx="38">
                  <c:v>1409191.4656323</c:v>
                </c:pt>
                <c:pt idx="39">
                  <c:v>1581138.8300842</c:v>
                </c:pt>
                <c:pt idx="40">
                  <c:v>1774066.9461679</c:v>
                </c:pt>
                <c:pt idx="41">
                  <c:v>1990535.8527675</c:v>
                </c:pt>
                <c:pt idx="42">
                  <c:v>2233417.9607549</c:v>
                </c:pt>
                <c:pt idx="43">
                  <c:v>2505936.1681364</c:v>
                </c:pt>
                <c:pt idx="44">
                  <c:v>2811706.6259518</c:v>
                </c:pt>
                <c:pt idx="45">
                  <c:v>3154786.7224011</c:v>
                </c:pt>
                <c:pt idx="46">
                  <c:v>3539728.9219208</c:v>
                </c:pt>
                <c:pt idx="47">
                  <c:v>3971641.1736215</c:v>
                </c:pt>
                <c:pt idx="48">
                  <c:v>4456254.6906689</c:v>
                </c:pt>
                <c:pt idx="49">
                  <c:v>5000000.0000001</c:v>
                </c:pt>
                <c:pt idx="50">
                  <c:v>5610092.27151</c:v>
                </c:pt>
                <c:pt idx="51">
                  <c:v>6294627.058971</c:v>
                </c:pt>
                <c:pt idx="52">
                  <c:v>7062687.723114</c:v>
                </c:pt>
                <c:pt idx="53">
                  <c:v>7924465.9623058</c:v>
                </c:pt>
                <c:pt idx="54">
                  <c:v>8891397.0501949</c:v>
                </c:pt>
                <c:pt idx="55">
                  <c:v>9976311.5748447</c:v>
                </c:pt>
                <c:pt idx="56">
                  <c:v>11193605.692842</c:v>
                </c:pt>
                <c:pt idx="57">
                  <c:v>12559432.157548</c:v>
                </c:pt>
                <c:pt idx="58">
                  <c:v>14091914.656323</c:v>
                </c:pt>
                <c:pt idx="59">
                  <c:v>15811388.300842</c:v>
                </c:pt>
                <c:pt idx="60">
                  <c:v>17740669.461679</c:v>
                </c:pt>
                <c:pt idx="61">
                  <c:v>19905358.527676</c:v>
                </c:pt>
                <c:pt idx="62">
                  <c:v>22334179.607549</c:v>
                </c:pt>
                <c:pt idx="63">
                  <c:v>25059361.681365</c:v>
                </c:pt>
                <c:pt idx="64">
                  <c:v>27084784.885595</c:v>
                </c:pt>
                <c:pt idx="65">
                  <c:v>29135422.661694</c:v>
                </c:pt>
                <c:pt idx="66">
                  <c:v>31074085.314428</c:v>
                </c:pt>
                <c:pt idx="67">
                  <c:v>33160900.893527</c:v>
                </c:pt>
                <c:pt idx="68">
                  <c:v>35101361.285603</c:v>
                </c:pt>
                <c:pt idx="69">
                  <c:v>37848582.464035</c:v>
                </c:pt>
                <c:pt idx="70">
                  <c:v>39951119.856248</c:v>
                </c:pt>
                <c:pt idx="71">
                  <c:v>42288920.205794</c:v>
                </c:pt>
                <c:pt idx="72">
                  <c:v>44229172.166529</c:v>
                </c:pt>
                <c:pt idx="73">
                  <c:v>47250191.572468</c:v>
                </c:pt>
                <c:pt idx="74">
                  <c:v>49077747.192267</c:v>
                </c:pt>
              </c:numCache>
            </c:numRef>
          </c:xVal>
          <c:yVal>
            <c:numRef>
              <c:f>'773K_173MPa_64g'!$B$2:$B$353</c:f>
              <c:numCache>
                <c:formatCode>General</c:formatCode>
                <c:ptCount val="352"/>
                <c:pt idx="0">
                  <c:v>0</c:v>
                </c:pt>
                <c:pt idx="1" c:formatCode="0.00E+00">
                  <c:v>1.3035039982773e-14</c:v>
                </c:pt>
                <c:pt idx="2" c:formatCode="0.00E+00">
                  <c:v>1.3264095073045e-12</c:v>
                </c:pt>
                <c:pt idx="3" c:formatCode="0.00E+00">
                  <c:v>1.3490679162069e-10</c:v>
                </c:pt>
                <c:pt idx="4" c:formatCode="0.00E+00">
                  <c:v>4.5268777075686e-7</c:v>
                </c:pt>
                <c:pt idx="5" c:formatCode="0.00E+00">
                  <c:v>5.7176148508836e-6</c:v>
                </c:pt>
                <c:pt idx="6" c:formatCode="0.00E+00">
                  <c:v>3.5374998356745e-5</c:v>
                </c:pt>
                <c:pt idx="7">
                  <c:v>0.00016867572893532</c:v>
                </c:pt>
                <c:pt idx="8" c:formatCode="0.00E+00">
                  <c:v>3.8289098792647e-5</c:v>
                </c:pt>
                <c:pt idx="9" c:formatCode="0.00E+00">
                  <c:v>4.1436181715565e-5</c:v>
                </c:pt>
                <c:pt idx="10" c:formatCode="0.00E+00">
                  <c:v>4.4833228460144e-5</c:v>
                </c:pt>
                <c:pt idx="11" c:formatCode="0.00E+00">
                  <c:v>4.8498453206535e-5</c:v>
                </c:pt>
                <c:pt idx="12" c:formatCode="0.00E+00">
                  <c:v>5.2451455006516e-5</c:v>
                </c:pt>
                <c:pt idx="13" c:formatCode="0.00E+00">
                  <c:v>5.671332177639e-5</c:v>
                </c:pt>
                <c:pt idx="14" c:formatCode="0.00E+00">
                  <c:v>6.1306740238497e-5</c:v>
                </c:pt>
                <c:pt idx="15" c:formatCode="0.00E+00">
                  <c:v>6.625611177883e-5</c:v>
                </c:pt>
                <c:pt idx="16" c:formatCode="0.00E+00">
                  <c:v>7.1587674020845e-5</c:v>
                </c:pt>
                <c:pt idx="17" c:formatCode="0.00E+00">
                  <c:v>7.7329626738165e-5</c:v>
                </c:pt>
                <c:pt idx="18" c:formatCode="0.00E+00">
                  <c:v>8.3512260861987e-5</c:v>
                </c:pt>
                <c:pt idx="19" c:formatCode="0.00E+00">
                  <c:v>9.016809262462e-5</c:v>
                </c:pt>
                <c:pt idx="20" c:formatCode="0.00E+00">
                  <c:v>9.7332003514159e-5</c:v>
                </c:pt>
                <c:pt idx="21">
                  <c:v>0.00010504139331033</c:v>
                </c:pt>
                <c:pt idx="22">
                  <c:v>0.00011333636153591</c:v>
                </c:pt>
                <c:pt idx="23">
                  <c:v>0.00012225993686461</c:v>
                </c:pt>
                <c:pt idx="24">
                  <c:v>0.00013185837638573</c:v>
                </c:pt>
                <c:pt idx="25">
                  <c:v>0.0001421815475842</c:v>
                </c:pt>
                <c:pt idx="26">
                  <c:v>0.00015328339974054</c:v>
                </c:pt>
                <c:pt idx="27">
                  <c:v>0.00016522252307321</c:v>
                </c:pt>
                <c:pt idx="28">
                  <c:v>0.0001780627904115</c:v>
                </c:pt>
                <c:pt idx="29">
                  <c:v>0.00019187405769813</c:v>
                </c:pt>
                <c:pt idx="30">
                  <c:v>0.00020673290337602</c:v>
                </c:pt>
                <c:pt idx="31">
                  <c:v>0.00022272338383582</c:v>
                </c:pt>
                <c:pt idx="32">
                  <c:v>0.00023993778989461</c:v>
                </c:pt>
                <c:pt idx="33">
                  <c:v>0.00025847742770723</c:v>
                </c:pt>
                <c:pt idx="34">
                  <c:v>0.00027845349215544</c:v>
                </c:pt>
                <c:pt idx="35">
                  <c:v>0.00029998812509702</c:v>
                </c:pt>
                <c:pt idx="36">
                  <c:v>0.00032321572391652</c:v>
                </c:pt>
                <c:pt idx="37">
                  <c:v>0.00034828442394444</c:v>
                </c:pt>
                <c:pt idx="38">
                  <c:v>0.00037535764096252</c:v>
                </c:pt>
                <c:pt idx="39">
                  <c:v>0.0004046156769484</c:v>
                </c:pt>
                <c:pt idx="40">
                  <c:v>0.00043625779268438</c:v>
                </c:pt>
                <c:pt idx="41">
                  <c:v>0.00047050534983337</c:v>
                </c:pt>
                <c:pt idx="42">
                  <c:v>0.00050760642179709</c:v>
                </c:pt>
                <c:pt idx="43">
                  <c:v>0.00054784144006904</c:v>
                </c:pt>
                <c:pt idx="44">
                  <c:v>0.0005915287237084</c:v>
                </c:pt>
                <c:pt idx="45">
                  <c:v>0.00063902920698884</c:v>
                </c:pt>
                <c:pt idx="46">
                  <c:v>0.00069075122612706</c:v>
                </c:pt>
                <c:pt idx="47">
                  <c:v>0.00074715676791922</c:v>
                </c:pt>
                <c:pt idx="48">
                  <c:v>0.00080876931748599</c:v>
                </c:pt>
                <c:pt idx="49">
                  <c:v>0.00087618229049806</c:v>
                </c:pt>
                <c:pt idx="50">
                  <c:v>0.00095006818617316</c:v>
                </c:pt>
                <c:pt idx="51">
                  <c:v>0.001031189714265</c:v>
                </c:pt>
                <c:pt idx="52">
                  <c:v>0.001120411915277</c:v>
                </c:pt>
                <c:pt idx="53">
                  <c:v>0.0012187135234322</c:v>
                </c:pt>
                <c:pt idx="54">
                  <c:v>0.0013271987017119</c:v>
                </c:pt>
                <c:pt idx="55">
                  <c:v>0.0014471118881477</c:v>
                </c:pt>
                <c:pt idx="56">
                  <c:v>0.0015798564466406</c:v>
                </c:pt>
                <c:pt idx="57">
                  <c:v>0.0017270161854403</c:v>
                </c:pt>
                <c:pt idx="58">
                  <c:v>0.0018903757511322</c:v>
                </c:pt>
                <c:pt idx="59">
                  <c:v>0.0020719392533565</c:v>
                </c:pt>
                <c:pt idx="60">
                  <c:v>0.002273952994278</c:v>
                </c:pt>
                <c:pt idx="61">
                  <c:v>0.0024989364967894</c:v>
                </c:pt>
                <c:pt idx="62">
                  <c:v>0.0027497180059689</c:v>
                </c:pt>
                <c:pt idx="63">
                  <c:v>0.0030294750239552</c:v>
                </c:pt>
                <c:pt idx="64">
                  <c:v>0.0032365138753807</c:v>
                </c:pt>
                <c:pt idx="65">
                  <c:v>0.0034454841389453</c:v>
                </c:pt>
                <c:pt idx="66">
                  <c:v>0.0036425420780337</c:v>
                </c:pt>
                <c:pt idx="67">
                  <c:v>0.003854237260662</c:v>
                </c:pt>
                <c:pt idx="68">
                  <c:v>0.0040506468222609</c:v>
                </c:pt>
                <c:pt idx="69">
                  <c:v>0.0043282390284383</c:v>
                </c:pt>
                <c:pt idx="70">
                  <c:v>0.0045402967647229</c:v>
                </c:pt>
                <c:pt idx="71">
                  <c:v>0.00477573455699</c:v>
                </c:pt>
                <c:pt idx="72">
                  <c:v>0.0049708829527755</c:v>
                </c:pt>
                <c:pt idx="73">
                  <c:v>0.0052743734790619</c:v>
                </c:pt>
                <c:pt idx="74">
                  <c:v>0.0054577418984353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430560"/>
        <c:axId val="635431872"/>
      </c:scatterChart>
      <c:valAx>
        <c:axId val="63543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5431872"/>
        <c:crosses val="autoZero"/>
        <c:crossBetween val="midCat"/>
      </c:valAx>
      <c:valAx>
        <c:axId val="63543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543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"Exp"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32619203849519"/>
                  <c:y val="0.157244094488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Exp_773K_173MPa!$B$2:$B$6</c:f>
              <c:numCache>
                <c:formatCode>0.00E+00</c:formatCode>
                <c:ptCount val="5"/>
                <c:pt idx="0">
                  <c:v>3180016.42848</c:v>
                </c:pt>
                <c:pt idx="1">
                  <c:v>27525263.7996</c:v>
                </c:pt>
                <c:pt idx="2">
                  <c:v>37858421.628</c:v>
                </c:pt>
                <c:pt idx="3">
                  <c:v>50431390.704</c:v>
                </c:pt>
                <c:pt idx="4">
                  <c:v>61710819.516</c:v>
                </c:pt>
              </c:numCache>
            </c:numRef>
          </c:xVal>
          <c:yVal>
            <c:numRef>
              <c:f>Exp_773K_173MPa!$C$2:$C$6</c:f>
              <c:numCache>
                <c:formatCode>0.00E+00</c:formatCode>
                <c:ptCount val="5"/>
                <c:pt idx="0">
                  <c:v>0.006841656</c:v>
                </c:pt>
                <c:pt idx="1">
                  <c:v>0.008317993</c:v>
                </c:pt>
                <c:pt idx="2">
                  <c:v>0.008089998</c:v>
                </c:pt>
                <c:pt idx="3">
                  <c:v>0.008376861</c:v>
                </c:pt>
                <c:pt idx="4">
                  <c:v>0.009354873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00552"/>
        <c:axId val="528801536"/>
      </c:scatterChart>
      <c:valAx>
        <c:axId val="52880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1536"/>
        <c:crosses val="autoZero"/>
        <c:crossBetween val="midCat"/>
      </c:valAx>
      <c:valAx>
        <c:axId val="5288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0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"Exp"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32619203849519"/>
                  <c:y val="0.157244094488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Exp_773K_87MPa!$B$2:$B$6</c:f>
              <c:numCache>
                <c:formatCode>0.00E+00</c:formatCode>
                <c:ptCount val="5"/>
                <c:pt idx="0">
                  <c:v>2665936.5192</c:v>
                </c:pt>
                <c:pt idx="1">
                  <c:v>25817729.9436</c:v>
                </c:pt>
                <c:pt idx="2">
                  <c:v>36872722.692</c:v>
                </c:pt>
                <c:pt idx="3">
                  <c:v>51726447.468</c:v>
                </c:pt>
                <c:pt idx="4">
                  <c:v>61771477.932</c:v>
                </c:pt>
              </c:numCache>
            </c:numRef>
          </c:xVal>
          <c:yVal>
            <c:numRef>
              <c:f>Exp_773K_87MPa!$C$2:$C$6</c:f>
              <c:numCache>
                <c:formatCode>0.00E+00</c:formatCode>
                <c:ptCount val="5"/>
                <c:pt idx="0">
                  <c:v>0.002051855</c:v>
                </c:pt>
                <c:pt idx="1">
                  <c:v>0.002231513</c:v>
                </c:pt>
                <c:pt idx="2">
                  <c:v>0.002667074</c:v>
                </c:pt>
                <c:pt idx="3">
                  <c:v>0.002655595</c:v>
                </c:pt>
                <c:pt idx="4">
                  <c:v>0.00315013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00552"/>
        <c:axId val="528801536"/>
      </c:scatterChart>
      <c:valAx>
        <c:axId val="52880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1536"/>
        <c:crosses val="autoZero"/>
        <c:crossBetween val="midCat"/>
      </c:valAx>
      <c:valAx>
        <c:axId val="5288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0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"Exp"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32619203849519"/>
                  <c:y val="0.157244094488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Exp_773K_52MPa!$B$2:$B$6</c:f>
              <c:numCache>
                <c:formatCode>0.00E+00</c:formatCode>
                <c:ptCount val="5"/>
                <c:pt idx="0">
                  <c:v>3703195.098</c:v>
                </c:pt>
                <c:pt idx="1">
                  <c:v>26612354.9376</c:v>
                </c:pt>
                <c:pt idx="2">
                  <c:v>37914530.652</c:v>
                </c:pt>
                <c:pt idx="3">
                  <c:v>51768908.352</c:v>
                </c:pt>
                <c:pt idx="4">
                  <c:v>61067840.508</c:v>
                </c:pt>
              </c:numCache>
            </c:numRef>
          </c:xVal>
          <c:yVal>
            <c:numRef>
              <c:f>Exp_773K_52MPa!$C$2:$C$6</c:f>
              <c:numCache>
                <c:formatCode>General</c:formatCode>
                <c:ptCount val="5"/>
                <c:pt idx="0">
                  <c:v>0.001450747</c:v>
                </c:pt>
                <c:pt idx="1">
                  <c:v>0.001449378</c:v>
                </c:pt>
                <c:pt idx="2">
                  <c:v>0.00197561</c:v>
                </c:pt>
                <c:pt idx="3">
                  <c:v>0.001812275</c:v>
                </c:pt>
                <c:pt idx="4">
                  <c:v>0.00212515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00552"/>
        <c:axId val="528801536"/>
      </c:scatterChart>
      <c:valAx>
        <c:axId val="52880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1536"/>
        <c:crosses val="autoZero"/>
        <c:crossBetween val="midCat"/>
      </c:valAx>
      <c:valAx>
        <c:axId val="5288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0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"Exp"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32619203849519"/>
                  <c:y val="0.157244094488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Exp_773K_121MPa!$B$2:$B$6</c:f>
              <c:numCache>
                <c:formatCode>0.00E+00</c:formatCode>
                <c:ptCount val="5"/>
                <c:pt idx="0">
                  <c:v>1842498.78876</c:v>
                </c:pt>
                <c:pt idx="1">
                  <c:v>25241475.1788</c:v>
                </c:pt>
                <c:pt idx="2">
                  <c:v>37265485.788</c:v>
                </c:pt>
                <c:pt idx="3">
                  <c:v>50855999.508</c:v>
                </c:pt>
                <c:pt idx="4">
                  <c:v>60658396.344</c:v>
                </c:pt>
              </c:numCache>
            </c:numRef>
          </c:xVal>
          <c:yVal>
            <c:numRef>
              <c:f>Exp_773K_121MPa!$C$2:$C$6</c:f>
              <c:numCache>
                <c:formatCode>General</c:formatCode>
                <c:ptCount val="5"/>
                <c:pt idx="0">
                  <c:v>0.003406243</c:v>
                </c:pt>
                <c:pt idx="1">
                  <c:v>0.003676573</c:v>
                </c:pt>
                <c:pt idx="2">
                  <c:v>0.004866362</c:v>
                </c:pt>
                <c:pt idx="3">
                  <c:v>0.004943659</c:v>
                </c:pt>
                <c:pt idx="4">
                  <c:v>0.005257166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00552"/>
        <c:axId val="528801536"/>
      </c:scatterChart>
      <c:valAx>
        <c:axId val="52880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1536"/>
        <c:crosses val="autoZero"/>
        <c:crossBetween val="midCat"/>
      </c:valAx>
      <c:valAx>
        <c:axId val="5288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800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58</xdr:col>
      <xdr:colOff>104775</xdr:colOff>
      <xdr:row>96</xdr:row>
      <xdr:rowOff>127000</xdr:rowOff>
    </xdr:from>
    <xdr:to>
      <xdr:col>67</xdr:col>
      <xdr:colOff>399415</xdr:colOff>
      <xdr:row>120</xdr:row>
      <xdr:rowOff>41275</xdr:rowOff>
    </xdr:to>
    <xdr:graphicFrame>
      <xdr:nvGraphicFramePr>
        <xdr:cNvPr id="3" name="Chart 2"/>
        <xdr:cNvGraphicFramePr/>
      </xdr:nvGraphicFramePr>
      <xdr:xfrm>
        <a:off x="43932475" y="18415000"/>
        <a:ext cx="7719060" cy="4486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441325</xdr:colOff>
      <xdr:row>176</xdr:row>
      <xdr:rowOff>155575</xdr:rowOff>
    </xdr:from>
    <xdr:to>
      <xdr:col>26</xdr:col>
      <xdr:colOff>85725</xdr:colOff>
      <xdr:row>191</xdr:row>
      <xdr:rowOff>136525</xdr:rowOff>
    </xdr:to>
    <xdr:graphicFrame>
      <xdr:nvGraphicFramePr>
        <xdr:cNvPr id="2" name="Chart 1"/>
        <xdr:cNvGraphicFramePr/>
      </xdr:nvGraphicFramePr>
      <xdr:xfrm>
        <a:off x="14043025" y="33683575"/>
        <a:ext cx="5689600" cy="283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38</xdr:row>
      <xdr:rowOff>0</xdr:rowOff>
    </xdr:from>
    <xdr:to>
      <xdr:col>12</xdr:col>
      <xdr:colOff>304800</xdr:colOff>
      <xdr:row>52</xdr:row>
      <xdr:rowOff>165100</xdr:rowOff>
    </xdr:to>
    <xdr:graphicFrame>
      <xdr:nvGraphicFramePr>
        <xdr:cNvPr id="6" name="Chart 5"/>
        <xdr:cNvGraphicFramePr/>
      </xdr:nvGraphicFramePr>
      <xdr:xfrm>
        <a:off x="7239000" y="7239000"/>
        <a:ext cx="5705475" cy="2832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38</xdr:row>
      <xdr:rowOff>0</xdr:rowOff>
    </xdr:from>
    <xdr:to>
      <xdr:col>12</xdr:col>
      <xdr:colOff>304800</xdr:colOff>
      <xdr:row>52</xdr:row>
      <xdr:rowOff>165100</xdr:rowOff>
    </xdr:to>
    <xdr:graphicFrame>
      <xdr:nvGraphicFramePr>
        <xdr:cNvPr id="2" name="Chart 1"/>
        <xdr:cNvGraphicFramePr/>
      </xdr:nvGraphicFramePr>
      <xdr:xfrm>
        <a:off x="7239000" y="7239000"/>
        <a:ext cx="5705475" cy="2832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24</xdr:row>
      <xdr:rowOff>0</xdr:rowOff>
    </xdr:from>
    <xdr:to>
      <xdr:col>16</xdr:col>
      <xdr:colOff>304800</xdr:colOff>
      <xdr:row>38</xdr:row>
      <xdr:rowOff>165100</xdr:rowOff>
    </xdr:to>
    <xdr:graphicFrame>
      <xdr:nvGraphicFramePr>
        <xdr:cNvPr id="2" name="Chart 1"/>
        <xdr:cNvGraphicFramePr/>
      </xdr:nvGraphicFramePr>
      <xdr:xfrm>
        <a:off x="6943725" y="4572000"/>
        <a:ext cx="5705475" cy="2832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24</xdr:row>
      <xdr:rowOff>0</xdr:rowOff>
    </xdr:from>
    <xdr:to>
      <xdr:col>16</xdr:col>
      <xdr:colOff>304800</xdr:colOff>
      <xdr:row>38</xdr:row>
      <xdr:rowOff>165100</xdr:rowOff>
    </xdr:to>
    <xdr:graphicFrame>
      <xdr:nvGraphicFramePr>
        <xdr:cNvPr id="2" name="Chart 1"/>
        <xdr:cNvGraphicFramePr/>
      </xdr:nvGraphicFramePr>
      <xdr:xfrm>
        <a:off x="6943725" y="4572000"/>
        <a:ext cx="5705475" cy="2832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C6" sqref="C6"/>
    </sheetView>
  </sheetViews>
  <sheetFormatPr defaultColWidth="9" defaultRowHeight="15" outlineLevelRow="4" outlineLevelCol="3"/>
  <cols>
    <col min="3" max="3" width="11.8148148148148" style="1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>
        <v>173</v>
      </c>
      <c r="B2" s="1">
        <f>(Exp_773K_173MPa!C6-Exp_773K_173MPa!C2)/(Exp_773K_173MPa!B6-Exp_773K_173MPa!B2)</f>
        <v>4.29383652269735e-11</v>
      </c>
      <c r="C2" s="1">
        <f>('773K_173MPa_64g'!B82-'773K_173MPa_64g'!B62)/('773K_173MPa_64g'!A82-'773K_173MPa_64g'!A62)</f>
        <v>1.28177406111415e-10</v>
      </c>
      <c r="D2" s="9">
        <f>C2/B2</f>
        <v>2.98514872268343</v>
      </c>
    </row>
    <row r="3" spans="1:4">
      <c r="A3">
        <v>121</v>
      </c>
      <c r="B3" s="1">
        <f>(Exp_773K_121MPa!C6-Exp_773K_121MPa!C2)/(Exp_773K_121MPa!B6-Exp_773K_121MPa!B2)</f>
        <v>3.14697739375925e-11</v>
      </c>
      <c r="C3" s="1">
        <f>('773K_121MPa_64g'!B71-'773K_121MPa_64g'!B51)/('773K_121MPa_64g'!A71-'773K_121MPa_64g'!A51)</f>
        <v>2.12600662423943e-11</v>
      </c>
      <c r="D3" s="9">
        <f t="shared" ref="D3:D5" si="0">C3/B3</f>
        <v>0.675570987086052</v>
      </c>
    </row>
    <row r="4" spans="1:4">
      <c r="A4">
        <v>87</v>
      </c>
      <c r="B4" s="1">
        <f>(Exp_773K_87MPa!C6-Exp_773K_87MPa!C2)/(Exp_773K_87MPa!B6-Exp_773K_87MPa!B2)</f>
        <v>1.85815910614797e-11</v>
      </c>
      <c r="C4" s="1">
        <f>('773K_87MPa_64g'!B71-'773K_87MPa_64g'!B51)/('773K_87MPa_64g'!A71-'773K_87MPa_64g'!A51)</f>
        <v>1.44693036932779e-11</v>
      </c>
      <c r="D4" s="9">
        <f t="shared" si="0"/>
        <v>0.778690244845249</v>
      </c>
    </row>
    <row r="5" spans="1:4">
      <c r="A5">
        <v>52</v>
      </c>
      <c r="B5" s="1">
        <f>(Exp_773K_52MPa!C6-Exp_773K_52MPa!C2)/(Exp_773K_52MPa!B6-Exp_773K_52MPa!B2)</f>
        <v>1.17564223604952e-11</v>
      </c>
      <c r="C5" s="1">
        <f>('773K_52MPa_64g'!B71-'773K_52MPa_64g'!B51)/('773K_52MPa_64g'!A71-'773K_52MPa_64g'!A51)</f>
        <v>8.52999352074717e-12</v>
      </c>
      <c r="D5" s="9">
        <f t="shared" si="0"/>
        <v>0.725560315815999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353"/>
  <sheetViews>
    <sheetView tabSelected="1" workbookViewId="0">
      <selection activeCell="C1" sqref="C$1:C$1048576"/>
    </sheetView>
  </sheetViews>
  <sheetFormatPr defaultColWidth="8.81481481481481" defaultRowHeight="15"/>
  <cols>
    <col min="1" max="1" width="8.81481481481481" style="1"/>
    <col min="66" max="71" width="12.4518518518519"/>
  </cols>
  <sheetData>
    <row r="1" spans="1:65">
      <c r="A1" s="6" t="s">
        <v>4</v>
      </c>
      <c r="B1" s="6" t="s">
        <v>5</v>
      </c>
      <c r="C1" s="6"/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6" t="s">
        <v>23</v>
      </c>
      <c r="V1" s="6" t="s">
        <v>24</v>
      </c>
      <c r="W1" s="6" t="s">
        <v>25</v>
      </c>
      <c r="X1" s="6" t="s">
        <v>26</v>
      </c>
      <c r="Y1" s="6" t="s">
        <v>27</v>
      </c>
      <c r="Z1" s="6" t="s">
        <v>28</v>
      </c>
      <c r="AA1" s="6" t="s">
        <v>29</v>
      </c>
      <c r="AB1" s="6" t="s">
        <v>30</v>
      </c>
      <c r="AC1" s="6" t="s">
        <v>31</v>
      </c>
      <c r="AD1" s="6" t="s">
        <v>32</v>
      </c>
      <c r="AE1" s="6" t="s">
        <v>33</v>
      </c>
      <c r="AF1" s="6" t="s">
        <v>34</v>
      </c>
      <c r="AG1" s="6" t="s">
        <v>35</v>
      </c>
      <c r="AH1" s="6" t="s">
        <v>36</v>
      </c>
      <c r="AI1" s="6" t="s">
        <v>37</v>
      </c>
      <c r="AJ1" s="6" t="s">
        <v>38</v>
      </c>
      <c r="AK1" s="6" t="s">
        <v>39</v>
      </c>
      <c r="AL1" s="6" t="s">
        <v>40</v>
      </c>
      <c r="AM1" s="6" t="s">
        <v>41</v>
      </c>
      <c r="AN1" s="6" t="s">
        <v>42</v>
      </c>
      <c r="AO1" s="6" t="s">
        <v>43</v>
      </c>
      <c r="AP1" s="6" t="s">
        <v>44</v>
      </c>
      <c r="AQ1" s="6" t="s">
        <v>45</v>
      </c>
      <c r="AR1" s="6" t="s">
        <v>46</v>
      </c>
      <c r="AS1" s="6" t="s">
        <v>47</v>
      </c>
      <c r="AT1" s="6" t="s">
        <v>48</v>
      </c>
      <c r="AU1" s="6" t="s">
        <v>49</v>
      </c>
      <c r="AV1" s="6" t="s">
        <v>50</v>
      </c>
      <c r="AW1" s="6" t="s">
        <v>51</v>
      </c>
      <c r="AX1" s="6" t="s">
        <v>52</v>
      </c>
      <c r="AY1" s="6" t="s">
        <v>53</v>
      </c>
      <c r="AZ1" s="6" t="s">
        <v>54</v>
      </c>
      <c r="BA1" s="6" t="s">
        <v>55</v>
      </c>
      <c r="BB1" s="6" t="s">
        <v>56</v>
      </c>
      <c r="BC1" s="6" t="s">
        <v>57</v>
      </c>
      <c r="BD1" s="6" t="s">
        <v>58</v>
      </c>
      <c r="BE1" s="6" t="s">
        <v>59</v>
      </c>
      <c r="BF1" s="6" t="s">
        <v>60</v>
      </c>
      <c r="BG1" s="6" t="s">
        <v>61</v>
      </c>
      <c r="BH1" s="6" t="s">
        <v>62</v>
      </c>
      <c r="BI1" s="6" t="s">
        <v>63</v>
      </c>
      <c r="BJ1" s="6" t="s">
        <v>64</v>
      </c>
      <c r="BK1" s="6" t="s">
        <v>65</v>
      </c>
      <c r="BL1" s="3"/>
      <c r="BM1" s="5"/>
    </row>
    <row r="2" spans="1:65">
      <c r="A2" s="6">
        <v>0</v>
      </c>
      <c r="B2" s="6">
        <v>0</v>
      </c>
      <c r="C2" s="6"/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3"/>
      <c r="BM2" s="5"/>
    </row>
    <row r="3" spans="1:65">
      <c r="A3" s="6">
        <v>0.39716411736214</v>
      </c>
      <c r="B3" s="7">
        <v>1.3035039982773e-14</v>
      </c>
      <c r="C3" s="7"/>
      <c r="D3" s="7">
        <v>4.2762180211151e-15</v>
      </c>
      <c r="E3" s="7">
        <v>5.1716940088555e-15</v>
      </c>
      <c r="F3" s="7">
        <v>5.1716940088555e-15</v>
      </c>
      <c r="G3" s="7">
        <v>5.1716940088555e-15</v>
      </c>
      <c r="H3" s="7">
        <v>4.2762180211151e-15</v>
      </c>
      <c r="I3" s="7">
        <v>4.2762180211151e-15</v>
      </c>
      <c r="J3" s="7">
        <v>4.2762180211151e-15</v>
      </c>
      <c r="K3" s="7">
        <v>4.5333743529291e-15</v>
      </c>
      <c r="L3" s="7">
        <v>4.5333743529291e-15</v>
      </c>
      <c r="M3" s="7">
        <v>4.5333743529291e-15</v>
      </c>
      <c r="N3" s="7">
        <v>4.7240689453751e-15</v>
      </c>
      <c r="O3" s="7">
        <v>4.2762180211151e-15</v>
      </c>
      <c r="P3" s="7">
        <v>4.7240689453751e-15</v>
      </c>
      <c r="Q3" s="7">
        <v>4.7240689453751e-15</v>
      </c>
      <c r="R3" s="7">
        <v>5.1716940088555e-15</v>
      </c>
      <c r="S3" s="7">
        <v>5.1716940088555e-15</v>
      </c>
      <c r="T3" s="7">
        <v>5.1716940088555e-15</v>
      </c>
      <c r="U3" s="7">
        <v>4.2762180211151e-15</v>
      </c>
      <c r="V3" s="7">
        <v>4.5333743529291e-15</v>
      </c>
      <c r="W3" s="7">
        <v>4.5333743529291e-15</v>
      </c>
      <c r="X3" s="7">
        <v>4.5333743529291e-15</v>
      </c>
      <c r="Y3" s="7">
        <v>4.7240689453751e-15</v>
      </c>
      <c r="Z3" s="7">
        <v>4.7240689453751e-15</v>
      </c>
      <c r="AA3" s="7">
        <v>4.7240689453751e-15</v>
      </c>
      <c r="AB3" s="6">
        <v>0.99999999999975</v>
      </c>
      <c r="AC3" s="6">
        <v>0.99999999999966</v>
      </c>
      <c r="AD3" s="7">
        <v>2.1719977165069e-6</v>
      </c>
      <c r="AE3" s="7">
        <v>3.553429657189e-28</v>
      </c>
      <c r="AF3" s="7">
        <v>-3.0489455019435e-28</v>
      </c>
      <c r="AG3" s="7">
        <v>4.5374300346727e-28</v>
      </c>
      <c r="AH3" s="7">
        <v>-4.4524356859142e-28</v>
      </c>
      <c r="AI3" s="7">
        <v>-6.7852104549637e-29</v>
      </c>
      <c r="AJ3" s="7">
        <v>-3.1005517954336e-28</v>
      </c>
      <c r="AK3" s="7">
        <v>2.2466826002853e-28</v>
      </c>
      <c r="AL3" s="7">
        <v>2.6509987539021e-28</v>
      </c>
      <c r="AM3" s="7">
        <v>1.720345907731e-28</v>
      </c>
      <c r="AN3" s="7">
        <v>-3.9923604076627e-28</v>
      </c>
      <c r="AO3" s="7">
        <v>2.0875491489731e-28</v>
      </c>
      <c r="AP3" s="7">
        <v>-2.0885686415136e-28</v>
      </c>
      <c r="AQ3" s="7">
        <v>6.6761722039595e-28</v>
      </c>
      <c r="AR3" s="7">
        <v>-8.3446218209767e-28</v>
      </c>
      <c r="AS3" s="7">
        <v>4.105638533236e-28</v>
      </c>
      <c r="AT3" s="7">
        <v>6.9172388749745e-29</v>
      </c>
      <c r="AU3" s="7">
        <v>-4.7640056355661e-28</v>
      </c>
      <c r="AV3" s="7">
        <v>-2.0219835147561e-28</v>
      </c>
      <c r="AW3" s="7">
        <v>2.522355958362e-28</v>
      </c>
      <c r="AX3" s="7">
        <v>6.2596494027225e-29</v>
      </c>
      <c r="AY3" s="7">
        <v>-2.7172137603592e-28</v>
      </c>
      <c r="AZ3" s="7">
        <v>2.8967263914386e-28</v>
      </c>
      <c r="BA3" s="7">
        <v>6.0179855664787e-28</v>
      </c>
      <c r="BB3" s="7">
        <v>-8.7247492180099e-28</v>
      </c>
      <c r="BC3" s="6">
        <v>15999999.999981</v>
      </c>
      <c r="BD3" s="6">
        <v>3999999.999998</v>
      </c>
      <c r="BE3" s="7">
        <v>-1.0595459107092e-6</v>
      </c>
      <c r="BF3" s="7">
        <v>2.2239771741443e-6</v>
      </c>
      <c r="BG3" s="7">
        <v>6.3087333976102e-7</v>
      </c>
      <c r="BH3" s="7">
        <v>-1.4189680793533e-8</v>
      </c>
      <c r="BI3" s="6">
        <v>0.52894052794368</v>
      </c>
      <c r="BJ3" s="6">
        <v>0.26447038365068</v>
      </c>
      <c r="BK3" s="6">
        <v>0.48684515581216</v>
      </c>
      <c r="BL3" s="3"/>
      <c r="BM3" s="5"/>
    </row>
    <row r="4" spans="1:65">
      <c r="A4" s="6">
        <v>3.9716411736214</v>
      </c>
      <c r="B4" s="7">
        <v>1.3264095073045e-12</v>
      </c>
      <c r="C4" s="7"/>
      <c r="D4" s="7">
        <v>4.2847775312983e-14</v>
      </c>
      <c r="E4" s="7">
        <v>5.1831620745435e-14</v>
      </c>
      <c r="F4" s="7">
        <v>5.1831620745435e-14</v>
      </c>
      <c r="G4" s="7">
        <v>5.1831620745435e-14</v>
      </c>
      <c r="H4" s="7">
        <v>4.2847775312983e-14</v>
      </c>
      <c r="I4" s="7">
        <v>4.2847775312983e-14</v>
      </c>
      <c r="J4" s="7">
        <v>4.2847775312983e-14</v>
      </c>
      <c r="K4" s="7">
        <v>4.5418330023468e-14</v>
      </c>
      <c r="L4" s="7">
        <v>4.5418330023468e-14</v>
      </c>
      <c r="M4" s="7">
        <v>4.5418330023468e-14</v>
      </c>
      <c r="N4" s="7">
        <v>4.7339211933718e-14</v>
      </c>
      <c r="O4" s="7">
        <v>4.2847775312983e-14</v>
      </c>
      <c r="P4" s="7">
        <v>4.7339211933718e-14</v>
      </c>
      <c r="Q4" s="7">
        <v>4.7339211933718e-14</v>
      </c>
      <c r="R4" s="7">
        <v>5.1831620745435e-14</v>
      </c>
      <c r="S4" s="7">
        <v>5.1831620745435e-14</v>
      </c>
      <c r="T4" s="7">
        <v>5.1831620745435e-14</v>
      </c>
      <c r="U4" s="7">
        <v>4.2847775312983e-14</v>
      </c>
      <c r="V4" s="7">
        <v>4.5418330023468e-14</v>
      </c>
      <c r="W4" s="7">
        <v>4.5418330023468e-14</v>
      </c>
      <c r="X4" s="7">
        <v>4.5418330023468e-14</v>
      </c>
      <c r="Y4" s="7">
        <v>4.7339211933718e-14</v>
      </c>
      <c r="Z4" s="7">
        <v>4.7339211933718e-14</v>
      </c>
      <c r="AA4" s="7">
        <v>4.7339211933718e-14</v>
      </c>
      <c r="AB4" s="6">
        <v>0.99999999999899</v>
      </c>
      <c r="AC4" s="6">
        <v>0.99999999999794</v>
      </c>
      <c r="AD4" s="7">
        <v>2.1718030852947e-5</v>
      </c>
      <c r="AE4" s="7">
        <v>7.1492666518137e-27</v>
      </c>
      <c r="AF4" s="7">
        <v>3.2796171375759e-26</v>
      </c>
      <c r="AG4" s="7">
        <v>5.2111589517048e-26</v>
      </c>
      <c r="AH4" s="7">
        <v>2.4709375171752e-27</v>
      </c>
      <c r="AI4" s="7">
        <v>3.1723755761365e-27</v>
      </c>
      <c r="AJ4" s="7">
        <v>2.4144649404014e-27</v>
      </c>
      <c r="AK4" s="7">
        <v>1.9020785964082e-26</v>
      </c>
      <c r="AL4" s="7">
        <v>1.834870899246e-26</v>
      </c>
      <c r="AM4" s="7">
        <v>-8.5223944247809e-27</v>
      </c>
      <c r="AN4" s="7">
        <v>-6.2868989299229e-27</v>
      </c>
      <c r="AO4" s="7">
        <v>2.4445293687129e-26</v>
      </c>
      <c r="AP4" s="7">
        <v>-3.7251563966154e-27</v>
      </c>
      <c r="AQ4" s="7">
        <v>2.6900473882225e-26</v>
      </c>
      <c r="AR4" s="7">
        <v>-6.2560675814515e-26</v>
      </c>
      <c r="AS4" s="7">
        <v>7.1828656210668e-27</v>
      </c>
      <c r="AT4" s="7">
        <v>1.2474408944942e-26</v>
      </c>
      <c r="AU4" s="7">
        <v>-3.1879188560467e-26</v>
      </c>
      <c r="AV4" s="7">
        <v>-1.2333496675942e-26</v>
      </c>
      <c r="AW4" s="7">
        <v>5.500168225683e-27</v>
      </c>
      <c r="AX4" s="7">
        <v>2.5796019786604e-26</v>
      </c>
      <c r="AY4" s="7">
        <v>-5.0475572675301e-27</v>
      </c>
      <c r="AZ4" s="7">
        <v>-2.0288202627854e-26</v>
      </c>
      <c r="BA4" s="7">
        <v>2.8997001179048e-26</v>
      </c>
      <c r="BB4" s="7">
        <v>-7.5300347659929e-26</v>
      </c>
      <c r="BC4" s="6">
        <v>15999999.998742</v>
      </c>
      <c r="BD4" s="6">
        <v>3999999.9997927</v>
      </c>
      <c r="BE4" s="7">
        <v>-1.0595225416746e-5</v>
      </c>
      <c r="BF4" s="7">
        <v>2.2236968626758e-5</v>
      </c>
      <c r="BG4" s="7">
        <v>6.3089257973985e-6</v>
      </c>
      <c r="BH4" s="7">
        <v>-1.4192438662421e-6</v>
      </c>
      <c r="BI4" s="6">
        <v>5.28939299862</v>
      </c>
      <c r="BJ4" s="6">
        <v>2.6447084651966</v>
      </c>
      <c r="BK4" s="6">
        <v>4.8684002398807</v>
      </c>
      <c r="BL4" s="3"/>
      <c r="BM4" s="5"/>
    </row>
    <row r="5" spans="1:65">
      <c r="A5" s="6">
        <v>39.716411736214</v>
      </c>
      <c r="B5" s="7">
        <v>1.3490679162069e-10</v>
      </c>
      <c r="C5" s="7"/>
      <c r="D5" s="7">
        <v>4.3728322971347e-13</v>
      </c>
      <c r="E5" s="7">
        <v>5.3009475737863e-13</v>
      </c>
      <c r="F5" s="7">
        <v>5.3009475737863e-13</v>
      </c>
      <c r="G5" s="7">
        <v>5.3009475737863e-13</v>
      </c>
      <c r="H5" s="7">
        <v>4.3728322971347e-13</v>
      </c>
      <c r="I5" s="7">
        <v>4.3728322971347e-13</v>
      </c>
      <c r="J5" s="7">
        <v>4.3728322971347e-13</v>
      </c>
      <c r="K5" s="7">
        <v>4.6285308302118e-13</v>
      </c>
      <c r="L5" s="7">
        <v>4.6285308302118e-13</v>
      </c>
      <c r="M5" s="7">
        <v>4.6285308302118e-13</v>
      </c>
      <c r="N5" s="7">
        <v>4.8351525666021e-13</v>
      </c>
      <c r="O5" s="7">
        <v>4.3728322971347e-13</v>
      </c>
      <c r="P5" s="7">
        <v>4.8351525666021e-13</v>
      </c>
      <c r="Q5" s="7">
        <v>4.8351525666021e-13</v>
      </c>
      <c r="R5" s="7">
        <v>5.3009475737863e-13</v>
      </c>
      <c r="S5" s="7">
        <v>5.3009475737863e-13</v>
      </c>
      <c r="T5" s="7">
        <v>5.3009475737863e-13</v>
      </c>
      <c r="U5" s="7">
        <v>4.3728322971347e-13</v>
      </c>
      <c r="V5" s="7">
        <v>4.6285308302118e-13</v>
      </c>
      <c r="W5" s="7">
        <v>4.6285308302118e-13</v>
      </c>
      <c r="X5" s="7">
        <v>4.6285308302118e-13</v>
      </c>
      <c r="Y5" s="7">
        <v>4.8351525666021e-13</v>
      </c>
      <c r="Z5" s="7">
        <v>4.8351525666021e-13</v>
      </c>
      <c r="AA5" s="7">
        <v>4.8351525666021e-13</v>
      </c>
      <c r="AB5" s="6">
        <v>0.99999994646001</v>
      </c>
      <c r="AC5" s="6">
        <v>0.99999982229697</v>
      </c>
      <c r="AD5" s="6">
        <v>0.00021698604739029</v>
      </c>
      <c r="AE5" s="7">
        <v>-1.1553235792907e-20</v>
      </c>
      <c r="AF5" s="7">
        <v>6.8937176785549e-20</v>
      </c>
      <c r="AG5" s="7">
        <v>5.8369313229403e-20</v>
      </c>
      <c r="AH5" s="7">
        <v>8.4958859232291e-21</v>
      </c>
      <c r="AI5" s="7">
        <v>-1.7831054226598e-21</v>
      </c>
      <c r="AJ5" s="7">
        <v>1.6454729772736e-20</v>
      </c>
      <c r="AK5" s="7">
        <v>4.6317206785096e-21</v>
      </c>
      <c r="AL5" s="7">
        <v>1.8905846000487e-20</v>
      </c>
      <c r="AM5" s="7">
        <v>-2.5418800005006e-21</v>
      </c>
      <c r="AN5" s="7">
        <v>-4.811273139175e-22</v>
      </c>
      <c r="AO5" s="7">
        <v>2.2401116446553e-20</v>
      </c>
      <c r="AP5" s="7">
        <v>-6.59526693047e-22</v>
      </c>
      <c r="AQ5" s="7">
        <v>1.2237033838948e-20</v>
      </c>
      <c r="AR5" s="7">
        <v>-8.187958319316e-20</v>
      </c>
      <c r="AS5" s="7">
        <v>-8.6284449490445e-21</v>
      </c>
      <c r="AT5" s="7">
        <v>8.6639030185258e-21</v>
      </c>
      <c r="AU5" s="7">
        <v>-2.186206300171e-20</v>
      </c>
      <c r="AV5" s="7">
        <v>-1.5035810631286e-20</v>
      </c>
      <c r="AW5" s="7">
        <v>-5.2801793033788e-21</v>
      </c>
      <c r="AX5" s="7">
        <v>5.4433428624803e-20</v>
      </c>
      <c r="AY5" s="7">
        <v>1.0027286157838e-20</v>
      </c>
      <c r="AZ5" s="7">
        <v>-3.9296692405267e-20</v>
      </c>
      <c r="BA5" s="7">
        <v>4.1156315980209e-20</v>
      </c>
      <c r="BB5" s="7">
        <v>-1.3725096975702e-19</v>
      </c>
      <c r="BC5" s="6">
        <v>15999999.919676</v>
      </c>
      <c r="BD5" s="6">
        <v>3999999.978947</v>
      </c>
      <c r="BE5" s="6">
        <v>-0.00010592892755002</v>
      </c>
      <c r="BF5" s="6">
        <v>0.00022208992422102</v>
      </c>
      <c r="BG5" s="7">
        <v>6.31083997333e-5</v>
      </c>
      <c r="BH5" s="6">
        <v>-0.00014209929719954</v>
      </c>
      <c r="BI5" s="6">
        <v>52.892700964606</v>
      </c>
      <c r="BJ5" s="6">
        <v>26.447545132123</v>
      </c>
      <c r="BK5" s="6">
        <v>48.678880176233</v>
      </c>
      <c r="BL5" s="3"/>
      <c r="BM5" s="5"/>
    </row>
    <row r="6" spans="1:65">
      <c r="A6" s="6">
        <v>397.16411736214</v>
      </c>
      <c r="B6" s="7">
        <v>4.5268777075686e-7</v>
      </c>
      <c r="C6" s="7"/>
      <c r="D6" s="7">
        <v>2.2673140234381e-12</v>
      </c>
      <c r="E6" s="7">
        <v>2.7732975639863e-12</v>
      </c>
      <c r="F6" s="7">
        <v>2.7732908378555e-12</v>
      </c>
      <c r="G6" s="7">
        <v>2.7732768418604e-12</v>
      </c>
      <c r="H6" s="7">
        <v>2.2672961376703e-12</v>
      </c>
      <c r="I6" s="7">
        <v>2.2673007577851e-12</v>
      </c>
      <c r="J6" s="7">
        <v>2.2672975278009e-12</v>
      </c>
      <c r="K6" s="7">
        <v>2.3839266052249e-12</v>
      </c>
      <c r="L6" s="7">
        <v>2.3839404922019e-12</v>
      </c>
      <c r="M6" s="7">
        <v>2.3839239764945e-12</v>
      </c>
      <c r="N6" s="7">
        <v>2.5155089511391e-12</v>
      </c>
      <c r="O6" s="7">
        <v>2.2672963409952e-12</v>
      </c>
      <c r="P6" s="7">
        <v>2.5155025627575e-12</v>
      </c>
      <c r="Q6" s="7">
        <v>2.515564397479e-12</v>
      </c>
      <c r="R6" s="7">
        <v>2.7732771531492e-12</v>
      </c>
      <c r="S6" s="7">
        <v>2.7732727757398e-12</v>
      </c>
      <c r="T6" s="7">
        <v>2.7732765735818e-12</v>
      </c>
      <c r="U6" s="7">
        <v>2.2672977850393e-12</v>
      </c>
      <c r="V6" s="7">
        <v>2.3839346841234e-12</v>
      </c>
      <c r="W6" s="7">
        <v>2.3839481825793e-12</v>
      </c>
      <c r="X6" s="7">
        <v>2.3839319462555e-12</v>
      </c>
      <c r="Y6" s="7">
        <v>2.5155084800066e-12</v>
      </c>
      <c r="Z6" s="7">
        <v>2.5155693900106e-12</v>
      </c>
      <c r="AA6" s="7">
        <v>2.5155849653329e-12</v>
      </c>
      <c r="AB6" s="6">
        <v>0.39504736075572</v>
      </c>
      <c r="AC6" s="6">
        <v>0.20893613746248</v>
      </c>
      <c r="AD6" s="6">
        <v>0.00081720484669624</v>
      </c>
      <c r="AE6" s="7">
        <v>-3.505746385051e-11</v>
      </c>
      <c r="AF6" s="7">
        <v>1.9399995167678e-10</v>
      </c>
      <c r="AG6" s="7">
        <v>1.190463070081e-10</v>
      </c>
      <c r="AH6" s="7">
        <v>1.6380065822194e-12</v>
      </c>
      <c r="AI6" s="7">
        <v>-3.3535509706903e-12</v>
      </c>
      <c r="AJ6" s="7">
        <v>3.1109847641147e-11</v>
      </c>
      <c r="AK6" s="7">
        <v>-3.4641475023152e-13</v>
      </c>
      <c r="AL6" s="7">
        <v>2.1276012296887e-11</v>
      </c>
      <c r="AM6" s="7">
        <v>1.4589117022483e-11</v>
      </c>
      <c r="AN6" s="7">
        <v>-9.3339924835421e-12</v>
      </c>
      <c r="AO6" s="7">
        <v>3.4092050382649e-11</v>
      </c>
      <c r="AP6" s="7">
        <v>5.9973175211733e-13</v>
      </c>
      <c r="AQ6" s="7">
        <v>1.0281340304347e-11</v>
      </c>
      <c r="AR6" s="7">
        <v>-2.7912374335838e-10</v>
      </c>
      <c r="AS6" s="7">
        <v>-2.11130306247e-11</v>
      </c>
      <c r="AT6" s="7">
        <v>6.676703757567e-12</v>
      </c>
      <c r="AU6" s="7">
        <v>-2.9374825340209e-11</v>
      </c>
      <c r="AV6" s="7">
        <v>-2.1086003575535e-11</v>
      </c>
      <c r="AW6" s="7">
        <v>-1.8881395115588e-11</v>
      </c>
      <c r="AX6" s="7">
        <v>1.3483862980233e-10</v>
      </c>
      <c r="AY6" s="7">
        <v>2.6686017017005e-11</v>
      </c>
      <c r="AZ6" s="7">
        <v>-7.3384547575956e-11</v>
      </c>
      <c r="BA6" s="7">
        <v>2.1865333324568e-10</v>
      </c>
      <c r="BB6" s="7">
        <v>-5.8196135231429e-10</v>
      </c>
      <c r="BC6" s="6">
        <v>16000199.879753</v>
      </c>
      <c r="BD6" s="6">
        <v>4000043.3845691</v>
      </c>
      <c r="BE6" s="6">
        <v>-0.00040012104194938</v>
      </c>
      <c r="BF6" s="6">
        <v>0.00083529420042475</v>
      </c>
      <c r="BG6" s="6">
        <v>0.0002385651997589</v>
      </c>
      <c r="BH6" s="6">
        <v>-0.0020051850192067</v>
      </c>
      <c r="BI6" s="6">
        <v>199.74982970543</v>
      </c>
      <c r="BJ6" s="6">
        <v>99.891739115247</v>
      </c>
      <c r="BK6" s="6">
        <v>183.78480247178</v>
      </c>
      <c r="BL6" s="3"/>
      <c r="BM6" s="5"/>
    </row>
    <row r="7" spans="1:65">
      <c r="A7" s="6">
        <v>3971.6411736214</v>
      </c>
      <c r="B7" s="7">
        <v>5.7176148508836e-6</v>
      </c>
      <c r="C7" s="7"/>
      <c r="D7" s="7">
        <v>2.2683607844102e-12</v>
      </c>
      <c r="E7" s="7">
        <v>2.7727722735424e-12</v>
      </c>
      <c r="F7" s="7">
        <v>2.77268923878e-12</v>
      </c>
      <c r="G7" s="7">
        <v>2.7724400250047e-12</v>
      </c>
      <c r="H7" s="7">
        <v>2.2680389801676e-12</v>
      </c>
      <c r="I7" s="7">
        <v>2.2681217302453e-12</v>
      </c>
      <c r="J7" s="7">
        <v>2.2680643190901e-12</v>
      </c>
      <c r="K7" s="7">
        <v>2.383225467059e-12</v>
      </c>
      <c r="L7" s="7">
        <v>2.3834636489872e-12</v>
      </c>
      <c r="M7" s="7">
        <v>2.3831783955989e-12</v>
      </c>
      <c r="N7" s="7">
        <v>2.5161782329473e-12</v>
      </c>
      <c r="O7" s="7">
        <v>2.2680425474536e-12</v>
      </c>
      <c r="P7" s="7">
        <v>2.5160804885729e-12</v>
      </c>
      <c r="Q7" s="7">
        <v>2.516871689163e-12</v>
      </c>
      <c r="R7" s="7">
        <v>2.7724398526146e-12</v>
      </c>
      <c r="S7" s="7">
        <v>2.7723655230045e-12</v>
      </c>
      <c r="T7" s="7">
        <v>2.7724346212711e-12</v>
      </c>
      <c r="U7" s="7">
        <v>2.2680700476164e-12</v>
      </c>
      <c r="V7" s="7">
        <v>2.3833628528214e-12</v>
      </c>
      <c r="W7" s="7">
        <v>2.3835867026339e-12</v>
      </c>
      <c r="X7" s="7">
        <v>2.3833239406841e-12</v>
      </c>
      <c r="Y7" s="7">
        <v>2.5161871882679e-12</v>
      </c>
      <c r="Z7" s="7">
        <v>2.5170797167631e-12</v>
      </c>
      <c r="AA7" s="7">
        <v>2.5172061131523e-12</v>
      </c>
      <c r="AB7" s="6">
        <v>0.38883440387488</v>
      </c>
      <c r="AC7" s="6">
        <v>0.20428004125684</v>
      </c>
      <c r="AD7" s="6">
        <v>0.00082238384022698</v>
      </c>
      <c r="AE7" s="7">
        <v>-2.6606405243368e-11</v>
      </c>
      <c r="AF7" s="7">
        <v>1.4926977583891e-10</v>
      </c>
      <c r="AG7" s="7">
        <v>1.0697734409412e-10</v>
      </c>
      <c r="AH7" s="7">
        <v>3.8451949373346e-12</v>
      </c>
      <c r="AI7" s="7">
        <v>-3.3242177083109e-12</v>
      </c>
      <c r="AJ7" s="7">
        <v>2.6859086378413e-11</v>
      </c>
      <c r="AK7" s="7">
        <v>-5.5617226677563e-13</v>
      </c>
      <c r="AL7" s="7">
        <v>1.8533192729375e-11</v>
      </c>
      <c r="AM7" s="7">
        <v>1.2726067302204e-11</v>
      </c>
      <c r="AN7" s="7">
        <v>-7.6193678779418e-12</v>
      </c>
      <c r="AO7" s="7">
        <v>2.2086432527012e-11</v>
      </c>
      <c r="AP7" s="7">
        <v>3.5234404528331e-13</v>
      </c>
      <c r="AQ7" s="7">
        <v>6.023591670229e-12</v>
      </c>
      <c r="AR7" s="7">
        <v>-1.1851535829563e-10</v>
      </c>
      <c r="AS7" s="7">
        <v>-1.4521003174259e-11</v>
      </c>
      <c r="AT7" s="7">
        <v>5.0854930352959e-12</v>
      </c>
      <c r="AU7" s="7">
        <v>-2.6160207150927e-11</v>
      </c>
      <c r="AV7" s="7">
        <v>-2.1103861434448e-11</v>
      </c>
      <c r="AW7" s="7">
        <v>-1.4312221762419e-11</v>
      </c>
      <c r="AX7" s="7">
        <v>1.0544749798741e-10</v>
      </c>
      <c r="AY7" s="7">
        <v>2.3749058418169e-11</v>
      </c>
      <c r="AZ7" s="7">
        <v>-6.3195551328715e-11</v>
      </c>
      <c r="BA7" s="7">
        <v>1.2018471749456e-10</v>
      </c>
      <c r="BB7" s="7">
        <v>-3.0445421667426e-10</v>
      </c>
      <c r="BC7" s="6">
        <v>16002481.384957</v>
      </c>
      <c r="BD7" s="6">
        <v>4000553.7362198</v>
      </c>
      <c r="BE7" s="6">
        <v>-0.00040437399736883</v>
      </c>
      <c r="BF7" s="6">
        <v>0.00083964842373504</v>
      </c>
      <c r="BG7" s="6">
        <v>0.00023867239775542</v>
      </c>
      <c r="BH7" s="6">
        <v>-0.0021745863826281</v>
      </c>
      <c r="BI7" s="6">
        <v>199.74959768718</v>
      </c>
      <c r="BJ7" s="6">
        <v>99.891678830904</v>
      </c>
      <c r="BK7" s="6">
        <v>183.80809608256</v>
      </c>
      <c r="BL7" s="3"/>
      <c r="BM7" s="5"/>
    </row>
    <row r="8" spans="1:65">
      <c r="A8" s="6">
        <v>39716.411736214</v>
      </c>
      <c r="B8" s="7">
        <v>3.5374998356745e-5</v>
      </c>
      <c r="C8" s="7"/>
      <c r="D8" s="7">
        <v>2.2728119049557e-12</v>
      </c>
      <c r="E8" s="7">
        <v>2.7724154354207e-12</v>
      </c>
      <c r="F8" s="7">
        <v>2.772120379038e-12</v>
      </c>
      <c r="G8" s="7">
        <v>2.7704760396104e-12</v>
      </c>
      <c r="H8" s="7">
        <v>2.2703096470908e-12</v>
      </c>
      <c r="I8" s="7">
        <v>2.2709512133171e-12</v>
      </c>
      <c r="J8" s="7">
        <v>2.270523312595e-12</v>
      </c>
      <c r="K8" s="7">
        <v>2.3819535212616e-12</v>
      </c>
      <c r="L8" s="7">
        <v>2.383509490489e-12</v>
      </c>
      <c r="M8" s="7">
        <v>2.3815302067293e-12</v>
      </c>
      <c r="N8" s="7">
        <v>2.5178142249349e-12</v>
      </c>
      <c r="O8" s="7">
        <v>2.2703342069615e-12</v>
      </c>
      <c r="P8" s="7">
        <v>2.5172398234034e-12</v>
      </c>
      <c r="Q8" s="7">
        <v>2.5211957634796e-12</v>
      </c>
      <c r="R8" s="7">
        <v>2.7702593538589e-12</v>
      </c>
      <c r="S8" s="7">
        <v>2.7697295659216e-12</v>
      </c>
      <c r="T8" s="7">
        <v>2.7702711585618e-12</v>
      </c>
      <c r="U8" s="7">
        <v>2.2706228524662e-12</v>
      </c>
      <c r="V8" s="7">
        <v>2.3828357975848e-12</v>
      </c>
      <c r="W8" s="7">
        <v>2.3843517706906e-12</v>
      </c>
      <c r="X8" s="7">
        <v>2.3827403569657e-12</v>
      </c>
      <c r="Y8" s="7">
        <v>2.5180515403365e-12</v>
      </c>
      <c r="Z8" s="7">
        <v>2.5224823827691e-12</v>
      </c>
      <c r="AA8" s="7">
        <v>2.5236763102783e-12</v>
      </c>
      <c r="AB8" s="6">
        <v>0.36528927467812</v>
      </c>
      <c r="AC8" s="6">
        <v>0.18237294182823</v>
      </c>
      <c r="AD8" s="6">
        <v>0.00085062359246217</v>
      </c>
      <c r="AE8" s="7">
        <v>-4.5179108482401e-12</v>
      </c>
      <c r="AF8" s="7">
        <v>7.2319498893295e-11</v>
      </c>
      <c r="AG8" s="7">
        <v>5.8862500272573e-11</v>
      </c>
      <c r="AH8" s="7">
        <v>1.0031434346318e-11</v>
      </c>
      <c r="AI8" s="7">
        <v>-2.4918870251275e-12</v>
      </c>
      <c r="AJ8" s="7">
        <v>1.3747072172791e-11</v>
      </c>
      <c r="AK8" s="7">
        <v>-4.5348993561247e-13</v>
      </c>
      <c r="AL8" s="7">
        <v>1.2610560938115e-11</v>
      </c>
      <c r="AM8" s="7">
        <v>6.8074365586878e-12</v>
      </c>
      <c r="AN8" s="7">
        <v>-2.3431410183493e-12</v>
      </c>
      <c r="AO8" s="7">
        <v>7.0528510178218e-12</v>
      </c>
      <c r="AP8" s="7">
        <v>-9.1935645424091e-13</v>
      </c>
      <c r="AQ8" s="7">
        <v>3.2777603115718e-12</v>
      </c>
      <c r="AR8" s="7">
        <v>-4.7043165905042e-11</v>
      </c>
      <c r="AS8" s="7">
        <v>-4.2250786845693e-12</v>
      </c>
      <c r="AT8" s="7">
        <v>2.035532352961e-12</v>
      </c>
      <c r="AU8" s="7">
        <v>-1.3125975201516e-11</v>
      </c>
      <c r="AV8" s="7">
        <v>-1.8888784899174e-11</v>
      </c>
      <c r="AW8" s="7">
        <v>-4.2725293173481e-12</v>
      </c>
      <c r="AX8" s="7">
        <v>6.1413383621335e-11</v>
      </c>
      <c r="AY8" s="7">
        <v>1.5157581801255e-11</v>
      </c>
      <c r="AZ8" s="7">
        <v>-3.5483807720431e-11</v>
      </c>
      <c r="BA8" s="7">
        <v>3.1471095559149e-11</v>
      </c>
      <c r="BB8" s="7">
        <v>-1.2014818290134e-10</v>
      </c>
      <c r="BC8" s="6">
        <v>16014355.014959</v>
      </c>
      <c r="BD8" s="6">
        <v>4003391.9712242</v>
      </c>
      <c r="BE8" s="6">
        <v>-0.00042750123691219</v>
      </c>
      <c r="BF8" s="6">
        <v>0.00086401626513187</v>
      </c>
      <c r="BG8" s="6">
        <v>0.00023953616973235</v>
      </c>
      <c r="BH8" s="6">
        <v>-0.0028107797816417</v>
      </c>
      <c r="BI8" s="6">
        <v>199.74796353489</v>
      </c>
      <c r="BJ8" s="6">
        <v>99.891496026672</v>
      </c>
      <c r="BK8" s="6">
        <v>183.96751032828</v>
      </c>
      <c r="BL8" s="3"/>
      <c r="BM8" s="5"/>
    </row>
    <row r="9" spans="1:65">
      <c r="A9" s="6">
        <v>397164.11736214</v>
      </c>
      <c r="B9" s="6">
        <v>0.00016867572893532</v>
      </c>
      <c r="C9" s="6"/>
      <c r="D9" s="7">
        <v>2.2904849956692e-12</v>
      </c>
      <c r="E9" s="7">
        <v>2.7787188542045e-12</v>
      </c>
      <c r="F9" s="7">
        <v>2.7779043810561e-12</v>
      </c>
      <c r="G9" s="7">
        <v>2.7740280186969e-12</v>
      </c>
      <c r="H9" s="7">
        <v>2.2788987662957e-12</v>
      </c>
      <c r="I9" s="7">
        <v>2.2817813358558e-12</v>
      </c>
      <c r="J9" s="7">
        <v>2.2796393693723e-12</v>
      </c>
      <c r="K9" s="7">
        <v>2.3864020637196e-12</v>
      </c>
      <c r="L9" s="7">
        <v>2.3936440611966e-12</v>
      </c>
      <c r="M9" s="7">
        <v>2.3836150142618e-12</v>
      </c>
      <c r="N9" s="7">
        <v>2.5225133392556e-12</v>
      </c>
      <c r="O9" s="7">
        <v>2.2788827911088e-12</v>
      </c>
      <c r="P9" s="7">
        <v>2.5189611614841e-12</v>
      </c>
      <c r="Q9" s="7">
        <v>2.5332717208342e-12</v>
      </c>
      <c r="R9" s="7">
        <v>2.7703059703841e-12</v>
      </c>
      <c r="S9" s="7">
        <v>2.7678545792474e-12</v>
      </c>
      <c r="T9" s="7">
        <v>2.7707901238511e-12</v>
      </c>
      <c r="U9" s="7">
        <v>2.2811919296793e-12</v>
      </c>
      <c r="V9" s="7">
        <v>2.3900732394895e-12</v>
      </c>
      <c r="W9" s="7">
        <v>2.3982691259828e-12</v>
      </c>
      <c r="X9" s="7">
        <v>2.3907917050329e-12</v>
      </c>
      <c r="Y9" s="7">
        <v>2.5235205866119e-12</v>
      </c>
      <c r="Z9" s="7">
        <v>2.5386160602509e-12</v>
      </c>
      <c r="AA9" s="7">
        <v>2.5449808977884e-12</v>
      </c>
      <c r="AB9" s="6">
        <v>0.36279436846762</v>
      </c>
      <c r="AC9" s="6">
        <v>0.1406276979369</v>
      </c>
      <c r="AD9" s="6">
        <v>0.00097400494394652</v>
      </c>
      <c r="AE9" s="7">
        <v>2.3382704818806e-13</v>
      </c>
      <c r="AF9" s="7">
        <v>2.0730374304865e-11</v>
      </c>
      <c r="AG9" s="7">
        <v>1.9060744769191e-11</v>
      </c>
      <c r="AH9" s="7">
        <v>1.1171522335602e-11</v>
      </c>
      <c r="AI9" s="7">
        <v>-2.1222122630538e-13</v>
      </c>
      <c r="AJ9" s="7">
        <v>3.8208452660035e-12</v>
      </c>
      <c r="AK9" s="7">
        <v>9.7849094165811e-13</v>
      </c>
      <c r="AL9" s="7">
        <v>4.3803011874254e-12</v>
      </c>
      <c r="AM9" s="7">
        <v>1.1306759336978e-12</v>
      </c>
      <c r="AN9" s="7">
        <v>-9.3113498766841e-13</v>
      </c>
      <c r="AO9" s="7">
        <v>1.6202085665715e-12</v>
      </c>
      <c r="AP9" s="7">
        <v>-3.834633925779e-12</v>
      </c>
      <c r="AQ9" s="7">
        <v>2.2786206952304e-12</v>
      </c>
      <c r="AR9" s="7">
        <v>-1.458713353969e-11</v>
      </c>
      <c r="AS9" s="7">
        <v>1.4908440368891e-12</v>
      </c>
      <c r="AT9" s="7">
        <v>3.2468622956863e-13</v>
      </c>
      <c r="AU9" s="7">
        <v>-1.5986626682209e-12</v>
      </c>
      <c r="AV9" s="7">
        <v>-1.1488279453178e-11</v>
      </c>
      <c r="AW9" s="7">
        <v>-4.0724341862111e-12</v>
      </c>
      <c r="AX9" s="7">
        <v>2.4422067504988e-11</v>
      </c>
      <c r="AY9" s="7">
        <v>9.0779599362156e-12</v>
      </c>
      <c r="AZ9" s="7">
        <v>-1.6949604364333e-11</v>
      </c>
      <c r="BA9" s="7">
        <v>4.0211292636193e-12</v>
      </c>
      <c r="BB9" s="7">
        <v>-3.6418415190172e-11</v>
      </c>
      <c r="BC9" s="6">
        <v>16059218.533371</v>
      </c>
      <c r="BD9" s="6">
        <v>4015313.0751657</v>
      </c>
      <c r="BE9" s="6">
        <v>-0.00052537467124513</v>
      </c>
      <c r="BF9" s="6">
        <v>0.00097454757136109</v>
      </c>
      <c r="BG9" s="6">
        <v>0.000248159429073</v>
      </c>
      <c r="BH9" s="6">
        <v>-0.0049884339726797</v>
      </c>
      <c r="BI9" s="6">
        <v>199.74528897566</v>
      </c>
      <c r="BJ9" s="6">
        <v>99.891966049246</v>
      </c>
      <c r="BK9" s="6">
        <v>184.63053494518</v>
      </c>
      <c r="BL9" s="3"/>
      <c r="BM9" s="5"/>
    </row>
    <row r="10" spans="1:65">
      <c r="A10" s="6">
        <v>44562.546906687</v>
      </c>
      <c r="B10" s="7">
        <v>3.8289098792647e-5</v>
      </c>
      <c r="C10" s="7"/>
      <c r="D10" s="7">
        <v>2.2741852876345e-12</v>
      </c>
      <c r="E10" s="7">
        <v>2.7725257699703e-12</v>
      </c>
      <c r="F10" s="7">
        <v>2.772165017024e-12</v>
      </c>
      <c r="G10" s="7">
        <v>2.7701752427174e-12</v>
      </c>
      <c r="H10" s="7">
        <v>2.2709732366424e-12</v>
      </c>
      <c r="I10" s="7">
        <v>2.2717980384778e-12</v>
      </c>
      <c r="J10" s="7">
        <v>2.2712515493631e-12</v>
      </c>
      <c r="K10" s="7">
        <v>2.3819660845087e-12</v>
      </c>
      <c r="L10" s="7">
        <v>2.3839205157657e-12</v>
      </c>
      <c r="M10" s="7">
        <v>2.3813985977503e-12</v>
      </c>
      <c r="N10" s="7">
        <v>2.5181611257559e-12</v>
      </c>
      <c r="O10" s="7">
        <v>2.2710027478334e-12</v>
      </c>
      <c r="P10" s="7">
        <v>2.5174302870184e-12</v>
      </c>
      <c r="Q10" s="7">
        <v>2.5222584055538e-12</v>
      </c>
      <c r="R10" s="7">
        <v>2.7698181056542e-12</v>
      </c>
      <c r="S10" s="7">
        <v>2.7691427137339e-12</v>
      </c>
      <c r="T10" s="7">
        <v>2.7698391300278e-12</v>
      </c>
      <c r="U10" s="7">
        <v>2.2714025208967e-12</v>
      </c>
      <c r="V10" s="7">
        <v>2.3830645435206e-12</v>
      </c>
      <c r="W10" s="7">
        <v>2.3850135278888e-12</v>
      </c>
      <c r="X10" s="7">
        <v>2.3829838890128e-12</v>
      </c>
      <c r="Y10" s="7">
        <v>2.5184756332492e-12</v>
      </c>
      <c r="Z10" s="7">
        <v>2.5238355570623e-12</v>
      </c>
      <c r="AA10" s="7">
        <v>2.525441666656e-12</v>
      </c>
      <c r="AB10" s="6">
        <v>0.36109246631521</v>
      </c>
      <c r="AC10" s="6">
        <v>0.1769398292731</v>
      </c>
      <c r="AD10" s="6">
        <v>0.0008533443537249</v>
      </c>
      <c r="AE10" s="7">
        <v>-3.0298902035027e-12</v>
      </c>
      <c r="AF10" s="7">
        <v>6.2065668665373e-11</v>
      </c>
      <c r="AG10" s="7">
        <v>5.1199942362771e-11</v>
      </c>
      <c r="AH10" s="7">
        <v>1.0965147965323e-11</v>
      </c>
      <c r="AI10" s="7">
        <v>-2.2495303795593e-12</v>
      </c>
      <c r="AJ10" s="7">
        <v>1.200428475249e-11</v>
      </c>
      <c r="AK10" s="7">
        <v>-4.0367966331505e-13</v>
      </c>
      <c r="AL10" s="7">
        <v>1.1547020025247e-11</v>
      </c>
      <c r="AM10" s="7">
        <v>5.5354282211603e-12</v>
      </c>
      <c r="AN10" s="7">
        <v>-1.8423630126237e-12</v>
      </c>
      <c r="AO10" s="7">
        <v>5.8143575915016e-12</v>
      </c>
      <c r="AP10" s="7">
        <v>-1.269828493733e-12</v>
      </c>
      <c r="AQ10" s="7">
        <v>3.1413325401635e-12</v>
      </c>
      <c r="AR10" s="7">
        <v>-4.0954326989629e-11</v>
      </c>
      <c r="AS10" s="7">
        <v>-2.9385471843475e-12</v>
      </c>
      <c r="AT10" s="7">
        <v>1.619920673581e-12</v>
      </c>
      <c r="AU10" s="7">
        <v>-1.0919242864944e-11</v>
      </c>
      <c r="AV10" s="7">
        <v>-1.8143104074867e-11</v>
      </c>
      <c r="AW10" s="7">
        <v>-3.4899158335544e-12</v>
      </c>
      <c r="AX10" s="7">
        <v>5.5860599083191e-11</v>
      </c>
      <c r="AY10" s="7">
        <v>1.3785455612353e-11</v>
      </c>
      <c r="AZ10" s="7">
        <v>-3.1886974338096e-11</v>
      </c>
      <c r="BA10" s="7">
        <v>2.5075570878277e-11</v>
      </c>
      <c r="BB10" s="7">
        <v>-1.0277765943193e-10</v>
      </c>
      <c r="BC10" s="6">
        <v>16015451.534707</v>
      </c>
      <c r="BD10" s="6">
        <v>4003665.6541753</v>
      </c>
      <c r="BE10" s="6">
        <v>-0.00042971393270272</v>
      </c>
      <c r="BF10" s="6">
        <v>0.00086640676523309</v>
      </c>
      <c r="BG10" s="6">
        <v>0.00023964550733229</v>
      </c>
      <c r="BH10" s="6">
        <v>-0.002311404590628</v>
      </c>
      <c r="BI10" s="6">
        <v>199.74778866374</v>
      </c>
      <c r="BJ10" s="6">
        <v>99.891809771935</v>
      </c>
      <c r="BK10" s="6">
        <v>183.98262101704</v>
      </c>
      <c r="BL10" s="3"/>
      <c r="BM10" s="5"/>
    </row>
    <row r="11" spans="1:65">
      <c r="A11" s="6">
        <v>50000</v>
      </c>
      <c r="B11" s="7">
        <v>4.1436181715565e-5</v>
      </c>
      <c r="C11" s="7"/>
      <c r="D11" s="7">
        <v>2.2746990289404e-12</v>
      </c>
      <c r="E11" s="7">
        <v>2.7726049965601e-12</v>
      </c>
      <c r="F11" s="7">
        <v>2.77221959816e-12</v>
      </c>
      <c r="G11" s="7">
        <v>2.7701119620149e-12</v>
      </c>
      <c r="H11" s="7">
        <v>2.271214526535e-12</v>
      </c>
      <c r="I11" s="7">
        <v>2.2721094944719e-12</v>
      </c>
      <c r="J11" s="7">
        <v>2.2715174402826e-12</v>
      </c>
      <c r="K11" s="7">
        <v>2.3820041478688e-12</v>
      </c>
      <c r="L11" s="7">
        <v>2.3841122541741e-12</v>
      </c>
      <c r="M11" s="7">
        <v>2.3813781942011e-12</v>
      </c>
      <c r="N11" s="7">
        <v>2.5182994068135e-12</v>
      </c>
      <c r="O11" s="7">
        <v>2.2712454415967e-12</v>
      </c>
      <c r="P11" s="7">
        <v>2.5175050675054e-12</v>
      </c>
      <c r="Q11" s="7">
        <v>2.5226597159133e-12</v>
      </c>
      <c r="R11" s="7">
        <v>2.7696902989885e-12</v>
      </c>
      <c r="S11" s="7">
        <v>2.7689590343411e-12</v>
      </c>
      <c r="T11" s="7">
        <v>2.7697158876664e-12</v>
      </c>
      <c r="U11" s="7">
        <v>2.2716919416854e-12</v>
      </c>
      <c r="V11" s="7">
        <v>2.3831839846265e-12</v>
      </c>
      <c r="W11" s="7">
        <v>2.385305750739e-12</v>
      </c>
      <c r="X11" s="7">
        <v>2.3831128924716e-12</v>
      </c>
      <c r="Y11" s="7">
        <v>2.5186423350053e-12</v>
      </c>
      <c r="Z11" s="7">
        <v>2.5243465964043e-12</v>
      </c>
      <c r="AA11" s="7">
        <v>2.5261137173047e-12</v>
      </c>
      <c r="AB11" s="6">
        <v>0.35982469597124</v>
      </c>
      <c r="AC11" s="6">
        <v>0.17500933256536</v>
      </c>
      <c r="AD11" s="6">
        <v>0.00085628135359511</v>
      </c>
      <c r="AE11" s="7">
        <v>-2.6986345970769e-12</v>
      </c>
      <c r="AF11" s="7">
        <v>5.8817902889698e-11</v>
      </c>
      <c r="AG11" s="7">
        <v>4.8789340678224e-11</v>
      </c>
      <c r="AH11" s="7">
        <v>1.1218640276513e-11</v>
      </c>
      <c r="AI11" s="7">
        <v>-2.162151429244e-12</v>
      </c>
      <c r="AJ11" s="7">
        <v>1.145549291362e-11</v>
      </c>
      <c r="AK11" s="7">
        <v>-3.7422444350129e-13</v>
      </c>
      <c r="AL11" s="7">
        <v>1.1176782204446e-11</v>
      </c>
      <c r="AM11" s="7">
        <v>5.1311015215413e-12</v>
      </c>
      <c r="AN11" s="7">
        <v>-1.7116578224818e-12</v>
      </c>
      <c r="AO11" s="7">
        <v>5.4656171510261e-12</v>
      </c>
      <c r="AP11" s="7">
        <v>-1.395534087788e-12</v>
      </c>
      <c r="AQ11" s="7">
        <v>3.1041615566222e-12</v>
      </c>
      <c r="AR11" s="7">
        <v>-3.9037729008808e-11</v>
      </c>
      <c r="AS11" s="7">
        <v>-2.5331680070644e-12</v>
      </c>
      <c r="AT11" s="7">
        <v>1.4958439700911e-12</v>
      </c>
      <c r="AU11" s="7">
        <v>-1.0214359747399e-11</v>
      </c>
      <c r="AV11" s="7">
        <v>-1.7857733613011e-11</v>
      </c>
      <c r="AW11" s="7">
        <v>-3.3160341619936e-12</v>
      </c>
      <c r="AX11" s="7">
        <v>5.4031988396083e-11</v>
      </c>
      <c r="AY11" s="7">
        <v>1.3366061796119e-11</v>
      </c>
      <c r="AZ11" s="7">
        <v>-3.0786155708973e-11</v>
      </c>
      <c r="BA11" s="7">
        <v>2.3210259369642e-11</v>
      </c>
      <c r="BB11" s="7">
        <v>-9.7555107480084e-11</v>
      </c>
      <c r="BC11" s="6">
        <v>16016626.135247</v>
      </c>
      <c r="BD11" s="6">
        <v>4003960.3034145</v>
      </c>
      <c r="BE11" s="6">
        <v>-0.00043210126547943</v>
      </c>
      <c r="BF11" s="6">
        <v>0.00086898962809508</v>
      </c>
      <c r="BG11" s="6">
        <v>0.00023977185307899</v>
      </c>
      <c r="BH11" s="6">
        <v>-0.0023323936507966</v>
      </c>
      <c r="BI11" s="6">
        <v>199.74763999956</v>
      </c>
      <c r="BJ11" s="6">
        <v>99.891815817583</v>
      </c>
      <c r="BK11" s="6">
        <v>183.99939570256</v>
      </c>
      <c r="BL11" s="3"/>
      <c r="BM11" s="5"/>
    </row>
    <row r="12" spans="1:65">
      <c r="A12" s="6">
        <v>56100.922715098</v>
      </c>
      <c r="B12" s="7">
        <v>4.4833228460144e-5</v>
      </c>
      <c r="C12" s="7"/>
      <c r="D12" s="7">
        <v>2.2752505562773e-12</v>
      </c>
      <c r="E12" s="7">
        <v>2.772696977059e-12</v>
      </c>
      <c r="F12" s="7">
        <v>2.7722858703617e-12</v>
      </c>
      <c r="G12" s="7">
        <v>2.7700578977494e-12</v>
      </c>
      <c r="H12" s="7">
        <v>2.2714738952625e-12</v>
      </c>
      <c r="I12" s="7">
        <v>2.2724438665338e-12</v>
      </c>
      <c r="J12" s="7">
        <v>2.2718029272564e-12</v>
      </c>
      <c r="K12" s="7">
        <v>2.382132622803e-12</v>
      </c>
      <c r="L12" s="7">
        <v>2.3844063950165e-12</v>
      </c>
      <c r="M12" s="7">
        <v>2.3814426199687e-12</v>
      </c>
      <c r="N12" s="7">
        <v>2.5184460625556e-12</v>
      </c>
      <c r="O12" s="7">
        <v>2.2715060562491e-12</v>
      </c>
      <c r="P12" s="7">
        <v>2.5175817842507e-12</v>
      </c>
      <c r="Q12" s="7">
        <v>2.5230838213423e-12</v>
      </c>
      <c r="R12" s="7">
        <v>2.7695625649577e-12</v>
      </c>
      <c r="S12" s="7">
        <v>2.7687713862726e-12</v>
      </c>
      <c r="T12" s="7">
        <v>2.7695936670848e-12</v>
      </c>
      <c r="U12" s="7">
        <v>2.2720043598083e-12</v>
      </c>
      <c r="V12" s="7">
        <v>2.3833991961636e-12</v>
      </c>
      <c r="W12" s="7">
        <v>2.3857093493949e-12</v>
      </c>
      <c r="X12" s="7">
        <v>2.3833400632227e-12</v>
      </c>
      <c r="Y12" s="7">
        <v>2.51881894124e-12</v>
      </c>
      <c r="Z12" s="7">
        <v>2.5248882213923e-12</v>
      </c>
      <c r="AA12" s="7">
        <v>2.5268287025113e-12</v>
      </c>
      <c r="AB12" s="6">
        <v>0.35861834418835</v>
      </c>
      <c r="AC12" s="6">
        <v>0.1730142230494</v>
      </c>
      <c r="AD12" s="6">
        <v>0.0008594466543894</v>
      </c>
      <c r="AE12" s="7">
        <v>-2.4164233105176e-12</v>
      </c>
      <c r="AF12" s="7">
        <v>5.5632901446303e-11</v>
      </c>
      <c r="AG12" s="7">
        <v>4.6434723316316e-11</v>
      </c>
      <c r="AH12" s="7">
        <v>1.144534529213e-11</v>
      </c>
      <c r="AI12" s="7">
        <v>-2.0714692832279e-12</v>
      </c>
      <c r="AJ12" s="7">
        <v>1.0916145420988e-11</v>
      </c>
      <c r="AK12" s="7">
        <v>-3.3797207305503e-13</v>
      </c>
      <c r="AL12" s="7">
        <v>1.0798426002843e-11</v>
      </c>
      <c r="AM12" s="7">
        <v>4.7400976699346e-12</v>
      </c>
      <c r="AN12" s="7">
        <v>-1.5941725079612e-12</v>
      </c>
      <c r="AO12" s="7">
        <v>5.139294274137e-12</v>
      </c>
      <c r="AP12" s="7">
        <v>-1.5260610754332e-12</v>
      </c>
      <c r="AQ12" s="7">
        <v>3.0696161415304e-12</v>
      </c>
      <c r="AR12" s="7">
        <v>-3.715385271307e-11</v>
      </c>
      <c r="AS12" s="7">
        <v>-2.136573225831e-12</v>
      </c>
      <c r="AT12" s="7">
        <v>1.3772272995277e-12</v>
      </c>
      <c r="AU12" s="7">
        <v>-9.5218617147e-12</v>
      </c>
      <c r="AV12" s="7">
        <v>-1.7559418345604e-11</v>
      </c>
      <c r="AW12" s="7">
        <v>-3.1756945135053e-12</v>
      </c>
      <c r="AX12" s="7">
        <v>5.2199393690459e-11</v>
      </c>
      <c r="AY12" s="7">
        <v>1.2962664286335e-11</v>
      </c>
      <c r="AZ12" s="7">
        <v>-2.971616630631e-11</v>
      </c>
      <c r="BA12" s="7">
        <v>2.1438823820433e-11</v>
      </c>
      <c r="BB12" s="7">
        <v>-9.2511251288049e-11</v>
      </c>
      <c r="BC12" s="6">
        <v>16017883.382758</v>
      </c>
      <c r="BD12" s="6">
        <v>4004277.3093464</v>
      </c>
      <c r="BE12" s="6">
        <v>-0.00043467070385992</v>
      </c>
      <c r="BF12" s="6">
        <v>0.00087177795755301</v>
      </c>
      <c r="BG12" s="6">
        <v>0.00023991429424561</v>
      </c>
      <c r="BH12" s="6">
        <v>-0.0023546351015745</v>
      </c>
      <c r="BI12" s="6">
        <v>199.74748247511</v>
      </c>
      <c r="BJ12" s="6">
        <v>99.891822292215</v>
      </c>
      <c r="BK12" s="6">
        <v>184.01741594284</v>
      </c>
      <c r="BL12" s="3"/>
      <c r="BM12" s="5"/>
    </row>
    <row r="13" spans="1:65">
      <c r="A13" s="6">
        <v>62946.270589709</v>
      </c>
      <c r="B13" s="7">
        <v>4.8498453206535e-5</v>
      </c>
      <c r="C13" s="7"/>
      <c r="D13" s="7">
        <v>2.2758444534796e-12</v>
      </c>
      <c r="E13" s="7">
        <v>2.7728038291732e-12</v>
      </c>
      <c r="F13" s="7">
        <v>2.7723661842783e-12</v>
      </c>
      <c r="G13" s="7">
        <v>2.7700159380742e-12</v>
      </c>
      <c r="H13" s="7">
        <v>2.2717549587589e-12</v>
      </c>
      <c r="I13" s="7">
        <v>2.2728049109759e-12</v>
      </c>
      <c r="J13" s="7">
        <v>2.2721115591684e-12</v>
      </c>
      <c r="K13" s="7">
        <v>2.3822869273398e-12</v>
      </c>
      <c r="L13" s="7">
        <v>2.3847393047901e-12</v>
      </c>
      <c r="M13" s="7">
        <v>2.381526820362e-12</v>
      </c>
      <c r="N13" s="7">
        <v>2.5186001086144e-12</v>
      </c>
      <c r="O13" s="7">
        <v>2.271788146005e-12</v>
      </c>
      <c r="P13" s="7">
        <v>2.5176586965167e-12</v>
      </c>
      <c r="Q13" s="7">
        <v>2.5235299272769e-12</v>
      </c>
      <c r="R13" s="7">
        <v>2.7694367601007e-12</v>
      </c>
      <c r="S13" s="7">
        <v>2.7685813938709e-12</v>
      </c>
      <c r="T13" s="7">
        <v>2.7694745301176e-12</v>
      </c>
      <c r="U13" s="7">
        <v>2.2723438044819e-12</v>
      </c>
      <c r="V13" s="7">
        <v>2.383645905008e-12</v>
      </c>
      <c r="W13" s="7">
        <v>2.386161343102e-12</v>
      </c>
      <c r="X13" s="7">
        <v>2.3836014884641e-12</v>
      </c>
      <c r="Y13" s="7">
        <v>2.519004439425e-12</v>
      </c>
      <c r="Z13" s="7">
        <v>2.5254603224517e-12</v>
      </c>
      <c r="AA13" s="7">
        <v>2.5275869531798e-12</v>
      </c>
      <c r="AB13" s="6">
        <v>0.3574920285135</v>
      </c>
      <c r="AC13" s="6">
        <v>0.17095987804164</v>
      </c>
      <c r="AD13" s="6">
        <v>0.00086285667784186</v>
      </c>
      <c r="AE13" s="7">
        <v>-2.177571616316e-12</v>
      </c>
      <c r="AF13" s="7">
        <v>5.252389384263e-11</v>
      </c>
      <c r="AG13" s="7">
        <v>4.4142210770149e-11</v>
      </c>
      <c r="AH13" s="7">
        <v>1.1642030214174e-11</v>
      </c>
      <c r="AI13" s="7">
        <v>-1.9773720204231e-12</v>
      </c>
      <c r="AJ13" s="7">
        <v>1.0386514878577e-11</v>
      </c>
      <c r="AK13" s="7">
        <v>-2.9434195195773e-13</v>
      </c>
      <c r="AL13" s="7">
        <v>1.0411813452061e-11</v>
      </c>
      <c r="AM13" s="7">
        <v>4.3643103711277e-12</v>
      </c>
      <c r="AN13" s="7">
        <v>-1.4897975729326e-12</v>
      </c>
      <c r="AO13" s="7">
        <v>4.8348194164895e-12</v>
      </c>
      <c r="AP13" s="7">
        <v>-1.6609720995811e-12</v>
      </c>
      <c r="AQ13" s="7">
        <v>3.0369291487929e-12</v>
      </c>
      <c r="AR13" s="7">
        <v>-3.5305687099532e-11</v>
      </c>
      <c r="AS13" s="7">
        <v>-1.7511770422861e-12</v>
      </c>
      <c r="AT13" s="7">
        <v>1.2646939465175e-12</v>
      </c>
      <c r="AU13" s="7">
        <v>-8.844320233782e-12</v>
      </c>
      <c r="AV13" s="7">
        <v>-1.7248273757074e-11</v>
      </c>
      <c r="AW13" s="7">
        <v>-3.0689379237557e-12</v>
      </c>
      <c r="AX13" s="7">
        <v>5.0364536711984e-11</v>
      </c>
      <c r="AY13" s="7">
        <v>1.2578507466887e-11</v>
      </c>
      <c r="AZ13" s="7">
        <v>-2.8677942643945e-11</v>
      </c>
      <c r="BA13" s="7">
        <v>1.9761227717977e-11</v>
      </c>
      <c r="BB13" s="7">
        <v>-8.7650053813546e-11</v>
      </c>
      <c r="BC13" s="6">
        <v>16019228.078897</v>
      </c>
      <c r="BD13" s="6">
        <v>4004618.1477649</v>
      </c>
      <c r="BE13" s="6">
        <v>-0.00043743474544237</v>
      </c>
      <c r="BF13" s="6">
        <v>0.00087478697078191</v>
      </c>
      <c r="BG13" s="6">
        <v>0.00024007494904677</v>
      </c>
      <c r="BH13" s="6">
        <v>-0.0023781738879139</v>
      </c>
      <c r="BI13" s="6">
        <v>199.74731588825</v>
      </c>
      <c r="BJ13" s="6">
        <v>99.891829193728</v>
      </c>
      <c r="BK13" s="6">
        <v>184.03674957039</v>
      </c>
      <c r="BL13" s="3"/>
      <c r="BM13" s="5"/>
    </row>
    <row r="14" spans="1:65">
      <c r="A14" s="6">
        <v>70626.877231138</v>
      </c>
      <c r="B14" s="7">
        <v>5.2451455006516e-5</v>
      </c>
      <c r="C14" s="7"/>
      <c r="D14" s="7">
        <v>2.2764773309926e-12</v>
      </c>
      <c r="E14" s="7">
        <v>2.7729291035994e-12</v>
      </c>
      <c r="F14" s="7">
        <v>2.7724643584365e-12</v>
      </c>
      <c r="G14" s="7">
        <v>2.769990503556e-12</v>
      </c>
      <c r="H14" s="7">
        <v>2.2720533402656e-12</v>
      </c>
      <c r="I14" s="7">
        <v>2.2731883770468e-12</v>
      </c>
      <c r="J14" s="7">
        <v>2.2724388484269e-12</v>
      </c>
      <c r="K14" s="7">
        <v>2.3824600428109e-12</v>
      </c>
      <c r="L14" s="7">
        <v>2.3851050464898e-12</v>
      </c>
      <c r="M14" s="7">
        <v>2.3816232660916e-12</v>
      </c>
      <c r="N14" s="7">
        <v>2.5187617156989e-12</v>
      </c>
      <c r="O14" s="7">
        <v>2.2720872646507e-12</v>
      </c>
      <c r="P14" s="7">
        <v>2.5177351251806e-12</v>
      </c>
      <c r="Q14" s="7">
        <v>2.5239983197059e-12</v>
      </c>
      <c r="R14" s="7">
        <v>2.769316198341e-12</v>
      </c>
      <c r="S14" s="7">
        <v>2.7683921214396e-12</v>
      </c>
      <c r="T14" s="7">
        <v>2.7693620303556e-12</v>
      </c>
      <c r="U14" s="7">
        <v>2.272706331053e-12</v>
      </c>
      <c r="V14" s="7">
        <v>2.3839174367652e-12</v>
      </c>
      <c r="W14" s="7">
        <v>2.3866565198702e-12</v>
      </c>
      <c r="X14" s="7">
        <v>2.3838908794185e-12</v>
      </c>
      <c r="Y14" s="7">
        <v>2.5191989611199e-12</v>
      </c>
      <c r="Z14" s="7">
        <v>2.5260639608862e-12</v>
      </c>
      <c r="AA14" s="7">
        <v>2.5283899145865e-12</v>
      </c>
      <c r="AB14" s="6">
        <v>0.35646585633452</v>
      </c>
      <c r="AC14" s="6">
        <v>0.16885266518947</v>
      </c>
      <c r="AD14" s="6">
        <v>0.00086652916675745</v>
      </c>
      <c r="AE14" s="7">
        <v>-1.9755484626824e-12</v>
      </c>
      <c r="AF14" s="7">
        <v>4.9503647972e-11</v>
      </c>
      <c r="AG14" s="7">
        <v>4.191666951832e-11</v>
      </c>
      <c r="AH14" s="7">
        <v>1.1806164193115e-11</v>
      </c>
      <c r="AI14" s="7">
        <v>-1.8797393786039e-12</v>
      </c>
      <c r="AJ14" s="7">
        <v>9.8668355107474e-12</v>
      </c>
      <c r="AK14" s="7">
        <v>-2.4296277755924e-13</v>
      </c>
      <c r="AL14" s="7">
        <v>1.0016931397272e-11</v>
      </c>
      <c r="AM14" s="7">
        <v>4.0052350468728e-12</v>
      </c>
      <c r="AN14" s="7">
        <v>-1.3982698756118e-12</v>
      </c>
      <c r="AO14" s="7">
        <v>4.5511464007003e-12</v>
      </c>
      <c r="AP14" s="7">
        <v>-1.7997692756535e-12</v>
      </c>
      <c r="AQ14" s="7">
        <v>3.0051862416222e-12</v>
      </c>
      <c r="AR14" s="7">
        <v>-3.3496600167931e-11</v>
      </c>
      <c r="AS14" s="7">
        <v>-1.3794836079424e-12</v>
      </c>
      <c r="AT14" s="7">
        <v>1.1587186561881e-12</v>
      </c>
      <c r="AU14" s="7">
        <v>-8.1841039339076e-12</v>
      </c>
      <c r="AV14" s="7">
        <v>-1.6924506496433e-11</v>
      </c>
      <c r="AW14" s="7">
        <v>-2.9950919601933e-12</v>
      </c>
      <c r="AX14" s="7">
        <v>4.8528766153638e-11</v>
      </c>
      <c r="AY14" s="7">
        <v>1.2216250338616e-11</v>
      </c>
      <c r="AZ14" s="7">
        <v>-2.7671950615883e-11</v>
      </c>
      <c r="BA14" s="7">
        <v>1.8176447441543e-11</v>
      </c>
      <c r="BB14" s="7">
        <v>-8.2973200096889e-11</v>
      </c>
      <c r="BC14" s="6">
        <v>16020665.299294</v>
      </c>
      <c r="BD14" s="6">
        <v>4004984.3914703</v>
      </c>
      <c r="BE14" s="6">
        <v>-0.00044040680179472</v>
      </c>
      <c r="BF14" s="6">
        <v>0.00087803313584849</v>
      </c>
      <c r="BG14" s="6">
        <v>0.00024025618924999</v>
      </c>
      <c r="BH14" s="6">
        <v>-0.0024030545163271</v>
      </c>
      <c r="BI14" s="6">
        <v>199.74714005774</v>
      </c>
      <c r="BJ14" s="6">
        <v>99.891836514104</v>
      </c>
      <c r="BK14" s="6">
        <v>184.05746747147</v>
      </c>
      <c r="BL14" s="3"/>
      <c r="BM14" s="5"/>
    </row>
    <row r="15" spans="1:65">
      <c r="A15" s="6">
        <v>79244.659623056</v>
      </c>
      <c r="B15" s="7">
        <v>5.671332177639e-5</v>
      </c>
      <c r="C15" s="7"/>
      <c r="D15" s="7">
        <v>2.2771613888227e-12</v>
      </c>
      <c r="E15" s="7">
        <v>2.7730888320844e-12</v>
      </c>
      <c r="F15" s="7">
        <v>2.7725967133397e-12</v>
      </c>
      <c r="G15" s="7">
        <v>2.7699985893229e-12</v>
      </c>
      <c r="H15" s="7">
        <v>2.2723802332542e-12</v>
      </c>
      <c r="I15" s="7">
        <v>2.2736055730055e-12</v>
      </c>
      <c r="J15" s="7">
        <v>2.2727958257292e-12</v>
      </c>
      <c r="K15" s="7">
        <v>2.382648292491e-12</v>
      </c>
      <c r="L15" s="7">
        <v>2.3855010441677e-12</v>
      </c>
      <c r="M15" s="7">
        <v>2.3817277409719e-12</v>
      </c>
      <c r="N15" s="7">
        <v>2.5189357825962e-12</v>
      </c>
      <c r="O15" s="7">
        <v>2.2724145292602e-12</v>
      </c>
      <c r="P15" s="7">
        <v>2.5178150175119e-12</v>
      </c>
      <c r="Q15" s="7">
        <v>2.5244939298013e-12</v>
      </c>
      <c r="R15" s="7">
        <v>2.76921668844e-12</v>
      </c>
      <c r="S15" s="7">
        <v>2.7682191093274e-12</v>
      </c>
      <c r="T15" s="7">
        <v>2.7692722552011e-12</v>
      </c>
      <c r="U15" s="7">
        <v>2.2731035822783e-12</v>
      </c>
      <c r="V15" s="7">
        <v>2.3842105129907e-12</v>
      </c>
      <c r="W15" s="7">
        <v>2.3871929817882e-12</v>
      </c>
      <c r="X15" s="7">
        <v>2.3842053636894e-12</v>
      </c>
      <c r="Y15" s="7">
        <v>2.5194073564664e-12</v>
      </c>
      <c r="Z15" s="7">
        <v>2.5267049386199e-12</v>
      </c>
      <c r="AA15" s="7">
        <v>2.529243705064e-12</v>
      </c>
      <c r="AB15" s="6">
        <v>0.3555623350234</v>
      </c>
      <c r="AC15" s="6">
        <v>0.1667001586978</v>
      </c>
      <c r="AD15" s="6">
        <v>0.00087048330532368</v>
      </c>
      <c r="AE15" s="7">
        <v>-1.8032509272195e-12</v>
      </c>
      <c r="AF15" s="7">
        <v>4.6584192199566e-11</v>
      </c>
      <c r="AG15" s="7">
        <v>3.976181997513e-11</v>
      </c>
      <c r="AH15" s="7">
        <v>1.1936045525958e-11</v>
      </c>
      <c r="AI15" s="7">
        <v>-1.7784571625201e-12</v>
      </c>
      <c r="AJ15" s="7">
        <v>9.3573270762612e-12</v>
      </c>
      <c r="AK15" s="7">
        <v>-1.8370797073054e-13</v>
      </c>
      <c r="AL15" s="7">
        <v>9.6139584223912e-12</v>
      </c>
      <c r="AM15" s="7">
        <v>3.6639363715459e-12</v>
      </c>
      <c r="AN15" s="7">
        <v>-1.3191676767219e-12</v>
      </c>
      <c r="AO15" s="7">
        <v>4.2867655692937e-12</v>
      </c>
      <c r="AP15" s="7">
        <v>-1.9419040613003e-12</v>
      </c>
      <c r="AQ15" s="7">
        <v>2.9733507561908e-12</v>
      </c>
      <c r="AR15" s="7">
        <v>-3.1730302541778e-11</v>
      </c>
      <c r="AS15" s="7">
        <v>-1.02401885412e-12</v>
      </c>
      <c r="AT15" s="7">
        <v>1.059612660393e-12</v>
      </c>
      <c r="AU15" s="7">
        <v>-7.5433629945495e-12</v>
      </c>
      <c r="AV15" s="7">
        <v>-1.6588402288308e-11</v>
      </c>
      <c r="AW15" s="7">
        <v>-2.9528299974506e-12</v>
      </c>
      <c r="AX15" s="7">
        <v>4.6693104963657e-11</v>
      </c>
      <c r="AY15" s="7">
        <v>1.1877793252503e-11</v>
      </c>
      <c r="AZ15" s="7">
        <v>-2.6698289820578e-11</v>
      </c>
      <c r="BA15" s="7">
        <v>1.6682550795602e-11</v>
      </c>
      <c r="BB15" s="7">
        <v>-7.8480436371749e-11</v>
      </c>
      <c r="BC15" s="6">
        <v>16022200.407562</v>
      </c>
      <c r="BD15" s="6">
        <v>4005377.7163166</v>
      </c>
      <c r="BE15" s="6">
        <v>-0.00044360126464428</v>
      </c>
      <c r="BF15" s="6">
        <v>0.00088153429172886</v>
      </c>
      <c r="BG15" s="6">
        <v>0.0002404606610789</v>
      </c>
      <c r="BH15" s="6">
        <v>-0.0024293206645621</v>
      </c>
      <c r="BI15" s="6">
        <v>199.74695482541</v>
      </c>
      <c r="BJ15" s="6">
        <v>99.891844239047</v>
      </c>
      <c r="BK15" s="6">
        <v>184.07964394275</v>
      </c>
      <c r="BL15" s="3"/>
      <c r="BM15" s="5"/>
    </row>
    <row r="16" spans="1:65">
      <c r="A16" s="6">
        <v>88913.970501947</v>
      </c>
      <c r="B16" s="7">
        <v>6.1306740238497e-5</v>
      </c>
      <c r="C16" s="7"/>
      <c r="D16" s="7">
        <v>2.2778997517818e-12</v>
      </c>
      <c r="E16" s="7">
        <v>2.7732799923222e-12</v>
      </c>
      <c r="F16" s="7">
        <v>2.7727605177303e-12</v>
      </c>
      <c r="G16" s="7">
        <v>2.7700382221194e-12</v>
      </c>
      <c r="H16" s="7">
        <v>2.2727377351288e-12</v>
      </c>
      <c r="I16" s="7">
        <v>2.2740587056672e-12</v>
      </c>
      <c r="J16" s="7">
        <v>2.2731843682541e-12</v>
      </c>
      <c r="K16" s="7">
        <v>2.3828523820933e-12</v>
      </c>
      <c r="L16" s="7">
        <v>2.385929175004e-12</v>
      </c>
      <c r="M16" s="7">
        <v>2.3818403848364e-12</v>
      </c>
      <c r="N16" s="7">
        <v>2.5191304044473e-12</v>
      </c>
      <c r="O16" s="7">
        <v>2.2727719552582e-12</v>
      </c>
      <c r="P16" s="7">
        <v>2.5179054071736e-12</v>
      </c>
      <c r="Q16" s="7">
        <v>2.5250247947517e-12</v>
      </c>
      <c r="R16" s="7">
        <v>2.7691349840869e-12</v>
      </c>
      <c r="S16" s="7">
        <v>2.7680588233977e-12</v>
      </c>
      <c r="T16" s="7">
        <v>2.7692022815845e-12</v>
      </c>
      <c r="U16" s="7">
        <v>2.2735381196229e-12</v>
      </c>
      <c r="V16" s="7">
        <v>2.3845263043428e-12</v>
      </c>
      <c r="W16" s="7">
        <v>2.3877732762823e-12</v>
      </c>
      <c r="X16" s="7">
        <v>2.3845465321835e-12</v>
      </c>
      <c r="Y16" s="7">
        <v>2.5196376648001e-12</v>
      </c>
      <c r="Z16" s="7">
        <v>2.527392261855e-12</v>
      </c>
      <c r="AA16" s="7">
        <v>2.5301575693869e-12</v>
      </c>
      <c r="AB16" s="6">
        <v>0.3548041811881</v>
      </c>
      <c r="AC16" s="6">
        <v>0.16451094741622</v>
      </c>
      <c r="AD16" s="6">
        <v>0.0008747398500503</v>
      </c>
      <c r="AE16" s="7">
        <v>-1.6532954516305e-12</v>
      </c>
      <c r="AF16" s="7">
        <v>4.3776518580143e-11</v>
      </c>
      <c r="AG16" s="7">
        <v>3.768038826977e-11</v>
      </c>
      <c r="AH16" s="7">
        <v>1.2030871024912e-11</v>
      </c>
      <c r="AI16" s="7">
        <v>-1.6734329678607e-12</v>
      </c>
      <c r="AJ16" s="7">
        <v>8.8582034409449e-12</v>
      </c>
      <c r="AK16" s="7">
        <v>-1.1671417769975e-13</v>
      </c>
      <c r="AL16" s="7">
        <v>9.2033273734153e-12</v>
      </c>
      <c r="AM16" s="7">
        <v>3.3410707274442e-12</v>
      </c>
      <c r="AN16" s="7">
        <v>-1.2518899268271e-12</v>
      </c>
      <c r="AO16" s="7">
        <v>4.0397349623915e-12</v>
      </c>
      <c r="AP16" s="7">
        <v>-2.0867899190103e-12</v>
      </c>
      <c r="AQ16" s="7">
        <v>2.9403045898067e-12</v>
      </c>
      <c r="AR16" s="7">
        <v>-3.0010791512146e-11</v>
      </c>
      <c r="AS16" s="7">
        <v>-6.8724978731669e-13</v>
      </c>
      <c r="AT16" s="7">
        <v>9.6752088706559e-13</v>
      </c>
      <c r="AU16" s="7">
        <v>-6.9240180709488e-12</v>
      </c>
      <c r="AV16" s="7">
        <v>-1.6240291730546e-11</v>
      </c>
      <c r="AW16" s="7">
        <v>-2.9402721408047e-12</v>
      </c>
      <c r="AX16" s="7">
        <v>4.4858357198888e-11</v>
      </c>
      <c r="AY16" s="7">
        <v>1.1564131436182e-11</v>
      </c>
      <c r="AZ16" s="7">
        <v>-2.5756773779854e-11</v>
      </c>
      <c r="BA16" s="7">
        <v>1.5276799994118e-11</v>
      </c>
      <c r="BB16" s="7">
        <v>-7.4170005946649e-11</v>
      </c>
      <c r="BC16" s="6">
        <v>16023839.068697</v>
      </c>
      <c r="BD16" s="6">
        <v>4005799.9075106</v>
      </c>
      <c r="BE16" s="6">
        <v>-0.00044703357665121</v>
      </c>
      <c r="BF16" s="6">
        <v>0.0008853097797668</v>
      </c>
      <c r="BG16" s="6">
        <v>0.00024069130653361</v>
      </c>
      <c r="BH16" s="6">
        <v>-0.0024570150631669</v>
      </c>
      <c r="BI16" s="6">
        <v>199.74676005994</v>
      </c>
      <c r="BJ16" s="6">
        <v>99.891852347535</v>
      </c>
      <c r="BK16" s="6">
        <v>184.10335712178</v>
      </c>
      <c r="BL16" s="3"/>
      <c r="BM16" s="5"/>
    </row>
    <row r="17" spans="1:65">
      <c r="A17" s="6">
        <v>99763.115748445</v>
      </c>
      <c r="B17" s="7">
        <v>6.625611177883e-5</v>
      </c>
      <c r="C17" s="7"/>
      <c r="D17" s="7">
        <v>2.278690471355e-12</v>
      </c>
      <c r="E17" s="7">
        <v>2.7734980121266e-12</v>
      </c>
      <c r="F17" s="7">
        <v>2.7729514702858e-12</v>
      </c>
      <c r="G17" s="7">
        <v>2.7701059551656e-12</v>
      </c>
      <c r="H17" s="7">
        <v>2.2731228526013e-12</v>
      </c>
      <c r="I17" s="7">
        <v>2.2745448947954e-12</v>
      </c>
      <c r="J17" s="7">
        <v>2.2736011877573e-12</v>
      </c>
      <c r="K17" s="7">
        <v>2.3830836513024e-12</v>
      </c>
      <c r="L17" s="7">
        <v>2.3864021163528e-12</v>
      </c>
      <c r="M17" s="7">
        <v>2.3819719484116e-12</v>
      </c>
      <c r="N17" s="7">
        <v>2.5193339778836e-12</v>
      </c>
      <c r="O17" s="7">
        <v>2.2731564638098e-12</v>
      </c>
      <c r="P17" s="7">
        <v>2.5179935111791e-12</v>
      </c>
      <c r="Q17" s="7">
        <v>2.5255791566624e-12</v>
      </c>
      <c r="R17" s="7">
        <v>2.7690662692312e-12</v>
      </c>
      <c r="S17" s="7">
        <v>2.7679061406945e-12</v>
      </c>
      <c r="T17" s="7">
        <v>2.7691476681636e-12</v>
      </c>
      <c r="U17" s="7">
        <v>2.2740074252502e-12</v>
      </c>
      <c r="V17" s="7">
        <v>2.3848766956459e-12</v>
      </c>
      <c r="W17" s="7">
        <v>2.3884107916047e-12</v>
      </c>
      <c r="X17" s="7">
        <v>2.384926697151e-12</v>
      </c>
      <c r="Y17" s="7">
        <v>2.5198782228595e-12</v>
      </c>
      <c r="Z17" s="7">
        <v>2.5281152398673e-12</v>
      </c>
      <c r="AA17" s="7">
        <v>2.5311209697111e-12</v>
      </c>
      <c r="AB17" s="6">
        <v>0.35421428927999</v>
      </c>
      <c r="AC17" s="6">
        <v>0.16229472708986</v>
      </c>
      <c r="AD17" s="6">
        <v>0.00087932127129554</v>
      </c>
      <c r="AE17" s="7">
        <v>-1.5183204922958e-12</v>
      </c>
      <c r="AF17" s="7">
        <v>4.1090295208533e-11</v>
      </c>
      <c r="AG17" s="7">
        <v>3.5674288676521e-11</v>
      </c>
      <c r="AH17" s="7">
        <v>1.2090732394022e-11</v>
      </c>
      <c r="AI17" s="7">
        <v>-1.5646086709018e-12</v>
      </c>
      <c r="AJ17" s="7">
        <v>8.3696686505622e-12</v>
      </c>
      <c r="AK17" s="7">
        <v>-4.2381824947161e-14</v>
      </c>
      <c r="AL17" s="7">
        <v>8.7857842770794e-12</v>
      </c>
      <c r="AM17" s="7">
        <v>3.036972710153e-12</v>
      </c>
      <c r="AN17" s="7">
        <v>-1.1956234501399e-12</v>
      </c>
      <c r="AO17" s="7">
        <v>3.8077397734482e-12</v>
      </c>
      <c r="AP17" s="7">
        <v>-2.2338153324929e-12</v>
      </c>
      <c r="AQ17" s="7">
        <v>2.9049051308305e-12</v>
      </c>
      <c r="AR17" s="7">
        <v>-2.8342282436464e-11</v>
      </c>
      <c r="AS17" s="7">
        <v>-3.7149602385382e-13</v>
      </c>
      <c r="AT17" s="7">
        <v>8.8243390129381e-13</v>
      </c>
      <c r="AU17" s="7">
        <v>-6.327757619926e-12</v>
      </c>
      <c r="AV17" s="7">
        <v>-1.5880495760864e-11</v>
      </c>
      <c r="AW17" s="7">
        <v>-2.9551121300308e-12</v>
      </c>
      <c r="AX17" s="7">
        <v>4.3025294128895e-11</v>
      </c>
      <c r="AY17" s="7">
        <v>1.1275240827687e-11</v>
      </c>
      <c r="AZ17" s="7">
        <v>-2.4847000665025e-11</v>
      </c>
      <c r="BA17" s="7">
        <v>1.3955779802661e-11</v>
      </c>
      <c r="BB17" s="7">
        <v>-7.0039167173966e-11</v>
      </c>
      <c r="BC17" s="6">
        <v>16025587.26199</v>
      </c>
      <c r="BD17" s="6">
        <v>4006252.8661643</v>
      </c>
      <c r="BE17" s="6">
        <v>-0.00045072030731652</v>
      </c>
      <c r="BF17" s="6">
        <v>0.00088938058744881</v>
      </c>
      <c r="BG17" s="6">
        <v>0.00024095138537116</v>
      </c>
      <c r="BH17" s="6">
        <v>-0.0024861798330407</v>
      </c>
      <c r="BI17" s="6">
        <v>199.74655566434</v>
      </c>
      <c r="BJ17" s="6">
        <v>99.89186081219</v>
      </c>
      <c r="BK17" s="6">
        <v>184.12868943</v>
      </c>
      <c r="BL17" s="3"/>
      <c r="BM17" s="5"/>
    </row>
    <row r="18" spans="1:65">
      <c r="A18" s="6">
        <v>111936.05692842</v>
      </c>
      <c r="B18" s="7">
        <v>7.1587674020845e-5</v>
      </c>
      <c r="C18" s="7"/>
      <c r="D18" s="7">
        <v>2.2795302075964e-12</v>
      </c>
      <c r="E18" s="7">
        <v>2.7737471407261e-12</v>
      </c>
      <c r="F18" s="7">
        <v>2.7731740457668e-12</v>
      </c>
      <c r="G18" s="7">
        <v>2.7702072288599e-12</v>
      </c>
      <c r="H18" s="7">
        <v>2.2735311833849e-12</v>
      </c>
      <c r="I18" s="7">
        <v>2.2750598675955e-12</v>
      </c>
      <c r="J18" s="7">
        <v>2.2740415019701e-12</v>
      </c>
      <c r="K18" s="7">
        <v>2.3833310101126e-12</v>
      </c>
      <c r="L18" s="7">
        <v>2.3869101454796e-12</v>
      </c>
      <c r="M18" s="7">
        <v>2.3821107380102e-12</v>
      </c>
      <c r="N18" s="7">
        <v>2.5195465783883e-12</v>
      </c>
      <c r="O18" s="7">
        <v>2.2735635663572e-12</v>
      </c>
      <c r="P18" s="7">
        <v>2.5180780992862e-12</v>
      </c>
      <c r="Q18" s="7">
        <v>2.52615683679e-12</v>
      </c>
      <c r="R18" s="7">
        <v>2.7690145068658e-12</v>
      </c>
      <c r="S18" s="7">
        <v>2.7677646995422e-12</v>
      </c>
      <c r="T18" s="7">
        <v>2.7691128122725e-12</v>
      </c>
      <c r="U18" s="7">
        <v>2.2745075789878e-12</v>
      </c>
      <c r="V18" s="7">
        <v>2.3852512391008e-12</v>
      </c>
      <c r="W18" s="7">
        <v>2.3890964969295e-12</v>
      </c>
      <c r="X18" s="7">
        <v>2.3853358387721e-12</v>
      </c>
      <c r="Y18" s="7">
        <v>2.5201290458249e-12</v>
      </c>
      <c r="Z18" s="7">
        <v>2.5288748552395e-12</v>
      </c>
      <c r="AA18" s="7">
        <v>2.5321349511233e-12</v>
      </c>
      <c r="AB18" s="6">
        <v>0.35381633934093</v>
      </c>
      <c r="AC18" s="6">
        <v>0.16006252475678</v>
      </c>
      <c r="AD18" s="6">
        <v>0.0008842519059007</v>
      </c>
      <c r="AE18" s="7">
        <v>-1.3912998265391e-12</v>
      </c>
      <c r="AF18" s="7">
        <v>3.8533603157082e-11</v>
      </c>
      <c r="AG18" s="7">
        <v>3.374480708123e-11</v>
      </c>
      <c r="AH18" s="7">
        <v>1.2116530048064e-11</v>
      </c>
      <c r="AI18" s="7">
        <v>-1.4519729772322e-12</v>
      </c>
      <c r="AJ18" s="7">
        <v>7.8919051425027e-12</v>
      </c>
      <c r="AK18" s="7">
        <v>3.8640775667191e-14</v>
      </c>
      <c r="AL18" s="7">
        <v>8.3624368855923e-12</v>
      </c>
      <c r="AM18" s="7">
        <v>2.7518373645725e-12</v>
      </c>
      <c r="AN18" s="7">
        <v>-1.1493062635838e-12</v>
      </c>
      <c r="AO18" s="7">
        <v>3.5881792220663e-12</v>
      </c>
      <c r="AP18" s="7">
        <v>-2.3823528305393e-12</v>
      </c>
      <c r="AQ18" s="7">
        <v>2.8660561906918e-12</v>
      </c>
      <c r="AR18" s="7">
        <v>-2.6729131083998e-11</v>
      </c>
      <c r="AS18" s="7">
        <v>-7.884004566239e-14</v>
      </c>
      <c r="AT18" s="7">
        <v>8.0421411868665e-13</v>
      </c>
      <c r="AU18" s="7">
        <v>-5.7560456574948e-12</v>
      </c>
      <c r="AV18" s="7">
        <v>-1.5509257836607e-11</v>
      </c>
      <c r="AW18" s="7">
        <v>-2.9947499771062e-12</v>
      </c>
      <c r="AX18" s="7">
        <v>4.1194878305909e-11</v>
      </c>
      <c r="AY18" s="7">
        <v>1.1010020262852e-11</v>
      </c>
      <c r="AZ18" s="7">
        <v>-2.3968403100733e-11</v>
      </c>
      <c r="BA18" s="7">
        <v>1.2715573081884e-11</v>
      </c>
      <c r="BB18" s="7">
        <v>-6.6084737586823e-11</v>
      </c>
      <c r="BC18" s="6">
        <v>16027451.29198</v>
      </c>
      <c r="BD18" s="6">
        <v>4006738.6157138</v>
      </c>
      <c r="BE18" s="6">
        <v>-0.00045467923065102</v>
      </c>
      <c r="BF18" s="6">
        <v>0.0008937695052161</v>
      </c>
      <c r="BG18" s="6">
        <v>0.0002412444983878</v>
      </c>
      <c r="BH18" s="6">
        <v>-0.0025168568247142</v>
      </c>
      <c r="BI18" s="6">
        <v>199.74634158625</v>
      </c>
      <c r="BJ18" s="6">
        <v>99.891869599923</v>
      </c>
      <c r="BK18" s="6">
        <v>184.15572801026</v>
      </c>
      <c r="BL18" s="3"/>
      <c r="BM18" s="5"/>
    </row>
    <row r="19" spans="1:65">
      <c r="A19" s="6">
        <v>125594.32157548</v>
      </c>
      <c r="B19" s="7">
        <v>7.7329626738165e-5</v>
      </c>
      <c r="C19" s="7"/>
      <c r="D19" s="7">
        <v>2.2804214700822e-12</v>
      </c>
      <c r="E19" s="7">
        <v>2.7740333043753e-12</v>
      </c>
      <c r="F19" s="7">
        <v>2.7734343245965e-12</v>
      </c>
      <c r="G19" s="7">
        <v>2.7703492146024e-12</v>
      </c>
      <c r="H19" s="7">
        <v>2.2739641549943e-12</v>
      </c>
      <c r="I19" s="7">
        <v>2.2756052146069e-12</v>
      </c>
      <c r="J19" s="7">
        <v>2.2745062657811e-12</v>
      </c>
      <c r="K19" s="7">
        <v>2.3835854651433e-12</v>
      </c>
      <c r="L19" s="7">
        <v>2.3874456992782e-12</v>
      </c>
      <c r="M19" s="7">
        <v>2.3822471491504e-12</v>
      </c>
      <c r="N19" s="7">
        <v>2.519778991663e-12</v>
      </c>
      <c r="O19" s="7">
        <v>2.273994607298e-12</v>
      </c>
      <c r="P19" s="7">
        <v>2.5181685178464e-12</v>
      </c>
      <c r="Q19" s="7">
        <v>2.5267682664633e-12</v>
      </c>
      <c r="R19" s="7">
        <v>2.7689852693176e-12</v>
      </c>
      <c r="S19" s="7">
        <v>2.7676397319835e-12</v>
      </c>
      <c r="T19" s="7">
        <v>2.7691037895145e-12</v>
      </c>
      <c r="U19" s="7">
        <v>2.2750404903932e-12</v>
      </c>
      <c r="V19" s="7">
        <v>2.3856416960874e-12</v>
      </c>
      <c r="W19" s="7">
        <v>2.3898235090901e-12</v>
      </c>
      <c r="X19" s="7">
        <v>2.3857661389144e-12</v>
      </c>
      <c r="Y19" s="7">
        <v>2.5204008628282e-12</v>
      </c>
      <c r="Z19" s="7">
        <v>2.5296827873387e-12</v>
      </c>
      <c r="AA19" s="7">
        <v>2.5332111656368e-12</v>
      </c>
      <c r="AB19" s="6">
        <v>0.35363462410067</v>
      </c>
      <c r="AC19" s="6">
        <v>0.15782673155495</v>
      </c>
      <c r="AD19" s="6">
        <v>0.00088955812042903</v>
      </c>
      <c r="AE19" s="7">
        <v>-1.2658559120877e-12</v>
      </c>
      <c r="AF19" s="7">
        <v>3.6112714678786e-11</v>
      </c>
      <c r="AG19" s="7">
        <v>3.1892775420727e-11</v>
      </c>
      <c r="AH19" s="7">
        <v>1.2109804283417e-11</v>
      </c>
      <c r="AI19" s="7">
        <v>-1.3355740081335e-12</v>
      </c>
      <c r="AJ19" s="7">
        <v>7.4250593183211e-12</v>
      </c>
      <c r="AK19" s="7">
        <v>1.2548667267368e-13</v>
      </c>
      <c r="AL19" s="7">
        <v>7.9347999595455e-12</v>
      </c>
      <c r="AM19" s="7">
        <v>2.4859760989926e-12</v>
      </c>
      <c r="AN19" s="7">
        <v>-1.1116048238623e-12</v>
      </c>
      <c r="AO19" s="7">
        <v>3.3782793392168e-12</v>
      </c>
      <c r="AP19" s="7">
        <v>-2.5317625904445e-12</v>
      </c>
      <c r="AQ19" s="7">
        <v>2.8227887590717e-12</v>
      </c>
      <c r="AR19" s="7">
        <v>-2.5175749809907e-11</v>
      </c>
      <c r="AS19" s="7">
        <v>1.8895919177099e-13</v>
      </c>
      <c r="AT19" s="7">
        <v>7.3263401835156e-13</v>
      </c>
      <c r="AU19" s="7">
        <v>-5.2101457608733e-12</v>
      </c>
      <c r="AV19" s="7">
        <v>-1.5126679050675e-11</v>
      </c>
      <c r="AW19" s="7">
        <v>-3.0564062113661e-12</v>
      </c>
      <c r="AX19" s="7">
        <v>3.9368531626651e-11</v>
      </c>
      <c r="AY19" s="7">
        <v>1.0766263518833e-11</v>
      </c>
      <c r="AZ19" s="7">
        <v>-2.3120266438014e-11</v>
      </c>
      <c r="BA19" s="7">
        <v>1.155197403845e-11</v>
      </c>
      <c r="BB19" s="7">
        <v>-6.2303633818467e-11</v>
      </c>
      <c r="BC19" s="6">
        <v>16029437.797062</v>
      </c>
      <c r="BD19" s="6">
        <v>4007259.3081782</v>
      </c>
      <c r="BE19" s="6">
        <v>-0.0004589294050125</v>
      </c>
      <c r="BF19" s="6">
        <v>0.00089850129731435</v>
      </c>
      <c r="BG19" s="6">
        <v>0.00024157461114075</v>
      </c>
      <c r="BH19" s="6">
        <v>-0.002549088576773</v>
      </c>
      <c r="BI19" s="6">
        <v>199.74611783287</v>
      </c>
      <c r="BJ19" s="6">
        <v>99.891878672935</v>
      </c>
      <c r="BK19" s="6">
        <v>184.18456518411</v>
      </c>
      <c r="BL19" s="3"/>
      <c r="BM19" s="5"/>
    </row>
    <row r="20" spans="1:65">
      <c r="A20" s="6">
        <v>140919.14656322</v>
      </c>
      <c r="B20" s="7">
        <v>8.3512260861987e-5</v>
      </c>
      <c r="C20" s="7"/>
      <c r="D20" s="7">
        <v>2.2813659254231e-12</v>
      </c>
      <c r="E20" s="7">
        <v>2.7743700044725e-12</v>
      </c>
      <c r="F20" s="7">
        <v>2.7737458662012e-12</v>
      </c>
      <c r="G20" s="7">
        <v>2.7705466997451e-12</v>
      </c>
      <c r="H20" s="7">
        <v>2.2744223327092e-12</v>
      </c>
      <c r="I20" s="7">
        <v>2.2761817196144e-12</v>
      </c>
      <c r="J20" s="7">
        <v>2.2749954623678e-12</v>
      </c>
      <c r="K20" s="7">
        <v>2.383862007006e-12</v>
      </c>
      <c r="L20" s="7">
        <v>2.3880253005095e-12</v>
      </c>
      <c r="M20" s="7">
        <v>2.3823955616308e-12</v>
      </c>
      <c r="N20" s="7">
        <v>2.5200394558874e-12</v>
      </c>
      <c r="O20" s="7">
        <v>2.2744500770928e-12</v>
      </c>
      <c r="P20" s="7">
        <v>2.518271425503e-12</v>
      </c>
      <c r="Q20" s="7">
        <v>2.5274212336385e-12</v>
      </c>
      <c r="R20" s="7">
        <v>2.7689916095675e-12</v>
      </c>
      <c r="S20" s="7">
        <v>2.7675439377149e-12</v>
      </c>
      <c r="T20" s="7">
        <v>2.7691342350374e-12</v>
      </c>
      <c r="U20" s="7">
        <v>2.2756071970355e-12</v>
      </c>
      <c r="V20" s="7">
        <v>2.3860639389544e-12</v>
      </c>
      <c r="W20" s="7">
        <v>2.390609031725e-12</v>
      </c>
      <c r="X20" s="7">
        <v>2.3862338737143e-12</v>
      </c>
      <c r="Y20" s="7">
        <v>2.5207018637278e-12</v>
      </c>
      <c r="Z20" s="7">
        <v>2.5305481475392e-12</v>
      </c>
      <c r="AA20" s="7">
        <v>2.5343586146379e-12</v>
      </c>
      <c r="AB20" s="6">
        <v>0.35369305073384</v>
      </c>
      <c r="AC20" s="6">
        <v>0.15560121591467</v>
      </c>
      <c r="AD20" s="6">
        <v>0.00089526848381865</v>
      </c>
      <c r="AE20" s="7">
        <v>-1.1365672559932e-12</v>
      </c>
      <c r="AF20" s="7">
        <v>3.3831917264947e-11</v>
      </c>
      <c r="AG20" s="7">
        <v>3.0118715831453e-11</v>
      </c>
      <c r="AH20" s="7">
        <v>1.207249765728e-11</v>
      </c>
      <c r="AI20" s="7">
        <v>-1.2155341594113e-12</v>
      </c>
      <c r="AJ20" s="7">
        <v>6.9692331619064e-12</v>
      </c>
      <c r="AK20" s="7">
        <v>2.1710980604844e-13</v>
      </c>
      <c r="AL20" s="7">
        <v>7.5048216411859e-12</v>
      </c>
      <c r="AM20" s="7">
        <v>2.2400968081422e-12</v>
      </c>
      <c r="AN20" s="7">
        <v>-1.08092699732e-12</v>
      </c>
      <c r="AO20" s="7">
        <v>3.175223165899e-12</v>
      </c>
      <c r="AP20" s="7">
        <v>-2.6813874295494e-12</v>
      </c>
      <c r="AQ20" s="7">
        <v>2.7743422725707e-12</v>
      </c>
      <c r="AR20" s="7">
        <v>-2.3686505707636e-11</v>
      </c>
      <c r="AS20" s="7">
        <v>4.3054383940522e-13</v>
      </c>
      <c r="AT20" s="7">
        <v>6.6742102260267e-13</v>
      </c>
      <c r="AU20" s="7">
        <v>-4.6911619332218e-12</v>
      </c>
      <c r="AV20" s="7">
        <v>-1.473267859987e-11</v>
      </c>
      <c r="AW20" s="7">
        <v>-3.1371938839452e-12</v>
      </c>
      <c r="AX20" s="7">
        <v>3.7548408264602e-11</v>
      </c>
      <c r="AY20" s="7">
        <v>1.0540693375684e-11</v>
      </c>
      <c r="AZ20" s="7">
        <v>-2.2301707357189e-11</v>
      </c>
      <c r="BA20" s="7">
        <v>1.0460709007026e-11</v>
      </c>
      <c r="BB20" s="7">
        <v>-5.869330528218e-11</v>
      </c>
      <c r="BC20" s="6">
        <v>16031553.753984</v>
      </c>
      <c r="BD20" s="6">
        <v>4007817.2297069</v>
      </c>
      <c r="BE20" s="6">
        <v>-0.00046349125166953</v>
      </c>
      <c r="BF20" s="6">
        <v>0.0009036028859951</v>
      </c>
      <c r="BG20" s="6">
        <v>0.00024194608112933</v>
      </c>
      <c r="BH20" s="6">
        <v>-0.0025829195920042</v>
      </c>
      <c r="BI20" s="6">
        <v>199.74588449229</v>
      </c>
      <c r="BJ20" s="6">
        <v>99.891887990584</v>
      </c>
      <c r="BK20" s="6">
        <v>184.21529885585</v>
      </c>
      <c r="BL20" s="3"/>
      <c r="BM20" s="5"/>
    </row>
    <row r="21" spans="1:65">
      <c r="A21" s="6">
        <v>158113.88300842</v>
      </c>
      <c r="B21" s="7">
        <v>9.016809262462e-5</v>
      </c>
      <c r="C21" s="7"/>
      <c r="D21" s="7">
        <v>2.2823755284323e-12</v>
      </c>
      <c r="E21" s="7">
        <v>2.774753885235e-12</v>
      </c>
      <c r="F21" s="7">
        <v>2.7741052558078e-12</v>
      </c>
      <c r="G21" s="7">
        <v>2.7707976401968e-12</v>
      </c>
      <c r="H21" s="7">
        <v>2.2749165483312e-12</v>
      </c>
      <c r="I21" s="7">
        <v>2.2768005155845e-12</v>
      </c>
      <c r="J21" s="7">
        <v>2.2755192162527e-12</v>
      </c>
      <c r="K21" s="7">
        <v>2.3841485268086e-12</v>
      </c>
      <c r="L21" s="7">
        <v>2.3886384353044e-12</v>
      </c>
      <c r="M21" s="7">
        <v>2.3825432653441e-12</v>
      </c>
      <c r="N21" s="7">
        <v>2.5203115089315e-12</v>
      </c>
      <c r="O21" s="7">
        <v>2.2749407475913e-12</v>
      </c>
      <c r="P21" s="7">
        <v>2.5183686349446e-12</v>
      </c>
      <c r="Q21" s="7">
        <v>2.5280987401005e-12</v>
      </c>
      <c r="R21" s="7">
        <v>2.7690296024676e-12</v>
      </c>
      <c r="S21" s="7">
        <v>2.7674730277418e-12</v>
      </c>
      <c r="T21" s="7">
        <v>2.769200894477e-12</v>
      </c>
      <c r="U21" s="7">
        <v>2.2762189806851e-12</v>
      </c>
      <c r="V21" s="7">
        <v>2.3865068817501e-12</v>
      </c>
      <c r="W21" s="7">
        <v>2.3914432287041e-12</v>
      </c>
      <c r="X21" s="7">
        <v>2.3867283324814e-12</v>
      </c>
      <c r="Y21" s="7">
        <v>2.5210155506478e-12</v>
      </c>
      <c r="Z21" s="7">
        <v>2.5314553217725e-12</v>
      </c>
      <c r="AA21" s="7">
        <v>2.5355615063743e-12</v>
      </c>
      <c r="AB21" s="6">
        <v>0.35401411955297</v>
      </c>
      <c r="AC21" s="6">
        <v>0.15340124727951</v>
      </c>
      <c r="AD21" s="6">
        <v>0.00090141395243264</v>
      </c>
      <c r="AE21" s="7">
        <v>-9.9923458847134e-13</v>
      </c>
      <c r="AF21" s="7">
        <v>3.1693394989121e-11</v>
      </c>
      <c r="AG21" s="7">
        <v>2.8422948355502e-11</v>
      </c>
      <c r="AH21" s="7">
        <v>1.2006677404983e-11</v>
      </c>
      <c r="AI21" s="7">
        <v>-1.0920682499381e-12</v>
      </c>
      <c r="AJ21" s="7">
        <v>6.5244826995098e-12</v>
      </c>
      <c r="AK21" s="7">
        <v>3.1233243206993e-13</v>
      </c>
      <c r="AL21" s="7">
        <v>7.0748824623256e-12</v>
      </c>
      <c r="AM21" s="7">
        <v>2.0155025623676e-12</v>
      </c>
      <c r="AN21" s="7">
        <v>-1.0554931183353e-12</v>
      </c>
      <c r="AO21" s="7">
        <v>2.9762816850208e-12</v>
      </c>
      <c r="AP21" s="7">
        <v>-2.8305362549777e-12</v>
      </c>
      <c r="AQ21" s="7">
        <v>2.7202354059228e-12</v>
      </c>
      <c r="AR21" s="7">
        <v>-2.2265590181459e-11</v>
      </c>
      <c r="AS21" s="7">
        <v>6.4501931166717e-13</v>
      </c>
      <c r="AT21" s="7">
        <v>6.0830277149202e-13</v>
      </c>
      <c r="AU21" s="7">
        <v>-4.2000952357381e-12</v>
      </c>
      <c r="AV21" s="7">
        <v>-1.4326995010678e-11</v>
      </c>
      <c r="AW21" s="7">
        <v>-3.2341333930987e-12</v>
      </c>
      <c r="AX21" s="7">
        <v>3.573769410641e-11</v>
      </c>
      <c r="AY21" s="7">
        <v>1.0329069944436e-11</v>
      </c>
      <c r="AZ21" s="7">
        <v>-2.151160934058e-11</v>
      </c>
      <c r="BA21" s="7">
        <v>9.437634547761e-12</v>
      </c>
      <c r="BB21" s="7">
        <v>-5.5251993229517e-11</v>
      </c>
      <c r="BC21" s="6">
        <v>16033806.478708</v>
      </c>
      <c r="BD21" s="6">
        <v>4008414.8060792</v>
      </c>
      <c r="BE21" s="6">
        <v>-0.00046838664107809</v>
      </c>
      <c r="BF21" s="6">
        <v>0.00090910355012739</v>
      </c>
      <c r="BG21" s="6">
        <v>0.00024236368838619</v>
      </c>
      <c r="BH21" s="6">
        <v>-0.0026183977283024</v>
      </c>
      <c r="BI21" s="6">
        <v>199.74564176007</v>
      </c>
      <c r="BJ21" s="6">
        <v>99.891897512696</v>
      </c>
      <c r="BK21" s="6">
        <v>184.2480326007</v>
      </c>
      <c r="BL21" s="3"/>
      <c r="BM21" s="5"/>
    </row>
    <row r="22" spans="1:65">
      <c r="A22" s="6">
        <v>177406.69461679</v>
      </c>
      <c r="B22" s="7">
        <v>9.7332003514159e-5</v>
      </c>
      <c r="C22" s="7"/>
      <c r="D22" s="7">
        <v>2.2834436584751e-12</v>
      </c>
      <c r="E22" s="7">
        <v>2.7751912678312e-12</v>
      </c>
      <c r="F22" s="7">
        <v>2.774518624224e-12</v>
      </c>
      <c r="G22" s="7">
        <v>2.7711096767338e-12</v>
      </c>
      <c r="H22" s="7">
        <v>2.2754390304723e-12</v>
      </c>
      <c r="I22" s="7">
        <v>2.2774542479431e-12</v>
      </c>
      <c r="J22" s="7">
        <v>2.2760689067487e-12</v>
      </c>
      <c r="K22" s="7">
        <v>2.3844511878141e-12</v>
      </c>
      <c r="L22" s="7">
        <v>2.3892929067833e-12</v>
      </c>
      <c r="M22" s="7">
        <v>2.3826958398154e-12</v>
      </c>
      <c r="N22" s="7">
        <v>2.5205955066807e-12</v>
      </c>
      <c r="O22" s="7">
        <v>2.2754588108871e-12</v>
      </c>
      <c r="P22" s="7">
        <v>2.5184586273476e-12</v>
      </c>
      <c r="Q22" s="7">
        <v>2.5288005371549e-12</v>
      </c>
      <c r="R22" s="7">
        <v>2.769104854875e-12</v>
      </c>
      <c r="S22" s="7">
        <v>2.7674322359173e-12</v>
      </c>
      <c r="T22" s="7">
        <v>2.7693101423104e-12</v>
      </c>
      <c r="U22" s="7">
        <v>2.2768684791083e-12</v>
      </c>
      <c r="V22" s="7">
        <v>2.3869778639415e-12</v>
      </c>
      <c r="W22" s="7">
        <v>2.3923345851758e-12</v>
      </c>
      <c r="X22" s="7">
        <v>2.3872571844374e-12</v>
      </c>
      <c r="Y22" s="7">
        <v>2.5213422600163e-12</v>
      </c>
      <c r="Z22" s="7">
        <v>2.5324054888912e-12</v>
      </c>
      <c r="AA22" s="7">
        <v>2.5368207974018e-12</v>
      </c>
      <c r="AB22" s="6">
        <v>0.35461918795696</v>
      </c>
      <c r="AC22" s="6">
        <v>0.15124380568083</v>
      </c>
      <c r="AD22" s="6">
        <v>0.00090802806729359</v>
      </c>
      <c r="AE22" s="7">
        <v>-8.5108527583369e-13</v>
      </c>
      <c r="AF22" s="7">
        <v>2.9697161824713e-11</v>
      </c>
      <c r="AG22" s="7">
        <v>2.6805658776686e-11</v>
      </c>
      <c r="AH22" s="7">
        <v>1.1914255754642e-11</v>
      </c>
      <c r="AI22" s="7">
        <v>-9.6550585024882e-13</v>
      </c>
      <c r="AJ22" s="7">
        <v>6.0908247650285e-12</v>
      </c>
      <c r="AK22" s="7">
        <v>4.0989627527177e-13</v>
      </c>
      <c r="AL22" s="7">
        <v>6.6477457438649e-12</v>
      </c>
      <c r="AM22" s="7">
        <v>1.8140897431606e-12</v>
      </c>
      <c r="AN22" s="7">
        <v>-1.0334761542524e-12</v>
      </c>
      <c r="AO22" s="7">
        <v>2.7789236220518e-12</v>
      </c>
      <c r="AP22" s="7">
        <v>-2.9784536415334e-12</v>
      </c>
      <c r="AQ22" s="7">
        <v>2.6603136412065e-12</v>
      </c>
      <c r="AR22" s="7">
        <v>-2.0916857596717e-11</v>
      </c>
      <c r="AS22" s="7">
        <v>8.319989791591e-13</v>
      </c>
      <c r="AT22" s="7">
        <v>5.5504477249792e-13</v>
      </c>
      <c r="AU22" s="7">
        <v>-3.7379099520217e-12</v>
      </c>
      <c r="AV22" s="7">
        <v>-1.3909239882671e-11</v>
      </c>
      <c r="AW22" s="7">
        <v>-3.3441308463086e-12</v>
      </c>
      <c r="AX22" s="7">
        <v>3.3940843280486e-11</v>
      </c>
      <c r="AY22" s="7">
        <v>1.0126405099575e-11</v>
      </c>
      <c r="AZ22" s="7">
        <v>-2.074851767018e-11</v>
      </c>
      <c r="BA22" s="7">
        <v>8.4788841531767e-12</v>
      </c>
      <c r="BB22" s="7">
        <v>-5.1978761455963e-11</v>
      </c>
      <c r="BC22" s="6">
        <v>16036203.622665</v>
      </c>
      <c r="BD22" s="6">
        <v>4009054.6076578</v>
      </c>
      <c r="BE22" s="6">
        <v>-0.00047363898085611</v>
      </c>
      <c r="BF22" s="6">
        <v>0.00091503514062997</v>
      </c>
      <c r="BG22" s="6">
        <v>0.00024283267002805</v>
      </c>
      <c r="BH22" s="6">
        <v>-0.0026555759741385</v>
      </c>
      <c r="BI22" s="6">
        <v>199.74538997041</v>
      </c>
      <c r="BJ22" s="6">
        <v>99.891907202071</v>
      </c>
      <c r="BK22" s="6">
        <v>184.28287545741</v>
      </c>
      <c r="BL22" s="3"/>
      <c r="BM22" s="5"/>
    </row>
    <row r="23" spans="1:65">
      <c r="A23" s="6">
        <v>199053.58527675</v>
      </c>
      <c r="B23" s="6">
        <v>0.00010504139331033</v>
      </c>
      <c r="C23" s="6"/>
      <c r="D23" s="7">
        <v>2.2845688566636e-12</v>
      </c>
      <c r="E23" s="7">
        <v>2.7756892396869e-12</v>
      </c>
      <c r="F23" s="7">
        <v>2.7749927324719e-12</v>
      </c>
      <c r="G23" s="7">
        <v>2.7714912031819e-12</v>
      </c>
      <c r="H23" s="7">
        <v>2.2759871309304e-12</v>
      </c>
      <c r="I23" s="7">
        <v>2.2781408387975e-12</v>
      </c>
      <c r="J23" s="7">
        <v>2.2766408768132e-12</v>
      </c>
      <c r="K23" s="7">
        <v>2.3847572830867e-12</v>
      </c>
      <c r="L23" s="7">
        <v>2.3899776709805e-12</v>
      </c>
      <c r="M23" s="7">
        <v>2.3828400179969e-12</v>
      </c>
      <c r="N23" s="7">
        <v>2.5208945200007e-12</v>
      </c>
      <c r="O23" s="7">
        <v>2.2760016156379e-12</v>
      </c>
      <c r="P23" s="7">
        <v>2.518542447104e-12</v>
      </c>
      <c r="Q23" s="7">
        <v>2.5295290489312e-12</v>
      </c>
      <c r="R23" s="7">
        <v>2.7692235761416e-12</v>
      </c>
      <c r="S23" s="7">
        <v>2.767427388955e-12</v>
      </c>
      <c r="T23" s="7">
        <v>2.7694690575371e-12</v>
      </c>
      <c r="U23" s="7">
        <v>2.2775533926231e-12</v>
      </c>
      <c r="V23" s="7">
        <v>2.3874655187423e-12</v>
      </c>
      <c r="W23" s="7">
        <v>2.3932727544218e-12</v>
      </c>
      <c r="X23" s="7">
        <v>2.3878093226176e-12</v>
      </c>
      <c r="Y23" s="7">
        <v>2.5216850617987e-12</v>
      </c>
      <c r="Z23" s="7">
        <v>2.5334025248282e-12</v>
      </c>
      <c r="AA23" s="7">
        <v>2.5381401280226e-12</v>
      </c>
      <c r="AB23" s="6">
        <v>0.35552725629348</v>
      </c>
      <c r="AC23" s="6">
        <v>0.1491474340026</v>
      </c>
      <c r="AD23" s="6">
        <v>0.0009151471676808</v>
      </c>
      <c r="AE23" s="7">
        <v>-6.9087053913141e-13</v>
      </c>
      <c r="AF23" s="7">
        <v>2.7841107941305e-11</v>
      </c>
      <c r="AG23" s="7">
        <v>2.5266930047585e-11</v>
      </c>
      <c r="AH23" s="7">
        <v>1.1796756363678e-11</v>
      </c>
      <c r="AI23" s="7">
        <v>-8.3631983383084e-13</v>
      </c>
      <c r="AJ23" s="7">
        <v>5.6682518429309e-12</v>
      </c>
      <c r="AK23" s="7">
        <v>5.0851609889388e-13</v>
      </c>
      <c r="AL23" s="7">
        <v>6.2264506334554e-12</v>
      </c>
      <c r="AM23" s="7">
        <v>1.6380635148241e-12</v>
      </c>
      <c r="AN23" s="7">
        <v>-1.013201779871e-12</v>
      </c>
      <c r="AO23" s="7">
        <v>2.5808861625571e-12</v>
      </c>
      <c r="AP23" s="7">
        <v>-3.1242748053166e-12</v>
      </c>
      <c r="AQ23" s="7">
        <v>2.5947586880659e-12</v>
      </c>
      <c r="AR23" s="7">
        <v>-1.9643638724834e-11</v>
      </c>
      <c r="AS23" s="7">
        <v>9.9161501040977e-13</v>
      </c>
      <c r="AT23" s="7">
        <v>5.0747171682234e-13</v>
      </c>
      <c r="AU23" s="7">
        <v>-3.3055982351433e-12</v>
      </c>
      <c r="AV23" s="7">
        <v>-1.3479007290705e-11</v>
      </c>
      <c r="AW23" s="7">
        <v>-3.4639456992787e-12</v>
      </c>
      <c r="AX23" s="7">
        <v>3.2163690254711e-11</v>
      </c>
      <c r="AY23" s="7">
        <v>9.9272978023521e-12</v>
      </c>
      <c r="AZ23" s="7">
        <v>-2.0010527828101e-11</v>
      </c>
      <c r="BA23" s="7">
        <v>7.5809404890233e-12</v>
      </c>
      <c r="BB23" s="7">
        <v>-4.8873277657617e-11</v>
      </c>
      <c r="BC23" s="6">
        <v>16038753.166579</v>
      </c>
      <c r="BD23" s="6">
        <v>4009739.3543149</v>
      </c>
      <c r="BE23" s="6">
        <v>-0.00047927330833709</v>
      </c>
      <c r="BF23" s="6">
        <v>0.00092143231842106</v>
      </c>
      <c r="BG23" s="6">
        <v>0.00024335875907866</v>
      </c>
      <c r="BH23" s="6">
        <v>-0.0026945142368693</v>
      </c>
      <c r="BI23" s="6">
        <v>199.74512962895</v>
      </c>
      <c r="BJ23" s="6">
        <v>99.891917029632</v>
      </c>
      <c r="BK23" s="6">
        <v>184.31994104079</v>
      </c>
      <c r="BL23" s="3"/>
      <c r="BM23" s="5"/>
    </row>
    <row r="24" spans="1:65">
      <c r="A24" s="6">
        <v>223341.79607548</v>
      </c>
      <c r="B24" s="6">
        <v>0.00011333636153591</v>
      </c>
      <c r="C24" s="6"/>
      <c r="D24" s="7">
        <v>2.2857467232246e-12</v>
      </c>
      <c r="E24" s="7">
        <v>2.7762620104534e-12</v>
      </c>
      <c r="F24" s="7">
        <v>2.7755413342075e-12</v>
      </c>
      <c r="G24" s="7">
        <v>2.7719576962391e-12</v>
      </c>
      <c r="H24" s="7">
        <v>2.2765552035929e-12</v>
      </c>
      <c r="I24" s="7">
        <v>2.2788554080625e-12</v>
      </c>
      <c r="J24" s="7">
        <v>2.2772282947809e-12</v>
      </c>
      <c r="K24" s="7">
        <v>2.3850678589513e-12</v>
      </c>
      <c r="L24" s="7">
        <v>2.3906954389646e-12</v>
      </c>
      <c r="M24" s="7">
        <v>2.382976312148e-12</v>
      </c>
      <c r="N24" s="7">
        <v>2.5212172179032e-12</v>
      </c>
      <c r="O24" s="7">
        <v>2.2765635576836e-12</v>
      </c>
      <c r="P24" s="7">
        <v>2.518626583812e-12</v>
      </c>
      <c r="Q24" s="7">
        <v>2.5302922921141e-12</v>
      </c>
      <c r="R24" s="7">
        <v>2.7693989220509e-12</v>
      </c>
      <c r="S24" s="7">
        <v>2.7674712467574e-12</v>
      </c>
      <c r="T24" s="7">
        <v>2.7696917678115e-12</v>
      </c>
      <c r="U24" s="7">
        <v>2.2782683388094e-12</v>
      </c>
      <c r="V24" s="7">
        <v>2.3879724060032e-12</v>
      </c>
      <c r="W24" s="7">
        <v>2.3942611715833e-12</v>
      </c>
      <c r="X24" s="7">
        <v>2.3883874627668e-12</v>
      </c>
      <c r="Y24" s="7">
        <v>2.5220526423156e-12</v>
      </c>
      <c r="Z24" s="7">
        <v>2.5344559024328e-12</v>
      </c>
      <c r="AA24" s="7">
        <v>2.5395287606111e-12</v>
      </c>
      <c r="AB24" s="6">
        <v>0.35675541716398</v>
      </c>
      <c r="AC24" s="6">
        <v>0.14713249382485</v>
      </c>
      <c r="AD24" s="6">
        <v>0.00092281063221859</v>
      </c>
      <c r="AE24" s="7">
        <v>-5.1882266738575e-13</v>
      </c>
      <c r="AF24" s="7">
        <v>2.6121145886623e-11</v>
      </c>
      <c r="AG24" s="7">
        <v>2.3806734866586e-11</v>
      </c>
      <c r="AH24" s="7">
        <v>1.1655182066559e-11</v>
      </c>
      <c r="AI24" s="7">
        <v>-7.0516153894117e-13</v>
      </c>
      <c r="AJ24" s="7">
        <v>5.2567570550198e-12</v>
      </c>
      <c r="AK24" s="7">
        <v>6.0693419859104e-13</v>
      </c>
      <c r="AL24" s="7">
        <v>5.8141463037231e-12</v>
      </c>
      <c r="AM24" s="7">
        <v>1.4893522321451e-12</v>
      </c>
      <c r="AN24" s="7">
        <v>-9.9336799037419e-13</v>
      </c>
      <c r="AO24" s="7">
        <v>2.3801996627133e-12</v>
      </c>
      <c r="AP24" s="7">
        <v>-3.2669684128624e-12</v>
      </c>
      <c r="AQ24" s="7">
        <v>2.5240513454213e-12</v>
      </c>
      <c r="AR24" s="7">
        <v>-1.8448532475747e-11</v>
      </c>
      <c r="AS24" s="7">
        <v>1.1244968619549e-12</v>
      </c>
      <c r="AT24" s="7">
        <v>4.6546495348987e-13</v>
      </c>
      <c r="AU24" s="7">
        <v>-2.9042226382348e-12</v>
      </c>
      <c r="AV24" s="7">
        <v>-1.3036036059612e-11</v>
      </c>
      <c r="AW24" s="7">
        <v>-3.5901816244226e-12</v>
      </c>
      <c r="AX24" s="7">
        <v>3.0413391754219e-11</v>
      </c>
      <c r="AY24" s="7">
        <v>9.7263700743551e-12</v>
      </c>
      <c r="AZ24" s="7">
        <v>-1.9295198039738e-11</v>
      </c>
      <c r="BA24" s="7">
        <v>6.7406128209357e-12</v>
      </c>
      <c r="BB24" s="7">
        <v>-4.5935360716183e-11</v>
      </c>
      <c r="BC24" s="6">
        <v>16041463.417073</v>
      </c>
      <c r="BD24" s="6">
        <v>4010471.9217505</v>
      </c>
      <c r="BE24" s="6">
        <v>-0.00048531639900786</v>
      </c>
      <c r="BF24" s="6">
        <v>0.00092833282479729</v>
      </c>
      <c r="BG24" s="6">
        <v>0.00024394822857842</v>
      </c>
      <c r="BH24" s="6">
        <v>-0.0027352805682632</v>
      </c>
      <c r="BI24" s="6">
        <v>199.74486144356</v>
      </c>
      <c r="BJ24" s="6">
        <v>99.891926979801</v>
      </c>
      <c r="BK24" s="6">
        <v>184.35934583624</v>
      </c>
      <c r="BL24" s="3"/>
      <c r="BM24" s="5"/>
    </row>
    <row r="25" spans="1:65">
      <c r="A25" s="6">
        <v>250593.61681364</v>
      </c>
      <c r="B25" s="6">
        <v>0.00012225993686461</v>
      </c>
      <c r="C25" s="6"/>
      <c r="D25" s="7">
        <v>2.2869760636702e-12</v>
      </c>
      <c r="E25" s="7">
        <v>2.7769126511428e-12</v>
      </c>
      <c r="F25" s="7">
        <v>2.7761669328233e-12</v>
      </c>
      <c r="G25" s="7">
        <v>2.7725134223084e-12</v>
      </c>
      <c r="H25" s="7">
        <v>2.2771407221219e-12</v>
      </c>
      <c r="I25" s="7">
        <v>2.2795964355132e-12</v>
      </c>
      <c r="J25" s="7">
        <v>2.2778272565903e-12</v>
      </c>
      <c r="K25" s="7">
        <v>2.3853904274932e-12</v>
      </c>
      <c r="L25" s="7">
        <v>2.3914553748627e-12</v>
      </c>
      <c r="M25" s="7">
        <v>2.383111722597e-12</v>
      </c>
      <c r="N25" s="7">
        <v>2.5215548962633e-12</v>
      </c>
      <c r="O25" s="7">
        <v>2.2771422104653e-12</v>
      </c>
      <c r="P25" s="7">
        <v>2.5186999992749e-12</v>
      </c>
      <c r="Q25" s="7">
        <v>2.5310809476691e-12</v>
      </c>
      <c r="R25" s="7">
        <v>2.7696327297996e-12</v>
      </c>
      <c r="S25" s="7">
        <v>2.7675652295106e-12</v>
      </c>
      <c r="T25" s="7">
        <v>2.7699811777872e-12</v>
      </c>
      <c r="U25" s="7">
        <v>2.2790109450707e-12</v>
      </c>
      <c r="V25" s="7">
        <v>2.3885077331953e-12</v>
      </c>
      <c r="W25" s="7">
        <v>2.395309760357e-12</v>
      </c>
      <c r="X25" s="7">
        <v>2.3890008192794e-12</v>
      </c>
      <c r="Y25" s="7">
        <v>2.5224363286969e-12</v>
      </c>
      <c r="Z25" s="7">
        <v>2.5355577477178e-12</v>
      </c>
      <c r="AA25" s="7">
        <v>2.5409786699364e-12</v>
      </c>
      <c r="AB25" s="6">
        <v>0.35831775596465</v>
      </c>
      <c r="AC25" s="6">
        <v>0.14522108400851</v>
      </c>
      <c r="AD25" s="6">
        <v>0.00093106116055002</v>
      </c>
      <c r="AE25" s="7">
        <v>-3.3646222780711e-13</v>
      </c>
      <c r="AF25" s="7">
        <v>2.453148640624e-11</v>
      </c>
      <c r="AG25" s="7">
        <v>2.2424907475202e-11</v>
      </c>
      <c r="AH25" s="7">
        <v>1.1490016140404e-11</v>
      </c>
      <c r="AI25" s="7">
        <v>-5.729021177317e-13</v>
      </c>
      <c r="AJ25" s="7">
        <v>4.8563770333626e-12</v>
      </c>
      <c r="AK25" s="7">
        <v>7.0397317715076e-13</v>
      </c>
      <c r="AL25" s="7">
        <v>5.4139067621118e-12</v>
      </c>
      <c r="AM25" s="7">
        <v>1.3688656285189e-12</v>
      </c>
      <c r="AN25" s="7">
        <v>-9.7321914691172e-13</v>
      </c>
      <c r="AO25" s="7">
        <v>2.1751766395053e-12</v>
      </c>
      <c r="AP25" s="7">
        <v>-3.4052725042095e-12</v>
      </c>
      <c r="AQ25" s="7">
        <v>2.4488843290145e-12</v>
      </c>
      <c r="AR25" s="7">
        <v>-1.7333211587857e-11</v>
      </c>
      <c r="AS25" s="7">
        <v>1.2317136053911e-12</v>
      </c>
      <c r="AT25" s="7">
        <v>4.2893280113187e-13</v>
      </c>
      <c r="AU25" s="7">
        <v>-2.5349215786273e-12</v>
      </c>
      <c r="AV25" s="7">
        <v>-1.2580405264738e-11</v>
      </c>
      <c r="AW25" s="7">
        <v>-3.7193267357155e-12</v>
      </c>
      <c r="AX25" s="7">
        <v>2.8698105166834e-11</v>
      </c>
      <c r="AY25" s="7">
        <v>9.5187186482698e-12</v>
      </c>
      <c r="AZ25" s="7">
        <v>-1.8599551139083e-11</v>
      </c>
      <c r="BA25" s="7">
        <v>5.9549614185632e-12</v>
      </c>
      <c r="BB25" s="7">
        <v>-4.3164392740984e-11</v>
      </c>
      <c r="BC25" s="6">
        <v>16044343.012452</v>
      </c>
      <c r="BD25" s="6">
        <v>4011255.3507334</v>
      </c>
      <c r="BE25" s="6">
        <v>-0.00049179689898487</v>
      </c>
      <c r="BF25" s="6">
        <v>0.0009357777983275</v>
      </c>
      <c r="BG25" s="6">
        <v>0.00024460793939681</v>
      </c>
      <c r="BH25" s="6">
        <v>-0.0027779520442629</v>
      </c>
      <c r="BI25" s="6">
        <v>199.74458634391</v>
      </c>
      <c r="BJ25" s="6">
        <v>99.89193705546</v>
      </c>
      <c r="BK25" s="6">
        <v>184.40120631356</v>
      </c>
      <c r="BL25" s="3"/>
      <c r="BM25" s="5"/>
    </row>
    <row r="26" spans="1:65">
      <c r="A26" s="6">
        <v>281170.66259518</v>
      </c>
      <c r="B26" s="6">
        <v>0.00013185837638573</v>
      </c>
      <c r="C26" s="6"/>
      <c r="D26" s="7">
        <v>2.2882553057461e-12</v>
      </c>
      <c r="E26" s="7">
        <v>2.7776444692787e-12</v>
      </c>
      <c r="F26" s="7">
        <v>2.7768721845502e-12</v>
      </c>
      <c r="G26" s="7">
        <v>2.7731627736058e-12</v>
      </c>
      <c r="H26" s="7">
        <v>2.2777406552111e-12</v>
      </c>
      <c r="I26" s="7">
        <v>2.2803621798038e-12</v>
      </c>
      <c r="J26" s="7">
        <v>2.2784331491461e-12</v>
      </c>
      <c r="K26" s="7">
        <v>2.3857122452283e-12</v>
      </c>
      <c r="L26" s="7">
        <v>2.3922464342745e-12</v>
      </c>
      <c r="M26" s="7">
        <v>2.3832330018002e-12</v>
      </c>
      <c r="N26" s="7">
        <v>2.5219096217619e-12</v>
      </c>
      <c r="O26" s="7">
        <v>2.2777347130704e-12</v>
      </c>
      <c r="P26" s="7">
        <v>2.5187622672126e-12</v>
      </c>
      <c r="Q26" s="7">
        <v>2.5318965619473e-12</v>
      </c>
      <c r="R26" s="7">
        <v>2.7699268964955e-12</v>
      </c>
      <c r="S26" s="7">
        <v>2.7677107828341e-12</v>
      </c>
      <c r="T26" s="7">
        <v>2.7703403328676e-12</v>
      </c>
      <c r="U26" s="7">
        <v>2.2797782006751e-12</v>
      </c>
      <c r="V26" s="7">
        <v>2.3890606401685e-12</v>
      </c>
      <c r="W26" s="7">
        <v>2.3964083545052e-12</v>
      </c>
      <c r="X26" s="7">
        <v>2.3896383332439e-12</v>
      </c>
      <c r="Y26" s="7">
        <v>2.5228382232316e-12</v>
      </c>
      <c r="Z26" s="7">
        <v>2.5367110241769e-12</v>
      </c>
      <c r="AA26" s="7">
        <v>2.5424927728508e-12</v>
      </c>
      <c r="AB26" s="6">
        <v>0.36022530275542</v>
      </c>
      <c r="AC26" s="6">
        <v>0.14343701417063</v>
      </c>
      <c r="AD26" s="6">
        <v>0.00093994511459918</v>
      </c>
      <c r="AE26" s="7">
        <v>-1.4626780404911e-13</v>
      </c>
      <c r="AF26" s="7">
        <v>2.306503303582e-11</v>
      </c>
      <c r="AG26" s="7">
        <v>2.1121110366746e-11</v>
      </c>
      <c r="AH26" s="7">
        <v>1.1301393282083e-11</v>
      </c>
      <c r="AI26" s="7">
        <v>-4.4067790584211e-13</v>
      </c>
      <c r="AJ26" s="7">
        <v>4.4672654505151e-12</v>
      </c>
      <c r="AK26" s="7">
        <v>7.9858561485085e-13</v>
      </c>
      <c r="AL26" s="7">
        <v>5.0285668028326e-12</v>
      </c>
      <c r="AM26" s="7">
        <v>1.275871487251e-12</v>
      </c>
      <c r="AN26" s="7">
        <v>-9.5260975192253e-13</v>
      </c>
      <c r="AO26" s="7">
        <v>1.9643856453352e-12</v>
      </c>
      <c r="AP26" s="7">
        <v>-3.5376350837204e-12</v>
      </c>
      <c r="AQ26" s="7">
        <v>2.3700366734192e-12</v>
      </c>
      <c r="AR26" s="7">
        <v>-1.6298265849116e-11</v>
      </c>
      <c r="AS26" s="7">
        <v>1.3146855911541e-12</v>
      </c>
      <c r="AT26" s="7">
        <v>3.9775336675385e-13</v>
      </c>
      <c r="AU26" s="7">
        <v>-2.19886132747e-12</v>
      </c>
      <c r="AV26" s="7">
        <v>-1.2112750245943e-11</v>
      </c>
      <c r="AW26" s="7">
        <v>-3.8478208179118e-12</v>
      </c>
      <c r="AX26" s="7">
        <v>2.702643896003e-11</v>
      </c>
      <c r="AY26" s="7">
        <v>9.3003108677883e-12</v>
      </c>
      <c r="AZ26" s="7">
        <v>-1.7920201029616e-11</v>
      </c>
      <c r="BA26" s="7">
        <v>5.2211418514793e-12</v>
      </c>
      <c r="BB26" s="7">
        <v>-4.0558722281396e-11</v>
      </c>
      <c r="BC26" s="6">
        <v>16047400.945479</v>
      </c>
      <c r="BD26" s="6">
        <v>4012092.8614427</v>
      </c>
      <c r="BE26" s="6">
        <v>-0.00049874550071854</v>
      </c>
      <c r="BF26" s="6">
        <v>0.00094381215348899</v>
      </c>
      <c r="BG26" s="6">
        <v>0.00024534539391556</v>
      </c>
      <c r="BH26" s="6">
        <v>-0.0028226173232457</v>
      </c>
      <c r="BI26" s="6">
        <v>199.74430548787</v>
      </c>
      <c r="BJ26" s="6">
        <v>99.891947281625</v>
      </c>
      <c r="BK26" s="6">
        <v>184.44563479274</v>
      </c>
      <c r="BL26" s="3"/>
      <c r="BM26" s="5"/>
    </row>
    <row r="27" spans="1:65">
      <c r="A27" s="6">
        <v>315478.6722401</v>
      </c>
      <c r="B27" s="6">
        <v>0.0001421815475842</v>
      </c>
      <c r="C27" s="6"/>
      <c r="D27" s="7">
        <v>2.289596260111e-12</v>
      </c>
      <c r="E27" s="7">
        <v>2.7784677136305e-12</v>
      </c>
      <c r="F27" s="7">
        <v>2.7776666390657e-12</v>
      </c>
      <c r="G27" s="7">
        <v>2.7739169275e-12</v>
      </c>
      <c r="H27" s="7">
        <v>2.2783651695716e-12</v>
      </c>
      <c r="I27" s="7">
        <v>2.2811644215027e-12</v>
      </c>
      <c r="J27" s="7">
        <v>2.2790543470608e-12</v>
      </c>
      <c r="K27" s="7">
        <v>2.3860561197283e-12</v>
      </c>
      <c r="L27" s="7">
        <v>2.3930936401172e-12</v>
      </c>
      <c r="M27" s="7">
        <v>2.3833624204622e-12</v>
      </c>
      <c r="N27" s="7">
        <v>2.5222840791669e-12</v>
      </c>
      <c r="O27" s="7">
        <v>2.2783514847287e-12</v>
      </c>
      <c r="P27" s="7">
        <v>2.5188134114077e-12</v>
      </c>
      <c r="Q27" s="7">
        <v>2.5327414547437e-12</v>
      </c>
      <c r="R27" s="7">
        <v>2.7702900937595e-12</v>
      </c>
      <c r="S27" s="7">
        <v>2.7679160721694e-12</v>
      </c>
      <c r="T27" s="7">
        <v>2.7707791106485e-12</v>
      </c>
      <c r="U27" s="7">
        <v>2.2805801422454e-12</v>
      </c>
      <c r="V27" s="7">
        <v>2.3896559979094e-12</v>
      </c>
      <c r="W27" s="7">
        <v>2.3975835757546e-12</v>
      </c>
      <c r="X27" s="7">
        <v>2.3903244037774e-12</v>
      </c>
      <c r="Y27" s="7">
        <v>2.5232610358878e-12</v>
      </c>
      <c r="Z27" s="7">
        <v>2.5379194286333e-12</v>
      </c>
      <c r="AA27" s="7">
        <v>2.5440748606223e-12</v>
      </c>
      <c r="AB27" s="6">
        <v>0.36248653321994</v>
      </c>
      <c r="AC27" s="6">
        <v>0.14180578594605</v>
      </c>
      <c r="AD27" s="6">
        <v>0.00094951292871469</v>
      </c>
      <c r="AE27" s="7">
        <v>4.874630937939e-14</v>
      </c>
      <c r="AF27" s="7">
        <v>2.1713853705289e-11</v>
      </c>
      <c r="AG27" s="7">
        <v>1.9894802582161e-11</v>
      </c>
      <c r="AH27" s="7">
        <v>1.1089394670891e-11</v>
      </c>
      <c r="AI27" s="7">
        <v>-3.0992268537843e-13</v>
      </c>
      <c r="AJ27" s="7">
        <v>4.0898072512163e-12</v>
      </c>
      <c r="AK27" s="7">
        <v>8.8989642200747e-13</v>
      </c>
      <c r="AL27" s="7">
        <v>4.6606076184804e-12</v>
      </c>
      <c r="AM27" s="7">
        <v>1.2077542813726e-12</v>
      </c>
      <c r="AN27" s="7">
        <v>-9.3192108201962e-13</v>
      </c>
      <c r="AO27" s="7">
        <v>1.7466739927262e-12</v>
      </c>
      <c r="AP27" s="7">
        <v>-3.6621751787669e-12</v>
      </c>
      <c r="AQ27" s="7">
        <v>2.2882308794813e-12</v>
      </c>
      <c r="AR27" s="7">
        <v>-1.5343117831117e-11</v>
      </c>
      <c r="AS27" s="7">
        <v>1.3750837254598e-12</v>
      </c>
      <c r="AT27" s="7">
        <v>3.7170174874462e-13</v>
      </c>
      <c r="AU27" s="7">
        <v>-1.897131725953e-12</v>
      </c>
      <c r="AV27" s="7">
        <v>-1.1634463775449e-11</v>
      </c>
      <c r="AW27" s="7">
        <v>-3.9721118497357e-12</v>
      </c>
      <c r="AX27" s="7">
        <v>2.5406758599624e-11</v>
      </c>
      <c r="AY27" s="7">
        <v>9.0682723069949e-12</v>
      </c>
      <c r="AZ27" s="7">
        <v>-1.7253620381012e-11</v>
      </c>
      <c r="BA27" s="7">
        <v>4.5363350549532e-12</v>
      </c>
      <c r="BB27" s="7">
        <v>-3.8115182847933e-11</v>
      </c>
      <c r="BC27" s="6">
        <v>16050646.606142</v>
      </c>
      <c r="BD27" s="6">
        <v>4012987.8731765</v>
      </c>
      <c r="BE27" s="6">
        <v>-0.00050619515906418</v>
      </c>
      <c r="BF27" s="6">
        <v>0.00095248503275058</v>
      </c>
      <c r="BG27" s="6">
        <v>0.00024616879663658</v>
      </c>
      <c r="BH27" s="6">
        <v>-0.0028693780185416</v>
      </c>
      <c r="BI27" s="6">
        <v>199.74402025126</v>
      </c>
      <c r="BJ27" s="6">
        <v>99.891957708781</v>
      </c>
      <c r="BK27" s="6">
        <v>184.49273420663</v>
      </c>
      <c r="BL27" s="3"/>
      <c r="BM27" s="5"/>
    </row>
    <row r="28" spans="1:65">
      <c r="A28" s="6">
        <v>353972.89219207</v>
      </c>
      <c r="B28" s="6">
        <v>0.00015328339974054</v>
      </c>
      <c r="C28" s="6"/>
      <c r="D28" s="7">
        <v>2.2910089046106e-12</v>
      </c>
      <c r="E28" s="7">
        <v>2.7793855782847e-12</v>
      </c>
      <c r="F28" s="7">
        <v>2.7785527834917e-12</v>
      </c>
      <c r="G28" s="7">
        <v>2.7747798015193e-12</v>
      </c>
      <c r="H28" s="7">
        <v>2.2790223387798e-12</v>
      </c>
      <c r="I28" s="7">
        <v>2.2820132054327e-12</v>
      </c>
      <c r="J28" s="7">
        <v>2.2796969227238e-12</v>
      </c>
      <c r="K28" s="7">
        <v>2.3864217896155e-12</v>
      </c>
      <c r="L28" s="7">
        <v>2.3939985357277e-12</v>
      </c>
      <c r="M28" s="7">
        <v>2.3834991490162e-12</v>
      </c>
      <c r="N28" s="7">
        <v>2.5226961180142e-12</v>
      </c>
      <c r="O28" s="7">
        <v>2.2790009422684e-12</v>
      </c>
      <c r="P28" s="7">
        <v>2.518868364378e-12</v>
      </c>
      <c r="Q28" s="7">
        <v>2.5336332617586e-12</v>
      </c>
      <c r="R28" s="7">
        <v>2.7707237863493e-12</v>
      </c>
      <c r="S28" s="7">
        <v>2.7681819724655e-12</v>
      </c>
      <c r="T28" s="7">
        <v>2.7713002086917e-12</v>
      </c>
      <c r="U28" s="7">
        <v>2.2814245543273e-12</v>
      </c>
      <c r="V28" s="7">
        <v>2.3902958312727e-12</v>
      </c>
      <c r="W28" s="7">
        <v>2.398837913133e-12</v>
      </c>
      <c r="X28" s="7">
        <v>2.3910602431786e-12</v>
      </c>
      <c r="Y28" s="7">
        <v>2.5237225400371e-12</v>
      </c>
      <c r="Z28" s="7">
        <v>2.5392020477778e-12</v>
      </c>
      <c r="AA28" s="7">
        <v>2.5457441638974e-12</v>
      </c>
      <c r="AB28" s="6">
        <v>0.36510714800253</v>
      </c>
      <c r="AC28" s="6">
        <v>0.14035419568038</v>
      </c>
      <c r="AD28" s="6">
        <v>0.00095981960319568</v>
      </c>
      <c r="AE28" s="7">
        <v>2.4545985618812e-13</v>
      </c>
      <c r="AF28" s="7">
        <v>2.0469666549617e-11</v>
      </c>
      <c r="AG28" s="7">
        <v>1.8745219098577e-11</v>
      </c>
      <c r="AH28" s="7">
        <v>1.0854396289047e-11</v>
      </c>
      <c r="AI28" s="7">
        <v>-1.8235795769129e-13</v>
      </c>
      <c r="AJ28" s="7">
        <v>3.7247713889479e-12</v>
      </c>
      <c r="AK28" s="7">
        <v>9.7723205627471e-13</v>
      </c>
      <c r="AL28" s="7">
        <v>4.3120980694677e-12</v>
      </c>
      <c r="AM28" s="7">
        <v>1.1603465396905e-12</v>
      </c>
      <c r="AN28" s="7">
        <v>-9.1185073598502e-13</v>
      </c>
      <c r="AO28" s="7">
        <v>1.5213096959837e-12</v>
      </c>
      <c r="AP28" s="7">
        <v>-3.776683684566e-12</v>
      </c>
      <c r="AQ28" s="7">
        <v>2.2039986592809e-12</v>
      </c>
      <c r="AR28" s="7">
        <v>-1.4466032676906e-11</v>
      </c>
      <c r="AS28" s="7">
        <v>1.4147308082457e-12</v>
      </c>
      <c r="AT28" s="7">
        <v>3.5037901329805e-13</v>
      </c>
      <c r="AU28" s="7">
        <v>-1.6306047086453e-12</v>
      </c>
      <c r="AV28" s="7">
        <v>-1.1147830679823e-11</v>
      </c>
      <c r="AW28" s="7">
        <v>-4.0886683289425e-12</v>
      </c>
      <c r="AX28" s="7">
        <v>2.3846454684026e-11</v>
      </c>
      <c r="AY28" s="7">
        <v>8.8210574781834e-12</v>
      </c>
      <c r="AZ28" s="7">
        <v>-1.6596525823904e-11</v>
      </c>
      <c r="BA28" s="7">
        <v>3.8977855140728e-12</v>
      </c>
      <c r="BB28" s="7">
        <v>-3.582882770346e-11</v>
      </c>
      <c r="BC28" s="6">
        <v>16054089.845248</v>
      </c>
      <c r="BD28" s="6">
        <v>4013944.0302484</v>
      </c>
      <c r="BE28" s="6">
        <v>-0.00051418135909489</v>
      </c>
      <c r="BF28" s="6">
        <v>0.00096185033946982</v>
      </c>
      <c r="BG28" s="6">
        <v>0.00024708712499779</v>
      </c>
      <c r="BH28" s="6">
        <v>-0.0029183493975471</v>
      </c>
      <c r="BI28" s="6">
        <v>199.74373219489</v>
      </c>
      <c r="BJ28" s="6">
        <v>99.89196841018</v>
      </c>
      <c r="BK28" s="6">
        <v>184.54259210349</v>
      </c>
      <c r="BL28" s="3"/>
      <c r="BM28" s="5"/>
    </row>
    <row r="29" spans="1:65">
      <c r="A29" s="6">
        <v>397164.11736215</v>
      </c>
      <c r="B29" s="6">
        <v>0.00016522252307321</v>
      </c>
      <c r="C29" s="6"/>
      <c r="D29" s="7">
        <v>2.2924705924911e-12</v>
      </c>
      <c r="E29" s="7">
        <v>2.7804110372005e-12</v>
      </c>
      <c r="F29" s="7">
        <v>2.7795429190069e-12</v>
      </c>
      <c r="G29" s="7">
        <v>2.7757648406599e-12</v>
      </c>
      <c r="H29" s="7">
        <v>2.2796872593843e-12</v>
      </c>
      <c r="I29" s="7">
        <v>2.2828859811475e-12</v>
      </c>
      <c r="J29" s="7">
        <v>2.2803337717943e-12</v>
      </c>
      <c r="K29" s="7">
        <v>2.3868129567262e-12</v>
      </c>
      <c r="L29" s="7">
        <v>2.3949662393436e-12</v>
      </c>
      <c r="M29" s="7">
        <v>2.3836462353981e-12</v>
      </c>
      <c r="N29" s="7">
        <v>2.5231380256998e-12</v>
      </c>
      <c r="O29" s="7">
        <v>2.2796586196535e-12</v>
      </c>
      <c r="P29" s="7">
        <v>2.518916396798e-12</v>
      </c>
      <c r="Q29" s="7">
        <v>2.53456445039e-12</v>
      </c>
      <c r="R29" s="7">
        <v>2.7712390856784e-12</v>
      </c>
      <c r="S29" s="7">
        <v>2.7685188819513e-12</v>
      </c>
      <c r="T29" s="7">
        <v>2.771915962178e-12</v>
      </c>
      <c r="U29" s="7">
        <v>2.2822860888751e-12</v>
      </c>
      <c r="V29" s="7">
        <v>2.3909863505576e-12</v>
      </c>
      <c r="W29" s="7">
        <v>2.4001768232875e-12</v>
      </c>
      <c r="X29" s="7">
        <v>2.3918508531451e-12</v>
      </c>
      <c r="Y29" s="7">
        <v>2.5242150037024e-12</v>
      </c>
      <c r="Z29" s="7">
        <v>2.5405525590003e-12</v>
      </c>
      <c r="AA29" s="7">
        <v>2.5474948937513e-12</v>
      </c>
      <c r="AB29" s="6">
        <v>0.36808890200408</v>
      </c>
      <c r="AC29" s="6">
        <v>0.13910971485567</v>
      </c>
      <c r="AD29" s="6">
        <v>0.00097092529289611</v>
      </c>
      <c r="AE29" s="7">
        <v>4.4099469193141e-13</v>
      </c>
      <c r="AF29" s="7">
        <v>1.9324279055938e-11</v>
      </c>
      <c r="AG29" s="7">
        <v>1.7671391750076e-11</v>
      </c>
      <c r="AH29" s="7">
        <v>1.0597431741732e-11</v>
      </c>
      <c r="AI29" s="7">
        <v>-5.9924875250641e-14</v>
      </c>
      <c r="AJ29" s="7">
        <v>3.3734708065142e-12</v>
      </c>
      <c r="AK29" s="7">
        <v>1.0601310502355e-12</v>
      </c>
      <c r="AL29" s="7">
        <v>3.9846917434318e-12</v>
      </c>
      <c r="AM29" s="7">
        <v>1.1287082049715e-12</v>
      </c>
      <c r="AN29" s="7">
        <v>-8.9314716688414e-13</v>
      </c>
      <c r="AO29" s="7">
        <v>1.2882990881512e-12</v>
      </c>
      <c r="AP29" s="7">
        <v>-3.8786882046824e-12</v>
      </c>
      <c r="AQ29" s="7">
        <v>2.1175905421659e-12</v>
      </c>
      <c r="AR29" s="7">
        <v>-1.3664221447907e-11</v>
      </c>
      <c r="AS29" s="7">
        <v>1.4355320223603e-12</v>
      </c>
      <c r="AT29" s="7">
        <v>3.3316344739095e-13</v>
      </c>
      <c r="AU29" s="7">
        <v>-1.3997621038251e-12</v>
      </c>
      <c r="AV29" s="7">
        <v>-1.0656063601211e-11</v>
      </c>
      <c r="AW29" s="7">
        <v>-4.1939546988493e-12</v>
      </c>
      <c r="AX29" s="7">
        <v>2.2351385536766e-11</v>
      </c>
      <c r="AY29" s="7">
        <v>8.5584878830583e-12</v>
      </c>
      <c r="AZ29" s="7">
        <v>-1.5946296145463e-11</v>
      </c>
      <c r="BA29" s="7">
        <v>3.303011869649e-12</v>
      </c>
      <c r="BB29" s="7">
        <v>-3.3692928921012e-11</v>
      </c>
      <c r="BC29" s="6">
        <v>16057741.059932</v>
      </c>
      <c r="BD29" s="6">
        <v>4014965.2353121</v>
      </c>
      <c r="BE29" s="6">
        <v>-0.00052274246217404</v>
      </c>
      <c r="BF29" s="6">
        <v>0.00097196734996767</v>
      </c>
      <c r="BG29" s="6">
        <v>0.00024811022357242</v>
      </c>
      <c r="BH29" s="6">
        <v>-0.0029696658423257</v>
      </c>
      <c r="BI29" s="6">
        <v>199.74344301655</v>
      </c>
      <c r="BJ29" s="6">
        <v>99.89197947441</v>
      </c>
      <c r="BK29" s="6">
        <v>184.5952741103</v>
      </c>
      <c r="BL29" s="3"/>
      <c r="BM29" s="5"/>
    </row>
    <row r="30" spans="1:65">
      <c r="A30" s="6">
        <v>445625.46906688</v>
      </c>
      <c r="B30" s="6">
        <v>0.0001780627904115</v>
      </c>
      <c r="C30" s="6"/>
      <c r="D30" s="7">
        <v>2.2939811066142e-12</v>
      </c>
      <c r="E30" s="7">
        <v>2.7815337363442e-12</v>
      </c>
      <c r="F30" s="7">
        <v>2.7806260984632e-12</v>
      </c>
      <c r="G30" s="7">
        <v>2.7768618715729e-12</v>
      </c>
      <c r="H30" s="7">
        <v>2.2803570025655e-12</v>
      </c>
      <c r="I30" s="7">
        <v>2.2837825673143e-12</v>
      </c>
      <c r="J30" s="7">
        <v>2.2809595814946e-12</v>
      </c>
      <c r="K30" s="7">
        <v>2.38723287357e-12</v>
      </c>
      <c r="L30" s="7">
        <v>2.3960020455176e-12</v>
      </c>
      <c r="M30" s="7">
        <v>2.3838061054348e-12</v>
      </c>
      <c r="N30" s="7">
        <v>2.5236122673789e-12</v>
      </c>
      <c r="O30" s="7">
        <v>2.2803221148869e-12</v>
      </c>
      <c r="P30" s="7">
        <v>2.5189566981142e-12</v>
      </c>
      <c r="Q30" s="7">
        <v>2.5355379979967e-12</v>
      </c>
      <c r="R30" s="7">
        <v>2.7718236670187e-12</v>
      </c>
      <c r="S30" s="7">
        <v>2.7689135862217e-12</v>
      </c>
      <c r="T30" s="7">
        <v>2.7726152234942e-12</v>
      </c>
      <c r="U30" s="7">
        <v>2.2831612318003e-12</v>
      </c>
      <c r="V30" s="7">
        <v>2.3917335133605e-12</v>
      </c>
      <c r="W30" s="7">
        <v>2.4016065007498e-12</v>
      </c>
      <c r="X30" s="7">
        <v>2.3927005268572e-12</v>
      </c>
      <c r="Y30" s="7">
        <v>2.5247407802975e-12</v>
      </c>
      <c r="Z30" s="7">
        <v>2.5419751205351e-12</v>
      </c>
      <c r="AA30" s="7">
        <v>2.5493319355853e-12</v>
      </c>
      <c r="AB30" s="6">
        <v>0.37143039635107</v>
      </c>
      <c r="AC30" s="6">
        <v>0.13810041479309</v>
      </c>
      <c r="AD30" s="6">
        <v>0.00098289598683348</v>
      </c>
      <c r="AE30" s="7">
        <v>6.3291510187833e-13</v>
      </c>
      <c r="AF30" s="7">
        <v>1.8269877922845e-11</v>
      </c>
      <c r="AG30" s="7">
        <v>1.6672171943905e-11</v>
      </c>
      <c r="AH30" s="7">
        <v>1.0320381830317e-11</v>
      </c>
      <c r="AI30" s="7">
        <v>5.5370241581734e-14</v>
      </c>
      <c r="AJ30" s="7">
        <v>3.0378602971043e-12</v>
      </c>
      <c r="AK30" s="7">
        <v>1.138329056464e-12</v>
      </c>
      <c r="AL30" s="7">
        <v>3.6796618932477e-12</v>
      </c>
      <c r="AM30" s="7">
        <v>1.1081240802534e-12</v>
      </c>
      <c r="AN30" s="7">
        <v>-8.7641200258461e-13</v>
      </c>
      <c r="AO30" s="7">
        <v>1.0488819479095e-12</v>
      </c>
      <c r="AP30" s="7">
        <v>-3.9655668565148e-12</v>
      </c>
      <c r="AQ30" s="7">
        <v>2.0289460418423e-12</v>
      </c>
      <c r="AR30" s="7">
        <v>-1.2934040220815e-11</v>
      </c>
      <c r="AS30" s="7">
        <v>1.4394277711432e-12</v>
      </c>
      <c r="AT30" s="7">
        <v>3.1918717452923e-13</v>
      </c>
      <c r="AU30" s="7">
        <v>-1.2045649648101e-12</v>
      </c>
      <c r="AV30" s="7">
        <v>-1.0163183287992e-11</v>
      </c>
      <c r="AW30" s="7">
        <v>-4.284375956549e-12</v>
      </c>
      <c r="AX30" s="7">
        <v>2.0925606124859e-11</v>
      </c>
      <c r="AY30" s="7">
        <v>8.281624808921e-12</v>
      </c>
      <c r="AZ30" s="7">
        <v>-1.5301344211616e-11</v>
      </c>
      <c r="BA30" s="7">
        <v>2.7502014512976e-12</v>
      </c>
      <c r="BB30" s="7">
        <v>-3.1699252326582e-11</v>
      </c>
      <c r="BC30" s="6">
        <v>16061611.289725</v>
      </c>
      <c r="BD30" s="6">
        <v>4016055.6869874</v>
      </c>
      <c r="BE30" s="6">
        <v>-0.00053192011048397</v>
      </c>
      <c r="BF30" s="6">
        <v>0.0009829014000909</v>
      </c>
      <c r="BG30" s="6">
        <v>0.00024924893246642</v>
      </c>
      <c r="BH30" s="6">
        <v>-0.0030234850260217</v>
      </c>
      <c r="BI30" s="6">
        <v>199.74315447951</v>
      </c>
      <c r="BJ30" s="6">
        <v>99.891991001742</v>
      </c>
      <c r="BK30" s="6">
        <v>184.65081806938</v>
      </c>
      <c r="BL30" s="3"/>
      <c r="BM30" s="5"/>
    </row>
    <row r="31" spans="1:65">
      <c r="A31" s="6">
        <v>500000.00000001</v>
      </c>
      <c r="B31" s="6">
        <v>0.00019187405769813</v>
      </c>
      <c r="C31" s="6"/>
      <c r="D31" s="7">
        <v>2.2955413804887e-12</v>
      </c>
      <c r="E31" s="7">
        <v>2.7827571017177e-12</v>
      </c>
      <c r="F31" s="7">
        <v>2.7818052883108e-12</v>
      </c>
      <c r="G31" s="7">
        <v>2.7780741892388e-12</v>
      </c>
      <c r="H31" s="7">
        <v>2.2810292319812e-12</v>
      </c>
      <c r="I31" s="7">
        <v>2.2847037661214e-12</v>
      </c>
      <c r="J31" s="7">
        <v>2.2815694694464e-12</v>
      </c>
      <c r="K31" s="7">
        <v>2.387655365089e-12</v>
      </c>
      <c r="L31" s="7">
        <v>2.3970821018993e-12</v>
      </c>
      <c r="M31" s="7">
        <v>2.3839515506537e-12</v>
      </c>
      <c r="N31" s="7">
        <v>2.5241263451726e-12</v>
      </c>
      <c r="O31" s="7">
        <v>2.2809896915322e-12</v>
      </c>
      <c r="P31" s="7">
        <v>2.5189932465815e-12</v>
      </c>
      <c r="Q31" s="7">
        <v>2.5365623569095e-12</v>
      </c>
      <c r="R31" s="7">
        <v>2.772478914754e-12</v>
      </c>
      <c r="S31" s="7">
        <v>2.7693663348882e-12</v>
      </c>
      <c r="T31" s="7">
        <v>2.7734004713887e-12</v>
      </c>
      <c r="U31" s="7">
        <v>2.2840469438894e-12</v>
      </c>
      <c r="V31" s="7">
        <v>2.3925140649334e-12</v>
      </c>
      <c r="W31" s="7">
        <v>2.4031040004867e-12</v>
      </c>
      <c r="X31" s="7">
        <v>2.3935838893159e-12</v>
      </c>
      <c r="Y31" s="7">
        <v>2.525307194849e-12</v>
      </c>
      <c r="Z31" s="7">
        <v>2.5434792686037e-12</v>
      </c>
      <c r="AA31" s="7">
        <v>2.5512658265731e-12</v>
      </c>
      <c r="AB31" s="6">
        <v>0.37512580822118</v>
      </c>
      <c r="AC31" s="6">
        <v>0.13735433106882</v>
      </c>
      <c r="AD31" s="6">
        <v>0.00099580427438414</v>
      </c>
      <c r="AE31" s="7">
        <v>8.192543316744e-13</v>
      </c>
      <c r="AF31" s="7">
        <v>1.7299187802275e-11</v>
      </c>
      <c r="AG31" s="7">
        <v>1.5746266653118e-11</v>
      </c>
      <c r="AH31" s="7">
        <v>1.0025929983388e-11</v>
      </c>
      <c r="AI31" s="7">
        <v>1.616798304711e-13</v>
      </c>
      <c r="AJ31" s="7">
        <v>2.7204959111943e-12</v>
      </c>
      <c r="AK31" s="7">
        <v>1.2117151139773e-12</v>
      </c>
      <c r="AL31" s="7">
        <v>3.3979611168822e-12</v>
      </c>
      <c r="AM31" s="7">
        <v>1.0950113832091e-12</v>
      </c>
      <c r="AN31" s="7">
        <v>-8.620546799958e-13</v>
      </c>
      <c r="AO31" s="7">
        <v>8.0607371630996e-13</v>
      </c>
      <c r="AP31" s="7">
        <v>-4.0346973144342e-12</v>
      </c>
      <c r="AQ31" s="7">
        <v>1.9377329462644e-12</v>
      </c>
      <c r="AR31" s="7">
        <v>-1.2271241077276e-11</v>
      </c>
      <c r="AS31" s="7">
        <v>1.4283696693988e-12</v>
      </c>
      <c r="AT31" s="7">
        <v>3.0735376521475e-13</v>
      </c>
      <c r="AU31" s="7">
        <v>-1.0443925548883e-12</v>
      </c>
      <c r="AV31" s="7">
        <v>-9.673728391905e-12</v>
      </c>
      <c r="AW31" s="7">
        <v>-4.3562560888897e-12</v>
      </c>
      <c r="AX31" s="7">
        <v>1.957137361576e-11</v>
      </c>
      <c r="AY31" s="7">
        <v>7.9924179337404e-12</v>
      </c>
      <c r="AZ31" s="7">
        <v>-1.46613270017e-11</v>
      </c>
      <c r="BA31" s="7">
        <v>2.2386775761457e-12</v>
      </c>
      <c r="BB31" s="7">
        <v>-2.983850575162e-11</v>
      </c>
      <c r="BC31" s="6">
        <v>16065712.31326</v>
      </c>
      <c r="BD31" s="6">
        <v>4017219.9196141</v>
      </c>
      <c r="BE31" s="6">
        <v>-0.00054175968595863</v>
      </c>
      <c r="BF31" s="6">
        <v>0.0009947246325953</v>
      </c>
      <c r="BG31" s="6">
        <v>0.00025051526301559</v>
      </c>
      <c r="BH31" s="6">
        <v>-0.0030799914410191</v>
      </c>
      <c r="BI31" s="6">
        <v>199.74286832959</v>
      </c>
      <c r="BJ31" s="6">
        <v>99.892003099225</v>
      </c>
      <c r="BK31" s="6">
        <v>184.70922944262</v>
      </c>
      <c r="BL31" s="3"/>
      <c r="BM31" s="5"/>
    </row>
    <row r="32" spans="1:65">
      <c r="A32" s="6">
        <v>561009.22715099</v>
      </c>
      <c r="B32" s="6">
        <v>0.00020673290337602</v>
      </c>
      <c r="C32" s="6"/>
      <c r="D32" s="7">
        <v>2.2971551320382e-12</v>
      </c>
      <c r="E32" s="7">
        <v>2.7840989813257e-12</v>
      </c>
      <c r="F32" s="7">
        <v>2.7830980773358e-12</v>
      </c>
      <c r="G32" s="7">
        <v>2.7794191938447e-12</v>
      </c>
      <c r="H32" s="7">
        <v>2.2817037486177e-12</v>
      </c>
      <c r="I32" s="7">
        <v>2.2856528829693e-12</v>
      </c>
      <c r="J32" s="7">
        <v>2.2821605499538e-12</v>
      </c>
      <c r="K32" s="7">
        <v>2.3880756229481e-12</v>
      </c>
      <c r="L32" s="7">
        <v>2.3982042558198e-12</v>
      </c>
      <c r="M32" s="7">
        <v>2.3840764495908e-12</v>
      </c>
      <c r="N32" s="7">
        <v>2.5246902165837e-12</v>
      </c>
      <c r="O32" s="7">
        <v>2.2816617918987e-12</v>
      </c>
      <c r="P32" s="7">
        <v>2.5190322482796e-12</v>
      </c>
      <c r="Q32" s="7">
        <v>2.5376489755231e-12</v>
      </c>
      <c r="R32" s="7">
        <v>2.7732206174351e-12</v>
      </c>
      <c r="S32" s="7">
        <v>2.7698914532393e-12</v>
      </c>
      <c r="T32" s="7">
        <v>2.7742884740319e-12</v>
      </c>
      <c r="U32" s="7">
        <v>2.2849422311129e-12</v>
      </c>
      <c r="V32" s="7">
        <v>2.3933262928284e-12</v>
      </c>
      <c r="W32" s="7">
        <v>2.4046681115589e-12</v>
      </c>
      <c r="X32" s="7">
        <v>2.3944966954608e-12</v>
      </c>
      <c r="Y32" s="7">
        <v>2.5259240012789e-12</v>
      </c>
      <c r="Z32" s="7">
        <v>2.545077380879e-12</v>
      </c>
      <c r="AA32" s="7">
        <v>2.5533102882742e-12</v>
      </c>
      <c r="AB32" s="6">
        <v>0.37916548026382</v>
      </c>
      <c r="AC32" s="6">
        <v>0.13689897365238</v>
      </c>
      <c r="AD32" s="6">
        <v>0.0010097301898017</v>
      </c>
      <c r="AE32" s="7">
        <v>9.9841732554637e-13</v>
      </c>
      <c r="AF32" s="7">
        <v>1.6405486722954e-11</v>
      </c>
      <c r="AG32" s="7">
        <v>1.4892246483854e-11</v>
      </c>
      <c r="AH32" s="7">
        <v>9.7172669595928e-12</v>
      </c>
      <c r="AI32" s="7">
        <v>2.5753526554827e-13</v>
      </c>
      <c r="AJ32" s="7">
        <v>2.4243128658064e-12</v>
      </c>
      <c r="AK32" s="7">
        <v>1.2802683965489e-12</v>
      </c>
      <c r="AL32" s="7">
        <v>3.1402913045807e-12</v>
      </c>
      <c r="AM32" s="7">
        <v>1.0874375204298e-12</v>
      </c>
      <c r="AN32" s="7">
        <v>-8.5041724950438e-13</v>
      </c>
      <c r="AO32" s="7">
        <v>5.6502326392286e-13</v>
      </c>
      <c r="AP32" s="7">
        <v>-4.0835867562673e-12</v>
      </c>
      <c r="AQ32" s="7">
        <v>1.84345066189e-12</v>
      </c>
      <c r="AR32" s="7">
        <v>-1.1671227286807e-11</v>
      </c>
      <c r="AS32" s="7">
        <v>1.4042995295032e-12</v>
      </c>
      <c r="AT32" s="7">
        <v>2.9639188988025e-13</v>
      </c>
      <c r="AU32" s="7">
        <v>-9.1806561476081e-13</v>
      </c>
      <c r="AV32" s="7">
        <v>-9.1923329106609e-12</v>
      </c>
      <c r="AW32" s="7">
        <v>-4.4058889674892e-12</v>
      </c>
      <c r="AX32" s="7">
        <v>1.8289439247638e-11</v>
      </c>
      <c r="AY32" s="7">
        <v>7.6931690822274e-12</v>
      </c>
      <c r="AZ32" s="7">
        <v>-1.4027111594635e-11</v>
      </c>
      <c r="BA32" s="7">
        <v>1.7691991941257e-12</v>
      </c>
      <c r="BB32" s="7">
        <v>-2.8100884239463e-11</v>
      </c>
      <c r="BC32" s="6">
        <v>16070056.731211</v>
      </c>
      <c r="BD32" s="6">
        <v>4018462.8418894</v>
      </c>
      <c r="BE32" s="6">
        <v>-0.00055231081352052</v>
      </c>
      <c r="BF32" s="6">
        <v>0.001007516790534</v>
      </c>
      <c r="BG32" s="6">
        <v>0.00025192263196608</v>
      </c>
      <c r="BH32" s="6">
        <v>-0.0031394037104014</v>
      </c>
      <c r="BI32" s="6">
        <v>199.74258619032</v>
      </c>
      <c r="BJ32" s="6">
        <v>99.892015876055</v>
      </c>
      <c r="BK32" s="6">
        <v>184.77047917789</v>
      </c>
      <c r="BL32" s="3"/>
      <c r="BM32" s="5"/>
    </row>
    <row r="33" spans="1:65">
      <c r="A33" s="6">
        <v>629462.7058971</v>
      </c>
      <c r="B33" s="6">
        <v>0.00022272338383582</v>
      </c>
      <c r="C33" s="6"/>
      <c r="D33" s="7">
        <v>2.2988211969169e-12</v>
      </c>
      <c r="E33" s="7">
        <v>2.7855588496702e-12</v>
      </c>
      <c r="F33" s="7">
        <v>2.7845039695531e-12</v>
      </c>
      <c r="G33" s="7">
        <v>2.7808956033881e-12</v>
      </c>
      <c r="H33" s="7">
        <v>2.2823747621682e-12</v>
      </c>
      <c r="I33" s="7">
        <v>2.2866279461628e-12</v>
      </c>
      <c r="J33" s="7">
        <v>2.2827242247491e-12</v>
      </c>
      <c r="K33" s="7">
        <v>2.3884943256191e-12</v>
      </c>
      <c r="L33" s="7">
        <v>2.3993722444247e-12</v>
      </c>
      <c r="M33" s="7">
        <v>2.3841798652932e-12</v>
      </c>
      <c r="N33" s="7">
        <v>2.5253029779446e-12</v>
      </c>
      <c r="O33" s="7">
        <v>2.2823332582863e-12</v>
      </c>
      <c r="P33" s="7">
        <v>2.5190688744188e-12</v>
      </c>
      <c r="Q33" s="7">
        <v>2.5387990653524e-12</v>
      </c>
      <c r="R33" s="7">
        <v>2.7740462467421e-12</v>
      </c>
      <c r="S33" s="7">
        <v>2.7704845276431e-12</v>
      </c>
      <c r="T33" s="7">
        <v>2.775277543113e-12</v>
      </c>
      <c r="U33" s="7">
        <v>2.2858404372679e-12</v>
      </c>
      <c r="V33" s="7">
        <v>2.3941741212167e-12</v>
      </c>
      <c r="W33" s="7">
        <v>2.4063035846007e-12</v>
      </c>
      <c r="X33" s="7">
        <v>2.3954400046182e-12</v>
      </c>
      <c r="Y33" s="7">
        <v>2.526590130976e-12</v>
      </c>
      <c r="Z33" s="7">
        <v>2.5467714095318e-12</v>
      </c>
      <c r="AA33" s="7">
        <v>2.5554690358035e-12</v>
      </c>
      <c r="AB33" s="6">
        <v>0.38353382863257</v>
      </c>
      <c r="AC33" s="6">
        <v>0.13676024747291</v>
      </c>
      <c r="AD33" s="6">
        <v>0.0010247621165757</v>
      </c>
      <c r="AE33" s="7">
        <v>1.1690131037495e-12</v>
      </c>
      <c r="AF33" s="7">
        <v>1.5582504839173e-11</v>
      </c>
      <c r="AG33" s="7">
        <v>1.4108498965339e-11</v>
      </c>
      <c r="AH33" s="7">
        <v>9.3976140051152e-12</v>
      </c>
      <c r="AI33" s="7">
        <v>3.4196365209806e-13</v>
      </c>
      <c r="AJ33" s="7">
        <v>2.1522604356347e-12</v>
      </c>
      <c r="AK33" s="7">
        <v>1.3439801507856e-12</v>
      </c>
      <c r="AL33" s="7">
        <v>2.9071559632981e-12</v>
      </c>
      <c r="AM33" s="7">
        <v>1.0851410384915e-12</v>
      </c>
      <c r="AN33" s="7">
        <v>-8.4198590070169e-13</v>
      </c>
      <c r="AO33" s="7">
        <v>3.3290322673503e-13</v>
      </c>
      <c r="AP33" s="7">
        <v>-4.1099156388852e-12</v>
      </c>
      <c r="AQ33" s="7">
        <v>1.7455759465149e-12</v>
      </c>
      <c r="AR33" s="7">
        <v>-1.1129259970275e-11</v>
      </c>
      <c r="AS33" s="7">
        <v>1.3691184595044e-12</v>
      </c>
      <c r="AT33" s="7">
        <v>2.849289169896e-13</v>
      </c>
      <c r="AU33" s="7">
        <v>-8.2394712499839e-13</v>
      </c>
      <c r="AV33" s="7">
        <v>-8.7232448857367e-12</v>
      </c>
      <c r="AW33" s="7">
        <v>-4.4296982113537e-12</v>
      </c>
      <c r="AX33" s="7">
        <v>1.7079458779783e-11</v>
      </c>
      <c r="AY33" s="7">
        <v>7.3859582363718e-12</v>
      </c>
      <c r="AZ33" s="7">
        <v>-1.3400516724815e-11</v>
      </c>
      <c r="BA33" s="7">
        <v>1.343872268058e-12</v>
      </c>
      <c r="BB33" s="7">
        <v>-2.6476615979474e-11</v>
      </c>
      <c r="BC33" s="6">
        <v>16074658.017268</v>
      </c>
      <c r="BD33" s="6">
        <v>4019789.7701548</v>
      </c>
      <c r="BE33" s="6">
        <v>-0.00056362788603065</v>
      </c>
      <c r="BF33" s="6">
        <v>0.0010213660408696</v>
      </c>
      <c r="BG33" s="6">
        <v>0.00025348615290314</v>
      </c>
      <c r="BH33" s="6">
        <v>-0.0032019826250729</v>
      </c>
      <c r="BI33" s="6">
        <v>199.74230945235</v>
      </c>
      <c r="BJ33" s="6">
        <v>99.892029440561</v>
      </c>
      <c r="BK33" s="6">
        <v>184.83450446545</v>
      </c>
      <c r="BL33" s="3"/>
      <c r="BM33" s="5"/>
    </row>
    <row r="34" spans="1:65">
      <c r="A34" s="6">
        <v>706268.77231139</v>
      </c>
      <c r="B34" s="6">
        <v>0.00023993778989461</v>
      </c>
      <c r="C34" s="6"/>
      <c r="D34" s="7">
        <v>2.3005427695086e-12</v>
      </c>
      <c r="E34" s="7">
        <v>2.7871234215153e-12</v>
      </c>
      <c r="F34" s="7">
        <v>2.7860101098717e-12</v>
      </c>
      <c r="G34" s="7">
        <v>2.7824890788644e-12</v>
      </c>
      <c r="H34" s="7">
        <v>2.2830401080705e-12</v>
      </c>
      <c r="I34" s="7">
        <v>2.287630845425e-12</v>
      </c>
      <c r="J34" s="7">
        <v>2.283255417792e-12</v>
      </c>
      <c r="K34" s="7">
        <v>2.3889431686313e-12</v>
      </c>
      <c r="L34" s="7">
        <v>2.4006212716645e-12</v>
      </c>
      <c r="M34" s="7">
        <v>2.3842915778618e-12</v>
      </c>
      <c r="N34" s="7">
        <v>2.5259943577132e-12</v>
      </c>
      <c r="O34" s="7">
        <v>2.2830024800242e-12</v>
      </c>
      <c r="P34" s="7">
        <v>2.5191290481453e-12</v>
      </c>
      <c r="Q34" s="7">
        <v>2.5400460556398e-12</v>
      </c>
      <c r="R34" s="7">
        <v>2.7749406658703e-12</v>
      </c>
      <c r="S34" s="7">
        <v>2.7711280191838e-12</v>
      </c>
      <c r="T34" s="7">
        <v>2.7763532280356e-12</v>
      </c>
      <c r="U34" s="7">
        <v>2.2867384734837e-12</v>
      </c>
      <c r="V34" s="7">
        <v>2.3950925912784e-12</v>
      </c>
      <c r="W34" s="7">
        <v>2.4080467604568e-12</v>
      </c>
      <c r="X34" s="7">
        <v>2.3964457925256e-12</v>
      </c>
      <c r="Y34" s="7">
        <v>2.527335288083e-12</v>
      </c>
      <c r="Z34" s="7">
        <v>2.548594447884e-12</v>
      </c>
      <c r="AA34" s="7">
        <v>2.5577819593233e-12</v>
      </c>
      <c r="AB34" s="6">
        <v>0.38821109963448</v>
      </c>
      <c r="AC34" s="6">
        <v>0.13696157347005</v>
      </c>
      <c r="AD34" s="6">
        <v>0.0010409977261591</v>
      </c>
      <c r="AE34" s="7">
        <v>1.3297368170695e-12</v>
      </c>
      <c r="AF34" s="7">
        <v>1.4824215015933e-11</v>
      </c>
      <c r="AG34" s="7">
        <v>1.3393124579493e-11</v>
      </c>
      <c r="AH34" s="7">
        <v>9.0697774150663e-12</v>
      </c>
      <c r="AI34" s="7">
        <v>4.1441717755196e-13</v>
      </c>
      <c r="AJ34" s="7">
        <v>1.9068947787976e-12</v>
      </c>
      <c r="AK34" s="7">
        <v>1.4027850492872e-12</v>
      </c>
      <c r="AL34" s="7">
        <v>2.6988477865496e-12</v>
      </c>
      <c r="AM34" s="7">
        <v>1.0890839888859e-12</v>
      </c>
      <c r="AN34" s="7">
        <v>-8.375568379412e-13</v>
      </c>
      <c r="AO34" s="7">
        <v>1.1820559650007e-13</v>
      </c>
      <c r="AP34" s="7">
        <v>-4.1114737680786e-12</v>
      </c>
      <c r="AQ34" s="7">
        <v>1.643730824751e-12</v>
      </c>
      <c r="AR34" s="7">
        <v>-1.0640587063618e-11</v>
      </c>
      <c r="AS34" s="7">
        <v>1.3246489857647e-12</v>
      </c>
      <c r="AT34" s="7">
        <v>2.7156710928395e-13</v>
      </c>
      <c r="AU34" s="7">
        <v>-7.6008184037648e-13</v>
      </c>
      <c r="AV34" s="7">
        <v>-8.2698899597499e-12</v>
      </c>
      <c r="AW34" s="7">
        <v>-4.4244904946787e-12</v>
      </c>
      <c r="AX34" s="7">
        <v>1.5940363044508e-11</v>
      </c>
      <c r="AY34" s="7">
        <v>7.0722175769343e-12</v>
      </c>
      <c r="AZ34" s="7">
        <v>-1.2783864932125e-11</v>
      </c>
      <c r="BA34" s="7">
        <v>9.6549315702695e-13</v>
      </c>
      <c r="BB34" s="7">
        <v>-2.4956464954361e-11</v>
      </c>
      <c r="BC34" s="6">
        <v>16079530.521126</v>
      </c>
      <c r="BD34" s="6">
        <v>4021206.4525346</v>
      </c>
      <c r="BE34" s="6">
        <v>-0.00057577058279251</v>
      </c>
      <c r="BF34" s="6">
        <v>0.0010363698211092</v>
      </c>
      <c r="BG34" s="6">
        <v>0.0002552229656643</v>
      </c>
      <c r="BH34" s="6">
        <v>-0.0032680326392451</v>
      </c>
      <c r="BI34" s="6">
        <v>199.74203915318</v>
      </c>
      <c r="BJ34" s="6">
        <v>99.892043900427</v>
      </c>
      <c r="BK34" s="6">
        <v>184.90121276095</v>
      </c>
      <c r="BL34" s="3"/>
      <c r="BM34" s="5"/>
    </row>
    <row r="35" spans="1:65">
      <c r="A35" s="6">
        <v>792446.59623057</v>
      </c>
      <c r="B35" s="6">
        <v>0.00025847742770723</v>
      </c>
      <c r="C35" s="6"/>
      <c r="D35" s="7">
        <v>2.3023231766789e-12</v>
      </c>
      <c r="E35" s="7">
        <v>2.788802642107e-12</v>
      </c>
      <c r="F35" s="7">
        <v>2.7876274114823e-12</v>
      </c>
      <c r="G35" s="7">
        <v>2.7842082235008e-12</v>
      </c>
      <c r="H35" s="7">
        <v>2.2836970376734e-12</v>
      </c>
      <c r="I35" s="7">
        <v>2.2886630226827e-12</v>
      </c>
      <c r="J35" s="7">
        <v>2.2837483860072e-12</v>
      </c>
      <c r="K35" s="7">
        <v>2.3893990797546e-12</v>
      </c>
      <c r="L35" s="7">
        <v>2.4019322895084e-12</v>
      </c>
      <c r="M35" s="7">
        <v>2.3843863742864e-12</v>
      </c>
      <c r="N35" s="7">
        <v>2.5267753218942e-12</v>
      </c>
      <c r="O35" s="7">
        <v>2.2836670958988e-12</v>
      </c>
      <c r="P35" s="7">
        <v>2.5192198313269e-12</v>
      </c>
      <c r="Q35" s="7">
        <v>2.5414047646748e-12</v>
      </c>
      <c r="R35" s="7">
        <v>2.7759122256645e-12</v>
      </c>
      <c r="S35" s="7">
        <v>2.7718272789838e-12</v>
      </c>
      <c r="T35" s="7">
        <v>2.7775244175981e-12</v>
      </c>
      <c r="U35" s="7">
        <v>2.2876326113183e-12</v>
      </c>
      <c r="V35" s="7">
        <v>2.3960620488002e-12</v>
      </c>
      <c r="W35" s="7">
        <v>2.4098799019863e-12</v>
      </c>
      <c r="X35" s="7">
        <v>2.397491308213e-12</v>
      </c>
      <c r="Y35" s="7">
        <v>2.5281706811368e-12</v>
      </c>
      <c r="Z35" s="7">
        <v>2.5505614167167e-12</v>
      </c>
      <c r="AA35" s="7">
        <v>2.5602667580441e-12</v>
      </c>
      <c r="AB35" s="6">
        <v>0.39317152486092</v>
      </c>
      <c r="AC35" s="6">
        <v>0.13752261398759</v>
      </c>
      <c r="AD35" s="6">
        <v>0.0010585449370192</v>
      </c>
      <c r="AE35" s="7">
        <v>1.479312738479e-12</v>
      </c>
      <c r="AF35" s="7">
        <v>1.4124550730202e-11</v>
      </c>
      <c r="AG35" s="7">
        <v>1.2743799656749e-11</v>
      </c>
      <c r="AH35" s="7">
        <v>8.7360154557745e-12</v>
      </c>
      <c r="AI35" s="7">
        <v>4.7450720507205e-13</v>
      </c>
      <c r="AJ35" s="7">
        <v>1.6900501271193e-12</v>
      </c>
      <c r="AK35" s="7">
        <v>1.4565180725826e-12</v>
      </c>
      <c r="AL35" s="7">
        <v>2.5153693403596e-12</v>
      </c>
      <c r="AM35" s="7">
        <v>1.100707514431e-12</v>
      </c>
      <c r="AN35" s="7">
        <v>-8.3824993414754e-13</v>
      </c>
      <c r="AO35" s="7">
        <v>-7.0539583701138e-14</v>
      </c>
      <c r="AP35" s="7">
        <v>-4.0860705534007e-12</v>
      </c>
      <c r="AQ35" s="7">
        <v>1.5378418573519e-12</v>
      </c>
      <c r="AR35" s="7">
        <v>-1.0200554618808e-11</v>
      </c>
      <c r="AS35" s="7">
        <v>1.2726034241694e-12</v>
      </c>
      <c r="AT35" s="7">
        <v>2.5493329908741e-13</v>
      </c>
      <c r="AU35" s="7">
        <v>-7.2433200292249e-13</v>
      </c>
      <c r="AV35" s="7">
        <v>-7.8345754215388e-12</v>
      </c>
      <c r="AW35" s="7">
        <v>-4.387787578322e-12</v>
      </c>
      <c r="AX35" s="7">
        <v>1.4870569934948e-11</v>
      </c>
      <c r="AY35" s="7">
        <v>6.7526085503338e-12</v>
      </c>
      <c r="AZ35" s="7">
        <v>-1.217947958002e-11</v>
      </c>
      <c r="BA35" s="7">
        <v>6.3651879880887e-13</v>
      </c>
      <c r="BB35" s="7">
        <v>-2.3532133064261e-11</v>
      </c>
      <c r="BC35" s="6">
        <v>16084689.408639</v>
      </c>
      <c r="BD35" s="6">
        <v>4022719.0798958</v>
      </c>
      <c r="BE35" s="6">
        <v>-0.00058880434101805</v>
      </c>
      <c r="BF35" s="6">
        <v>0.0010526357121499</v>
      </c>
      <c r="BG35" s="6">
        <v>0.00025715259080855</v>
      </c>
      <c r="BH35" s="6">
        <v>-0.0033379198066301</v>
      </c>
      <c r="BI35" s="6">
        <v>199.74177587856</v>
      </c>
      <c r="BJ35" s="6">
        <v>99.89205935816</v>
      </c>
      <c r="BK35" s="6">
        <v>184.9704877018</v>
      </c>
      <c r="BL35" s="3"/>
      <c r="BM35" s="5"/>
    </row>
    <row r="36" spans="1:65">
      <c r="A36" s="6">
        <v>889139.70501948</v>
      </c>
      <c r="B36" s="6">
        <v>0.00027845349215544</v>
      </c>
      <c r="C36" s="6"/>
      <c r="D36" s="7">
        <v>2.3041914239478e-12</v>
      </c>
      <c r="E36" s="7">
        <v>2.790635267657e-12</v>
      </c>
      <c r="F36" s="7">
        <v>2.7893962932718e-12</v>
      </c>
      <c r="G36" s="7">
        <v>2.7860901770842e-12</v>
      </c>
      <c r="H36" s="7">
        <v>2.2843678239382e-12</v>
      </c>
      <c r="I36" s="7">
        <v>2.2897509675012e-12</v>
      </c>
      <c r="J36" s="7">
        <v>2.2842223537676e-12</v>
      </c>
      <c r="K36" s="7">
        <v>2.3898585528233e-12</v>
      </c>
      <c r="L36" s="7">
        <v>2.4033063380661e-12</v>
      </c>
      <c r="M36" s="7">
        <v>2.3844584508124e-12</v>
      </c>
      <c r="N36" s="7">
        <v>2.5276345731316e-12</v>
      </c>
      <c r="O36" s="7">
        <v>2.2843495037507e-12</v>
      </c>
      <c r="P36" s="7">
        <v>2.5193261697428e-12</v>
      </c>
      <c r="Q36" s="7">
        <v>2.5428682725645e-12</v>
      </c>
      <c r="R36" s="7">
        <v>2.7769984399115e-12</v>
      </c>
      <c r="S36" s="7">
        <v>2.7726161797455e-12</v>
      </c>
      <c r="T36" s="7">
        <v>2.7788290569038e-12</v>
      </c>
      <c r="U36" s="7">
        <v>2.2885440811829e-12</v>
      </c>
      <c r="V36" s="7">
        <v>2.3970824126204e-12</v>
      </c>
      <c r="W36" s="7">
        <v>2.4118056227595e-12</v>
      </c>
      <c r="X36" s="7">
        <v>2.398573517263e-12</v>
      </c>
      <c r="Y36" s="7">
        <v>2.5290856482866e-12</v>
      </c>
      <c r="Z36" s="7">
        <v>2.5526656534287e-12</v>
      </c>
      <c r="AA36" s="7">
        <v>2.5629171030458e-12</v>
      </c>
      <c r="AB36" s="6">
        <v>0.39838831625302</v>
      </c>
      <c r="AC36" s="6">
        <v>0.13845803829564</v>
      </c>
      <c r="AD36" s="6">
        <v>0.001077522916408</v>
      </c>
      <c r="AE36" s="7">
        <v>1.6164844149605e-12</v>
      </c>
      <c r="AF36" s="7">
        <v>1.3477142969476e-11</v>
      </c>
      <c r="AG36" s="7">
        <v>1.2157637362773e-11</v>
      </c>
      <c r="AH36" s="7">
        <v>8.3983701631366e-12</v>
      </c>
      <c r="AI36" s="7">
        <v>5.216887203194e-13</v>
      </c>
      <c r="AJ36" s="7">
        <v>1.5026398600898e-12</v>
      </c>
      <c r="AK36" s="7">
        <v>1.5049110933705e-12</v>
      </c>
      <c r="AL36" s="7">
        <v>2.3562939442228e-12</v>
      </c>
      <c r="AM36" s="7">
        <v>1.1210799177954e-12</v>
      </c>
      <c r="AN36" s="7">
        <v>-8.4535212794066e-13</v>
      </c>
      <c r="AO36" s="7">
        <v>-2.2645155546036e-13</v>
      </c>
      <c r="AP36" s="7">
        <v>-4.0315851937553e-12</v>
      </c>
      <c r="AQ36" s="7">
        <v>1.4282706502963e-12</v>
      </c>
      <c r="AR36" s="7">
        <v>-9.8047358483451e-12</v>
      </c>
      <c r="AS36" s="7">
        <v>1.2145426833113e-12</v>
      </c>
      <c r="AT36" s="7">
        <v>2.3369252975065e-13</v>
      </c>
      <c r="AU36" s="7">
        <v>-7.1447153981516e-13</v>
      </c>
      <c r="AV36" s="7">
        <v>-7.4183667436243e-12</v>
      </c>
      <c r="AW36" s="7">
        <v>-4.3181891636725e-12</v>
      </c>
      <c r="AX36" s="7">
        <v>1.3868056610168e-11</v>
      </c>
      <c r="AY36" s="7">
        <v>6.4272832325728e-12</v>
      </c>
      <c r="AZ36" s="7">
        <v>-1.158926550477e-11</v>
      </c>
      <c r="BA36" s="7">
        <v>3.5798646899259e-13</v>
      </c>
      <c r="BB36" s="7">
        <v>-2.2196547364238e-11</v>
      </c>
      <c r="BC36" s="6">
        <v>16090150.557258</v>
      </c>
      <c r="BD36" s="6">
        <v>4024334.2903002</v>
      </c>
      <c r="BE36" s="6">
        <v>-0.00060280081556558</v>
      </c>
      <c r="BF36" s="6">
        <v>0.0010702823730333</v>
      </c>
      <c r="BG36" s="6">
        <v>0.00025929727809549</v>
      </c>
      <c r="BH36" s="6">
        <v>-0.0034120465156955</v>
      </c>
      <c r="BI36" s="6">
        <v>199.74151962209</v>
      </c>
      <c r="BJ36" s="6">
        <v>99.892075925197</v>
      </c>
      <c r="BK36" s="6">
        <v>185.04219432353</v>
      </c>
      <c r="BL36" s="3"/>
      <c r="BM36" s="5"/>
    </row>
    <row r="37" spans="1:65">
      <c r="A37" s="6">
        <v>997631.15748446</v>
      </c>
      <c r="B37" s="6">
        <v>0.00029998812509702</v>
      </c>
      <c r="C37" s="6"/>
      <c r="D37" s="7">
        <v>2.306118795148e-12</v>
      </c>
      <c r="E37" s="7">
        <v>2.7925863846883e-12</v>
      </c>
      <c r="F37" s="7">
        <v>2.7912843719515e-12</v>
      </c>
      <c r="G37" s="7">
        <v>2.788098192096e-12</v>
      </c>
      <c r="H37" s="7">
        <v>2.2850164629775e-12</v>
      </c>
      <c r="I37" s="7">
        <v>2.290862806088e-12</v>
      </c>
      <c r="J37" s="7">
        <v>2.2846382549688e-12</v>
      </c>
      <c r="K37" s="7">
        <v>2.3903263203532e-12</v>
      </c>
      <c r="L37" s="7">
        <v>2.4047531793171e-12</v>
      </c>
      <c r="M37" s="7">
        <v>2.3845101761707e-12</v>
      </c>
      <c r="N37" s="7">
        <v>2.5285771699132e-12</v>
      </c>
      <c r="O37" s="7">
        <v>2.2850134745945e-12</v>
      </c>
      <c r="P37" s="7">
        <v>2.5194499083845e-12</v>
      </c>
      <c r="Q37" s="7">
        <v>2.5444477533237e-12</v>
      </c>
      <c r="R37" s="7">
        <v>2.7781635558214e-12</v>
      </c>
      <c r="S37" s="7">
        <v>2.773454718048e-12</v>
      </c>
      <c r="T37" s="7">
        <v>2.7802318288382e-12</v>
      </c>
      <c r="U37" s="7">
        <v>2.2894357653506e-12</v>
      </c>
      <c r="V37" s="7">
        <v>2.398161787158e-12</v>
      </c>
      <c r="W37" s="7">
        <v>2.4138356665436e-12</v>
      </c>
      <c r="X37" s="7">
        <v>2.3996978739821e-12</v>
      </c>
      <c r="Y37" s="7">
        <v>2.5300863379959e-12</v>
      </c>
      <c r="Z37" s="7">
        <v>2.5549175958952e-12</v>
      </c>
      <c r="AA37" s="7">
        <v>2.5657477750965e-12</v>
      </c>
      <c r="AB37" s="6">
        <v>0.40383370391732</v>
      </c>
      <c r="AC37" s="6">
        <v>0.13977534277506</v>
      </c>
      <c r="AD37" s="6">
        <v>0.0010980631417611</v>
      </c>
      <c r="AE37" s="7">
        <v>1.740033292927e-12</v>
      </c>
      <c r="AF37" s="7">
        <v>1.2875226503717e-11</v>
      </c>
      <c r="AG37" s="7">
        <v>1.1631115965407e-11</v>
      </c>
      <c r="AH37" s="7">
        <v>8.0592037656667e-12</v>
      </c>
      <c r="AI37" s="7">
        <v>5.5513131945239e-13</v>
      </c>
      <c r="AJ37" s="7">
        <v>1.3445687169172e-12</v>
      </c>
      <c r="AK37" s="7">
        <v>1.5476365085941e-12</v>
      </c>
      <c r="AL37" s="7">
        <v>2.2206142418445e-12</v>
      </c>
      <c r="AM37" s="7">
        <v>1.1501389327581e-12</v>
      </c>
      <c r="AN37" s="7">
        <v>-8.6005559863477e-13</v>
      </c>
      <c r="AO37" s="7">
        <v>-3.4588071199282e-13</v>
      </c>
      <c r="AP37" s="7">
        <v>-3.946303696012e-12</v>
      </c>
      <c r="AQ37" s="7">
        <v>1.3158601189785e-12</v>
      </c>
      <c r="AR37" s="7">
        <v>-9.4490650506832e-12</v>
      </c>
      <c r="AS37" s="7">
        <v>1.1518377539765e-12</v>
      </c>
      <c r="AT37" s="7">
        <v>2.0659493302329e-13</v>
      </c>
      <c r="AU37" s="7">
        <v>-7.2825090996958e-13</v>
      </c>
      <c r="AV37" s="7">
        <v>-7.0212055959956e-12</v>
      </c>
      <c r="AW37" s="7">
        <v>-4.2157314036162e-12</v>
      </c>
      <c r="AX37" s="7">
        <v>1.2930462789364e-11</v>
      </c>
      <c r="AY37" s="7">
        <v>6.0964395391428e-12</v>
      </c>
      <c r="AZ37" s="7">
        <v>-1.1014594703407e-11</v>
      </c>
      <c r="BA37" s="7">
        <v>1.2890531849958e-13</v>
      </c>
      <c r="BB37" s="7">
        <v>-2.0943901870702e-11</v>
      </c>
      <c r="BC37" s="6">
        <v>16095930.438652</v>
      </c>
      <c r="BD37" s="6">
        <v>4026059.1735241</v>
      </c>
      <c r="BE37" s="6">
        <v>-0.00061783831496858</v>
      </c>
      <c r="BF37" s="6">
        <v>0.0010894406219722</v>
      </c>
      <c r="BG37" s="6">
        <v>0.00026168229180166</v>
      </c>
      <c r="BH37" s="6">
        <v>-0.0034908860660208</v>
      </c>
      <c r="BI37" s="6">
        <v>199.74126974517</v>
      </c>
      <c r="BJ37" s="6">
        <v>99.892093725556</v>
      </c>
      <c r="BK37" s="6">
        <v>185.11618135489</v>
      </c>
      <c r="BL37" s="3"/>
      <c r="BM37" s="5"/>
    </row>
    <row r="38" spans="1:65">
      <c r="A38" s="6">
        <v>1119360.5692842</v>
      </c>
      <c r="B38" s="6">
        <v>0.00032321572391652</v>
      </c>
      <c r="C38" s="6"/>
      <c r="D38" s="7">
        <v>2.308107736358e-12</v>
      </c>
      <c r="E38" s="7">
        <v>2.794647627265e-12</v>
      </c>
      <c r="F38" s="7">
        <v>2.7932868547302e-12</v>
      </c>
      <c r="G38" s="7">
        <v>2.7902219609909e-12</v>
      </c>
      <c r="H38" s="7">
        <v>2.2856377381153e-12</v>
      </c>
      <c r="I38" s="7">
        <v>2.291997214018e-12</v>
      </c>
      <c r="J38" s="7">
        <v>2.2849877954829e-12</v>
      </c>
      <c r="K38" s="7">
        <v>2.3908081249814e-12</v>
      </c>
      <c r="L38" s="7">
        <v>2.406283963827e-12</v>
      </c>
      <c r="M38" s="7">
        <v>2.3845449414591e-12</v>
      </c>
      <c r="N38" s="7">
        <v>2.5296291429903e-12</v>
      </c>
      <c r="O38" s="7">
        <v>2.2856531294015e-12</v>
      </c>
      <c r="P38" s="7">
        <v>2.5196142912074e-12</v>
      </c>
      <c r="Q38" s="7">
        <v>2.5461764849994e-12</v>
      </c>
      <c r="R38" s="7">
        <v>2.7793987298011e-12</v>
      </c>
      <c r="S38" s="7">
        <v>2.7743293317596e-12</v>
      </c>
      <c r="T38" s="7">
        <v>2.7817245418486e-12</v>
      </c>
      <c r="U38" s="7">
        <v>2.2903012203878e-12</v>
      </c>
      <c r="V38" s="7">
        <v>2.3993091668466e-12</v>
      </c>
      <c r="W38" s="7">
        <v>2.4159838048163e-12</v>
      </c>
      <c r="X38" s="7">
        <v>2.4008711012457e-12</v>
      </c>
      <c r="Y38" s="7">
        <v>2.531200275997e-12</v>
      </c>
      <c r="Z38" s="7">
        <v>2.55734940711e-12</v>
      </c>
      <c r="AA38" s="7">
        <v>2.5687959713856e-12</v>
      </c>
      <c r="AB38" s="6">
        <v>0.40948368746773</v>
      </c>
      <c r="AC38" s="6">
        <v>0.14147467406089</v>
      </c>
      <c r="AD38" s="6">
        <v>0.0011203106101799</v>
      </c>
      <c r="AE38" s="7">
        <v>1.8489371478845e-12</v>
      </c>
      <c r="AF38" s="7">
        <v>1.2311769646318e-11</v>
      </c>
      <c r="AG38" s="7">
        <v>1.1160035491378e-11</v>
      </c>
      <c r="AH38" s="7">
        <v>7.7214675898522e-12</v>
      </c>
      <c r="AI38" s="7">
        <v>5.7398044434672e-13</v>
      </c>
      <c r="AJ38" s="7">
        <v>1.2147753379987e-12</v>
      </c>
      <c r="AK38" s="7">
        <v>1.5844016184327e-12</v>
      </c>
      <c r="AL38" s="7">
        <v>2.1066294740542e-12</v>
      </c>
      <c r="AM38" s="7">
        <v>1.1862865689871e-12</v>
      </c>
      <c r="AN38" s="7">
        <v>-8.8315433216654e-13</v>
      </c>
      <c r="AO38" s="7">
        <v>-4.2947232033089e-13</v>
      </c>
      <c r="AP38" s="7">
        <v>-3.82948228306e-12</v>
      </c>
      <c r="AQ38" s="7">
        <v>1.2018832346367e-12</v>
      </c>
      <c r="AR38" s="7">
        <v>-9.1298108866114e-12</v>
      </c>
      <c r="AS38" s="7">
        <v>1.0855637207877e-12</v>
      </c>
      <c r="AT38" s="7">
        <v>1.7269927783743e-13</v>
      </c>
      <c r="AU38" s="7">
        <v>-7.6343059473784e-13</v>
      </c>
      <c r="AV38" s="7">
        <v>-6.6421943138318e-12</v>
      </c>
      <c r="AW38" s="7">
        <v>-4.0822218685611e-12</v>
      </c>
      <c r="AX38" s="7">
        <v>1.205529173236e-11</v>
      </c>
      <c r="AY38" s="7">
        <v>5.761184372384e-12</v>
      </c>
      <c r="AZ38" s="7">
        <v>-1.0456397303903e-11</v>
      </c>
      <c r="BA38" s="7">
        <v>-5.3708373541022e-14</v>
      </c>
      <c r="BB38" s="7">
        <v>-1.9769468766418e-11</v>
      </c>
      <c r="BC38" s="6">
        <v>16102046.028777</v>
      </c>
      <c r="BD38" s="6">
        <v>4027901.2880293</v>
      </c>
      <c r="BE38" s="6">
        <v>-0.0006340023059997</v>
      </c>
      <c r="BF38" s="6">
        <v>0.0011102547365688</v>
      </c>
      <c r="BG38" s="6">
        <v>0.00026433614651943</v>
      </c>
      <c r="BH38" s="6">
        <v>-0.0035749468316002</v>
      </c>
      <c r="BI38" s="6">
        <v>199.7410248832</v>
      </c>
      <c r="BJ38" s="6">
        <v>99.89211291043</v>
      </c>
      <c r="BK38" s="6">
        <v>185.19227955593</v>
      </c>
      <c r="BL38" s="3"/>
      <c r="BM38" s="5"/>
    </row>
    <row r="39" spans="1:65">
      <c r="A39" s="6">
        <v>1255943.2157548</v>
      </c>
      <c r="B39" s="6">
        <v>0.00034828442394444</v>
      </c>
      <c r="C39" s="6"/>
      <c r="D39" s="7">
        <v>2.3102060273938e-12</v>
      </c>
      <c r="E39" s="7">
        <v>2.796786357545e-12</v>
      </c>
      <c r="F39" s="7">
        <v>2.7953758670098e-12</v>
      </c>
      <c r="G39" s="7">
        <v>2.7924269471643e-12</v>
      </c>
      <c r="H39" s="7">
        <v>2.286273622375e-12</v>
      </c>
      <c r="I39" s="7">
        <v>2.2931976297729e-12</v>
      </c>
      <c r="J39" s="7">
        <v>2.2853077795204e-12</v>
      </c>
      <c r="K39" s="7">
        <v>2.3913097848434e-12</v>
      </c>
      <c r="L39" s="7">
        <v>2.4079101064877e-12</v>
      </c>
      <c r="M39" s="7">
        <v>2.3845662659709e-12</v>
      </c>
      <c r="N39" s="7">
        <v>2.530787003274e-12</v>
      </c>
      <c r="O39" s="7">
        <v>2.2863074188381e-12</v>
      </c>
      <c r="P39" s="7">
        <v>2.5198133340972e-12</v>
      </c>
      <c r="Q39" s="7">
        <v>2.5480591640519e-12</v>
      </c>
      <c r="R39" s="7">
        <v>2.780671028475e-12</v>
      </c>
      <c r="S39" s="7">
        <v>2.7752021675213e-12</v>
      </c>
      <c r="T39" s="7">
        <v>2.7832754729339e-12</v>
      </c>
      <c r="U39" s="7">
        <v>2.2911792289817e-12</v>
      </c>
      <c r="V39" s="7">
        <v>2.4005334354059e-12</v>
      </c>
      <c r="W39" s="7">
        <v>2.4182650349676e-12</v>
      </c>
      <c r="X39" s="7">
        <v>2.402100109833e-12</v>
      </c>
      <c r="Y39" s="7">
        <v>2.5324256912511e-12</v>
      </c>
      <c r="Z39" s="7">
        <v>2.5599644160428e-12</v>
      </c>
      <c r="AA39" s="7">
        <v>2.5720706415136e-12</v>
      </c>
      <c r="AB39" s="6">
        <v>0.41531588053355</v>
      </c>
      <c r="AC39" s="6">
        <v>0.14354901516262</v>
      </c>
      <c r="AD39" s="6">
        <v>0.0011444252200057</v>
      </c>
      <c r="AE39" s="7">
        <v>1.9427233313174e-12</v>
      </c>
      <c r="AF39" s="7">
        <v>1.177996178687e-11</v>
      </c>
      <c r="AG39" s="7">
        <v>1.0739510298147e-11</v>
      </c>
      <c r="AH39" s="7">
        <v>7.3882260051079e-12</v>
      </c>
      <c r="AI39" s="7">
        <v>5.7793391883165e-13</v>
      </c>
      <c r="AJ39" s="7">
        <v>1.1112928098627e-12</v>
      </c>
      <c r="AK39" s="7">
        <v>1.6151042036575e-12</v>
      </c>
      <c r="AL39" s="7">
        <v>2.0119070075018e-12</v>
      </c>
      <c r="AM39" s="7">
        <v>1.2266145411307e-12</v>
      </c>
      <c r="AN39" s="7">
        <v>-9.1476357128322e-13</v>
      </c>
      <c r="AO39" s="7">
        <v>-4.8209262121448e-13</v>
      </c>
      <c r="AP39" s="7">
        <v>-3.681878464541e-12</v>
      </c>
      <c r="AQ39" s="7">
        <v>1.0878877517575e-12</v>
      </c>
      <c r="AR39" s="7">
        <v>-8.8432271961254e-12</v>
      </c>
      <c r="AS39" s="7">
        <v>1.0163510704429e-12</v>
      </c>
      <c r="AT39" s="7">
        <v>1.318760826857e-13</v>
      </c>
      <c r="AU39" s="7">
        <v>-8.1781548609089e-13</v>
      </c>
      <c r="AV39" s="7">
        <v>-6.2799377481111e-12</v>
      </c>
      <c r="AW39" s="7">
        <v>-3.9214058753199e-12</v>
      </c>
      <c r="AX39" s="7">
        <v>1.123989804813e-11</v>
      </c>
      <c r="AY39" s="7">
        <v>5.4241899707597e-12</v>
      </c>
      <c r="AZ39" s="7">
        <v>-9.9154523815012e-12</v>
      </c>
      <c r="BA39" s="7">
        <v>-1.943115660429e-13</v>
      </c>
      <c r="BB39" s="7">
        <v>-1.8669294440707e-11</v>
      </c>
      <c r="BC39" s="6">
        <v>16108514.741032</v>
      </c>
      <c r="BD39" s="6">
        <v>4029868.6879515</v>
      </c>
      <c r="BE39" s="6">
        <v>-0.00065138595247617</v>
      </c>
      <c r="BF39" s="6">
        <v>0.0011328840251483</v>
      </c>
      <c r="BG39" s="6">
        <v>0.00026729080242317</v>
      </c>
      <c r="BH39" s="6">
        <v>-0.0036647779565588</v>
      </c>
      <c r="BI39" s="6">
        <v>199.74078297261</v>
      </c>
      <c r="BJ39" s="6">
        <v>99.892133691269</v>
      </c>
      <c r="BK39" s="6">
        <v>185.27029612884</v>
      </c>
      <c r="BL39" s="3"/>
      <c r="BM39" s="5"/>
    </row>
    <row r="40" spans="1:65">
      <c r="A40" s="6">
        <v>1409191.4656323</v>
      </c>
      <c r="B40" s="6">
        <v>0.00037535764096252</v>
      </c>
      <c r="C40" s="6"/>
      <c r="D40" s="7">
        <v>2.3124134190485e-12</v>
      </c>
      <c r="E40" s="7">
        <v>2.7989916851155e-12</v>
      </c>
      <c r="F40" s="7">
        <v>2.797546540572e-12</v>
      </c>
      <c r="G40" s="7">
        <v>2.7947005081284e-12</v>
      </c>
      <c r="H40" s="7">
        <v>2.2869137559834e-12</v>
      </c>
      <c r="I40" s="7">
        <v>2.2944588724121e-12</v>
      </c>
      <c r="J40" s="7">
        <v>2.2855867826485e-12</v>
      </c>
      <c r="K40" s="7">
        <v>2.3918364009637e-12</v>
      </c>
      <c r="L40" s="7">
        <v>2.4096422931848e-12</v>
      </c>
      <c r="M40" s="7">
        <v>2.3845769880933e-12</v>
      </c>
      <c r="N40" s="7">
        <v>2.5320443970378e-12</v>
      </c>
      <c r="O40" s="7">
        <v>2.2869664864136e-12</v>
      </c>
      <c r="P40" s="7">
        <v>2.5200382325608e-12</v>
      </c>
      <c r="Q40" s="7">
        <v>2.5500981988072e-12</v>
      </c>
      <c r="R40" s="7">
        <v>2.781969120779e-12</v>
      </c>
      <c r="S40" s="7">
        <v>2.7760571138977e-12</v>
      </c>
      <c r="T40" s="7">
        <v>2.7848755045752e-12</v>
      </c>
      <c r="U40" s="7">
        <v>2.2920597162552e-12</v>
      </c>
      <c r="V40" s="7">
        <v>2.4018425094037e-12</v>
      </c>
      <c r="W40" s="7">
        <v>2.4206949550811e-12</v>
      </c>
      <c r="X40" s="7">
        <v>2.4033908761132e-12</v>
      </c>
      <c r="Y40" s="7">
        <v>2.5337578970127e-12</v>
      </c>
      <c r="Z40" s="7">
        <v>2.5627636533232e-12</v>
      </c>
      <c r="AA40" s="7">
        <v>2.5755788613379e-12</v>
      </c>
      <c r="AB40" s="6">
        <v>0.42130168244698</v>
      </c>
      <c r="AC40" s="6">
        <v>0.14598681943008</v>
      </c>
      <c r="AD40" s="6">
        <v>0.001170583371592</v>
      </c>
      <c r="AE40" s="7">
        <v>2.0219226584469e-12</v>
      </c>
      <c r="AF40" s="7">
        <v>1.1273996482696e-11</v>
      </c>
      <c r="AG40" s="7">
        <v>1.0363986325403e-11</v>
      </c>
      <c r="AH40" s="7">
        <v>7.0616925904429e-12</v>
      </c>
      <c r="AI40" s="7">
        <v>5.6776182684664e-13</v>
      </c>
      <c r="AJ40" s="7">
        <v>1.031363225348e-12</v>
      </c>
      <c r="AK40" s="7">
        <v>1.639969189658e-12</v>
      </c>
      <c r="AL40" s="7">
        <v>1.9333911475705e-12</v>
      </c>
      <c r="AM40" s="7">
        <v>1.2679498976602e-12</v>
      </c>
      <c r="AN40" s="7">
        <v>-9.5411542740247e-13</v>
      </c>
      <c r="AO40" s="7">
        <v>-5.1153204541672e-13</v>
      </c>
      <c r="AP40" s="7">
        <v>-3.5060285659443e-12</v>
      </c>
      <c r="AQ40" s="7">
        <v>9.754710897775e-13</v>
      </c>
      <c r="AR40" s="7">
        <v>-8.5848457365184e-12</v>
      </c>
      <c r="AS40" s="7">
        <v>9.4431100505119e-13</v>
      </c>
      <c r="AT40" s="7">
        <v>8.5420353916582e-14</v>
      </c>
      <c r="AU40" s="7">
        <v>-8.892528482131e-13</v>
      </c>
      <c r="AV40" s="7">
        <v>-5.9329377410065e-12</v>
      </c>
      <c r="AW40" s="7">
        <v>-3.7389251962801e-12</v>
      </c>
      <c r="AX40" s="7">
        <v>1.0481023454909e-11</v>
      </c>
      <c r="AY40" s="7">
        <v>5.0896074906359e-12</v>
      </c>
      <c r="AZ40" s="7">
        <v>-9.392808446687e-12</v>
      </c>
      <c r="BA40" s="7">
        <v>-2.9812596793816e-13</v>
      </c>
      <c r="BB40" s="7">
        <v>-1.7639825041961e-11</v>
      </c>
      <c r="BC40" s="6">
        <v>16115354.402924</v>
      </c>
      <c r="BD40" s="6">
        <v>4031969.9743552</v>
      </c>
      <c r="BE40" s="6">
        <v>-0.00067009089871516</v>
      </c>
      <c r="BF40" s="6">
        <v>0.0011575046412306</v>
      </c>
      <c r="BG40" s="6">
        <v>0.00027058192424701</v>
      </c>
      <c r="BH40" s="6">
        <v>-0.0037609848310206</v>
      </c>
      <c r="BI40" s="6">
        <v>199.7405413597</v>
      </c>
      <c r="BJ40" s="6">
        <v>99.892156335586</v>
      </c>
      <c r="BK40" s="6">
        <v>185.35000737068</v>
      </c>
      <c r="BL40" s="3"/>
      <c r="BM40" s="5"/>
    </row>
    <row r="41" spans="1:65">
      <c r="A41" s="6">
        <v>1581138.8300842</v>
      </c>
      <c r="B41" s="6">
        <v>0.0004046156769484</v>
      </c>
      <c r="C41" s="6"/>
      <c r="D41" s="7">
        <v>2.3147059743984e-12</v>
      </c>
      <c r="E41" s="7">
        <v>2.8012712806647e-12</v>
      </c>
      <c r="F41" s="7">
        <v>2.7998137596793e-12</v>
      </c>
      <c r="G41" s="7">
        <v>2.7970486689992e-12</v>
      </c>
      <c r="H41" s="7">
        <v>2.287525199918e-12</v>
      </c>
      <c r="I41" s="7">
        <v>2.2957513445415e-12</v>
      </c>
      <c r="J41" s="7">
        <v>2.2857892624436e-12</v>
      </c>
      <c r="K41" s="7">
        <v>2.3923922510584e-12</v>
      </c>
      <c r="L41" s="7">
        <v>2.4114902688589e-12</v>
      </c>
      <c r="M41" s="7">
        <v>2.3845790739741e-12</v>
      </c>
      <c r="N41" s="7">
        <v>2.5333854751784e-12</v>
      </c>
      <c r="O41" s="7">
        <v>2.2875965135375e-12</v>
      </c>
      <c r="P41" s="7">
        <v>2.5202704486745e-12</v>
      </c>
      <c r="Q41" s="7">
        <v>2.5522865686987e-12</v>
      </c>
      <c r="R41" s="7">
        <v>2.7832996718621e-12</v>
      </c>
      <c r="S41" s="7">
        <v>2.776896489421e-12</v>
      </c>
      <c r="T41" s="7">
        <v>2.7865349683153e-12</v>
      </c>
      <c r="U41" s="7">
        <v>2.2929086052598e-12</v>
      </c>
      <c r="V41" s="7">
        <v>2.4032431747657e-12</v>
      </c>
      <c r="W41" s="7">
        <v>2.4232899090566e-12</v>
      </c>
      <c r="X41" s="7">
        <v>2.4047478936616e-12</v>
      </c>
      <c r="Y41" s="7">
        <v>2.5351823653265e-12</v>
      </c>
      <c r="Z41" s="7">
        <v>2.5657390841086e-12</v>
      </c>
      <c r="AA41" s="7">
        <v>2.5793188863568e-12</v>
      </c>
      <c r="AB41" s="6">
        <v>0.42740759613289</v>
      </c>
      <c r="AC41" s="6">
        <v>0.14877745969369</v>
      </c>
      <c r="AD41" s="6">
        <v>0.0011989798256176</v>
      </c>
      <c r="AE41" s="7">
        <v>2.0883303050651e-12</v>
      </c>
      <c r="AF41" s="7">
        <v>1.0789950700375e-11</v>
      </c>
      <c r="AG41" s="7">
        <v>1.0027367078682e-11</v>
      </c>
      <c r="AH41" s="7">
        <v>6.7426519628749e-12</v>
      </c>
      <c r="AI41" s="7">
        <v>5.4537520605645e-13</v>
      </c>
      <c r="AJ41" s="7">
        <v>9.7165306064023e-13</v>
      </c>
      <c r="AK41" s="7">
        <v>1.6596166876702e-12</v>
      </c>
      <c r="AL41" s="7">
        <v>1.8675893567417e-12</v>
      </c>
      <c r="AM41" s="7">
        <v>1.3080452168265e-12</v>
      </c>
      <c r="AN41" s="7">
        <v>-9.9950668486726e-13</v>
      </c>
      <c r="AO41" s="7">
        <v>-5.2657800378987e-13</v>
      </c>
      <c r="AP41" s="7">
        <v>-3.3061835138276e-12</v>
      </c>
      <c r="AQ41" s="7">
        <v>8.6607012923789e-13</v>
      </c>
      <c r="AR41" s="7">
        <v>-8.3489948924236e-12</v>
      </c>
      <c r="AS41" s="7">
        <v>8.6920806433062e-13</v>
      </c>
      <c r="AT41" s="7">
        <v>3.6304182004613e-14</v>
      </c>
      <c r="AU41" s="7">
        <v>-9.7559336885899e-13</v>
      </c>
      <c r="AV41" s="7">
        <v>-5.5999389279517e-12</v>
      </c>
      <c r="AW41" s="7">
        <v>-3.5419936272906e-12</v>
      </c>
      <c r="AX41" s="7">
        <v>9.7740774129987e-12</v>
      </c>
      <c r="AY41" s="7">
        <v>4.7620920783898e-12</v>
      </c>
      <c r="AZ41" s="7">
        <v>-8.8901836267365e-12</v>
      </c>
      <c r="BA41" s="7">
        <v>-3.7047897075243e-13</v>
      </c>
      <c r="BB41" s="7">
        <v>-1.6677674234312e-11</v>
      </c>
      <c r="BC41" s="6">
        <v>16122583.290381</v>
      </c>
      <c r="BD41" s="6">
        <v>4034214.3716864</v>
      </c>
      <c r="BE41" s="6">
        <v>-0.00069022827546801</v>
      </c>
      <c r="BF41" s="6">
        <v>0.0011843116902719</v>
      </c>
      <c r="BG41" s="6">
        <v>0.00027424928037765</v>
      </c>
      <c r="BH41" s="6">
        <v>-0.0038641832041878</v>
      </c>
      <c r="BI41" s="6">
        <v>199.74029694858</v>
      </c>
      <c r="BJ41" s="6">
        <v>99.892181173805</v>
      </c>
      <c r="BK41" s="6">
        <v>185.43114597764</v>
      </c>
      <c r="BL41" s="3"/>
      <c r="BM41" s="5"/>
    </row>
    <row r="42" spans="1:65">
      <c r="A42" s="6">
        <v>1774066.9461679</v>
      </c>
      <c r="B42" s="6">
        <v>0.00043625779268438</v>
      </c>
      <c r="C42" s="6"/>
      <c r="D42" s="7">
        <v>2.3170950024593e-12</v>
      </c>
      <c r="E42" s="7">
        <v>2.8036183843005e-12</v>
      </c>
      <c r="F42" s="7">
        <v>2.8021788990255e-12</v>
      </c>
      <c r="G42" s="7">
        <v>2.7994629073732e-12</v>
      </c>
      <c r="H42" s="7">
        <v>2.2881092585218e-12</v>
      </c>
      <c r="I42" s="7">
        <v>2.297079715597e-12</v>
      </c>
      <c r="J42" s="7">
        <v>2.2859140446865e-12</v>
      </c>
      <c r="K42" s="7">
        <v>2.3929812935257e-12</v>
      </c>
      <c r="L42" s="7">
        <v>2.413463400603e-12</v>
      </c>
      <c r="M42" s="7">
        <v>2.3845739824623e-12</v>
      </c>
      <c r="N42" s="7">
        <v>2.5347913243648e-12</v>
      </c>
      <c r="O42" s="7">
        <v>2.2881985155645e-12</v>
      </c>
      <c r="P42" s="7">
        <v>2.5204878693061e-12</v>
      </c>
      <c r="Q42" s="7">
        <v>2.5546136959208e-12</v>
      </c>
      <c r="R42" s="7">
        <v>2.7846539313024e-12</v>
      </c>
      <c r="S42" s="7">
        <v>2.7777077398878e-12</v>
      </c>
      <c r="T42" s="7">
        <v>2.7882505477544e-12</v>
      </c>
      <c r="U42" s="7">
        <v>2.2937261732256e-12</v>
      </c>
      <c r="V42" s="7">
        <v>2.4047415601546e-12</v>
      </c>
      <c r="W42" s="7">
        <v>2.426067817529e-12</v>
      </c>
      <c r="X42" s="7">
        <v>2.4061742777579e-12</v>
      </c>
      <c r="Y42" s="7">
        <v>2.5366809006349e-12</v>
      </c>
      <c r="Z42" s="7">
        <v>2.5688799085418e-12</v>
      </c>
      <c r="AA42" s="7">
        <v>2.5832863366783e-12</v>
      </c>
      <c r="AB42" s="6">
        <v>0.43359358845762</v>
      </c>
      <c r="AC42" s="6">
        <v>0.15191704817736</v>
      </c>
      <c r="AD42" s="6">
        <v>0.0012298300101686</v>
      </c>
      <c r="AE42" s="7">
        <v>2.1448243338386e-12</v>
      </c>
      <c r="AF42" s="7">
        <v>1.0326442670382e-11</v>
      </c>
      <c r="AG42" s="7">
        <v>9.7234505931044e-12</v>
      </c>
      <c r="AH42" s="7">
        <v>6.4310253699856e-12</v>
      </c>
      <c r="AI42" s="7">
        <v>5.1338836289114e-13</v>
      </c>
      <c r="AJ42" s="7">
        <v>9.28421253097e-13</v>
      </c>
      <c r="AK42" s="7">
        <v>1.6750443053119e-12</v>
      </c>
      <c r="AL42" s="7">
        <v>1.8109201517009e-12</v>
      </c>
      <c r="AM42" s="7">
        <v>1.34620967391e-12</v>
      </c>
      <c r="AN42" s="7">
        <v>-1.0484813753944e-12</v>
      </c>
      <c r="AO42" s="7">
        <v>-5.3522079319296e-13</v>
      </c>
      <c r="AP42" s="7">
        <v>-3.0879643353701e-12</v>
      </c>
      <c r="AQ42" s="7">
        <v>7.6088634451836e-13</v>
      </c>
      <c r="AR42" s="7">
        <v>-8.1293425920595e-12</v>
      </c>
      <c r="AS42" s="7">
        <v>7.908781801042e-13</v>
      </c>
      <c r="AT42" s="7">
        <v>-1.1358798154383e-14</v>
      </c>
      <c r="AU42" s="7">
        <v>-1.074715405897e-12</v>
      </c>
      <c r="AV42" s="7">
        <v>-5.2802061569109e-12</v>
      </c>
      <c r="AW42" s="7">
        <v>-3.3386440578921e-12</v>
      </c>
      <c r="AX42" s="7">
        <v>9.1130465070342e-12</v>
      </c>
      <c r="AY42" s="7">
        <v>4.4454936952174e-12</v>
      </c>
      <c r="AZ42" s="7">
        <v>-8.4101806057301e-12</v>
      </c>
      <c r="BA42" s="7">
        <v>-4.1620942082021e-13</v>
      </c>
      <c r="BB42" s="7">
        <v>-1.5779587646194e-11</v>
      </c>
      <c r="BC42" s="6">
        <v>16130220.334999</v>
      </c>
      <c r="BD42" s="6">
        <v>4036611.8640667</v>
      </c>
      <c r="BE42" s="6">
        <v>-0.00071192017610826</v>
      </c>
      <c r="BF42" s="6">
        <v>0.0012135217713671</v>
      </c>
      <c r="BG42" s="6">
        <v>0.00027833732022276</v>
      </c>
      <c r="BH42" s="6">
        <v>-0.0039750462623252</v>
      </c>
      <c r="BI42" s="6">
        <v>199.74004650842</v>
      </c>
      <c r="BJ42" s="6">
        <v>99.892208560628</v>
      </c>
      <c r="BK42" s="6">
        <v>185.51338225158</v>
      </c>
      <c r="BL42" s="3"/>
      <c r="BM42" s="5"/>
    </row>
    <row r="43" spans="1:65">
      <c r="A43" s="6">
        <v>1990535.8527675</v>
      </c>
      <c r="B43" s="6">
        <v>0.00047050534983337</v>
      </c>
      <c r="C43" s="6"/>
      <c r="D43" s="7">
        <v>2.3195924220113e-12</v>
      </c>
      <c r="E43" s="7">
        <v>2.8060215914301e-12</v>
      </c>
      <c r="F43" s="7">
        <v>2.8046391642325e-12</v>
      </c>
      <c r="G43" s="7">
        <v>2.8019295744689e-12</v>
      </c>
      <c r="H43" s="7">
        <v>2.2886664648798e-12</v>
      </c>
      <c r="I43" s="7">
        <v>2.298448016145e-12</v>
      </c>
      <c r="J43" s="7">
        <v>2.2859590453392e-12</v>
      </c>
      <c r="K43" s="7">
        <v>2.3936354591726e-12</v>
      </c>
      <c r="L43" s="7">
        <v>2.4155991977387e-12</v>
      </c>
      <c r="M43" s="7">
        <v>2.384590800745e-12</v>
      </c>
      <c r="N43" s="7">
        <v>2.536247987625e-12</v>
      </c>
      <c r="O43" s="7">
        <v>2.2887735877377e-12</v>
      </c>
      <c r="P43" s="7">
        <v>2.5206725849317e-12</v>
      </c>
      <c r="Q43" s="7">
        <v>2.5570730962658e-12</v>
      </c>
      <c r="R43" s="7">
        <v>2.7860171924577e-12</v>
      </c>
      <c r="S43" s="7">
        <v>2.7784727583411e-12</v>
      </c>
      <c r="T43" s="7">
        <v>2.7900146914455e-12</v>
      </c>
      <c r="U43" s="7">
        <v>2.2945119214638e-12</v>
      </c>
      <c r="V43" s="7">
        <v>2.4063714306914e-12</v>
      </c>
      <c r="W43" s="7">
        <v>2.429076841525e-12</v>
      </c>
      <c r="X43" s="7">
        <v>2.4076998256178e-12</v>
      </c>
      <c r="Y43" s="7">
        <v>2.5382394889136e-12</v>
      </c>
      <c r="Z43" s="7">
        <v>2.5721804959739e-12</v>
      </c>
      <c r="AA43" s="7">
        <v>2.5874821385052e-12</v>
      </c>
      <c r="AB43" s="6">
        <v>0.43981617391724</v>
      </c>
      <c r="AC43" s="6">
        <v>0.15541002659342</v>
      </c>
      <c r="AD43" s="6">
        <v>0.001263373002864</v>
      </c>
      <c r="AE43" s="7">
        <v>2.1945266025236e-12</v>
      </c>
      <c r="AF43" s="7">
        <v>9.8847378101243e-12</v>
      </c>
      <c r="AG43" s="7">
        <v>9.4466245090048e-12</v>
      </c>
      <c r="AH43" s="7">
        <v>6.1272569443034e-12</v>
      </c>
      <c r="AI43" s="7">
        <v>4.746091349002e-13</v>
      </c>
      <c r="AJ43" s="7">
        <v>8.9771025412916e-13</v>
      </c>
      <c r="AK43" s="7">
        <v>1.6875120917915e-12</v>
      </c>
      <c r="AL43" s="7">
        <v>1.7601618993683e-12</v>
      </c>
      <c r="AM43" s="7">
        <v>1.3829983332079e-12</v>
      </c>
      <c r="AN43" s="7">
        <v>-1.0982297561297e-12</v>
      </c>
      <c r="AO43" s="7">
        <v>-5.4341568376347e-13</v>
      </c>
      <c r="AP43" s="7">
        <v>-2.8578816496497e-12</v>
      </c>
      <c r="AQ43" s="7">
        <v>6.6105268724394e-13</v>
      </c>
      <c r="AR43" s="7">
        <v>-7.9206052748321e-12</v>
      </c>
      <c r="AS43" s="7">
        <v>7.0955615008334e-13</v>
      </c>
      <c r="AT43" s="7">
        <v>-5.3466435266876e-14</v>
      </c>
      <c r="AU43" s="7">
        <v>-1.1844539633578e-12</v>
      </c>
      <c r="AV43" s="7">
        <v>-4.9737313231913e-12</v>
      </c>
      <c r="AW43" s="7">
        <v>-3.1366893341296e-12</v>
      </c>
      <c r="AX43" s="7">
        <v>8.4915848489534e-12</v>
      </c>
      <c r="AY43" s="7">
        <v>4.142133153215e-12</v>
      </c>
      <c r="AZ43" s="7">
        <v>-7.9562494649616e-12</v>
      </c>
      <c r="BA43" s="7">
        <v>-4.3919804967789e-13</v>
      </c>
      <c r="BB43" s="7">
        <v>-1.4942597325237e-11</v>
      </c>
      <c r="BC43" s="6">
        <v>16138285.602937</v>
      </c>
      <c r="BD43" s="6">
        <v>4039173.4139729</v>
      </c>
      <c r="BE43" s="6">
        <v>-0.00073530165781747</v>
      </c>
      <c r="BF43" s="6">
        <v>0.0012453761745102</v>
      </c>
      <c r="BG43" s="6">
        <v>0.00028289589754606</v>
      </c>
      <c r="BH43" s="6">
        <v>-0.0040942519009607</v>
      </c>
      <c r="BI43" s="6">
        <v>199.73978684958</v>
      </c>
      <c r="BJ43" s="6">
        <v>99.892238853157</v>
      </c>
      <c r="BK43" s="6">
        <v>185.59630199037</v>
      </c>
      <c r="BL43" s="3"/>
      <c r="BM43" s="5"/>
    </row>
    <row r="44" spans="1:65">
      <c r="A44" s="6">
        <v>2233417.9607549</v>
      </c>
      <c r="B44" s="6">
        <v>0.00050760642179709</v>
      </c>
      <c r="C44" s="6"/>
      <c r="D44" s="7">
        <v>2.3222091723177e-12</v>
      </c>
      <c r="E44" s="7">
        <v>2.8084915550477e-12</v>
      </c>
      <c r="F44" s="7">
        <v>2.8072137657653e-12</v>
      </c>
      <c r="G44" s="7">
        <v>2.8044562274211e-12</v>
      </c>
      <c r="H44" s="7">
        <v>2.2891948183499e-12</v>
      </c>
      <c r="I44" s="7">
        <v>2.2998579546412e-12</v>
      </c>
      <c r="J44" s="7">
        <v>2.2859190393085e-12</v>
      </c>
      <c r="K44" s="7">
        <v>2.3943757925185e-12</v>
      </c>
      <c r="L44" s="7">
        <v>2.4179248496173e-12</v>
      </c>
      <c r="M44" s="7">
        <v>2.384647315687e-12</v>
      </c>
      <c r="N44" s="7">
        <v>2.5377878845329e-12</v>
      </c>
      <c r="O44" s="7">
        <v>2.289321215474e-12</v>
      </c>
      <c r="P44" s="7">
        <v>2.5208500663616e-12</v>
      </c>
      <c r="Q44" s="7">
        <v>2.5597019939448e-12</v>
      </c>
      <c r="R44" s="7">
        <v>2.7873952313605e-12</v>
      </c>
      <c r="S44" s="7">
        <v>2.7791940334055e-12</v>
      </c>
      <c r="T44" s="7">
        <v>2.7918418820986e-12</v>
      </c>
      <c r="U44" s="7">
        <v>2.2952625550799e-12</v>
      </c>
      <c r="V44" s="7">
        <v>2.4081554396396e-12</v>
      </c>
      <c r="W44" s="7">
        <v>2.4323569428045e-12</v>
      </c>
      <c r="X44" s="7">
        <v>2.4093421379169e-12</v>
      </c>
      <c r="Y44" s="7">
        <v>2.539887691825e-12</v>
      </c>
      <c r="Z44" s="7">
        <v>2.5756848467631e-12</v>
      </c>
      <c r="AA44" s="7">
        <v>2.591952096608e-12</v>
      </c>
      <c r="AB44" s="6">
        <v>0.44603775638313</v>
      </c>
      <c r="AC44" s="6">
        <v>0.15926173492987</v>
      </c>
      <c r="AD44" s="6">
        <v>0.0012998753588557</v>
      </c>
      <c r="AE44" s="7">
        <v>2.2393542392899e-12</v>
      </c>
      <c r="AF44" s="7">
        <v>9.4682776245051e-12</v>
      </c>
      <c r="AG44" s="7">
        <v>9.1925733463207e-12</v>
      </c>
      <c r="AH44" s="7">
        <v>5.8332685192984e-12</v>
      </c>
      <c r="AI44" s="7">
        <v>4.3186741083667e-13</v>
      </c>
      <c r="AJ44" s="7">
        <v>8.7568830884175e-13</v>
      </c>
      <c r="AK44" s="7">
        <v>1.698340263884e-12</v>
      </c>
      <c r="AL44" s="7">
        <v>1.7129874774535e-12</v>
      </c>
      <c r="AM44" s="7">
        <v>1.4193782848526e-12</v>
      </c>
      <c r="AN44" s="7">
        <v>-1.1460588792706e-12</v>
      </c>
      <c r="AO44" s="7">
        <v>-5.5447273474663e-13</v>
      </c>
      <c r="AP44" s="7">
        <v>-2.6227515833495e-12</v>
      </c>
      <c r="AQ44" s="7">
        <v>5.6797212330151e-13</v>
      </c>
      <c r="AR44" s="7">
        <v>-7.7202830553183e-12</v>
      </c>
      <c r="AS44" s="7">
        <v>6.2595411651681e-13</v>
      </c>
      <c r="AT44" s="7">
        <v>-8.6954586693095e-14</v>
      </c>
      <c r="AU44" s="7">
        <v>-1.3025903761728e-12</v>
      </c>
      <c r="AV44" s="7">
        <v>-4.6813672428677e-12</v>
      </c>
      <c r="AW44" s="7">
        <v>-2.9427010035883e-12</v>
      </c>
      <c r="AX44" s="7">
        <v>7.9046763899038e-12</v>
      </c>
      <c r="AY44" s="7">
        <v>3.853061650268e-12</v>
      </c>
      <c r="AZ44" s="7">
        <v>-7.532439551822e-12</v>
      </c>
      <c r="BA44" s="7">
        <v>-4.4221060298504e-13</v>
      </c>
      <c r="BB44" s="7">
        <v>-1.4164278824228e-11</v>
      </c>
      <c r="BC44" s="6">
        <v>16146801.037956</v>
      </c>
      <c r="BD44" s="6">
        <v>4041911.2643763</v>
      </c>
      <c r="BE44" s="6">
        <v>-0.00076052334664533</v>
      </c>
      <c r="BF44" s="6">
        <v>0.0012801448554729</v>
      </c>
      <c r="BG44" s="6">
        <v>0.0002879810933125</v>
      </c>
      <c r="BH44" s="6">
        <v>-0.0042224532411221</v>
      </c>
      <c r="BI44" s="6">
        <v>199.73951499887</v>
      </c>
      <c r="BJ44" s="6">
        <v>99.892272389867</v>
      </c>
      <c r="BK44" s="6">
        <v>185.67939557356</v>
      </c>
      <c r="BL44" s="3"/>
      <c r="BM44" s="5"/>
    </row>
    <row r="45" spans="1:65">
      <c r="A45" s="6">
        <v>2505936.1681364</v>
      </c>
      <c r="B45" s="6">
        <v>0.00054784144006904</v>
      </c>
      <c r="C45" s="6"/>
      <c r="D45" s="7">
        <v>2.3249673495394e-12</v>
      </c>
      <c r="E45" s="7">
        <v>2.811030932991e-12</v>
      </c>
      <c r="F45" s="7">
        <v>2.8099133550336e-12</v>
      </c>
      <c r="G45" s="7">
        <v>2.8070412399271e-12</v>
      </c>
      <c r="H45" s="7">
        <v>2.2897026062038e-12</v>
      </c>
      <c r="I45" s="7">
        <v>2.301321398476e-12</v>
      </c>
      <c r="J45" s="7">
        <v>2.285797431442e-12</v>
      </c>
      <c r="K45" s="7">
        <v>2.395171864523e-12</v>
      </c>
      <c r="L45" s="7">
        <v>2.4204171983953e-12</v>
      </c>
      <c r="M45" s="7">
        <v>2.3847095561625e-12</v>
      </c>
      <c r="N45" s="7">
        <v>2.5394182468805e-12</v>
      </c>
      <c r="O45" s="7">
        <v>2.2898515992375e-12</v>
      </c>
      <c r="P45" s="7">
        <v>2.521018874006e-12</v>
      </c>
      <c r="Q45" s="7">
        <v>2.5625118784826e-12</v>
      </c>
      <c r="R45" s="7">
        <v>2.788783959403e-12</v>
      </c>
      <c r="S45" s="7">
        <v>2.7798640165504e-12</v>
      </c>
      <c r="T45" s="7">
        <v>2.7937380802412e-12</v>
      </c>
      <c r="U45" s="7">
        <v>2.2959839796792e-12</v>
      </c>
      <c r="V45" s="7">
        <v>2.4100648644485e-12</v>
      </c>
      <c r="W45" s="7">
        <v>2.4358996990695e-12</v>
      </c>
      <c r="X45" s="7">
        <v>2.4110662161302e-12</v>
      </c>
      <c r="Y45" s="7">
        <v>2.5416288173668e-12</v>
      </c>
      <c r="Z45" s="7">
        <v>2.5794121496867e-12</v>
      </c>
      <c r="AA45" s="7">
        <v>2.5967172673336e-12</v>
      </c>
      <c r="AB45" s="6">
        <v>0.45223128050168</v>
      </c>
      <c r="AC45" s="6">
        <v>0.1634624243478</v>
      </c>
      <c r="AD45" s="6">
        <v>0.0013396356013025</v>
      </c>
      <c r="AE45" s="7">
        <v>2.2786951192164e-12</v>
      </c>
      <c r="AF45" s="7">
        <v>9.0816554634397e-12</v>
      </c>
      <c r="AG45" s="7">
        <v>8.9585429750322e-12</v>
      </c>
      <c r="AH45" s="7">
        <v>5.5522987315308e-12</v>
      </c>
      <c r="AI45" s="7">
        <v>3.879534670903e-13</v>
      </c>
      <c r="AJ45" s="7">
        <v>8.5894021325365e-13</v>
      </c>
      <c r="AK45" s="7">
        <v>1.7085738116296e-12</v>
      </c>
      <c r="AL45" s="7">
        <v>1.6684845501404e-12</v>
      </c>
      <c r="AM45" s="7">
        <v>1.4559362830862e-12</v>
      </c>
      <c r="AN45" s="7">
        <v>-1.1897517654372e-12</v>
      </c>
      <c r="AO45" s="7">
        <v>-5.6908935806718e-13</v>
      </c>
      <c r="AP45" s="7">
        <v>-2.3889857729318e-12</v>
      </c>
      <c r="AQ45" s="7">
        <v>4.8357745321466e-13</v>
      </c>
      <c r="AR45" s="7">
        <v>-7.5288901244771e-12</v>
      </c>
      <c r="AS45" s="7">
        <v>5.4118882343002e-13</v>
      </c>
      <c r="AT45" s="7">
        <v>-1.1018412357145e-13</v>
      </c>
      <c r="AU45" s="7">
        <v>-1.426746249157e-12</v>
      </c>
      <c r="AV45" s="7">
        <v>-4.4047942917199e-12</v>
      </c>
      <c r="AW45" s="7">
        <v>-2.7613090893408e-12</v>
      </c>
      <c r="AX45" s="7">
        <v>7.3501197222442e-12</v>
      </c>
      <c r="AY45" s="7">
        <v>3.5788039563429e-12</v>
      </c>
      <c r="AZ45" s="7">
        <v>-7.1427648359798e-12</v>
      </c>
      <c r="BA45" s="7">
        <v>-4.2781081761527e-13</v>
      </c>
      <c r="BB45" s="7">
        <v>-1.3442933071462e-11</v>
      </c>
      <c r="BC45" s="6">
        <v>16155791.215133</v>
      </c>
      <c r="BD45" s="6">
        <v>4044839.2659406</v>
      </c>
      <c r="BE45" s="6">
        <v>-0.00078775454097497</v>
      </c>
      <c r="BF45" s="6">
        <v>0.0013181309856121</v>
      </c>
      <c r="BG45" s="6">
        <v>0.0002936561708622</v>
      </c>
      <c r="BH45" s="6">
        <v>-0.0043603303529456</v>
      </c>
      <c r="BI45" s="6">
        <v>199.73922821272</v>
      </c>
      <c r="BJ45" s="6">
        <v>99.892309514706</v>
      </c>
      <c r="BK45" s="6">
        <v>185.76208678541</v>
      </c>
      <c r="BL45" s="3"/>
      <c r="BM45" s="5"/>
    </row>
    <row r="46" spans="1:65">
      <c r="A46" s="6">
        <v>2811706.6259518</v>
      </c>
      <c r="B46" s="6">
        <v>0.0005915287237084</v>
      </c>
      <c r="C46" s="6"/>
      <c r="D46" s="7">
        <v>2.3278841887784e-12</v>
      </c>
      <c r="E46" s="7">
        <v>2.8136014056565e-12</v>
      </c>
      <c r="F46" s="7">
        <v>2.8127066759702e-12</v>
      </c>
      <c r="G46" s="7">
        <v>2.809640612261e-12</v>
      </c>
      <c r="H46" s="7">
        <v>2.2901921874324e-12</v>
      </c>
      <c r="I46" s="7">
        <v>2.3028451823004e-12</v>
      </c>
      <c r="J46" s="7">
        <v>2.2855902942033e-12</v>
      </c>
      <c r="K46" s="7">
        <v>2.3960480101295e-12</v>
      </c>
      <c r="L46" s="7">
        <v>2.4231097208913e-12</v>
      </c>
      <c r="M46" s="7">
        <v>2.3847984274246e-12</v>
      </c>
      <c r="N46" s="7">
        <v>2.5410833043759e-12</v>
      </c>
      <c r="O46" s="7">
        <v>2.2903699666801e-12</v>
      </c>
      <c r="P46" s="7">
        <v>2.5211173107936e-12</v>
      </c>
      <c r="Q46" s="7">
        <v>2.5654560615215e-12</v>
      </c>
      <c r="R46" s="7">
        <v>2.7901361033997e-12</v>
      </c>
      <c r="S46" s="7">
        <v>2.7804316750925e-12</v>
      </c>
      <c r="T46" s="7">
        <v>2.7956673277371e-12</v>
      </c>
      <c r="U46" s="7">
        <v>2.296675287852e-12</v>
      </c>
      <c r="V46" s="7">
        <v>2.4121264559123e-12</v>
      </c>
      <c r="W46" s="7">
        <v>2.4397547947875e-12</v>
      </c>
      <c r="X46" s="7">
        <v>2.4128911347095e-12</v>
      </c>
      <c r="Y46" s="7">
        <v>2.5434072744073e-12</v>
      </c>
      <c r="Z46" s="7">
        <v>2.5833114864681e-12</v>
      </c>
      <c r="AA46" s="7">
        <v>2.6017413291241e-12</v>
      </c>
      <c r="AB46" s="6">
        <v>0.45837383686837</v>
      </c>
      <c r="AC46" s="6">
        <v>0.1679728616637</v>
      </c>
      <c r="AD46" s="6">
        <v>0.0013829890859205</v>
      </c>
      <c r="AE46" s="7">
        <v>2.3095443840082e-12</v>
      </c>
      <c r="AF46" s="7">
        <v>8.7292965564844e-12</v>
      </c>
      <c r="AG46" s="7">
        <v>8.7428625678523e-12</v>
      </c>
      <c r="AH46" s="7">
        <v>5.2880655163182e-12</v>
      </c>
      <c r="AI46" s="7">
        <v>3.4554040560107e-13</v>
      </c>
      <c r="AJ46" s="7">
        <v>8.4457371156604e-13</v>
      </c>
      <c r="AK46" s="7">
        <v>1.7185060011486e-12</v>
      </c>
      <c r="AL46" s="7">
        <v>1.6272231247351e-12</v>
      </c>
      <c r="AM46" s="7">
        <v>1.492266246483e-12</v>
      </c>
      <c r="AN46" s="7">
        <v>-1.2276824688354e-12</v>
      </c>
      <c r="AO46" s="7">
        <v>-5.8626195252753e-13</v>
      </c>
      <c r="AP46" s="7">
        <v>-2.1618369846648e-12</v>
      </c>
      <c r="AQ46" s="7">
        <v>4.099436074075e-13</v>
      </c>
      <c r="AR46" s="7">
        <v>-7.3484945826364e-12</v>
      </c>
      <c r="AS46" s="7">
        <v>4.5665809595166e-13</v>
      </c>
      <c r="AT46" s="7">
        <v>-1.2281638250245e-13</v>
      </c>
      <c r="AU46" s="7">
        <v>-1.5541094180078e-12</v>
      </c>
      <c r="AV46" s="7">
        <v>-4.1460067235801e-12</v>
      </c>
      <c r="AW46" s="7">
        <v>-2.5951466804199e-12</v>
      </c>
      <c r="AX46" s="7">
        <v>6.8287354304646e-12</v>
      </c>
      <c r="AY46" s="7">
        <v>3.3200151502114e-12</v>
      </c>
      <c r="AZ46" s="7">
        <v>-6.7902803665544e-12</v>
      </c>
      <c r="BA46" s="7">
        <v>-3.9954247060789e-13</v>
      </c>
      <c r="BB46" s="7">
        <v>-1.2777144088695e-11</v>
      </c>
      <c r="BC46" s="6">
        <v>16165283.741209</v>
      </c>
      <c r="BD46" s="6">
        <v>4047973.1506266</v>
      </c>
      <c r="BE46" s="6">
        <v>-0.00081718646226024</v>
      </c>
      <c r="BF46" s="6">
        <v>0.0013596757132938</v>
      </c>
      <c r="BG46" s="6">
        <v>0.00029999257194974</v>
      </c>
      <c r="BH46" s="6">
        <v>-0.0045086163062856</v>
      </c>
      <c r="BI46" s="6">
        <v>199.73892396274</v>
      </c>
      <c r="BJ46" s="6">
        <v>99.892350613876</v>
      </c>
      <c r="BK46" s="6">
        <v>185.84379857611</v>
      </c>
      <c r="BL46" s="3"/>
      <c r="BM46" s="5"/>
    </row>
    <row r="47" spans="1:65">
      <c r="A47" s="6">
        <v>3154786.7224011</v>
      </c>
      <c r="B47" s="6">
        <v>0.00063902920698884</v>
      </c>
      <c r="C47" s="6"/>
      <c r="D47" s="7">
        <v>2.330967755028e-12</v>
      </c>
      <c r="E47" s="7">
        <v>2.8161963821721e-12</v>
      </c>
      <c r="F47" s="7">
        <v>2.8155931071862e-12</v>
      </c>
      <c r="G47" s="7">
        <v>2.8122406780395e-12</v>
      </c>
      <c r="H47" s="7">
        <v>2.2906556504016e-12</v>
      </c>
      <c r="I47" s="7">
        <v>2.3044277029303e-12</v>
      </c>
      <c r="J47" s="7">
        <v>2.2852823552936e-12</v>
      </c>
      <c r="K47" s="7">
        <v>2.3970460402009e-12</v>
      </c>
      <c r="L47" s="7">
        <v>2.4260557567362e-12</v>
      </c>
      <c r="M47" s="7">
        <v>2.38495282563e-12</v>
      </c>
      <c r="N47" s="7">
        <v>2.5427477613127e-12</v>
      </c>
      <c r="O47" s="7">
        <v>2.290872441169e-12</v>
      </c>
      <c r="P47" s="7">
        <v>2.5210988081838e-12</v>
      </c>
      <c r="Q47" s="7">
        <v>2.5685063033681e-12</v>
      </c>
      <c r="R47" s="7">
        <v>2.79143360615e-12</v>
      </c>
      <c r="S47" s="7">
        <v>2.7808749867882e-12</v>
      </c>
      <c r="T47" s="7">
        <v>2.7976242786143e-12</v>
      </c>
      <c r="U47" s="7">
        <v>2.2973244386937e-12</v>
      </c>
      <c r="V47" s="7">
        <v>2.4143857431563e-12</v>
      </c>
      <c r="W47" s="7">
        <v>2.4439926313228e-12</v>
      </c>
      <c r="X47" s="7">
        <v>2.4148533602336e-12</v>
      </c>
      <c r="Y47" s="7">
        <v>2.5451846798518e-12</v>
      </c>
      <c r="Z47" s="7">
        <v>2.5873568183693e-12</v>
      </c>
      <c r="AA47" s="7">
        <v>2.6070065295446e-12</v>
      </c>
      <c r="AB47" s="6">
        <v>0.46443893320127</v>
      </c>
      <c r="AC47" s="6">
        <v>0.17272202599452</v>
      </c>
      <c r="AD47" s="6">
        <v>0.0014303128632428</v>
      </c>
      <c r="AE47" s="7">
        <v>2.3286354561425e-12</v>
      </c>
      <c r="AF47" s="7">
        <v>8.4142804197947e-12</v>
      </c>
      <c r="AG47" s="7">
        <v>8.5439604533858e-12</v>
      </c>
      <c r="AH47" s="7">
        <v>5.0439488416396e-12</v>
      </c>
      <c r="AI47" s="7">
        <v>3.0689073185324e-13</v>
      </c>
      <c r="AJ47" s="7">
        <v>8.3001135527351e-13</v>
      </c>
      <c r="AK47" s="7">
        <v>1.7273140986185e-12</v>
      </c>
      <c r="AL47" s="7">
        <v>1.590449939846e-12</v>
      </c>
      <c r="AM47" s="7">
        <v>1.5267815335934e-12</v>
      </c>
      <c r="AN47" s="7">
        <v>-1.2587719745052e-12</v>
      </c>
      <c r="AO47" s="7">
        <v>-6.0463992071417e-13</v>
      </c>
      <c r="AP47" s="7">
        <v>-1.9450037936248e-12</v>
      </c>
      <c r="AQ47" s="7">
        <v>3.4832791578526e-13</v>
      </c>
      <c r="AR47" s="7">
        <v>-7.1810935042278e-12</v>
      </c>
      <c r="AS47" s="7">
        <v>3.7393143860212e-13</v>
      </c>
      <c r="AT47" s="7">
        <v>-1.2548774949541e-13</v>
      </c>
      <c r="AU47" s="7">
        <v>-1.6810372716853e-12</v>
      </c>
      <c r="AV47" s="7">
        <v>-3.906253325112e-12</v>
      </c>
      <c r="AW47" s="7">
        <v>-2.4452181219444e-12</v>
      </c>
      <c r="AX47" s="7">
        <v>6.3434554039365e-12</v>
      </c>
      <c r="AY47" s="7">
        <v>3.0778011488392e-12</v>
      </c>
      <c r="AZ47" s="7">
        <v>-6.4761809881085e-12</v>
      </c>
      <c r="BA47" s="7">
        <v>-3.6189723450391e-13</v>
      </c>
      <c r="BB47" s="7">
        <v>-1.2165310113276e-11</v>
      </c>
      <c r="BC47" s="6">
        <v>16175309.132041</v>
      </c>
      <c r="BD47" s="6">
        <v>4051330.6955027</v>
      </c>
      <c r="BE47" s="6">
        <v>-0.00084903503906745</v>
      </c>
      <c r="BF47" s="6">
        <v>0.0014051630449432</v>
      </c>
      <c r="BG47" s="6">
        <v>0.00030707087366241</v>
      </c>
      <c r="BH47" s="6">
        <v>-0.0046680410401387</v>
      </c>
      <c r="BI47" s="6">
        <v>199.73859980463</v>
      </c>
      <c r="BJ47" s="6">
        <v>99.892396053586</v>
      </c>
      <c r="BK47" s="6">
        <v>185.92404359106</v>
      </c>
      <c r="BL47" s="3"/>
      <c r="BM47" s="5"/>
    </row>
    <row r="48" spans="1:65">
      <c r="A48" s="6">
        <v>3539728.9219208</v>
      </c>
      <c r="B48" s="6">
        <v>0.00069075122612706</v>
      </c>
      <c r="C48" s="6"/>
      <c r="D48" s="7">
        <v>2.3342312766432e-12</v>
      </c>
      <c r="E48" s="7">
        <v>2.8188073279811e-12</v>
      </c>
      <c r="F48" s="7">
        <v>2.8185689649297e-12</v>
      </c>
      <c r="G48" s="7">
        <v>2.814824569294e-12</v>
      </c>
      <c r="H48" s="7">
        <v>2.2910900365025e-12</v>
      </c>
      <c r="I48" s="7">
        <v>2.3060733986769e-12</v>
      </c>
      <c r="J48" s="7">
        <v>2.2848613288351e-12</v>
      </c>
      <c r="K48" s="7">
        <v>2.3981816932366e-12</v>
      </c>
      <c r="L48" s="7">
        <v>2.4292865044051e-12</v>
      </c>
      <c r="M48" s="7">
        <v>2.3851877764237e-12</v>
      </c>
      <c r="N48" s="7">
        <v>2.5444482155226e-12</v>
      </c>
      <c r="O48" s="7">
        <v>2.2913597104825e-12</v>
      </c>
      <c r="P48" s="7">
        <v>2.5209817768026e-12</v>
      </c>
      <c r="Q48" s="7">
        <v>2.571704102361e-12</v>
      </c>
      <c r="R48" s="7">
        <v>2.7926537263953e-12</v>
      </c>
      <c r="S48" s="7">
        <v>2.7811673290733e-12</v>
      </c>
      <c r="T48" s="7">
        <v>2.7996004777235e-12</v>
      </c>
      <c r="U48" s="7">
        <v>2.2979222293731e-12</v>
      </c>
      <c r="V48" s="7">
        <v>2.4168653330261e-12</v>
      </c>
      <c r="W48" s="7">
        <v>2.4486616836336e-12</v>
      </c>
      <c r="X48" s="7">
        <v>2.4169637833597e-12</v>
      </c>
      <c r="Y48" s="7">
        <v>2.5469901002909e-12</v>
      </c>
      <c r="Z48" s="7">
        <v>2.5916155944595e-12</v>
      </c>
      <c r="AA48" s="7">
        <v>2.6125637958314e-12</v>
      </c>
      <c r="AB48" s="6">
        <v>0.47039055618382</v>
      </c>
      <c r="AC48" s="6">
        <v>0.1776180092973</v>
      </c>
      <c r="AD48" s="6">
        <v>0.001482030849825</v>
      </c>
      <c r="AE48" s="7">
        <v>2.3348010461864e-12</v>
      </c>
      <c r="AF48" s="7">
        <v>8.1373520562149e-12</v>
      </c>
      <c r="AG48" s="7">
        <v>8.3595312300562e-12</v>
      </c>
      <c r="AH48" s="7">
        <v>4.822440894018e-12</v>
      </c>
      <c r="AI48" s="7">
        <v>2.7359512663745e-13</v>
      </c>
      <c r="AJ48" s="7">
        <v>8.1280654831612e-13</v>
      </c>
      <c r="AK48" s="7">
        <v>1.7332441162125e-12</v>
      </c>
      <c r="AL48" s="7">
        <v>1.5586850760311e-12</v>
      </c>
      <c r="AM48" s="7">
        <v>1.5571318622422e-12</v>
      </c>
      <c r="AN48" s="7">
        <v>-1.2823919709284e-12</v>
      </c>
      <c r="AO48" s="7">
        <v>-6.2359349941113e-13</v>
      </c>
      <c r="AP48" s="7">
        <v>-1.7408659667676e-12</v>
      </c>
      <c r="AQ48" s="7">
        <v>2.9837803984453e-13</v>
      </c>
      <c r="AR48" s="7">
        <v>-7.0279096468092e-12</v>
      </c>
      <c r="AS48" s="7">
        <v>2.9468471269899e-13</v>
      </c>
      <c r="AT48" s="7">
        <v>-1.1949609040373e-13</v>
      </c>
      <c r="AU48" s="7">
        <v>-1.8028371485719e-12</v>
      </c>
      <c r="AV48" s="7">
        <v>-3.6850261427683e-12</v>
      </c>
      <c r="AW48" s="7">
        <v>-2.3113334961814e-12</v>
      </c>
      <c r="AX48" s="7">
        <v>5.8977154735548e-12</v>
      </c>
      <c r="AY48" s="7">
        <v>2.8536087963923e-12</v>
      </c>
      <c r="AZ48" s="7">
        <v>-6.1992972028254e-12</v>
      </c>
      <c r="BA48" s="7">
        <v>-3.1843357956244e-13</v>
      </c>
      <c r="BB48" s="7">
        <v>-1.1605039017167e-11</v>
      </c>
      <c r="BC48" s="6">
        <v>16185900.521083</v>
      </c>
      <c r="BD48" s="6">
        <v>4054931.8791765</v>
      </c>
      <c r="BE48" s="6">
        <v>-0.00088354364873029</v>
      </c>
      <c r="BF48" s="6">
        <v>0.0014550250978031</v>
      </c>
      <c r="BG48" s="6">
        <v>0.00031498170279909</v>
      </c>
      <c r="BH48" s="6">
        <v>-0.0048393009440084</v>
      </c>
      <c r="BI48" s="6">
        <v>199.73825320101</v>
      </c>
      <c r="BJ48" s="6">
        <v>99.892446156705</v>
      </c>
      <c r="BK48" s="6">
        <v>186.00248127516</v>
      </c>
      <c r="BL48" s="3"/>
      <c r="BM48" s="5"/>
    </row>
    <row r="49" spans="1:65">
      <c r="A49" s="6">
        <v>3971641.1736215</v>
      </c>
      <c r="B49" s="6">
        <v>0.00074715676791922</v>
      </c>
      <c r="C49" s="6"/>
      <c r="D49" s="7">
        <v>2.3377182054889e-12</v>
      </c>
      <c r="E49" s="7">
        <v>2.821452413525e-12</v>
      </c>
      <c r="F49" s="7">
        <v>2.8216561427953e-12</v>
      </c>
      <c r="G49" s="7">
        <v>2.8174009875578e-12</v>
      </c>
      <c r="H49" s="7">
        <v>2.2915206592631e-12</v>
      </c>
      <c r="I49" s="7">
        <v>2.3078167084597e-12</v>
      </c>
      <c r="J49" s="7">
        <v>2.2843422789294e-12</v>
      </c>
      <c r="K49" s="7">
        <v>2.3994442081023e-12</v>
      </c>
      <c r="L49" s="7">
        <v>2.4328097628839e-12</v>
      </c>
      <c r="M49" s="7">
        <v>2.385493619797e-12</v>
      </c>
      <c r="N49" s="7">
        <v>2.5461157103121e-12</v>
      </c>
      <c r="O49" s="7">
        <v>2.2918598923208e-12</v>
      </c>
      <c r="P49" s="7">
        <v>2.5206820164169e-12</v>
      </c>
      <c r="Q49" s="7">
        <v>2.574989660935e-12</v>
      </c>
      <c r="R49" s="7">
        <v>2.7937975816529e-12</v>
      </c>
      <c r="S49" s="7">
        <v>2.7813063355394e-12</v>
      </c>
      <c r="T49" s="7">
        <v>2.8016128756043e-12</v>
      </c>
      <c r="U49" s="7">
        <v>2.2984862758992e-12</v>
      </c>
      <c r="V49" s="7">
        <v>2.4195638153569e-12</v>
      </c>
      <c r="W49" s="7">
        <v>2.4537868763048e-12</v>
      </c>
      <c r="X49" s="7">
        <v>2.4192073258701e-12</v>
      </c>
      <c r="Y49" s="7">
        <v>2.5487523922503e-12</v>
      </c>
      <c r="Z49" s="7">
        <v>2.5960160338658e-12</v>
      </c>
      <c r="AA49" s="7">
        <v>2.6183653405444e-12</v>
      </c>
      <c r="AB49" s="6">
        <v>0.47618426161833</v>
      </c>
      <c r="AC49" s="6">
        <v>0.18256421619107</v>
      </c>
      <c r="AD49" s="6">
        <v>0.0015386196779486</v>
      </c>
      <c r="AE49" s="7">
        <v>2.3291830475604e-12</v>
      </c>
      <c r="AF49" s="7">
        <v>7.8966527501449e-12</v>
      </c>
      <c r="AG49" s="7">
        <v>8.1864040626765e-12</v>
      </c>
      <c r="AH49" s="7">
        <v>4.6248256182712e-12</v>
      </c>
      <c r="AI49" s="7">
        <v>2.464774305e-13</v>
      </c>
      <c r="AJ49" s="7">
        <v>7.9095269861105e-13</v>
      </c>
      <c r="AK49" s="7">
        <v>1.7342847287805e-12</v>
      </c>
      <c r="AL49" s="7">
        <v>1.5308636158514e-12</v>
      </c>
      <c r="AM49" s="7">
        <v>1.5812291894169e-12</v>
      </c>
      <c r="AN49" s="7">
        <v>-1.2982588445738e-12</v>
      </c>
      <c r="AO49" s="7">
        <v>-6.432772107699e-13</v>
      </c>
      <c r="AP49" s="7">
        <v>-1.5507808402548e-12</v>
      </c>
      <c r="AQ49" s="7">
        <v>2.5823353397458e-13</v>
      </c>
      <c r="AR49" s="7">
        <v>-6.8894012983537e-12</v>
      </c>
      <c r="AS49" s="7">
        <v>2.2062440667113e-13</v>
      </c>
      <c r="AT49" s="7">
        <v>-1.0644675989545e-13</v>
      </c>
      <c r="AU49" s="7">
        <v>-1.9140033260121e-12</v>
      </c>
      <c r="AV49" s="7">
        <v>-3.4800610721759e-12</v>
      </c>
      <c r="AW49" s="7">
        <v>-2.1924313664907e-12</v>
      </c>
      <c r="AX49" s="7">
        <v>5.4944232377229e-12</v>
      </c>
      <c r="AY49" s="7">
        <v>2.6487403075782e-12</v>
      </c>
      <c r="AZ49" s="7">
        <v>-5.9567621357906e-12</v>
      </c>
      <c r="BA49" s="7">
        <v>-2.7017294509314e-13</v>
      </c>
      <c r="BB49" s="7">
        <v>-1.1092980852088e-11</v>
      </c>
      <c r="BC49" s="6">
        <v>16197093.529242</v>
      </c>
      <c r="BD49" s="6">
        <v>4058799.1225453</v>
      </c>
      <c r="BE49" s="6">
        <v>-0.00092098621035876</v>
      </c>
      <c r="BF49" s="6">
        <v>0.0015097481117088</v>
      </c>
      <c r="BG49" s="6">
        <v>0.00032382662357697</v>
      </c>
      <c r="BH49" s="6">
        <v>-0.0050230939221444</v>
      </c>
      <c r="BI49" s="6">
        <v>199.73788143167</v>
      </c>
      <c r="BJ49" s="6">
        <v>99.892501097333</v>
      </c>
      <c r="BK49" s="6">
        <v>186.078909053</v>
      </c>
      <c r="BL49" s="3"/>
      <c r="BM49" s="5"/>
    </row>
    <row r="50" spans="1:65">
      <c r="A50" s="6">
        <v>4456254.6906689</v>
      </c>
      <c r="B50" s="6">
        <v>0.00080876931748599</v>
      </c>
      <c r="C50" s="6"/>
      <c r="D50" s="7">
        <v>2.3414293100318e-12</v>
      </c>
      <c r="E50" s="7">
        <v>2.8241046135339e-12</v>
      </c>
      <c r="F50" s="7">
        <v>2.8248302833392e-12</v>
      </c>
      <c r="G50" s="7">
        <v>2.8199324152639e-12</v>
      </c>
      <c r="H50" s="7">
        <v>2.2919271048698e-12</v>
      </c>
      <c r="I50" s="7">
        <v>2.3096474913204e-12</v>
      </c>
      <c r="J50" s="7">
        <v>2.2836937926082e-12</v>
      </c>
      <c r="K50" s="7">
        <v>2.4008154717377e-12</v>
      </c>
      <c r="L50" s="7">
        <v>2.4366292462521e-12</v>
      </c>
      <c r="M50" s="7">
        <v>2.3858556523088e-12</v>
      </c>
      <c r="N50" s="7">
        <v>2.5477244925882e-12</v>
      </c>
      <c r="O50" s="7">
        <v>2.2923533458917e-12</v>
      </c>
      <c r="P50" s="7">
        <v>2.5201544886996e-12</v>
      </c>
      <c r="Q50" s="7">
        <v>2.5783460325645e-12</v>
      </c>
      <c r="R50" s="7">
        <v>2.794818335068e-12</v>
      </c>
      <c r="S50" s="7">
        <v>2.7812422467922e-12</v>
      </c>
      <c r="T50" s="7">
        <v>2.8036316403824e-12</v>
      </c>
      <c r="U50" s="7">
        <v>2.2989872415417e-12</v>
      </c>
      <c r="V50" s="7">
        <v>2.4224753129937e-12</v>
      </c>
      <c r="W50" s="7">
        <v>2.4593884152899e-12</v>
      </c>
      <c r="X50" s="7">
        <v>2.4215618923221e-12</v>
      </c>
      <c r="Y50" s="7">
        <v>2.550441738392e-12</v>
      </c>
      <c r="Z50" s="7">
        <v>2.6005373646802e-12</v>
      </c>
      <c r="AA50" s="7">
        <v>2.6244067771605e-12</v>
      </c>
      <c r="AB50" s="6">
        <v>0.4817781921162</v>
      </c>
      <c r="AC50" s="6">
        <v>0.1874728222163</v>
      </c>
      <c r="AD50" s="6">
        <v>0.0016006154652789</v>
      </c>
      <c r="AE50" s="7">
        <v>2.3136662669411e-12</v>
      </c>
      <c r="AF50" s="7">
        <v>7.6882395805438e-12</v>
      </c>
      <c r="AG50" s="7">
        <v>8.021086020067e-12</v>
      </c>
      <c r="AH50" s="7">
        <v>4.4511102020419e-12</v>
      </c>
      <c r="AI50" s="7">
        <v>2.2523532395695e-13</v>
      </c>
      <c r="AJ50" s="7">
        <v>7.635639909715e-13</v>
      </c>
      <c r="AK50" s="7">
        <v>1.728841623299e-12</v>
      </c>
      <c r="AL50" s="7">
        <v>1.5046690123647e-12</v>
      </c>
      <c r="AM50" s="7">
        <v>1.598161307171e-12</v>
      </c>
      <c r="AN50" s="7">
        <v>-1.3063221378566e-12</v>
      </c>
      <c r="AO50" s="7">
        <v>-6.6412518583238e-13</v>
      </c>
      <c r="AP50" s="7">
        <v>-1.3750126101104e-12</v>
      </c>
      <c r="AQ50" s="7">
        <v>2.2537884067602e-13</v>
      </c>
      <c r="AR50" s="7">
        <v>-6.7650998173982e-12</v>
      </c>
      <c r="AS50" s="7">
        <v>1.5330841481461e-13</v>
      </c>
      <c r="AT50" s="7">
        <v>-8.7951379657943e-14</v>
      </c>
      <c r="AU50" s="7">
        <v>-2.0089136483168e-12</v>
      </c>
      <c r="AV50" s="7">
        <v>-3.2882958392896e-12</v>
      </c>
      <c r="AW50" s="7">
        <v>-2.0869494631774e-12</v>
      </c>
      <c r="AX50" s="7">
        <v>5.1360734255903e-12</v>
      </c>
      <c r="AY50" s="7">
        <v>2.4638072029502e-12</v>
      </c>
      <c r="AZ50" s="7">
        <v>-5.7449470835364e-12</v>
      </c>
      <c r="BA50" s="7">
        <v>-2.1711345802163e-13</v>
      </c>
      <c r="BB50" s="7">
        <v>-1.0625204063409e-11</v>
      </c>
      <c r="BC50" s="6">
        <v>16208926.170924</v>
      </c>
      <c r="BD50" s="6">
        <v>4062957.6008347</v>
      </c>
      <c r="BE50" s="6">
        <v>-0.00096167097732273</v>
      </c>
      <c r="BF50" s="6">
        <v>0.0015698792489746</v>
      </c>
      <c r="BG50" s="6">
        <v>0.00033371921572965</v>
      </c>
      <c r="BH50" s="6">
        <v>-0.0052202438901743</v>
      </c>
      <c r="BI50" s="6">
        <v>199.73748133595</v>
      </c>
      <c r="BJ50" s="6">
        <v>99.892560952239</v>
      </c>
      <c r="BK50" s="6">
        <v>186.15321248978</v>
      </c>
      <c r="BL50" s="3"/>
      <c r="BM50" s="5"/>
    </row>
    <row r="51" spans="1:65">
      <c r="A51" s="6">
        <v>5000000.0000001</v>
      </c>
      <c r="B51" s="6">
        <v>0.00087618229049806</v>
      </c>
      <c r="C51" s="6"/>
      <c r="D51" s="7">
        <v>2.3453872378598e-12</v>
      </c>
      <c r="E51" s="7">
        <v>2.8267418838196e-12</v>
      </c>
      <c r="F51" s="7">
        <v>2.8280713221146e-12</v>
      </c>
      <c r="G51" s="7">
        <v>2.8223852638718e-12</v>
      </c>
      <c r="H51" s="7">
        <v>2.2923079384714e-12</v>
      </c>
      <c r="I51" s="7">
        <v>2.3115743478413e-12</v>
      </c>
      <c r="J51" s="7">
        <v>2.2829019825569e-12</v>
      </c>
      <c r="K51" s="7">
        <v>2.402312764525e-12</v>
      </c>
      <c r="L51" s="7">
        <v>2.4407872994582e-12</v>
      </c>
      <c r="M51" s="7">
        <v>2.3862969454308e-12</v>
      </c>
      <c r="N51" s="7">
        <v>2.5492739657742e-12</v>
      </c>
      <c r="O51" s="7">
        <v>2.2928363452735e-12</v>
      </c>
      <c r="P51" s="7">
        <v>2.5193757080567e-12</v>
      </c>
      <c r="Q51" s="7">
        <v>2.5817813918234e-12</v>
      </c>
      <c r="R51" s="7">
        <v>2.7956716864932e-12</v>
      </c>
      <c r="S51" s="7">
        <v>2.7809282550166e-12</v>
      </c>
      <c r="T51" s="7">
        <v>2.8056299003019e-12</v>
      </c>
      <c r="U51" s="7">
        <v>2.2994132597645e-12</v>
      </c>
      <c r="V51" s="7">
        <v>2.425631816018e-12</v>
      </c>
      <c r="W51" s="7">
        <v>2.4655240572329e-12</v>
      </c>
      <c r="X51" s="7">
        <v>2.4240409891522e-12</v>
      </c>
      <c r="Y51" s="7">
        <v>2.5520518314768e-12</v>
      </c>
      <c r="Z51" s="7">
        <v>2.6051901383564e-12</v>
      </c>
      <c r="AA51" s="7">
        <v>2.6307100547957e-12</v>
      </c>
      <c r="AB51" s="6">
        <v>0.48713841974218</v>
      </c>
      <c r="AC51" s="6">
        <v>0.19227236178926</v>
      </c>
      <c r="AD51" s="6">
        <v>0.0016686212396683</v>
      </c>
      <c r="AE51" s="7">
        <v>2.2893304339772e-12</v>
      </c>
      <c r="AF51" s="7">
        <v>7.5074832099991e-12</v>
      </c>
      <c r="AG51" s="7">
        <v>7.8606095642749e-12</v>
      </c>
      <c r="AH51" s="7">
        <v>4.3001733257494e-12</v>
      </c>
      <c r="AI51" s="7">
        <v>2.0802153340256e-13</v>
      </c>
      <c r="AJ51" s="7">
        <v>7.3108850052961e-13</v>
      </c>
      <c r="AK51" s="7">
        <v>1.7159457798956e-12</v>
      </c>
      <c r="AL51" s="7">
        <v>1.477371835835e-12</v>
      </c>
      <c r="AM51" s="7">
        <v>1.6084931932744e-12</v>
      </c>
      <c r="AN51" s="7">
        <v>-1.3066604796309e-12</v>
      </c>
      <c r="AO51" s="7">
        <v>-6.8638068446131e-13</v>
      </c>
      <c r="AP51" s="7">
        <v>-1.2127464600268e-12</v>
      </c>
      <c r="AQ51" s="7">
        <v>1.9743307609714e-13</v>
      </c>
      <c r="AR51" s="7">
        <v>-6.653622627478e-12</v>
      </c>
      <c r="AS51" s="7">
        <v>9.3825791757882e-14</v>
      </c>
      <c r="AT51" s="7">
        <v>-6.5390193697809e-14</v>
      </c>
      <c r="AU51" s="7">
        <v>-2.0827275282981e-12</v>
      </c>
      <c r="AV51" s="7">
        <v>-3.1068443247587e-12</v>
      </c>
      <c r="AW51" s="7">
        <v>-1.9934020631267e-12</v>
      </c>
      <c r="AX51" s="7">
        <v>4.8238844516855e-12</v>
      </c>
      <c r="AY51" s="7">
        <v>2.2982275547895e-12</v>
      </c>
      <c r="AZ51" s="7">
        <v>-5.5600288666998e-12</v>
      </c>
      <c r="BA51" s="7">
        <v>-1.6023210767975e-13</v>
      </c>
      <c r="BB51" s="7">
        <v>-1.0197777521224e-11</v>
      </c>
      <c r="BC51" s="6">
        <v>16221438.460077</v>
      </c>
      <c r="BD51" s="6">
        <v>4067435.536414</v>
      </c>
      <c r="BE51" s="6">
        <v>-0.0010059445412114</v>
      </c>
      <c r="BF51" s="6">
        <v>0.0016360340591183</v>
      </c>
      <c r="BG51" s="6">
        <v>0.0003447863151652</v>
      </c>
      <c r="BH51" s="6">
        <v>-0.0054318782981549</v>
      </c>
      <c r="BI51" s="6">
        <v>199.73704912464</v>
      </c>
      <c r="BJ51" s="6">
        <v>99.892625727475</v>
      </c>
      <c r="BK51" s="6">
        <v>186.22533343309</v>
      </c>
      <c r="BL51" s="3"/>
      <c r="BM51" s="5"/>
    </row>
    <row r="52" spans="1:65">
      <c r="A52" s="6">
        <v>5610092.27151</v>
      </c>
      <c r="B52" s="6">
        <v>0.00095006818617316</v>
      </c>
      <c r="C52" s="6"/>
      <c r="D52" s="7">
        <v>2.3495982328161e-12</v>
      </c>
      <c r="E52" s="7">
        <v>2.8293706882807e-12</v>
      </c>
      <c r="F52" s="7">
        <v>2.8313877479408e-12</v>
      </c>
      <c r="G52" s="7">
        <v>2.8247532735718e-12</v>
      </c>
      <c r="H52" s="7">
        <v>2.2926442038349e-12</v>
      </c>
      <c r="I52" s="7">
        <v>2.3135862441346e-12</v>
      </c>
      <c r="J52" s="7">
        <v>2.2819324608411e-12</v>
      </c>
      <c r="K52" s="7">
        <v>2.4038982463663e-12</v>
      </c>
      <c r="L52" s="7">
        <v>2.4452747236317e-12</v>
      </c>
      <c r="M52" s="7">
        <v>2.3867877125181e-12</v>
      </c>
      <c r="N52" s="7">
        <v>2.5507744058081e-12</v>
      </c>
      <c r="O52" s="7">
        <v>2.2932837828488e-12</v>
      </c>
      <c r="P52" s="7">
        <v>2.5183304430621e-12</v>
      </c>
      <c r="Q52" s="7">
        <v>2.5853155422951e-12</v>
      </c>
      <c r="R52" s="7">
        <v>2.796339784665e-12</v>
      </c>
      <c r="S52" s="7">
        <v>2.7803438716197e-12</v>
      </c>
      <c r="T52" s="7">
        <v>2.8076067717479e-12</v>
      </c>
      <c r="U52" s="7">
        <v>2.299732507891e-12</v>
      </c>
      <c r="V52" s="7">
        <v>2.4290121663036e-12</v>
      </c>
      <c r="W52" s="7">
        <v>2.47219887702e-12</v>
      </c>
      <c r="X52" s="7">
        <v>2.4266034267643e-12</v>
      </c>
      <c r="Y52" s="7">
        <v>2.5535863726909e-12</v>
      </c>
      <c r="Z52" s="7">
        <v>2.609996815144e-12</v>
      </c>
      <c r="AA52" s="7">
        <v>2.6373105681941e-12</v>
      </c>
      <c r="AB52" s="6">
        <v>0.49223468521811</v>
      </c>
      <c r="AC52" s="6">
        <v>0.1969082234303</v>
      </c>
      <c r="AD52" s="6">
        <v>0.0017433152911931</v>
      </c>
      <c r="AE52" s="7">
        <v>2.2558354457234e-12</v>
      </c>
      <c r="AF52" s="7">
        <v>7.3506033074991e-12</v>
      </c>
      <c r="AG52" s="7">
        <v>7.7031295891649e-12</v>
      </c>
      <c r="AH52" s="7">
        <v>4.1700511231284e-12</v>
      </c>
      <c r="AI52" s="7">
        <v>1.9153661337786e-13</v>
      </c>
      <c r="AJ52" s="7">
        <v>6.9509823382756e-13</v>
      </c>
      <c r="AK52" s="7">
        <v>1.6952891097928e-12</v>
      </c>
      <c r="AL52" s="7">
        <v>1.4463112302077e-12</v>
      </c>
      <c r="AM52" s="7">
        <v>1.6142576488792e-12</v>
      </c>
      <c r="AN52" s="7">
        <v>-1.2994749579715e-12</v>
      </c>
      <c r="AO52" s="7">
        <v>-7.1024525768537e-13</v>
      </c>
      <c r="AP52" s="7">
        <v>-1.0628227215098e-12</v>
      </c>
      <c r="AQ52" s="7">
        <v>1.7254290625564e-13</v>
      </c>
      <c r="AR52" s="7">
        <v>-6.5534345447599e-12</v>
      </c>
      <c r="AS52" s="7">
        <v>4.2348231225157e-14</v>
      </c>
      <c r="AT52" s="7">
        <v>-3.9797069358961e-14</v>
      </c>
      <c r="AU52" s="7">
        <v>-2.1322103305079e-12</v>
      </c>
      <c r="AV52" s="7">
        <v>-2.933707430286e-12</v>
      </c>
      <c r="AW52" s="7">
        <v>-1.9107137659645e-12</v>
      </c>
      <c r="AX52" s="7">
        <v>4.5555017022631e-12</v>
      </c>
      <c r="AY52" s="7">
        <v>2.1504729728029e-12</v>
      </c>
      <c r="AZ52" s="7">
        <v>-5.3983878888313e-12</v>
      </c>
      <c r="BA52" s="7">
        <v>-1.013987299741e-13</v>
      </c>
      <c r="BB52" s="7">
        <v>-9.807687794738e-12</v>
      </c>
      <c r="BC52" s="6">
        <v>16234671.987476</v>
      </c>
      <c r="BD52" s="6">
        <v>4072264.5548233</v>
      </c>
      <c r="BE52" s="6">
        <v>-0.0010541963077253</v>
      </c>
      <c r="BF52" s="6">
        <v>0.0017089048048431</v>
      </c>
      <c r="BG52" s="6">
        <v>0.00035716968168586</v>
      </c>
      <c r="BH52" s="6">
        <v>-0.005659473431639</v>
      </c>
      <c r="BI52" s="6">
        <v>199.73658021096</v>
      </c>
      <c r="BJ52" s="6">
        <v>99.89269517427</v>
      </c>
      <c r="BK52" s="6">
        <v>186.29527091572</v>
      </c>
      <c r="BL52" s="3"/>
      <c r="BM52" s="5"/>
    </row>
    <row r="53" spans="1:65">
      <c r="A53" s="6">
        <v>6294627.058971</v>
      </c>
      <c r="B53" s="6">
        <v>0.001031189714265</v>
      </c>
      <c r="C53" s="6"/>
      <c r="D53" s="7">
        <v>2.3540718011661e-12</v>
      </c>
      <c r="E53" s="7">
        <v>2.8320279555777e-12</v>
      </c>
      <c r="F53" s="7">
        <v>2.8348193395038e-12</v>
      </c>
      <c r="G53" s="7">
        <v>2.8270590623322e-12</v>
      </c>
      <c r="H53" s="7">
        <v>2.2929213922962e-12</v>
      </c>
      <c r="I53" s="7">
        <v>2.315673109741e-12</v>
      </c>
      <c r="J53" s="7">
        <v>2.280750825783e-12</v>
      </c>
      <c r="K53" s="7">
        <v>2.4055664632703e-12</v>
      </c>
      <c r="L53" s="7">
        <v>2.450119393422e-12</v>
      </c>
      <c r="M53" s="7">
        <v>2.3873323637241e-12</v>
      </c>
      <c r="N53" s="7">
        <v>2.5522366236404e-12</v>
      </c>
      <c r="O53" s="7">
        <v>2.2936704115915e-12</v>
      </c>
      <c r="P53" s="7">
        <v>2.5170015065618e-12</v>
      </c>
      <c r="Q53" s="7">
        <v>2.5889702113897e-12</v>
      </c>
      <c r="R53" s="7">
        <v>2.7968332365723e-12</v>
      </c>
      <c r="S53" s="7">
        <v>2.7794961620574e-12</v>
      </c>
      <c r="T53" s="7">
        <v>2.8095888688448e-12</v>
      </c>
      <c r="U53" s="7">
        <v>2.2999143252107e-12</v>
      </c>
      <c r="V53" s="7">
        <v>2.4326337320149e-12</v>
      </c>
      <c r="W53" s="7">
        <v>2.4794540628066e-12</v>
      </c>
      <c r="X53" s="7">
        <v>2.4292409241187e-12</v>
      </c>
      <c r="Y53" s="7">
        <v>2.5550487269087e-12</v>
      </c>
      <c r="Z53" s="7">
        <v>2.6149820179269e-12</v>
      </c>
      <c r="AA53" s="7">
        <v>2.6442474237029e-12</v>
      </c>
      <c r="AB53" s="6">
        <v>0.49704622551583</v>
      </c>
      <c r="AC53" s="6">
        <v>0.2013407888865</v>
      </c>
      <c r="AD53" s="6">
        <v>0.0018254614291455</v>
      </c>
      <c r="AE53" s="7">
        <v>2.2122853438648e-12</v>
      </c>
      <c r="AF53" s="7">
        <v>7.2150908351662e-12</v>
      </c>
      <c r="AG53" s="7">
        <v>7.5480383057031e-12</v>
      </c>
      <c r="AH53" s="7">
        <v>4.0583022352234e-12</v>
      </c>
      <c r="AI53" s="7">
        <v>1.722112961191e-13</v>
      </c>
      <c r="AJ53" s="7">
        <v>6.57603541854e-13</v>
      </c>
      <c r="AK53" s="7">
        <v>1.6673401099499e-12</v>
      </c>
      <c r="AL53" s="7">
        <v>1.4092257324357e-12</v>
      </c>
      <c r="AM53" s="7">
        <v>1.6184232676709e-12</v>
      </c>
      <c r="AN53" s="7">
        <v>-1.2852670293093e-12</v>
      </c>
      <c r="AO53" s="7">
        <v>-7.3610168541115e-13</v>
      </c>
      <c r="AP53" s="7">
        <v>-9.2472644655764e-13</v>
      </c>
      <c r="AQ53" s="7">
        <v>1.494717375467e-13</v>
      </c>
      <c r="AR53" s="7">
        <v>-6.4636306287797e-12</v>
      </c>
      <c r="AS53" s="7">
        <v>-1.9196090924888e-15</v>
      </c>
      <c r="AT53" s="7">
        <v>-1.1947148724919e-14</v>
      </c>
      <c r="AU53" s="7">
        <v>-2.1563851615311e-12</v>
      </c>
      <c r="AV53" s="7">
        <v>-2.7680252621645e-12</v>
      </c>
      <c r="AW53" s="7">
        <v>-1.8375237448062e-12</v>
      </c>
      <c r="AX53" s="7">
        <v>4.3249355619103e-12</v>
      </c>
      <c r="AY53" s="7">
        <v>2.0184398788053e-12</v>
      </c>
      <c r="AZ53" s="7">
        <v>-5.2570390512965e-12</v>
      </c>
      <c r="BA53" s="7">
        <v>-4.23361632684e-14</v>
      </c>
      <c r="BB53" s="7">
        <v>-9.4529156962411e-12</v>
      </c>
      <c r="BC53" s="6">
        <v>16248669.954655</v>
      </c>
      <c r="BD53" s="6">
        <v>4077480.2507028</v>
      </c>
      <c r="BE53" s="6">
        <v>-0.001106864517459</v>
      </c>
      <c r="BF53" s="6">
        <v>0.0017892705582213</v>
      </c>
      <c r="BG53" s="6">
        <v>0.00037102789604358</v>
      </c>
      <c r="BH53" s="6">
        <v>-0.0059048315449207</v>
      </c>
      <c r="BI53" s="6">
        <v>199.73606871206</v>
      </c>
      <c r="BJ53" s="6">
        <v>99.892768772902</v>
      </c>
      <c r="BK53" s="6">
        <v>186.36307856527</v>
      </c>
      <c r="BL53" s="3"/>
      <c r="BM53" s="5"/>
    </row>
    <row r="54" spans="1:65">
      <c r="A54" s="6">
        <v>7062687.723114</v>
      </c>
      <c r="B54" s="6">
        <v>0.001120411915277</v>
      </c>
      <c r="C54" s="6"/>
      <c r="D54" s="7">
        <v>2.3588269210234e-12</v>
      </c>
      <c r="E54" s="7">
        <v>2.8347036306556e-12</v>
      </c>
      <c r="F54" s="7">
        <v>2.8383604136468e-12</v>
      </c>
      <c r="G54" s="7">
        <v>2.8292765276719e-12</v>
      </c>
      <c r="H54" s="7">
        <v>2.2931360658228e-12</v>
      </c>
      <c r="I54" s="7">
        <v>2.3178328280711e-12</v>
      </c>
      <c r="J54" s="7">
        <v>2.2793293116203e-12</v>
      </c>
      <c r="K54" s="7">
        <v>2.4073115581006e-12</v>
      </c>
      <c r="L54" s="7">
        <v>2.4553525592873e-12</v>
      </c>
      <c r="M54" s="7">
        <v>2.3879355129791e-12</v>
      </c>
      <c r="N54" s="7">
        <v>2.5536914972739e-12</v>
      </c>
      <c r="O54" s="7">
        <v>2.2939771873245e-12</v>
      </c>
      <c r="P54" s="7">
        <v>2.5153893805946e-12</v>
      </c>
      <c r="Q54" s="7">
        <v>2.5927891485963e-12</v>
      </c>
      <c r="R54" s="7">
        <v>2.7971136510659e-12</v>
      </c>
      <c r="S54" s="7">
        <v>2.7783415359075e-12</v>
      </c>
      <c r="T54" s="7">
        <v>2.8115532856636e-12</v>
      </c>
      <c r="U54" s="7">
        <v>2.299936207395e-12</v>
      </c>
      <c r="V54" s="7">
        <v>2.4365119844434e-12</v>
      </c>
      <c r="W54" s="7">
        <v>2.4873349334962e-12</v>
      </c>
      <c r="X54" s="7">
        <v>2.4319454445725e-12</v>
      </c>
      <c r="Y54" s="7">
        <v>2.5564616989102e-12</v>
      </c>
      <c r="Z54" s="7">
        <v>2.6201927842026e-12</v>
      </c>
      <c r="AA54" s="7">
        <v>2.6515831888534e-12</v>
      </c>
      <c r="AB54" s="6">
        <v>0.50156354647598</v>
      </c>
      <c r="AC54" s="6">
        <v>0.20554324113063</v>
      </c>
      <c r="AD54" s="6">
        <v>0.0019159209404281</v>
      </c>
      <c r="AE54" s="7">
        <v>2.1588924947912e-12</v>
      </c>
      <c r="AF54" s="7">
        <v>7.0983222279168e-12</v>
      </c>
      <c r="AG54" s="7">
        <v>7.3955646855342e-12</v>
      </c>
      <c r="AH54" s="7">
        <v>3.9622304489914e-12</v>
      </c>
      <c r="AI54" s="7">
        <v>1.4834176486854e-13</v>
      </c>
      <c r="AJ54" s="7">
        <v>6.202857145169e-13</v>
      </c>
      <c r="AK54" s="7">
        <v>1.6333983671446e-12</v>
      </c>
      <c r="AL54" s="7">
        <v>1.3644447408609e-12</v>
      </c>
      <c r="AM54" s="7">
        <v>1.6235522193365e-12</v>
      </c>
      <c r="AN54" s="7">
        <v>-1.2650706391287e-12</v>
      </c>
      <c r="AO54" s="7">
        <v>-7.6467937680826e-13</v>
      </c>
      <c r="AP54" s="7">
        <v>-7.991761522709e-13</v>
      </c>
      <c r="AQ54" s="7">
        <v>1.2764470893649e-13</v>
      </c>
      <c r="AR54" s="7">
        <v>-6.3836544489333e-12</v>
      </c>
      <c r="AS54" s="7">
        <v>-4.0277430511396e-14</v>
      </c>
      <c r="AT54" s="7">
        <v>1.7378810922173e-14</v>
      </c>
      <c r="AU54" s="7">
        <v>-2.1568251218943e-12</v>
      </c>
      <c r="AV54" s="7">
        <v>-2.6098962905461e-12</v>
      </c>
      <c r="AW54" s="7">
        <v>-1.7712416425854e-12</v>
      </c>
      <c r="AX54" s="7">
        <v>4.1252659962141e-12</v>
      </c>
      <c r="AY54" s="7">
        <v>1.8998504675633e-12</v>
      </c>
      <c r="AZ54" s="7">
        <v>-5.1332172653914e-12</v>
      </c>
      <c r="BA54" s="7">
        <v>1.4900136199487e-14</v>
      </c>
      <c r="BB54" s="7">
        <v>-9.1320298220037e-12</v>
      </c>
      <c r="BC54" s="6">
        <v>16263476.868602</v>
      </c>
      <c r="BD54" s="6">
        <v>4083122.7382032</v>
      </c>
      <c r="BE54" s="6">
        <v>-0.0011644431045281</v>
      </c>
      <c r="BF54" s="6">
        <v>0.0018780089630808</v>
      </c>
      <c r="BG54" s="6">
        <v>0.00038653848075408</v>
      </c>
      <c r="BH54" s="6">
        <v>-0.0061699900693033</v>
      </c>
      <c r="BI54" s="6">
        <v>199.73550746994</v>
      </c>
      <c r="BJ54" s="6">
        <v>99.892845259036</v>
      </c>
      <c r="BK54" s="6">
        <v>186.42885550891</v>
      </c>
      <c r="BL54" s="3"/>
      <c r="BM54" s="5"/>
    </row>
    <row r="55" spans="1:65">
      <c r="A55" s="6">
        <v>7924465.9623058</v>
      </c>
      <c r="B55" s="6">
        <v>0.0012187135234322</v>
      </c>
      <c r="C55" s="6"/>
      <c r="D55" s="7">
        <v>2.3638747985779e-12</v>
      </c>
      <c r="E55" s="7">
        <v>2.837431682605e-12</v>
      </c>
      <c r="F55" s="7">
        <v>2.8420516243249e-12</v>
      </c>
      <c r="G55" s="7">
        <v>2.8314226283225e-12</v>
      </c>
      <c r="H55" s="7">
        <v>2.2932756231327e-12</v>
      </c>
      <c r="I55" s="7">
        <v>2.3200538595694e-12</v>
      </c>
      <c r="J55" s="7">
        <v>2.2776290676158e-12</v>
      </c>
      <c r="K55" s="7">
        <v>2.4091131606358e-12</v>
      </c>
      <c r="L55" s="7">
        <v>2.4609922895172e-12</v>
      </c>
      <c r="M55" s="7">
        <v>2.3885863486797e-12</v>
      </c>
      <c r="N55" s="7">
        <v>2.5551933526915e-12</v>
      </c>
      <c r="O55" s="7">
        <v>2.2941719040346e-12</v>
      </c>
      <c r="P55" s="7">
        <v>2.5135141205183e-12</v>
      </c>
      <c r="Q55" s="7">
        <v>2.5968397008793e-12</v>
      </c>
      <c r="R55" s="7">
        <v>2.7971852023687e-12</v>
      </c>
      <c r="S55" s="7">
        <v>2.7768768893742e-12</v>
      </c>
      <c r="T55" s="7">
        <v>2.813520722714e-12</v>
      </c>
      <c r="U55" s="7">
        <v>2.2997659971769e-12</v>
      </c>
      <c r="V55" s="7">
        <v>2.440633001134e-12</v>
      </c>
      <c r="W55" s="7">
        <v>2.4958758331116e-12</v>
      </c>
      <c r="X55" s="7">
        <v>2.4346949178449e-12</v>
      </c>
      <c r="Y55" s="7">
        <v>2.5578714864068e-12</v>
      </c>
      <c r="Z55" s="7">
        <v>2.6257001616541e-12</v>
      </c>
      <c r="AA55" s="7">
        <v>2.6594058213365e-12</v>
      </c>
      <c r="AB55" s="6">
        <v>0.50579192302643</v>
      </c>
      <c r="AC55" s="6">
        <v>0.20949932706018</v>
      </c>
      <c r="AD55" s="6">
        <v>0.0020156652056763</v>
      </c>
      <c r="AE55" s="7">
        <v>2.097541454265e-12</v>
      </c>
      <c r="AF55" s="7">
        <v>6.996281502413e-12</v>
      </c>
      <c r="AG55" s="7">
        <v>7.2466394918767e-12</v>
      </c>
      <c r="AH55" s="7">
        <v>3.8789723677208e-12</v>
      </c>
      <c r="AI55" s="7">
        <v>1.2165867530413e-13</v>
      </c>
      <c r="AJ55" s="7">
        <v>5.8418278822809e-13</v>
      </c>
      <c r="AK55" s="7">
        <v>1.5953325156052e-12</v>
      </c>
      <c r="AL55" s="7">
        <v>1.3111286615061e-12</v>
      </c>
      <c r="AM55" s="7">
        <v>1.6301091990843e-12</v>
      </c>
      <c r="AN55" s="7">
        <v>-1.2403010117371e-12</v>
      </c>
      <c r="AO55" s="7">
        <v>-7.9692391033756e-13</v>
      </c>
      <c r="AP55" s="7">
        <v>-6.8828704231737e-13</v>
      </c>
      <c r="AQ55" s="7">
        <v>1.0711182058663e-13</v>
      </c>
      <c r="AR55" s="7">
        <v>-6.3124894281612e-12</v>
      </c>
      <c r="AS55" s="7">
        <v>-7.3833322609968e-14</v>
      </c>
      <c r="AT55" s="7">
        <v>4.7210322697113e-14</v>
      </c>
      <c r="AU55" s="7">
        <v>-2.1375595889258e-12</v>
      </c>
      <c r="AV55" s="7">
        <v>-2.4598146591468e-12</v>
      </c>
      <c r="AW55" s="7">
        <v>-1.7090372687774e-12</v>
      </c>
      <c r="AX55" s="7">
        <v>3.9512872775307e-12</v>
      </c>
      <c r="AY55" s="7">
        <v>1.7924068924965e-12</v>
      </c>
      <c r="AZ55" s="7">
        <v>-5.0231675821714e-12</v>
      </c>
      <c r="BA55" s="7">
        <v>6.7880052634524e-14</v>
      </c>
      <c r="BB55" s="7">
        <v>-8.8430387060694e-12</v>
      </c>
      <c r="BC55" s="6">
        <v>16279136.966302</v>
      </c>
      <c r="BD55" s="6">
        <v>4089236.9708871</v>
      </c>
      <c r="BE55" s="6">
        <v>-0.0012274886816131</v>
      </c>
      <c r="BF55" s="6">
        <v>0.0019761084907743</v>
      </c>
      <c r="BG55" s="6">
        <v>0.00040390019967245</v>
      </c>
      <c r="BH55" s="6">
        <v>-0.00645728217048</v>
      </c>
      <c r="BI55" s="6">
        <v>199.73488787148</v>
      </c>
      <c r="BJ55" s="6">
        <v>99.892922840092</v>
      </c>
      <c r="BK55" s="6">
        <v>186.49275164367</v>
      </c>
      <c r="BL55" s="3"/>
      <c r="BM55" s="5"/>
    </row>
    <row r="56" spans="1:65">
      <c r="A56" s="6">
        <v>8891397.0501949</v>
      </c>
      <c r="B56" s="6">
        <v>0.0013271987017119</v>
      </c>
      <c r="C56" s="6"/>
      <c r="D56" s="7">
        <v>2.3691990267046e-12</v>
      </c>
      <c r="E56" s="7">
        <v>2.8402250091525e-12</v>
      </c>
      <c r="F56" s="7">
        <v>2.8459154673772e-12</v>
      </c>
      <c r="G56" s="7">
        <v>2.8334933369566e-12</v>
      </c>
      <c r="H56" s="7">
        <v>2.2932960026493e-12</v>
      </c>
      <c r="I56" s="7">
        <v>2.3222974973349e-12</v>
      </c>
      <c r="J56" s="7">
        <v>2.2755793617989e-12</v>
      </c>
      <c r="K56" s="7">
        <v>2.4109398118696e-12</v>
      </c>
      <c r="L56" s="7">
        <v>2.467050086712e-12</v>
      </c>
      <c r="M56" s="7">
        <v>2.3892629936683e-12</v>
      </c>
      <c r="N56" s="7">
        <v>2.5567760084738e-12</v>
      </c>
      <c r="O56" s="7">
        <v>2.2941888263562e-12</v>
      </c>
      <c r="P56" s="7">
        <v>2.5113735978106e-12</v>
      </c>
      <c r="Q56" s="7">
        <v>2.6011702803848e-12</v>
      </c>
      <c r="R56" s="7">
        <v>2.797030304404e-12</v>
      </c>
      <c r="S56" s="7">
        <v>2.7750753006356e-12</v>
      </c>
      <c r="T56" s="7">
        <v>2.8154934553085e-12</v>
      </c>
      <c r="U56" s="7">
        <v>2.2993429034413e-12</v>
      </c>
      <c r="V56" s="7">
        <v>2.4449800188356e-12</v>
      </c>
      <c r="W56" s="7">
        <v>2.505102268342e-12</v>
      </c>
      <c r="X56" s="7">
        <v>2.4374554321196e-12</v>
      </c>
      <c r="Y56" s="7">
        <v>2.5593020387411e-12</v>
      </c>
      <c r="Z56" s="7">
        <v>2.6315567201197e-12</v>
      </c>
      <c r="AA56" s="7">
        <v>2.6677871187521e-12</v>
      </c>
      <c r="AB56" s="6">
        <v>0.50973434281748</v>
      </c>
      <c r="AC56" s="6">
        <v>0.21319951303979</v>
      </c>
      <c r="AD56" s="6">
        <v>0.0021257889397704</v>
      </c>
      <c r="AE56" s="7">
        <v>2.0308659884011e-12</v>
      </c>
      <c r="AF56" s="7">
        <v>6.904687191786e-12</v>
      </c>
      <c r="AG56" s="7">
        <v>7.1028142914985e-12</v>
      </c>
      <c r="AH56" s="7">
        <v>3.8055354384991e-12</v>
      </c>
      <c r="AI56" s="7">
        <v>9.57368333371e-14</v>
      </c>
      <c r="AJ56" s="7">
        <v>5.4962823858796e-13</v>
      </c>
      <c r="AK56" s="7">
        <v>1.5548898062876e-12</v>
      </c>
      <c r="AL56" s="7">
        <v>1.249463595451e-12</v>
      </c>
      <c r="AM56" s="7">
        <v>1.6365078336578e-12</v>
      </c>
      <c r="AN56" s="7">
        <v>-1.212427856153e-12</v>
      </c>
      <c r="AO56" s="7">
        <v>-8.3366169299183e-13</v>
      </c>
      <c r="AP56" s="7">
        <v>-5.9477395137576e-13</v>
      </c>
      <c r="AQ56" s="7">
        <v>8.8324330920707e-14</v>
      </c>
      <c r="AR56" s="7">
        <v>-6.2486737866805e-12</v>
      </c>
      <c r="AS56" s="7">
        <v>-1.0309806642998e-13</v>
      </c>
      <c r="AT56" s="7">
        <v>7.6469686077844e-14</v>
      </c>
      <c r="AU56" s="7">
        <v>-2.1043336577663e-12</v>
      </c>
      <c r="AV56" s="7">
        <v>-2.3182606787879e-12</v>
      </c>
      <c r="AW56" s="7">
        <v>-1.6502321495846e-12</v>
      </c>
      <c r="AX56" s="7">
        <v>3.7997016474036e-12</v>
      </c>
      <c r="AY56" s="7">
        <v>1.6939389996489e-12</v>
      </c>
      <c r="AZ56" s="7">
        <v>-4.9220294781012e-12</v>
      </c>
      <c r="BA56" s="7">
        <v>1.1491870532514e-13</v>
      </c>
      <c r="BB56" s="7">
        <v>-8.5825831607127e-12</v>
      </c>
      <c r="BC56" s="6">
        <v>16295692.036982</v>
      </c>
      <c r="BD56" s="6">
        <v>4095872.9990743</v>
      </c>
      <c r="BE56" s="6">
        <v>-0.001296627798277</v>
      </c>
      <c r="BF56" s="6">
        <v>0.0020846810605693</v>
      </c>
      <c r="BG56" s="6">
        <v>0.00042333619615936</v>
      </c>
      <c r="BH56" s="6">
        <v>-0.0067694521553429</v>
      </c>
      <c r="BI56" s="6">
        <v>199.73419980702</v>
      </c>
      <c r="BJ56" s="6">
        <v>99.892999306227</v>
      </c>
      <c r="BK56" s="6">
        <v>186.55501107449</v>
      </c>
      <c r="BL56" s="3"/>
      <c r="BM56" s="5"/>
    </row>
    <row r="57" spans="1:65">
      <c r="A57" s="6">
        <v>9976311.5748447</v>
      </c>
      <c r="B57" s="6">
        <v>0.0014471118881477</v>
      </c>
      <c r="C57" s="6"/>
      <c r="D57" s="7">
        <v>2.3749295554498e-12</v>
      </c>
      <c r="E57" s="7">
        <v>2.8431003908615e-12</v>
      </c>
      <c r="F57" s="7">
        <v>2.8499805033981e-12</v>
      </c>
      <c r="G57" s="7">
        <v>2.8354883473172e-12</v>
      </c>
      <c r="H57" s="7">
        <v>2.2932888797838e-12</v>
      </c>
      <c r="I57" s="7">
        <v>2.3246685283207e-12</v>
      </c>
      <c r="J57" s="7">
        <v>2.2732491892963e-12</v>
      </c>
      <c r="K57" s="7">
        <v>2.4128020446204e-12</v>
      </c>
      <c r="L57" s="7">
        <v>2.4735828840985e-12</v>
      </c>
      <c r="M57" s="7">
        <v>2.389985529082e-12</v>
      </c>
      <c r="N57" s="7">
        <v>2.5584446196062e-12</v>
      </c>
      <c r="O57" s="7">
        <v>2.2940976273017e-12</v>
      </c>
      <c r="P57" s="7">
        <v>2.5089318940453e-12</v>
      </c>
      <c r="Q57" s="7">
        <v>2.605799361513e-12</v>
      </c>
      <c r="R57" s="7">
        <v>2.7966346145769e-12</v>
      </c>
      <c r="S57" s="7">
        <v>2.7729111138429e-12</v>
      </c>
      <c r="T57" s="7">
        <v>2.8174821537397e-12</v>
      </c>
      <c r="U57" s="7">
        <v>2.2987474810194e-12</v>
      </c>
      <c r="V57" s="7">
        <v>2.4495796039213e-12</v>
      </c>
      <c r="W57" s="7">
        <v>2.5150836859019e-12</v>
      </c>
      <c r="X57" s="7">
        <v>2.4402347924552e-12</v>
      </c>
      <c r="Y57" s="7">
        <v>2.5607470633361e-12</v>
      </c>
      <c r="Z57" s="7">
        <v>2.6377845864557e-12</v>
      </c>
      <c r="AA57" s="7">
        <v>2.676772956264e-12</v>
      </c>
      <c r="AB57" s="6">
        <v>0.51339675558959</v>
      </c>
      <c r="AC57" s="6">
        <v>0.21663958844264</v>
      </c>
      <c r="AD57" s="6">
        <v>0.002247524689817</v>
      </c>
      <c r="AE57" s="7">
        <v>1.9609629775796e-12</v>
      </c>
      <c r="AF57" s="7">
        <v>6.8210325614096e-12</v>
      </c>
      <c r="AG57" s="7">
        <v>6.9653646110131e-12</v>
      </c>
      <c r="AH57" s="7">
        <v>3.7390749957178e-12</v>
      </c>
      <c r="AI57" s="7">
        <v>7.2993007185796e-14</v>
      </c>
      <c r="AJ57" s="7">
        <v>5.1647147853272e-13</v>
      </c>
      <c r="AK57" s="7">
        <v>1.5131297613497e-12</v>
      </c>
      <c r="AL57" s="7">
        <v>1.1806431248305e-12</v>
      </c>
      <c r="AM57" s="7">
        <v>1.6406991646152e-12</v>
      </c>
      <c r="AN57" s="7">
        <v>-1.1826233819029e-12</v>
      </c>
      <c r="AO57" s="7">
        <v>-8.7486820661469e-13</v>
      </c>
      <c r="AP57" s="7">
        <v>-5.2050352458033e-13</v>
      </c>
      <c r="AQ57" s="7">
        <v>7.1619606821509e-14</v>
      </c>
      <c r="AR57" s="7">
        <v>-6.1910379180349e-12</v>
      </c>
      <c r="AS57" s="7">
        <v>-1.2808625711918e-13</v>
      </c>
      <c r="AT57" s="7">
        <v>1.041363162611e-13</v>
      </c>
      <c r="AU57" s="7">
        <v>-2.063156748762e-12</v>
      </c>
      <c r="AV57" s="7">
        <v>-2.1854820685392e-12</v>
      </c>
      <c r="AW57" s="7">
        <v>-1.5968615252252e-12</v>
      </c>
      <c r="AX57" s="7">
        <v>3.6691196924498e-12</v>
      </c>
      <c r="AY57" s="7">
        <v>1.6025749708907e-12</v>
      </c>
      <c r="AZ57" s="7">
        <v>-4.8258423407255e-12</v>
      </c>
      <c r="BA57" s="7">
        <v>1.5601221477763e-13</v>
      </c>
      <c r="BB57" s="7">
        <v>-8.3464655703551e-12</v>
      </c>
      <c r="BC57" s="6">
        <v>16313180.007518</v>
      </c>
      <c r="BD57" s="6">
        <v>4103086.5425412</v>
      </c>
      <c r="BE57" s="6">
        <v>-0.0013725651973681</v>
      </c>
      <c r="BF57" s="6">
        <v>0.0022049765767073</v>
      </c>
      <c r="BG57" s="6">
        <v>0.00044509768012603</v>
      </c>
      <c r="BH57" s="6">
        <v>-0.007110658659196</v>
      </c>
      <c r="BI57" s="6">
        <v>199.7334317204</v>
      </c>
      <c r="BJ57" s="6">
        <v>99.893072395711</v>
      </c>
      <c r="BK57" s="6">
        <v>186.61599125293</v>
      </c>
      <c r="BL57" s="3"/>
      <c r="BM57" s="5"/>
    </row>
    <row r="58" spans="1:65">
      <c r="A58" s="6">
        <v>11193605.692842</v>
      </c>
      <c r="B58" s="6">
        <v>0.0015798564466406</v>
      </c>
      <c r="C58" s="6"/>
      <c r="D58" s="7">
        <v>2.3810884137998e-12</v>
      </c>
      <c r="E58" s="7">
        <v>2.8460760047049e-12</v>
      </c>
      <c r="F58" s="7">
        <v>2.8542767595386e-12</v>
      </c>
      <c r="G58" s="7">
        <v>2.8374072020189e-12</v>
      </c>
      <c r="H58" s="7">
        <v>2.2932280092537e-12</v>
      </c>
      <c r="I58" s="7">
        <v>2.3271620584248e-12</v>
      </c>
      <c r="J58" s="7">
        <v>2.2705923198359e-12</v>
      </c>
      <c r="K58" s="7">
        <v>2.4146942421625e-12</v>
      </c>
      <c r="L58" s="7">
        <v>2.480636186434e-12</v>
      </c>
      <c r="M58" s="7">
        <v>2.3907581498956e-12</v>
      </c>
      <c r="N58" s="7">
        <v>2.5602289951185e-12</v>
      </c>
      <c r="O58" s="7">
        <v>2.2938510991108e-12</v>
      </c>
      <c r="P58" s="7">
        <v>2.5061735166762e-12</v>
      </c>
      <c r="Q58" s="7">
        <v>2.6107685984354e-12</v>
      </c>
      <c r="R58" s="7">
        <v>2.7959838809014e-12</v>
      </c>
      <c r="S58" s="7">
        <v>2.7703568178057e-12</v>
      </c>
      <c r="T58" s="7">
        <v>2.8195036589394e-12</v>
      </c>
      <c r="U58" s="7">
        <v>2.2979450522363e-12</v>
      </c>
      <c r="V58" s="7">
        <v>2.4544470737785e-12</v>
      </c>
      <c r="W58" s="7">
        <v>2.5258762523504e-12</v>
      </c>
      <c r="X58" s="7">
        <v>2.4430246380548e-12</v>
      </c>
      <c r="Y58" s="7">
        <v>2.5622226512131e-12</v>
      </c>
      <c r="Z58" s="7">
        <v>2.6444300712134e-12</v>
      </c>
      <c r="AA58" s="7">
        <v>2.6864368560223e-12</v>
      </c>
      <c r="AB58" s="6">
        <v>0.51677941357789</v>
      </c>
      <c r="AC58" s="6">
        <v>0.21981613232055</v>
      </c>
      <c r="AD58" s="6">
        <v>0.0023822602662592</v>
      </c>
      <c r="AE58" s="7">
        <v>1.8893406434804e-12</v>
      </c>
      <c r="AF58" s="7">
        <v>6.7447740251009e-12</v>
      </c>
      <c r="AG58" s="7">
        <v>6.8347413222631e-12</v>
      </c>
      <c r="AH58" s="7">
        <v>3.6771633481386e-12</v>
      </c>
      <c r="AI58" s="7">
        <v>5.3105433952064e-14</v>
      </c>
      <c r="AJ58" s="7">
        <v>4.8429202461548e-13</v>
      </c>
      <c r="AK58" s="7">
        <v>1.4704233120388e-12</v>
      </c>
      <c r="AL58" s="7">
        <v>1.1063394341067e-12</v>
      </c>
      <c r="AM58" s="7">
        <v>1.6417901775654e-12</v>
      </c>
      <c r="AN58" s="7">
        <v>-1.151953850256e-12</v>
      </c>
      <c r="AO58" s="7">
        <v>-9.1931958670866e-13</v>
      </c>
      <c r="AP58" s="7">
        <v>-4.6521957309852e-13</v>
      </c>
      <c r="AQ58" s="7">
        <v>5.6832620386493e-14</v>
      </c>
      <c r="AR58" s="7">
        <v>-6.1389689957721e-12</v>
      </c>
      <c r="AS58" s="7">
        <v>-1.4847506948011e-13</v>
      </c>
      <c r="AT58" s="7">
        <v>1.2931300619293e-13</v>
      </c>
      <c r="AU58" s="7">
        <v>-2.0190910542508e-12</v>
      </c>
      <c r="AV58" s="7">
        <v>-2.0615442618443e-12</v>
      </c>
      <c r="AW58" s="7">
        <v>-1.5513423469914e-12</v>
      </c>
      <c r="AX58" s="7">
        <v>3.55883780372e-12</v>
      </c>
      <c r="AY58" s="7">
        <v>1.5172154848507e-12</v>
      </c>
      <c r="AZ58" s="7">
        <v>-4.7338873655319e-12</v>
      </c>
      <c r="BA58" s="7">
        <v>1.9224837110915e-13</v>
      </c>
      <c r="BB58" s="7">
        <v>-8.1311029954685e-12</v>
      </c>
      <c r="BC58" s="6">
        <v>16331634.081576</v>
      </c>
      <c r="BD58" s="6">
        <v>4110939.8788241</v>
      </c>
      <c r="BE58" s="6">
        <v>-0.0014560941074735</v>
      </c>
      <c r="BF58" s="6">
        <v>0.0023384008441791</v>
      </c>
      <c r="BG58" s="6">
        <v>0.00046946775931223</v>
      </c>
      <c r="BH58" s="6">
        <v>-0.0074834466724607</v>
      </c>
      <c r="BI58" s="6">
        <v>199.73256724813</v>
      </c>
      <c r="BJ58" s="6">
        <v>99.893139241712</v>
      </c>
      <c r="BK58" s="6">
        <v>186.67608848764</v>
      </c>
      <c r="BL58" s="3"/>
      <c r="BM58" s="5"/>
    </row>
    <row r="59" spans="1:65">
      <c r="A59" s="6">
        <v>12559432.157548</v>
      </c>
      <c r="B59" s="6">
        <v>0.0017270161854403</v>
      </c>
      <c r="C59" s="6"/>
      <c r="D59" s="7">
        <v>2.3876968856475e-12</v>
      </c>
      <c r="E59" s="7">
        <v>2.8491722824352e-12</v>
      </c>
      <c r="F59" s="7">
        <v>2.8588348141767e-12</v>
      </c>
      <c r="G59" s="7">
        <v>2.8392487176068e-12</v>
      </c>
      <c r="H59" s="7">
        <v>2.2930806469227e-12</v>
      </c>
      <c r="I59" s="7">
        <v>2.329771748012e-12</v>
      </c>
      <c r="J59" s="7">
        <v>2.2675563580301e-12</v>
      </c>
      <c r="K59" s="7">
        <v>2.4166006738581e-12</v>
      </c>
      <c r="L59" s="7">
        <v>2.4882513102693e-12</v>
      </c>
      <c r="M59" s="7">
        <v>2.3915747631387e-12</v>
      </c>
      <c r="N59" s="7">
        <v>2.5621710183681e-12</v>
      </c>
      <c r="O59" s="7">
        <v>2.2933973450821e-12</v>
      </c>
      <c r="P59" s="7">
        <v>2.5030923906037e-12</v>
      </c>
      <c r="Q59" s="7">
        <v>2.6161330859653e-12</v>
      </c>
      <c r="R59" s="7">
        <v>2.7950643611763e-12</v>
      </c>
      <c r="S59" s="7">
        <v>2.7673834664572e-12</v>
      </c>
      <c r="T59" s="7">
        <v>2.8215812849155e-12</v>
      </c>
      <c r="U59" s="7">
        <v>2.2968964735553e-12</v>
      </c>
      <c r="V59" s="7">
        <v>2.4595941614292e-12</v>
      </c>
      <c r="W59" s="7">
        <v>2.537531155627e-12</v>
      </c>
      <c r="X59" s="7">
        <v>2.4458074256221e-12</v>
      </c>
      <c r="Y59" s="7">
        <v>2.563754927837e-12</v>
      </c>
      <c r="Z59" s="7">
        <v>2.6515529806512e-12</v>
      </c>
      <c r="AA59" s="7">
        <v>2.6968712373996e-12</v>
      </c>
      <c r="AB59" s="6">
        <v>0.51988982154919</v>
      </c>
      <c r="AC59" s="6">
        <v>0.22272606711297</v>
      </c>
      <c r="AD59" s="6">
        <v>0.0025315603317015</v>
      </c>
      <c r="AE59" s="7">
        <v>1.8184591472071e-12</v>
      </c>
      <c r="AF59" s="7">
        <v>6.6748726238625e-12</v>
      </c>
      <c r="AG59" s="7">
        <v>6.7106514107363e-12</v>
      </c>
      <c r="AH59" s="7">
        <v>3.6179646200902e-12</v>
      </c>
      <c r="AI59" s="7">
        <v>3.3920997478325e-14</v>
      </c>
      <c r="AJ59" s="7">
        <v>4.5267488231038e-13</v>
      </c>
      <c r="AK59" s="7">
        <v>1.4268961742864e-12</v>
      </c>
      <c r="AL59" s="7">
        <v>1.0282381475948e-12</v>
      </c>
      <c r="AM59" s="7">
        <v>1.6405361678325e-12</v>
      </c>
      <c r="AN59" s="7">
        <v>-1.1220819312524e-12</v>
      </c>
      <c r="AO59" s="7">
        <v>-9.6534095134651e-13</v>
      </c>
      <c r="AP59" s="7">
        <v>-4.2664039760504e-13</v>
      </c>
      <c r="AQ59" s="7">
        <v>4.323120351207e-14</v>
      </c>
      <c r="AR59" s="7">
        <v>-6.0924219371543e-12</v>
      </c>
      <c r="AS59" s="7">
        <v>-1.6383532139691e-13</v>
      </c>
      <c r="AT59" s="7">
        <v>1.5110618401019e-13</v>
      </c>
      <c r="AU59" s="7">
        <v>-1.9757919445846e-12</v>
      </c>
      <c r="AV59" s="7">
        <v>-1.9466255330672e-12</v>
      </c>
      <c r="AW59" s="7">
        <v>-1.5130729086096e-12</v>
      </c>
      <c r="AX59" s="7">
        <v>3.4671948031838e-12</v>
      </c>
      <c r="AY59" s="7">
        <v>1.4377786378292e-12</v>
      </c>
      <c r="AZ59" s="7">
        <v>-4.6489136916692e-12</v>
      </c>
      <c r="BA59" s="7">
        <v>2.2490855467794e-13</v>
      </c>
      <c r="BB59" s="7">
        <v>-7.9347341969456e-12</v>
      </c>
      <c r="BC59" s="6">
        <v>16351081.034559</v>
      </c>
      <c r="BD59" s="6">
        <v>4119502.6978237</v>
      </c>
      <c r="BE59" s="6">
        <v>-0.0015481094613693</v>
      </c>
      <c r="BF59" s="6">
        <v>0.0024865367752179</v>
      </c>
      <c r="BG59" s="6">
        <v>0.00049676529109135</v>
      </c>
      <c r="BH59" s="6">
        <v>-0.0078918171843611</v>
      </c>
      <c r="BI59" s="6">
        <v>199.7315871297</v>
      </c>
      <c r="BJ59" s="6">
        <v>99.893196869621</v>
      </c>
      <c r="BK59" s="6">
        <v>186.73560502114</v>
      </c>
      <c r="BL59" s="3"/>
      <c r="BM59" s="5"/>
    </row>
    <row r="60" spans="1:65">
      <c r="A60" s="6">
        <v>14091914.656323</v>
      </c>
      <c r="B60" s="6">
        <v>0.0018903757511322</v>
      </c>
      <c r="C60" s="6"/>
      <c r="D60" s="7">
        <v>2.3948161260614e-12</v>
      </c>
      <c r="E60" s="7">
        <v>2.8524035581223e-12</v>
      </c>
      <c r="F60" s="7">
        <v>2.863678210787e-12</v>
      </c>
      <c r="G60" s="7">
        <v>2.8410033177515e-12</v>
      </c>
      <c r="H60" s="7">
        <v>2.2928519246755e-12</v>
      </c>
      <c r="I60" s="7">
        <v>2.3325313947608e-12</v>
      </c>
      <c r="J60" s="7">
        <v>2.2641256485188e-12</v>
      </c>
      <c r="K60" s="7">
        <v>2.4185325744397e-12</v>
      </c>
      <c r="L60" s="7">
        <v>2.4965033502158e-12</v>
      </c>
      <c r="M60" s="7">
        <v>2.3924553395362e-12</v>
      </c>
      <c r="N60" s="7">
        <v>2.5643163544003e-12</v>
      </c>
      <c r="O60" s="7">
        <v>2.2927259674279e-12</v>
      </c>
      <c r="P60" s="7">
        <v>2.4996840407486e-12</v>
      </c>
      <c r="Q60" s="7">
        <v>2.621955099942e-12</v>
      </c>
      <c r="R60" s="7">
        <v>2.7938556877248e-12</v>
      </c>
      <c r="S60" s="7">
        <v>2.7639538390529e-12</v>
      </c>
      <c r="T60" s="7">
        <v>2.823737640075e-12</v>
      </c>
      <c r="U60" s="7">
        <v>2.2956000256607e-12</v>
      </c>
      <c r="V60" s="7">
        <v>2.4650642494505e-12</v>
      </c>
      <c r="W60" s="7">
        <v>2.5501338295382e-12</v>
      </c>
      <c r="X60" s="7">
        <v>2.4485942660606e-12</v>
      </c>
      <c r="Y60" s="7">
        <v>2.5653719835957e-12</v>
      </c>
      <c r="Z60" s="7">
        <v>2.6592189391124e-12</v>
      </c>
      <c r="AA60" s="7">
        <v>2.7081820855831e-12</v>
      </c>
      <c r="AB60" s="6">
        <v>0.52274903209945</v>
      </c>
      <c r="AC60" s="6">
        <v>0.22537340873996</v>
      </c>
      <c r="AD60" s="6">
        <v>0.0026971887390991</v>
      </c>
      <c r="AE60" s="7">
        <v>1.7529378003422e-12</v>
      </c>
      <c r="AF60" s="7">
        <v>6.607812271586e-12</v>
      </c>
      <c r="AG60" s="7">
        <v>6.5924833100889e-12</v>
      </c>
      <c r="AH60" s="7">
        <v>3.5604776816394e-12</v>
      </c>
      <c r="AI60" s="7">
        <v>1.2983220820926e-14</v>
      </c>
      <c r="AJ60" s="7">
        <v>4.2133310314071e-13</v>
      </c>
      <c r="AK60" s="7">
        <v>1.3831617585731e-12</v>
      </c>
      <c r="AL60" s="7">
        <v>9.4837667475418e-13</v>
      </c>
      <c r="AM60" s="7">
        <v>1.6385533700427e-12</v>
      </c>
      <c r="AN60" s="7">
        <v>-1.0954533343473e-12</v>
      </c>
      <c r="AO60" s="7">
        <v>-1.0116079230236e-12</v>
      </c>
      <c r="AP60" s="7">
        <v>-4.0171646673387e-13</v>
      </c>
      <c r="AQ60" s="7">
        <v>3.000291341931e-14</v>
      </c>
      <c r="AR60" s="7">
        <v>-6.051796755366e-12</v>
      </c>
      <c r="AS60" s="7">
        <v>-1.7437890895371e-13</v>
      </c>
      <c r="AT60" s="7">
        <v>1.6844178686945e-13</v>
      </c>
      <c r="AU60" s="7">
        <v>-1.9354672917162e-12</v>
      </c>
      <c r="AV60" s="7">
        <v>-1.8415735145126e-12</v>
      </c>
      <c r="AW60" s="7">
        <v>-1.4772224918794e-12</v>
      </c>
      <c r="AX60" s="7">
        <v>3.3925401465132e-12</v>
      </c>
      <c r="AY60" s="7">
        <v>1.3647111338316e-12</v>
      </c>
      <c r="AZ60" s="7">
        <v>-4.5748057719798e-12</v>
      </c>
      <c r="BA60" s="7">
        <v>2.5498396031328e-13</v>
      </c>
      <c r="BB60" s="7">
        <v>-7.7571300776069e-12</v>
      </c>
      <c r="BC60" s="6">
        <v>16371535.974728</v>
      </c>
      <c r="BD60" s="6">
        <v>4128852.0672814</v>
      </c>
      <c r="BE60" s="6">
        <v>-0.0016496196831545</v>
      </c>
      <c r="BF60" s="6">
        <v>0.0026511661019992</v>
      </c>
      <c r="BG60" s="6">
        <v>0.00052734928215164</v>
      </c>
      <c r="BH60" s="6">
        <v>-0.0083407571402024</v>
      </c>
      <c r="BI60" s="6">
        <v>199.73046974637</v>
      </c>
      <c r="BJ60" s="6">
        <v>99.893241869672</v>
      </c>
      <c r="BK60" s="6">
        <v>186.79479603168</v>
      </c>
      <c r="BL60" s="3"/>
      <c r="BM60" s="5"/>
    </row>
    <row r="61" spans="1:65">
      <c r="A61" s="6">
        <v>15811388.300842</v>
      </c>
      <c r="B61" s="6">
        <v>0.0020719392533565</v>
      </c>
      <c r="C61" s="6"/>
      <c r="D61" s="7">
        <v>2.4025371637302e-12</v>
      </c>
      <c r="E61" s="7">
        <v>2.855808503258e-12</v>
      </c>
      <c r="F61" s="7">
        <v>2.8688564622641e-12</v>
      </c>
      <c r="G61" s="7">
        <v>2.8426875949572e-12</v>
      </c>
      <c r="H61" s="7">
        <v>2.2925758039637e-12</v>
      </c>
      <c r="I61" s="7">
        <v>2.3355046667635e-12</v>
      </c>
      <c r="J61" s="7">
        <v>2.2603121142562e-12</v>
      </c>
      <c r="K61" s="7">
        <v>2.4205431237569e-12</v>
      </c>
      <c r="L61" s="7">
        <v>2.5055128008695e-12</v>
      </c>
      <c r="M61" s="7">
        <v>2.3934572096256e-12</v>
      </c>
      <c r="N61" s="7">
        <v>2.5667430470191e-12</v>
      </c>
      <c r="O61" s="7">
        <v>2.2918606568335e-12</v>
      </c>
      <c r="P61" s="7">
        <v>2.4959732313231e-12</v>
      </c>
      <c r="Q61" s="7">
        <v>2.6283334602627e-12</v>
      </c>
      <c r="R61" s="7">
        <v>2.7923634337197e-12</v>
      </c>
      <c r="S61" s="7">
        <v>2.7600552052889e-12</v>
      </c>
      <c r="T61" s="7">
        <v>2.8260319997002e-12</v>
      </c>
      <c r="U61" s="7">
        <v>2.2940810022143e-12</v>
      </c>
      <c r="V61" s="7">
        <v>2.4709402609341e-12</v>
      </c>
      <c r="W61" s="7">
        <v>2.5638168114228e-12</v>
      </c>
      <c r="X61" s="7">
        <v>2.4514366030996e-12</v>
      </c>
      <c r="Y61" s="7">
        <v>2.5671332624758e-12</v>
      </c>
      <c r="Z61" s="7">
        <v>2.6675281303542e-12</v>
      </c>
      <c r="AA61" s="7">
        <v>2.7205144546008e-12</v>
      </c>
      <c r="AB61" s="6">
        <v>0.52538652805853</v>
      </c>
      <c r="AC61" s="6">
        <v>0.22777089504838</v>
      </c>
      <c r="AD61" s="6">
        <v>0.0028811299717918</v>
      </c>
      <c r="AE61" s="7">
        <v>1.6975732485421e-12</v>
      </c>
      <c r="AF61" s="7">
        <v>6.5404396099161e-12</v>
      </c>
      <c r="AG61" s="7">
        <v>6.479587522859e-12</v>
      </c>
      <c r="AH61" s="7">
        <v>3.5042919210558e-12</v>
      </c>
      <c r="AI61" s="7">
        <v>-1.1617239633748e-14</v>
      </c>
      <c r="AJ61" s="7">
        <v>3.9015035321591e-13</v>
      </c>
      <c r="AK61" s="7">
        <v>1.3402898137888e-12</v>
      </c>
      <c r="AL61" s="7">
        <v>8.6925863957381e-13</v>
      </c>
      <c r="AM61" s="7">
        <v>1.636914422242e-12</v>
      </c>
      <c r="AN61" s="7">
        <v>-1.0746621451759e-12</v>
      </c>
      <c r="AO61" s="7">
        <v>-1.0573860815229e-12</v>
      </c>
      <c r="AP61" s="7">
        <v>-3.8719560563383e-13</v>
      </c>
      <c r="AQ61" s="7">
        <v>1.6905733720436e-14</v>
      </c>
      <c r="AR61" s="7">
        <v>-6.0179621240422e-12</v>
      </c>
      <c r="AS61" s="7">
        <v>-1.8168949658647e-13</v>
      </c>
      <c r="AT61" s="7">
        <v>1.8021114778415e-13</v>
      </c>
      <c r="AU61" s="7">
        <v>-1.8990800046023e-12</v>
      </c>
      <c r="AV61" s="7">
        <v>-1.7476414613137e-12</v>
      </c>
      <c r="AW61" s="7">
        <v>-1.438596572287e-12</v>
      </c>
      <c r="AX61" s="7">
        <v>3.3340833084363e-12</v>
      </c>
      <c r="AY61" s="7">
        <v>1.2984100906613e-12</v>
      </c>
      <c r="AZ61" s="7">
        <v>-4.5137530260069e-12</v>
      </c>
      <c r="BA61" s="7">
        <v>2.8354582748951e-13</v>
      </c>
      <c r="BB61" s="7">
        <v>-7.5981342023404e-12</v>
      </c>
      <c r="BC61" s="6">
        <v>16392994.428023</v>
      </c>
      <c r="BD61" s="6">
        <v>4139071.7205424</v>
      </c>
      <c r="BE61" s="6">
        <v>-0.0017617557420818</v>
      </c>
      <c r="BF61" s="6">
        <v>0.0028342909005793</v>
      </c>
      <c r="BG61" s="6">
        <v>0.00056162297255045</v>
      </c>
      <c r="BH61" s="6">
        <v>-0.008838336035235</v>
      </c>
      <c r="BI61" s="6">
        <v>199.72919321821</v>
      </c>
      <c r="BJ61" s="6">
        <v>99.893272202201</v>
      </c>
      <c r="BK61" s="6">
        <v>186.85408747448</v>
      </c>
      <c r="BL61" s="3"/>
      <c r="BM61" s="5"/>
    </row>
    <row r="62" spans="1:65">
      <c r="A62" s="6">
        <v>17740669.461679</v>
      </c>
      <c r="B62" s="6">
        <v>0.002273952994278</v>
      </c>
      <c r="C62" s="6"/>
      <c r="D62" s="7">
        <v>2.410934271314e-12</v>
      </c>
      <c r="E62" s="7">
        <v>2.8593779302185e-12</v>
      </c>
      <c r="F62" s="7">
        <v>2.8743728320817e-12</v>
      </c>
      <c r="G62" s="7">
        <v>2.8442669637106e-12</v>
      </c>
      <c r="H62" s="7">
        <v>2.2922682324871e-12</v>
      </c>
      <c r="I62" s="7">
        <v>2.338737531261e-12</v>
      </c>
      <c r="J62" s="7">
        <v>2.2561079584465e-12</v>
      </c>
      <c r="K62" s="7">
        <v>2.4225567555037e-12</v>
      </c>
      <c r="L62" s="7">
        <v>2.5152731629945e-12</v>
      </c>
      <c r="M62" s="7">
        <v>2.3945043816899e-12</v>
      </c>
      <c r="N62" s="7">
        <v>2.5695584960587e-12</v>
      </c>
      <c r="O62" s="7">
        <v>2.2908118682093e-12</v>
      </c>
      <c r="P62" s="7">
        <v>2.4920087857736e-12</v>
      </c>
      <c r="Q62" s="7">
        <v>2.6354013237938e-12</v>
      </c>
      <c r="R62" s="7">
        <v>2.7905468569271e-12</v>
      </c>
      <c r="S62" s="7">
        <v>2.7556265484725e-12</v>
      </c>
      <c r="T62" s="7">
        <v>2.8284795563006e-12</v>
      </c>
      <c r="U62" s="7">
        <v>2.29234273667e-12</v>
      </c>
      <c r="V62" s="7">
        <v>2.477172764335e-12</v>
      </c>
      <c r="W62" s="7">
        <v>2.5785867169032e-12</v>
      </c>
      <c r="X62" s="7">
        <v>2.4542537920865e-12</v>
      </c>
      <c r="Y62" s="7">
        <v>2.569127450199e-12</v>
      </c>
      <c r="Z62" s="7">
        <v>2.6766108476179e-12</v>
      </c>
      <c r="AA62" s="7">
        <v>2.7340440527169e-12</v>
      </c>
      <c r="AB62" s="6">
        <v>0.52781534358825</v>
      </c>
      <c r="AC62" s="6">
        <v>0.2299337380834</v>
      </c>
      <c r="AD62" s="6">
        <v>0.0030856115820325</v>
      </c>
      <c r="AE62" s="7">
        <v>1.653914095398e-12</v>
      </c>
      <c r="AF62" s="7">
        <v>6.4724803405893e-12</v>
      </c>
      <c r="AG62" s="7">
        <v>6.3712806312879e-12</v>
      </c>
      <c r="AH62" s="7">
        <v>3.4495325742268e-12</v>
      </c>
      <c r="AI62" s="7">
        <v>-4.1014084674901e-14</v>
      </c>
      <c r="AJ62" s="7">
        <v>3.5927352477258e-13</v>
      </c>
      <c r="AK62" s="7">
        <v>1.2989858053017e-12</v>
      </c>
      <c r="AL62" s="7">
        <v>7.9325442913204e-13</v>
      </c>
      <c r="AM62" s="7">
        <v>1.6357909638583e-12</v>
      </c>
      <c r="AN62" s="7">
        <v>-1.0613168379362e-12</v>
      </c>
      <c r="AO62" s="7">
        <v>-1.1030756426542e-12</v>
      </c>
      <c r="AP62" s="7">
        <v>-3.7994067424904e-13</v>
      </c>
      <c r="AQ62" s="7">
        <v>4.1703477234366e-15</v>
      </c>
      <c r="AR62" s="7">
        <v>-5.9915931047389e-12</v>
      </c>
      <c r="AS62" s="7">
        <v>-1.8774274499924e-13</v>
      </c>
      <c r="AT62" s="7">
        <v>1.8574487026955e-13</v>
      </c>
      <c r="AU62" s="7">
        <v>-1.8664852794303e-12</v>
      </c>
      <c r="AV62" s="7">
        <v>-1.6655470158336e-12</v>
      </c>
      <c r="AW62" s="7">
        <v>-1.3957929308946e-12</v>
      </c>
      <c r="AX62" s="7">
        <v>3.2911100093924e-12</v>
      </c>
      <c r="AY62" s="7">
        <v>1.2389501213495e-12</v>
      </c>
      <c r="AZ62" s="7">
        <v>-4.4655673468042e-12</v>
      </c>
      <c r="BA62" s="7">
        <v>3.1146515768649e-13</v>
      </c>
      <c r="BB62" s="7">
        <v>-7.4565868794397e-12</v>
      </c>
      <c r="BC62" s="6">
        <v>16415425.695819</v>
      </c>
      <c r="BD62" s="6">
        <v>4150251.6876511</v>
      </c>
      <c r="BE62" s="6">
        <v>-0.0018857805784512</v>
      </c>
      <c r="BF62" s="6">
        <v>0.0030381580826228</v>
      </c>
      <c r="BG62" s="6">
        <v>0.00060003796886166</v>
      </c>
      <c r="BH62" s="6">
        <v>-0.0093923622121997</v>
      </c>
      <c r="BI62" s="6">
        <v>199.72773633393</v>
      </c>
      <c r="BJ62" s="6">
        <v>99.893283085337</v>
      </c>
      <c r="BK62" s="6">
        <v>186.91421363133</v>
      </c>
      <c r="BL62" s="3"/>
      <c r="BM62" s="5"/>
    </row>
    <row r="63" spans="1:65">
      <c r="A63" s="6">
        <v>19905358.527676</v>
      </c>
      <c r="B63" s="6">
        <v>0.0024989364967894</v>
      </c>
      <c r="C63" s="6"/>
      <c r="D63" s="7">
        <v>2.4200975002648e-12</v>
      </c>
      <c r="E63" s="7">
        <v>2.8630342869099e-12</v>
      </c>
      <c r="F63" s="7">
        <v>2.8801611083412e-12</v>
      </c>
      <c r="G63" s="7">
        <v>2.845630612138e-12</v>
      </c>
      <c r="H63" s="7">
        <v>2.2919593188421e-12</v>
      </c>
      <c r="I63" s="7">
        <v>2.3422904878044e-12</v>
      </c>
      <c r="J63" s="7">
        <v>2.2515179774149e-12</v>
      </c>
      <c r="K63" s="7">
        <v>2.424567092174e-12</v>
      </c>
      <c r="L63" s="7">
        <v>2.5258488954346e-12</v>
      </c>
      <c r="M63" s="7">
        <v>2.3955870416083e-12</v>
      </c>
      <c r="N63" s="7">
        <v>2.572765603502e-12</v>
      </c>
      <c r="O63" s="7">
        <v>2.2896073860984e-12</v>
      </c>
      <c r="P63" s="7">
        <v>2.4877300316595e-12</v>
      </c>
      <c r="Q63" s="7">
        <v>2.6431783169924e-12</v>
      </c>
      <c r="R63" s="7">
        <v>2.7882966130636e-12</v>
      </c>
      <c r="S63" s="7">
        <v>2.7505354013497e-12</v>
      </c>
      <c r="T63" s="7">
        <v>2.8310260318323e-12</v>
      </c>
      <c r="U63" s="7">
        <v>2.2903995685969e-12</v>
      </c>
      <c r="V63" s="7">
        <v>2.4837813225514e-12</v>
      </c>
      <c r="W63" s="7">
        <v>2.5945192487232e-12</v>
      </c>
      <c r="X63" s="7">
        <v>2.457030359371e-12</v>
      </c>
      <c r="Y63" s="7">
        <v>2.5713409640279e-12</v>
      </c>
      <c r="Z63" s="7">
        <v>2.6864844167426e-12</v>
      </c>
      <c r="AA63" s="7">
        <v>2.7488393810221e-12</v>
      </c>
      <c r="AB63" s="6">
        <v>0.53004488450541</v>
      </c>
      <c r="AC63" s="6">
        <v>0.23187683861164</v>
      </c>
      <c r="AD63" s="6">
        <v>0.003313133586733</v>
      </c>
      <c r="AE63" s="7">
        <v>1.6199823237519e-12</v>
      </c>
      <c r="AF63" s="7">
        <v>6.4054112074342e-12</v>
      </c>
      <c r="AG63" s="7">
        <v>6.2670530880982e-12</v>
      </c>
      <c r="AH63" s="7">
        <v>3.3967181091773e-12</v>
      </c>
      <c r="AI63" s="7">
        <v>-7.5386575785167e-14</v>
      </c>
      <c r="AJ63" s="7">
        <v>3.2899959248609e-13</v>
      </c>
      <c r="AK63" s="7">
        <v>1.2586966038005e-12</v>
      </c>
      <c r="AL63" s="7">
        <v>7.2200275124562e-13</v>
      </c>
      <c r="AM63" s="7">
        <v>1.6349330653927e-12</v>
      </c>
      <c r="AN63" s="7">
        <v>-1.0555651967261e-12</v>
      </c>
      <c r="AO63" s="7">
        <v>-1.1491005899465e-12</v>
      </c>
      <c r="AP63" s="7">
        <v>-3.7746938566086e-13</v>
      </c>
      <c r="AQ63" s="7">
        <v>-8.0985320420967e-15</v>
      </c>
      <c r="AR63" s="7">
        <v>-5.9727752572612e-12</v>
      </c>
      <c r="AS63" s="7">
        <v>-1.9309054749494e-13</v>
      </c>
      <c r="AT63" s="7">
        <v>1.849251518726e-13</v>
      </c>
      <c r="AU63" s="7">
        <v>-1.8369732834509e-12</v>
      </c>
      <c r="AV63" s="7">
        <v>-1.5943612058155e-12</v>
      </c>
      <c r="AW63" s="7">
        <v>-1.3504398724382e-12</v>
      </c>
      <c r="AX63" s="7">
        <v>3.2634839310047e-12</v>
      </c>
      <c r="AY63" s="7">
        <v>1.1861130828396e-12</v>
      </c>
      <c r="AZ63" s="7">
        <v>-4.4288425953412e-12</v>
      </c>
      <c r="BA63" s="7">
        <v>3.3961945143e-13</v>
      </c>
      <c r="BB63" s="7">
        <v>-7.3304823173159e-12</v>
      </c>
      <c r="BC63" s="6">
        <v>16438768.975857</v>
      </c>
      <c r="BD63" s="6">
        <v>4162488.8159341</v>
      </c>
      <c r="BE63" s="6">
        <v>-0.0020231063602223</v>
      </c>
      <c r="BF63" s="6">
        <v>0.0032652902667894</v>
      </c>
      <c r="BG63" s="6">
        <v>0.00064309798441565</v>
      </c>
      <c r="BH63" s="6">
        <v>-0.010016438435413</v>
      </c>
      <c r="BI63" s="6">
        <v>199.72607720751</v>
      </c>
      <c r="BJ63" s="6">
        <v>99.893274569377</v>
      </c>
      <c r="BK63" s="6">
        <v>186.97608112053</v>
      </c>
      <c r="BL63" s="3"/>
      <c r="BM63" s="5"/>
    </row>
    <row r="64" spans="1:65">
      <c r="A64" s="6">
        <v>22334179.607549</v>
      </c>
      <c r="B64" s="6">
        <v>0.0027497180059689</v>
      </c>
      <c r="C64" s="6"/>
      <c r="D64" s="7">
        <v>2.4301190939846e-12</v>
      </c>
      <c r="E64" s="7">
        <v>2.8667946128198e-12</v>
      </c>
      <c r="F64" s="7">
        <v>2.8862483459446e-12</v>
      </c>
      <c r="G64" s="7">
        <v>2.8467574078375e-12</v>
      </c>
      <c r="H64" s="7">
        <v>2.2916800740923e-12</v>
      </c>
      <c r="I64" s="7">
        <v>2.3462252233407e-12</v>
      </c>
      <c r="J64" s="7">
        <v>2.2465456985526e-12</v>
      </c>
      <c r="K64" s="7">
        <v>2.4266221924378e-12</v>
      </c>
      <c r="L64" s="7">
        <v>2.5373605821324e-12</v>
      </c>
      <c r="M64" s="7">
        <v>2.3967471282417e-12</v>
      </c>
      <c r="N64" s="7">
        <v>2.5764279103696e-12</v>
      </c>
      <c r="O64" s="7">
        <v>2.2882767513474e-12</v>
      </c>
      <c r="P64" s="7">
        <v>2.4831350755608e-12</v>
      </c>
      <c r="Q64" s="7">
        <v>2.6517562688724e-12</v>
      </c>
      <c r="R64" s="7">
        <v>2.7855963569887e-12</v>
      </c>
      <c r="S64" s="7">
        <v>2.7447386803137e-12</v>
      </c>
      <c r="T64" s="7">
        <v>2.8337327086001e-12</v>
      </c>
      <c r="U64" s="7">
        <v>2.2882637361542e-12</v>
      </c>
      <c r="V64" s="7">
        <v>2.4908409853149e-12</v>
      </c>
      <c r="W64" s="7">
        <v>2.6117409502455e-12</v>
      </c>
      <c r="X64" s="7">
        <v>2.459800009887e-12</v>
      </c>
      <c r="Y64" s="7">
        <v>2.5738274356231e-12</v>
      </c>
      <c r="Z64" s="7">
        <v>2.6972260295317e-12</v>
      </c>
      <c r="AA64" s="7">
        <v>2.7650262826306e-12</v>
      </c>
      <c r="AB64" s="6">
        <v>0.53208634538627</v>
      </c>
      <c r="AC64" s="6">
        <v>0.23361721742794</v>
      </c>
      <c r="AD64" s="6">
        <v>0.0035665021515887</v>
      </c>
      <c r="AE64" s="7">
        <v>1.5928465276797e-12</v>
      </c>
      <c r="AF64" s="7">
        <v>6.3411002804373e-12</v>
      </c>
      <c r="AG64" s="7">
        <v>6.166403495902e-12</v>
      </c>
      <c r="AH64" s="7">
        <v>3.3462615063616e-12</v>
      </c>
      <c r="AI64" s="7">
        <v>-1.1422449179023e-13</v>
      </c>
      <c r="AJ64" s="7">
        <v>2.9914189872211e-13</v>
      </c>
      <c r="AK64" s="7">
        <v>1.2181477672866e-12</v>
      </c>
      <c r="AL64" s="7">
        <v>6.5624012839916e-13</v>
      </c>
      <c r="AM64" s="7">
        <v>1.6336196159444e-12</v>
      </c>
      <c r="AN64" s="7">
        <v>-1.0563480662196e-12</v>
      </c>
      <c r="AO64" s="7">
        <v>-1.1954218780608e-12</v>
      </c>
      <c r="AP64" s="7">
        <v>-3.787148403749e-13</v>
      </c>
      <c r="AQ64" s="7">
        <v>-2.0215287978057e-14</v>
      </c>
      <c r="AR64" s="7">
        <v>-5.9607394500538e-12</v>
      </c>
      <c r="AS64" s="7">
        <v>-1.9694675353303e-13</v>
      </c>
      <c r="AT64" s="7">
        <v>1.7837531650145e-13</v>
      </c>
      <c r="AU64" s="7">
        <v>-1.8099473656288e-12</v>
      </c>
      <c r="AV64" s="7">
        <v>-1.5325567288731e-12</v>
      </c>
      <c r="AW64" s="7">
        <v>-1.3044641425348e-12</v>
      </c>
      <c r="AX64" s="7">
        <v>3.2507504254256e-12</v>
      </c>
      <c r="AY64" s="7">
        <v>1.1393089801574e-12</v>
      </c>
      <c r="AZ64" s="7">
        <v>-4.4020220488096e-12</v>
      </c>
      <c r="BA64" s="7">
        <v>3.6892234775739e-13</v>
      </c>
      <c r="BB64" s="7">
        <v>-7.2179958670422e-12</v>
      </c>
      <c r="BC64" s="6">
        <v>16462928.174732</v>
      </c>
      <c r="BD64" s="6">
        <v>4175886.7013266</v>
      </c>
      <c r="BE64" s="6">
        <v>-0.0021753122043399</v>
      </c>
      <c r="BF64" s="6">
        <v>0.0035185211569711</v>
      </c>
      <c r="BG64" s="6">
        <v>0.0006913658938306</v>
      </c>
      <c r="BH64" s="6">
        <v>-0.010729101669919</v>
      </c>
      <c r="BI64" s="6">
        <v>199.72419005988</v>
      </c>
      <c r="BJ64" s="6">
        <v>99.893245859761</v>
      </c>
      <c r="BK64" s="6">
        <v>187.0405597572</v>
      </c>
      <c r="BL64" s="3"/>
      <c r="BM64" s="5"/>
    </row>
    <row r="65" spans="1:65">
      <c r="A65" s="6">
        <v>25059361.681365</v>
      </c>
      <c r="B65" s="6">
        <v>0.0030294750239552</v>
      </c>
      <c r="C65" s="6"/>
      <c r="D65" s="7">
        <v>2.4411135480765e-12</v>
      </c>
      <c r="E65" s="7">
        <v>2.8706501267265e-12</v>
      </c>
      <c r="F65" s="7">
        <v>2.8926273575131e-12</v>
      </c>
      <c r="G65" s="7">
        <v>2.8475903880309e-12</v>
      </c>
      <c r="H65" s="7">
        <v>2.2914901310408e-12</v>
      </c>
      <c r="I65" s="7">
        <v>2.3506247235397e-12</v>
      </c>
      <c r="J65" s="7">
        <v>2.241213369396e-12</v>
      </c>
      <c r="K65" s="7">
        <v>2.4286782227569e-12</v>
      </c>
      <c r="L65" s="7">
        <v>2.5498457584707e-12</v>
      </c>
      <c r="M65" s="7">
        <v>2.3979407639596e-12</v>
      </c>
      <c r="N65" s="7">
        <v>2.5806569181027e-12</v>
      </c>
      <c r="O65" s="7">
        <v>2.2868719601222e-12</v>
      </c>
      <c r="P65" s="7">
        <v>2.4782734240493e-12</v>
      </c>
      <c r="Q65" s="7">
        <v>2.6612824133194e-12</v>
      </c>
      <c r="R65" s="7">
        <v>2.7824010561197e-12</v>
      </c>
      <c r="S65" s="7">
        <v>2.7381613449591e-12</v>
      </c>
      <c r="T65" s="7">
        <v>2.8366277674227e-12</v>
      </c>
      <c r="U65" s="7">
        <v>2.2859675497204e-12</v>
      </c>
      <c r="V65" s="7">
        <v>2.4983430285487e-12</v>
      </c>
      <c r="W65" s="7">
        <v>2.6302876330799e-12</v>
      </c>
      <c r="X65" s="7">
        <v>2.4625055352157e-12</v>
      </c>
      <c r="Y65" s="7">
        <v>2.5766991167256e-12</v>
      </c>
      <c r="Z65" s="7">
        <v>2.7089574656743e-12</v>
      </c>
      <c r="AA65" s="7">
        <v>2.7827748933393e-12</v>
      </c>
      <c r="AB65" s="6">
        <v>0.53395054115569</v>
      </c>
      <c r="AC65" s="6">
        <v>0.23517112788588</v>
      </c>
      <c r="AD65" s="6">
        <v>0.003848870262938</v>
      </c>
      <c r="AE65" s="7">
        <v>1.5705089388493e-12</v>
      </c>
      <c r="AF65" s="7">
        <v>6.281357887418e-12</v>
      </c>
      <c r="AG65" s="7">
        <v>6.0688322706694e-12</v>
      </c>
      <c r="AH65" s="7">
        <v>3.2982603437292e-12</v>
      </c>
      <c r="AI65" s="7">
        <v>-1.5640426512519e-13</v>
      </c>
      <c r="AJ65" s="7">
        <v>2.6889006698239e-13</v>
      </c>
      <c r="AK65" s="7">
        <v>1.1763339541326e-12</v>
      </c>
      <c r="AL65" s="7">
        <v>5.9617370131073e-13</v>
      </c>
      <c r="AM65" s="7">
        <v>1.6303993691379e-12</v>
      </c>
      <c r="AN65" s="7">
        <v>-1.0621328332012e-12</v>
      </c>
      <c r="AO65" s="7">
        <v>-1.2418370279796e-12</v>
      </c>
      <c r="AP65" s="7">
        <v>-3.8409819889412e-13</v>
      </c>
      <c r="AQ65" s="7">
        <v>-3.2778687080798e-14</v>
      </c>
      <c r="AR65" s="7">
        <v>-5.9545671424379e-12</v>
      </c>
      <c r="AS65" s="7">
        <v>-1.9874022906447e-13</v>
      </c>
      <c r="AT65" s="7">
        <v>1.6736636746078e-13</v>
      </c>
      <c r="AU65" s="7">
        <v>-1.7853113891733e-12</v>
      </c>
      <c r="AV65" s="7">
        <v>-1.4786233343324e-12</v>
      </c>
      <c r="AW65" s="7">
        <v>-1.2589770071981e-12</v>
      </c>
      <c r="AX65" s="7">
        <v>3.2516877914776e-12</v>
      </c>
      <c r="AY65" s="7">
        <v>1.0977015110502e-12</v>
      </c>
      <c r="AZ65" s="7">
        <v>-4.3834227879091e-12</v>
      </c>
      <c r="BA65" s="7">
        <v>4.0017578862929e-13</v>
      </c>
      <c r="BB65" s="7">
        <v>-7.1182486631321e-12</v>
      </c>
      <c r="BC65" s="6">
        <v>16487765.542873</v>
      </c>
      <c r="BD65" s="6">
        <v>4190555.0486613</v>
      </c>
      <c r="BE65" s="6">
        <v>-0.0023441661126911</v>
      </c>
      <c r="BF65" s="6">
        <v>0.0038010348827102</v>
      </c>
      <c r="BG65" s="6">
        <v>0.00074547412651415</v>
      </c>
      <c r="BH65" s="6">
        <v>-0.011579838935389</v>
      </c>
      <c r="BI65" s="6">
        <v>199.72208451008</v>
      </c>
      <c r="BJ65" s="6">
        <v>99.893197779746</v>
      </c>
      <c r="BK65" s="6">
        <v>187.10830304618</v>
      </c>
      <c r="BL65" s="3"/>
      <c r="BM65" s="5"/>
    </row>
    <row r="66" spans="1:65">
      <c r="A66" s="6">
        <v>27084784.885595</v>
      </c>
      <c r="B66" s="6">
        <v>0.0032365138753807</v>
      </c>
      <c r="C66" s="6"/>
      <c r="D66" s="7">
        <v>2.44987173247e-12</v>
      </c>
      <c r="E66" s="7">
        <v>2.87348976428e-12</v>
      </c>
      <c r="F66" s="7">
        <v>2.8974434649927e-12</v>
      </c>
      <c r="G66" s="7">
        <v>2.8479291785782e-12</v>
      </c>
      <c r="H66" s="7">
        <v>2.2914166808168e-12</v>
      </c>
      <c r="I66" s="7">
        <v>2.3541899701468e-12</v>
      </c>
      <c r="J66" s="7">
        <v>2.2370619776625e-12</v>
      </c>
      <c r="K66" s="7">
        <v>2.430180653885e-12</v>
      </c>
      <c r="L66" s="7">
        <v>2.559684420337e-12</v>
      </c>
      <c r="M66" s="7">
        <v>2.398833332041e-12</v>
      </c>
      <c r="N66" s="7">
        <v>2.58412520438e-12</v>
      </c>
      <c r="O66" s="7">
        <v>2.2858062390808e-12</v>
      </c>
      <c r="P66" s="7">
        <v>2.4745006558165e-12</v>
      </c>
      <c r="Q66" s="7">
        <v>2.6689180983729e-12</v>
      </c>
      <c r="R66" s="7">
        <v>2.7796602466813e-12</v>
      </c>
      <c r="S66" s="7">
        <v>2.7327348600481e-12</v>
      </c>
      <c r="T66" s="7">
        <v>2.8388346352838e-12</v>
      </c>
      <c r="U66" s="7">
        <v>2.2841821884591e-12</v>
      </c>
      <c r="V66" s="7">
        <v>2.5041531569437e-12</v>
      </c>
      <c r="W66" s="7">
        <v>2.6448034768036e-12</v>
      </c>
      <c r="X66" s="7">
        <v>2.4644331807745e-12</v>
      </c>
      <c r="Y66" s="7">
        <v>2.5790667695114e-12</v>
      </c>
      <c r="Z66" s="7">
        <v>2.7182193934989e-12</v>
      </c>
      <c r="AA66" s="7">
        <v>2.7968507575044e-12</v>
      </c>
      <c r="AB66" s="6">
        <v>0.5352293024515</v>
      </c>
      <c r="AC66" s="6">
        <v>0.2362173048029</v>
      </c>
      <c r="AD66" s="6">
        <v>0.0040576659751905</v>
      </c>
      <c r="AE66" s="7">
        <v>1.5502550696877e-12</v>
      </c>
      <c r="AF66" s="7">
        <v>6.2393219561785e-12</v>
      </c>
      <c r="AG66" s="7">
        <v>5.9982062193639e-12</v>
      </c>
      <c r="AH66" s="7">
        <v>3.2642019757246e-12</v>
      </c>
      <c r="AI66" s="7">
        <v>-1.8943109242431e-13</v>
      </c>
      <c r="AJ66" s="7">
        <v>2.4469910333756e-13</v>
      </c>
      <c r="AK66" s="7">
        <v>1.1433557867302e-12</v>
      </c>
      <c r="AL66" s="7">
        <v>5.551776651502e-13</v>
      </c>
      <c r="AM66" s="7">
        <v>1.6240608502641e-12</v>
      </c>
      <c r="AN66" s="7">
        <v>-1.0685974650652e-12</v>
      </c>
      <c r="AO66" s="7">
        <v>-1.2771573927904e-12</v>
      </c>
      <c r="AP66" s="7">
        <v>-3.9151067190521e-13</v>
      </c>
      <c r="AQ66" s="7">
        <v>-4.2805580005735e-14</v>
      </c>
      <c r="AR66" s="7">
        <v>-5.9521611404862e-12</v>
      </c>
      <c r="AS66" s="7">
        <v>-1.9900557479112e-13</v>
      </c>
      <c r="AT66" s="7">
        <v>1.5680060445965e-13</v>
      </c>
      <c r="AU66" s="7">
        <v>-1.7696807587173e-12</v>
      </c>
      <c r="AV66" s="7">
        <v>-1.4433289787098e-12</v>
      </c>
      <c r="AW66" s="7">
        <v>-1.2277407342672e-12</v>
      </c>
      <c r="AX66" s="7">
        <v>3.2602484911737e-12</v>
      </c>
      <c r="AY66" s="7">
        <v>1.0696699510104e-12</v>
      </c>
      <c r="AZ66" s="7">
        <v>-4.374599342804e-12</v>
      </c>
      <c r="BA66" s="7">
        <v>4.2326922472348e-13</v>
      </c>
      <c r="BB66" s="7">
        <v>-7.0531608436595e-12</v>
      </c>
      <c r="BC66" s="6">
        <v>16504821.555763</v>
      </c>
      <c r="BD66" s="6">
        <v>4201233.9954138</v>
      </c>
      <c r="BE66" s="6">
        <v>-0.0024685635956378</v>
      </c>
      <c r="BF66" s="6">
        <v>0.0040101074876659</v>
      </c>
      <c r="BG66" s="6">
        <v>0.00078565843930946</v>
      </c>
      <c r="BH66" s="6">
        <v>-0.011765501436931</v>
      </c>
      <c r="BI66" s="6">
        <v>199.72025225028</v>
      </c>
      <c r="BJ66" s="6">
        <v>99.89293771707</v>
      </c>
      <c r="BK66" s="6">
        <v>187.15520195078</v>
      </c>
      <c r="BL66" s="3"/>
      <c r="BM66" s="5"/>
    </row>
    <row r="67" spans="1:65">
      <c r="A67" s="6">
        <v>29135422.661694</v>
      </c>
      <c r="B67" s="6">
        <v>0.0034454841389453</v>
      </c>
      <c r="C67" s="6"/>
      <c r="D67" s="7">
        <v>2.4574086703461e-12</v>
      </c>
      <c r="E67" s="7">
        <v>2.8758090653718e-12</v>
      </c>
      <c r="F67" s="7">
        <v>2.9014267201925e-12</v>
      </c>
      <c r="G67" s="7">
        <v>2.8480295737274e-12</v>
      </c>
      <c r="H67" s="7">
        <v>2.2914187552666e-12</v>
      </c>
      <c r="I67" s="7">
        <v>2.3573082462643e-12</v>
      </c>
      <c r="J67" s="7">
        <v>2.2335734741898e-12</v>
      </c>
      <c r="K67" s="7">
        <v>2.4313853058278e-12</v>
      </c>
      <c r="L67" s="7">
        <v>2.5680757894214e-12</v>
      </c>
      <c r="M67" s="7">
        <v>2.3995609933605e-12</v>
      </c>
      <c r="N67" s="7">
        <v>2.5871594714142e-12</v>
      </c>
      <c r="O67" s="7">
        <v>2.2849448905889e-12</v>
      </c>
      <c r="P67" s="7">
        <v>2.4713150361424e-12</v>
      </c>
      <c r="Q67" s="7">
        <v>2.6755017851082e-12</v>
      </c>
      <c r="R67" s="7">
        <v>2.777206081515e-12</v>
      </c>
      <c r="S67" s="7">
        <v>2.7279732126326e-12</v>
      </c>
      <c r="T67" s="7">
        <v>2.8406943599129e-12</v>
      </c>
      <c r="U67" s="7">
        <v>2.2826929418839e-12</v>
      </c>
      <c r="V67" s="7">
        <v>2.5090427237762e-12</v>
      </c>
      <c r="W67" s="7">
        <v>2.657109783091e-12</v>
      </c>
      <c r="X67" s="7">
        <v>2.4659478332634e-12</v>
      </c>
      <c r="Y67" s="7">
        <v>2.5811429650095e-12</v>
      </c>
      <c r="Z67" s="7">
        <v>2.7261102909911e-12</v>
      </c>
      <c r="AA67" s="7">
        <v>2.8088901306937e-12</v>
      </c>
      <c r="AB67" s="6">
        <v>0.53619395837307</v>
      </c>
      <c r="AC67" s="6">
        <v>0.23699469872385</v>
      </c>
      <c r="AD67" s="6">
        <v>0.0042682776414465</v>
      </c>
      <c r="AE67" s="7">
        <v>1.5411532648911e-12</v>
      </c>
      <c r="AF67" s="7">
        <v>6.2092541781525e-12</v>
      </c>
      <c r="AG67" s="7">
        <v>5.9428491469172e-12</v>
      </c>
      <c r="AH67" s="7">
        <v>3.2373701214596e-12</v>
      </c>
      <c r="AI67" s="7">
        <v>-2.1539127196515e-13</v>
      </c>
      <c r="AJ67" s="7">
        <v>2.2607794777188e-13</v>
      </c>
      <c r="AK67" s="7">
        <v>1.1171880263541e-12</v>
      </c>
      <c r="AL67" s="7">
        <v>5.2500739258055e-13</v>
      </c>
      <c r="AM67" s="7">
        <v>1.6194238990667e-12</v>
      </c>
      <c r="AN67" s="7">
        <v>-1.0754378779147e-12</v>
      </c>
      <c r="AO67" s="7">
        <v>-1.3039305094226e-12</v>
      </c>
      <c r="AP67" s="7">
        <v>-3.9979352311645e-13</v>
      </c>
      <c r="AQ67" s="7">
        <v>-5.1313903472921e-14</v>
      </c>
      <c r="AR67" s="7">
        <v>-5.952614172761e-12</v>
      </c>
      <c r="AS67" s="7">
        <v>-1.9901227438061e-13</v>
      </c>
      <c r="AT67" s="7">
        <v>1.4769525631945e-13</v>
      </c>
      <c r="AU67" s="7">
        <v>-1.7578305173894e-12</v>
      </c>
      <c r="AV67" s="7">
        <v>-1.4169522998831e-12</v>
      </c>
      <c r="AW67" s="7">
        <v>-1.2019519800009e-12</v>
      </c>
      <c r="AX67" s="7">
        <v>3.2701172310218e-12</v>
      </c>
      <c r="AY67" s="7">
        <v>1.0490825924151e-12</v>
      </c>
      <c r="AZ67" s="7">
        <v>-4.3686031015292e-12</v>
      </c>
      <c r="BA67" s="7">
        <v>4.4386088710272e-13</v>
      </c>
      <c r="BB67" s="7">
        <v>-7.0051258047627e-12</v>
      </c>
      <c r="BC67" s="6">
        <v>16520970.725758</v>
      </c>
      <c r="BD67" s="6">
        <v>4211866.4383853</v>
      </c>
      <c r="BE67" s="6">
        <v>-0.0025936892801492</v>
      </c>
      <c r="BF67" s="6">
        <v>0.004221117688194</v>
      </c>
      <c r="BG67" s="6">
        <v>0.00082633170765987</v>
      </c>
      <c r="BH67" s="6">
        <v>-0.012364430001976</v>
      </c>
      <c r="BI67" s="6">
        <v>199.71854981866</v>
      </c>
      <c r="BJ67" s="6">
        <v>99.892913237384</v>
      </c>
      <c r="BK67" s="6">
        <v>187.20080517694</v>
      </c>
      <c r="BL67" s="3"/>
      <c r="BM67" s="5"/>
    </row>
    <row r="68" spans="1:65">
      <c r="A68" s="6">
        <v>31074085.314428</v>
      </c>
      <c r="B68" s="6">
        <v>0.0036425420780337</v>
      </c>
      <c r="C68" s="6"/>
      <c r="D68" s="7">
        <v>2.4659025159584e-12</v>
      </c>
      <c r="E68" s="7">
        <v>2.8782573244797e-12</v>
      </c>
      <c r="F68" s="7">
        <v>2.905708276501e-12</v>
      </c>
      <c r="G68" s="7">
        <v>2.8479020009532e-12</v>
      </c>
      <c r="H68" s="7">
        <v>2.2914719685579e-12</v>
      </c>
      <c r="I68" s="7">
        <v>2.3608654653749e-12</v>
      </c>
      <c r="J68" s="7">
        <v>2.2297096221753e-12</v>
      </c>
      <c r="K68" s="7">
        <v>2.4326517279154e-12</v>
      </c>
      <c r="L68" s="7">
        <v>2.577464684546e-12</v>
      </c>
      <c r="M68" s="7">
        <v>2.4003389244925e-12</v>
      </c>
      <c r="N68" s="7">
        <v>2.590617931975e-12</v>
      </c>
      <c r="O68" s="7">
        <v>2.2840196419172e-12</v>
      </c>
      <c r="P68" s="7">
        <v>2.4677753252835e-12</v>
      </c>
      <c r="Q68" s="7">
        <v>2.6829392477472e-12</v>
      </c>
      <c r="R68" s="7">
        <v>2.7742970575634e-12</v>
      </c>
      <c r="S68" s="7">
        <v>2.722463175802e-12</v>
      </c>
      <c r="T68" s="7">
        <v>2.8427140805923e-12</v>
      </c>
      <c r="U68" s="7">
        <v>2.2810491813189e-12</v>
      </c>
      <c r="V68" s="7">
        <v>2.5144499649239e-12</v>
      </c>
      <c r="W68" s="7">
        <v>2.6708036958899e-12</v>
      </c>
      <c r="X68" s="7">
        <v>2.4675082155185e-12</v>
      </c>
      <c r="Y68" s="7">
        <v>2.5835222928759e-12</v>
      </c>
      <c r="Z68" s="7">
        <v>2.7349199360049e-12</v>
      </c>
      <c r="AA68" s="7">
        <v>2.8223824312492e-12</v>
      </c>
      <c r="AB68" s="6">
        <v>0.5371073915129</v>
      </c>
      <c r="AC68" s="6">
        <v>0.23771739410704</v>
      </c>
      <c r="AD68" s="6">
        <v>0.0044667706457321</v>
      </c>
      <c r="AE68" s="7">
        <v>1.5334334831248e-12</v>
      </c>
      <c r="AF68" s="7">
        <v>6.1814935971262e-12</v>
      </c>
      <c r="AG68" s="7">
        <v>5.8876565784755e-12</v>
      </c>
      <c r="AH68" s="7">
        <v>3.2107143914461e-12</v>
      </c>
      <c r="AI68" s="7">
        <v>-2.4246660353212e-13</v>
      </c>
      <c r="AJ68" s="7">
        <v>2.0690777767957e-13</v>
      </c>
      <c r="AK68" s="7">
        <v>1.0893369684584e-12</v>
      </c>
      <c r="AL68" s="7">
        <v>4.9610067857186e-13</v>
      </c>
      <c r="AM68" s="7">
        <v>1.6144434490324e-12</v>
      </c>
      <c r="AN68" s="7">
        <v>-1.0841097877187e-12</v>
      </c>
      <c r="AO68" s="7">
        <v>-1.3311054163781e-12</v>
      </c>
      <c r="AP68" s="7">
        <v>-4.113631211777e-13</v>
      </c>
      <c r="AQ68" s="7">
        <v>-6.1083331031523e-14</v>
      </c>
      <c r="AR68" s="7">
        <v>-5.9531922265754e-12</v>
      </c>
      <c r="AS68" s="7">
        <v>-1.9925759866776e-13</v>
      </c>
      <c r="AT68" s="7">
        <v>1.3755431623322e-13</v>
      </c>
      <c r="AU68" s="7">
        <v>-1.7466731678249e-12</v>
      </c>
      <c r="AV68" s="7">
        <v>-1.3914502107921e-12</v>
      </c>
      <c r="AW68" s="7">
        <v>-1.1737784811996e-12</v>
      </c>
      <c r="AX68" s="7">
        <v>3.2860132010143e-12</v>
      </c>
      <c r="AY68" s="7">
        <v>1.0302840677186e-12</v>
      </c>
      <c r="AZ68" s="7">
        <v>-4.36599548492e-12</v>
      </c>
      <c r="BA68" s="7">
        <v>4.6589182320323e-13</v>
      </c>
      <c r="BB68" s="7">
        <v>-6.9595897536129e-12</v>
      </c>
      <c r="BC68" s="6">
        <v>16535280.644094</v>
      </c>
      <c r="BD68" s="6">
        <v>4221763.5570619</v>
      </c>
      <c r="BE68" s="6">
        <v>-0.0027113185178341</v>
      </c>
      <c r="BF68" s="6">
        <v>0.0044200796508763</v>
      </c>
      <c r="BG68" s="6">
        <v>0.00086477205597831</v>
      </c>
      <c r="BH68" s="6">
        <v>-0.012803429054356</v>
      </c>
      <c r="BI68" s="6">
        <v>199.7169282067</v>
      </c>
      <c r="BJ68" s="6">
        <v>99.892757414267</v>
      </c>
      <c r="BK68" s="6">
        <v>187.24163359679</v>
      </c>
      <c r="BL68" s="3"/>
      <c r="BM68" s="5"/>
    </row>
    <row r="69" spans="1:65">
      <c r="A69" s="6">
        <v>33160900.893527</v>
      </c>
      <c r="B69" s="6">
        <v>0.003854237260662</v>
      </c>
      <c r="C69" s="6"/>
      <c r="D69" s="7">
        <v>2.4738292074878e-12</v>
      </c>
      <c r="E69" s="7">
        <v>2.8803976793485e-12</v>
      </c>
      <c r="F69" s="7">
        <v>2.9095106314629e-12</v>
      </c>
      <c r="G69" s="7">
        <v>2.8475793459627e-12</v>
      </c>
      <c r="H69" s="7">
        <v>2.2915768789034e-12</v>
      </c>
      <c r="I69" s="7">
        <v>2.3642248625788e-12</v>
      </c>
      <c r="J69" s="7">
        <v>2.2261840140435e-12</v>
      </c>
      <c r="K69" s="7">
        <v>2.433778095921e-12</v>
      </c>
      <c r="L69" s="7">
        <v>2.5861765018143e-12</v>
      </c>
      <c r="M69" s="7">
        <v>2.401051588847e-12</v>
      </c>
      <c r="N69" s="7">
        <v>2.5938684114994e-12</v>
      </c>
      <c r="O69" s="7">
        <v>2.2832110952393e-12</v>
      </c>
      <c r="P69" s="7">
        <v>2.4645396551257e-12</v>
      </c>
      <c r="Q69" s="7">
        <v>2.689893135778e-12</v>
      </c>
      <c r="R69" s="7">
        <v>2.7714706142196e-12</v>
      </c>
      <c r="S69" s="7">
        <v>2.7172157823082e-12</v>
      </c>
      <c r="T69" s="7">
        <v>2.8445387844013e-12</v>
      </c>
      <c r="U69" s="7">
        <v>2.2795629740655e-12</v>
      </c>
      <c r="V69" s="7">
        <v>2.5194255018533e-12</v>
      </c>
      <c r="W69" s="7">
        <v>2.6834300398517e-12</v>
      </c>
      <c r="X69" s="7">
        <v>2.4688560455617e-12</v>
      </c>
      <c r="Y69" s="7">
        <v>2.5857924226625e-12</v>
      </c>
      <c r="Z69" s="7">
        <v>2.74305514681e-12</v>
      </c>
      <c r="AA69" s="7">
        <v>2.834877922376e-12</v>
      </c>
      <c r="AB69" s="6">
        <v>0.537984645493</v>
      </c>
      <c r="AC69" s="6">
        <v>0.23840829358125</v>
      </c>
      <c r="AD69" s="6">
        <v>0.0046798911087029</v>
      </c>
      <c r="AE69" s="7">
        <v>1.5223432590408e-12</v>
      </c>
      <c r="AF69" s="7">
        <v>6.1552983174682e-12</v>
      </c>
      <c r="AG69" s="7">
        <v>5.8353047546567e-12</v>
      </c>
      <c r="AH69" s="7">
        <v>3.1837820104333e-12</v>
      </c>
      <c r="AI69" s="7">
        <v>-2.6664863599482e-13</v>
      </c>
      <c r="AJ69" s="7">
        <v>1.8594737652015e-13</v>
      </c>
      <c r="AK69" s="7">
        <v>1.0628574443402e-12</v>
      </c>
      <c r="AL69" s="7">
        <v>4.7035173850015e-13</v>
      </c>
      <c r="AM69" s="7">
        <v>1.6006753155374e-12</v>
      </c>
      <c r="AN69" s="7">
        <v>-1.0919307623941e-12</v>
      </c>
      <c r="AO69" s="7">
        <v>-1.3595145706465e-12</v>
      </c>
      <c r="AP69" s="7">
        <v>-4.2414299143916e-13</v>
      </c>
      <c r="AQ69" s="7">
        <v>-7.0950084174539e-14</v>
      </c>
      <c r="AR69" s="7">
        <v>-5.9569676793758e-12</v>
      </c>
      <c r="AS69" s="7">
        <v>-2.0058378009313e-13</v>
      </c>
      <c r="AT69" s="7">
        <v>1.274256743307e-13</v>
      </c>
      <c r="AU69" s="7">
        <v>-1.7390824463163e-12</v>
      </c>
      <c r="AV69" s="7">
        <v>-1.3686717771301e-12</v>
      </c>
      <c r="AW69" s="7">
        <v>-1.1535499049111e-12</v>
      </c>
      <c r="AX69" s="7">
        <v>3.3000450619088e-12</v>
      </c>
      <c r="AY69" s="7">
        <v>1.0127453790948e-12</v>
      </c>
      <c r="AZ69" s="7">
        <v>-4.3630010745146e-12</v>
      </c>
      <c r="BA69" s="7">
        <v>4.8441290618931e-13</v>
      </c>
      <c r="BB69" s="7">
        <v>-6.9222921389004e-12</v>
      </c>
      <c r="BC69" s="6">
        <v>16549726.127277</v>
      </c>
      <c r="BD69" s="6">
        <v>4232263.1854589</v>
      </c>
      <c r="BE69" s="6">
        <v>-0.0028373363397723</v>
      </c>
      <c r="BF69" s="6">
        <v>0.0046337775440711</v>
      </c>
      <c r="BG69" s="6">
        <v>0.00090615265910906</v>
      </c>
      <c r="BH69" s="6">
        <v>-0.013007239053111</v>
      </c>
      <c r="BI69" s="6">
        <v>199.71519980751</v>
      </c>
      <c r="BJ69" s="6">
        <v>99.8923337227</v>
      </c>
      <c r="BK69" s="6">
        <v>187.2833397281</v>
      </c>
      <c r="BL69" s="3"/>
      <c r="BM69" s="5"/>
    </row>
    <row r="70" spans="1:65">
      <c r="A70" s="6">
        <v>35101361.285603</v>
      </c>
      <c r="B70" s="6">
        <v>0.0040506468222609</v>
      </c>
      <c r="C70" s="6"/>
      <c r="D70" s="7">
        <v>2.4801044487371e-12</v>
      </c>
      <c r="E70" s="7">
        <v>2.8820305756414e-12</v>
      </c>
      <c r="F70" s="7">
        <v>2.9124218290935e-12</v>
      </c>
      <c r="G70" s="7">
        <v>2.8472090744976e-12</v>
      </c>
      <c r="H70" s="7">
        <v>2.291691064476e-12</v>
      </c>
      <c r="I70" s="7">
        <v>2.3669169726272e-12</v>
      </c>
      <c r="J70" s="7">
        <v>2.223436002828e-12</v>
      </c>
      <c r="K70" s="7">
        <v>2.4346078325447e-12</v>
      </c>
      <c r="L70" s="7">
        <v>2.5930306651488e-12</v>
      </c>
      <c r="M70" s="7">
        <v>2.4015799974391e-12</v>
      </c>
      <c r="N70" s="7">
        <v>2.5964649194492e-12</v>
      </c>
      <c r="O70" s="7">
        <v>2.2826049509911e-12</v>
      </c>
      <c r="P70" s="7">
        <v>2.462012640057e-12</v>
      </c>
      <c r="Q70" s="7">
        <v>2.6953989404658e-12</v>
      </c>
      <c r="R70" s="7">
        <v>2.7691812379476e-12</v>
      </c>
      <c r="S70" s="7">
        <v>2.7130080169035e-12</v>
      </c>
      <c r="T70" s="7">
        <v>2.8459608127351e-12</v>
      </c>
      <c r="U70" s="7">
        <v>2.2784099664377e-12</v>
      </c>
      <c r="V70" s="7">
        <v>2.5232989534019e-12</v>
      </c>
      <c r="W70" s="7">
        <v>2.6932926491262e-12</v>
      </c>
      <c r="X70" s="7">
        <v>2.4698353173011e-12</v>
      </c>
      <c r="Y70" s="7">
        <v>2.5876148299141e-12</v>
      </c>
      <c r="Z70" s="7">
        <v>2.7494465748424e-12</v>
      </c>
      <c r="AA70" s="7">
        <v>2.844717030456e-12</v>
      </c>
      <c r="AB70" s="6">
        <v>0.53858430396431</v>
      </c>
      <c r="AC70" s="6">
        <v>0.23886823909232</v>
      </c>
      <c r="AD70" s="6">
        <v>0.0048775301672961</v>
      </c>
      <c r="AE70" s="7">
        <v>1.5154879900962e-12</v>
      </c>
      <c r="AF70" s="7">
        <v>6.1372010401878e-12</v>
      </c>
      <c r="AG70" s="7">
        <v>5.7997682473621e-12</v>
      </c>
      <c r="AH70" s="7">
        <v>3.165502519591e-12</v>
      </c>
      <c r="AI70" s="7">
        <v>-2.8414360107076e-13</v>
      </c>
      <c r="AJ70" s="7">
        <v>1.739820811237e-13</v>
      </c>
      <c r="AK70" s="7">
        <v>1.042942409241e-12</v>
      </c>
      <c r="AL70" s="7">
        <v>4.5342760751724e-13</v>
      </c>
      <c r="AM70" s="7">
        <v>1.5957186804471e-12</v>
      </c>
      <c r="AN70" s="7">
        <v>-1.098397909794e-12</v>
      </c>
      <c r="AO70" s="7">
        <v>-1.3755630504459e-12</v>
      </c>
      <c r="AP70" s="7">
        <v>-4.3435417174014e-13</v>
      </c>
      <c r="AQ70" s="7">
        <v>-7.8454184027127e-14</v>
      </c>
      <c r="AR70" s="7">
        <v>-5.9568360946819e-12</v>
      </c>
      <c r="AS70" s="7">
        <v>-2.0145563153858e-13</v>
      </c>
      <c r="AT70" s="7">
        <v>1.1977850769748e-13</v>
      </c>
      <c r="AU70" s="7">
        <v>-1.7330738719842e-12</v>
      </c>
      <c r="AV70" s="7">
        <v>-1.3532047011834e-12</v>
      </c>
      <c r="AW70" s="7">
        <v>-1.1355178075862e-12</v>
      </c>
      <c r="AX70" s="7">
        <v>3.3121198619443e-12</v>
      </c>
      <c r="AY70" s="7">
        <v>1.0027337062614e-12</v>
      </c>
      <c r="AZ70" s="7">
        <v>-4.3622027845386e-12</v>
      </c>
      <c r="BA70" s="7">
        <v>4.9885051172673e-13</v>
      </c>
      <c r="BB70" s="7">
        <v>-6.8952475158745e-12</v>
      </c>
      <c r="BC70" s="6">
        <v>16562282.324899</v>
      </c>
      <c r="BD70" s="6">
        <v>4241875.7069813</v>
      </c>
      <c r="BE70" s="6">
        <v>-0.0029539351572919</v>
      </c>
      <c r="BF70" s="6">
        <v>0.0048320235594967</v>
      </c>
      <c r="BG70" s="6">
        <v>0.00094463819916265</v>
      </c>
      <c r="BH70" s="6">
        <v>-0.013950367863241</v>
      </c>
      <c r="BI70" s="6">
        <v>199.71348423207</v>
      </c>
      <c r="BJ70" s="6">
        <v>99.892643838288</v>
      </c>
      <c r="BK70" s="6">
        <v>187.31998430381</v>
      </c>
      <c r="BL70" s="3"/>
      <c r="BM70" s="5"/>
    </row>
    <row r="71" spans="1:65">
      <c r="A71" s="6">
        <v>37848582.464035</v>
      </c>
      <c r="B71" s="6">
        <v>0.0043282390284383</v>
      </c>
      <c r="C71" s="6"/>
      <c r="D71" s="7">
        <v>2.4899466056093e-12</v>
      </c>
      <c r="E71" s="7">
        <v>2.8844654970876e-12</v>
      </c>
      <c r="F71" s="7">
        <v>2.9167903537192e-12</v>
      </c>
      <c r="G71" s="7">
        <v>2.8464350577715e-12</v>
      </c>
      <c r="H71" s="7">
        <v>2.2919479396338e-12</v>
      </c>
      <c r="I71" s="7">
        <v>2.3711960603877e-12</v>
      </c>
      <c r="J71" s="7">
        <v>2.2192408405946e-12</v>
      </c>
      <c r="K71" s="7">
        <v>2.4358521042874e-12</v>
      </c>
      <c r="L71" s="7">
        <v>2.6037181934369e-12</v>
      </c>
      <c r="M71" s="7">
        <v>2.40238982775e-12</v>
      </c>
      <c r="N71" s="7">
        <v>2.6005072694403e-12</v>
      </c>
      <c r="O71" s="7">
        <v>2.2817405458176e-12</v>
      </c>
      <c r="P71" s="7">
        <v>2.4580830197574e-12</v>
      </c>
      <c r="Q71" s="7">
        <v>2.7040400846386e-12</v>
      </c>
      <c r="R71" s="7">
        <v>2.7655026433245e-12</v>
      </c>
      <c r="S71" s="7">
        <v>2.7063284254296e-12</v>
      </c>
      <c r="T71" s="7">
        <v>2.8481820814146e-12</v>
      </c>
      <c r="U71" s="7">
        <v>2.2766806558843e-12</v>
      </c>
      <c r="V71" s="7">
        <v>2.529306306853e-12</v>
      </c>
      <c r="W71" s="7">
        <v>2.7086373246018e-12</v>
      </c>
      <c r="X71" s="7">
        <v>2.4712497520881e-12</v>
      </c>
      <c r="Y71" s="7">
        <v>2.5904698355338e-12</v>
      </c>
      <c r="Z71" s="7">
        <v>2.7593184589573e-12</v>
      </c>
      <c r="AA71" s="7">
        <v>2.8599811966096e-12</v>
      </c>
      <c r="AB71" s="6">
        <v>0.539444975702</v>
      </c>
      <c r="AC71" s="6">
        <v>0.23952017553996</v>
      </c>
      <c r="AD71" s="6">
        <v>0.0051567309020091</v>
      </c>
      <c r="AE71" s="7">
        <v>1.508499125694e-12</v>
      </c>
      <c r="AF71" s="7">
        <v>6.112732868248e-12</v>
      </c>
      <c r="AG71" s="7">
        <v>5.7480471860509e-12</v>
      </c>
      <c r="AH71" s="7">
        <v>3.1369402829046e-12</v>
      </c>
      <c r="AI71" s="7">
        <v>-3.0886662740226e-13</v>
      </c>
      <c r="AJ71" s="7">
        <v>1.5511169091128e-13</v>
      </c>
      <c r="AK71" s="7">
        <v>1.0137340010967e-12</v>
      </c>
      <c r="AL71" s="7">
        <v>4.2979503561657e-13</v>
      </c>
      <c r="AM71" s="7">
        <v>1.5840451033295e-12</v>
      </c>
      <c r="AN71" s="7">
        <v>-1.1083909656843e-12</v>
      </c>
      <c r="AO71" s="7">
        <v>-1.4014565066315e-12</v>
      </c>
      <c r="AP71" s="7">
        <v>-4.5184569152497e-13</v>
      </c>
      <c r="AQ71" s="7">
        <v>-9.0989244928682e-14</v>
      </c>
      <c r="AR71" s="7">
        <v>-5.9592680751231e-12</v>
      </c>
      <c r="AS71" s="7">
        <v>-2.0380731616478e-13</v>
      </c>
      <c r="AT71" s="7">
        <v>1.0803869178198e-13</v>
      </c>
      <c r="AU71" s="7">
        <v>-1.7262275845826e-12</v>
      </c>
      <c r="AV71" s="7">
        <v>-1.3303168573068e-12</v>
      </c>
      <c r="AW71" s="7">
        <v>-1.1102797790804e-12</v>
      </c>
      <c r="AX71" s="7">
        <v>3.3311974015059e-12</v>
      </c>
      <c r="AY71" s="7">
        <v>9.8903571604212e-13</v>
      </c>
      <c r="AZ71" s="7">
        <v>-4.3628458687452e-12</v>
      </c>
      <c r="BA71" s="7">
        <v>5.2014407793224e-13</v>
      </c>
      <c r="BB71" s="7">
        <v>-6.8590659868911e-12</v>
      </c>
      <c r="BC71" s="6">
        <v>16578780.300263</v>
      </c>
      <c r="BD71" s="6">
        <v>4255268.264462</v>
      </c>
      <c r="BE71" s="6">
        <v>-0.0031182991648148</v>
      </c>
      <c r="BF71" s="6">
        <v>0.0051121483425555</v>
      </c>
      <c r="BG71" s="6">
        <v>0.00099913978494839</v>
      </c>
      <c r="BH71" s="6">
        <v>-0.017921776761206</v>
      </c>
      <c r="BI71" s="6">
        <v>199.71215916334</v>
      </c>
      <c r="BJ71" s="6">
        <v>99.89209081267</v>
      </c>
      <c r="BK71" s="6">
        <v>187.3722687318</v>
      </c>
      <c r="BL71" s="3"/>
      <c r="BM71" s="5"/>
    </row>
    <row r="72" spans="1:65">
      <c r="A72" s="6">
        <v>39951119.856248</v>
      </c>
      <c r="B72" s="6">
        <v>0.0045402967647229</v>
      </c>
      <c r="C72" s="6"/>
      <c r="D72" s="7">
        <v>2.4991172761378e-12</v>
      </c>
      <c r="E72" s="7">
        <v>2.8865655110502e-12</v>
      </c>
      <c r="F72" s="7">
        <v>2.9206055241406e-12</v>
      </c>
      <c r="G72" s="7">
        <v>2.8454736729895e-12</v>
      </c>
      <c r="H72" s="7">
        <v>2.2922742195714e-12</v>
      </c>
      <c r="I72" s="7">
        <v>2.3752497995859e-12</v>
      </c>
      <c r="J72" s="7">
        <v>2.2154598033236e-12</v>
      </c>
      <c r="K72" s="7">
        <v>2.4369348440564e-12</v>
      </c>
      <c r="L72" s="7">
        <v>2.613593610463e-12</v>
      </c>
      <c r="M72" s="7">
        <v>2.4031043612657e-12</v>
      </c>
      <c r="N72" s="7">
        <v>2.6042107679089e-12</v>
      </c>
      <c r="O72" s="7">
        <v>2.2810349527841e-12</v>
      </c>
      <c r="P72" s="7">
        <v>2.4544470427952e-12</v>
      </c>
      <c r="Q72" s="7">
        <v>2.7120238828755e-12</v>
      </c>
      <c r="R72" s="7">
        <v>2.7619522440257e-12</v>
      </c>
      <c r="S72" s="7">
        <v>2.699990669906e-12</v>
      </c>
      <c r="T72" s="7">
        <v>2.850168766557e-12</v>
      </c>
      <c r="U72" s="7">
        <v>2.2751554495002e-12</v>
      </c>
      <c r="V72" s="7">
        <v>2.5348355573971e-12</v>
      </c>
      <c r="W72" s="7">
        <v>2.7227117359787e-12</v>
      </c>
      <c r="X72" s="7">
        <v>2.472460774428e-12</v>
      </c>
      <c r="Y72" s="7">
        <v>2.5931103562714e-12</v>
      </c>
      <c r="Z72" s="7">
        <v>2.7683286946865e-12</v>
      </c>
      <c r="AA72" s="7">
        <v>2.8739852914989e-12</v>
      </c>
      <c r="AB72" s="6">
        <v>0.54016082957118</v>
      </c>
      <c r="AC72" s="6">
        <v>0.24005034899015</v>
      </c>
      <c r="AD72" s="6">
        <v>0.0053698882360419</v>
      </c>
      <c r="AE72" s="7">
        <v>1.4999086791863e-12</v>
      </c>
      <c r="AF72" s="7">
        <v>6.0924040051112e-12</v>
      </c>
      <c r="AG72" s="7">
        <v>5.7040944840143e-12</v>
      </c>
      <c r="AH72" s="7">
        <v>3.1114167427365e-12</v>
      </c>
      <c r="AI72" s="7">
        <v>-3.304164694876e-13</v>
      </c>
      <c r="AJ72" s="7">
        <v>1.3739305272213e-13</v>
      </c>
      <c r="AK72" s="7">
        <v>9.8746813271631e-13</v>
      </c>
      <c r="AL72" s="7">
        <v>4.1014066268075e-13</v>
      </c>
      <c r="AM72" s="7">
        <v>1.5677232958915e-12</v>
      </c>
      <c r="AN72" s="7">
        <v>-1.1173839283945e-12</v>
      </c>
      <c r="AO72" s="7">
        <v>-1.4266603116548e-12</v>
      </c>
      <c r="AP72" s="7">
        <v>-4.6901337738438e-13</v>
      </c>
      <c r="AQ72" s="7">
        <v>-1.0297142569504e-13</v>
      </c>
      <c r="AR72" s="7">
        <v>-5.9650855178917e-12</v>
      </c>
      <c r="AS72" s="7">
        <v>-2.0729166534424e-13</v>
      </c>
      <c r="AT72" s="7">
        <v>9.6961452682397e-14</v>
      </c>
      <c r="AU72" s="7">
        <v>-1.7225982713838e-12</v>
      </c>
      <c r="AV72" s="7">
        <v>-1.3113865574981e-12</v>
      </c>
      <c r="AW72" s="7">
        <v>-1.0898224280879e-12</v>
      </c>
      <c r="AX72" s="7">
        <v>3.3523044811768e-12</v>
      </c>
      <c r="AY72" s="7">
        <v>9.7911976965375e-13</v>
      </c>
      <c r="AZ72" s="7">
        <v>-4.3646958092485e-12</v>
      </c>
      <c r="BA72" s="7">
        <v>5.3574357455583e-13</v>
      </c>
      <c r="BB72" s="7">
        <v>-6.8339985043763e-12</v>
      </c>
      <c r="BC72" s="6">
        <v>16590419.603867</v>
      </c>
      <c r="BD72" s="6">
        <v>4265341.2069298</v>
      </c>
      <c r="BE72" s="6">
        <v>-0.0032434835516649</v>
      </c>
      <c r="BF72" s="6">
        <v>0.0053260800059356</v>
      </c>
      <c r="BG72" s="6">
        <v>0.0010408591817064</v>
      </c>
      <c r="BH72" s="6">
        <v>-0.014853878274383</v>
      </c>
      <c r="BI72" s="6">
        <v>199.70931404113</v>
      </c>
      <c r="BJ72" s="6">
        <v>99.891937291428</v>
      </c>
      <c r="BK72" s="6">
        <v>187.40247116171</v>
      </c>
      <c r="BL72" s="3"/>
      <c r="BM72" s="5"/>
    </row>
    <row r="73" spans="1:65">
      <c r="A73" s="6">
        <v>42288920.205794</v>
      </c>
      <c r="B73" s="6">
        <v>0.00477573455699</v>
      </c>
      <c r="C73" s="6"/>
      <c r="D73" s="7">
        <v>2.506336526498e-12</v>
      </c>
      <c r="E73" s="7">
        <v>2.8881506389771e-12</v>
      </c>
      <c r="F73" s="7">
        <v>2.9234848127154e-12</v>
      </c>
      <c r="G73" s="7">
        <v>2.8445777039151e-12</v>
      </c>
      <c r="H73" s="7">
        <v>2.2925689518373e-12</v>
      </c>
      <c r="I73" s="7">
        <v>2.3784851390978e-12</v>
      </c>
      <c r="J73" s="7">
        <v>2.2125249483419e-12</v>
      </c>
      <c r="K73" s="7">
        <v>2.4377341355411e-12</v>
      </c>
      <c r="L73" s="7">
        <v>2.6213609512604e-12</v>
      </c>
      <c r="M73" s="7">
        <v>2.4036322332043e-12</v>
      </c>
      <c r="N73" s="7">
        <v>2.6071223789801e-12</v>
      </c>
      <c r="O73" s="7">
        <v>2.2805221293963e-12</v>
      </c>
      <c r="P73" s="7">
        <v>2.4515866714487e-12</v>
      </c>
      <c r="Q73" s="7">
        <v>2.7183263358934e-12</v>
      </c>
      <c r="R73" s="7">
        <v>2.7590848128741e-12</v>
      </c>
      <c r="S73" s="7">
        <v>2.6949163048744e-12</v>
      </c>
      <c r="T73" s="7">
        <v>2.8517214565787e-12</v>
      </c>
      <c r="U73" s="7">
        <v>2.2739840954373e-12</v>
      </c>
      <c r="V73" s="7">
        <v>2.5391536999592e-12</v>
      </c>
      <c r="W73" s="7">
        <v>2.7337182760983e-12</v>
      </c>
      <c r="X73" s="7">
        <v>2.4733256472255e-12</v>
      </c>
      <c r="Y73" s="7">
        <v>2.59519355023e-12</v>
      </c>
      <c r="Z73" s="7">
        <v>2.7753599464683e-12</v>
      </c>
      <c r="AA73" s="7">
        <v>2.8849466948141e-12</v>
      </c>
      <c r="AB73" s="6">
        <v>0.54069519946459</v>
      </c>
      <c r="AC73" s="6">
        <v>0.24043949514835</v>
      </c>
      <c r="AD73" s="6">
        <v>0.0056064805536613</v>
      </c>
      <c r="AE73" s="7">
        <v>1.4964840541182e-12</v>
      </c>
      <c r="AF73" s="7">
        <v>6.0775409794188e-12</v>
      </c>
      <c r="AG73" s="7">
        <v>5.6722819655114e-12</v>
      </c>
      <c r="AH73" s="7">
        <v>3.091949016773e-12</v>
      </c>
      <c r="AI73" s="7">
        <v>-3.4566506776151e-13</v>
      </c>
      <c r="AJ73" s="7">
        <v>1.2652662485455e-13</v>
      </c>
      <c r="AK73" s="7">
        <v>9.6809604659406e-13</v>
      </c>
      <c r="AL73" s="7">
        <v>3.9654356053061e-13</v>
      </c>
      <c r="AM73" s="7">
        <v>1.5587008236936e-12</v>
      </c>
      <c r="AN73" s="7">
        <v>-1.1245506781824e-12</v>
      </c>
      <c r="AO73" s="7">
        <v>-1.442114481659e-12</v>
      </c>
      <c r="AP73" s="7">
        <v>-4.8237223282246e-13</v>
      </c>
      <c r="AQ73" s="7">
        <v>-1.1249032239965e-13</v>
      </c>
      <c r="AR73" s="7">
        <v>-5.9674852670899e-12</v>
      </c>
      <c r="AS73" s="7">
        <v>-2.1017207602041e-13</v>
      </c>
      <c r="AT73" s="7">
        <v>8.8685226693821e-14</v>
      </c>
      <c r="AU73" s="7">
        <v>-1.7199933234465e-12</v>
      </c>
      <c r="AV73" s="7">
        <v>-1.2976307760913e-12</v>
      </c>
      <c r="AW73" s="7">
        <v>-1.0741291047442e-12</v>
      </c>
      <c r="AX73" s="7">
        <v>3.3648442830661e-12</v>
      </c>
      <c r="AY73" s="7">
        <v>9.7297109423905e-13</v>
      </c>
      <c r="AZ73" s="7">
        <v>-4.366751061293e-12</v>
      </c>
      <c r="BA73" s="7">
        <v>5.486282472029e-13</v>
      </c>
      <c r="BB73" s="7">
        <v>-6.8145791716413e-12</v>
      </c>
      <c r="BC73" s="6">
        <v>16602417.743581</v>
      </c>
      <c r="BD73" s="6">
        <v>4276366.1680868</v>
      </c>
      <c r="BE73" s="6">
        <v>-0.0033821808823597</v>
      </c>
      <c r="BF73" s="6">
        <v>0.0055635612949767</v>
      </c>
      <c r="BG73" s="6">
        <v>0.0010872790782913</v>
      </c>
      <c r="BH73" s="6">
        <v>-0.017592088881125</v>
      </c>
      <c r="BI73" s="6">
        <v>199.70799313572</v>
      </c>
      <c r="BJ73" s="6">
        <v>99.891655750364</v>
      </c>
      <c r="BK73" s="6">
        <v>187.44071304488</v>
      </c>
      <c r="BL73" s="3"/>
      <c r="BM73" s="5"/>
    </row>
    <row r="74" spans="1:65">
      <c r="A74" s="6">
        <v>44229172.166529</v>
      </c>
      <c r="B74" s="6">
        <v>0.0049708829527755</v>
      </c>
      <c r="C74" s="6"/>
      <c r="D74" s="7">
        <v>2.5142718788732e-12</v>
      </c>
      <c r="E74" s="7">
        <v>2.8897792506319e-12</v>
      </c>
      <c r="F74" s="7">
        <v>2.9264735804959e-12</v>
      </c>
      <c r="G74" s="7">
        <v>2.8434353238994e-12</v>
      </c>
      <c r="H74" s="7">
        <v>2.2929096296095e-12</v>
      </c>
      <c r="I74" s="7">
        <v>2.3820475420864e-12</v>
      </c>
      <c r="J74" s="7">
        <v>2.209351108947e-12</v>
      </c>
      <c r="K74" s="7">
        <v>2.438554748988e-12</v>
      </c>
      <c r="L74" s="7">
        <v>2.629821591126e-12</v>
      </c>
      <c r="M74" s="7">
        <v>2.4041757878377e-12</v>
      </c>
      <c r="N74" s="7">
        <v>2.6102826221526e-12</v>
      </c>
      <c r="O74" s="7">
        <v>2.279985686284e-12</v>
      </c>
      <c r="P74" s="7">
        <v>2.4484692075795e-12</v>
      </c>
      <c r="Q74" s="7">
        <v>2.7252338146362e-12</v>
      </c>
      <c r="R74" s="7">
        <v>2.7558540302931e-12</v>
      </c>
      <c r="S74" s="7">
        <v>2.6892631188901e-12</v>
      </c>
      <c r="T74" s="7">
        <v>2.8533774666195e-12</v>
      </c>
      <c r="U74" s="7">
        <v>2.2727157229229e-12</v>
      </c>
      <c r="V74" s="7">
        <v>2.5438386181101e-12</v>
      </c>
      <c r="W74" s="7">
        <v>2.7456601569275e-12</v>
      </c>
      <c r="X74" s="7">
        <v>2.4741863592324e-12</v>
      </c>
      <c r="Y74" s="7">
        <v>2.5974724362822e-12</v>
      </c>
      <c r="Z74" s="7">
        <v>2.7829700952694e-12</v>
      </c>
      <c r="AA74" s="7">
        <v>2.8968530348303e-12</v>
      </c>
      <c r="AB74" s="6">
        <v>0.5412488810065</v>
      </c>
      <c r="AC74" s="6">
        <v>0.24083598135638</v>
      </c>
      <c r="AD74" s="6">
        <v>0.0058025031833239</v>
      </c>
      <c r="AE74" s="7">
        <v>1.4917731404759e-12</v>
      </c>
      <c r="AF74" s="7">
        <v>6.0625609262658e-12</v>
      </c>
      <c r="AG74" s="7">
        <v>5.6389949699813e-12</v>
      </c>
      <c r="AH74" s="7">
        <v>3.0708499916237e-12</v>
      </c>
      <c r="AI74" s="7">
        <v>-3.617333476637e-13</v>
      </c>
      <c r="AJ74" s="7">
        <v>1.1373045832627e-13</v>
      </c>
      <c r="AK74" s="7">
        <v>9.4767738257228e-13</v>
      </c>
      <c r="AL74" s="7">
        <v>3.8251203626378e-13</v>
      </c>
      <c r="AM74" s="7">
        <v>1.5447755629631e-12</v>
      </c>
      <c r="AN74" s="7">
        <v>-1.1318626917111e-12</v>
      </c>
      <c r="AO74" s="7">
        <v>-1.4613284079546e-12</v>
      </c>
      <c r="AP74" s="7">
        <v>-4.9728409426528e-13</v>
      </c>
      <c r="AQ74" s="7">
        <v>-1.2304353784353e-13</v>
      </c>
      <c r="AR74" s="7">
        <v>-5.9723647338266e-12</v>
      </c>
      <c r="AS74" s="7">
        <v>-2.1427413450333e-13</v>
      </c>
      <c r="AT74" s="7">
        <v>7.9724334620349e-14</v>
      </c>
      <c r="AU74" s="7">
        <v>-1.7187931837147e-12</v>
      </c>
      <c r="AV74" s="7">
        <v>-1.2840783449713e-12</v>
      </c>
      <c r="AW74" s="7">
        <v>-1.0574377181967e-12</v>
      </c>
      <c r="AX74" s="7">
        <v>3.381259112268e-12</v>
      </c>
      <c r="AY74" s="7">
        <v>9.6779069563337e-13</v>
      </c>
      <c r="AZ74" s="7">
        <v>-4.36945986487e-12</v>
      </c>
      <c r="BA74" s="7">
        <v>5.5981898580074e-13</v>
      </c>
      <c r="BB74" s="7">
        <v>-6.7978394624092e-12</v>
      </c>
      <c r="BC74" s="6">
        <v>16611664.396501</v>
      </c>
      <c r="BD74" s="6">
        <v>4285379.204323</v>
      </c>
      <c r="BE74" s="6">
        <v>-0.0034968834542381</v>
      </c>
      <c r="BF74" s="6">
        <v>0.0057603562870225</v>
      </c>
      <c r="BG74" s="6">
        <v>0.001125816707165</v>
      </c>
      <c r="BH74" s="6">
        <v>-0.016184467867064</v>
      </c>
      <c r="BI74" s="6">
        <v>199.70549757629</v>
      </c>
      <c r="BJ74" s="6">
        <v>99.891831999752</v>
      </c>
      <c r="BK74" s="6">
        <v>187.46608094206</v>
      </c>
      <c r="BL74" s="3"/>
      <c r="BM74" s="5"/>
    </row>
    <row r="75" spans="1:65">
      <c r="A75" s="6">
        <v>47250191.572468</v>
      </c>
      <c r="B75" s="6">
        <v>0.0052743734790619</v>
      </c>
      <c r="C75" s="6"/>
      <c r="D75" s="7">
        <v>2.5232532460138e-12</v>
      </c>
      <c r="E75" s="7">
        <v>2.8915621197449e-12</v>
      </c>
      <c r="F75" s="7">
        <v>2.9297347878698e-12</v>
      </c>
      <c r="G75" s="7">
        <v>2.84198552905e-12</v>
      </c>
      <c r="H75" s="7">
        <v>2.293322866358e-12</v>
      </c>
      <c r="I75" s="7">
        <v>2.38612416243e-12</v>
      </c>
      <c r="J75" s="7">
        <v>2.2057694904798e-12</v>
      </c>
      <c r="K75" s="7">
        <v>2.4394234659326e-12</v>
      </c>
      <c r="L75" s="7">
        <v>2.639435846493e-12</v>
      </c>
      <c r="M75" s="7">
        <v>2.4047438193216e-12</v>
      </c>
      <c r="N75" s="7">
        <v>2.6138640885512e-12</v>
      </c>
      <c r="O75" s="7">
        <v>2.2794093928917e-12</v>
      </c>
      <c r="P75" s="7">
        <v>2.4449229895876e-12</v>
      </c>
      <c r="Q75" s="7">
        <v>2.7331386438742e-12</v>
      </c>
      <c r="R75" s="7">
        <v>2.7521136718297e-12</v>
      </c>
      <c r="S75" s="7">
        <v>2.6827453707681e-12</v>
      </c>
      <c r="T75" s="7">
        <v>2.85526565835e-12</v>
      </c>
      <c r="U75" s="7">
        <v>2.271286209896e-12</v>
      </c>
      <c r="V75" s="7">
        <v>2.5491289419356e-12</v>
      </c>
      <c r="W75" s="7">
        <v>2.7591487367877e-12</v>
      </c>
      <c r="X75" s="7">
        <v>2.4750678139446e-12</v>
      </c>
      <c r="Y75" s="7">
        <v>2.6000660904418e-12</v>
      </c>
      <c r="Z75" s="7">
        <v>2.7915198889736e-12</v>
      </c>
      <c r="AA75" s="7">
        <v>2.9103283030325e-12</v>
      </c>
      <c r="AB75" s="6">
        <v>0.54179389200299</v>
      </c>
      <c r="AC75" s="6">
        <v>0.24121346895661</v>
      </c>
      <c r="AD75" s="6">
        <v>0.0061072795906544</v>
      </c>
      <c r="AE75" s="7">
        <v>1.4898115781832e-12</v>
      </c>
      <c r="AF75" s="7">
        <v>6.0482231166504e-12</v>
      </c>
      <c r="AG75" s="7">
        <v>5.6060308827406e-12</v>
      </c>
      <c r="AH75" s="7">
        <v>3.0490153574367e-12</v>
      </c>
      <c r="AI75" s="7">
        <v>-3.7878188941216e-13</v>
      </c>
      <c r="AJ75" s="7">
        <v>1.0279886610766e-13</v>
      </c>
      <c r="AK75" s="7">
        <v>9.2673739397668e-13</v>
      </c>
      <c r="AL75" s="7">
        <v>3.6916790227509e-13</v>
      </c>
      <c r="AM75" s="7">
        <v>1.5340707808745e-12</v>
      </c>
      <c r="AN75" s="7">
        <v>-1.14141063188e-12</v>
      </c>
      <c r="AO75" s="7">
        <v>-1.477876878597e-12</v>
      </c>
      <c r="AP75" s="7">
        <v>-5.138129643921e-13</v>
      </c>
      <c r="AQ75" s="7">
        <v>-1.3446023501104e-13</v>
      </c>
      <c r="AR75" s="7">
        <v>-5.975454106668e-12</v>
      </c>
      <c r="AS75" s="7">
        <v>-2.1904102732803e-13</v>
      </c>
      <c r="AT75" s="7">
        <v>7.0366074476065e-14</v>
      </c>
      <c r="AU75" s="7">
        <v>-1.7177010236638e-12</v>
      </c>
      <c r="AV75" s="7">
        <v>-1.2706620734778e-12</v>
      </c>
      <c r="AW75" s="7">
        <v>-1.0391398915706e-12</v>
      </c>
      <c r="AX75" s="7">
        <v>3.3965302100229e-12</v>
      </c>
      <c r="AY75" s="7">
        <v>9.6331512501626e-13</v>
      </c>
      <c r="AZ75" s="7">
        <v>-4.3736736174388e-12</v>
      </c>
      <c r="BA75" s="7">
        <v>5.7367906718642e-13</v>
      </c>
      <c r="BB75" s="7">
        <v>-6.7786613948117e-12</v>
      </c>
      <c r="BC75" s="6">
        <v>16624872.918797</v>
      </c>
      <c r="BD75" s="6">
        <v>4299177.0746583</v>
      </c>
      <c r="BE75" s="6">
        <v>-0.0036749172190843</v>
      </c>
      <c r="BF75" s="6">
        <v>0.0060663455197277</v>
      </c>
      <c r="BG75" s="6">
        <v>0.0011858615800754</v>
      </c>
      <c r="BH75" s="6">
        <v>-0.022858646709707</v>
      </c>
      <c r="BI75" s="6">
        <v>199.70363760532</v>
      </c>
      <c r="BJ75" s="6">
        <v>99.8902871246</v>
      </c>
      <c r="BK75" s="6">
        <v>187.51278671848</v>
      </c>
      <c r="BL75" s="3"/>
      <c r="BM75" s="5"/>
    </row>
    <row r="76" spans="1:65">
      <c r="A76" s="6">
        <v>49077747.192267</v>
      </c>
      <c r="B76" s="6">
        <v>0.0054577418984353</v>
      </c>
      <c r="C76" s="6"/>
      <c r="D76" s="7">
        <v>2.5306151280103e-12</v>
      </c>
      <c r="E76" s="7">
        <v>2.8929075391085e-12</v>
      </c>
      <c r="F76" s="7">
        <v>2.9322315993166e-12</v>
      </c>
      <c r="G76" s="7">
        <v>2.8406466499015e-12</v>
      </c>
      <c r="H76" s="7">
        <v>2.2936795787541e-12</v>
      </c>
      <c r="I76" s="7">
        <v>2.389467310013e-12</v>
      </c>
      <c r="J76" s="7">
        <v>2.2028908962015e-12</v>
      </c>
      <c r="K76" s="7">
        <v>2.4401077444292e-12</v>
      </c>
      <c r="L76" s="7">
        <v>2.6472589226304e-12</v>
      </c>
      <c r="M76" s="7">
        <v>2.4051940721148e-12</v>
      </c>
      <c r="N76" s="7">
        <v>2.6167204617321e-12</v>
      </c>
      <c r="O76" s="7">
        <v>2.278963622441e-12</v>
      </c>
      <c r="P76" s="7">
        <v>2.4420101078001e-12</v>
      </c>
      <c r="Q76" s="7">
        <v>2.7395864944953e-12</v>
      </c>
      <c r="R76" s="7">
        <v>2.7489744828482e-12</v>
      </c>
      <c r="S76" s="7">
        <v>2.6773306900831e-12</v>
      </c>
      <c r="T76" s="7">
        <v>2.8567688172998e-12</v>
      </c>
      <c r="U76" s="7">
        <v>2.2701347010438e-12</v>
      </c>
      <c r="V76" s="7">
        <v>2.553435380552e-12</v>
      </c>
      <c r="W76" s="7">
        <v>2.7700946630668e-12</v>
      </c>
      <c r="X76" s="7">
        <v>2.4757278524499e-12</v>
      </c>
      <c r="Y76" s="7">
        <v>2.6021414084598e-12</v>
      </c>
      <c r="Z76" s="7">
        <v>2.7984159549834e-12</v>
      </c>
      <c r="AA76" s="7">
        <v>2.9211947678671e-12</v>
      </c>
      <c r="AB76" s="6">
        <v>0.54229721148769</v>
      </c>
      <c r="AC76" s="6">
        <v>0.24156932272078</v>
      </c>
      <c r="AD76" s="6">
        <v>0.0062913360748585</v>
      </c>
      <c r="AE76" s="7">
        <v>1.4869096420941e-12</v>
      </c>
      <c r="AF76" s="7">
        <v>6.0355234235043e-12</v>
      </c>
      <c r="AG76" s="7">
        <v>5.5765666589743e-12</v>
      </c>
      <c r="AH76" s="7">
        <v>3.0298752498513e-12</v>
      </c>
      <c r="AI76" s="7">
        <v>-3.9258675252516e-13</v>
      </c>
      <c r="AJ76" s="7">
        <v>9.1854988500186e-14</v>
      </c>
      <c r="AK76" s="7">
        <v>9.1007312611268e-13</v>
      </c>
      <c r="AL76" s="7">
        <v>3.5681961017551e-13</v>
      </c>
      <c r="AM76" s="7">
        <v>1.5193905285394e-12</v>
      </c>
      <c r="AN76" s="7">
        <v>-1.1473168883279e-12</v>
      </c>
      <c r="AO76" s="7">
        <v>-1.4944429335073e-12</v>
      </c>
      <c r="AP76" s="7">
        <v>-5.2739251805272e-13</v>
      </c>
      <c r="AQ76" s="7">
        <v>-1.4417691200483e-13</v>
      </c>
      <c r="AR76" s="7">
        <v>-5.9802354113021e-12</v>
      </c>
      <c r="AS76" s="7">
        <v>-2.2423383151216e-13</v>
      </c>
      <c r="AT76" s="7">
        <v>6.2737198481272e-14</v>
      </c>
      <c r="AU76" s="7">
        <v>-1.7182320604508e-12</v>
      </c>
      <c r="AV76" s="7">
        <v>-1.2601629210158e-12</v>
      </c>
      <c r="AW76" s="7">
        <v>-1.0234724344207e-12</v>
      </c>
      <c r="AX76" s="7">
        <v>3.4099248490276e-12</v>
      </c>
      <c r="AY76" s="7">
        <v>9.6114246989046e-13</v>
      </c>
      <c r="AZ76" s="7">
        <v>-4.3762131080917e-12</v>
      </c>
      <c r="BA76" s="7">
        <v>5.8297400682779e-13</v>
      </c>
      <c r="BB76" s="7">
        <v>-6.7662332000095e-12</v>
      </c>
      <c r="BC76" s="6">
        <v>16632170.730949</v>
      </c>
      <c r="BD76" s="6">
        <v>4307379.2946322</v>
      </c>
      <c r="BE76" s="6">
        <v>-0.0037822104613154</v>
      </c>
      <c r="BF76" s="6">
        <v>0.0062511712133397</v>
      </c>
      <c r="BG76" s="6">
        <v>0.0012221965899198</v>
      </c>
      <c r="BH76" s="6">
        <v>-0.017701937112385</v>
      </c>
      <c r="BI76" s="6">
        <v>199.70136987877</v>
      </c>
      <c r="BJ76" s="6">
        <v>99.891480154898</v>
      </c>
      <c r="BK76" s="6">
        <v>187.53034452944</v>
      </c>
      <c r="BL76" s="3"/>
      <c r="BM76" s="5"/>
    </row>
    <row r="77" spans="1:65">
      <c r="A77" s="3"/>
      <c r="B77" s="3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3"/>
      <c r="AD77" s="3"/>
      <c r="AE77" s="3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3"/>
      <c r="BE77" s="3"/>
      <c r="BF77" s="3"/>
      <c r="BG77" s="3"/>
      <c r="BH77" s="3"/>
      <c r="BI77" s="3"/>
      <c r="BJ77" s="3"/>
      <c r="BK77" s="3"/>
      <c r="BL77" s="3"/>
      <c r="BM77" s="5"/>
    </row>
    <row r="78" spans="1:65">
      <c r="A78" s="3"/>
      <c r="B78" s="3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3"/>
      <c r="AD78" s="3"/>
      <c r="AE78" s="3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3"/>
      <c r="BE78" s="3"/>
      <c r="BF78" s="3"/>
      <c r="BG78" s="3"/>
      <c r="BH78" s="3"/>
      <c r="BI78" s="3"/>
      <c r="BJ78" s="3"/>
      <c r="BK78" s="3"/>
      <c r="BL78" s="3"/>
      <c r="BM78" s="5"/>
    </row>
    <row r="79" spans="1:65">
      <c r="A79" s="3"/>
      <c r="B79" s="3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3"/>
      <c r="AD79" s="3"/>
      <c r="AE79" s="3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3"/>
      <c r="BE79" s="3"/>
      <c r="BF79" s="3"/>
      <c r="BG79" s="3"/>
      <c r="BH79" s="3"/>
      <c r="BI79" s="3"/>
      <c r="BJ79" s="3"/>
      <c r="BK79" s="3"/>
      <c r="BL79" s="3"/>
      <c r="BM79" s="5"/>
    </row>
    <row r="80" spans="1:65">
      <c r="A80" s="3"/>
      <c r="B80" s="3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3"/>
      <c r="AD80" s="3"/>
      <c r="AE80" s="3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3"/>
      <c r="BE80" s="3"/>
      <c r="BF80" s="3"/>
      <c r="BG80" s="3"/>
      <c r="BH80" s="3"/>
      <c r="BI80" s="3"/>
      <c r="BJ80" s="3"/>
      <c r="BK80" s="3"/>
      <c r="BL80" s="3"/>
      <c r="BM80" s="5"/>
    </row>
    <row r="81" spans="1:65">
      <c r="A81" s="3"/>
      <c r="B81" s="3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3"/>
      <c r="AD81" s="3"/>
      <c r="AE81" s="3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3"/>
      <c r="BE81" s="3"/>
      <c r="BF81" s="3"/>
      <c r="BG81" s="3"/>
      <c r="BH81" s="3"/>
      <c r="BI81" s="3"/>
      <c r="BJ81" s="3"/>
      <c r="BK81" s="3"/>
      <c r="BL81" s="3"/>
      <c r="BM81" s="5"/>
    </row>
    <row r="82" spans="1:65">
      <c r="A82" s="3"/>
      <c r="B82" s="3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3"/>
      <c r="AD82" s="3"/>
      <c r="AE82" s="3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3"/>
      <c r="BE82" s="3"/>
      <c r="BF82" s="3"/>
      <c r="BG82" s="3"/>
      <c r="BH82" s="3"/>
      <c r="BI82" s="3"/>
      <c r="BJ82" s="3"/>
      <c r="BK82" s="3"/>
      <c r="BL82" s="3"/>
      <c r="BM82" s="5"/>
    </row>
    <row r="83" spans="1:65">
      <c r="A83" s="8"/>
      <c r="B83" s="5"/>
      <c r="C83" s="5"/>
      <c r="D83" s="5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5"/>
      <c r="AE83" s="5"/>
      <c r="AF83" s="5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5"/>
      <c r="BF83" s="5"/>
      <c r="BG83" s="5"/>
      <c r="BH83" s="5"/>
      <c r="BI83" s="5"/>
      <c r="BJ83" s="5"/>
      <c r="BK83" s="5"/>
      <c r="BL83" s="5"/>
      <c r="BM83" s="5"/>
    </row>
    <row r="84" spans="1:65">
      <c r="A84" s="8"/>
      <c r="B84" s="5"/>
      <c r="C84" s="5"/>
      <c r="D84" s="5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5"/>
      <c r="AE84" s="5"/>
      <c r="AF84" s="5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5"/>
      <c r="BF84" s="5"/>
      <c r="BG84" s="5"/>
      <c r="BH84" s="5"/>
      <c r="BI84" s="5"/>
      <c r="BJ84" s="5"/>
      <c r="BK84" s="5"/>
      <c r="BL84" s="5"/>
      <c r="BM84" s="5"/>
    </row>
    <row r="85" spans="1:65">
      <c r="A85" s="8"/>
      <c r="B85" s="5"/>
      <c r="C85" s="5"/>
      <c r="D85" s="5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5"/>
      <c r="AE85" s="5"/>
      <c r="AF85" s="5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5"/>
      <c r="BF85" s="5"/>
      <c r="BG85" s="5"/>
      <c r="BH85" s="5"/>
      <c r="BI85" s="5"/>
      <c r="BJ85" s="5"/>
      <c r="BK85" s="5"/>
      <c r="BL85" s="5"/>
      <c r="BM85" s="5"/>
    </row>
    <row r="86" spans="1:65">
      <c r="A86" s="8"/>
      <c r="B86" s="5"/>
      <c r="C86" s="5"/>
      <c r="D86" s="5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5"/>
      <c r="AE86" s="5"/>
      <c r="AF86" s="5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5"/>
      <c r="BF86" s="5"/>
      <c r="BG86" s="5"/>
      <c r="BH86" s="5"/>
      <c r="BI86" s="5"/>
      <c r="BJ86" s="5"/>
      <c r="BK86" s="5"/>
      <c r="BL86" s="5"/>
      <c r="BM86" s="5"/>
    </row>
    <row r="87" spans="1:65">
      <c r="A87" s="8"/>
      <c r="B87" s="5"/>
      <c r="C87" s="5"/>
      <c r="D87" s="5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5"/>
      <c r="AE87" s="5"/>
      <c r="AF87" s="5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5"/>
      <c r="BF87" s="5"/>
      <c r="BG87" s="5"/>
      <c r="BH87" s="5"/>
      <c r="BI87" s="5"/>
      <c r="BJ87" s="5"/>
      <c r="BK87" s="5"/>
      <c r="BL87" s="5"/>
      <c r="BM87" s="5"/>
    </row>
    <row r="88" spans="1:65">
      <c r="A88" s="8"/>
      <c r="B88" s="5"/>
      <c r="C88" s="5"/>
      <c r="D88" s="5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5"/>
      <c r="AE88" s="5"/>
      <c r="AF88" s="5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5"/>
      <c r="BF88" s="5"/>
      <c r="BG88" s="5"/>
      <c r="BH88" s="5"/>
      <c r="BI88" s="5"/>
      <c r="BJ88" s="5"/>
      <c r="BK88" s="5"/>
      <c r="BL88" s="5"/>
      <c r="BM88" s="5"/>
    </row>
    <row r="89" spans="1:65">
      <c r="A89" s="8"/>
      <c r="B89" s="5"/>
      <c r="C89" s="5"/>
      <c r="D89" s="5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5"/>
      <c r="AE89" s="5"/>
      <c r="AF89" s="5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5"/>
      <c r="BF89" s="5"/>
      <c r="BG89" s="5"/>
      <c r="BH89" s="5"/>
      <c r="BI89" s="5"/>
      <c r="BJ89" s="5"/>
      <c r="BK89" s="5"/>
      <c r="BL89" s="5"/>
      <c r="BM89" s="5"/>
    </row>
    <row r="90" spans="1:65">
      <c r="A90" s="8"/>
      <c r="B90" s="5"/>
      <c r="C90" s="5"/>
      <c r="D90" s="5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5"/>
      <c r="AE90" s="5"/>
      <c r="AF90" s="5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5"/>
      <c r="BF90" s="5"/>
      <c r="BG90" s="5"/>
      <c r="BH90" s="5"/>
      <c r="BI90" s="5"/>
      <c r="BJ90" s="5"/>
      <c r="BK90" s="5"/>
      <c r="BL90" s="5"/>
      <c r="BM90" s="5"/>
    </row>
    <row r="91" spans="1:65">
      <c r="A91" s="8"/>
      <c r="B91" s="5"/>
      <c r="C91" s="5"/>
      <c r="D91" s="5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5"/>
      <c r="AE91" s="5"/>
      <c r="AF91" s="5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5"/>
      <c r="BF91" s="5"/>
      <c r="BG91" s="5"/>
      <c r="BH91" s="5"/>
      <c r="BI91" s="5"/>
      <c r="BJ91" s="5"/>
      <c r="BK91" s="5"/>
      <c r="BL91" s="5"/>
      <c r="BM91" s="5"/>
    </row>
    <row r="92" spans="1:65">
      <c r="A92" s="8"/>
      <c r="B92" s="5"/>
      <c r="C92" s="5"/>
      <c r="D92" s="5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5"/>
      <c r="AE92" s="5"/>
      <c r="AF92" s="5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5"/>
      <c r="BF92" s="5"/>
      <c r="BG92" s="5"/>
      <c r="BH92" s="5"/>
      <c r="BI92" s="5"/>
      <c r="BJ92" s="5"/>
      <c r="BK92" s="5"/>
      <c r="BL92" s="5"/>
      <c r="BM92" s="5"/>
    </row>
    <row r="93" spans="1:65">
      <c r="A93" s="8"/>
      <c r="B93" s="5"/>
      <c r="C93" s="5"/>
      <c r="D93" s="5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5"/>
      <c r="AE93" s="5"/>
      <c r="AF93" s="5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5"/>
      <c r="BF93" s="5"/>
      <c r="BG93" s="5"/>
      <c r="BH93" s="5"/>
      <c r="BI93" s="5"/>
      <c r="BJ93" s="5"/>
      <c r="BK93" s="5"/>
      <c r="BL93" s="5"/>
      <c r="BM93" s="5"/>
    </row>
    <row r="94" spans="1:65">
      <c r="A94" s="8"/>
      <c r="B94" s="5"/>
      <c r="C94" s="5"/>
      <c r="D94" s="5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5"/>
      <c r="AE94" s="5"/>
      <c r="AF94" s="5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5"/>
      <c r="BF94" s="5"/>
      <c r="BG94" s="5"/>
      <c r="BH94" s="5"/>
      <c r="BI94" s="5"/>
      <c r="BJ94" s="5"/>
      <c r="BK94" s="5"/>
      <c r="BL94" s="5"/>
      <c r="BM94" s="5"/>
    </row>
    <row r="95" spans="1:65">
      <c r="A95" s="8"/>
      <c r="B95" s="5"/>
      <c r="C95" s="5"/>
      <c r="D95" s="5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5"/>
      <c r="AE95" s="5"/>
      <c r="AF95" s="5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5"/>
      <c r="BF95" s="5"/>
      <c r="BG95" s="5"/>
      <c r="BH95" s="5"/>
      <c r="BI95" s="5"/>
      <c r="BJ95" s="5"/>
      <c r="BK95" s="5"/>
      <c r="BL95" s="5"/>
      <c r="BM95" s="5"/>
    </row>
    <row r="96" spans="1:65">
      <c r="A96" s="8"/>
      <c r="B96" s="5"/>
      <c r="C96" s="5"/>
      <c r="D96" s="5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5"/>
      <c r="AE96" s="5"/>
      <c r="AF96" s="5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5"/>
      <c r="BF96" s="5"/>
      <c r="BG96" s="5"/>
      <c r="BH96" s="5"/>
      <c r="BI96" s="5"/>
      <c r="BJ96" s="5"/>
      <c r="BK96" s="5"/>
      <c r="BL96" s="5"/>
      <c r="BM96" s="5"/>
    </row>
    <row r="97" spans="1:65">
      <c r="A97" s="8"/>
      <c r="B97" s="5"/>
      <c r="C97" s="5"/>
      <c r="D97" s="5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5"/>
      <c r="AE97" s="5"/>
      <c r="AF97" s="5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5"/>
      <c r="BF97" s="5"/>
      <c r="BG97" s="5"/>
      <c r="BH97" s="5"/>
      <c r="BI97" s="5"/>
      <c r="BJ97" s="5"/>
      <c r="BK97" s="5"/>
      <c r="BL97" s="5"/>
      <c r="BM97" s="5"/>
    </row>
    <row r="98" spans="1:65">
      <c r="A98" s="8"/>
      <c r="B98" s="5"/>
      <c r="C98" s="5"/>
      <c r="D98" s="5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5"/>
      <c r="AE98" s="5"/>
      <c r="AF98" s="5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5"/>
      <c r="BF98" s="5"/>
      <c r="BG98" s="5"/>
      <c r="BH98" s="5"/>
      <c r="BI98" s="5"/>
      <c r="BJ98" s="5"/>
      <c r="BK98" s="5"/>
      <c r="BL98" s="5"/>
      <c r="BM98" s="5"/>
    </row>
    <row r="99" spans="1:65">
      <c r="A99" s="8"/>
      <c r="B99" s="5"/>
      <c r="C99" s="5"/>
      <c r="D99" s="5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5"/>
      <c r="AE99" s="5"/>
      <c r="AF99" s="5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5"/>
      <c r="BF99" s="5"/>
      <c r="BG99" s="5"/>
      <c r="BH99" s="5"/>
      <c r="BI99" s="5"/>
      <c r="BJ99" s="5"/>
      <c r="BK99" s="5"/>
      <c r="BL99" s="5"/>
      <c r="BM99" s="5"/>
    </row>
    <row r="100" spans="1:65">
      <c r="A100" s="8"/>
      <c r="B100" s="5"/>
      <c r="C100" s="5"/>
      <c r="D100" s="5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5"/>
      <c r="AE100" s="5"/>
      <c r="AF100" s="5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5"/>
      <c r="BF100" s="5"/>
      <c r="BG100" s="5"/>
      <c r="BH100" s="5"/>
      <c r="BI100" s="5"/>
      <c r="BJ100" s="5"/>
      <c r="BK100" s="5"/>
      <c r="BL100" s="5"/>
      <c r="BM100" s="5"/>
    </row>
    <row r="101" spans="1:65">
      <c r="A101" s="8"/>
      <c r="B101" s="5"/>
      <c r="C101" s="5"/>
      <c r="D101" s="5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5"/>
      <c r="AE101" s="5"/>
      <c r="AF101" s="5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5"/>
      <c r="BF101" s="5"/>
      <c r="BG101" s="5"/>
      <c r="BH101" s="5"/>
      <c r="BI101" s="5"/>
      <c r="BJ101" s="5"/>
      <c r="BK101" s="5"/>
      <c r="BL101" s="5"/>
      <c r="BM101" s="5"/>
    </row>
    <row r="102" spans="1:65">
      <c r="A102" s="8"/>
      <c r="B102" s="5"/>
      <c r="C102" s="5"/>
      <c r="D102" s="5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5"/>
      <c r="AE102" s="5"/>
      <c r="AF102" s="5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5"/>
      <c r="BF102" s="5"/>
      <c r="BG102" s="5"/>
      <c r="BH102" s="5"/>
      <c r="BI102" s="5"/>
      <c r="BJ102" s="5"/>
      <c r="BK102" s="5"/>
      <c r="BL102" s="5"/>
      <c r="BM102" s="5"/>
    </row>
    <row r="103" spans="1:65">
      <c r="A103" s="8"/>
      <c r="B103" s="5"/>
      <c r="C103" s="5"/>
      <c r="D103" s="5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5"/>
      <c r="AE103" s="5"/>
      <c r="AF103" s="5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5"/>
      <c r="BF103" s="5"/>
      <c r="BG103" s="5"/>
      <c r="BH103" s="5"/>
      <c r="BI103" s="5"/>
      <c r="BJ103" s="5"/>
      <c r="BK103" s="5"/>
      <c r="BL103" s="5"/>
      <c r="BM103" s="5"/>
    </row>
    <row r="104" spans="1:65">
      <c r="A104" s="8"/>
      <c r="B104" s="5"/>
      <c r="C104" s="5"/>
      <c r="D104" s="5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5"/>
      <c r="AE104" s="5"/>
      <c r="AF104" s="5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5"/>
      <c r="BF104" s="5"/>
      <c r="BG104" s="5"/>
      <c r="BH104" s="5"/>
      <c r="BI104" s="5"/>
      <c r="BJ104" s="5"/>
      <c r="BK104" s="5"/>
      <c r="BL104" s="5"/>
      <c r="BM104" s="5"/>
    </row>
    <row r="105" spans="1:65">
      <c r="A105" s="8"/>
      <c r="B105" s="5"/>
      <c r="C105" s="5"/>
      <c r="D105" s="5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5"/>
      <c r="AE105" s="5"/>
      <c r="AF105" s="5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5"/>
      <c r="BF105" s="5"/>
      <c r="BG105" s="5"/>
      <c r="BH105" s="5"/>
      <c r="BI105" s="5"/>
      <c r="BJ105" s="5"/>
      <c r="BK105" s="5"/>
      <c r="BL105" s="5"/>
      <c r="BM105" s="5"/>
    </row>
    <row r="106" spans="1:65">
      <c r="A106" s="8"/>
      <c r="B106" s="5"/>
      <c r="C106" s="5"/>
      <c r="D106" s="5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5"/>
      <c r="AE106" s="5"/>
      <c r="AF106" s="5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5"/>
      <c r="BF106" s="5"/>
      <c r="BG106" s="5"/>
      <c r="BH106" s="5"/>
      <c r="BI106" s="5"/>
      <c r="BJ106" s="5"/>
      <c r="BK106" s="5"/>
      <c r="BL106" s="5"/>
      <c r="BM106" s="5"/>
    </row>
    <row r="107" spans="1:65">
      <c r="A107" s="8"/>
      <c r="B107" s="5"/>
      <c r="C107" s="5"/>
      <c r="D107" s="5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5"/>
      <c r="AE107" s="5"/>
      <c r="AF107" s="5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5"/>
      <c r="BF107" s="5"/>
      <c r="BG107" s="5"/>
      <c r="BH107" s="5"/>
      <c r="BI107" s="5"/>
      <c r="BJ107" s="5"/>
      <c r="BK107" s="5"/>
      <c r="BL107" s="5"/>
      <c r="BM107" s="5"/>
    </row>
    <row r="108" spans="1:65">
      <c r="A108" s="8"/>
      <c r="B108" s="5"/>
      <c r="C108" s="5"/>
      <c r="D108" s="5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5"/>
      <c r="AE108" s="5"/>
      <c r="AF108" s="5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5"/>
      <c r="BF108" s="5"/>
      <c r="BG108" s="5"/>
      <c r="BH108" s="5"/>
      <c r="BI108" s="5"/>
      <c r="BJ108" s="5"/>
      <c r="BK108" s="5"/>
      <c r="BL108" s="5"/>
      <c r="BM108" s="5"/>
    </row>
    <row r="109" spans="1:65">
      <c r="A109" s="8"/>
      <c r="B109" s="5"/>
      <c r="C109" s="5"/>
      <c r="D109" s="5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5"/>
      <c r="AE109" s="5"/>
      <c r="AF109" s="5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5"/>
      <c r="BF109" s="5"/>
      <c r="BG109" s="5"/>
      <c r="BH109" s="5"/>
      <c r="BI109" s="5"/>
      <c r="BJ109" s="5"/>
      <c r="BK109" s="5"/>
      <c r="BL109" s="5"/>
      <c r="BM109" s="5"/>
    </row>
    <row r="110" spans="1:65">
      <c r="A110" s="8"/>
      <c r="B110" s="5"/>
      <c r="C110" s="5"/>
      <c r="D110" s="5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5"/>
      <c r="AE110" s="5"/>
      <c r="AF110" s="5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5"/>
      <c r="BF110" s="5"/>
      <c r="BG110" s="5"/>
      <c r="BH110" s="5"/>
      <c r="BI110" s="5"/>
      <c r="BJ110" s="5"/>
      <c r="BK110" s="5"/>
      <c r="BL110" s="5"/>
      <c r="BM110" s="5"/>
    </row>
    <row r="111" spans="1:65">
      <c r="A111" s="8"/>
      <c r="B111" s="5"/>
      <c r="C111" s="5"/>
      <c r="D111" s="5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5"/>
      <c r="AE111" s="5"/>
      <c r="AF111" s="5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5"/>
      <c r="BF111" s="5"/>
      <c r="BG111" s="5"/>
      <c r="BH111" s="5"/>
      <c r="BI111" s="5"/>
      <c r="BJ111" s="5"/>
      <c r="BK111" s="5"/>
      <c r="BL111" s="5"/>
      <c r="BM111" s="5"/>
    </row>
    <row r="112" spans="1:65">
      <c r="A112" s="8"/>
      <c r="B112" s="5"/>
      <c r="C112" s="5"/>
      <c r="D112" s="5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5"/>
      <c r="AE112" s="5"/>
      <c r="AF112" s="5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5"/>
      <c r="BF112" s="5"/>
      <c r="BG112" s="5"/>
      <c r="BH112" s="5"/>
      <c r="BI112" s="5"/>
      <c r="BJ112" s="5"/>
      <c r="BK112" s="5"/>
      <c r="BL112" s="5"/>
      <c r="BM112" s="5"/>
    </row>
    <row r="113" spans="1:65">
      <c r="A113" s="8"/>
      <c r="B113" s="5"/>
      <c r="C113" s="5"/>
      <c r="D113" s="5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5"/>
      <c r="AE113" s="5"/>
      <c r="AF113" s="5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5"/>
      <c r="BF113" s="5"/>
      <c r="BG113" s="5"/>
      <c r="BH113" s="5"/>
      <c r="BI113" s="5"/>
      <c r="BJ113" s="5"/>
      <c r="BK113" s="5"/>
      <c r="BL113" s="5"/>
      <c r="BM113" s="5"/>
    </row>
    <row r="114" spans="1:65">
      <c r="A114" s="8"/>
      <c r="B114" s="5"/>
      <c r="C114" s="5"/>
      <c r="D114" s="5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5"/>
      <c r="AE114" s="5"/>
      <c r="AF114" s="5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5"/>
      <c r="BF114" s="5"/>
      <c r="BG114" s="5"/>
      <c r="BH114" s="5"/>
      <c r="BI114" s="5"/>
      <c r="BJ114" s="5"/>
      <c r="BK114" s="5"/>
      <c r="BL114" s="5"/>
      <c r="BM114" s="5"/>
    </row>
    <row r="115" spans="1:65">
      <c r="A115" s="8"/>
      <c r="B115" s="5"/>
      <c r="C115" s="5"/>
      <c r="D115" s="5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5"/>
      <c r="AE115" s="5"/>
      <c r="AF115" s="5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5"/>
      <c r="BF115" s="5"/>
      <c r="BG115" s="5"/>
      <c r="BH115" s="5"/>
      <c r="BI115" s="5"/>
      <c r="BJ115" s="5"/>
      <c r="BK115" s="5"/>
      <c r="BL115" s="5"/>
      <c r="BM115" s="5"/>
    </row>
    <row r="116" spans="1:65">
      <c r="A116" s="8"/>
      <c r="B116" s="5"/>
      <c r="C116" s="5"/>
      <c r="D116" s="5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5"/>
      <c r="AE116" s="5"/>
      <c r="AF116" s="5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5"/>
      <c r="BF116" s="5"/>
      <c r="BG116" s="5"/>
      <c r="BH116" s="5"/>
      <c r="BI116" s="5"/>
      <c r="BJ116" s="5"/>
      <c r="BK116" s="5"/>
      <c r="BL116" s="5"/>
      <c r="BM116" s="5"/>
    </row>
    <row r="117" spans="1:65">
      <c r="A117" s="8"/>
      <c r="B117" s="5"/>
      <c r="C117" s="5"/>
      <c r="D117" s="5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5"/>
      <c r="AE117" s="5"/>
      <c r="AF117" s="5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5"/>
      <c r="BF117" s="5"/>
      <c r="BG117" s="5"/>
      <c r="BH117" s="5"/>
      <c r="BI117" s="5"/>
      <c r="BJ117" s="5"/>
      <c r="BK117" s="5"/>
      <c r="BL117" s="5"/>
      <c r="BM117" s="5"/>
    </row>
    <row r="118" spans="1:65">
      <c r="A118" s="8"/>
      <c r="B118" s="5"/>
      <c r="C118" s="5"/>
      <c r="D118" s="5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5"/>
      <c r="AE118" s="5"/>
      <c r="AF118" s="5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5"/>
      <c r="BF118" s="5"/>
      <c r="BG118" s="5"/>
      <c r="BH118" s="5"/>
      <c r="BI118" s="5"/>
      <c r="BJ118" s="5"/>
      <c r="BK118" s="5"/>
      <c r="BL118" s="5"/>
      <c r="BM118" s="5"/>
    </row>
    <row r="119" spans="1:65">
      <c r="A119" s="8"/>
      <c r="B119" s="5"/>
      <c r="C119" s="5"/>
      <c r="D119" s="5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5"/>
      <c r="AE119" s="5"/>
      <c r="AF119" s="5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5"/>
      <c r="BF119" s="5"/>
      <c r="BG119" s="5"/>
      <c r="BH119" s="5"/>
      <c r="BI119" s="5"/>
      <c r="BJ119" s="5"/>
      <c r="BK119" s="5"/>
      <c r="BL119" s="5"/>
      <c r="BM119" s="5"/>
    </row>
    <row r="120" spans="1:65">
      <c r="A120" s="8"/>
      <c r="B120" s="5"/>
      <c r="C120" s="5"/>
      <c r="D120" s="5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5"/>
      <c r="AE120" s="5"/>
      <c r="AF120" s="5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5"/>
      <c r="BF120" s="5"/>
      <c r="BG120" s="5"/>
      <c r="BH120" s="5"/>
      <c r="BI120" s="5"/>
      <c r="BJ120" s="5"/>
      <c r="BK120" s="5"/>
      <c r="BL120" s="5"/>
      <c r="BM120" s="5"/>
    </row>
    <row r="121" spans="1:65">
      <c r="A121" s="8"/>
      <c r="B121" s="5"/>
      <c r="C121" s="5"/>
      <c r="D121" s="5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5"/>
      <c r="AE121" s="5"/>
      <c r="AF121" s="5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5"/>
      <c r="BF121" s="5"/>
      <c r="BG121" s="5"/>
      <c r="BH121" s="5"/>
      <c r="BI121" s="5"/>
      <c r="BJ121" s="5"/>
      <c r="BK121" s="5"/>
      <c r="BL121" s="5"/>
      <c r="BM121" s="5"/>
    </row>
    <row r="122" spans="1:65">
      <c r="A122" s="8"/>
      <c r="B122" s="5"/>
      <c r="C122" s="5"/>
      <c r="D122" s="5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5"/>
      <c r="AE122" s="5"/>
      <c r="AF122" s="5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5"/>
      <c r="BF122" s="5"/>
      <c r="BG122" s="5"/>
      <c r="BH122" s="5"/>
      <c r="BI122" s="5"/>
      <c r="BJ122" s="5"/>
      <c r="BK122" s="5"/>
      <c r="BL122" s="5"/>
      <c r="BM122" s="5"/>
    </row>
    <row r="123" spans="1:65">
      <c r="A123" s="8"/>
      <c r="B123" s="5"/>
      <c r="C123" s="5"/>
      <c r="D123" s="5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5"/>
      <c r="AE123" s="5"/>
      <c r="AF123" s="5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5"/>
      <c r="BF123" s="5"/>
      <c r="BG123" s="5"/>
      <c r="BH123" s="5"/>
      <c r="BI123" s="5"/>
      <c r="BJ123" s="5"/>
      <c r="BK123" s="5"/>
      <c r="BL123" s="5"/>
      <c r="BM123" s="5"/>
    </row>
    <row r="124" spans="1:65">
      <c r="A124" s="8"/>
      <c r="B124" s="5"/>
      <c r="C124" s="5"/>
      <c r="D124" s="5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5"/>
      <c r="AE124" s="5"/>
      <c r="AF124" s="5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5"/>
      <c r="BF124" s="5"/>
      <c r="BG124" s="5"/>
      <c r="BH124" s="5"/>
      <c r="BI124" s="5"/>
      <c r="BJ124" s="5"/>
      <c r="BK124" s="5"/>
      <c r="BL124" s="5"/>
      <c r="BM124" s="5"/>
    </row>
    <row r="125" spans="1:65">
      <c r="A125" s="8"/>
      <c r="B125" s="5"/>
      <c r="C125" s="5"/>
      <c r="D125" s="5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5"/>
      <c r="AE125" s="5"/>
      <c r="AF125" s="5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5"/>
      <c r="BF125" s="5"/>
      <c r="BG125" s="5"/>
      <c r="BH125" s="5"/>
      <c r="BI125" s="5"/>
      <c r="BJ125" s="5"/>
      <c r="BK125" s="5"/>
      <c r="BL125" s="5"/>
      <c r="BM125" s="5"/>
    </row>
    <row r="126" spans="1:65">
      <c r="A126" s="8"/>
      <c r="B126" s="5"/>
      <c r="C126" s="5"/>
      <c r="D126" s="5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5"/>
      <c r="AE126" s="5"/>
      <c r="AF126" s="5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5"/>
      <c r="BF126" s="5"/>
      <c r="BG126" s="5"/>
      <c r="BH126" s="5"/>
      <c r="BI126" s="5"/>
      <c r="BJ126" s="5"/>
      <c r="BK126" s="5"/>
      <c r="BL126" s="5"/>
      <c r="BM126" s="5"/>
    </row>
    <row r="127" spans="1:65">
      <c r="A127" s="8"/>
      <c r="B127" s="5"/>
      <c r="C127" s="5"/>
      <c r="D127" s="5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5"/>
      <c r="AE127" s="5"/>
      <c r="AF127" s="5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5"/>
      <c r="BF127" s="5"/>
      <c r="BG127" s="5"/>
      <c r="BH127" s="5"/>
      <c r="BI127" s="5"/>
      <c r="BJ127" s="5"/>
      <c r="BK127" s="5"/>
      <c r="BL127" s="5"/>
      <c r="BM127" s="5"/>
    </row>
    <row r="128" spans="1:65">
      <c r="A128" s="8"/>
      <c r="B128" s="5"/>
      <c r="C128" s="5"/>
      <c r="D128" s="5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5"/>
      <c r="AE128" s="5"/>
      <c r="AF128" s="5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5"/>
      <c r="BF128" s="5"/>
      <c r="BG128" s="5"/>
      <c r="BH128" s="5"/>
      <c r="BI128" s="5"/>
      <c r="BJ128" s="5"/>
      <c r="BK128" s="5"/>
      <c r="BL128" s="5"/>
      <c r="BM128" s="5"/>
    </row>
    <row r="129" spans="1:65">
      <c r="A129" s="8"/>
      <c r="B129" s="5"/>
      <c r="C129" s="5"/>
      <c r="D129" s="5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5"/>
      <c r="AE129" s="5"/>
      <c r="AF129" s="5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5"/>
      <c r="BF129" s="5"/>
      <c r="BG129" s="5"/>
      <c r="BH129" s="5"/>
      <c r="BI129" s="5"/>
      <c r="BJ129" s="5"/>
      <c r="BK129" s="5"/>
      <c r="BL129" s="5"/>
      <c r="BM129" s="5"/>
    </row>
    <row r="130" spans="1:65">
      <c r="A130" s="8"/>
      <c r="B130" s="5"/>
      <c r="C130" s="5"/>
      <c r="D130" s="5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5"/>
      <c r="AE130" s="5"/>
      <c r="AF130" s="5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5"/>
      <c r="BF130" s="5"/>
      <c r="BG130" s="5"/>
      <c r="BH130" s="5"/>
      <c r="BI130" s="5"/>
      <c r="BJ130" s="5"/>
      <c r="BK130" s="5"/>
      <c r="BL130" s="5"/>
      <c r="BM130" s="5"/>
    </row>
    <row r="131" spans="1:65">
      <c r="A131" s="8"/>
      <c r="B131" s="5"/>
      <c r="C131" s="5"/>
      <c r="D131" s="5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5"/>
      <c r="AE131" s="5"/>
      <c r="AF131" s="5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5"/>
      <c r="BF131" s="5"/>
      <c r="BG131" s="5"/>
      <c r="BH131" s="5"/>
      <c r="BI131" s="5"/>
      <c r="BJ131" s="5"/>
      <c r="BK131" s="5"/>
      <c r="BL131" s="5"/>
      <c r="BM131" s="5"/>
    </row>
    <row r="132" spans="1:65">
      <c r="A132" s="8"/>
      <c r="B132" s="5"/>
      <c r="C132" s="5"/>
      <c r="D132" s="5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5"/>
      <c r="AE132" s="5"/>
      <c r="AF132" s="5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5"/>
      <c r="BF132" s="5"/>
      <c r="BG132" s="5"/>
      <c r="BH132" s="5"/>
      <c r="BI132" s="5"/>
      <c r="BJ132" s="5"/>
      <c r="BK132" s="5"/>
      <c r="BL132" s="5"/>
      <c r="BM132" s="5"/>
    </row>
    <row r="133" spans="1:65">
      <c r="A133" s="8"/>
      <c r="B133" s="5"/>
      <c r="C133" s="5"/>
      <c r="D133" s="5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5"/>
      <c r="AE133" s="5"/>
      <c r="AF133" s="5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5"/>
      <c r="BF133" s="5"/>
      <c r="BG133" s="5"/>
      <c r="BH133" s="5"/>
      <c r="BI133" s="5"/>
      <c r="BJ133" s="5"/>
      <c r="BK133" s="5"/>
      <c r="BL133" s="5"/>
      <c r="BM133" s="5"/>
    </row>
    <row r="134" spans="1:65">
      <c r="A134" s="8"/>
      <c r="B134" s="5"/>
      <c r="C134" s="5"/>
      <c r="D134" s="5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5"/>
      <c r="AE134" s="5"/>
      <c r="AF134" s="5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5"/>
      <c r="BF134" s="5"/>
      <c r="BG134" s="5"/>
      <c r="BH134" s="5"/>
      <c r="BI134" s="5"/>
      <c r="BJ134" s="5"/>
      <c r="BK134" s="5"/>
      <c r="BL134" s="5"/>
      <c r="BM134" s="5"/>
    </row>
    <row r="135" spans="1:65">
      <c r="A135" s="8"/>
      <c r="B135" s="5"/>
      <c r="C135" s="5"/>
      <c r="D135" s="5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5"/>
      <c r="AE135" s="5"/>
      <c r="AF135" s="5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5"/>
      <c r="BF135" s="5"/>
      <c r="BG135" s="5"/>
      <c r="BH135" s="5"/>
      <c r="BI135" s="5"/>
      <c r="BJ135" s="5"/>
      <c r="BK135" s="5"/>
      <c r="BL135" s="5"/>
      <c r="BM135" s="5"/>
    </row>
    <row r="136" spans="1:65">
      <c r="A136" s="8"/>
      <c r="B136" s="5"/>
      <c r="C136" s="5"/>
      <c r="D136" s="5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5"/>
      <c r="AE136" s="5"/>
      <c r="AF136" s="5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5"/>
      <c r="BF136" s="5"/>
      <c r="BG136" s="5"/>
      <c r="BH136" s="5"/>
      <c r="BI136" s="5"/>
      <c r="BJ136" s="5"/>
      <c r="BK136" s="5"/>
      <c r="BL136" s="5"/>
      <c r="BM136" s="5"/>
    </row>
    <row r="137" spans="1:65">
      <c r="A137" s="8"/>
      <c r="B137" s="5"/>
      <c r="C137" s="5"/>
      <c r="D137" s="5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5"/>
      <c r="AE137" s="5"/>
      <c r="AF137" s="5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5"/>
      <c r="BF137" s="5"/>
      <c r="BG137" s="5"/>
      <c r="BH137" s="5"/>
      <c r="BI137" s="5"/>
      <c r="BJ137" s="5"/>
      <c r="BK137" s="5"/>
      <c r="BL137" s="5"/>
      <c r="BM137" s="5"/>
    </row>
    <row r="138" spans="1:65">
      <c r="A138" s="8"/>
      <c r="B138" s="5"/>
      <c r="C138" s="5"/>
      <c r="D138" s="5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5"/>
      <c r="AE138" s="5"/>
      <c r="AF138" s="5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5"/>
      <c r="BF138" s="5"/>
      <c r="BG138" s="5"/>
      <c r="BH138" s="5"/>
      <c r="BI138" s="5"/>
      <c r="BJ138" s="5"/>
      <c r="BK138" s="5"/>
      <c r="BL138" s="5"/>
      <c r="BM138" s="5"/>
    </row>
    <row r="139" spans="1:65">
      <c r="A139" s="8"/>
      <c r="B139" s="5"/>
      <c r="C139" s="5"/>
      <c r="D139" s="5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5"/>
      <c r="AE139" s="5"/>
      <c r="AF139" s="5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5"/>
      <c r="BF139" s="5"/>
      <c r="BG139" s="5"/>
      <c r="BH139" s="5"/>
      <c r="BI139" s="5"/>
      <c r="BJ139" s="5"/>
      <c r="BK139" s="5"/>
      <c r="BL139" s="5"/>
      <c r="BM139" s="5"/>
    </row>
    <row r="140" spans="1:65">
      <c r="A140" s="8"/>
      <c r="B140" s="5"/>
      <c r="C140" s="5"/>
      <c r="D140" s="5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5"/>
      <c r="AE140" s="5"/>
      <c r="AF140" s="5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5"/>
      <c r="BF140" s="5"/>
      <c r="BG140" s="5"/>
      <c r="BH140" s="5"/>
      <c r="BI140" s="5"/>
      <c r="BJ140" s="5"/>
      <c r="BK140" s="5"/>
      <c r="BL140" s="5"/>
      <c r="BM140" s="5"/>
    </row>
    <row r="141" spans="1:65">
      <c r="A141" s="8"/>
      <c r="B141" s="5"/>
      <c r="C141" s="5"/>
      <c r="D141" s="5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5"/>
      <c r="AE141" s="5"/>
      <c r="AF141" s="5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5"/>
      <c r="BF141" s="5"/>
      <c r="BG141" s="5"/>
      <c r="BH141" s="5"/>
      <c r="BI141" s="5"/>
      <c r="BJ141" s="5"/>
      <c r="BK141" s="5"/>
      <c r="BL141" s="5"/>
      <c r="BM141" s="5"/>
    </row>
    <row r="142" spans="1:65">
      <c r="A142" s="8"/>
      <c r="B142" s="5"/>
      <c r="C142" s="5"/>
      <c r="D142" s="5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5"/>
      <c r="AE142" s="5"/>
      <c r="AF142" s="5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5"/>
      <c r="BF142" s="5"/>
      <c r="BG142" s="5"/>
      <c r="BH142" s="5"/>
      <c r="BI142" s="5"/>
      <c r="BJ142" s="5"/>
      <c r="BK142" s="5"/>
      <c r="BL142" s="5"/>
      <c r="BM142" s="5"/>
    </row>
    <row r="143" spans="1:65">
      <c r="A143" s="8"/>
      <c r="B143" s="5"/>
      <c r="C143" s="5"/>
      <c r="D143" s="5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5"/>
      <c r="AE143" s="5"/>
      <c r="AF143" s="5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5"/>
      <c r="BF143" s="5"/>
      <c r="BG143" s="5"/>
      <c r="BH143" s="5"/>
      <c r="BI143" s="5"/>
      <c r="BJ143" s="5"/>
      <c r="BK143" s="5"/>
      <c r="BL143" s="5"/>
      <c r="BM143" s="5"/>
    </row>
    <row r="144" spans="1:65">
      <c r="A144" s="8"/>
      <c r="B144" s="5"/>
      <c r="C144" s="5"/>
      <c r="D144" s="5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5"/>
      <c r="AE144" s="5"/>
      <c r="AF144" s="5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5"/>
      <c r="BF144" s="5"/>
      <c r="BG144" s="5"/>
      <c r="BH144" s="5"/>
      <c r="BI144" s="5"/>
      <c r="BJ144" s="5"/>
      <c r="BK144" s="5"/>
      <c r="BL144" s="5"/>
      <c r="BM144" s="5"/>
    </row>
    <row r="145" spans="1:65">
      <c r="A145" s="8"/>
      <c r="B145" s="5"/>
      <c r="C145" s="5"/>
      <c r="D145" s="5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5"/>
      <c r="AE145" s="5"/>
      <c r="AF145" s="5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5"/>
      <c r="BF145" s="5"/>
      <c r="BG145" s="5"/>
      <c r="BH145" s="5"/>
      <c r="BI145" s="5"/>
      <c r="BJ145" s="5"/>
      <c r="BK145" s="5"/>
      <c r="BL145" s="5"/>
      <c r="BM145" s="5"/>
    </row>
    <row r="146" spans="1:65">
      <c r="A146" s="8"/>
      <c r="B146" s="5"/>
      <c r="C146" s="5"/>
      <c r="D146" s="5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5"/>
      <c r="AE146" s="5"/>
      <c r="AF146" s="5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5"/>
      <c r="BF146" s="5"/>
      <c r="BG146" s="5"/>
      <c r="BH146" s="5"/>
      <c r="BI146" s="5"/>
      <c r="BJ146" s="5"/>
      <c r="BK146" s="5"/>
      <c r="BL146" s="5"/>
      <c r="BM146" s="5"/>
    </row>
    <row r="147" spans="1:65">
      <c r="A147" s="8"/>
      <c r="B147" s="5"/>
      <c r="C147" s="5"/>
      <c r="D147" s="5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5"/>
      <c r="AE147" s="5"/>
      <c r="AF147" s="5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5"/>
      <c r="BF147" s="5"/>
      <c r="BG147" s="5"/>
      <c r="BH147" s="5"/>
      <c r="BI147" s="5"/>
      <c r="BJ147" s="5"/>
      <c r="BK147" s="5"/>
      <c r="BL147" s="5"/>
      <c r="BM147" s="5"/>
    </row>
    <row r="148" spans="1:65">
      <c r="A148" s="8"/>
      <c r="B148" s="5"/>
      <c r="C148" s="5"/>
      <c r="D148" s="5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5"/>
      <c r="AE148" s="5"/>
      <c r="AF148" s="5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5"/>
      <c r="BF148" s="5"/>
      <c r="BG148" s="5"/>
      <c r="BH148" s="5"/>
      <c r="BI148" s="5"/>
      <c r="BJ148" s="5"/>
      <c r="BK148" s="5"/>
      <c r="BL148" s="5"/>
      <c r="BM148" s="5"/>
    </row>
    <row r="149" spans="1:65">
      <c r="A149" s="8"/>
      <c r="B149" s="5"/>
      <c r="C149" s="5"/>
      <c r="D149" s="5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5"/>
      <c r="AE149" s="5"/>
      <c r="AF149" s="5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5"/>
      <c r="BF149" s="5"/>
      <c r="BG149" s="5"/>
      <c r="BH149" s="5"/>
      <c r="BI149" s="5"/>
      <c r="BJ149" s="5"/>
      <c r="BK149" s="5"/>
      <c r="BL149" s="5"/>
      <c r="BM149" s="5"/>
    </row>
    <row r="150" spans="1:65">
      <c r="A150" s="8"/>
      <c r="B150" s="5"/>
      <c r="C150" s="5"/>
      <c r="D150" s="5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5"/>
      <c r="AE150" s="5"/>
      <c r="AF150" s="5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5"/>
      <c r="BF150" s="5"/>
      <c r="BG150" s="5"/>
      <c r="BH150" s="5"/>
      <c r="BI150" s="5"/>
      <c r="BJ150" s="5"/>
      <c r="BK150" s="5"/>
      <c r="BL150" s="5"/>
      <c r="BM150" s="5"/>
    </row>
    <row r="151" spans="1:65">
      <c r="A151" s="8"/>
      <c r="B151" s="5"/>
      <c r="C151" s="5"/>
      <c r="D151" s="5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5"/>
      <c r="AE151" s="5"/>
      <c r="AF151" s="5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5"/>
      <c r="BF151" s="5"/>
      <c r="BG151" s="5"/>
      <c r="BH151" s="5"/>
      <c r="BI151" s="5"/>
      <c r="BJ151" s="5"/>
      <c r="BK151" s="5"/>
      <c r="BL151" s="5"/>
      <c r="BM151" s="5"/>
    </row>
    <row r="152" spans="1:65">
      <c r="A152" s="8"/>
      <c r="B152" s="5"/>
      <c r="C152" s="5"/>
      <c r="D152" s="5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5"/>
      <c r="AE152" s="5"/>
      <c r="AF152" s="5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5"/>
      <c r="BF152" s="5"/>
      <c r="BG152" s="5"/>
      <c r="BH152" s="5"/>
      <c r="BI152" s="5"/>
      <c r="BJ152" s="5"/>
      <c r="BK152" s="5"/>
      <c r="BL152" s="5"/>
      <c r="BM152" s="5"/>
    </row>
    <row r="153" spans="1:65">
      <c r="A153" s="8"/>
      <c r="B153" s="5"/>
      <c r="C153" s="5"/>
      <c r="D153" s="5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5"/>
      <c r="AE153" s="5"/>
      <c r="AF153" s="5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5"/>
      <c r="BF153" s="5"/>
      <c r="BG153" s="5"/>
      <c r="BH153" s="5"/>
      <c r="BI153" s="5"/>
      <c r="BJ153" s="5"/>
      <c r="BK153" s="5"/>
      <c r="BL153" s="5"/>
      <c r="BM153" s="5"/>
    </row>
    <row r="154" spans="1:65">
      <c r="A154" s="8"/>
      <c r="B154" s="5"/>
      <c r="C154" s="5"/>
      <c r="D154" s="5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5"/>
      <c r="AE154" s="5"/>
      <c r="AF154" s="5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5"/>
      <c r="BF154" s="5"/>
      <c r="BG154" s="5"/>
      <c r="BH154" s="5"/>
      <c r="BI154" s="5"/>
      <c r="BJ154" s="5"/>
      <c r="BK154" s="5"/>
      <c r="BL154" s="5"/>
      <c r="BM154" s="5"/>
    </row>
    <row r="155" spans="1:65">
      <c r="A155" s="8"/>
      <c r="B155" s="5"/>
      <c r="C155" s="5"/>
      <c r="D155" s="5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5"/>
      <c r="AE155" s="5"/>
      <c r="AF155" s="5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5"/>
      <c r="BF155" s="5"/>
      <c r="BG155" s="5"/>
      <c r="BH155" s="5"/>
      <c r="BI155" s="5"/>
      <c r="BJ155" s="5"/>
      <c r="BK155" s="5"/>
      <c r="BL155" s="5"/>
      <c r="BM155" s="5"/>
    </row>
    <row r="156" spans="1:65">
      <c r="A156" s="8"/>
      <c r="B156" s="5"/>
      <c r="C156" s="5"/>
      <c r="D156" s="5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5"/>
      <c r="AE156" s="5"/>
      <c r="AF156" s="5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5"/>
      <c r="BF156" s="5"/>
      <c r="BG156" s="5"/>
      <c r="BH156" s="5"/>
      <c r="BI156" s="5"/>
      <c r="BJ156" s="5"/>
      <c r="BK156" s="5"/>
      <c r="BL156" s="5"/>
      <c r="BM156" s="5"/>
    </row>
    <row r="157" spans="1:65">
      <c r="A157" s="8"/>
      <c r="B157" s="5"/>
      <c r="C157" s="5"/>
      <c r="D157" s="5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5"/>
      <c r="AE157" s="5"/>
      <c r="AF157" s="5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5"/>
      <c r="BF157" s="5"/>
      <c r="BG157" s="5"/>
      <c r="BH157" s="5"/>
      <c r="BI157" s="5"/>
      <c r="BJ157" s="5"/>
      <c r="BK157" s="5"/>
      <c r="BL157" s="5"/>
      <c r="BM157" s="5"/>
    </row>
    <row r="158" spans="1:65">
      <c r="A158" s="8"/>
      <c r="B158" s="5"/>
      <c r="C158" s="5"/>
      <c r="D158" s="5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5"/>
      <c r="AE158" s="5"/>
      <c r="AF158" s="5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5"/>
      <c r="BF158" s="5"/>
      <c r="BG158" s="5"/>
      <c r="BH158" s="5"/>
      <c r="BI158" s="5"/>
      <c r="BJ158" s="5"/>
      <c r="BK158" s="5"/>
      <c r="BL158" s="5"/>
      <c r="BM158" s="5"/>
    </row>
    <row r="159" spans="1:65">
      <c r="A159" s="8"/>
      <c r="B159" s="5"/>
      <c r="C159" s="5"/>
      <c r="D159" s="5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5"/>
      <c r="AE159" s="5"/>
      <c r="AF159" s="5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5"/>
      <c r="BF159" s="5"/>
      <c r="BG159" s="5"/>
      <c r="BH159" s="5"/>
      <c r="BI159" s="5"/>
      <c r="BJ159" s="5"/>
      <c r="BK159" s="5"/>
      <c r="BL159" s="5"/>
      <c r="BM159" s="5"/>
    </row>
    <row r="160" spans="1:65">
      <c r="A160" s="8"/>
      <c r="B160" s="5"/>
      <c r="C160" s="5"/>
      <c r="D160" s="5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5"/>
      <c r="AE160" s="5"/>
      <c r="AF160" s="5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5"/>
      <c r="BF160" s="5"/>
      <c r="BG160" s="5"/>
      <c r="BH160" s="5"/>
      <c r="BI160" s="5"/>
      <c r="BJ160" s="5"/>
      <c r="BK160" s="5"/>
      <c r="BL160" s="5"/>
      <c r="BM160" s="5"/>
    </row>
    <row r="161" spans="1:65">
      <c r="A161" s="8"/>
      <c r="B161" s="5"/>
      <c r="C161" s="5"/>
      <c r="D161" s="5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5"/>
      <c r="AE161" s="5"/>
      <c r="AF161" s="5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5"/>
      <c r="BF161" s="5"/>
      <c r="BG161" s="5"/>
      <c r="BH161" s="5"/>
      <c r="BI161" s="5"/>
      <c r="BJ161" s="5"/>
      <c r="BK161" s="5"/>
      <c r="BL161" s="5"/>
      <c r="BM161" s="5"/>
    </row>
    <row r="162" spans="1:65">
      <c r="A162" s="8"/>
      <c r="B162" s="5"/>
      <c r="C162" s="5"/>
      <c r="D162" s="5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5"/>
      <c r="AE162" s="5"/>
      <c r="AF162" s="5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5"/>
      <c r="BF162" s="5"/>
      <c r="BG162" s="5"/>
      <c r="BH162" s="5"/>
      <c r="BI162" s="5"/>
      <c r="BJ162" s="5"/>
      <c r="BK162" s="5"/>
      <c r="BL162" s="5"/>
      <c r="BM162" s="5"/>
    </row>
    <row r="163" spans="1:65">
      <c r="A163" s="8"/>
      <c r="B163" s="5"/>
      <c r="C163" s="5"/>
      <c r="D163" s="5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5"/>
      <c r="AE163" s="5"/>
      <c r="AF163" s="5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5"/>
      <c r="BF163" s="5"/>
      <c r="BG163" s="5"/>
      <c r="BH163" s="5"/>
      <c r="BI163" s="5"/>
      <c r="BJ163" s="5"/>
      <c r="BK163" s="5"/>
      <c r="BL163" s="5"/>
      <c r="BM163" s="5"/>
    </row>
    <row r="164" spans="1:65">
      <c r="A164" s="8"/>
      <c r="B164" s="5"/>
      <c r="C164" s="5"/>
      <c r="D164" s="5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5"/>
      <c r="AE164" s="5"/>
      <c r="AF164" s="5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5"/>
      <c r="BF164" s="5"/>
      <c r="BG164" s="5"/>
      <c r="BH164" s="5"/>
      <c r="BI164" s="5"/>
      <c r="BJ164" s="5"/>
      <c r="BK164" s="5"/>
      <c r="BL164" s="5"/>
      <c r="BM164" s="5"/>
    </row>
    <row r="165" spans="1:65">
      <c r="A165" s="8"/>
      <c r="B165" s="5"/>
      <c r="C165" s="5"/>
      <c r="D165" s="5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5"/>
      <c r="AE165" s="5"/>
      <c r="AF165" s="5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5"/>
      <c r="BF165" s="5"/>
      <c r="BG165" s="5"/>
      <c r="BH165" s="5"/>
      <c r="BI165" s="5"/>
      <c r="BJ165" s="5"/>
      <c r="BK165" s="5"/>
      <c r="BL165" s="5"/>
      <c r="BM165" s="5"/>
    </row>
    <row r="166" spans="1:65">
      <c r="A166" s="8"/>
      <c r="B166" s="5"/>
      <c r="C166" s="5"/>
      <c r="D166" s="5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5"/>
      <c r="AE166" s="5"/>
      <c r="AF166" s="5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5"/>
      <c r="BF166" s="5"/>
      <c r="BG166" s="5"/>
      <c r="BH166" s="5"/>
      <c r="BI166" s="5"/>
      <c r="BJ166" s="5"/>
      <c r="BK166" s="5"/>
      <c r="BL166" s="5"/>
      <c r="BM166" s="5"/>
    </row>
    <row r="167" spans="1:65">
      <c r="A167" s="8"/>
      <c r="B167" s="5"/>
      <c r="C167" s="5"/>
      <c r="D167" s="5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5"/>
      <c r="AE167" s="5"/>
      <c r="AF167" s="5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5"/>
      <c r="BF167" s="5"/>
      <c r="BG167" s="5"/>
      <c r="BH167" s="5"/>
      <c r="BI167" s="5"/>
      <c r="BJ167" s="5"/>
      <c r="BK167" s="5"/>
      <c r="BL167" s="5"/>
      <c r="BM167" s="5"/>
    </row>
    <row r="168" spans="1:65">
      <c r="A168" s="8"/>
      <c r="B168" s="5"/>
      <c r="C168" s="5"/>
      <c r="D168" s="5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5"/>
      <c r="AE168" s="5"/>
      <c r="AF168" s="5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5"/>
      <c r="BF168" s="5"/>
      <c r="BG168" s="5"/>
      <c r="BH168" s="5"/>
      <c r="BI168" s="5"/>
      <c r="BJ168" s="5"/>
      <c r="BK168" s="5"/>
      <c r="BL168" s="5"/>
      <c r="BM168" s="5"/>
    </row>
    <row r="169" spans="1:65">
      <c r="A169" s="8"/>
      <c r="B169" s="5"/>
      <c r="C169" s="5"/>
      <c r="D169" s="5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5"/>
      <c r="AE169" s="5"/>
      <c r="AF169" s="5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5"/>
      <c r="BF169" s="5"/>
      <c r="BG169" s="5"/>
      <c r="BH169" s="5"/>
      <c r="BI169" s="5"/>
      <c r="BJ169" s="5"/>
      <c r="BK169" s="5"/>
      <c r="BL169" s="5"/>
      <c r="BM169" s="5"/>
    </row>
    <row r="170" spans="1:65">
      <c r="A170" s="8"/>
      <c r="B170" s="5"/>
      <c r="C170" s="5"/>
      <c r="D170" s="5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5"/>
      <c r="AE170" s="5"/>
      <c r="AF170" s="5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5"/>
      <c r="BF170" s="5"/>
      <c r="BG170" s="5"/>
      <c r="BH170" s="5"/>
      <c r="BI170" s="5"/>
      <c r="BJ170" s="5"/>
      <c r="BK170" s="5"/>
      <c r="BL170" s="5"/>
      <c r="BM170" s="5"/>
    </row>
    <row r="171" spans="1:65">
      <c r="A171" s="8"/>
      <c r="B171" s="5"/>
      <c r="C171" s="5"/>
      <c r="D171" s="5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5"/>
      <c r="AE171" s="5"/>
      <c r="AF171" s="5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5"/>
      <c r="BF171" s="5"/>
      <c r="BG171" s="5"/>
      <c r="BH171" s="5"/>
      <c r="BI171" s="5"/>
      <c r="BJ171" s="5"/>
      <c r="BK171" s="5"/>
      <c r="BL171" s="5"/>
      <c r="BM171" s="5"/>
    </row>
    <row r="172" spans="1:65">
      <c r="A172" s="8"/>
      <c r="B172" s="5"/>
      <c r="C172" s="5"/>
      <c r="D172" s="5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5"/>
      <c r="AE172" s="5"/>
      <c r="AF172" s="5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5"/>
      <c r="BF172" s="5"/>
      <c r="BG172" s="5"/>
      <c r="BH172" s="5"/>
      <c r="BI172" s="5"/>
      <c r="BJ172" s="5"/>
      <c r="BK172" s="5"/>
      <c r="BL172" s="5"/>
      <c r="BM172" s="5"/>
    </row>
    <row r="173" spans="1:65">
      <c r="A173" s="8"/>
      <c r="B173" s="5"/>
      <c r="C173" s="5"/>
      <c r="D173" s="5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5"/>
      <c r="AE173" s="5"/>
      <c r="AF173" s="5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5"/>
      <c r="BF173" s="5"/>
      <c r="BG173" s="5"/>
      <c r="BH173" s="5"/>
      <c r="BI173" s="5"/>
      <c r="BJ173" s="5"/>
      <c r="BK173" s="5"/>
      <c r="BL173" s="5"/>
      <c r="BM173" s="5"/>
    </row>
    <row r="174" spans="1:65">
      <c r="A174" s="8"/>
      <c r="B174" s="5"/>
      <c r="C174" s="5"/>
      <c r="D174" s="5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5"/>
      <c r="AE174" s="5"/>
      <c r="AF174" s="5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5"/>
      <c r="BF174" s="5"/>
      <c r="BG174" s="5"/>
      <c r="BH174" s="5"/>
      <c r="BI174" s="5"/>
      <c r="BJ174" s="5"/>
      <c r="BK174" s="5"/>
      <c r="BL174" s="5"/>
      <c r="BM174" s="5"/>
    </row>
    <row r="175" spans="1:65">
      <c r="A175" s="8"/>
      <c r="B175" s="5"/>
      <c r="C175" s="5"/>
      <c r="D175" s="5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5"/>
      <c r="AE175" s="5"/>
      <c r="AF175" s="5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5"/>
      <c r="BF175" s="5"/>
      <c r="BG175" s="5"/>
      <c r="BH175" s="5"/>
      <c r="BI175" s="5"/>
      <c r="BJ175" s="5"/>
      <c r="BK175" s="5"/>
      <c r="BL175" s="5"/>
      <c r="BM175" s="5"/>
    </row>
    <row r="176" spans="1:65">
      <c r="A176" s="8"/>
      <c r="B176" s="5"/>
      <c r="C176" s="5"/>
      <c r="D176" s="5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5"/>
      <c r="AE176" s="5"/>
      <c r="AF176" s="5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5"/>
      <c r="BF176" s="5"/>
      <c r="BG176" s="5"/>
      <c r="BH176" s="5"/>
      <c r="BI176" s="5"/>
      <c r="BJ176" s="5"/>
      <c r="BK176" s="5"/>
      <c r="BL176" s="5"/>
      <c r="BM176" s="5"/>
    </row>
    <row r="177" spans="1:65">
      <c r="A177" s="8"/>
      <c r="B177" s="5"/>
      <c r="C177" s="5"/>
      <c r="D177" s="5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5"/>
      <c r="AE177" s="5"/>
      <c r="AF177" s="5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5"/>
      <c r="BF177" s="5"/>
      <c r="BG177" s="5"/>
      <c r="BH177" s="5"/>
      <c r="BI177" s="5"/>
      <c r="BJ177" s="5"/>
      <c r="BK177" s="5"/>
      <c r="BL177" s="5"/>
      <c r="BM177" s="5"/>
    </row>
    <row r="178" spans="1:65">
      <c r="A178" s="8"/>
      <c r="B178" s="5"/>
      <c r="C178" s="5"/>
      <c r="D178" s="5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5"/>
      <c r="AE178" s="5"/>
      <c r="AF178" s="5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5"/>
      <c r="BF178" s="5"/>
      <c r="BG178" s="5"/>
      <c r="BH178" s="5"/>
      <c r="BI178" s="5"/>
      <c r="BJ178" s="5"/>
      <c r="BK178" s="5"/>
      <c r="BL178" s="5"/>
      <c r="BM178" s="5"/>
    </row>
    <row r="179" spans="1:65">
      <c r="A179" s="8"/>
      <c r="B179" s="5"/>
      <c r="C179" s="5"/>
      <c r="D179" s="5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5"/>
      <c r="AE179" s="5"/>
      <c r="AF179" s="5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5"/>
      <c r="BF179" s="5"/>
      <c r="BG179" s="5"/>
      <c r="BH179" s="5"/>
      <c r="BI179" s="5"/>
      <c r="BJ179" s="5"/>
      <c r="BK179" s="5"/>
      <c r="BL179" s="5"/>
      <c r="BM179" s="5"/>
    </row>
    <row r="180" spans="1:65">
      <c r="A180" s="8"/>
      <c r="B180" s="5"/>
      <c r="C180" s="5"/>
      <c r="D180" s="5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5"/>
      <c r="AE180" s="5"/>
      <c r="AF180" s="5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5"/>
      <c r="BF180" s="5"/>
      <c r="BG180" s="5"/>
      <c r="BH180" s="5"/>
      <c r="BI180" s="5"/>
      <c r="BJ180" s="5"/>
      <c r="BK180" s="5"/>
      <c r="BL180" s="5"/>
      <c r="BM180" s="5"/>
    </row>
    <row r="181" spans="1:65">
      <c r="A181" s="8"/>
      <c r="B181" s="5"/>
      <c r="C181" s="5"/>
      <c r="D181" s="5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5"/>
      <c r="AE181" s="5"/>
      <c r="AF181" s="5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5"/>
      <c r="BF181" s="5"/>
      <c r="BG181" s="5"/>
      <c r="BH181" s="5"/>
      <c r="BI181" s="5"/>
      <c r="BJ181" s="5"/>
      <c r="BK181" s="5"/>
      <c r="BL181" s="5"/>
      <c r="BM181" s="5"/>
    </row>
    <row r="182" spans="1:65">
      <c r="A182" s="8"/>
      <c r="B182" s="5"/>
      <c r="C182" s="5"/>
      <c r="D182" s="5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5"/>
      <c r="AE182" s="5"/>
      <c r="AF182" s="5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5"/>
      <c r="BF182" s="5"/>
      <c r="BG182" s="5"/>
      <c r="BH182" s="5"/>
      <c r="BI182" s="5"/>
      <c r="BJ182" s="5"/>
      <c r="BK182" s="5"/>
      <c r="BL182" s="5"/>
      <c r="BM182" s="5"/>
    </row>
    <row r="183" spans="1:65">
      <c r="A183" s="8"/>
      <c r="B183" s="5"/>
      <c r="C183" s="5"/>
      <c r="D183" s="5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5"/>
      <c r="AE183" s="5"/>
      <c r="AF183" s="5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5"/>
      <c r="BF183" s="5"/>
      <c r="BG183" s="5"/>
      <c r="BH183" s="5"/>
      <c r="BI183" s="5"/>
      <c r="BJ183" s="5"/>
      <c r="BK183" s="5"/>
      <c r="BL183" s="5"/>
      <c r="BM183" s="5"/>
    </row>
    <row r="184" spans="1:65">
      <c r="A184" s="8"/>
      <c r="B184" s="5"/>
      <c r="C184" s="5"/>
      <c r="D184" s="5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5"/>
      <c r="AE184" s="5"/>
      <c r="AF184" s="5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5"/>
      <c r="BF184" s="5"/>
      <c r="BG184" s="5"/>
      <c r="BH184" s="5"/>
      <c r="BI184" s="5"/>
      <c r="BJ184" s="5"/>
      <c r="BK184" s="5"/>
      <c r="BL184" s="5"/>
      <c r="BM184" s="5"/>
    </row>
    <row r="185" spans="1:65">
      <c r="A185" s="8"/>
      <c r="B185" s="5"/>
      <c r="C185" s="5"/>
      <c r="D185" s="5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5"/>
      <c r="AE185" s="5"/>
      <c r="AF185" s="5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5"/>
      <c r="BF185" s="5"/>
      <c r="BG185" s="5"/>
      <c r="BH185" s="5"/>
      <c r="BI185" s="5"/>
      <c r="BJ185" s="5"/>
      <c r="BK185" s="5"/>
      <c r="BL185" s="5"/>
      <c r="BM185" s="5"/>
    </row>
    <row r="186" spans="1:65">
      <c r="A186" s="8"/>
      <c r="B186" s="5"/>
      <c r="C186" s="5"/>
      <c r="D186" s="5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5"/>
      <c r="AE186" s="5"/>
      <c r="AF186" s="5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5"/>
      <c r="BF186" s="5"/>
      <c r="BG186" s="5"/>
      <c r="BH186" s="5"/>
      <c r="BI186" s="5"/>
      <c r="BJ186" s="5"/>
      <c r="BK186" s="5"/>
      <c r="BL186" s="5"/>
      <c r="BM186" s="5"/>
    </row>
    <row r="187" spans="1:65">
      <c r="A187" s="8"/>
      <c r="B187" s="5"/>
      <c r="C187" s="5"/>
      <c r="D187" s="5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5"/>
      <c r="AE187" s="5"/>
      <c r="AF187" s="5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5"/>
      <c r="BF187" s="5"/>
      <c r="BG187" s="5"/>
      <c r="BH187" s="5"/>
      <c r="BI187" s="5"/>
      <c r="BJ187" s="5"/>
      <c r="BK187" s="5"/>
      <c r="BL187" s="5"/>
      <c r="BM187" s="5"/>
    </row>
    <row r="188" spans="1:65">
      <c r="A188" s="8"/>
      <c r="B188" s="5"/>
      <c r="C188" s="5"/>
      <c r="D188" s="5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5"/>
      <c r="AE188" s="5"/>
      <c r="AF188" s="5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5"/>
      <c r="BF188" s="5"/>
      <c r="BG188" s="5"/>
      <c r="BH188" s="5"/>
      <c r="BI188" s="5"/>
      <c r="BJ188" s="5"/>
      <c r="BK188" s="5"/>
      <c r="BL188" s="5"/>
      <c r="BM188" s="5"/>
    </row>
    <row r="189" spans="1:65">
      <c r="A189" s="8"/>
      <c r="B189" s="5"/>
      <c r="C189" s="5"/>
      <c r="D189" s="5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5"/>
      <c r="AE189" s="5"/>
      <c r="AF189" s="5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5"/>
      <c r="BF189" s="5"/>
      <c r="BG189" s="5"/>
      <c r="BH189" s="5"/>
      <c r="BI189" s="5"/>
      <c r="BJ189" s="5"/>
      <c r="BK189" s="5"/>
      <c r="BL189" s="5"/>
      <c r="BM189" s="5"/>
    </row>
    <row r="190" spans="1:65">
      <c r="A190" s="8"/>
      <c r="B190" s="5"/>
      <c r="C190" s="5"/>
      <c r="D190" s="5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5"/>
      <c r="AE190" s="5"/>
      <c r="AF190" s="5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5"/>
      <c r="BF190" s="5"/>
      <c r="BG190" s="5"/>
      <c r="BH190" s="5"/>
      <c r="BI190" s="5"/>
      <c r="BJ190" s="5"/>
      <c r="BK190" s="5"/>
      <c r="BL190" s="5"/>
      <c r="BM190" s="5"/>
    </row>
    <row r="191" spans="1:65">
      <c r="A191" s="8"/>
      <c r="B191" s="5"/>
      <c r="C191" s="5"/>
      <c r="D191" s="5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5"/>
      <c r="AE191" s="5"/>
      <c r="AF191" s="5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5"/>
      <c r="BF191" s="5"/>
      <c r="BG191" s="5"/>
      <c r="BH191" s="5"/>
      <c r="BI191" s="5"/>
      <c r="BJ191" s="5"/>
      <c r="BK191" s="5"/>
      <c r="BL191" s="5"/>
      <c r="BM191" s="5"/>
    </row>
    <row r="192" spans="1:65">
      <c r="A192" s="8"/>
      <c r="B192" s="5"/>
      <c r="C192" s="5"/>
      <c r="D192" s="5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5"/>
      <c r="AE192" s="5"/>
      <c r="AF192" s="5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5"/>
      <c r="BF192" s="5"/>
      <c r="BG192" s="5"/>
      <c r="BH192" s="5"/>
      <c r="BI192" s="5"/>
      <c r="BJ192" s="5"/>
      <c r="BK192" s="5"/>
      <c r="BL192" s="5"/>
      <c r="BM192" s="5"/>
    </row>
    <row r="193" spans="1:65">
      <c r="A193" s="8"/>
      <c r="B193" s="5"/>
      <c r="C193" s="5"/>
      <c r="D193" s="5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5"/>
      <c r="AE193" s="5"/>
      <c r="AF193" s="5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5"/>
      <c r="BF193" s="5"/>
      <c r="BG193" s="5"/>
      <c r="BH193" s="5"/>
      <c r="BI193" s="5"/>
      <c r="BJ193" s="5"/>
      <c r="BK193" s="5"/>
      <c r="BL193" s="5"/>
      <c r="BM193" s="5"/>
    </row>
    <row r="194" spans="1:65">
      <c r="A194" s="8"/>
      <c r="B194" s="5"/>
      <c r="C194" s="5"/>
      <c r="D194" s="5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5"/>
      <c r="AE194" s="5"/>
      <c r="AF194" s="5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5"/>
      <c r="BF194" s="5"/>
      <c r="BG194" s="5"/>
      <c r="BH194" s="5"/>
      <c r="BI194" s="5"/>
      <c r="BJ194" s="5"/>
      <c r="BK194" s="5"/>
      <c r="BL194" s="5"/>
      <c r="BM194" s="5"/>
    </row>
    <row r="195" spans="1:65">
      <c r="A195" s="8"/>
      <c r="B195" s="5"/>
      <c r="C195" s="5"/>
      <c r="D195" s="5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5"/>
      <c r="AE195" s="5"/>
      <c r="AF195" s="5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5"/>
      <c r="BF195" s="5"/>
      <c r="BG195" s="5"/>
      <c r="BH195" s="5"/>
      <c r="BI195" s="5"/>
      <c r="BJ195" s="5"/>
      <c r="BK195" s="5"/>
      <c r="BL195" s="5"/>
      <c r="BM195" s="5"/>
    </row>
    <row r="196" spans="1:65">
      <c r="A196" s="8"/>
      <c r="B196" s="5"/>
      <c r="C196" s="5"/>
      <c r="D196" s="5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5"/>
      <c r="AE196" s="5"/>
      <c r="AF196" s="5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5"/>
      <c r="BF196" s="5"/>
      <c r="BG196" s="5"/>
      <c r="BH196" s="5"/>
      <c r="BI196" s="5"/>
      <c r="BJ196" s="5"/>
      <c r="BK196" s="5"/>
      <c r="BL196" s="5"/>
      <c r="BM196" s="5"/>
    </row>
    <row r="197" spans="1:65">
      <c r="A197" s="8"/>
      <c r="B197" s="5"/>
      <c r="C197" s="5"/>
      <c r="D197" s="5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5"/>
      <c r="AE197" s="5"/>
      <c r="AF197" s="5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5"/>
      <c r="BF197" s="5"/>
      <c r="BG197" s="5"/>
      <c r="BH197" s="5"/>
      <c r="BI197" s="5"/>
      <c r="BJ197" s="5"/>
      <c r="BK197" s="5"/>
      <c r="BL197" s="5"/>
      <c r="BM197" s="5"/>
    </row>
    <row r="198" spans="1:65">
      <c r="A198" s="8"/>
      <c r="B198" s="5"/>
      <c r="C198" s="5"/>
      <c r="D198" s="5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5"/>
      <c r="AE198" s="5"/>
      <c r="AF198" s="5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5"/>
      <c r="BF198" s="5"/>
      <c r="BG198" s="5"/>
      <c r="BH198" s="5"/>
      <c r="BI198" s="5"/>
      <c r="BJ198" s="5"/>
      <c r="BK198" s="5"/>
      <c r="BL198" s="5"/>
      <c r="BM198" s="5"/>
    </row>
    <row r="199" spans="1:65">
      <c r="A199" s="8"/>
      <c r="B199" s="5"/>
      <c r="C199" s="5"/>
      <c r="D199" s="5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5"/>
      <c r="AE199" s="5"/>
      <c r="AF199" s="5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5"/>
      <c r="BF199" s="5"/>
      <c r="BG199" s="5"/>
      <c r="BH199" s="5"/>
      <c r="BI199" s="5"/>
      <c r="BJ199" s="5"/>
      <c r="BK199" s="5"/>
      <c r="BL199" s="5"/>
      <c r="BM199" s="5"/>
    </row>
    <row r="200" spans="1:65">
      <c r="A200" s="8"/>
      <c r="B200" s="5"/>
      <c r="C200" s="5"/>
      <c r="D200" s="5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5"/>
      <c r="AE200" s="5"/>
      <c r="AF200" s="5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5"/>
      <c r="BF200" s="5"/>
      <c r="BG200" s="5"/>
      <c r="BH200" s="5"/>
      <c r="BI200" s="5"/>
      <c r="BJ200" s="5"/>
      <c r="BK200" s="5"/>
      <c r="BL200" s="5"/>
      <c r="BM200" s="5"/>
    </row>
    <row r="201" spans="1:65">
      <c r="A201" s="8"/>
      <c r="B201" s="5"/>
      <c r="C201" s="5"/>
      <c r="D201" s="5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5"/>
      <c r="AE201" s="5"/>
      <c r="AF201" s="5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5"/>
      <c r="BF201" s="5"/>
      <c r="BG201" s="5"/>
      <c r="BH201" s="5"/>
      <c r="BI201" s="5"/>
      <c r="BJ201" s="5"/>
      <c r="BK201" s="5"/>
      <c r="BL201" s="5"/>
      <c r="BM201" s="5"/>
    </row>
    <row r="202" spans="1:65">
      <c r="A202" s="8"/>
      <c r="B202" s="5"/>
      <c r="C202" s="5"/>
      <c r="D202" s="5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5"/>
      <c r="AE202" s="5"/>
      <c r="AF202" s="5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5"/>
      <c r="BF202" s="5"/>
      <c r="BG202" s="5"/>
      <c r="BH202" s="5"/>
      <c r="BI202" s="5"/>
      <c r="BJ202" s="5"/>
      <c r="BK202" s="5"/>
      <c r="BL202" s="5"/>
      <c r="BM202" s="5"/>
    </row>
    <row r="203" spans="1:65">
      <c r="A203" s="8"/>
      <c r="B203" s="5"/>
      <c r="C203" s="5"/>
      <c r="D203" s="5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5"/>
      <c r="AE203" s="5"/>
      <c r="AF203" s="5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5"/>
      <c r="BF203" s="5"/>
      <c r="BG203" s="5"/>
      <c r="BH203" s="5"/>
      <c r="BI203" s="5"/>
      <c r="BJ203" s="5"/>
      <c r="BK203" s="5"/>
      <c r="BL203" s="5"/>
      <c r="BM203" s="5"/>
    </row>
    <row r="204" spans="1:65">
      <c r="A204" s="8"/>
      <c r="B204" s="5"/>
      <c r="C204" s="5"/>
      <c r="D204" s="5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5"/>
      <c r="AE204" s="5"/>
      <c r="AF204" s="5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5"/>
      <c r="BF204" s="5"/>
      <c r="BG204" s="5"/>
      <c r="BH204" s="5"/>
      <c r="BI204" s="5"/>
      <c r="BJ204" s="5"/>
      <c r="BK204" s="5"/>
      <c r="BL204" s="5"/>
      <c r="BM204" s="5"/>
    </row>
    <row r="205" spans="1:65">
      <c r="A205" s="8"/>
      <c r="B205" s="5"/>
      <c r="C205" s="5"/>
      <c r="D205" s="5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5"/>
      <c r="AE205" s="5"/>
      <c r="AF205" s="5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5"/>
      <c r="BF205" s="5"/>
      <c r="BG205" s="5"/>
      <c r="BH205" s="5"/>
      <c r="BI205" s="5"/>
      <c r="BJ205" s="5"/>
      <c r="BK205" s="5"/>
      <c r="BL205" s="5"/>
      <c r="BM205" s="5"/>
    </row>
    <row r="206" spans="1:65">
      <c r="A206" s="8"/>
      <c r="B206" s="5"/>
      <c r="C206" s="5"/>
      <c r="D206" s="5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5"/>
      <c r="AE206" s="5"/>
      <c r="AF206" s="5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5"/>
      <c r="BF206" s="5"/>
      <c r="BG206" s="5"/>
      <c r="BH206" s="5"/>
      <c r="BI206" s="5"/>
      <c r="BJ206" s="5"/>
      <c r="BK206" s="5"/>
      <c r="BL206" s="5"/>
      <c r="BM206" s="5"/>
    </row>
    <row r="207" spans="1:65">
      <c r="A207" s="8"/>
      <c r="B207" s="5"/>
      <c r="C207" s="5"/>
      <c r="D207" s="5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5"/>
      <c r="AE207" s="5"/>
      <c r="AF207" s="5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5"/>
      <c r="BF207" s="5"/>
      <c r="BG207" s="5"/>
      <c r="BH207" s="5"/>
      <c r="BI207" s="5"/>
      <c r="BJ207" s="5"/>
      <c r="BK207" s="5"/>
      <c r="BL207" s="5"/>
      <c r="BM207" s="5"/>
    </row>
    <row r="208" spans="1:65">
      <c r="A208" s="8"/>
      <c r="B208" s="5"/>
      <c r="C208" s="5"/>
      <c r="D208" s="5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5"/>
      <c r="AE208" s="5"/>
      <c r="AF208" s="5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5"/>
      <c r="BF208" s="5"/>
      <c r="BG208" s="5"/>
      <c r="BH208" s="5"/>
      <c r="BI208" s="5"/>
      <c r="BJ208" s="5"/>
      <c r="BK208" s="5"/>
      <c r="BL208" s="5"/>
      <c r="BM208" s="5"/>
    </row>
    <row r="209" spans="1:65">
      <c r="A209" s="8"/>
      <c r="B209" s="5"/>
      <c r="C209" s="5"/>
      <c r="D209" s="5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5"/>
      <c r="AE209" s="5"/>
      <c r="AF209" s="5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5"/>
      <c r="BF209" s="5"/>
      <c r="BG209" s="5"/>
      <c r="BH209" s="5"/>
      <c r="BI209" s="5"/>
      <c r="BJ209" s="5"/>
      <c r="BK209" s="5"/>
      <c r="BL209" s="5"/>
      <c r="BM209" s="5"/>
    </row>
    <row r="210" spans="1:65">
      <c r="A210" s="8"/>
      <c r="B210" s="5"/>
      <c r="C210" s="5"/>
      <c r="D210" s="5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5"/>
      <c r="AE210" s="5"/>
      <c r="AF210" s="5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5"/>
      <c r="BF210" s="5"/>
      <c r="BG210" s="5"/>
      <c r="BH210" s="5"/>
      <c r="BI210" s="5"/>
      <c r="BJ210" s="5"/>
      <c r="BK210" s="5"/>
      <c r="BL210" s="5"/>
      <c r="BM210" s="5"/>
    </row>
    <row r="211" spans="1:65">
      <c r="A211" s="8"/>
      <c r="B211" s="5"/>
      <c r="C211" s="5"/>
      <c r="D211" s="5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5"/>
      <c r="AE211" s="5"/>
      <c r="AF211" s="5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5"/>
      <c r="BF211" s="5"/>
      <c r="BG211" s="5"/>
      <c r="BH211" s="5"/>
      <c r="BI211" s="5"/>
      <c r="BJ211" s="5"/>
      <c r="BK211" s="5"/>
      <c r="BL211" s="5"/>
      <c r="BM211" s="5"/>
    </row>
    <row r="212" spans="1:65">
      <c r="A212" s="8"/>
      <c r="B212" s="5"/>
      <c r="C212" s="5"/>
      <c r="D212" s="5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5"/>
      <c r="AE212" s="5"/>
      <c r="AF212" s="5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5"/>
      <c r="BF212" s="5"/>
      <c r="BG212" s="5"/>
      <c r="BH212" s="5"/>
      <c r="BI212" s="5"/>
      <c r="BJ212" s="5"/>
      <c r="BK212" s="5"/>
      <c r="BL212" s="5"/>
      <c r="BM212" s="5"/>
    </row>
    <row r="213" spans="1:65">
      <c r="A213" s="8"/>
      <c r="B213" s="5"/>
      <c r="C213" s="5"/>
      <c r="D213" s="5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5"/>
      <c r="AE213" s="5"/>
      <c r="AF213" s="5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5"/>
      <c r="BF213" s="5"/>
      <c r="BG213" s="5"/>
      <c r="BH213" s="5"/>
      <c r="BI213" s="5"/>
      <c r="BJ213" s="5"/>
      <c r="BK213" s="5"/>
      <c r="BL213" s="5"/>
      <c r="BM213" s="5"/>
    </row>
    <row r="214" spans="1:65">
      <c r="A214" s="8"/>
      <c r="B214" s="5"/>
      <c r="C214" s="5"/>
      <c r="D214" s="5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5"/>
      <c r="AE214" s="5"/>
      <c r="AF214" s="5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5"/>
      <c r="BF214" s="5"/>
      <c r="BG214" s="5"/>
      <c r="BH214" s="5"/>
      <c r="BI214" s="5"/>
      <c r="BJ214" s="5"/>
      <c r="BK214" s="5"/>
      <c r="BL214" s="5"/>
      <c r="BM214" s="5"/>
    </row>
    <row r="215" spans="1:65">
      <c r="A215" s="8"/>
      <c r="B215" s="5"/>
      <c r="C215" s="5"/>
      <c r="D215" s="5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5"/>
      <c r="AE215" s="5"/>
      <c r="AF215" s="5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5"/>
      <c r="BF215" s="5"/>
      <c r="BG215" s="5"/>
      <c r="BH215" s="5"/>
      <c r="BI215" s="5"/>
      <c r="BJ215" s="5"/>
      <c r="BK215" s="5"/>
      <c r="BL215" s="5"/>
      <c r="BM215" s="5"/>
    </row>
    <row r="216" spans="1:65">
      <c r="A216" s="8"/>
      <c r="B216" s="5"/>
      <c r="C216" s="5"/>
      <c r="D216" s="5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5"/>
      <c r="AE216" s="5"/>
      <c r="AF216" s="5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5"/>
      <c r="BF216" s="5"/>
      <c r="BG216" s="5"/>
      <c r="BH216" s="5"/>
      <c r="BI216" s="5"/>
      <c r="BJ216" s="5"/>
      <c r="BK216" s="5"/>
      <c r="BL216" s="5"/>
      <c r="BM216" s="5"/>
    </row>
    <row r="217" spans="1:65">
      <c r="A217" s="8"/>
      <c r="B217" s="5"/>
      <c r="C217" s="5"/>
      <c r="D217" s="5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5"/>
      <c r="AE217" s="5"/>
      <c r="AF217" s="5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5"/>
      <c r="BF217" s="5"/>
      <c r="BG217" s="5"/>
      <c r="BH217" s="5"/>
      <c r="BI217" s="5"/>
      <c r="BJ217" s="5"/>
      <c r="BK217" s="5"/>
      <c r="BL217" s="5"/>
      <c r="BM217" s="5"/>
    </row>
    <row r="218" spans="1:65">
      <c r="A218" s="8"/>
      <c r="B218" s="5"/>
      <c r="C218" s="5"/>
      <c r="D218" s="5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5"/>
      <c r="AE218" s="5"/>
      <c r="AF218" s="5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5"/>
      <c r="BF218" s="5"/>
      <c r="BG218" s="5"/>
      <c r="BH218" s="5"/>
      <c r="BI218" s="5"/>
      <c r="BJ218" s="5"/>
      <c r="BK218" s="5"/>
      <c r="BL218" s="5"/>
      <c r="BM218" s="5"/>
    </row>
    <row r="219" spans="1:65">
      <c r="A219" s="8"/>
      <c r="B219" s="5"/>
      <c r="C219" s="5"/>
      <c r="D219" s="5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5"/>
      <c r="AE219" s="5"/>
      <c r="AF219" s="5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5"/>
      <c r="BF219" s="5"/>
      <c r="BG219" s="5"/>
      <c r="BH219" s="5"/>
      <c r="BI219" s="5"/>
      <c r="BJ219" s="5"/>
      <c r="BK219" s="5"/>
      <c r="BL219" s="5"/>
      <c r="BM219" s="5"/>
    </row>
    <row r="220" spans="1:65">
      <c r="A220" s="8"/>
      <c r="B220" s="5"/>
      <c r="C220" s="5"/>
      <c r="D220" s="5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5"/>
      <c r="AE220" s="5"/>
      <c r="AF220" s="5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5"/>
      <c r="BF220" s="5"/>
      <c r="BG220" s="5"/>
      <c r="BH220" s="5"/>
      <c r="BI220" s="5"/>
      <c r="BJ220" s="5"/>
      <c r="BK220" s="5"/>
      <c r="BL220" s="5"/>
      <c r="BM220" s="5"/>
    </row>
    <row r="221" spans="1:65">
      <c r="A221" s="8"/>
      <c r="B221" s="5"/>
      <c r="C221" s="5"/>
      <c r="D221" s="5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5"/>
      <c r="AE221" s="5"/>
      <c r="AF221" s="5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5"/>
      <c r="BF221" s="5"/>
      <c r="BG221" s="5"/>
      <c r="BH221" s="5"/>
      <c r="BI221" s="5"/>
      <c r="BJ221" s="5"/>
      <c r="BK221" s="5"/>
      <c r="BL221" s="5"/>
      <c r="BM221" s="5"/>
    </row>
    <row r="222" spans="1:65">
      <c r="A222" s="8"/>
      <c r="B222" s="5"/>
      <c r="C222" s="5"/>
      <c r="D222" s="5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5"/>
      <c r="AE222" s="5"/>
      <c r="AF222" s="5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5"/>
      <c r="BF222" s="5"/>
      <c r="BG222" s="5"/>
      <c r="BH222" s="5"/>
      <c r="BI222" s="5"/>
      <c r="BJ222" s="5"/>
      <c r="BK222" s="5"/>
      <c r="BL222" s="5"/>
      <c r="BM222" s="5"/>
    </row>
    <row r="223" spans="1:65">
      <c r="A223" s="8"/>
      <c r="B223" s="5"/>
      <c r="C223" s="5"/>
      <c r="D223" s="5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5"/>
      <c r="AE223" s="5"/>
      <c r="AF223" s="5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5"/>
      <c r="BF223" s="5"/>
      <c r="BG223" s="5"/>
      <c r="BH223" s="5"/>
      <c r="BI223" s="5"/>
      <c r="BJ223" s="5"/>
      <c r="BK223" s="5"/>
      <c r="BL223" s="5"/>
      <c r="BM223" s="5"/>
    </row>
    <row r="224" spans="1:65">
      <c r="A224" s="8"/>
      <c r="B224" s="5"/>
      <c r="C224" s="5"/>
      <c r="D224" s="5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5"/>
      <c r="AE224" s="5"/>
      <c r="AF224" s="5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5"/>
      <c r="BF224" s="5"/>
      <c r="BG224" s="5"/>
      <c r="BH224" s="5"/>
      <c r="BI224" s="5"/>
      <c r="BJ224" s="5"/>
      <c r="BK224" s="5"/>
      <c r="BL224" s="5"/>
      <c r="BM224" s="5"/>
    </row>
    <row r="225" spans="1:65">
      <c r="A225" s="8"/>
      <c r="B225" s="5"/>
      <c r="C225" s="5"/>
      <c r="D225" s="5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5"/>
      <c r="AE225" s="5"/>
      <c r="AF225" s="5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5"/>
      <c r="BF225" s="5"/>
      <c r="BG225" s="5"/>
      <c r="BH225" s="5"/>
      <c r="BI225" s="5"/>
      <c r="BJ225" s="5"/>
      <c r="BK225" s="5"/>
      <c r="BL225" s="5"/>
      <c r="BM225" s="5"/>
    </row>
    <row r="226" spans="1:65">
      <c r="A226" s="8"/>
      <c r="B226" s="5"/>
      <c r="C226" s="5"/>
      <c r="D226" s="5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5"/>
      <c r="AE226" s="5"/>
      <c r="AF226" s="5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5"/>
      <c r="BF226" s="5"/>
      <c r="BG226" s="5"/>
      <c r="BH226" s="5"/>
      <c r="BI226" s="5"/>
      <c r="BJ226" s="5"/>
      <c r="BK226" s="5"/>
      <c r="BL226" s="5"/>
      <c r="BM226" s="5"/>
    </row>
    <row r="227" spans="1:65">
      <c r="A227" s="8"/>
      <c r="B227" s="5"/>
      <c r="C227" s="5"/>
      <c r="D227" s="5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5"/>
      <c r="AE227" s="5"/>
      <c r="AF227" s="5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5"/>
      <c r="BF227" s="5"/>
      <c r="BG227" s="5"/>
      <c r="BH227" s="5"/>
      <c r="BI227" s="5"/>
      <c r="BJ227" s="5"/>
      <c r="BK227" s="5"/>
      <c r="BL227" s="5"/>
      <c r="BM227" s="5"/>
    </row>
    <row r="228" spans="1:65">
      <c r="A228" s="8"/>
      <c r="B228" s="5"/>
      <c r="C228" s="5"/>
      <c r="D228" s="5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5"/>
      <c r="AE228" s="5"/>
      <c r="AF228" s="5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5"/>
      <c r="BF228" s="5"/>
      <c r="BG228" s="5"/>
      <c r="BH228" s="5"/>
      <c r="BI228" s="5"/>
      <c r="BJ228" s="5"/>
      <c r="BK228" s="5"/>
      <c r="BL228" s="5"/>
      <c r="BM228" s="5"/>
    </row>
    <row r="229" spans="1:65">
      <c r="A229" s="8"/>
      <c r="B229" s="5"/>
      <c r="C229" s="5"/>
      <c r="D229" s="5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5"/>
      <c r="AE229" s="5"/>
      <c r="AF229" s="5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5"/>
      <c r="BF229" s="5"/>
      <c r="BG229" s="5"/>
      <c r="BH229" s="5"/>
      <c r="BI229" s="5"/>
      <c r="BJ229" s="5"/>
      <c r="BK229" s="5"/>
      <c r="BL229" s="5"/>
      <c r="BM229" s="5"/>
    </row>
    <row r="230" spans="1:65">
      <c r="A230" s="8"/>
      <c r="B230" s="5"/>
      <c r="C230" s="5"/>
      <c r="D230" s="5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5"/>
      <c r="AE230" s="5"/>
      <c r="AF230" s="5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5"/>
      <c r="BF230" s="5"/>
      <c r="BG230" s="5"/>
      <c r="BH230" s="5"/>
      <c r="BI230" s="5"/>
      <c r="BJ230" s="5"/>
      <c r="BK230" s="5"/>
      <c r="BL230" s="5"/>
      <c r="BM230" s="5"/>
    </row>
    <row r="231" spans="1:65">
      <c r="A231" s="8"/>
      <c r="B231" s="5"/>
      <c r="C231" s="5"/>
      <c r="D231" s="5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5"/>
      <c r="AE231" s="5"/>
      <c r="AF231" s="5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5"/>
      <c r="BF231" s="5"/>
      <c r="BG231" s="5"/>
      <c r="BH231" s="5"/>
      <c r="BI231" s="5"/>
      <c r="BJ231" s="5"/>
      <c r="BK231" s="5"/>
      <c r="BL231" s="5"/>
      <c r="BM231" s="5"/>
    </row>
    <row r="232" spans="1:65">
      <c r="A232" s="8"/>
      <c r="B232" s="5"/>
      <c r="C232" s="5"/>
      <c r="D232" s="5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5"/>
      <c r="AE232" s="5"/>
      <c r="AF232" s="5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5"/>
      <c r="BF232" s="5"/>
      <c r="BG232" s="5"/>
      <c r="BH232" s="5"/>
      <c r="BI232" s="5"/>
      <c r="BJ232" s="5"/>
      <c r="BK232" s="5"/>
      <c r="BL232" s="5"/>
      <c r="BM232" s="5"/>
    </row>
    <row r="233" spans="1:65">
      <c r="A233" s="8"/>
      <c r="B233" s="5"/>
      <c r="C233" s="5"/>
      <c r="D233" s="5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5"/>
      <c r="AE233" s="5"/>
      <c r="AF233" s="5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5"/>
      <c r="BF233" s="5"/>
      <c r="BG233" s="5"/>
      <c r="BH233" s="5"/>
      <c r="BI233" s="5"/>
      <c r="BJ233" s="5"/>
      <c r="BK233" s="5"/>
      <c r="BL233" s="5"/>
      <c r="BM233" s="5"/>
    </row>
    <row r="234" spans="1:65">
      <c r="A234" s="8"/>
      <c r="B234" s="5"/>
      <c r="C234" s="5"/>
      <c r="D234" s="5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5"/>
      <c r="AE234" s="5"/>
      <c r="AF234" s="5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5"/>
      <c r="BF234" s="5"/>
      <c r="BG234" s="5"/>
      <c r="BH234" s="5"/>
      <c r="BI234" s="5"/>
      <c r="BJ234" s="5"/>
      <c r="BK234" s="5"/>
      <c r="BL234" s="5"/>
      <c r="BM234" s="5"/>
    </row>
    <row r="235" spans="1:65">
      <c r="A235" s="8"/>
      <c r="B235" s="5"/>
      <c r="C235" s="5"/>
      <c r="D235" s="5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5"/>
      <c r="AE235" s="5"/>
      <c r="AF235" s="5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5"/>
      <c r="BF235" s="5"/>
      <c r="BG235" s="5"/>
      <c r="BH235" s="5"/>
      <c r="BI235" s="5"/>
      <c r="BJ235" s="5"/>
      <c r="BK235" s="5"/>
      <c r="BL235" s="5"/>
      <c r="BM235" s="5"/>
    </row>
    <row r="236" spans="1:65">
      <c r="A236" s="8"/>
      <c r="B236" s="5"/>
      <c r="C236" s="5"/>
      <c r="D236" s="5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5"/>
      <c r="AE236" s="5"/>
      <c r="AF236" s="5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5"/>
      <c r="BF236" s="5"/>
      <c r="BG236" s="5"/>
      <c r="BH236" s="5"/>
      <c r="BI236" s="5"/>
      <c r="BJ236" s="5"/>
      <c r="BK236" s="5"/>
      <c r="BL236" s="5"/>
      <c r="BM236" s="5"/>
    </row>
    <row r="237" spans="1:65">
      <c r="A237" s="8"/>
      <c r="B237" s="5"/>
      <c r="C237" s="5"/>
      <c r="D237" s="5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5"/>
      <c r="AE237" s="5"/>
      <c r="AF237" s="5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5"/>
      <c r="BF237" s="5"/>
      <c r="BG237" s="5"/>
      <c r="BH237" s="5"/>
      <c r="BI237" s="5"/>
      <c r="BJ237" s="5"/>
      <c r="BK237" s="5"/>
      <c r="BL237" s="5"/>
      <c r="BM237" s="5"/>
    </row>
    <row r="238" spans="1:65">
      <c r="A238" s="8"/>
      <c r="B238" s="5"/>
      <c r="C238" s="5"/>
      <c r="D238" s="5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5"/>
      <c r="AE238" s="5"/>
      <c r="AF238" s="5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5"/>
      <c r="BF238" s="5"/>
      <c r="BG238" s="5"/>
      <c r="BH238" s="5"/>
      <c r="BI238" s="5"/>
      <c r="BJ238" s="5"/>
      <c r="BK238" s="5"/>
      <c r="BL238" s="5"/>
      <c r="BM238" s="5"/>
    </row>
    <row r="239" spans="1:65">
      <c r="A239" s="8"/>
      <c r="B239" s="5"/>
      <c r="C239" s="5"/>
      <c r="D239" s="5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5"/>
      <c r="AE239" s="5"/>
      <c r="AF239" s="5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5"/>
      <c r="BF239" s="5"/>
      <c r="BG239" s="5"/>
      <c r="BH239" s="5"/>
      <c r="BI239" s="5"/>
      <c r="BJ239" s="5"/>
      <c r="BK239" s="5"/>
      <c r="BL239" s="5"/>
      <c r="BM239" s="5"/>
    </row>
    <row r="240" spans="1:65">
      <c r="A240" s="8"/>
      <c r="B240" s="5"/>
      <c r="C240" s="5"/>
      <c r="D240" s="5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5"/>
      <c r="AE240" s="5"/>
      <c r="AF240" s="5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5"/>
      <c r="BF240" s="5"/>
      <c r="BG240" s="5"/>
      <c r="BH240" s="5"/>
      <c r="BI240" s="5"/>
      <c r="BJ240" s="5"/>
      <c r="BK240" s="5"/>
      <c r="BL240" s="5"/>
      <c r="BM240" s="5"/>
    </row>
    <row r="241" spans="1:65">
      <c r="A241" s="8"/>
      <c r="B241" s="5"/>
      <c r="C241" s="5"/>
      <c r="D241" s="5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5"/>
      <c r="AE241" s="5"/>
      <c r="AF241" s="5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5"/>
      <c r="BF241" s="5"/>
      <c r="BG241" s="5"/>
      <c r="BH241" s="5"/>
      <c r="BI241" s="5"/>
      <c r="BJ241" s="5"/>
      <c r="BK241" s="5"/>
      <c r="BL241" s="5"/>
      <c r="BM241" s="5"/>
    </row>
    <row r="242" spans="1:65">
      <c r="A242" s="8"/>
      <c r="B242" s="5"/>
      <c r="C242" s="5"/>
      <c r="D242" s="5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5"/>
      <c r="AE242" s="5"/>
      <c r="AF242" s="5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5"/>
      <c r="BF242" s="5"/>
      <c r="BG242" s="5"/>
      <c r="BH242" s="5"/>
      <c r="BI242" s="5"/>
      <c r="BJ242" s="5"/>
      <c r="BK242" s="5"/>
      <c r="BL242" s="5"/>
      <c r="BM242" s="5"/>
    </row>
    <row r="243" spans="1:65">
      <c r="A243" s="8"/>
      <c r="B243" s="5"/>
      <c r="C243" s="5"/>
      <c r="D243" s="5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5"/>
      <c r="AE243" s="5"/>
      <c r="AF243" s="5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5"/>
      <c r="BF243" s="5"/>
      <c r="BG243" s="5"/>
      <c r="BH243" s="5"/>
      <c r="BI243" s="5"/>
      <c r="BJ243" s="5"/>
      <c r="BK243" s="5"/>
      <c r="BL243" s="5"/>
      <c r="BM243" s="5"/>
    </row>
    <row r="244" spans="1:65">
      <c r="A244" s="8"/>
      <c r="B244" s="5"/>
      <c r="C244" s="5"/>
      <c r="D244" s="5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5"/>
      <c r="AE244" s="5"/>
      <c r="AF244" s="5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5"/>
      <c r="BF244" s="5"/>
      <c r="BG244" s="5"/>
      <c r="BH244" s="5"/>
      <c r="BI244" s="5"/>
      <c r="BJ244" s="5"/>
      <c r="BK244" s="5"/>
      <c r="BL244" s="5"/>
      <c r="BM244" s="5"/>
    </row>
    <row r="245" spans="1:65">
      <c r="A245" s="8"/>
      <c r="B245" s="5"/>
      <c r="C245" s="5"/>
      <c r="D245" s="5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5"/>
      <c r="AE245" s="5"/>
      <c r="AF245" s="5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5"/>
      <c r="BF245" s="5"/>
      <c r="BG245" s="5"/>
      <c r="BH245" s="5"/>
      <c r="BI245" s="5"/>
      <c r="BJ245" s="5"/>
      <c r="BK245" s="5"/>
      <c r="BL245" s="5"/>
      <c r="BM245" s="5"/>
    </row>
    <row r="246" spans="1:65">
      <c r="A246" s="8"/>
      <c r="B246" s="5"/>
      <c r="C246" s="5"/>
      <c r="D246" s="5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5"/>
      <c r="AE246" s="5"/>
      <c r="AF246" s="5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5"/>
      <c r="BF246" s="5"/>
      <c r="BG246" s="5"/>
      <c r="BH246" s="5"/>
      <c r="BI246" s="5"/>
      <c r="BJ246" s="5"/>
      <c r="BK246" s="5"/>
      <c r="BL246" s="5"/>
      <c r="BM246" s="5"/>
    </row>
    <row r="247" spans="1:65">
      <c r="A247" s="8"/>
      <c r="B247" s="5"/>
      <c r="C247" s="5"/>
      <c r="D247" s="5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5"/>
      <c r="AE247" s="5"/>
      <c r="AF247" s="5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5"/>
      <c r="BF247" s="5"/>
      <c r="BG247" s="5"/>
      <c r="BH247" s="5"/>
      <c r="BI247" s="5"/>
      <c r="BJ247" s="5"/>
      <c r="BK247" s="5"/>
      <c r="BL247" s="5"/>
      <c r="BM247" s="5"/>
    </row>
    <row r="248" spans="1:65">
      <c r="A248" s="8"/>
      <c r="B248" s="5"/>
      <c r="C248" s="5"/>
      <c r="D248" s="5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5"/>
      <c r="AE248" s="5"/>
      <c r="AF248" s="5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5"/>
      <c r="BF248" s="5"/>
      <c r="BG248" s="5"/>
      <c r="BH248" s="5"/>
      <c r="BI248" s="5"/>
      <c r="BJ248" s="5"/>
      <c r="BK248" s="5"/>
      <c r="BL248" s="5"/>
      <c r="BM248" s="5"/>
    </row>
    <row r="249" spans="1:65">
      <c r="A249" s="8"/>
      <c r="B249" s="5"/>
      <c r="C249" s="5"/>
      <c r="D249" s="5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5"/>
      <c r="AE249" s="5"/>
      <c r="AF249" s="5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5"/>
      <c r="BF249" s="5"/>
      <c r="BG249" s="5"/>
      <c r="BH249" s="5"/>
      <c r="BI249" s="5"/>
      <c r="BJ249" s="5"/>
      <c r="BK249" s="5"/>
      <c r="BL249" s="5"/>
      <c r="BM249" s="5"/>
    </row>
    <row r="250" spans="1:65">
      <c r="A250" s="8"/>
      <c r="B250" s="5"/>
      <c r="C250" s="5"/>
      <c r="D250" s="5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5"/>
      <c r="AE250" s="5"/>
      <c r="AF250" s="5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5"/>
      <c r="BF250" s="5"/>
      <c r="BG250" s="5"/>
      <c r="BH250" s="5"/>
      <c r="BI250" s="5"/>
      <c r="BJ250" s="5"/>
      <c r="BK250" s="5"/>
      <c r="BL250" s="5"/>
      <c r="BM250" s="5"/>
    </row>
    <row r="251" spans="1:65">
      <c r="A251" s="8"/>
      <c r="B251" s="5"/>
      <c r="C251" s="5"/>
      <c r="D251" s="5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5"/>
      <c r="AE251" s="5"/>
      <c r="AF251" s="5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5"/>
      <c r="BF251" s="5"/>
      <c r="BG251" s="5"/>
      <c r="BH251" s="5"/>
      <c r="BI251" s="5"/>
      <c r="BJ251" s="5"/>
      <c r="BK251" s="5"/>
      <c r="BL251" s="5"/>
      <c r="BM251" s="5"/>
    </row>
    <row r="252" spans="1:65">
      <c r="A252" s="8"/>
      <c r="B252" s="5"/>
      <c r="C252" s="5"/>
      <c r="D252" s="5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5"/>
      <c r="AE252" s="5"/>
      <c r="AF252" s="5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5"/>
      <c r="BF252" s="5"/>
      <c r="BG252" s="5"/>
      <c r="BH252" s="5"/>
      <c r="BI252" s="5"/>
      <c r="BJ252" s="5"/>
      <c r="BK252" s="5"/>
      <c r="BL252" s="5"/>
      <c r="BM252" s="5"/>
    </row>
    <row r="253" spans="1:65">
      <c r="A253" s="8"/>
      <c r="B253" s="5"/>
      <c r="C253" s="5"/>
      <c r="D253" s="5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5"/>
      <c r="AE253" s="5"/>
      <c r="AF253" s="5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5"/>
      <c r="BF253" s="5"/>
      <c r="BG253" s="5"/>
      <c r="BH253" s="5"/>
      <c r="BI253" s="5"/>
      <c r="BJ253" s="5"/>
      <c r="BK253" s="5"/>
      <c r="BL253" s="5"/>
      <c r="BM253" s="5"/>
    </row>
    <row r="254" spans="1:65">
      <c r="A254" s="8"/>
      <c r="B254" s="5"/>
      <c r="C254" s="5"/>
      <c r="D254" s="5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5"/>
      <c r="AE254" s="5"/>
      <c r="AF254" s="5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5"/>
      <c r="BF254" s="5"/>
      <c r="BG254" s="5"/>
      <c r="BH254" s="5"/>
      <c r="BI254" s="5"/>
      <c r="BJ254" s="5"/>
      <c r="BK254" s="5"/>
      <c r="BL254" s="5"/>
      <c r="BM254" s="5"/>
    </row>
    <row r="255" spans="1:65">
      <c r="A255" s="8"/>
      <c r="B255" s="5"/>
      <c r="C255" s="5"/>
      <c r="D255" s="5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5"/>
      <c r="AE255" s="5"/>
      <c r="AF255" s="5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5"/>
      <c r="BF255" s="5"/>
      <c r="BG255" s="5"/>
      <c r="BH255" s="5"/>
      <c r="BI255" s="5"/>
      <c r="BJ255" s="5"/>
      <c r="BK255" s="5"/>
      <c r="BL255" s="5"/>
      <c r="BM255" s="5"/>
    </row>
    <row r="256" spans="1:65">
      <c r="A256" s="8"/>
      <c r="B256" s="5"/>
      <c r="C256" s="5"/>
      <c r="D256" s="5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5"/>
      <c r="AE256" s="5"/>
      <c r="AF256" s="5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5"/>
      <c r="BF256" s="5"/>
      <c r="BG256" s="5"/>
      <c r="BH256" s="5"/>
      <c r="BI256" s="5"/>
      <c r="BJ256" s="5"/>
      <c r="BK256" s="5"/>
      <c r="BL256" s="5"/>
      <c r="BM256" s="5"/>
    </row>
    <row r="257" spans="1:65">
      <c r="A257" s="8"/>
      <c r="B257" s="5"/>
      <c r="C257" s="5"/>
      <c r="D257" s="5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5"/>
      <c r="AE257" s="5"/>
      <c r="AF257" s="5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5"/>
      <c r="BF257" s="5"/>
      <c r="BG257" s="5"/>
      <c r="BH257" s="5"/>
      <c r="BI257" s="5"/>
      <c r="BJ257" s="5"/>
      <c r="BK257" s="5"/>
      <c r="BL257" s="5"/>
      <c r="BM257" s="5"/>
    </row>
    <row r="258" spans="1:65">
      <c r="A258" s="8"/>
      <c r="B258" s="5"/>
      <c r="C258" s="5"/>
      <c r="D258" s="5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5"/>
      <c r="AE258" s="5"/>
      <c r="AF258" s="5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5"/>
      <c r="BF258" s="5"/>
      <c r="BG258" s="5"/>
      <c r="BH258" s="5"/>
      <c r="BI258" s="5"/>
      <c r="BJ258" s="5"/>
      <c r="BK258" s="5"/>
      <c r="BL258" s="5"/>
      <c r="BM258" s="5"/>
    </row>
    <row r="259" spans="1:65">
      <c r="A259" s="8"/>
      <c r="B259" s="5"/>
      <c r="C259" s="5"/>
      <c r="D259" s="5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5"/>
      <c r="AE259" s="5"/>
      <c r="AF259" s="5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5"/>
      <c r="BF259" s="5"/>
      <c r="BG259" s="5"/>
      <c r="BH259" s="5"/>
      <c r="BI259" s="5"/>
      <c r="BJ259" s="5"/>
      <c r="BK259" s="5"/>
      <c r="BL259" s="5"/>
      <c r="BM259" s="5"/>
    </row>
    <row r="260" spans="1:65">
      <c r="A260" s="8"/>
      <c r="B260" s="5"/>
      <c r="C260" s="5"/>
      <c r="D260" s="5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5"/>
      <c r="AE260" s="5"/>
      <c r="AF260" s="5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5"/>
      <c r="BF260" s="5"/>
      <c r="BG260" s="5"/>
      <c r="BH260" s="5"/>
      <c r="BI260" s="5"/>
      <c r="BJ260" s="5"/>
      <c r="BK260" s="5"/>
      <c r="BL260" s="5"/>
      <c r="BM260" s="5"/>
    </row>
    <row r="261" spans="1:65">
      <c r="A261" s="8"/>
      <c r="B261" s="5"/>
      <c r="C261" s="5"/>
      <c r="D261" s="5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5"/>
      <c r="AE261" s="5"/>
      <c r="AF261" s="5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5"/>
      <c r="BF261" s="5"/>
      <c r="BG261" s="5"/>
      <c r="BH261" s="5"/>
      <c r="BI261" s="5"/>
      <c r="BJ261" s="5"/>
      <c r="BK261" s="5"/>
      <c r="BL261" s="5"/>
      <c r="BM261" s="5"/>
    </row>
    <row r="262" spans="1:65">
      <c r="A262" s="8"/>
      <c r="B262" s="5"/>
      <c r="C262" s="5"/>
      <c r="D262" s="5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5"/>
      <c r="AE262" s="5"/>
      <c r="AF262" s="5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5"/>
      <c r="BF262" s="5"/>
      <c r="BG262" s="5"/>
      <c r="BH262" s="5"/>
      <c r="BI262" s="5"/>
      <c r="BJ262" s="5"/>
      <c r="BK262" s="5"/>
      <c r="BL262" s="5"/>
      <c r="BM262" s="5"/>
    </row>
    <row r="263" spans="1:65">
      <c r="A263" s="8"/>
      <c r="B263" s="5"/>
      <c r="C263" s="5"/>
      <c r="D263" s="5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5"/>
      <c r="AE263" s="5"/>
      <c r="AF263" s="5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5"/>
      <c r="BF263" s="5"/>
      <c r="BG263" s="5"/>
      <c r="BH263" s="5"/>
      <c r="BI263" s="5"/>
      <c r="BJ263" s="5"/>
      <c r="BK263" s="5"/>
      <c r="BL263" s="5"/>
      <c r="BM263" s="5"/>
    </row>
    <row r="264" spans="1:65">
      <c r="A264" s="8"/>
      <c r="B264" s="5"/>
      <c r="C264" s="5"/>
      <c r="D264" s="5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5"/>
      <c r="AE264" s="5"/>
      <c r="AF264" s="5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5"/>
      <c r="BF264" s="5"/>
      <c r="BG264" s="5"/>
      <c r="BH264" s="5"/>
      <c r="BI264" s="5"/>
      <c r="BJ264" s="5"/>
      <c r="BK264" s="5"/>
      <c r="BL264" s="5"/>
      <c r="BM264" s="5"/>
    </row>
    <row r="265" spans="1:65">
      <c r="A265" s="8"/>
      <c r="B265" s="5"/>
      <c r="C265" s="5"/>
      <c r="D265" s="5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5"/>
      <c r="AE265" s="5"/>
      <c r="AF265" s="5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5"/>
      <c r="BF265" s="5"/>
      <c r="BG265" s="5"/>
      <c r="BH265" s="5"/>
      <c r="BI265" s="5"/>
      <c r="BJ265" s="5"/>
      <c r="BK265" s="5"/>
      <c r="BL265" s="5"/>
      <c r="BM265" s="5"/>
    </row>
    <row r="266" spans="1:65">
      <c r="A266" s="8"/>
      <c r="B266" s="5"/>
      <c r="C266" s="5"/>
      <c r="D266" s="5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5"/>
      <c r="AE266" s="5"/>
      <c r="AF266" s="5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5"/>
      <c r="BF266" s="5"/>
      <c r="BG266" s="5"/>
      <c r="BH266" s="5"/>
      <c r="BI266" s="5"/>
      <c r="BJ266" s="5"/>
      <c r="BK266" s="5"/>
      <c r="BL266" s="5"/>
      <c r="BM266" s="5"/>
    </row>
    <row r="267" spans="1:65">
      <c r="A267" s="8"/>
      <c r="B267" s="5"/>
      <c r="C267" s="5"/>
      <c r="D267" s="5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5"/>
      <c r="AE267" s="5"/>
      <c r="AF267" s="5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5"/>
      <c r="BF267" s="5"/>
      <c r="BG267" s="5"/>
      <c r="BH267" s="5"/>
      <c r="BI267" s="5"/>
      <c r="BJ267" s="5"/>
      <c r="BK267" s="5"/>
      <c r="BL267" s="5"/>
      <c r="BM267" s="5"/>
    </row>
    <row r="268" spans="1:65">
      <c r="A268" s="8"/>
      <c r="B268" s="5"/>
      <c r="C268" s="5"/>
      <c r="D268" s="5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5"/>
      <c r="AE268" s="5"/>
      <c r="AF268" s="5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5"/>
      <c r="BF268" s="5"/>
      <c r="BG268" s="5"/>
      <c r="BH268" s="5"/>
      <c r="BI268" s="5"/>
      <c r="BJ268" s="5"/>
      <c r="BK268" s="5"/>
      <c r="BL268" s="5"/>
      <c r="BM268" s="5"/>
    </row>
    <row r="269" spans="1:65">
      <c r="A269" s="8"/>
      <c r="B269" s="5"/>
      <c r="C269" s="5"/>
      <c r="D269" s="5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5"/>
      <c r="AE269" s="5"/>
      <c r="AF269" s="5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5"/>
      <c r="BF269" s="5"/>
      <c r="BG269" s="5"/>
      <c r="BH269" s="5"/>
      <c r="BI269" s="5"/>
      <c r="BJ269" s="5"/>
      <c r="BK269" s="5"/>
      <c r="BL269" s="5"/>
      <c r="BM269" s="5"/>
    </row>
    <row r="270" spans="1:65">
      <c r="A270" s="8"/>
      <c r="B270" s="5"/>
      <c r="C270" s="5"/>
      <c r="D270" s="5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5"/>
      <c r="AE270" s="5"/>
      <c r="AF270" s="5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5"/>
      <c r="BF270" s="5"/>
      <c r="BG270" s="5"/>
      <c r="BH270" s="5"/>
      <c r="BI270" s="5"/>
      <c r="BJ270" s="5"/>
      <c r="BK270" s="5"/>
      <c r="BL270" s="5"/>
      <c r="BM270" s="5"/>
    </row>
    <row r="271" spans="1:65">
      <c r="A271" s="8"/>
      <c r="B271" s="5"/>
      <c r="C271" s="5"/>
      <c r="D271" s="5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5"/>
      <c r="AE271" s="5"/>
      <c r="AF271" s="5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5"/>
      <c r="BF271" s="5"/>
      <c r="BG271" s="5"/>
      <c r="BH271" s="5"/>
      <c r="BI271" s="5"/>
      <c r="BJ271" s="5"/>
      <c r="BK271" s="5"/>
      <c r="BL271" s="5"/>
      <c r="BM271" s="5"/>
    </row>
    <row r="272" spans="1:65">
      <c r="A272" s="8"/>
      <c r="B272" s="5"/>
      <c r="C272" s="5"/>
      <c r="D272" s="5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5"/>
      <c r="AE272" s="5"/>
      <c r="AF272" s="5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5"/>
      <c r="BF272" s="5"/>
      <c r="BG272" s="5"/>
      <c r="BH272" s="5"/>
      <c r="BI272" s="5"/>
      <c r="BJ272" s="5"/>
      <c r="BK272" s="5"/>
      <c r="BL272" s="5"/>
      <c r="BM272" s="5"/>
    </row>
    <row r="273" spans="1:65">
      <c r="A273" s="8"/>
      <c r="B273" s="5"/>
      <c r="C273" s="5"/>
      <c r="D273" s="5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5"/>
      <c r="AE273" s="5"/>
      <c r="AF273" s="5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5"/>
      <c r="BF273" s="5"/>
      <c r="BG273" s="5"/>
      <c r="BH273" s="5"/>
      <c r="BI273" s="5"/>
      <c r="BJ273" s="5"/>
      <c r="BK273" s="5"/>
      <c r="BL273" s="5"/>
      <c r="BM273" s="5"/>
    </row>
    <row r="274" spans="1:65">
      <c r="A274" s="8"/>
      <c r="B274" s="5"/>
      <c r="C274" s="5"/>
      <c r="D274" s="5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5"/>
      <c r="AE274" s="5"/>
      <c r="AF274" s="5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5"/>
      <c r="BF274" s="5"/>
      <c r="BG274" s="5"/>
      <c r="BH274" s="5"/>
      <c r="BI274" s="5"/>
      <c r="BJ274" s="5"/>
      <c r="BK274" s="5"/>
      <c r="BL274" s="5"/>
      <c r="BM274" s="5"/>
    </row>
    <row r="275" spans="1:65">
      <c r="A275" s="8"/>
      <c r="B275" s="5"/>
      <c r="C275" s="5"/>
      <c r="D275" s="5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5"/>
      <c r="AE275" s="5"/>
      <c r="AF275" s="5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5"/>
      <c r="BF275" s="5"/>
      <c r="BG275" s="5"/>
      <c r="BH275" s="5"/>
      <c r="BI275" s="5"/>
      <c r="BJ275" s="5"/>
      <c r="BK275" s="5"/>
      <c r="BL275" s="5"/>
      <c r="BM275" s="5"/>
    </row>
    <row r="276" spans="1:65">
      <c r="A276" s="8"/>
      <c r="B276" s="5"/>
      <c r="C276" s="5"/>
      <c r="D276" s="5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5"/>
      <c r="AE276" s="5"/>
      <c r="AF276" s="5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5"/>
      <c r="BF276" s="5"/>
      <c r="BG276" s="5"/>
      <c r="BH276" s="5"/>
      <c r="BI276" s="5"/>
      <c r="BJ276" s="5"/>
      <c r="BK276" s="5"/>
      <c r="BL276" s="5"/>
      <c r="BM276" s="5"/>
    </row>
    <row r="277" spans="1:65">
      <c r="A277" s="4"/>
      <c r="B277" s="3"/>
      <c r="C277" s="3"/>
      <c r="D277" s="3"/>
      <c r="E277" s="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3"/>
      <c r="AE277" s="3"/>
      <c r="AF277" s="3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3"/>
      <c r="BF277" s="3"/>
      <c r="BG277" s="3"/>
      <c r="BH277" s="3"/>
      <c r="BI277" s="3"/>
      <c r="BJ277" s="3"/>
      <c r="BK277" s="3"/>
      <c r="BL277" s="3"/>
      <c r="BM277" s="3"/>
    </row>
    <row r="278" spans="1:65">
      <c r="A278" s="4"/>
      <c r="B278" s="3"/>
      <c r="C278" s="3"/>
      <c r="D278" s="3"/>
      <c r="E278" s="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3"/>
      <c r="AE278" s="3"/>
      <c r="AF278" s="3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3"/>
      <c r="BF278" s="3"/>
      <c r="BG278" s="3"/>
      <c r="BH278" s="3"/>
      <c r="BI278" s="3"/>
      <c r="BJ278" s="3"/>
      <c r="BK278" s="3"/>
      <c r="BL278" s="3"/>
      <c r="BM278" s="3"/>
    </row>
    <row r="279" spans="1:6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3"/>
      <c r="AE279" s="3"/>
      <c r="AF279" s="3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3"/>
      <c r="BF279" s="3"/>
      <c r="BG279" s="3"/>
      <c r="BH279" s="3"/>
      <c r="BI279" s="3"/>
      <c r="BJ279" s="3"/>
      <c r="BK279" s="3"/>
      <c r="BL279" s="3"/>
      <c r="BM279" s="3"/>
    </row>
    <row r="280" spans="1:6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3"/>
      <c r="AE280" s="3"/>
      <c r="AF280" s="3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3"/>
      <c r="BF280" s="3"/>
      <c r="BG280" s="3"/>
      <c r="BH280" s="3"/>
      <c r="BI280" s="3"/>
      <c r="BJ280" s="3"/>
      <c r="BK280" s="3"/>
      <c r="BL280" s="3"/>
      <c r="BM280" s="3"/>
    </row>
    <row r="281" spans="1:65">
      <c r="A281" s="4"/>
      <c r="B281" s="3"/>
      <c r="C281" s="3"/>
      <c r="D281" s="3"/>
      <c r="E281" s="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3"/>
      <c r="AE281" s="3"/>
      <c r="AF281" s="3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3"/>
      <c r="BF281" s="3"/>
      <c r="BG281" s="3"/>
      <c r="BH281" s="3"/>
      <c r="BI281" s="3"/>
      <c r="BJ281" s="3"/>
      <c r="BK281" s="3"/>
      <c r="BL281" s="3"/>
      <c r="BM281" s="3"/>
    </row>
    <row r="282" spans="1:65">
      <c r="A282" s="4"/>
      <c r="B282" s="3"/>
      <c r="C282" s="3"/>
      <c r="D282" s="3"/>
      <c r="E282" s="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3"/>
      <c r="AE282" s="3"/>
      <c r="AF282" s="3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3"/>
      <c r="BF282" s="3"/>
      <c r="BG282" s="3"/>
      <c r="BH282" s="3"/>
      <c r="BI282" s="3"/>
      <c r="BJ282" s="3"/>
      <c r="BK282" s="3"/>
      <c r="BL282" s="3"/>
      <c r="BM282" s="3"/>
    </row>
    <row r="283" spans="1:65">
      <c r="A283" s="4"/>
      <c r="B283" s="3"/>
      <c r="C283" s="3"/>
      <c r="D283" s="3"/>
      <c r="E283" s="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3"/>
      <c r="AE283" s="3"/>
      <c r="AF283" s="3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3"/>
      <c r="BF283" s="3"/>
      <c r="BG283" s="3"/>
      <c r="BH283" s="3"/>
      <c r="BI283" s="3"/>
      <c r="BJ283" s="3"/>
      <c r="BK283" s="3"/>
      <c r="BL283" s="3"/>
      <c r="BM283" s="3"/>
    </row>
    <row r="284" spans="1:65">
      <c r="A284" s="4"/>
      <c r="B284" s="3"/>
      <c r="C284" s="3"/>
      <c r="D284" s="3"/>
      <c r="E284" s="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3"/>
      <c r="AE284" s="3"/>
      <c r="AF284" s="3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3"/>
      <c r="BF284" s="3"/>
      <c r="BG284" s="3"/>
      <c r="BH284" s="3"/>
      <c r="BI284" s="3"/>
      <c r="BJ284" s="3"/>
      <c r="BK284" s="3"/>
      <c r="BL284" s="3"/>
      <c r="BM284" s="3"/>
    </row>
    <row r="285" spans="1:65">
      <c r="A285" s="4"/>
      <c r="B285" s="3"/>
      <c r="C285" s="3"/>
      <c r="D285" s="3"/>
      <c r="E285" s="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3"/>
      <c r="AE285" s="3"/>
      <c r="AF285" s="3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3"/>
      <c r="BF285" s="3"/>
      <c r="BG285" s="3"/>
      <c r="BH285" s="3"/>
      <c r="BI285" s="3"/>
      <c r="BJ285" s="3"/>
      <c r="BK285" s="3"/>
      <c r="BL285" s="3"/>
      <c r="BM285" s="3"/>
    </row>
    <row r="286" spans="1:65">
      <c r="A286" s="4"/>
      <c r="B286" s="3"/>
      <c r="C286" s="3"/>
      <c r="D286" s="3"/>
      <c r="E286" s="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3"/>
      <c r="AE286" s="3"/>
      <c r="AF286" s="3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3"/>
      <c r="BF286" s="3"/>
      <c r="BG286" s="3"/>
      <c r="BH286" s="3"/>
      <c r="BI286" s="3"/>
      <c r="BJ286" s="3"/>
      <c r="BK286" s="3"/>
      <c r="BL286" s="3"/>
      <c r="BM286" s="3"/>
    </row>
    <row r="287" spans="1:65">
      <c r="A287" s="4"/>
      <c r="B287" s="3"/>
      <c r="C287" s="3"/>
      <c r="D287" s="3"/>
      <c r="E287" s="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3"/>
      <c r="AE287" s="3"/>
      <c r="AF287" s="3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3"/>
      <c r="BF287" s="3"/>
      <c r="BG287" s="3"/>
      <c r="BH287" s="3"/>
      <c r="BI287" s="3"/>
      <c r="BJ287" s="3"/>
      <c r="BK287" s="3"/>
      <c r="BL287" s="3"/>
      <c r="BM287" s="3"/>
    </row>
    <row r="288" spans="1:65">
      <c r="A288" s="4"/>
      <c r="B288" s="3"/>
      <c r="C288" s="3"/>
      <c r="D288" s="3"/>
      <c r="E288" s="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3"/>
      <c r="AE288" s="3"/>
      <c r="AF288" s="3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3"/>
      <c r="BF288" s="3"/>
      <c r="BG288" s="3"/>
      <c r="BH288" s="3"/>
      <c r="BI288" s="3"/>
      <c r="BJ288" s="3"/>
      <c r="BK288" s="3"/>
      <c r="BL288" s="3"/>
      <c r="BM288" s="3"/>
    </row>
    <row r="289" spans="1:65">
      <c r="A289" s="4"/>
      <c r="B289" s="3"/>
      <c r="C289" s="3"/>
      <c r="D289" s="3"/>
      <c r="E289" s="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3"/>
      <c r="AE289" s="3"/>
      <c r="AF289" s="3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3"/>
      <c r="BF289" s="3"/>
      <c r="BG289" s="3"/>
      <c r="BH289" s="3"/>
      <c r="BI289" s="3"/>
      <c r="BJ289" s="3"/>
      <c r="BK289" s="3"/>
      <c r="BL289" s="3"/>
      <c r="BM289" s="3"/>
    </row>
    <row r="290" spans="1:65">
      <c r="A290" s="4"/>
      <c r="B290" s="3"/>
      <c r="C290" s="3"/>
      <c r="D290" s="3"/>
      <c r="E290" s="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3"/>
      <c r="AE290" s="3"/>
      <c r="AF290" s="3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3"/>
      <c r="BF290" s="3"/>
      <c r="BG290" s="3"/>
      <c r="BH290" s="3"/>
      <c r="BI290" s="3"/>
      <c r="BJ290" s="3"/>
      <c r="BK290" s="3"/>
      <c r="BL290" s="3"/>
      <c r="BM290" s="3"/>
    </row>
    <row r="291" spans="1:65">
      <c r="A291" s="4"/>
      <c r="B291" s="3"/>
      <c r="C291" s="3"/>
      <c r="D291" s="3"/>
      <c r="E291" s="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3"/>
      <c r="AE291" s="3"/>
      <c r="AF291" s="3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3"/>
      <c r="BF291" s="3"/>
      <c r="BG291" s="3"/>
      <c r="BH291" s="3"/>
      <c r="BI291" s="3"/>
      <c r="BJ291" s="3"/>
      <c r="BK291" s="3"/>
      <c r="BL291" s="3"/>
      <c r="BM291" s="3"/>
    </row>
    <row r="292" spans="1:65">
      <c r="A292" s="4"/>
      <c r="B292" s="3"/>
      <c r="C292" s="3"/>
      <c r="D292" s="3"/>
      <c r="E292" s="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3"/>
      <c r="AE292" s="3"/>
      <c r="AF292" s="3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3"/>
      <c r="BF292" s="3"/>
      <c r="BG292" s="3"/>
      <c r="BH292" s="3"/>
      <c r="BI292" s="3"/>
      <c r="BJ292" s="3"/>
      <c r="BK292" s="3"/>
      <c r="BL292" s="3"/>
      <c r="BM292" s="3"/>
    </row>
    <row r="293" spans="1:65">
      <c r="A293" s="4"/>
      <c r="B293" s="3"/>
      <c r="C293" s="3"/>
      <c r="D293" s="3"/>
      <c r="E293" s="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3"/>
      <c r="AE293" s="3"/>
      <c r="AF293" s="3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3"/>
      <c r="BF293" s="3"/>
      <c r="BG293" s="3"/>
      <c r="BH293" s="3"/>
      <c r="BI293" s="3"/>
      <c r="BJ293" s="3"/>
      <c r="BK293" s="3"/>
      <c r="BL293" s="3"/>
      <c r="BM293" s="3"/>
    </row>
    <row r="294" spans="1:65">
      <c r="A294" s="4"/>
      <c r="B294" s="3"/>
      <c r="C294" s="3"/>
      <c r="D294" s="3"/>
      <c r="E294" s="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3"/>
      <c r="AE294" s="3"/>
      <c r="AF294" s="3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3"/>
      <c r="BF294" s="3"/>
      <c r="BG294" s="3"/>
      <c r="BH294" s="3"/>
      <c r="BI294" s="3"/>
      <c r="BJ294" s="3"/>
      <c r="BK294" s="3"/>
      <c r="BL294" s="3"/>
      <c r="BM294" s="3"/>
    </row>
    <row r="295" spans="1:65">
      <c r="A295" s="4"/>
      <c r="B295" s="3"/>
      <c r="C295" s="3"/>
      <c r="D295" s="3"/>
      <c r="E295" s="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3"/>
      <c r="AE295" s="3"/>
      <c r="AF295" s="3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3"/>
      <c r="BF295" s="3"/>
      <c r="BG295" s="3"/>
      <c r="BH295" s="3"/>
      <c r="BI295" s="3"/>
      <c r="BJ295" s="3"/>
      <c r="BK295" s="3"/>
      <c r="BL295" s="3"/>
      <c r="BM295" s="3"/>
    </row>
    <row r="296" spans="1:65">
      <c r="A296" s="4"/>
      <c r="B296" s="3"/>
      <c r="C296" s="3"/>
      <c r="D296" s="3"/>
      <c r="E296" s="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3"/>
      <c r="AE296" s="3"/>
      <c r="AF296" s="3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3"/>
      <c r="BF296" s="3"/>
      <c r="BG296" s="3"/>
      <c r="BH296" s="3"/>
      <c r="BI296" s="3"/>
      <c r="BJ296" s="3"/>
      <c r="BK296" s="3"/>
      <c r="BL296" s="3"/>
      <c r="BM296" s="3"/>
    </row>
    <row r="297" spans="1:65">
      <c r="A297" s="4"/>
      <c r="B297" s="3"/>
      <c r="C297" s="3"/>
      <c r="D297" s="3"/>
      <c r="E297" s="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3"/>
      <c r="AE297" s="3"/>
      <c r="AF297" s="3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3"/>
      <c r="BF297" s="3"/>
      <c r="BG297" s="3"/>
      <c r="BH297" s="3"/>
      <c r="BI297" s="3"/>
      <c r="BJ297" s="3"/>
      <c r="BK297" s="3"/>
      <c r="BL297" s="3"/>
      <c r="BM297" s="3"/>
    </row>
    <row r="298" spans="1:65">
      <c r="A298" s="4"/>
      <c r="B298" s="3"/>
      <c r="C298" s="3"/>
      <c r="D298" s="3"/>
      <c r="E298" s="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3"/>
      <c r="AE298" s="3"/>
      <c r="AF298" s="3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3"/>
      <c r="BF298" s="3"/>
      <c r="BG298" s="3"/>
      <c r="BH298" s="3"/>
      <c r="BI298" s="3"/>
      <c r="BJ298" s="3"/>
      <c r="BK298" s="3"/>
      <c r="BL298" s="3"/>
      <c r="BM298" s="3"/>
    </row>
    <row r="299" spans="1:65">
      <c r="A299" s="4"/>
      <c r="B299" s="3"/>
      <c r="C299" s="3"/>
      <c r="D299" s="3"/>
      <c r="E299" s="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3"/>
      <c r="AE299" s="3"/>
      <c r="AF299" s="3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3"/>
      <c r="BF299" s="3"/>
      <c r="BG299" s="3"/>
      <c r="BH299" s="3"/>
      <c r="BI299" s="3"/>
      <c r="BJ299" s="3"/>
      <c r="BK299" s="3"/>
      <c r="BL299" s="3"/>
      <c r="BM299" s="3"/>
    </row>
    <row r="300" spans="1:65">
      <c r="A300" s="4"/>
      <c r="B300" s="3"/>
      <c r="C300" s="3"/>
      <c r="D300" s="3"/>
      <c r="E300" s="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3"/>
      <c r="AE300" s="3"/>
      <c r="AF300" s="3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3"/>
      <c r="BF300" s="3"/>
      <c r="BG300" s="3"/>
      <c r="BH300" s="3"/>
      <c r="BI300" s="3"/>
      <c r="BJ300" s="3"/>
      <c r="BK300" s="3"/>
      <c r="BL300" s="3"/>
      <c r="BM300" s="3"/>
    </row>
    <row r="301" spans="1:65">
      <c r="A301" s="4"/>
      <c r="B301" s="3"/>
      <c r="C301" s="3"/>
      <c r="D301" s="3"/>
      <c r="E301" s="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3"/>
      <c r="AE301" s="3"/>
      <c r="AF301" s="3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3"/>
      <c r="BF301" s="3"/>
      <c r="BG301" s="3"/>
      <c r="BH301" s="3"/>
      <c r="BI301" s="3"/>
      <c r="BJ301" s="3"/>
      <c r="BK301" s="3"/>
      <c r="BL301" s="3"/>
      <c r="BM301" s="3"/>
    </row>
    <row r="302" spans="1:65">
      <c r="A302" s="4"/>
      <c r="B302" s="3"/>
      <c r="C302" s="3"/>
      <c r="D302" s="3"/>
      <c r="E302" s="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3"/>
      <c r="AE302" s="3"/>
      <c r="AF302" s="3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3"/>
      <c r="BF302" s="3"/>
      <c r="BG302" s="3"/>
      <c r="BH302" s="3"/>
      <c r="BI302" s="3"/>
      <c r="BJ302" s="3"/>
      <c r="BK302" s="3"/>
      <c r="BL302" s="3"/>
      <c r="BM302" s="3"/>
    </row>
    <row r="303" spans="1:65">
      <c r="A303" s="4"/>
      <c r="B303" s="3"/>
      <c r="C303" s="3"/>
      <c r="D303" s="3"/>
      <c r="E303" s="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3"/>
      <c r="AE303" s="3"/>
      <c r="AF303" s="3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3"/>
      <c r="BF303" s="3"/>
      <c r="BG303" s="3"/>
      <c r="BH303" s="3"/>
      <c r="BI303" s="3"/>
      <c r="BJ303" s="3"/>
      <c r="BK303" s="3"/>
      <c r="BL303" s="3"/>
      <c r="BM303" s="3"/>
    </row>
    <row r="304" spans="1:65">
      <c r="A304" s="4"/>
      <c r="B304" s="3"/>
      <c r="C304" s="3"/>
      <c r="D304" s="3"/>
      <c r="E304" s="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3"/>
      <c r="AE304" s="3"/>
      <c r="AF304" s="3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3"/>
      <c r="BF304" s="3"/>
      <c r="BG304" s="3"/>
      <c r="BH304" s="3"/>
      <c r="BI304" s="3"/>
      <c r="BJ304" s="3"/>
      <c r="BK304" s="3"/>
      <c r="BL304" s="3"/>
      <c r="BM304" s="3"/>
    </row>
    <row r="305" spans="1:65">
      <c r="A305" s="4"/>
      <c r="B305" s="3"/>
      <c r="C305" s="3"/>
      <c r="D305" s="3"/>
      <c r="E305" s="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3"/>
      <c r="AE305" s="3"/>
      <c r="AF305" s="3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3"/>
      <c r="BF305" s="3"/>
      <c r="BG305" s="3"/>
      <c r="BH305" s="3"/>
      <c r="BI305" s="3"/>
      <c r="BJ305" s="3"/>
      <c r="BK305" s="3"/>
      <c r="BL305" s="3"/>
      <c r="BM305" s="3"/>
    </row>
    <row r="306" spans="1:65">
      <c r="A306" s="4"/>
      <c r="B306" s="3"/>
      <c r="C306" s="3"/>
      <c r="D306" s="3"/>
      <c r="E306" s="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3"/>
      <c r="AE306" s="3"/>
      <c r="AF306" s="3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3"/>
      <c r="BF306" s="3"/>
      <c r="BG306" s="3"/>
      <c r="BH306" s="3"/>
      <c r="BI306" s="3"/>
      <c r="BJ306" s="3"/>
      <c r="BK306" s="3"/>
      <c r="BL306" s="3"/>
      <c r="BM306" s="3"/>
    </row>
    <row r="307" spans="1:65">
      <c r="A307" s="4"/>
      <c r="B307" s="3"/>
      <c r="C307" s="3"/>
      <c r="D307" s="3"/>
      <c r="E307" s="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3"/>
      <c r="AE307" s="3"/>
      <c r="AF307" s="3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3"/>
      <c r="BF307" s="3"/>
      <c r="BG307" s="3"/>
      <c r="BH307" s="3"/>
      <c r="BI307" s="3"/>
      <c r="BJ307" s="3"/>
      <c r="BK307" s="3"/>
      <c r="BL307" s="3"/>
      <c r="BM307" s="3"/>
    </row>
    <row r="308" spans="1:65">
      <c r="A308" s="4"/>
      <c r="B308" s="3"/>
      <c r="C308" s="3"/>
      <c r="D308" s="3"/>
      <c r="E308" s="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3"/>
      <c r="AE308" s="3"/>
      <c r="AF308" s="3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3"/>
      <c r="BF308" s="3"/>
      <c r="BG308" s="3"/>
      <c r="BH308" s="3"/>
      <c r="BI308" s="3"/>
      <c r="BJ308" s="3"/>
      <c r="BK308" s="3"/>
      <c r="BL308" s="3"/>
      <c r="BM308" s="3"/>
    </row>
    <row r="309" spans="1:65">
      <c r="A309" s="4"/>
      <c r="B309" s="3"/>
      <c r="C309" s="3"/>
      <c r="D309" s="3"/>
      <c r="E309" s="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3"/>
      <c r="AE309" s="3"/>
      <c r="AF309" s="3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3"/>
      <c r="BF309" s="3"/>
      <c r="BG309" s="3"/>
      <c r="BH309" s="3"/>
      <c r="BI309" s="3"/>
      <c r="BJ309" s="3"/>
      <c r="BK309" s="3"/>
      <c r="BL309" s="3"/>
      <c r="BM309" s="3"/>
    </row>
    <row r="310" spans="1:65">
      <c r="A310" s="4"/>
      <c r="B310" s="3"/>
      <c r="C310" s="3"/>
      <c r="D310" s="3"/>
      <c r="E310" s="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3"/>
      <c r="AE310" s="3"/>
      <c r="AF310" s="3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3"/>
      <c r="BF310" s="3"/>
      <c r="BG310" s="3"/>
      <c r="BH310" s="3"/>
      <c r="BI310" s="3"/>
      <c r="BJ310" s="3"/>
      <c r="BK310" s="3"/>
      <c r="BL310" s="3"/>
      <c r="BM310" s="3"/>
    </row>
    <row r="311" spans="1:65">
      <c r="A311" s="4"/>
      <c r="B311" s="3"/>
      <c r="C311" s="3"/>
      <c r="D311" s="3"/>
      <c r="E311" s="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3"/>
      <c r="AE311" s="3"/>
      <c r="AF311" s="3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3"/>
      <c r="BF311" s="3"/>
      <c r="BG311" s="3"/>
      <c r="BH311" s="3"/>
      <c r="BI311" s="3"/>
      <c r="BJ311" s="3"/>
      <c r="BK311" s="3"/>
      <c r="BL311" s="3"/>
      <c r="BM311" s="3"/>
    </row>
    <row r="312" spans="1:65">
      <c r="A312" s="4"/>
      <c r="B312" s="3"/>
      <c r="C312" s="3"/>
      <c r="D312" s="3"/>
      <c r="E312" s="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3"/>
      <c r="AE312" s="3"/>
      <c r="AF312" s="3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3"/>
      <c r="BF312" s="3"/>
      <c r="BG312" s="3"/>
      <c r="BH312" s="3"/>
      <c r="BI312" s="3"/>
      <c r="BJ312" s="3"/>
      <c r="BK312" s="3"/>
      <c r="BL312" s="3"/>
      <c r="BM312" s="3"/>
    </row>
    <row r="313" spans="1:65">
      <c r="A313" s="4"/>
      <c r="B313" s="3"/>
      <c r="C313" s="3"/>
      <c r="D313" s="3"/>
      <c r="E313" s="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3"/>
      <c r="AE313" s="3"/>
      <c r="AF313" s="3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3"/>
      <c r="BF313" s="3"/>
      <c r="BG313" s="3"/>
      <c r="BH313" s="3"/>
      <c r="BI313" s="3"/>
      <c r="BJ313" s="3"/>
      <c r="BK313" s="3"/>
      <c r="BL313" s="3"/>
      <c r="BM313" s="3"/>
    </row>
    <row r="314" spans="1:65">
      <c r="A314" s="4"/>
      <c r="B314" s="3"/>
      <c r="C314" s="3"/>
      <c r="D314" s="3"/>
      <c r="E314" s="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3"/>
      <c r="AE314" s="3"/>
      <c r="AF314" s="3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3"/>
      <c r="BF314" s="3"/>
      <c r="BG314" s="3"/>
      <c r="BH314" s="3"/>
      <c r="BI314" s="3"/>
      <c r="BJ314" s="3"/>
      <c r="BK314" s="3"/>
      <c r="BL314" s="3"/>
      <c r="BM314" s="3"/>
    </row>
    <row r="315" spans="1:65">
      <c r="A315" s="4"/>
      <c r="B315" s="3"/>
      <c r="C315" s="3"/>
      <c r="D315" s="3"/>
      <c r="E315" s="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3"/>
      <c r="AE315" s="3"/>
      <c r="AF315" s="3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3"/>
      <c r="BF315" s="3"/>
      <c r="BG315" s="3"/>
      <c r="BH315" s="3"/>
      <c r="BI315" s="3"/>
      <c r="BJ315" s="3"/>
      <c r="BK315" s="3"/>
      <c r="BL315" s="3"/>
      <c r="BM315" s="3"/>
    </row>
    <row r="316" spans="1:65">
      <c r="A316" s="4"/>
      <c r="B316" s="3"/>
      <c r="C316" s="3"/>
      <c r="D316" s="3"/>
      <c r="E316" s="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3"/>
      <c r="AE316" s="3"/>
      <c r="AF316" s="3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3"/>
      <c r="BF316" s="3"/>
      <c r="BG316" s="3"/>
      <c r="BH316" s="3"/>
      <c r="BI316" s="3"/>
      <c r="BJ316" s="3"/>
      <c r="BK316" s="3"/>
      <c r="BL316" s="3"/>
      <c r="BM316" s="3"/>
    </row>
    <row r="317" spans="1:65">
      <c r="A317" s="4"/>
      <c r="B317" s="3"/>
      <c r="C317" s="3"/>
      <c r="D317" s="3"/>
      <c r="E317" s="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3"/>
      <c r="AE317" s="3"/>
      <c r="AF317" s="3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3"/>
      <c r="BF317" s="3"/>
      <c r="BG317" s="3"/>
      <c r="BH317" s="3"/>
      <c r="BI317" s="3"/>
      <c r="BJ317" s="3"/>
      <c r="BK317" s="3"/>
      <c r="BL317" s="3"/>
      <c r="BM317" s="3"/>
    </row>
    <row r="318" spans="1:65">
      <c r="A318" s="4"/>
      <c r="B318" s="3"/>
      <c r="C318" s="3"/>
      <c r="D318" s="3"/>
      <c r="E318" s="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3"/>
      <c r="AE318" s="3"/>
      <c r="AF318" s="3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3"/>
      <c r="BF318" s="3"/>
      <c r="BG318" s="3"/>
      <c r="BH318" s="3"/>
      <c r="BI318" s="3"/>
      <c r="BJ318" s="3"/>
      <c r="BK318" s="3"/>
      <c r="BL318" s="3"/>
      <c r="BM318" s="3"/>
    </row>
    <row r="319" spans="1:65">
      <c r="A319" s="4"/>
      <c r="B319" s="3"/>
      <c r="C319" s="3"/>
      <c r="D319" s="3"/>
      <c r="E319" s="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3"/>
      <c r="AE319" s="3"/>
      <c r="AF319" s="3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3"/>
      <c r="BF319" s="3"/>
      <c r="BG319" s="3"/>
      <c r="BH319" s="3"/>
      <c r="BI319" s="3"/>
      <c r="BJ319" s="3"/>
      <c r="BK319" s="3"/>
      <c r="BL319" s="3"/>
      <c r="BM319" s="3"/>
    </row>
    <row r="320" spans="1:65">
      <c r="A320" s="4"/>
      <c r="B320" s="3"/>
      <c r="C320" s="3"/>
      <c r="D320" s="3"/>
      <c r="E320" s="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3"/>
      <c r="AE320" s="3"/>
      <c r="AF320" s="3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3"/>
      <c r="BF320" s="3"/>
      <c r="BG320" s="3"/>
      <c r="BH320" s="3"/>
      <c r="BI320" s="3"/>
      <c r="BJ320" s="3"/>
      <c r="BK320" s="3"/>
      <c r="BL320" s="3"/>
      <c r="BM320" s="3"/>
    </row>
    <row r="321" spans="1:65">
      <c r="A321" s="4"/>
      <c r="B321" s="3"/>
      <c r="C321" s="3"/>
      <c r="D321" s="3"/>
      <c r="E321" s="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3"/>
      <c r="AE321" s="3"/>
      <c r="AF321" s="3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3"/>
      <c r="BF321" s="3"/>
      <c r="BG321" s="3"/>
      <c r="BH321" s="3"/>
      <c r="BI321" s="3"/>
      <c r="BJ321" s="3"/>
      <c r="BK321" s="3"/>
      <c r="BL321" s="3"/>
      <c r="BM321" s="3"/>
    </row>
    <row r="322" spans="1:65">
      <c r="A322" s="4"/>
      <c r="B322" s="3"/>
      <c r="C322" s="3"/>
      <c r="D322" s="3"/>
      <c r="E322" s="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3"/>
      <c r="AE322" s="3"/>
      <c r="AF322" s="3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3"/>
      <c r="BF322" s="3"/>
      <c r="BG322" s="3"/>
      <c r="BH322" s="3"/>
      <c r="BI322" s="3"/>
      <c r="BJ322" s="3"/>
      <c r="BK322" s="3"/>
      <c r="BL322" s="3"/>
      <c r="BM322" s="3"/>
    </row>
    <row r="323" spans="1:65">
      <c r="A323" s="4"/>
      <c r="B323" s="3"/>
      <c r="C323" s="3"/>
      <c r="D323" s="3"/>
      <c r="E323" s="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3"/>
      <c r="AE323" s="3"/>
      <c r="AF323" s="3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3"/>
      <c r="BF323" s="3"/>
      <c r="BG323" s="3"/>
      <c r="BH323" s="3"/>
      <c r="BI323" s="3"/>
      <c r="BJ323" s="3"/>
      <c r="BK323" s="3"/>
      <c r="BL323" s="3"/>
      <c r="BM323" s="3"/>
    </row>
    <row r="324" spans="1:65">
      <c r="A324" s="4"/>
      <c r="B324" s="3"/>
      <c r="C324" s="3"/>
      <c r="D324" s="3"/>
      <c r="E324" s="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3"/>
      <c r="AE324" s="3"/>
      <c r="AF324" s="3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3"/>
      <c r="BF324" s="3"/>
      <c r="BG324" s="3"/>
      <c r="BH324" s="3"/>
      <c r="BI324" s="3"/>
      <c r="BJ324" s="3"/>
      <c r="BK324" s="3"/>
      <c r="BL324" s="3"/>
      <c r="BM324" s="3"/>
    </row>
    <row r="325" spans="1:65">
      <c r="A325" s="4"/>
      <c r="B325" s="3"/>
      <c r="C325" s="3"/>
      <c r="D325" s="3"/>
      <c r="E325" s="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3"/>
      <c r="AE325" s="3"/>
      <c r="AF325" s="3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3"/>
      <c r="BF325" s="3"/>
      <c r="BG325" s="3"/>
      <c r="BH325" s="3"/>
      <c r="BI325" s="3"/>
      <c r="BJ325" s="3"/>
      <c r="BK325" s="3"/>
      <c r="BL325" s="3"/>
      <c r="BM325" s="3"/>
    </row>
    <row r="326" spans="1:65">
      <c r="A326" s="4"/>
      <c r="B326" s="3"/>
      <c r="C326" s="3"/>
      <c r="D326" s="3"/>
      <c r="E326" s="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3"/>
      <c r="AE326" s="3"/>
      <c r="AF326" s="3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3"/>
      <c r="BF326" s="3"/>
      <c r="BG326" s="3"/>
      <c r="BH326" s="3"/>
      <c r="BI326" s="3"/>
      <c r="BJ326" s="3"/>
      <c r="BK326" s="3"/>
      <c r="BL326" s="3"/>
      <c r="BM326" s="3"/>
    </row>
    <row r="327" spans="1:65">
      <c r="A327" s="4"/>
      <c r="B327" s="3"/>
      <c r="C327" s="3"/>
      <c r="D327" s="3"/>
      <c r="E327" s="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3"/>
      <c r="AE327" s="3"/>
      <c r="AF327" s="3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3"/>
      <c r="BF327" s="3"/>
      <c r="BG327" s="3"/>
      <c r="BH327" s="3"/>
      <c r="BI327" s="3"/>
      <c r="BJ327" s="3"/>
      <c r="BK327" s="3"/>
      <c r="BL327" s="3"/>
      <c r="BM327" s="3"/>
    </row>
    <row r="328" spans="1:65">
      <c r="A328" s="4"/>
      <c r="B328" s="3"/>
      <c r="C328" s="3"/>
      <c r="D328" s="3"/>
      <c r="E328" s="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3"/>
      <c r="AE328" s="3"/>
      <c r="AF328" s="3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3"/>
      <c r="BF328" s="3"/>
      <c r="BG328" s="3"/>
      <c r="BH328" s="3"/>
      <c r="BI328" s="3"/>
      <c r="BJ328" s="3"/>
      <c r="BK328" s="3"/>
      <c r="BL328" s="3"/>
      <c r="BM328" s="3"/>
    </row>
    <row r="329" spans="1:65">
      <c r="A329" s="4"/>
      <c r="B329" s="3"/>
      <c r="C329" s="3"/>
      <c r="D329" s="3"/>
      <c r="E329" s="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3"/>
      <c r="AE329" s="3"/>
      <c r="AF329" s="3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3"/>
      <c r="BF329" s="3"/>
      <c r="BG329" s="3"/>
      <c r="BH329" s="3"/>
      <c r="BI329" s="3"/>
      <c r="BJ329" s="3"/>
      <c r="BK329" s="3"/>
      <c r="BL329" s="3"/>
      <c r="BM329" s="3"/>
    </row>
    <row r="330" spans="1:65">
      <c r="A330" s="4"/>
      <c r="B330" s="3"/>
      <c r="C330" s="3"/>
      <c r="D330" s="3"/>
      <c r="E330" s="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3"/>
      <c r="AE330" s="3"/>
      <c r="AF330" s="3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3"/>
      <c r="BF330" s="3"/>
      <c r="BG330" s="3"/>
      <c r="BH330" s="3"/>
      <c r="BI330" s="3"/>
      <c r="BJ330" s="3"/>
      <c r="BK330" s="3"/>
      <c r="BL330" s="3"/>
      <c r="BM330" s="3"/>
    </row>
    <row r="331" spans="1:65">
      <c r="A331" s="4"/>
      <c r="B331" s="3"/>
      <c r="C331" s="3"/>
      <c r="D331" s="3"/>
      <c r="E331" s="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3"/>
      <c r="AE331" s="3"/>
      <c r="AF331" s="3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3"/>
      <c r="BF331" s="3"/>
      <c r="BG331" s="3"/>
      <c r="BH331" s="3"/>
      <c r="BI331" s="3"/>
      <c r="BJ331" s="3"/>
      <c r="BK331" s="3"/>
      <c r="BL331" s="3"/>
      <c r="BM331" s="3"/>
    </row>
    <row r="332" spans="1:65">
      <c r="A332" s="4"/>
      <c r="B332" s="3"/>
      <c r="C332" s="3"/>
      <c r="D332" s="3"/>
      <c r="E332" s="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3"/>
      <c r="AE332" s="3"/>
      <c r="AF332" s="3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3"/>
      <c r="BF332" s="3"/>
      <c r="BG332" s="3"/>
      <c r="BH332" s="3"/>
      <c r="BI332" s="3"/>
      <c r="BJ332" s="3"/>
      <c r="BK332" s="3"/>
      <c r="BL332" s="3"/>
      <c r="BM332" s="3"/>
    </row>
    <row r="333" spans="1:65">
      <c r="A333" s="4"/>
      <c r="B333" s="3"/>
      <c r="C333" s="3"/>
      <c r="D333" s="3"/>
      <c r="E333" s="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3"/>
      <c r="AE333" s="3"/>
      <c r="AF333" s="3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3"/>
      <c r="BF333" s="3"/>
      <c r="BG333" s="3"/>
      <c r="BH333" s="3"/>
      <c r="BI333" s="3"/>
      <c r="BJ333" s="3"/>
      <c r="BK333" s="3"/>
      <c r="BL333" s="3"/>
      <c r="BM333" s="3"/>
    </row>
    <row r="334" spans="1:65">
      <c r="A334" s="4"/>
      <c r="B334" s="3"/>
      <c r="C334" s="3"/>
      <c r="D334" s="3"/>
      <c r="E334" s="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3"/>
      <c r="AE334" s="3"/>
      <c r="AF334" s="3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3"/>
      <c r="BF334" s="3"/>
      <c r="BG334" s="3"/>
      <c r="BH334" s="3"/>
      <c r="BI334" s="3"/>
      <c r="BJ334" s="3"/>
      <c r="BK334" s="3"/>
      <c r="BL334" s="3"/>
      <c r="BM334" s="3"/>
    </row>
    <row r="335" spans="1:65">
      <c r="A335" s="4"/>
      <c r="B335" s="3"/>
      <c r="C335" s="3"/>
      <c r="D335" s="3"/>
      <c r="E335" s="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3"/>
      <c r="AE335" s="3"/>
      <c r="AF335" s="3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3"/>
      <c r="BF335" s="3"/>
      <c r="BG335" s="3"/>
      <c r="BH335" s="3"/>
      <c r="BI335" s="3"/>
      <c r="BJ335" s="3"/>
      <c r="BK335" s="3"/>
      <c r="BL335" s="3"/>
      <c r="BM335" s="3"/>
    </row>
    <row r="336" spans="1:65">
      <c r="A336" s="4"/>
      <c r="B336" s="3"/>
      <c r="C336" s="3"/>
      <c r="D336" s="3"/>
      <c r="E336" s="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3"/>
      <c r="AE336" s="3"/>
      <c r="AF336" s="3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3"/>
      <c r="BF336" s="3"/>
      <c r="BG336" s="3"/>
      <c r="BH336" s="3"/>
      <c r="BI336" s="3"/>
      <c r="BJ336" s="3"/>
      <c r="BK336" s="3"/>
      <c r="BL336" s="3"/>
      <c r="BM336" s="3"/>
    </row>
    <row r="337" spans="1:65">
      <c r="A337" s="4"/>
      <c r="B337" s="3"/>
      <c r="C337" s="3"/>
      <c r="D337" s="3"/>
      <c r="E337" s="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3"/>
      <c r="AE337" s="3"/>
      <c r="AF337" s="3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3"/>
      <c r="BF337" s="3"/>
      <c r="BG337" s="3"/>
      <c r="BH337" s="3"/>
      <c r="BI337" s="3"/>
      <c r="BJ337" s="3"/>
      <c r="BK337" s="3"/>
      <c r="BL337" s="3"/>
      <c r="BM337" s="3"/>
    </row>
    <row r="338" spans="1:65">
      <c r="A338" s="4"/>
      <c r="B338" s="3"/>
      <c r="C338" s="3"/>
      <c r="D338" s="3"/>
      <c r="E338" s="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3"/>
      <c r="AE338" s="3"/>
      <c r="AF338" s="3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3"/>
      <c r="BF338" s="3"/>
      <c r="BG338" s="3"/>
      <c r="BH338" s="3"/>
      <c r="BI338" s="3"/>
      <c r="BJ338" s="3"/>
      <c r="BK338" s="3"/>
      <c r="BL338" s="3"/>
      <c r="BM338" s="3"/>
    </row>
    <row r="339" spans="1:65">
      <c r="A339" s="4"/>
      <c r="B339" s="3"/>
      <c r="C339" s="3"/>
      <c r="D339" s="3"/>
      <c r="E339" s="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3"/>
      <c r="AE339" s="3"/>
      <c r="AF339" s="3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3"/>
      <c r="BF339" s="3"/>
      <c r="BG339" s="3"/>
      <c r="BH339" s="3"/>
      <c r="BI339" s="3"/>
      <c r="BJ339" s="3"/>
      <c r="BK339" s="3"/>
      <c r="BL339" s="3"/>
      <c r="BM339" s="3"/>
    </row>
    <row r="340" spans="1:65">
      <c r="A340" s="4"/>
      <c r="B340" s="3"/>
      <c r="C340" s="3"/>
      <c r="D340" s="3"/>
      <c r="E340" s="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3"/>
      <c r="AE340" s="3"/>
      <c r="AF340" s="3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3"/>
      <c r="BF340" s="3"/>
      <c r="BG340" s="3"/>
      <c r="BH340" s="3"/>
      <c r="BI340" s="3"/>
      <c r="BJ340" s="3"/>
      <c r="BK340" s="3"/>
      <c r="BL340" s="3"/>
      <c r="BM340" s="3"/>
    </row>
    <row r="341" spans="1:65">
      <c r="A341" s="4"/>
      <c r="B341" s="3"/>
      <c r="C341" s="3"/>
      <c r="D341" s="3"/>
      <c r="E341" s="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3"/>
      <c r="AE341" s="3"/>
      <c r="AF341" s="3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3"/>
      <c r="BF341" s="3"/>
      <c r="BG341" s="3"/>
      <c r="BH341" s="3"/>
      <c r="BI341" s="3"/>
      <c r="BJ341" s="3"/>
      <c r="BK341" s="3"/>
      <c r="BL341" s="3"/>
      <c r="BM341" s="3"/>
    </row>
    <row r="342" spans="1:65">
      <c r="A342" s="4"/>
      <c r="B342" s="3"/>
      <c r="C342" s="3"/>
      <c r="D342" s="3"/>
      <c r="E342" s="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3"/>
      <c r="AE342" s="3"/>
      <c r="AF342" s="3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3"/>
      <c r="BF342" s="3"/>
      <c r="BG342" s="3"/>
      <c r="BH342" s="3"/>
      <c r="BI342" s="3"/>
      <c r="BJ342" s="3"/>
      <c r="BK342" s="3"/>
      <c r="BL342" s="3"/>
      <c r="BM342" s="3"/>
    </row>
    <row r="343" spans="1:65">
      <c r="A343" s="4"/>
      <c r="B343" s="3"/>
      <c r="C343" s="3"/>
      <c r="D343" s="3"/>
      <c r="E343" s="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3"/>
      <c r="AE343" s="3"/>
      <c r="AF343" s="3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3"/>
      <c r="BF343" s="3"/>
      <c r="BG343" s="3"/>
      <c r="BH343" s="3"/>
      <c r="BI343" s="3"/>
      <c r="BJ343" s="3"/>
      <c r="BK343" s="3"/>
      <c r="BL343" s="3"/>
      <c r="BM343" s="3"/>
    </row>
    <row r="344" spans="1:65">
      <c r="A344" s="4"/>
      <c r="B344" s="3"/>
      <c r="C344" s="3"/>
      <c r="D344" s="3"/>
      <c r="E344" s="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3"/>
      <c r="AE344" s="3"/>
      <c r="AF344" s="3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3"/>
      <c r="BF344" s="3"/>
      <c r="BG344" s="3"/>
      <c r="BH344" s="3"/>
      <c r="BI344" s="3"/>
      <c r="BJ344" s="3"/>
      <c r="BK344" s="3"/>
      <c r="BL344" s="3"/>
      <c r="BM344" s="3"/>
    </row>
    <row r="345" spans="1:65">
      <c r="A345" s="4"/>
      <c r="B345" s="3"/>
      <c r="C345" s="3"/>
      <c r="D345" s="3"/>
      <c r="E345" s="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3"/>
      <c r="AE345" s="3"/>
      <c r="AF345" s="3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3"/>
      <c r="BF345" s="3"/>
      <c r="BG345" s="3"/>
      <c r="BH345" s="3"/>
      <c r="BI345" s="3"/>
      <c r="BJ345" s="3"/>
      <c r="BK345" s="3"/>
      <c r="BL345" s="3"/>
      <c r="BM345" s="3"/>
    </row>
    <row r="346" spans="1:65">
      <c r="A346" s="4"/>
      <c r="B346" s="3"/>
      <c r="C346" s="3"/>
      <c r="D346" s="3"/>
      <c r="E346" s="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3"/>
      <c r="AE346" s="3"/>
      <c r="AF346" s="3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3"/>
      <c r="BF346" s="3"/>
      <c r="BG346" s="3"/>
      <c r="BH346" s="3"/>
      <c r="BI346" s="3"/>
      <c r="BJ346" s="3"/>
      <c r="BK346" s="3"/>
      <c r="BL346" s="3"/>
      <c r="BM346" s="3"/>
    </row>
    <row r="347" spans="1:65">
      <c r="A347" s="4"/>
      <c r="B347" s="3"/>
      <c r="C347" s="3"/>
      <c r="D347" s="3"/>
      <c r="E347" s="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3"/>
      <c r="AE347" s="3"/>
      <c r="AF347" s="3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3"/>
      <c r="BF347" s="3"/>
      <c r="BG347" s="3"/>
      <c r="BH347" s="3"/>
      <c r="BI347" s="3"/>
      <c r="BJ347" s="3"/>
      <c r="BK347" s="3"/>
      <c r="BL347" s="3"/>
      <c r="BM347" s="3"/>
    </row>
    <row r="348" spans="1:65">
      <c r="A348" s="4"/>
      <c r="B348" s="3"/>
      <c r="C348" s="3"/>
      <c r="D348" s="3"/>
      <c r="E348" s="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3"/>
      <c r="AE348" s="3"/>
      <c r="AF348" s="3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3"/>
      <c r="BF348" s="3"/>
      <c r="BG348" s="3"/>
      <c r="BH348" s="3"/>
      <c r="BI348" s="3"/>
      <c r="BJ348" s="3"/>
      <c r="BK348" s="3"/>
      <c r="BL348" s="3"/>
      <c r="BM348" s="3"/>
    </row>
    <row r="349" spans="1:65">
      <c r="A349" s="4"/>
      <c r="B349" s="3"/>
      <c r="C349" s="3"/>
      <c r="D349" s="3"/>
      <c r="E349" s="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3"/>
      <c r="AE349" s="3"/>
      <c r="AF349" s="3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3"/>
      <c r="BF349" s="3"/>
      <c r="BG349" s="3"/>
      <c r="BH349" s="3"/>
      <c r="BI349" s="3"/>
      <c r="BJ349" s="3"/>
      <c r="BK349" s="3"/>
      <c r="BL349" s="3"/>
      <c r="BM349" s="3"/>
    </row>
    <row r="350" spans="1:65">
      <c r="A350" s="4"/>
      <c r="B350" s="3"/>
      <c r="C350" s="3"/>
      <c r="D350" s="3"/>
      <c r="E350" s="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3"/>
      <c r="AE350" s="3"/>
      <c r="AF350" s="3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3"/>
      <c r="BF350" s="3"/>
      <c r="BG350" s="3"/>
      <c r="BH350" s="3"/>
      <c r="BI350" s="3"/>
      <c r="BJ350" s="3"/>
      <c r="BK350" s="3"/>
      <c r="BL350" s="3"/>
      <c r="BM350" s="3"/>
    </row>
    <row r="351" spans="1:65">
      <c r="A351" s="4"/>
      <c r="B351" s="3"/>
      <c r="C351" s="3"/>
      <c r="D351" s="3"/>
      <c r="E351" s="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3"/>
      <c r="AE351" s="3"/>
      <c r="AF351" s="3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3"/>
      <c r="BF351" s="3"/>
      <c r="BG351" s="3"/>
      <c r="BH351" s="3"/>
      <c r="BI351" s="3"/>
      <c r="BJ351" s="3"/>
      <c r="BK351" s="3"/>
      <c r="BL351" s="3"/>
      <c r="BM351" s="3"/>
    </row>
    <row r="352" spans="1:65">
      <c r="A352" s="4"/>
      <c r="B352" s="3"/>
      <c r="C352" s="3"/>
      <c r="D352" s="3"/>
      <c r="E352" s="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3"/>
      <c r="AE352" s="3"/>
      <c r="AF352" s="3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3"/>
      <c r="BF352" s="3"/>
      <c r="BG352" s="3"/>
      <c r="BH352" s="3"/>
      <c r="BI352" s="3"/>
      <c r="BJ352" s="3"/>
      <c r="BK352" s="3"/>
      <c r="BL352" s="3"/>
      <c r="BM352" s="3"/>
    </row>
    <row r="353" spans="1:65">
      <c r="A353" s="4"/>
      <c r="B353" s="3"/>
      <c r="C353" s="3"/>
      <c r="D353" s="3"/>
      <c r="E353" s="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3"/>
      <c r="AE353" s="3"/>
      <c r="AF353" s="3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3"/>
      <c r="BF353" s="3"/>
      <c r="BG353" s="3"/>
      <c r="BH353" s="3"/>
      <c r="BI353" s="3"/>
      <c r="BJ353" s="3"/>
      <c r="BK353" s="3"/>
      <c r="BL353" s="3"/>
      <c r="BM353" s="3"/>
    </row>
  </sheetData>
  <pageMargins left="0.75" right="0.75" top="1" bottom="1" header="0.5" footer="0.5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71"/>
  <sheetViews>
    <sheetView topLeftCell="A43" workbookViewId="0">
      <selection activeCell="C1" sqref="C1:C5"/>
    </sheetView>
  </sheetViews>
  <sheetFormatPr defaultColWidth="8.81481481481481" defaultRowHeight="15"/>
  <cols>
    <col min="1" max="1" width="12.4518518518519" style="1"/>
    <col min="2" max="3" width="12.4518518518519"/>
  </cols>
  <sheetData>
    <row r="1" spans="1:64">
      <c r="A1" s="3" t="s">
        <v>4</v>
      </c>
      <c r="B1" s="3" t="s">
        <v>5</v>
      </c>
      <c r="C1" s="3" t="s">
        <v>66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47</v>
      </c>
      <c r="AT1" s="3" t="s">
        <v>48</v>
      </c>
      <c r="AU1" s="3" t="s">
        <v>49</v>
      </c>
      <c r="AV1" s="3" t="s">
        <v>50</v>
      </c>
      <c r="AW1" s="3" t="s">
        <v>51</v>
      </c>
      <c r="AX1" s="3" t="s">
        <v>52</v>
      </c>
      <c r="AY1" s="3" t="s">
        <v>53</v>
      </c>
      <c r="AZ1" s="3" t="s">
        <v>54</v>
      </c>
      <c r="BA1" s="3" t="s">
        <v>55</v>
      </c>
      <c r="BB1" s="3" t="s">
        <v>56</v>
      </c>
      <c r="BC1" s="3" t="s">
        <v>57</v>
      </c>
      <c r="BD1" s="3" t="s">
        <v>58</v>
      </c>
      <c r="BE1" s="3" t="s">
        <v>59</v>
      </c>
      <c r="BF1" s="3" t="s">
        <v>60</v>
      </c>
      <c r="BG1" s="3" t="s">
        <v>61</v>
      </c>
      <c r="BH1" s="3" t="s">
        <v>62</v>
      </c>
      <c r="BI1" s="3" t="s">
        <v>63</v>
      </c>
      <c r="BJ1" s="3" t="s">
        <v>64</v>
      </c>
      <c r="BK1" s="3" t="s">
        <v>65</v>
      </c>
      <c r="BL1" s="5"/>
    </row>
    <row r="2" spans="1:64">
      <c r="A2" s="3">
        <v>0</v>
      </c>
      <c r="B2" s="3">
        <v>0</v>
      </c>
      <c r="C2" s="3"/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5"/>
    </row>
    <row r="3" spans="1:64">
      <c r="A3" s="3">
        <v>0.39716411736214</v>
      </c>
      <c r="B3" s="4">
        <v>3.7804375705224e-15</v>
      </c>
      <c r="C3" s="4">
        <f>(BF3-BF2)/(A3-A2)</f>
        <v>1.68314611241029e-6</v>
      </c>
      <c r="D3" s="4">
        <v>1.2852078387899e-15</v>
      </c>
      <c r="E3" s="4">
        <v>1.5543017765373e-15</v>
      </c>
      <c r="F3" s="4">
        <v>1.5543017765373e-15</v>
      </c>
      <c r="G3" s="4">
        <v>1.5543017765373e-15</v>
      </c>
      <c r="H3" s="4">
        <v>1.2852078387899e-15</v>
      </c>
      <c r="I3" s="4">
        <v>1.2852078387899e-15</v>
      </c>
      <c r="J3" s="4">
        <v>1.2852078387899e-15</v>
      </c>
      <c r="K3" s="4">
        <v>1.3624937719187e-15</v>
      </c>
      <c r="L3" s="4">
        <v>1.3624937719187e-15</v>
      </c>
      <c r="M3" s="4">
        <v>1.3624937719187e-15</v>
      </c>
      <c r="N3" s="4">
        <v>1.419790527241e-15</v>
      </c>
      <c r="O3" s="4">
        <v>1.2852078387899e-15</v>
      </c>
      <c r="P3" s="4">
        <v>1.419790527241e-15</v>
      </c>
      <c r="Q3" s="4">
        <v>1.419790527241e-15</v>
      </c>
      <c r="R3" s="4">
        <v>1.5543017765373e-15</v>
      </c>
      <c r="S3" s="4">
        <v>1.5543017765373e-15</v>
      </c>
      <c r="T3" s="4">
        <v>1.5543017765373e-15</v>
      </c>
      <c r="U3" s="4">
        <v>1.2852078387899e-15</v>
      </c>
      <c r="V3" s="4">
        <v>1.3624937719187e-15</v>
      </c>
      <c r="W3" s="4">
        <v>1.3624937719187e-15</v>
      </c>
      <c r="X3" s="4">
        <v>1.3624937719187e-15</v>
      </c>
      <c r="Y3" s="4">
        <v>1.419790527241e-15</v>
      </c>
      <c r="Z3" s="4">
        <v>1.419790527241e-15</v>
      </c>
      <c r="AA3" s="4">
        <v>1.419790527241e-15</v>
      </c>
      <c r="AB3" s="3">
        <v>1</v>
      </c>
      <c r="AC3" s="3">
        <v>0.99999999999946</v>
      </c>
      <c r="AD3" s="4">
        <v>6.5285935442454e-7</v>
      </c>
      <c r="AE3" s="4">
        <v>1.9651072171787e-28</v>
      </c>
      <c r="AF3" s="4">
        <v>-2.6062795298434e-28</v>
      </c>
      <c r="AG3" s="4">
        <v>1.39403859516e-28</v>
      </c>
      <c r="AH3" s="4">
        <v>-2.7469898591236e-28</v>
      </c>
      <c r="AI3" s="4">
        <v>-6.9391133170801e-29</v>
      </c>
      <c r="AJ3" s="4">
        <v>-1.862742718599e-28</v>
      </c>
      <c r="AK3" s="4">
        <v>7.601269983293e-29</v>
      </c>
      <c r="AL3" s="4">
        <v>1.3439296286309e-28</v>
      </c>
      <c r="AM3" s="4">
        <v>1.270140440454e-28</v>
      </c>
      <c r="AN3" s="4">
        <v>-2.2764602873854e-28</v>
      </c>
      <c r="AO3" s="4">
        <v>6.4381532133309e-29</v>
      </c>
      <c r="AP3" s="4">
        <v>-1.2824680867221e-28</v>
      </c>
      <c r="AQ3" s="4">
        <v>3.4410003172621e-28</v>
      </c>
      <c r="AR3" s="4">
        <v>-3.5769246160031e-28</v>
      </c>
      <c r="AS3" s="4">
        <v>2.1163419251266e-28</v>
      </c>
      <c r="AT3" s="4">
        <v>3.0525141219912e-30</v>
      </c>
      <c r="AU3" s="4">
        <v>-1.9346672598551e-28</v>
      </c>
      <c r="AV3" s="4">
        <v>-1.1212728313562e-28</v>
      </c>
      <c r="AW3" s="4">
        <v>1.2193170327615e-28</v>
      </c>
      <c r="AX3" s="4">
        <v>3.5671407510193e-30</v>
      </c>
      <c r="AY3" s="4">
        <v>-1.1703634012689e-28</v>
      </c>
      <c r="AZ3" s="4">
        <v>2.1289674591151e-28</v>
      </c>
      <c r="BA3" s="4">
        <v>2.7310467708332e-28</v>
      </c>
      <c r="BB3" s="4">
        <v>-3.8153988459277e-28</v>
      </c>
      <c r="BC3" s="3">
        <v>15999999.999993</v>
      </c>
      <c r="BD3" s="3">
        <v>3999999.9999994</v>
      </c>
      <c r="BE3" s="4">
        <v>-3.1847677307811e-7</v>
      </c>
      <c r="BF3" s="4">
        <v>6.6848524012695e-7</v>
      </c>
      <c r="BG3" s="4">
        <v>1.8962622055182e-7</v>
      </c>
      <c r="BH3" s="4">
        <v>-1.2826499742708e-9</v>
      </c>
      <c r="BI3" s="3">
        <v>0.15898793303699</v>
      </c>
      <c r="BJ3" s="3">
        <v>0.079493977331445</v>
      </c>
      <c r="BK3" s="3">
        <v>0.14633507999086</v>
      </c>
      <c r="BL3" s="5"/>
    </row>
    <row r="4" spans="1:64">
      <c r="A4" s="3">
        <v>3.9716411736214</v>
      </c>
      <c r="B4" s="4">
        <v>3.9801798134595e-13</v>
      </c>
      <c r="C4" s="4">
        <f>(BF4-BF3)/(A4-A3)</f>
        <v>1.68307532711722e-6</v>
      </c>
      <c r="D4" s="4">
        <v>1.2858953559222e-14</v>
      </c>
      <c r="E4" s="4">
        <v>1.5552500385419e-14</v>
      </c>
      <c r="F4" s="4">
        <v>1.5552500385419e-14</v>
      </c>
      <c r="G4" s="4">
        <v>1.5552500385419e-14</v>
      </c>
      <c r="H4" s="4">
        <v>1.2858953559222e-14</v>
      </c>
      <c r="I4" s="4">
        <v>1.2858953559222e-14</v>
      </c>
      <c r="J4" s="4">
        <v>1.2858953559222e-14</v>
      </c>
      <c r="K4" s="4">
        <v>1.363186697675e-14</v>
      </c>
      <c r="L4" s="4">
        <v>1.363186697675e-14</v>
      </c>
      <c r="M4" s="4">
        <v>1.363186697675e-14</v>
      </c>
      <c r="N4" s="4">
        <v>1.4205962526087e-14</v>
      </c>
      <c r="O4" s="4">
        <v>1.2858953559222e-14</v>
      </c>
      <c r="P4" s="4">
        <v>1.4205962526087e-14</v>
      </c>
      <c r="Q4" s="4">
        <v>1.4205962526087e-14</v>
      </c>
      <c r="R4" s="4">
        <v>1.5552500385419e-14</v>
      </c>
      <c r="S4" s="4">
        <v>1.5552500385419e-14</v>
      </c>
      <c r="T4" s="4">
        <v>1.5552500385419e-14</v>
      </c>
      <c r="U4" s="4">
        <v>1.2858953559222e-14</v>
      </c>
      <c r="V4" s="4">
        <v>1.363186697675e-14</v>
      </c>
      <c r="W4" s="4">
        <v>1.363186697675e-14</v>
      </c>
      <c r="X4" s="4">
        <v>1.363186697675e-14</v>
      </c>
      <c r="Y4" s="4">
        <v>1.4205962526087e-14</v>
      </c>
      <c r="Z4" s="4">
        <v>1.4205962526087e-14</v>
      </c>
      <c r="AA4" s="4">
        <v>1.4205962526087e-14</v>
      </c>
      <c r="AB4" s="3">
        <v>1</v>
      </c>
      <c r="AC4" s="3">
        <v>0.99999999999957</v>
      </c>
      <c r="AD4" s="4">
        <v>6.5284178812053e-6</v>
      </c>
      <c r="AE4" s="4">
        <v>9.9228609697648e-28</v>
      </c>
      <c r="AF4" s="4">
        <v>2.3578652622057e-28</v>
      </c>
      <c r="AG4" s="4">
        <v>2.46326762961e-27</v>
      </c>
      <c r="AH4" s="4">
        <v>-8.7425821685984e-28</v>
      </c>
      <c r="AI4" s="4">
        <v>5.573970748793e-29</v>
      </c>
      <c r="AJ4" s="4">
        <v>-6.3464971640483e-28</v>
      </c>
      <c r="AK4" s="4">
        <v>1.1037084541023e-27</v>
      </c>
      <c r="AL4" s="4">
        <v>9.7764555011576e-28</v>
      </c>
      <c r="AM4" s="4">
        <v>9.5952311235428e-29</v>
      </c>
      <c r="AN4" s="4">
        <v>-1.0179427858063e-27</v>
      </c>
      <c r="AO4" s="4">
        <v>1.1435398578024e-27</v>
      </c>
      <c r="AP4" s="4">
        <v>-4.9409783108834e-28</v>
      </c>
      <c r="AQ4" s="4">
        <v>2.1570813071447e-27</v>
      </c>
      <c r="AR4" s="4">
        <v>-3.4771631890035e-27</v>
      </c>
      <c r="AS4" s="4">
        <v>1.1617370066568e-27</v>
      </c>
      <c r="AT4" s="4">
        <v>5.4185861034256e-28</v>
      </c>
      <c r="AU4" s="4">
        <v>-1.9887147132499e-27</v>
      </c>
      <c r="AV4" s="4">
        <v>-6.8042212156425e-28</v>
      </c>
      <c r="AW4" s="4">
        <v>7.7380286580218e-28</v>
      </c>
      <c r="AX4" s="4">
        <v>6.8036413114291e-28</v>
      </c>
      <c r="AY4" s="4">
        <v>-8.8511286730425e-28</v>
      </c>
      <c r="AZ4" s="4">
        <v>1.1598710567408e-28</v>
      </c>
      <c r="BA4" s="4">
        <v>2.1833238843891e-27</v>
      </c>
      <c r="BB4" s="4">
        <v>-3.7398244180292e-27</v>
      </c>
      <c r="BC4" s="3">
        <v>15999999.99952</v>
      </c>
      <c r="BD4" s="3">
        <v>3999999.9999378</v>
      </c>
      <c r="BE4" s="4">
        <v>-3.1847465679865e-6</v>
      </c>
      <c r="BF4" s="4">
        <v>6.6845993808635e-6</v>
      </c>
      <c r="BG4" s="4">
        <v>1.8962797508733e-6</v>
      </c>
      <c r="BH4" s="4">
        <v>-1.2820923063982e-7</v>
      </c>
      <c r="BI4" s="3">
        <v>1.5898782209071</v>
      </c>
      <c r="BJ4" s="3">
        <v>0.79494019167635</v>
      </c>
      <c r="BK4" s="3">
        <v>1.4633461596854</v>
      </c>
      <c r="BL4" s="5"/>
    </row>
    <row r="5" spans="1:64">
      <c r="A5" s="3">
        <v>39.716411736214</v>
      </c>
      <c r="B5" s="4">
        <v>4.0023656504136e-11</v>
      </c>
      <c r="C5" s="4">
        <f t="shared" ref="C5:C36" si="0">(BF5-BF4)/(A5-A4)</f>
        <v>1.68237497210299e-6</v>
      </c>
      <c r="D5" s="4">
        <v>1.2937341188974e-13</v>
      </c>
      <c r="E5" s="4">
        <v>1.5657304880578e-13</v>
      </c>
      <c r="F5" s="4">
        <v>1.5657304880578e-13</v>
      </c>
      <c r="G5" s="4">
        <v>1.5657304880578e-13</v>
      </c>
      <c r="H5" s="4">
        <v>1.2937341188974e-13</v>
      </c>
      <c r="I5" s="4">
        <v>1.2937341188974e-13</v>
      </c>
      <c r="J5" s="4">
        <v>1.2937341188974e-13</v>
      </c>
      <c r="K5" s="4">
        <v>1.3709178341431e-13</v>
      </c>
      <c r="L5" s="4">
        <v>1.3709178341431e-13</v>
      </c>
      <c r="M5" s="4">
        <v>1.3709178341431e-13</v>
      </c>
      <c r="N5" s="4">
        <v>1.429606844368e-13</v>
      </c>
      <c r="O5" s="4">
        <v>1.2937341188974e-13</v>
      </c>
      <c r="P5" s="4">
        <v>1.429606844368e-13</v>
      </c>
      <c r="Q5" s="4">
        <v>1.429606844368e-13</v>
      </c>
      <c r="R5" s="4">
        <v>1.5657304880578e-13</v>
      </c>
      <c r="S5" s="4">
        <v>1.5657304880578e-13</v>
      </c>
      <c r="T5" s="4">
        <v>1.5657304880578e-13</v>
      </c>
      <c r="U5" s="4">
        <v>1.2937341188974e-13</v>
      </c>
      <c r="V5" s="4">
        <v>1.3709178341431e-13</v>
      </c>
      <c r="W5" s="4">
        <v>1.3709178341431e-13</v>
      </c>
      <c r="X5" s="4">
        <v>1.3709178341431e-13</v>
      </c>
      <c r="Y5" s="4">
        <v>1.429606844368e-13</v>
      </c>
      <c r="Z5" s="4">
        <v>1.429606844368e-13</v>
      </c>
      <c r="AA5" s="4">
        <v>1.429606844368e-13</v>
      </c>
      <c r="AB5" s="3">
        <v>1</v>
      </c>
      <c r="AC5" s="3">
        <v>0.99999999992766</v>
      </c>
      <c r="AD5" s="4">
        <v>6.5266622631133e-5</v>
      </c>
      <c r="AE5" s="4">
        <v>-3.1652424342652e-25</v>
      </c>
      <c r="AF5" s="4">
        <v>5.9030276527545e-24</v>
      </c>
      <c r="AG5" s="4">
        <v>6.3664266847768e-24</v>
      </c>
      <c r="AH5" s="4">
        <v>1.2113091712677e-24</v>
      </c>
      <c r="AI5" s="4">
        <v>9.0935393010038e-26</v>
      </c>
      <c r="AJ5" s="4">
        <v>1.3341566081738e-24</v>
      </c>
      <c r="AK5" s="4">
        <v>1.4929554240143e-24</v>
      </c>
      <c r="AL5" s="4">
        <v>2.3713270433642e-24</v>
      </c>
      <c r="AM5" s="4">
        <v>-1.1363750985353e-24</v>
      </c>
      <c r="AN5" s="4">
        <v>-4.3775716735016e-26</v>
      </c>
      <c r="AO5" s="4">
        <v>2.8681255525154e-24</v>
      </c>
      <c r="AP5" s="4">
        <v>-2.1828763346873e-25</v>
      </c>
      <c r="AQ5" s="4">
        <v>2.1835071235166e-24</v>
      </c>
      <c r="AR5" s="4">
        <v>-7.6316338615896e-24</v>
      </c>
      <c r="AS5" s="4">
        <v>-2.9033324110528e-25</v>
      </c>
      <c r="AT5" s="4">
        <v>1.3705373669075e-24</v>
      </c>
      <c r="AU5" s="4">
        <v>-3.0725575371891e-24</v>
      </c>
      <c r="AV5" s="4">
        <v>-1.6703223708677e-24</v>
      </c>
      <c r="AW5" s="4">
        <v>-1.4150677216156e-25</v>
      </c>
      <c r="AX5" s="4">
        <v>4.6895365095236e-24</v>
      </c>
      <c r="AY5" s="4">
        <v>5.4149068236716e-25</v>
      </c>
      <c r="AZ5" s="4">
        <v>-3.9328450170976e-24</v>
      </c>
      <c r="BA5" s="4">
        <v>2.8757278637224e-24</v>
      </c>
      <c r="BB5" s="4">
        <v>-1.064605797769e-23</v>
      </c>
      <c r="BC5" s="3">
        <v>15999999.96957</v>
      </c>
      <c r="BD5" s="3">
        <v>3999999.9937472</v>
      </c>
      <c r="BE5" s="4">
        <v>-3.1845350683317e-5</v>
      </c>
      <c r="BF5" s="4">
        <v>6.6820706758933e-5</v>
      </c>
      <c r="BG5" s="4">
        <v>1.8964549296089e-5</v>
      </c>
      <c r="BH5" s="4">
        <v>-1.2826129230386e-5</v>
      </c>
      <c r="BI5" s="3">
        <v>15.898671236354</v>
      </c>
      <c r="BJ5" s="3">
        <v>7.9494436874101</v>
      </c>
      <c r="BK5" s="3">
        <v>14.63299783445</v>
      </c>
      <c r="BL5" s="5"/>
    </row>
    <row r="6" spans="1:64">
      <c r="A6" s="3">
        <v>397.16411736214</v>
      </c>
      <c r="B6" s="4">
        <v>2.7634144579664e-9</v>
      </c>
      <c r="C6" s="4">
        <f t="shared" si="0"/>
        <v>5.18107822492244e-7</v>
      </c>
      <c r="D6" s="4">
        <v>6.3093010865137e-13</v>
      </c>
      <c r="E6" s="4">
        <v>7.6562698248773e-13</v>
      </c>
      <c r="F6" s="4">
        <v>7.6562698248766e-13</v>
      </c>
      <c r="G6" s="4">
        <v>7.656269824873e-13</v>
      </c>
      <c r="H6" s="4">
        <v>6.3093010865071e-13</v>
      </c>
      <c r="I6" s="4">
        <v>6.3093010865095e-13</v>
      </c>
      <c r="J6" s="4">
        <v>6.3093010865081e-13</v>
      </c>
      <c r="K6" s="4">
        <v>6.673561840867e-13</v>
      </c>
      <c r="L6" s="4">
        <v>6.6735618408711e-13</v>
      </c>
      <c r="M6" s="4">
        <v>6.673561840865e-13</v>
      </c>
      <c r="N6" s="4">
        <v>6.9789262420236e-13</v>
      </c>
      <c r="O6" s="4">
        <v>6.3093010865072e-13</v>
      </c>
      <c r="P6" s="4">
        <v>6.9789262420213e-13</v>
      </c>
      <c r="Q6" s="4">
        <v>6.9789262420365e-13</v>
      </c>
      <c r="R6" s="4">
        <v>7.6562698248733e-13</v>
      </c>
      <c r="S6" s="4">
        <v>7.656269824871e-13</v>
      </c>
      <c r="T6" s="4">
        <v>7.6562698248731e-13</v>
      </c>
      <c r="U6" s="4">
        <v>6.3093010865078e-13</v>
      </c>
      <c r="V6" s="4">
        <v>6.6735618408689e-13</v>
      </c>
      <c r="W6" s="4">
        <v>6.6735618408729e-13</v>
      </c>
      <c r="X6" s="4">
        <v>6.6735618408675e-13</v>
      </c>
      <c r="Y6" s="4">
        <v>6.9789262420224e-13</v>
      </c>
      <c r="Z6" s="4">
        <v>6.978926242035e-13</v>
      </c>
      <c r="AA6" s="4">
        <v>6.9789262420396e-13</v>
      </c>
      <c r="AB6" s="3">
        <v>0.99999986320467</v>
      </c>
      <c r="AC6" s="3">
        <v>0.99999445836162</v>
      </c>
      <c r="AD6" s="3">
        <v>0.00024624852001104</v>
      </c>
      <c r="AE6" s="4">
        <v>-6.0226065827427e-19</v>
      </c>
      <c r="AF6" s="4">
        <v>3.3620206545457e-18</v>
      </c>
      <c r="AG6" s="4">
        <v>2.6516034954066e-18</v>
      </c>
      <c r="AH6" s="4">
        <v>2.9516364711269e-19</v>
      </c>
      <c r="AI6" s="4">
        <v>-9.114353591013e-20</v>
      </c>
      <c r="AJ6" s="4">
        <v>7.5898924921265e-19</v>
      </c>
      <c r="AK6" s="4">
        <v>1.2494588736828e-19</v>
      </c>
      <c r="AL6" s="4">
        <v>7.7311417459633e-19</v>
      </c>
      <c r="AM6" s="4">
        <v>1.4937243323677e-20</v>
      </c>
      <c r="AN6" s="4">
        <v>-6.1672394817229e-20</v>
      </c>
      <c r="AO6" s="4">
        <v>9.5448361195873e-19</v>
      </c>
      <c r="AP6" s="4">
        <v>-1.3640688047808e-20</v>
      </c>
      <c r="AQ6" s="4">
        <v>4.6607529816806e-19</v>
      </c>
      <c r="AR6" s="4">
        <v>-4.0970679513836e-18</v>
      </c>
      <c r="AS6" s="4">
        <v>-4.3623233449379e-19</v>
      </c>
      <c r="AT6" s="4">
        <v>3.2957662746759e-19</v>
      </c>
      <c r="AU6" s="4">
        <v>-9.1245623812795e-19</v>
      </c>
      <c r="AV6" s="4">
        <v>-6.4334180874787e-19</v>
      </c>
      <c r="AW6" s="4">
        <v>-2.7626207037396e-19</v>
      </c>
      <c r="AX6" s="4">
        <v>2.5806594725568e-18</v>
      </c>
      <c r="AY6" s="4">
        <v>4.8819228629308e-19</v>
      </c>
      <c r="AZ6" s="4">
        <v>-1.758528757502e-18</v>
      </c>
      <c r="BA6" s="4">
        <v>2.3335152604806e-18</v>
      </c>
      <c r="BB6" s="4">
        <v>-7.2590218958563e-18</v>
      </c>
      <c r="BC6" s="3">
        <v>15999998.554996</v>
      </c>
      <c r="BD6" s="3">
        <v>3999999.5692799</v>
      </c>
      <c r="BE6" s="3">
        <v>-0.00012024338149368</v>
      </c>
      <c r="BF6" s="3">
        <v>0.00025201715917563</v>
      </c>
      <c r="BG6" s="4">
        <v>7.1646206415725e-5</v>
      </c>
      <c r="BH6" s="3">
        <v>-0.00018197568101764</v>
      </c>
      <c r="BI6" s="3">
        <v>60.044438572766</v>
      </c>
      <c r="BJ6" s="3">
        <v>30.023754380911</v>
      </c>
      <c r="BK6" s="3">
        <v>55.259486703311</v>
      </c>
      <c r="BL6" s="5"/>
    </row>
    <row r="7" spans="1:64">
      <c r="A7" s="3">
        <v>3971.6411736214</v>
      </c>
      <c r="B7" s="4">
        <v>3.4440046951443e-8</v>
      </c>
      <c r="C7" s="4">
        <f t="shared" si="0"/>
        <v>9.60880586430892e-12</v>
      </c>
      <c r="D7" s="4">
        <v>6.3093011321818e-13</v>
      </c>
      <c r="E7" s="4">
        <v>7.6562335189074e-13</v>
      </c>
      <c r="F7" s="4">
        <v>7.6562335188939e-13</v>
      </c>
      <c r="G7" s="4">
        <v>7.6562335188275e-13</v>
      </c>
      <c r="H7" s="4">
        <v>6.3093011320591e-13</v>
      </c>
      <c r="I7" s="4">
        <v>6.3093011321038e-13</v>
      </c>
      <c r="J7" s="4">
        <v>6.3093011320791e-13</v>
      </c>
      <c r="K7" s="4">
        <v>6.6735510703155e-13</v>
      </c>
      <c r="L7" s="4">
        <v>6.6735510703915e-13</v>
      </c>
      <c r="M7" s="4">
        <v>6.6735510702791e-13</v>
      </c>
      <c r="N7" s="4">
        <v>6.978897573256e-13</v>
      </c>
      <c r="O7" s="4">
        <v>6.3093011320617e-13</v>
      </c>
      <c r="P7" s="4">
        <v>6.9788975732136e-13</v>
      </c>
      <c r="Q7" s="4">
        <v>6.9788975734958e-13</v>
      </c>
      <c r="R7" s="4">
        <v>7.6562335188326e-13</v>
      </c>
      <c r="S7" s="4">
        <v>7.6562335187916e-13</v>
      </c>
      <c r="T7" s="4">
        <v>7.6562335188292e-13</v>
      </c>
      <c r="U7" s="4">
        <v>6.3093011320729e-13</v>
      </c>
      <c r="V7" s="4">
        <v>6.6735510703503e-13</v>
      </c>
      <c r="W7" s="4">
        <v>6.6735510704255e-13</v>
      </c>
      <c r="X7" s="4">
        <v>6.6735510703248e-13</v>
      </c>
      <c r="Y7" s="4">
        <v>6.9788975732339e-13</v>
      </c>
      <c r="Z7" s="4">
        <v>6.9788975734686e-13</v>
      </c>
      <c r="AA7" s="4">
        <v>6.9788975735531e-13</v>
      </c>
      <c r="AB7" s="3">
        <v>0.99999998338258</v>
      </c>
      <c r="AC7" s="3">
        <v>0.99999445816193</v>
      </c>
      <c r="AD7" s="3">
        <v>0.00024627470122782</v>
      </c>
      <c r="AE7" s="4">
        <v>-6.0232876972585e-19</v>
      </c>
      <c r="AF7" s="4">
        <v>3.3616236436743e-18</v>
      </c>
      <c r="AG7" s="4">
        <v>2.6514104925766e-18</v>
      </c>
      <c r="AH7" s="4">
        <v>2.952357228179e-19</v>
      </c>
      <c r="AI7" s="4">
        <v>-9.1159699525653e-20</v>
      </c>
      <c r="AJ7" s="4">
        <v>7.5898797213419e-19</v>
      </c>
      <c r="AK7" s="4">
        <v>1.2494538772556e-19</v>
      </c>
      <c r="AL7" s="4">
        <v>7.7308579586914e-19</v>
      </c>
      <c r="AM7" s="4">
        <v>1.5300079142646e-20</v>
      </c>
      <c r="AN7" s="4">
        <v>-6.167340925126e-20</v>
      </c>
      <c r="AO7" s="4">
        <v>9.5443303932387e-19</v>
      </c>
      <c r="AP7" s="4">
        <v>-1.3618424606319e-20</v>
      </c>
      <c r="AQ7" s="4">
        <v>4.6610825239363e-19</v>
      </c>
      <c r="AR7" s="4">
        <v>-4.0970531565138e-18</v>
      </c>
      <c r="AS7" s="4">
        <v>-4.3613161282526e-19</v>
      </c>
      <c r="AT7" s="4">
        <v>3.295209257651e-19</v>
      </c>
      <c r="AU7" s="4">
        <v>-9.123451268964e-19</v>
      </c>
      <c r="AV7" s="4">
        <v>-6.4335564330633e-19</v>
      </c>
      <c r="AW7" s="4">
        <v>-2.7622039314447e-19</v>
      </c>
      <c r="AX7" s="4">
        <v>2.5803728984474e-18</v>
      </c>
      <c r="AY7" s="4">
        <v>4.8814982165017e-19</v>
      </c>
      <c r="AZ7" s="4">
        <v>-1.7583133038465e-18</v>
      </c>
      <c r="BA7" s="4">
        <v>2.3335146250652e-18</v>
      </c>
      <c r="BB7" s="4">
        <v>-7.2590565344377e-18</v>
      </c>
      <c r="BC7" s="3">
        <v>15999982.481697</v>
      </c>
      <c r="BD7" s="3">
        <v>3999994.6333687</v>
      </c>
      <c r="BE7" s="3">
        <v>-0.0001202378083237</v>
      </c>
      <c r="BF7" s="3">
        <v>0.00025205150563173</v>
      </c>
      <c r="BG7" s="4">
        <v>7.1665506252484e-5</v>
      </c>
      <c r="BH7" s="3">
        <v>-0.00018202007728187</v>
      </c>
      <c r="BI7" s="3">
        <v>60.044438300691</v>
      </c>
      <c r="BJ7" s="3">
        <v>30.02375440624</v>
      </c>
      <c r="BK7" s="3">
        <v>55.259093266635</v>
      </c>
      <c r="BL7" s="5"/>
    </row>
    <row r="8" spans="1:64">
      <c r="A8" s="3">
        <v>39716.411736214</v>
      </c>
      <c r="B8" s="4">
        <v>3.5119659385706e-7</v>
      </c>
      <c r="C8" s="4">
        <f t="shared" si="0"/>
        <v>9.60862125072413e-12</v>
      </c>
      <c r="D8" s="4">
        <v>6.3092793782406e-13</v>
      </c>
      <c r="E8" s="4">
        <v>7.6558400651855e-13</v>
      </c>
      <c r="F8" s="4">
        <v>7.6558400650438e-13</v>
      </c>
      <c r="G8" s="4">
        <v>7.6558400643503e-13</v>
      </c>
      <c r="H8" s="4">
        <v>6.309279376958e-13</v>
      </c>
      <c r="I8" s="4">
        <v>6.3092793774251e-13</v>
      </c>
      <c r="J8" s="4">
        <v>6.3092793771666e-13</v>
      </c>
      <c r="K8" s="4">
        <v>6.6734204485924e-13</v>
      </c>
      <c r="L8" s="4">
        <v>6.6734204493871e-13</v>
      </c>
      <c r="M8" s="4">
        <v>6.6734204482108e-13</v>
      </c>
      <c r="N8" s="4">
        <v>6.9785792396353e-13</v>
      </c>
      <c r="O8" s="4">
        <v>6.3092793769852e-13</v>
      </c>
      <c r="P8" s="4">
        <v>6.978579239192e-13</v>
      </c>
      <c r="Q8" s="4">
        <v>6.9785792421446e-13</v>
      </c>
      <c r="R8" s="4">
        <v>7.6558400644029e-13</v>
      </c>
      <c r="S8" s="4">
        <v>7.6558400639748e-13</v>
      </c>
      <c r="T8" s="4">
        <v>7.655840064368e-13</v>
      </c>
      <c r="U8" s="4">
        <v>6.309279377102e-13</v>
      </c>
      <c r="V8" s="4">
        <v>6.6734204489554e-13</v>
      </c>
      <c r="W8" s="4">
        <v>6.6734204497424e-13</v>
      </c>
      <c r="X8" s="4">
        <v>6.6734204486895e-13</v>
      </c>
      <c r="Y8" s="4">
        <v>6.9785792394039e-13</v>
      </c>
      <c r="Z8" s="4">
        <v>6.9785792418597e-13</v>
      </c>
      <c r="AA8" s="4">
        <v>6.9785792427446e-13</v>
      </c>
      <c r="AB8" s="3">
        <v>0.99999999827406</v>
      </c>
      <c r="AC8" s="3">
        <v>0.99999445648118</v>
      </c>
      <c r="AD8" s="3">
        <v>0.00024653658372115</v>
      </c>
      <c r="AE8" s="4">
        <v>-6.0298311199317e-19</v>
      </c>
      <c r="AF8" s="4">
        <v>3.3574562568089e-18</v>
      </c>
      <c r="AG8" s="4">
        <v>2.6493196708364e-18</v>
      </c>
      <c r="AH8" s="4">
        <v>2.9595613698539e-19</v>
      </c>
      <c r="AI8" s="4">
        <v>-9.1307994258605e-20</v>
      </c>
      <c r="AJ8" s="4">
        <v>7.5895629724559e-19</v>
      </c>
      <c r="AK8" s="4">
        <v>1.2495514681043e-19</v>
      </c>
      <c r="AL8" s="4">
        <v>7.7279541754519e-19</v>
      </c>
      <c r="AM8" s="4">
        <v>1.895364757269e-20</v>
      </c>
      <c r="AN8" s="4">
        <v>-6.1652083962692e-20</v>
      </c>
      <c r="AO8" s="4">
        <v>9.5387616754816e-19</v>
      </c>
      <c r="AP8" s="4">
        <v>-1.3398614789513e-20</v>
      </c>
      <c r="AQ8" s="4">
        <v>4.6642626313535e-19</v>
      </c>
      <c r="AR8" s="4">
        <v>-4.0964022405341e-18</v>
      </c>
      <c r="AS8" s="4">
        <v>-4.3507653829694e-19</v>
      </c>
      <c r="AT8" s="4">
        <v>3.2895729233647e-19</v>
      </c>
      <c r="AU8" s="4">
        <v>-9.1115371311872e-19</v>
      </c>
      <c r="AV8" s="4">
        <v>-6.4346620230266e-19</v>
      </c>
      <c r="AW8" s="4">
        <v>-2.7578332500511e-19</v>
      </c>
      <c r="AX8" s="4">
        <v>2.5773914868516e-18</v>
      </c>
      <c r="AY8" s="4">
        <v>4.8771569127153e-19</v>
      </c>
      <c r="AZ8" s="4">
        <v>-1.7560712370739e-18</v>
      </c>
      <c r="BA8" s="4">
        <v>2.3332291437674e-18</v>
      </c>
      <c r="BB8" s="4">
        <v>-7.2588714128244e-18</v>
      </c>
      <c r="BC8" s="3">
        <v>15999821.751339</v>
      </c>
      <c r="BD8" s="3">
        <v>3999945.2756366</v>
      </c>
      <c r="BE8" s="3">
        <v>-0.00012018206697123</v>
      </c>
      <c r="BF8" s="3">
        <v>0.00025239496359376</v>
      </c>
      <c r="BG8" s="4">
        <v>7.1858498969917e-5</v>
      </c>
      <c r="BH8" s="3">
        <v>-0.00018191544516282</v>
      </c>
      <c r="BI8" s="3">
        <v>60.04443808381</v>
      </c>
      <c r="BJ8" s="3">
        <v>30.023754928033</v>
      </c>
      <c r="BK8" s="3">
        <v>55.255162946769</v>
      </c>
      <c r="BL8" s="5"/>
    </row>
    <row r="9" spans="1:64">
      <c r="A9" s="3">
        <v>397164.11736214</v>
      </c>
      <c r="B9" s="4">
        <v>3.5177856464271e-6</v>
      </c>
      <c r="C9" s="4">
        <f t="shared" si="0"/>
        <v>9.60287513282345e-12</v>
      </c>
      <c r="D9" s="4">
        <v>6.3090577850057e-13</v>
      </c>
      <c r="E9" s="4">
        <v>7.651913877577e-13</v>
      </c>
      <c r="F9" s="4">
        <v>7.6519138761743e-13</v>
      </c>
      <c r="G9" s="4">
        <v>7.6519138692874e-13</v>
      </c>
      <c r="H9" s="4">
        <v>6.3090577721616e-13</v>
      </c>
      <c r="I9" s="4">
        <v>6.3090577768279e-13</v>
      </c>
      <c r="J9" s="4">
        <v>6.3090577742546e-13</v>
      </c>
      <c r="K9" s="4">
        <v>6.6721125683634e-13</v>
      </c>
      <c r="L9" s="4">
        <v>6.6721125763562e-13</v>
      </c>
      <c r="M9" s="4">
        <v>6.6721125645147e-13</v>
      </c>
      <c r="N9" s="4">
        <v>6.975404320688e-13</v>
      </c>
      <c r="O9" s="4">
        <v>6.3090577724311e-13</v>
      </c>
      <c r="P9" s="4">
        <v>6.9754043162324e-13</v>
      </c>
      <c r="Q9" s="4">
        <v>6.9754043459583e-13</v>
      </c>
      <c r="R9" s="4">
        <v>7.651913869764e-13</v>
      </c>
      <c r="S9" s="4">
        <v>7.6519138654921e-13</v>
      </c>
      <c r="T9" s="4">
        <v>7.651913869436e-13</v>
      </c>
      <c r="U9" s="4">
        <v>6.3090577736148e-13</v>
      </c>
      <c r="V9" s="4">
        <v>6.6721125719294e-13</v>
      </c>
      <c r="W9" s="4">
        <v>6.6721125799049e-13</v>
      </c>
      <c r="X9" s="4">
        <v>6.67211256937e-13</v>
      </c>
      <c r="Y9" s="4">
        <v>6.9754043183196e-13</v>
      </c>
      <c r="Z9" s="4">
        <v>6.9754043430292e-13</v>
      </c>
      <c r="AA9" s="4">
        <v>6.9754043520167e-13</v>
      </c>
      <c r="AB9" s="3">
        <v>0.99999999982669</v>
      </c>
      <c r="AC9" s="3">
        <v>0.99999443958354</v>
      </c>
      <c r="AD9" s="3">
        <v>0.0002491611670933</v>
      </c>
      <c r="AE9" s="4">
        <v>-6.0954222956827e-19</v>
      </c>
      <c r="AF9" s="4">
        <v>3.3160051795294e-18</v>
      </c>
      <c r="AG9" s="4">
        <v>2.6285435005141e-18</v>
      </c>
      <c r="AH9" s="4">
        <v>3.0318163719155e-19</v>
      </c>
      <c r="AI9" s="4">
        <v>-9.2789676509135e-20</v>
      </c>
      <c r="AJ9" s="4">
        <v>7.5860056565842e-19</v>
      </c>
      <c r="AK9" s="4">
        <v>1.250341075521e-19</v>
      </c>
      <c r="AL9" s="4">
        <v>7.6992815817242e-19</v>
      </c>
      <c r="AM9" s="4">
        <v>5.5672233330034e-20</v>
      </c>
      <c r="AN9" s="4">
        <v>-6.1456855750146e-20</v>
      </c>
      <c r="AO9" s="4">
        <v>9.4834359198841e-19</v>
      </c>
      <c r="AP9" s="4">
        <v>-1.121292905789e-20</v>
      </c>
      <c r="AQ9" s="4">
        <v>4.6954644879884e-19</v>
      </c>
      <c r="AR9" s="4">
        <v>-4.08965830263e-18</v>
      </c>
      <c r="AS9" s="4">
        <v>-4.2456600780229e-19</v>
      </c>
      <c r="AT9" s="4">
        <v>3.2334106013651e-19</v>
      </c>
      <c r="AU9" s="4">
        <v>-8.9927054888064e-19</v>
      </c>
      <c r="AV9" s="4">
        <v>-6.4458958289836e-19</v>
      </c>
      <c r="AW9" s="4">
        <v>-2.7136540509942e-19</v>
      </c>
      <c r="AX9" s="4">
        <v>2.5475465353069e-18</v>
      </c>
      <c r="AY9" s="4">
        <v>4.8328839820831e-19</v>
      </c>
      <c r="AZ9" s="4">
        <v>-1.7337847596463e-18</v>
      </c>
      <c r="BA9" s="4">
        <v>2.3302673679529e-18</v>
      </c>
      <c r="BB9" s="4">
        <v>-7.2566257325628e-18</v>
      </c>
      <c r="BC9" s="3">
        <v>15998214.711868</v>
      </c>
      <c r="BD9" s="3">
        <v>3999451.8361675</v>
      </c>
      <c r="BE9" s="3">
        <v>-0.00011962346988244</v>
      </c>
      <c r="BF9" s="3">
        <v>0.0002558274892774</v>
      </c>
      <c r="BG9" s="4">
        <v>7.3788157378753e-5</v>
      </c>
      <c r="BH9" s="3">
        <v>-0.00018096556468335</v>
      </c>
      <c r="BI9" s="3">
        <v>60.044435863313</v>
      </c>
      <c r="BJ9" s="3">
        <v>30.023760016252</v>
      </c>
      <c r="BK9" s="3">
        <v>55.216075159921</v>
      </c>
      <c r="BL9" s="5"/>
    </row>
    <row r="10" spans="1:64">
      <c r="A10" s="3">
        <v>44562.546906687</v>
      </c>
      <c r="B10" s="4">
        <v>3.9413947490827e-7</v>
      </c>
      <c r="C10" s="4">
        <f t="shared" si="0"/>
        <v>9.60283203519576e-12</v>
      </c>
      <c r="D10" s="4">
        <v>6.3092694894512e-13</v>
      </c>
      <c r="E10" s="4">
        <v>7.6556665101712e-13</v>
      </c>
      <c r="F10" s="4">
        <v>7.6556665099733e-13</v>
      </c>
      <c r="G10" s="4">
        <v>7.655666509004e-13</v>
      </c>
      <c r="H10" s="4">
        <v>6.3092694876581e-13</v>
      </c>
      <c r="I10" s="4">
        <v>6.309269488311e-13</v>
      </c>
      <c r="J10" s="4">
        <v>6.3092694879497e-13</v>
      </c>
      <c r="K10" s="4">
        <v>6.6733626143951e-13</v>
      </c>
      <c r="L10" s="4">
        <v>6.6733626155065e-13</v>
      </c>
      <c r="M10" s="4">
        <v>6.6733626138614e-13</v>
      </c>
      <c r="N10" s="4">
        <v>6.978438733405e-13</v>
      </c>
      <c r="O10" s="4">
        <v>6.309269487696e-13</v>
      </c>
      <c r="P10" s="4">
        <v>6.9784387327851e-13</v>
      </c>
      <c r="Q10" s="4">
        <v>6.9784387369143e-13</v>
      </c>
      <c r="R10" s="4">
        <v>7.6556665090772e-13</v>
      </c>
      <c r="S10" s="4">
        <v>7.6556665084788e-13</v>
      </c>
      <c r="T10" s="4">
        <v>7.6556665090286e-13</v>
      </c>
      <c r="U10" s="4">
        <v>6.3092694878594e-13</v>
      </c>
      <c r="V10" s="4">
        <v>6.6733626149022e-13</v>
      </c>
      <c r="W10" s="4">
        <v>6.6733626160031e-13</v>
      </c>
      <c r="X10" s="4">
        <v>6.6733626145311e-13</v>
      </c>
      <c r="Y10" s="4">
        <v>6.9784387330812e-13</v>
      </c>
      <c r="Z10" s="4">
        <v>6.9784387365154e-13</v>
      </c>
      <c r="AA10" s="4">
        <v>6.9784387377535e-13</v>
      </c>
      <c r="AB10" s="3">
        <v>0.99999997402062</v>
      </c>
      <c r="AC10" s="3">
        <v>0.9999944557419</v>
      </c>
      <c r="AD10" s="3">
        <v>0.00024657208863863</v>
      </c>
      <c r="AE10" s="4">
        <v>-6.0327126282784e-19</v>
      </c>
      <c r="AF10" s="4">
        <v>3.3556208255748e-18</v>
      </c>
      <c r="AG10" s="4">
        <v>2.6483989610041e-18</v>
      </c>
      <c r="AH10" s="4">
        <v>2.9627348889829e-19</v>
      </c>
      <c r="AI10" s="4">
        <v>-9.1373225904671e-20</v>
      </c>
      <c r="AJ10" s="4">
        <v>7.589420816586e-19</v>
      </c>
      <c r="AK10" s="4">
        <v>1.2495953565616e-19</v>
      </c>
      <c r="AL10" s="4">
        <v>7.7266773190242e-19</v>
      </c>
      <c r="AM10" s="4">
        <v>2.0563707274058e-20</v>
      </c>
      <c r="AN10" s="4">
        <v>-6.164255926508e-20</v>
      </c>
      <c r="AO10" s="4">
        <v>9.5363089416646e-19</v>
      </c>
      <c r="AP10" s="4">
        <v>-1.330194288251e-20</v>
      </c>
      <c r="AQ10" s="4">
        <v>4.6656596965527e-19</v>
      </c>
      <c r="AR10" s="4">
        <v>-4.0961111195106e-18</v>
      </c>
      <c r="AS10" s="4">
        <v>-4.3461168514583e-19</v>
      </c>
      <c r="AT10" s="4">
        <v>3.2870914565946e-19</v>
      </c>
      <c r="AU10" s="4">
        <v>-9.1062887618758e-19</v>
      </c>
      <c r="AV10" s="4">
        <v>-6.435148565687e-19</v>
      </c>
      <c r="AW10" s="4">
        <v>-2.7559044021063e-19</v>
      </c>
      <c r="AX10" s="4">
        <v>2.5760778456481e-18</v>
      </c>
      <c r="AY10" s="4">
        <v>4.875240243622e-19</v>
      </c>
      <c r="AZ10" s="4">
        <v>-1.755083976895e-18</v>
      </c>
      <c r="BA10" s="4">
        <v>2.3331016669252e-18</v>
      </c>
      <c r="BB10" s="4">
        <v>-7.2587845565717e-18</v>
      </c>
      <c r="BC10" s="3">
        <v>15999799.960614</v>
      </c>
      <c r="BD10" s="3">
        <v>3999938.5841524</v>
      </c>
      <c r="BE10" s="3">
        <v>-0.00012017450874838</v>
      </c>
      <c r="BF10" s="3">
        <v>0.00025244151562097</v>
      </c>
      <c r="BG10" s="4">
        <v>7.1884664000225e-5</v>
      </c>
      <c r="BH10" s="3">
        <v>-0.00018190080000843</v>
      </c>
      <c r="BI10" s="3">
        <v>60.044438055631</v>
      </c>
      <c r="BJ10" s="3">
        <v>30.023754998932</v>
      </c>
      <c r="BK10" s="3">
        <v>55.254629515197</v>
      </c>
      <c r="BL10" s="5"/>
    </row>
    <row r="11" spans="1:64">
      <c r="A11" s="3">
        <v>50000</v>
      </c>
      <c r="B11" s="4">
        <v>4.4232174192144e-7</v>
      </c>
      <c r="C11" s="4">
        <f t="shared" si="0"/>
        <v>9.6075032121615e-12</v>
      </c>
      <c r="D11" s="4">
        <v>6.3092653182984e-13</v>
      </c>
      <c r="E11" s="4">
        <v>7.6555920181052e-13</v>
      </c>
      <c r="F11" s="4">
        <v>7.6555920178831e-13</v>
      </c>
      <c r="G11" s="4">
        <v>7.6555920167955e-13</v>
      </c>
      <c r="H11" s="4">
        <v>6.3092653162858e-13</v>
      </c>
      <c r="I11" s="4">
        <v>6.3092653170187e-13</v>
      </c>
      <c r="J11" s="4">
        <v>6.3092653166131e-13</v>
      </c>
      <c r="K11" s="4">
        <v>6.6733378416171e-13</v>
      </c>
      <c r="L11" s="4">
        <v>6.6733378428646e-13</v>
      </c>
      <c r="M11" s="4">
        <v>6.6733378410181e-13</v>
      </c>
      <c r="N11" s="4">
        <v>6.9783784588816e-13</v>
      </c>
      <c r="O11" s="4">
        <v>6.3092653163284e-13</v>
      </c>
      <c r="P11" s="4">
        <v>6.9783784581859e-13</v>
      </c>
      <c r="Q11" s="4">
        <v>6.9783784628209e-13</v>
      </c>
      <c r="R11" s="4">
        <v>7.6555920168774e-13</v>
      </c>
      <c r="S11" s="4">
        <v>7.6555920162058e-13</v>
      </c>
      <c r="T11" s="4">
        <v>7.6555920168229e-13</v>
      </c>
      <c r="U11" s="4">
        <v>6.3092653165118e-13</v>
      </c>
      <c r="V11" s="4">
        <v>6.673337842186e-13</v>
      </c>
      <c r="W11" s="4">
        <v>6.673337843422e-13</v>
      </c>
      <c r="X11" s="4">
        <v>6.6733378417699e-13</v>
      </c>
      <c r="Y11" s="4">
        <v>6.9783784585181e-13</v>
      </c>
      <c r="Z11" s="4">
        <v>6.9783784623729e-13</v>
      </c>
      <c r="AA11" s="4">
        <v>6.9783784637629e-13</v>
      </c>
      <c r="AB11" s="3">
        <v>0.99999997668645</v>
      </c>
      <c r="AC11" s="3">
        <v>0.99999445542371</v>
      </c>
      <c r="AD11" s="3">
        <v>0.00024661193526193</v>
      </c>
      <c r="AE11" s="4">
        <v>-6.0339515237957e-19</v>
      </c>
      <c r="AF11" s="4">
        <v>3.3548324589075e-18</v>
      </c>
      <c r="AG11" s="4">
        <v>2.6480035234845e-18</v>
      </c>
      <c r="AH11" s="4">
        <v>2.9640993048601e-19</v>
      </c>
      <c r="AI11" s="4">
        <v>-9.1401289405657e-20</v>
      </c>
      <c r="AJ11" s="4">
        <v>7.5893591332073e-19</v>
      </c>
      <c r="AK11" s="4">
        <v>1.2496134380586e-19</v>
      </c>
      <c r="AL11" s="4">
        <v>7.7261288226548e-19</v>
      </c>
      <c r="AM11" s="4">
        <v>2.1255953176617e-20</v>
      </c>
      <c r="AN11" s="4">
        <v>-6.1638557143693e-20</v>
      </c>
      <c r="AO11" s="4">
        <v>9.5352555705996e-19</v>
      </c>
      <c r="AP11" s="4">
        <v>-1.3260393227357e-20</v>
      </c>
      <c r="AQ11" s="4">
        <v>4.6662594949218e-19</v>
      </c>
      <c r="AR11" s="4">
        <v>-4.0959865693379e-18</v>
      </c>
      <c r="AS11" s="4">
        <v>-4.3441201862908e-19</v>
      </c>
      <c r="AT11" s="4">
        <v>3.286025078809e-19</v>
      </c>
      <c r="AU11" s="4">
        <v>-9.1040340284034e-19</v>
      </c>
      <c r="AV11" s="4">
        <v>-6.4353584206707e-19</v>
      </c>
      <c r="AW11" s="4">
        <v>-2.7550749406579e-19</v>
      </c>
      <c r="AX11" s="4">
        <v>2.575513313258e-18</v>
      </c>
      <c r="AY11" s="4">
        <v>4.8744153178571e-19</v>
      </c>
      <c r="AZ11" s="4">
        <v>-1.7546599127439e-18</v>
      </c>
      <c r="BA11" s="4">
        <v>2.3330470367639e-18</v>
      </c>
      <c r="BB11" s="4">
        <v>-7.2587475745592e-18</v>
      </c>
      <c r="BC11" s="3">
        <v>15999775.511137</v>
      </c>
      <c r="BD11" s="3">
        <v>3999931.0762453</v>
      </c>
      <c r="BE11" s="3">
        <v>-0.00012016602669536</v>
      </c>
      <c r="BF11" s="3">
        <v>0.00025249375596903</v>
      </c>
      <c r="BG11" s="4">
        <v>7.1914021215393e-5</v>
      </c>
      <c r="BH11" s="3">
        <v>-0.00018188480246754</v>
      </c>
      <c r="BI11" s="3">
        <v>60.044438023029</v>
      </c>
      <c r="BJ11" s="3">
        <v>30.023755078264</v>
      </c>
      <c r="BK11" s="3">
        <v>55.254031977146</v>
      </c>
      <c r="BL11" s="5"/>
    </row>
    <row r="12" spans="1:64">
      <c r="A12" s="3">
        <v>56100.922715098</v>
      </c>
      <c r="B12" s="4">
        <v>4.9638258355222e-7</v>
      </c>
      <c r="C12" s="4">
        <f t="shared" si="0"/>
        <v>9.60731342407205e-12</v>
      </c>
      <c r="D12" s="4">
        <v>6.3092606344987e-13</v>
      </c>
      <c r="E12" s="4">
        <v>7.6555084436977e-13</v>
      </c>
      <c r="F12" s="4">
        <v>7.6555084434485e-13</v>
      </c>
      <c r="G12" s="4">
        <v>7.6555084422281e-13</v>
      </c>
      <c r="H12" s="4">
        <v>6.3092606322399e-13</v>
      </c>
      <c r="I12" s="4">
        <v>6.3092606330624e-13</v>
      </c>
      <c r="J12" s="4">
        <v>6.3092606326073e-13</v>
      </c>
      <c r="K12" s="4">
        <v>6.6733100445126e-13</v>
      </c>
      <c r="L12" s="4">
        <v>6.6733100459128e-13</v>
      </c>
      <c r="M12" s="4">
        <v>6.6733100438402e-13</v>
      </c>
      <c r="N12" s="4">
        <v>6.9783108369169e-13</v>
      </c>
      <c r="O12" s="4">
        <v>6.3092606322877e-13</v>
      </c>
      <c r="P12" s="4">
        <v>6.9783108361359e-13</v>
      </c>
      <c r="Q12" s="4">
        <v>6.9783108413386e-13</v>
      </c>
      <c r="R12" s="4">
        <v>7.6555084423198e-13</v>
      </c>
      <c r="S12" s="4">
        <v>7.6555084415662e-13</v>
      </c>
      <c r="T12" s="4">
        <v>7.6555084422588e-13</v>
      </c>
      <c r="U12" s="4">
        <v>6.3092606324936e-13</v>
      </c>
      <c r="V12" s="4">
        <v>6.6733100451508e-13</v>
      </c>
      <c r="W12" s="4">
        <v>6.6733100465384e-13</v>
      </c>
      <c r="X12" s="4">
        <v>6.6733100446842e-13</v>
      </c>
      <c r="Y12" s="4">
        <v>6.9783108365086e-13</v>
      </c>
      <c r="Z12" s="4">
        <v>6.9783108408355e-13</v>
      </c>
      <c r="AA12" s="4">
        <v>6.9783108423961e-13</v>
      </c>
      <c r="AB12" s="3">
        <v>0.9999999790929</v>
      </c>
      <c r="AC12" s="3">
        <v>0.99999445506666</v>
      </c>
      <c r="AD12" s="3">
        <v>0.00024665664665615</v>
      </c>
      <c r="AE12" s="4">
        <v>-6.0353416682876e-19</v>
      </c>
      <c r="AF12" s="4">
        <v>3.3539480626156e-18</v>
      </c>
      <c r="AG12" s="4">
        <v>2.6475599369658e-18</v>
      </c>
      <c r="AH12" s="4">
        <v>2.9656303504893e-19</v>
      </c>
      <c r="AI12" s="4">
        <v>-9.1432776532944e-20</v>
      </c>
      <c r="AJ12" s="4">
        <v>7.5892895793099e-19</v>
      </c>
      <c r="AK12" s="4">
        <v>1.2496335854857e-19</v>
      </c>
      <c r="AL12" s="4">
        <v>7.7255136749543e-19</v>
      </c>
      <c r="AM12" s="4">
        <v>2.2032797079463e-20</v>
      </c>
      <c r="AN12" s="4">
        <v>-6.1634080664426e-20</v>
      </c>
      <c r="AO12" s="4">
        <v>9.5340739293285e-19</v>
      </c>
      <c r="AP12" s="4">
        <v>-1.3213785110115e-20</v>
      </c>
      <c r="AQ12" s="4">
        <v>4.6669319994927e-19</v>
      </c>
      <c r="AR12" s="4">
        <v>-4.0958466234402e-18</v>
      </c>
      <c r="AS12" s="4">
        <v>-4.3418801763687e-19</v>
      </c>
      <c r="AT12" s="4">
        <v>3.2848287371671e-19</v>
      </c>
      <c r="AU12" s="4">
        <v>-9.1015044243696e-19</v>
      </c>
      <c r="AV12" s="4">
        <v>-6.4355940330825e-19</v>
      </c>
      <c r="AW12" s="4">
        <v>-2.7541438729414e-19</v>
      </c>
      <c r="AX12" s="4">
        <v>2.5748798817344e-18</v>
      </c>
      <c r="AY12" s="4">
        <v>4.8734890659699e-19</v>
      </c>
      <c r="AZ12" s="4">
        <v>-1.7541842071817e-18</v>
      </c>
      <c r="BA12" s="4">
        <v>2.332985648029e-18</v>
      </c>
      <c r="BB12" s="4">
        <v>-7.2587057504944e-18</v>
      </c>
      <c r="BC12" s="3">
        <v>15999748.078521</v>
      </c>
      <c r="BD12" s="3">
        <v>3999922.6523127</v>
      </c>
      <c r="BE12" s="3">
        <v>-0.00012015650900796</v>
      </c>
      <c r="BF12" s="3">
        <v>0.00025255236944573</v>
      </c>
      <c r="BG12" s="4">
        <v>7.1946960401002e-5</v>
      </c>
      <c r="BH12" s="3">
        <v>-0.00018186684777323</v>
      </c>
      <c r="BI12" s="3">
        <v>60.044437986508</v>
      </c>
      <c r="BJ12" s="3">
        <v>30.023755167262</v>
      </c>
      <c r="BK12" s="3">
        <v>55.253361639568</v>
      </c>
      <c r="BL12" s="5"/>
    </row>
    <row r="13" spans="1:64">
      <c r="A13" s="3">
        <v>62946.270589709</v>
      </c>
      <c r="B13" s="4">
        <v>5.5703915177643e-7</v>
      </c>
      <c r="C13" s="4">
        <f t="shared" si="0"/>
        <v>9.60710059074037e-12</v>
      </c>
      <c r="D13" s="4">
        <v>6.3092553745481e-13</v>
      </c>
      <c r="E13" s="4">
        <v>7.6554146805612e-13</v>
      </c>
      <c r="F13" s="4">
        <v>7.6554146802816e-13</v>
      </c>
      <c r="G13" s="4">
        <v>7.6554146789123e-13</v>
      </c>
      <c r="H13" s="4">
        <v>6.3092553720131e-13</v>
      </c>
      <c r="I13" s="4">
        <v>6.3092553729361e-13</v>
      </c>
      <c r="J13" s="4">
        <v>6.3092553724254e-13</v>
      </c>
      <c r="K13" s="4">
        <v>6.6732788536506e-13</v>
      </c>
      <c r="L13" s="4">
        <v>6.6732788552223e-13</v>
      </c>
      <c r="M13" s="4">
        <v>6.6732788528959e-13</v>
      </c>
      <c r="N13" s="4">
        <v>6.9782349728418e-13</v>
      </c>
      <c r="O13" s="4">
        <v>6.3092553720668e-13</v>
      </c>
      <c r="P13" s="4">
        <v>6.9782349719652e-13</v>
      </c>
      <c r="Q13" s="4">
        <v>6.9782349778048e-13</v>
      </c>
      <c r="R13" s="4">
        <v>7.655414679015e-13</v>
      </c>
      <c r="S13" s="4">
        <v>7.6554146781692e-13</v>
      </c>
      <c r="T13" s="4">
        <v>7.6554146789466e-13</v>
      </c>
      <c r="U13" s="4">
        <v>6.3092553722979e-13</v>
      </c>
      <c r="V13" s="4">
        <v>6.6732788543665e-13</v>
      </c>
      <c r="W13" s="4">
        <v>6.6732788559242e-13</v>
      </c>
      <c r="X13" s="4">
        <v>6.6732788538434e-13</v>
      </c>
      <c r="Y13" s="4">
        <v>6.9782349723833e-13</v>
      </c>
      <c r="Z13" s="4">
        <v>6.9782349772398e-13</v>
      </c>
      <c r="AA13" s="4">
        <v>6.9782349789919e-13</v>
      </c>
      <c r="AB13" s="3">
        <v>0.99999998126252</v>
      </c>
      <c r="AC13" s="3">
        <v>0.99999445466598</v>
      </c>
      <c r="AD13" s="3">
        <v>0.00024670681712213</v>
      </c>
      <c r="AE13" s="4">
        <v>-6.0369015368617e-19</v>
      </c>
      <c r="AF13" s="4">
        <v>3.3529559621859e-18</v>
      </c>
      <c r="AG13" s="4">
        <v>2.6470623526492e-18</v>
      </c>
      <c r="AH13" s="4">
        <v>2.9673483954992e-19</v>
      </c>
      <c r="AI13" s="4">
        <v>-9.1468104884124e-20</v>
      </c>
      <c r="AJ13" s="4">
        <v>7.5892111053269e-19</v>
      </c>
      <c r="AK13" s="4">
        <v>1.2496560146415e-19</v>
      </c>
      <c r="AL13" s="4">
        <v>7.7248238140461e-19</v>
      </c>
      <c r="AM13" s="4">
        <v>2.2904595505029e-20</v>
      </c>
      <c r="AN13" s="4">
        <v>-6.1629075546244e-20</v>
      </c>
      <c r="AO13" s="4">
        <v>9.5327484335991e-19</v>
      </c>
      <c r="AP13" s="4">
        <v>-1.3161504249401e-20</v>
      </c>
      <c r="AQ13" s="4">
        <v>4.6676859574121e-19</v>
      </c>
      <c r="AR13" s="4">
        <v>-4.0956893519589e-18</v>
      </c>
      <c r="AS13" s="4">
        <v>-4.3393672030988e-19</v>
      </c>
      <c r="AT13" s="4">
        <v>3.2834866135012e-19</v>
      </c>
      <c r="AU13" s="4">
        <v>-9.0986664746414e-19</v>
      </c>
      <c r="AV13" s="4">
        <v>-6.4358585850218e-19</v>
      </c>
      <c r="AW13" s="4">
        <v>-2.7530986990297e-19</v>
      </c>
      <c r="AX13" s="4">
        <v>2.5741691398552e-18</v>
      </c>
      <c r="AY13" s="4">
        <v>4.872448950974e-19</v>
      </c>
      <c r="AZ13" s="4">
        <v>-1.7536505854718e-18</v>
      </c>
      <c r="BA13" s="4">
        <v>2.3329166520926e-18</v>
      </c>
      <c r="BB13" s="4">
        <v>-7.2586584082281e-18</v>
      </c>
      <c r="BC13" s="3">
        <v>15999717.298806</v>
      </c>
      <c r="BD13" s="3">
        <v>3999913.2006025</v>
      </c>
      <c r="BE13" s="3">
        <v>-0.00012014582914712</v>
      </c>
      <c r="BF13" s="3">
        <v>0.00025261813339134</v>
      </c>
      <c r="BG13" s="4">
        <v>7.1983918584278e-5</v>
      </c>
      <c r="BH13" s="3">
        <v>-0.00018184669524891</v>
      </c>
      <c r="BI13" s="3">
        <v>60.044437945607</v>
      </c>
      <c r="BJ13" s="3">
        <v>30.0237552671</v>
      </c>
      <c r="BK13" s="3">
        <v>55.252609648329</v>
      </c>
      <c r="BL13" s="5"/>
    </row>
    <row r="14" spans="1:64">
      <c r="A14" s="3">
        <v>70626.877231138</v>
      </c>
      <c r="B14" s="4">
        <v>6.2509606759291e-7</v>
      </c>
      <c r="C14" s="4">
        <f t="shared" si="0"/>
        <v>9.60686192051635e-12</v>
      </c>
      <c r="D14" s="4">
        <v>6.3092494669412e-13</v>
      </c>
      <c r="E14" s="4">
        <v>7.6553094877806e-13</v>
      </c>
      <c r="F14" s="4">
        <v>7.655309487467e-13</v>
      </c>
      <c r="G14" s="4">
        <v>7.6553094859307e-13</v>
      </c>
      <c r="H14" s="4">
        <v>6.3092494640964e-13</v>
      </c>
      <c r="I14" s="4">
        <v>6.3092494651321e-13</v>
      </c>
      <c r="J14" s="4">
        <v>6.3092494645591e-13</v>
      </c>
      <c r="K14" s="4">
        <v>6.6732438544117e-13</v>
      </c>
      <c r="L14" s="4">
        <v>6.6732438561756e-13</v>
      </c>
      <c r="M14" s="4">
        <v>6.6732438535645e-13</v>
      </c>
      <c r="N14" s="4">
        <v>6.9781498632923e-13</v>
      </c>
      <c r="O14" s="4">
        <v>6.3092494641566e-13</v>
      </c>
      <c r="P14" s="4">
        <v>6.9781498623085e-13</v>
      </c>
      <c r="Q14" s="4">
        <v>6.9781498688628e-13</v>
      </c>
      <c r="R14" s="4">
        <v>7.6553094860456e-13</v>
      </c>
      <c r="S14" s="4">
        <v>7.6553094850966e-13</v>
      </c>
      <c r="T14" s="4">
        <v>7.655309485969e-13</v>
      </c>
      <c r="U14" s="4">
        <v>6.3092494644161e-13</v>
      </c>
      <c r="V14" s="4">
        <v>6.6732438552146e-13</v>
      </c>
      <c r="W14" s="4">
        <v>6.6732438569633e-13</v>
      </c>
      <c r="X14" s="4">
        <v>6.6732438546283e-13</v>
      </c>
      <c r="Y14" s="4">
        <v>6.9781498627774e-13</v>
      </c>
      <c r="Z14" s="4">
        <v>6.9781498682283e-13</v>
      </c>
      <c r="AA14" s="4">
        <v>6.9781498701953e-13</v>
      </c>
      <c r="AB14" s="3">
        <v>0.99999998321639</v>
      </c>
      <c r="AC14" s="3">
        <v>0.99999445421633</v>
      </c>
      <c r="AD14" s="3">
        <v>0.00024676311365915</v>
      </c>
      <c r="AE14" s="4">
        <v>-6.038651864476e-19</v>
      </c>
      <c r="AF14" s="4">
        <v>3.3518430696911e-18</v>
      </c>
      <c r="AG14" s="4">
        <v>2.6465042148217e-18</v>
      </c>
      <c r="AH14" s="4">
        <v>2.9692763049322e-19</v>
      </c>
      <c r="AI14" s="4">
        <v>-9.1507742959715e-20</v>
      </c>
      <c r="AJ14" s="4">
        <v>7.5891225106785e-19</v>
      </c>
      <c r="AK14" s="4">
        <v>1.2496809582414e-19</v>
      </c>
      <c r="AL14" s="4">
        <v>7.7240502131371e-19</v>
      </c>
      <c r="AM14" s="4">
        <v>2.3882977396165e-20</v>
      </c>
      <c r="AN14" s="4">
        <v>-6.1623481837684e-20</v>
      </c>
      <c r="AO14" s="4">
        <v>9.5312616142888e-19</v>
      </c>
      <c r="AP14" s="4">
        <v>-1.3102862164788e-20</v>
      </c>
      <c r="AQ14" s="4">
        <v>4.6685311509965e-19</v>
      </c>
      <c r="AR14" s="4">
        <v>-4.0955125764285e-18</v>
      </c>
      <c r="AS14" s="4">
        <v>-4.3365480532916e-19</v>
      </c>
      <c r="AT14" s="4">
        <v>3.2819809696257e-19</v>
      </c>
      <c r="AU14" s="4">
        <v>-9.0954826358735e-19</v>
      </c>
      <c r="AV14" s="4">
        <v>-6.4361556567751e-19</v>
      </c>
      <c r="AW14" s="4">
        <v>-2.7519253670539e-19</v>
      </c>
      <c r="AX14" s="4">
        <v>2.5733716490783e-18</v>
      </c>
      <c r="AY14" s="4">
        <v>4.8712808607674e-19</v>
      </c>
      <c r="AZ14" s="4">
        <v>-1.7530520140411e-18</v>
      </c>
      <c r="BA14" s="4">
        <v>2.332839090446e-18</v>
      </c>
      <c r="BB14" s="4">
        <v>-7.2586047672255e-18</v>
      </c>
      <c r="BC14" s="3">
        <v>15999682.763633</v>
      </c>
      <c r="BD14" s="3">
        <v>3999902.5957323</v>
      </c>
      <c r="BE14" s="3">
        <v>-0.00012013384508902</v>
      </c>
      <c r="BF14" s="3">
        <v>0.00025269191991881</v>
      </c>
      <c r="BG14" s="4">
        <v>7.2025386107331e-5</v>
      </c>
      <c r="BH14" s="3">
        <v>-0.00018182407607396</v>
      </c>
      <c r="BI14" s="3">
        <v>60.044437899806</v>
      </c>
      <c r="BJ14" s="3">
        <v>30.023755379095</v>
      </c>
      <c r="BK14" s="3">
        <v>55.251766076353</v>
      </c>
      <c r="BL14" s="5"/>
    </row>
    <row r="15" spans="1:64">
      <c r="A15" s="3">
        <v>79244.659623056</v>
      </c>
      <c r="B15" s="4">
        <v>7.0145608425056e-7</v>
      </c>
      <c r="C15" s="4">
        <f t="shared" si="0"/>
        <v>9.60659421589059e-12</v>
      </c>
      <c r="D15" s="4">
        <v>6.3092428311416e-13</v>
      </c>
      <c r="E15" s="4">
        <v>7.655191473621e-13</v>
      </c>
      <c r="F15" s="4">
        <v>7.6551914732692e-13</v>
      </c>
      <c r="G15" s="4">
        <v>7.6551914715457e-13</v>
      </c>
      <c r="H15" s="4">
        <v>6.3092428279493e-13</v>
      </c>
      <c r="I15" s="4">
        <v>6.3092428291113e-13</v>
      </c>
      <c r="J15" s="4">
        <v>6.3092428284685e-13</v>
      </c>
      <c r="K15" s="4">
        <v>6.6732045814514e-13</v>
      </c>
      <c r="L15" s="4">
        <v>6.6732045834312e-13</v>
      </c>
      <c r="M15" s="4">
        <v>6.6732045805005e-13</v>
      </c>
      <c r="N15" s="4">
        <v>6.9780543830828e-13</v>
      </c>
      <c r="O15" s="4">
        <v>6.3092428280167e-13</v>
      </c>
      <c r="P15" s="4">
        <v>6.9780543819787e-13</v>
      </c>
      <c r="Q15" s="4">
        <v>6.9780543893351e-13</v>
      </c>
      <c r="R15" s="4">
        <v>7.6551914716742e-13</v>
      </c>
      <c r="S15" s="4">
        <v>7.6551914706094e-13</v>
      </c>
      <c r="T15" s="4">
        <v>7.6551914715885e-13</v>
      </c>
      <c r="U15" s="4">
        <v>6.309242828308e-13</v>
      </c>
      <c r="V15" s="4">
        <v>6.6732045823518e-13</v>
      </c>
      <c r="W15" s="4">
        <v>6.673204584315e-13</v>
      </c>
      <c r="X15" s="4">
        <v>6.6732045816948e-13</v>
      </c>
      <c r="Y15" s="4">
        <v>6.9780543825046e-13</v>
      </c>
      <c r="Z15" s="4">
        <v>6.9780543886225e-13</v>
      </c>
      <c r="AA15" s="4">
        <v>6.9780543908309e-13</v>
      </c>
      <c r="AB15" s="3">
        <v>0.99999998497414</v>
      </c>
      <c r="AC15" s="3">
        <v>0.99999445371172</v>
      </c>
      <c r="AD15" s="3">
        <v>0.00024682628488224</v>
      </c>
      <c r="AE15" s="4">
        <v>-6.0406159218179e-19</v>
      </c>
      <c r="AF15" s="4">
        <v>3.3505947142071e-18</v>
      </c>
      <c r="AG15" s="4">
        <v>2.6458781764084e-18</v>
      </c>
      <c r="AH15" s="4">
        <v>2.9714397457651e-19</v>
      </c>
      <c r="AI15" s="4">
        <v>-9.1552216390871e-20</v>
      </c>
      <c r="AJ15" s="4">
        <v>7.589022418868e-19</v>
      </c>
      <c r="AK15" s="4">
        <v>1.2497086655238e-19</v>
      </c>
      <c r="AL15" s="4">
        <v>7.7231827664946e-19</v>
      </c>
      <c r="AM15" s="4">
        <v>2.498100163345e-20</v>
      </c>
      <c r="AN15" s="4">
        <v>-6.1617233411653e-20</v>
      </c>
      <c r="AO15" s="4">
        <v>9.5295938927445e-19</v>
      </c>
      <c r="AP15" s="4">
        <v>-1.3037087333823e-20</v>
      </c>
      <c r="AQ15" s="4">
        <v>4.6694785156773e-19</v>
      </c>
      <c r="AR15" s="4">
        <v>-4.0953138358903e-18</v>
      </c>
      <c r="AS15" s="4">
        <v>-4.3333854853738e-19</v>
      </c>
      <c r="AT15" s="4">
        <v>3.28029191598e-19</v>
      </c>
      <c r="AU15" s="4">
        <v>-9.0919108048291e-19</v>
      </c>
      <c r="AV15" s="4">
        <v>-6.4364892783362e-19</v>
      </c>
      <c r="AW15" s="4">
        <v>-2.7506080782301e-19</v>
      </c>
      <c r="AX15" s="4">
        <v>2.5724768177942e-18</v>
      </c>
      <c r="AY15" s="4">
        <v>4.8699689057809e-19</v>
      </c>
      <c r="AZ15" s="4">
        <v>-1.7523806097099e-18</v>
      </c>
      <c r="BA15" s="4">
        <v>2.3327518799344e-18</v>
      </c>
      <c r="BB15" s="4">
        <v>-7.2585439239083e-18</v>
      </c>
      <c r="BC15" s="3">
        <v>15999644.014829</v>
      </c>
      <c r="BD15" s="3">
        <v>3999890.6970272</v>
      </c>
      <c r="BE15" s="3">
        <v>-0.00012012039742427</v>
      </c>
      <c r="BF15" s="3">
        <v>0.00025277470745729</v>
      </c>
      <c r="BG15" s="4">
        <v>7.2071913130612e-5</v>
      </c>
      <c r="BH15" s="3">
        <v>-0.00018179868509501</v>
      </c>
      <c r="BI15" s="3">
        <v>60.04443784854</v>
      </c>
      <c r="BJ15" s="3">
        <v>30.023755504725</v>
      </c>
      <c r="BK15" s="3">
        <v>55.250819794637</v>
      </c>
      <c r="BL15" s="5"/>
    </row>
    <row r="16" spans="1:64">
      <c r="A16" s="3">
        <v>88913.970501947</v>
      </c>
      <c r="B16" s="4">
        <v>7.8713204903228e-7</v>
      </c>
      <c r="C16" s="4">
        <f t="shared" si="0"/>
        <v>9.60629387072405e-12</v>
      </c>
      <c r="D16" s="4">
        <v>6.3092353763905e-13</v>
      </c>
      <c r="E16" s="4">
        <v>7.6550590772766e-13</v>
      </c>
      <c r="F16" s="4">
        <v>7.655059076882e-13</v>
      </c>
      <c r="G16" s="4">
        <v>7.6550590749486e-13</v>
      </c>
      <c r="H16" s="4">
        <v>6.3092353728082e-13</v>
      </c>
      <c r="I16" s="4">
        <v>6.3092353741121e-13</v>
      </c>
      <c r="J16" s="4">
        <v>6.3092353733909e-13</v>
      </c>
      <c r="K16" s="4">
        <v>6.6731605124722e-13</v>
      </c>
      <c r="L16" s="4">
        <v>6.6731605146941e-13</v>
      </c>
      <c r="M16" s="4">
        <v>6.6731605114048e-13</v>
      </c>
      <c r="N16" s="4">
        <v>6.9779472704895e-13</v>
      </c>
      <c r="O16" s="4">
        <v>6.3092353728839e-13</v>
      </c>
      <c r="P16" s="4">
        <v>6.9779472692503e-13</v>
      </c>
      <c r="Q16" s="4">
        <v>6.9779472775068e-13</v>
      </c>
      <c r="R16" s="4">
        <v>7.6550590750923e-13</v>
      </c>
      <c r="S16" s="4">
        <v>7.6550590738976e-13</v>
      </c>
      <c r="T16" s="4">
        <v>7.6550590749963e-13</v>
      </c>
      <c r="U16" s="4">
        <v>6.3092353732109e-13</v>
      </c>
      <c r="V16" s="4">
        <v>6.6731605134819e-13</v>
      </c>
      <c r="W16" s="4">
        <v>6.6731605156857e-13</v>
      </c>
      <c r="X16" s="4">
        <v>6.6731605127456e-13</v>
      </c>
      <c r="Y16" s="4">
        <v>6.9779472698401e-13</v>
      </c>
      <c r="Z16" s="4">
        <v>6.9779472767064e-13</v>
      </c>
      <c r="AA16" s="4">
        <v>6.9779472791858e-13</v>
      </c>
      <c r="AB16" s="3">
        <v>0.99999998655398</v>
      </c>
      <c r="AC16" s="3">
        <v>0.99999445314542</v>
      </c>
      <c r="AD16" s="3">
        <v>0.00024689717103933</v>
      </c>
      <c r="AE16" s="4">
        <v>-6.0428198271977e-19</v>
      </c>
      <c r="AF16" s="4">
        <v>3.3491944523787e-18</v>
      </c>
      <c r="AG16" s="4">
        <v>2.6451760046625e-18</v>
      </c>
      <c r="AH16" s="4">
        <v>2.9738675323003e-19</v>
      </c>
      <c r="AI16" s="4">
        <v>-9.1602114906364e-20</v>
      </c>
      <c r="AJ16" s="4">
        <v>7.5889092491361e-19</v>
      </c>
      <c r="AK16" s="4">
        <v>1.2497394012761e-19</v>
      </c>
      <c r="AL16" s="4">
        <v>7.7222101646138e-19</v>
      </c>
      <c r="AM16" s="4">
        <v>2.6213334512381e-20</v>
      </c>
      <c r="AN16" s="4">
        <v>-6.1610257561988e-20</v>
      </c>
      <c r="AO16" s="4">
        <v>9.5277233279876e-19</v>
      </c>
      <c r="AP16" s="4">
        <v>-1.2963315294003e-20</v>
      </c>
      <c r="AQ16" s="4">
        <v>4.67054027013e-19</v>
      </c>
      <c r="AR16" s="4">
        <v>-4.0950903483492e-18</v>
      </c>
      <c r="AS16" s="4">
        <v>-4.3298377443259e-19</v>
      </c>
      <c r="AT16" s="4">
        <v>3.2783971524564e-19</v>
      </c>
      <c r="AU16" s="4">
        <v>-9.0879037670037e-19</v>
      </c>
      <c r="AV16" s="4">
        <v>-6.4368639876101e-19</v>
      </c>
      <c r="AW16" s="4">
        <v>-2.7491290648045e-19</v>
      </c>
      <c r="AX16" s="4">
        <v>2.5714727601199e-18</v>
      </c>
      <c r="AY16" s="4">
        <v>4.8684951851043e-19</v>
      </c>
      <c r="AZ16" s="4">
        <v>-1.7516275383025e-18</v>
      </c>
      <c r="BA16" s="4">
        <v>2.3326537952026e-18</v>
      </c>
      <c r="BB16" s="4">
        <v>-7.258474829748e-18</v>
      </c>
      <c r="BC16" s="3">
        <v>15999600.538328</v>
      </c>
      <c r="BD16" s="3">
        <v>3999877.3466553</v>
      </c>
      <c r="BE16" s="3">
        <v>-0.00012010530722192</v>
      </c>
      <c r="BF16" s="3">
        <v>0.00025286759369912</v>
      </c>
      <c r="BG16" s="4">
        <v>7.2124116929055e-5</v>
      </c>
      <c r="BH16" s="3">
        <v>-0.00018177018215382</v>
      </c>
      <c r="BI16" s="3">
        <v>60.044437791163</v>
      </c>
      <c r="BJ16" s="3">
        <v>30.023755645641</v>
      </c>
      <c r="BK16" s="3">
        <v>55.249758327985</v>
      </c>
      <c r="BL16" s="5"/>
    </row>
    <row r="17" spans="1:64">
      <c r="A17" s="3">
        <v>99763.115748445</v>
      </c>
      <c r="B17" s="4">
        <v>8.8326032181109e-7</v>
      </c>
      <c r="C17" s="4">
        <f t="shared" si="0"/>
        <v>9.60595692859949e-12</v>
      </c>
      <c r="D17" s="4">
        <v>6.3092270003612e-13</v>
      </c>
      <c r="E17" s="4">
        <v>7.6549105484281e-13</v>
      </c>
      <c r="F17" s="4">
        <v>7.6549105479856e-13</v>
      </c>
      <c r="G17" s="4">
        <v>7.6549105458169e-13</v>
      </c>
      <c r="H17" s="4">
        <v>6.3092269963415e-13</v>
      </c>
      <c r="I17" s="4">
        <v>6.3092269978045e-13</v>
      </c>
      <c r="J17" s="4">
        <v>6.3092269969955e-13</v>
      </c>
      <c r="K17" s="4">
        <v>6.6731110612388e-13</v>
      </c>
      <c r="L17" s="4">
        <v>6.6731110637325e-13</v>
      </c>
      <c r="M17" s="4">
        <v>6.6731110600408e-13</v>
      </c>
      <c r="N17" s="4">
        <v>6.977827110785e-13</v>
      </c>
      <c r="O17" s="4">
        <v>6.3092269964264e-13</v>
      </c>
      <c r="P17" s="4">
        <v>6.9778271093943e-13</v>
      </c>
      <c r="Q17" s="4">
        <v>6.977827118661e-13</v>
      </c>
      <c r="R17" s="4">
        <v>7.6549105459775e-13</v>
      </c>
      <c r="S17" s="4">
        <v>7.6549105446371e-13</v>
      </c>
      <c r="T17" s="4">
        <v>7.65491054587e-13</v>
      </c>
      <c r="U17" s="4">
        <v>6.3092269967936e-13</v>
      </c>
      <c r="V17" s="4">
        <v>6.6731110623709e-13</v>
      </c>
      <c r="W17" s="4">
        <v>6.6731110648451e-13</v>
      </c>
      <c r="X17" s="4">
        <v>6.6731110615461e-13</v>
      </c>
      <c r="Y17" s="4">
        <v>6.9778271100557e-13</v>
      </c>
      <c r="Z17" s="4">
        <v>6.9778271177619e-13</v>
      </c>
      <c r="AA17" s="4">
        <v>6.9778271205457e-13</v>
      </c>
      <c r="AB17" s="3">
        <v>0.99999998797269</v>
      </c>
      <c r="AC17" s="3">
        <v>0.99999445250987</v>
      </c>
      <c r="AD17" s="3">
        <v>0.00024697671526645</v>
      </c>
      <c r="AE17" s="4">
        <v>-6.0452928956034e-19</v>
      </c>
      <c r="AF17" s="4">
        <v>3.3476238564367e-18</v>
      </c>
      <c r="AG17" s="4">
        <v>2.6443884757382e-18</v>
      </c>
      <c r="AH17" s="4">
        <v>2.9765920139164e-19</v>
      </c>
      <c r="AI17" s="4">
        <v>-9.1658100123263e-20</v>
      </c>
      <c r="AJ17" s="4">
        <v>7.5887811815682e-19</v>
      </c>
      <c r="AK17" s="4">
        <v>1.2497734437545e-19</v>
      </c>
      <c r="AL17" s="4">
        <v>7.7211197544872e-19</v>
      </c>
      <c r="AM17" s="4">
        <v>2.759644931278e-20</v>
      </c>
      <c r="AN17" s="4">
        <v>-6.1602474538837e-20</v>
      </c>
      <c r="AO17" s="4">
        <v>9.5256253355215e-19</v>
      </c>
      <c r="AP17" s="4">
        <v>-1.2880577633853e-20</v>
      </c>
      <c r="AQ17" s="4">
        <v>4.6717300597694e-19</v>
      </c>
      <c r="AR17" s="4">
        <v>-4.0948389659063e-18</v>
      </c>
      <c r="AS17" s="4">
        <v>-4.3258580186133e-19</v>
      </c>
      <c r="AT17" s="4">
        <v>3.2762716780573e-19</v>
      </c>
      <c r="AU17" s="4">
        <v>-9.0834085799924e-19</v>
      </c>
      <c r="AV17" s="4">
        <v>-6.4372848962543e-19</v>
      </c>
      <c r="AW17" s="4">
        <v>-2.7474683389702e-19</v>
      </c>
      <c r="AX17" s="4">
        <v>2.5703461377987e-18</v>
      </c>
      <c r="AY17" s="4">
        <v>4.8668395247689e-19</v>
      </c>
      <c r="AZ17" s="4">
        <v>-1.7507829012371e-18</v>
      </c>
      <c r="BA17" s="4">
        <v>2.3325434490871e-18</v>
      </c>
      <c r="BB17" s="4">
        <v>-7.2583962642102e-18</v>
      </c>
      <c r="BC17" s="3">
        <v>15999551.757362</v>
      </c>
      <c r="BD17" s="3">
        <v>3999862.3675372</v>
      </c>
      <c r="BE17" s="3">
        <v>-0.00012008837362948</v>
      </c>
      <c r="BF17" s="3">
        <v>0.00025297181012107</v>
      </c>
      <c r="BG17" s="4">
        <v>7.2182690075782e-5</v>
      </c>
      <c r="BH17" s="3">
        <v>-0.00018173818208992</v>
      </c>
      <c r="BI17" s="3">
        <v>60.044437726977</v>
      </c>
      <c r="BJ17" s="3">
        <v>30.023755803708</v>
      </c>
      <c r="BK17" s="3">
        <v>55.248567693824</v>
      </c>
      <c r="BL17" s="5"/>
    </row>
    <row r="18" spans="1:64">
      <c r="A18" s="3">
        <v>111936.05692842</v>
      </c>
      <c r="B18" s="4">
        <v>9.9111582703322e-7</v>
      </c>
      <c r="C18" s="4">
        <f t="shared" si="0"/>
        <v>9.60557905942469e-12</v>
      </c>
      <c r="D18" s="4">
        <v>6.3092175876252e-13</v>
      </c>
      <c r="E18" s="4">
        <v>7.6547439243681e-13</v>
      </c>
      <c r="F18" s="4">
        <v>7.6547439238719e-13</v>
      </c>
      <c r="G18" s="4">
        <v>7.6547439214395e-13</v>
      </c>
      <c r="H18" s="4">
        <v>6.3092175831149e-13</v>
      </c>
      <c r="I18" s="4">
        <v>6.3092175847563e-13</v>
      </c>
      <c r="J18" s="4">
        <v>6.3092175838488e-13</v>
      </c>
      <c r="K18" s="4">
        <v>6.6730555697185e-13</v>
      </c>
      <c r="L18" s="4">
        <v>6.6730555725171e-13</v>
      </c>
      <c r="M18" s="4">
        <v>6.6730555683738e-13</v>
      </c>
      <c r="N18" s="4">
        <v>6.9776923178117e-13</v>
      </c>
      <c r="O18" s="4">
        <v>6.3092175832102e-13</v>
      </c>
      <c r="P18" s="4">
        <v>6.9776923162509e-13</v>
      </c>
      <c r="Q18" s="4">
        <v>6.9776923266512e-13</v>
      </c>
      <c r="R18" s="4">
        <v>7.6547439216188e-13</v>
      </c>
      <c r="S18" s="4">
        <v>7.6547439201151e-13</v>
      </c>
      <c r="T18" s="4">
        <v>7.6547439214986e-13</v>
      </c>
      <c r="U18" s="4">
        <v>6.3092175836223e-13</v>
      </c>
      <c r="V18" s="4">
        <v>6.6730555709876e-13</v>
      </c>
      <c r="W18" s="4">
        <v>6.6730555737653e-13</v>
      </c>
      <c r="X18" s="4">
        <v>6.6730555700639e-13</v>
      </c>
      <c r="Y18" s="4">
        <v>6.9776923169924e-13</v>
      </c>
      <c r="Z18" s="4">
        <v>6.9776923256411e-13</v>
      </c>
      <c r="AA18" s="4">
        <v>6.9776923287667e-13</v>
      </c>
      <c r="AB18" s="3">
        <v>0.99999998924574</v>
      </c>
      <c r="AC18" s="3">
        <v>0.99999445179658</v>
      </c>
      <c r="AD18" s="3">
        <v>0.00024706597623472</v>
      </c>
      <c r="AE18" s="4">
        <v>-6.0480680301799e-19</v>
      </c>
      <c r="AF18" s="4">
        <v>3.345862278035e-18</v>
      </c>
      <c r="AG18" s="4">
        <v>2.6435052571653e-18</v>
      </c>
      <c r="AH18" s="4">
        <v>2.9796495119277e-19</v>
      </c>
      <c r="AI18" s="4">
        <v>-9.1720914322536e-20</v>
      </c>
      <c r="AJ18" s="4">
        <v>7.5886361162243e-19</v>
      </c>
      <c r="AK18" s="4">
        <v>1.2498110817202e-19</v>
      </c>
      <c r="AL18" s="4">
        <v>7.7198973844531e-19</v>
      </c>
      <c r="AM18" s="4">
        <v>2.9148851462069e-20</v>
      </c>
      <c r="AN18" s="4">
        <v>-6.1593797188255e-20</v>
      </c>
      <c r="AO18" s="4">
        <v>9.5232723732952e-19</v>
      </c>
      <c r="AP18" s="4">
        <v>-1.2787789675802e-20</v>
      </c>
      <c r="AQ18" s="4">
        <v>4.6730631142877e-19</v>
      </c>
      <c r="AR18" s="4">
        <v>-4.0945561237524e-18</v>
      </c>
      <c r="AS18" s="4">
        <v>-4.3213938336951e-19</v>
      </c>
      <c r="AT18" s="4">
        <v>3.2738874669874e-19</v>
      </c>
      <c r="AU18" s="4">
        <v>-9.0783658822548e-19</v>
      </c>
      <c r="AV18" s="4">
        <v>-6.4377577652361e-19</v>
      </c>
      <c r="AW18" s="4">
        <v>-2.7456034083738e-19</v>
      </c>
      <c r="AX18" s="4">
        <v>2.569081981912e-18</v>
      </c>
      <c r="AY18" s="4">
        <v>4.864979176025e-19</v>
      </c>
      <c r="AZ18" s="4">
        <v>-1.7498356093431e-18</v>
      </c>
      <c r="BA18" s="4">
        <v>2.3324192694387e-18</v>
      </c>
      <c r="BB18" s="4">
        <v>-7.2583068029985e-18</v>
      </c>
      <c r="BC18" s="3">
        <v>15999497.024809</v>
      </c>
      <c r="BD18" s="3">
        <v>3999845.5609992</v>
      </c>
      <c r="BE18" s="3">
        <v>-0.00012006937117515</v>
      </c>
      <c r="BF18" s="3">
        <v>0.00025308873826996</v>
      </c>
      <c r="BG18" s="4">
        <v>7.2248409625136e-5</v>
      </c>
      <c r="BH18" s="3">
        <v>-0.00018170225435417</v>
      </c>
      <c r="BI18" s="3">
        <v>60.044437655199</v>
      </c>
      <c r="BJ18" s="3">
        <v>30.023755980999</v>
      </c>
      <c r="BK18" s="3">
        <v>55.247232222061</v>
      </c>
      <c r="BL18" s="5"/>
    </row>
    <row r="19" spans="1:64">
      <c r="A19" s="3">
        <v>125594.32157548</v>
      </c>
      <c r="B19" s="4">
        <v>1.1121289373283e-6</v>
      </c>
      <c r="C19" s="4">
        <f t="shared" si="0"/>
        <v>9.60515525288463e-12</v>
      </c>
      <c r="D19" s="4">
        <v>6.3092070078808e-13</v>
      </c>
      <c r="E19" s="4">
        <v>7.6545570043852e-13</v>
      </c>
      <c r="F19" s="4">
        <v>7.6545570038288e-13</v>
      </c>
      <c r="G19" s="4">
        <v>7.6545570011009e-13</v>
      </c>
      <c r="H19" s="4">
        <v>6.3092070028202e-13</v>
      </c>
      <c r="I19" s="4">
        <v>6.3092070046616e-13</v>
      </c>
      <c r="J19" s="4">
        <v>6.3092070036437e-13</v>
      </c>
      <c r="K19" s="4">
        <v>6.6729932992498e-13</v>
      </c>
      <c r="L19" s="4">
        <v>6.6729933023906e-13</v>
      </c>
      <c r="M19" s="4">
        <v>6.6729932977405e-13</v>
      </c>
      <c r="N19" s="4">
        <v>6.9775411133754e-13</v>
      </c>
      <c r="O19" s="4">
        <v>6.3092070029271e-13</v>
      </c>
      <c r="P19" s="4">
        <v>6.9775411116239e-13</v>
      </c>
      <c r="Q19" s="4">
        <v>6.9775411232964e-13</v>
      </c>
      <c r="R19" s="4">
        <v>7.6545570013011e-13</v>
      </c>
      <c r="S19" s="4">
        <v>7.6545569996142e-13</v>
      </c>
      <c r="T19" s="4">
        <v>7.6545570011666e-13</v>
      </c>
      <c r="U19" s="4">
        <v>6.3092070033898e-13</v>
      </c>
      <c r="V19" s="4">
        <v>6.6729933006723e-13</v>
      </c>
      <c r="W19" s="4">
        <v>6.6729933037908e-13</v>
      </c>
      <c r="X19" s="4">
        <v>6.672993299638e-13</v>
      </c>
      <c r="Y19" s="4">
        <v>6.977541112455e-13</v>
      </c>
      <c r="Z19" s="4">
        <v>6.9775411221615e-13</v>
      </c>
      <c r="AA19" s="4">
        <v>6.9775411256711e-13</v>
      </c>
      <c r="AB19" s="3">
        <v>0.99999999038728</v>
      </c>
      <c r="AC19" s="3">
        <v>0.99999445099602</v>
      </c>
      <c r="AD19" s="3">
        <v>0.00024716614236367</v>
      </c>
      <c r="AE19" s="4">
        <v>-6.0511821623194e-19</v>
      </c>
      <c r="AF19" s="4">
        <v>3.343886584316e-18</v>
      </c>
      <c r="AG19" s="4">
        <v>2.6425147770691e-18</v>
      </c>
      <c r="AH19" s="4">
        <v>2.9830808098341e-19</v>
      </c>
      <c r="AI19" s="4">
        <v>-9.1791390277566e-20</v>
      </c>
      <c r="AJ19" s="4">
        <v>7.58847162318e-19</v>
      </c>
      <c r="AK19" s="4">
        <v>1.249852609419e-19</v>
      </c>
      <c r="AL19" s="4">
        <v>7.7185272335875e-19</v>
      </c>
      <c r="AM19" s="4">
        <v>3.0891332093638e-20</v>
      </c>
      <c r="AN19" s="4">
        <v>-6.1584130611596e-20</v>
      </c>
      <c r="AO19" s="4">
        <v>9.5206335911152e-19</v>
      </c>
      <c r="AP19" s="4">
        <v>-1.2683736803829e-20</v>
      </c>
      <c r="AQ19" s="4">
        <v>4.6745564198627e-19</v>
      </c>
      <c r="AR19" s="4">
        <v>-4.0942377803135e-18</v>
      </c>
      <c r="AS19" s="4">
        <v>-4.3163863733101e-19</v>
      </c>
      <c r="AT19" s="4">
        <v>3.2712131058548e-19</v>
      </c>
      <c r="AU19" s="4">
        <v>-9.0727091211061e-19</v>
      </c>
      <c r="AV19" s="4">
        <v>-6.4382890901574e-19</v>
      </c>
      <c r="AW19" s="4">
        <v>-2.7435089546545e-19</v>
      </c>
      <c r="AX19" s="4">
        <v>2.567663493476e-18</v>
      </c>
      <c r="AY19" s="4">
        <v>4.8628884726893e-19</v>
      </c>
      <c r="AZ19" s="4">
        <v>-1.7487732418647e-18</v>
      </c>
      <c r="BA19" s="4">
        <v>2.3322794725775e-18</v>
      </c>
      <c r="BB19" s="4">
        <v>-7.2582047783099e-18</v>
      </c>
      <c r="BC19" s="3">
        <v>15999435.61462</v>
      </c>
      <c r="BD19" s="3">
        <v>3999826.7041423</v>
      </c>
      <c r="BE19" s="3">
        <v>-0.00012004804673488</v>
      </c>
      <c r="BF19" s="3">
        <v>0.00025321992802238</v>
      </c>
      <c r="BG19" s="4">
        <v>7.2322147414566e-5</v>
      </c>
      <c r="BH19" s="3">
        <v>-0.00018166191583782</v>
      </c>
      <c r="BI19" s="3">
        <v>60.044437574958</v>
      </c>
      <c r="BJ19" s="3">
        <v>30.023756179848</v>
      </c>
      <c r="BK19" s="3">
        <v>55.245734353979</v>
      </c>
      <c r="BL19" s="5"/>
    </row>
    <row r="20" spans="1:64">
      <c r="A20" s="3">
        <v>140919.14656322</v>
      </c>
      <c r="B20" s="4">
        <v>1.2479044104639e-6</v>
      </c>
      <c r="C20" s="4">
        <f t="shared" si="0"/>
        <v>9.6046799684684e-12</v>
      </c>
      <c r="D20" s="4">
        <v>6.3091951139511e-13</v>
      </c>
      <c r="E20" s="4">
        <v>7.6543473211063e-13</v>
      </c>
      <c r="F20" s="4">
        <v>7.6543473204826e-13</v>
      </c>
      <c r="G20" s="4">
        <v>7.6543473174234e-13</v>
      </c>
      <c r="H20" s="4">
        <v>6.3091951082733e-13</v>
      </c>
      <c r="I20" s="4">
        <v>6.309195110339e-13</v>
      </c>
      <c r="J20" s="4">
        <v>6.3091951091973e-13</v>
      </c>
      <c r="K20" s="4">
        <v>6.672923420609e-13</v>
      </c>
      <c r="L20" s="4">
        <v>6.6729234241338e-13</v>
      </c>
      <c r="M20" s="4">
        <v>6.6729234189149e-13</v>
      </c>
      <c r="N20" s="4">
        <v>6.9773715042003e-13</v>
      </c>
      <c r="O20" s="4">
        <v>6.3091951083931e-13</v>
      </c>
      <c r="P20" s="4">
        <v>6.9773715022347e-13</v>
      </c>
      <c r="Q20" s="4">
        <v>6.9773715153351e-13</v>
      </c>
      <c r="R20" s="4">
        <v>7.6543473176467e-13</v>
      </c>
      <c r="S20" s="4">
        <v>7.6543473157545e-13</v>
      </c>
      <c r="T20" s="4">
        <v>7.6543473174964e-13</v>
      </c>
      <c r="U20" s="4">
        <v>6.3091951089125e-13</v>
      </c>
      <c r="V20" s="4">
        <v>6.6729234222032e-13</v>
      </c>
      <c r="W20" s="4">
        <v>6.6729234257046e-13</v>
      </c>
      <c r="X20" s="4">
        <v>6.6729234210455e-13</v>
      </c>
      <c r="Y20" s="4">
        <v>6.9773715031663e-13</v>
      </c>
      <c r="Z20" s="4">
        <v>6.9773715140599e-13</v>
      </c>
      <c r="AA20" s="4">
        <v>6.9773715180008e-13</v>
      </c>
      <c r="AB20" s="3">
        <v>0.99999999141024</v>
      </c>
      <c r="AC20" s="3">
        <v>0.99999445009748</v>
      </c>
      <c r="AD20" s="3">
        <v>0.00024727854779809</v>
      </c>
      <c r="AE20" s="4">
        <v>-6.054676748557e-19</v>
      </c>
      <c r="AF20" s="4">
        <v>3.341670864114e-18</v>
      </c>
      <c r="AG20" s="4">
        <v>2.6414040785151e-18</v>
      </c>
      <c r="AH20" s="4">
        <v>2.9869317057584e-19</v>
      </c>
      <c r="AI20" s="4">
        <v>-9.1870462286642e-20</v>
      </c>
      <c r="AJ20" s="4">
        <v>7.5882848846479e-19</v>
      </c>
      <c r="AK20" s="4">
        <v>1.2498983196833e-19</v>
      </c>
      <c r="AL20" s="4">
        <v>7.7169916221855e-19</v>
      </c>
      <c r="AM20" s="4">
        <v>3.284725398693e-20</v>
      </c>
      <c r="AN20" s="4">
        <v>-6.1573371989104e-20</v>
      </c>
      <c r="AO20" s="4">
        <v>9.5176744416024e-19</v>
      </c>
      <c r="AP20" s="4">
        <v>-1.256705922233e-20</v>
      </c>
      <c r="AQ20" s="4">
        <v>4.6762289072876e-19</v>
      </c>
      <c r="AR20" s="4">
        <v>-4.0938793490744e-18</v>
      </c>
      <c r="AS20" s="4">
        <v>-4.3107697223007e-19</v>
      </c>
      <c r="AT20" s="4">
        <v>3.2682133890376e-19</v>
      </c>
      <c r="AU20" s="4">
        <v>-9.0663636889453e-19</v>
      </c>
      <c r="AV20" s="4">
        <v>-6.4388861999335e-19</v>
      </c>
      <c r="AW20" s="4">
        <v>-2.741156468799e-19</v>
      </c>
      <c r="AX20" s="4">
        <v>2.5660718190039e-18</v>
      </c>
      <c r="AY20" s="4">
        <v>4.8605384382307e-19</v>
      </c>
      <c r="AZ20" s="4">
        <v>-1.7475818897092e-18</v>
      </c>
      <c r="BA20" s="4">
        <v>2.3321220324326e-18</v>
      </c>
      <c r="BB20" s="4">
        <v>-7.2580882318804e-18</v>
      </c>
      <c r="BC20" s="3">
        <v>15999366.712192</v>
      </c>
      <c r="BD20" s="3">
        <v>3999805.5468903</v>
      </c>
      <c r="BE20" s="3">
        <v>-0.00012002411612175</v>
      </c>
      <c r="BF20" s="3">
        <v>0.00025336711806196</v>
      </c>
      <c r="BG20" s="4">
        <v>7.2404881622707e-5</v>
      </c>
      <c r="BH20" s="3">
        <v>-0.00018161661875275</v>
      </c>
      <c r="BI20" s="3">
        <v>60.044437485304</v>
      </c>
      <c r="BJ20" s="3">
        <v>30.023756402862</v>
      </c>
      <c r="BK20" s="3">
        <v>55.244054417847</v>
      </c>
      <c r="BL20" s="5"/>
    </row>
    <row r="21" spans="1:64">
      <c r="A21" s="3">
        <v>158113.88300842</v>
      </c>
      <c r="B21" s="4">
        <v>1.4002426292738e-6</v>
      </c>
      <c r="C21" s="4">
        <f t="shared" si="0"/>
        <v>9.60414677807321e-12</v>
      </c>
      <c r="D21" s="4">
        <v>6.3091817394605e-13</v>
      </c>
      <c r="E21" s="4">
        <v>7.6541121084404e-13</v>
      </c>
      <c r="F21" s="4">
        <v>7.6541121077412e-13</v>
      </c>
      <c r="G21" s="4">
        <v>7.6541121043109e-13</v>
      </c>
      <c r="H21" s="4">
        <v>6.3091817330903e-13</v>
      </c>
      <c r="I21" s="4">
        <v>6.3091817354076e-13</v>
      </c>
      <c r="J21" s="4">
        <v>6.3091817341272e-13</v>
      </c>
      <c r="K21" s="4">
        <v>6.6728450028672e-13</v>
      </c>
      <c r="L21" s="4">
        <v>6.672845006823e-13</v>
      </c>
      <c r="M21" s="4">
        <v>6.6728450009657e-13</v>
      </c>
      <c r="N21" s="4">
        <v>6.9771812561728e-13</v>
      </c>
      <c r="O21" s="4">
        <v>6.3091817332247e-13</v>
      </c>
      <c r="P21" s="4">
        <v>6.9771812539669e-13</v>
      </c>
      <c r="Q21" s="4">
        <v>6.9771812686699e-13</v>
      </c>
      <c r="R21" s="4">
        <v>7.6541121045597e-13</v>
      </c>
      <c r="S21" s="4">
        <v>7.6541121024373e-13</v>
      </c>
      <c r="T21" s="4">
        <v>7.6541121043918e-13</v>
      </c>
      <c r="U21" s="4">
        <v>6.3091817338079e-13</v>
      </c>
      <c r="V21" s="4">
        <v>6.6728450046536e-13</v>
      </c>
      <c r="W21" s="4">
        <v>6.6728450085849e-13</v>
      </c>
      <c r="X21" s="4">
        <v>6.6728450033581e-13</v>
      </c>
      <c r="Y21" s="4">
        <v>6.977181255011e-13</v>
      </c>
      <c r="Z21" s="4">
        <v>6.9771812672367e-13</v>
      </c>
      <c r="AA21" s="4">
        <v>6.9771812716623e-13</v>
      </c>
      <c r="AB21" s="3">
        <v>0.99999999232643</v>
      </c>
      <c r="AC21" s="3">
        <v>0.99999444908892</v>
      </c>
      <c r="AD21" s="3">
        <v>0.00024740469037124</v>
      </c>
      <c r="AE21" s="4">
        <v>-6.0585983251219e-19</v>
      </c>
      <c r="AF21" s="4">
        <v>3.3391861000499e-18</v>
      </c>
      <c r="AG21" s="4">
        <v>2.6401586572098e-18</v>
      </c>
      <c r="AH21" s="4">
        <v>2.9912536347086e-19</v>
      </c>
      <c r="AI21" s="4">
        <v>-9.1959178559074e-20</v>
      </c>
      <c r="AJ21" s="4">
        <v>7.5880726224103e-19</v>
      </c>
      <c r="AK21" s="4">
        <v>1.2499484939009e-19</v>
      </c>
      <c r="AL21" s="4">
        <v>7.7152708040591e-19</v>
      </c>
      <c r="AM21" s="4">
        <v>3.5042874412679e-20</v>
      </c>
      <c r="AN21" s="4">
        <v>-6.1561410541018e-20</v>
      </c>
      <c r="AO21" s="4">
        <v>9.5143562432791e-19</v>
      </c>
      <c r="AP21" s="4">
        <v>-1.2436235037253e-20</v>
      </c>
      <c r="AQ21" s="4">
        <v>4.6781016559362e-19</v>
      </c>
      <c r="AR21" s="4">
        <v>-4.0934756183147e-18</v>
      </c>
      <c r="AS21" s="4">
        <v>-4.3044700198561e-19</v>
      </c>
      <c r="AT21" s="4">
        <v>3.2648488657637e-19</v>
      </c>
      <c r="AU21" s="4">
        <v>-9.0592459559693e-19</v>
      </c>
      <c r="AV21" s="4">
        <v>-6.439557368008e-19</v>
      </c>
      <c r="AW21" s="4">
        <v>-2.7385138355668e-19</v>
      </c>
      <c r="AX21" s="4">
        <v>2.5642857984099e-18</v>
      </c>
      <c r="AY21" s="4">
        <v>4.8578963349227e-19</v>
      </c>
      <c r="AZ21" s="4">
        <v>-1.7462459806722e-18</v>
      </c>
      <c r="BA21" s="4">
        <v>2.3319446443384e-18</v>
      </c>
      <c r="BB21" s="4">
        <v>-7.2579548565676e-18</v>
      </c>
      <c r="BC21" s="3">
        <v>15999289.403579</v>
      </c>
      <c r="BD21" s="3">
        <v>3999781.8086794</v>
      </c>
      <c r="BE21" s="3">
        <v>-0.00011999726025076</v>
      </c>
      <c r="BF21" s="3">
        <v>0.00025353225883459</v>
      </c>
      <c r="BG21" s="4">
        <v>7.2497709730635e-5</v>
      </c>
      <c r="BH21" s="3">
        <v>-0.00018156575150221</v>
      </c>
      <c r="BI21" s="3">
        <v>60.044437385182</v>
      </c>
      <c r="BJ21" s="3">
        <v>30.023756652962</v>
      </c>
      <c r="BK21" s="3">
        <v>55.242170378684</v>
      </c>
      <c r="BL21" s="5"/>
    </row>
    <row r="22" spans="1:64">
      <c r="A22" s="3">
        <v>177406.69461679</v>
      </c>
      <c r="B22" s="4">
        <v>1.5711634250705e-6</v>
      </c>
      <c r="C22" s="4">
        <f t="shared" si="0"/>
        <v>9.60354876318991e-12</v>
      </c>
      <c r="D22" s="4">
        <v>6.3091666961708e-13</v>
      </c>
      <c r="E22" s="4">
        <v>7.6538482657287e-13</v>
      </c>
      <c r="F22" s="4">
        <v>7.653848264945e-13</v>
      </c>
      <c r="G22" s="4">
        <v>7.6538482610991e-13</v>
      </c>
      <c r="H22" s="4">
        <v>6.3091666890241e-13</v>
      </c>
      <c r="I22" s="4">
        <v>6.3091666916233e-13</v>
      </c>
      <c r="J22" s="4">
        <v>6.3091666901875e-13</v>
      </c>
      <c r="K22" s="4">
        <v>6.6727570008273e-13</v>
      </c>
      <c r="L22" s="4">
        <v>6.6727570052667e-13</v>
      </c>
      <c r="M22" s="4">
        <v>6.6727569986928e-13</v>
      </c>
      <c r="N22" s="4">
        <v>6.9769678655564e-13</v>
      </c>
      <c r="O22" s="4">
        <v>6.3091666891747e-13</v>
      </c>
      <c r="P22" s="4">
        <v>6.9769678630809e-13</v>
      </c>
      <c r="Q22" s="4">
        <v>6.9769678795825e-13</v>
      </c>
      <c r="R22" s="4">
        <v>7.6538482613761e-13</v>
      </c>
      <c r="S22" s="4">
        <v>7.6538482589957e-13</v>
      </c>
      <c r="T22" s="4">
        <v>7.6538482611887e-13</v>
      </c>
      <c r="U22" s="4">
        <v>6.3091666898296e-13</v>
      </c>
      <c r="V22" s="4">
        <v>6.6727570028285e-13</v>
      </c>
      <c r="W22" s="4">
        <v>6.6727570072429e-13</v>
      </c>
      <c r="X22" s="4">
        <v>6.6727570013794e-13</v>
      </c>
      <c r="Y22" s="4">
        <v>6.9769678642507e-13</v>
      </c>
      <c r="Z22" s="4">
        <v>6.9769678779716e-13</v>
      </c>
      <c r="AA22" s="4">
        <v>6.9769678829418e-13</v>
      </c>
      <c r="AB22" s="3">
        <v>0.99999999314657</v>
      </c>
      <c r="AC22" s="3">
        <v>0.99999444795682</v>
      </c>
      <c r="AD22" s="3">
        <v>0.00024754625180724</v>
      </c>
      <c r="AE22" s="4">
        <v>-6.0629991319021e-19</v>
      </c>
      <c r="AF22" s="4">
        <v>3.3363998040121e-18</v>
      </c>
      <c r="AG22" s="4">
        <v>2.6387622812443e-18</v>
      </c>
      <c r="AH22" s="4">
        <v>2.9961043684327e-19</v>
      </c>
      <c r="AI22" s="4">
        <v>-9.205871508959e-20</v>
      </c>
      <c r="AJ22" s="4">
        <v>7.5878310118049e-19</v>
      </c>
      <c r="AK22" s="4">
        <v>1.2500033885578e-19</v>
      </c>
      <c r="AL22" s="4">
        <v>7.7133427371292e-19</v>
      </c>
      <c r="AM22" s="4">
        <v>3.7507709664319e-20</v>
      </c>
      <c r="AN22" s="4">
        <v>-6.1548127699475e-20</v>
      </c>
      <c r="AO22" s="4">
        <v>9.5106356978191e-19</v>
      </c>
      <c r="AP22" s="4">
        <v>-1.2289561460857e-20</v>
      </c>
      <c r="AQ22" s="4">
        <v>4.6801981144689e-19</v>
      </c>
      <c r="AR22" s="4">
        <v>-4.093020658325e-18</v>
      </c>
      <c r="AS22" s="4">
        <v>-4.2974045168316e-19</v>
      </c>
      <c r="AT22" s="4">
        <v>3.2610753353102e-19</v>
      </c>
      <c r="AU22" s="4">
        <v>-9.0512621910351e-19</v>
      </c>
      <c r="AV22" s="4">
        <v>-6.4403119413895e-19</v>
      </c>
      <c r="AW22" s="4">
        <v>-2.7355448615304e-19</v>
      </c>
      <c r="AX22" s="4">
        <v>2.5622816820588e-18</v>
      </c>
      <c r="AY22" s="4">
        <v>4.854925146699e-19</v>
      </c>
      <c r="AZ22" s="4">
        <v>-1.7447480854291e-18</v>
      </c>
      <c r="BA22" s="4">
        <v>2.3317446830332e-18</v>
      </c>
      <c r="BB22" s="4">
        <v>-7.2578019263358e-18</v>
      </c>
      <c r="BC22" s="3">
        <v>15999202.663375</v>
      </c>
      <c r="BD22" s="3">
        <v>3999755.1747443</v>
      </c>
      <c r="BE22" s="3">
        <v>-0.00011996712082342</v>
      </c>
      <c r="BF22" s="3">
        <v>0.00025371753829165</v>
      </c>
      <c r="BG22" s="4">
        <v>7.2601863069355e-5</v>
      </c>
      <c r="BH22" s="3">
        <v>-0.00018150861927092</v>
      </c>
      <c r="BI22" s="3">
        <v>60.044437273437</v>
      </c>
      <c r="BJ22" s="3">
        <v>30.023756933428</v>
      </c>
      <c r="BK22" s="3">
        <v>55.240057559428</v>
      </c>
      <c r="BL22" s="5"/>
    </row>
    <row r="23" spans="1:64">
      <c r="A23" s="3">
        <v>199053.58527675</v>
      </c>
      <c r="B23" s="4">
        <v>1.7629327942358e-6</v>
      </c>
      <c r="C23" s="4">
        <f t="shared" si="0"/>
        <v>9.6028781188645e-12</v>
      </c>
      <c r="D23" s="4">
        <v>6.3091497709178e-13</v>
      </c>
      <c r="E23" s="4">
        <v>7.6535523176713e-13</v>
      </c>
      <c r="F23" s="4">
        <v>7.6535523167931e-13</v>
      </c>
      <c r="G23" s="4">
        <v>7.6535523124815e-13</v>
      </c>
      <c r="H23" s="4">
        <v>6.3091497629002e-13</v>
      </c>
      <c r="I23" s="4">
        <v>6.3091497658156e-13</v>
      </c>
      <c r="J23" s="4">
        <v>6.3091497642056e-13</v>
      </c>
      <c r="K23" s="4">
        <v>6.6726582409196e-13</v>
      </c>
      <c r="L23" s="4">
        <v>6.6726582459018e-13</v>
      </c>
      <c r="M23" s="4">
        <v>6.6726582385237e-13</v>
      </c>
      <c r="N23" s="4">
        <v>6.9767285268541e-13</v>
      </c>
      <c r="O23" s="4">
        <v>6.309149763069e-13</v>
      </c>
      <c r="P23" s="4">
        <v>6.976728524076e-13</v>
      </c>
      <c r="Q23" s="4">
        <v>6.9767285425965e-13</v>
      </c>
      <c r="R23" s="4">
        <v>7.6535523127897e-13</v>
      </c>
      <c r="S23" s="4">
        <v>7.6535523101201e-13</v>
      </c>
      <c r="T23" s="4">
        <v>7.6535523125806e-13</v>
      </c>
      <c r="U23" s="4">
        <v>6.3091497638044e-13</v>
      </c>
      <c r="V23" s="4">
        <v>6.6726582431612e-13</v>
      </c>
      <c r="W23" s="4">
        <v>6.6726582481183e-13</v>
      </c>
      <c r="X23" s="4">
        <v>6.6726582415409e-13</v>
      </c>
      <c r="Y23" s="4">
        <v>6.9767285253865e-13</v>
      </c>
      <c r="Z23" s="4">
        <v>6.9767285407855e-13</v>
      </c>
      <c r="AA23" s="4">
        <v>6.9767285463677e-13</v>
      </c>
      <c r="AB23" s="3">
        <v>0.99999999388039</v>
      </c>
      <c r="AC23" s="3">
        <v>0.99999444668599</v>
      </c>
      <c r="AD23" s="3">
        <v>0.00024770512044455</v>
      </c>
      <c r="AE23" s="4">
        <v>-6.0679378132579e-19</v>
      </c>
      <c r="AF23" s="4">
        <v>3.3332756118004e-18</v>
      </c>
      <c r="AG23" s="4">
        <v>2.6371967912599e-18</v>
      </c>
      <c r="AH23" s="4">
        <v>3.0015488043562e-19</v>
      </c>
      <c r="AI23" s="4">
        <v>-9.2170391294517e-20</v>
      </c>
      <c r="AJ23" s="4">
        <v>7.587555577069e-19</v>
      </c>
      <c r="AK23" s="4">
        <v>1.2500632170524e-19</v>
      </c>
      <c r="AL23" s="4">
        <v>7.7111828316134e-19</v>
      </c>
      <c r="AM23" s="4">
        <v>4.0274947024338e-20</v>
      </c>
      <c r="AN23" s="4">
        <v>-6.1533397613936e-20</v>
      </c>
      <c r="AO23" s="4">
        <v>9.5064643516313e-19</v>
      </c>
      <c r="AP23" s="4">
        <v>-1.212513396095e-20</v>
      </c>
      <c r="AQ23" s="4">
        <v>4.6825443373577e-19</v>
      </c>
      <c r="AR23" s="4">
        <v>-4.0925077128099e-18</v>
      </c>
      <c r="AS23" s="4">
        <v>-4.2894805232081e-19</v>
      </c>
      <c r="AT23" s="4">
        <v>3.2568432837726e-19</v>
      </c>
      <c r="AU23" s="4">
        <v>-9.0423073549218e-19</v>
      </c>
      <c r="AV23" s="4">
        <v>-6.4411604876739e-19</v>
      </c>
      <c r="AW23" s="4">
        <v>-2.7322087352755e-19</v>
      </c>
      <c r="AX23" s="4">
        <v>2.5600328123233e-18</v>
      </c>
      <c r="AY23" s="4">
        <v>4.8515829844566e-19</v>
      </c>
      <c r="AZ23" s="4">
        <v>-1.7430687019364e-18</v>
      </c>
      <c r="BA23" s="4">
        <v>2.3315191533201e-18</v>
      </c>
      <c r="BB23" s="4">
        <v>-7.2576262090463e-18</v>
      </c>
      <c r="BC23" s="3">
        <v>15999105.34114</v>
      </c>
      <c r="BD23" s="3">
        <v>3999725.291954</v>
      </c>
      <c r="BE23" s="3">
        <v>-0.0001199332954721</v>
      </c>
      <c r="BF23" s="3">
        <v>0.00025392541074431</v>
      </c>
      <c r="BG23" s="4">
        <v>7.271872313509e-5</v>
      </c>
      <c r="BH23" s="3">
        <v>-0.00018144444515148</v>
      </c>
      <c r="BI23" s="3">
        <v>60.044437148801</v>
      </c>
      <c r="BJ23" s="3">
        <v>30.023757247921</v>
      </c>
      <c r="BK23" s="3">
        <v>55.237688330548</v>
      </c>
      <c r="BL23" s="5"/>
    </row>
    <row r="24" spans="1:64">
      <c r="A24" s="3">
        <v>223341.79607548</v>
      </c>
      <c r="B24" s="4">
        <v>1.9780928599966e-6</v>
      </c>
      <c r="C24" s="4">
        <f t="shared" si="0"/>
        <v>9.60212608053433e-12</v>
      </c>
      <c r="D24" s="4">
        <v>6.3091307220533e-13</v>
      </c>
      <c r="E24" s="4">
        <v>7.6532203695655e-13</v>
      </c>
      <c r="F24" s="4">
        <v>7.6532203685815e-13</v>
      </c>
      <c r="G24" s="4">
        <v>7.6532203637485e-13</v>
      </c>
      <c r="H24" s="4">
        <v>6.3091307130591e-13</v>
      </c>
      <c r="I24" s="4">
        <v>6.3091307163289e-13</v>
      </c>
      <c r="J24" s="4">
        <v>6.3091307145239e-13</v>
      </c>
      <c r="K24" s="4">
        <v>6.6725474053103e-13</v>
      </c>
      <c r="L24" s="4">
        <v>6.6725474109016e-13</v>
      </c>
      <c r="M24" s="4">
        <v>6.6725474026207e-13</v>
      </c>
      <c r="N24" s="4">
        <v>6.9764600969533e-13</v>
      </c>
      <c r="O24" s="4">
        <v>6.3091307132484e-13</v>
      </c>
      <c r="P24" s="4">
        <v>6.9764600938357e-13</v>
      </c>
      <c r="Q24" s="4">
        <v>6.9764601146223e-13</v>
      </c>
      <c r="R24" s="4">
        <v>7.653220364091e-13</v>
      </c>
      <c r="S24" s="4">
        <v>7.6532203610971e-13</v>
      </c>
      <c r="T24" s="4">
        <v>7.6532203638577e-13</v>
      </c>
      <c r="U24" s="4">
        <v>6.3091307140742e-13</v>
      </c>
      <c r="V24" s="4">
        <v>6.6725474078203e-13</v>
      </c>
      <c r="W24" s="4">
        <v>6.6725474133874e-13</v>
      </c>
      <c r="X24" s="4">
        <v>6.6725474060094e-13</v>
      </c>
      <c r="Y24" s="4">
        <v>6.9764600953035e-13</v>
      </c>
      <c r="Z24" s="4">
        <v>6.976460112586e-13</v>
      </c>
      <c r="AA24" s="4">
        <v>6.9764601188563e-13</v>
      </c>
      <c r="AB24" s="3">
        <v>0.99999999453671</v>
      </c>
      <c r="AC24" s="3">
        <v>0.99999444525934</v>
      </c>
      <c r="AD24" s="3">
        <v>0.00024788341680348</v>
      </c>
      <c r="AE24" s="4">
        <v>-6.0734802057311e-19</v>
      </c>
      <c r="AF24" s="4">
        <v>3.3297728327637e-18</v>
      </c>
      <c r="AG24" s="4">
        <v>2.6354418788031e-18</v>
      </c>
      <c r="AH24" s="4">
        <v>3.007659854053e-19</v>
      </c>
      <c r="AI24" s="4">
        <v>-9.2295687500738e-20</v>
      </c>
      <c r="AJ24" s="4">
        <v>7.5872410643222e-19</v>
      </c>
      <c r="AK24" s="4">
        <v>1.2501281252716e-19</v>
      </c>
      <c r="AL24" s="4">
        <v>7.70876367512e-19</v>
      </c>
      <c r="AM24" s="4">
        <v>4.3381910355008e-20</v>
      </c>
      <c r="AN24" s="4">
        <v>-6.1517088110759e-20</v>
      </c>
      <c r="AO24" s="4">
        <v>9.5017879982573e-19</v>
      </c>
      <c r="AP24" s="4">
        <v>-1.1940823232e-20</v>
      </c>
      <c r="AQ24" s="4">
        <v>4.685169237063e-19</v>
      </c>
      <c r="AR24" s="4">
        <v>-4.0919290718248e-18</v>
      </c>
      <c r="AS24" s="4">
        <v>-4.2805942352967e-19</v>
      </c>
      <c r="AT24" s="4">
        <v>3.2520972562131e-19</v>
      </c>
      <c r="AU24" s="4">
        <v>-9.0322637536337e-19</v>
      </c>
      <c r="AV24" s="4">
        <v>-6.4421149649284e-19</v>
      </c>
      <c r="AW24" s="4">
        <v>-2.7284594165533e-19</v>
      </c>
      <c r="AX24" s="4">
        <v>2.5575092660986e-18</v>
      </c>
      <c r="AY24" s="4">
        <v>4.8478223990443e-19</v>
      </c>
      <c r="AZ24" s="4">
        <v>-1.7411860163604e-18</v>
      </c>
      <c r="BA24" s="4">
        <v>2.3312646320694e-18</v>
      </c>
      <c r="BB24" s="4">
        <v>-7.2574238608367e-18</v>
      </c>
      <c r="BC24" s="3">
        <v>15998996.146157</v>
      </c>
      <c r="BD24" s="3">
        <v>3999691.7641405</v>
      </c>
      <c r="BE24" s="3">
        <v>-0.0001198953322923</v>
      </c>
      <c r="BF24" s="3">
        <v>0.00025415862920667</v>
      </c>
      <c r="BG24" s="4">
        <v>7.2849839891673e-5</v>
      </c>
      <c r="BH24" s="3">
        <v>-0.00018137235178916</v>
      </c>
      <c r="BI24" s="3">
        <v>60.0444370099</v>
      </c>
      <c r="BJ24" s="3">
        <v>30.023757600543</v>
      </c>
      <c r="BK24" s="3">
        <v>55.235031764864</v>
      </c>
      <c r="BL24" s="5"/>
    </row>
    <row r="25" spans="1:64">
      <c r="A25" s="3">
        <v>250593.61681364</v>
      </c>
      <c r="B25" s="4">
        <v>2.2194954702259e-6</v>
      </c>
      <c r="C25" s="4">
        <f t="shared" si="0"/>
        <v>9.60128283588853e-12</v>
      </c>
      <c r="D25" s="4">
        <v>6.3091092753446e-13</v>
      </c>
      <c r="E25" s="4">
        <v>7.6528480573113e-13</v>
      </c>
      <c r="F25" s="4">
        <v>7.652848056209e-13</v>
      </c>
      <c r="G25" s="4">
        <v>7.6528480507923e-13</v>
      </c>
      <c r="H25" s="4">
        <v>6.3091092652551e-13</v>
      </c>
      <c r="I25" s="4">
        <v>6.3091092689222e-13</v>
      </c>
      <c r="J25" s="4">
        <v>6.3091092668987e-13</v>
      </c>
      <c r="K25" s="4">
        <v>6.6724230140237e-13</v>
      </c>
      <c r="L25" s="4">
        <v>6.6724230202988e-13</v>
      </c>
      <c r="M25" s="4">
        <v>6.6724230110045e-13</v>
      </c>
      <c r="N25" s="4">
        <v>6.9761590551223e-13</v>
      </c>
      <c r="O25" s="4">
        <v>6.3091092654673e-13</v>
      </c>
      <c r="P25" s="4">
        <v>6.9761590516236e-13</v>
      </c>
      <c r="Q25" s="4">
        <v>6.976159074954e-13</v>
      </c>
      <c r="R25" s="4">
        <v>7.6528480511723e-13</v>
      </c>
      <c r="S25" s="4">
        <v>7.6528480478153e-13</v>
      </c>
      <c r="T25" s="4">
        <v>7.6528480509125e-13</v>
      </c>
      <c r="U25" s="4">
        <v>6.3091092663948e-13</v>
      </c>
      <c r="V25" s="4">
        <v>6.6724230168338e-13</v>
      </c>
      <c r="W25" s="4">
        <v>6.6724230230863e-13</v>
      </c>
      <c r="X25" s="4">
        <v>6.6724230148109e-13</v>
      </c>
      <c r="Y25" s="4">
        <v>6.9761590532672e-13</v>
      </c>
      <c r="Z25" s="4">
        <v>6.9761590726637e-13</v>
      </c>
      <c r="AA25" s="4">
        <v>6.9761590797078e-13</v>
      </c>
      <c r="AB25" s="3">
        <v>0.99999999512349</v>
      </c>
      <c r="AC25" s="3">
        <v>0.99999444365766</v>
      </c>
      <c r="AD25" s="3">
        <v>0.00024808352236221</v>
      </c>
      <c r="AE25" s="4">
        <v>-6.0797002230725e-19</v>
      </c>
      <c r="AF25" s="4">
        <v>3.3258459507735e-18</v>
      </c>
      <c r="AG25" s="4">
        <v>2.6334748411708e-18</v>
      </c>
      <c r="AH25" s="4">
        <v>3.0145194457211e-19</v>
      </c>
      <c r="AI25" s="4">
        <v>-9.2436264631947e-20</v>
      </c>
      <c r="AJ25" s="4">
        <v>7.5868812861821e-19</v>
      </c>
      <c r="AK25" s="4">
        <v>1.2501981586803e-19</v>
      </c>
      <c r="AL25" s="4">
        <v>7.7060547334054e-19</v>
      </c>
      <c r="AM25" s="4">
        <v>4.6870587248761e-20</v>
      </c>
      <c r="AN25" s="4">
        <v>-6.1499062179117e-20</v>
      </c>
      <c r="AO25" s="4">
        <v>9.4965460154519e-19</v>
      </c>
      <c r="AP25" s="4">
        <v>-1.1734249710998e-20</v>
      </c>
      <c r="AQ25" s="4">
        <v>4.6881048490496e-19</v>
      </c>
      <c r="AR25" s="4">
        <v>-4.0912759224151e-18</v>
      </c>
      <c r="AS25" s="4">
        <v>-4.2706294330846e-19</v>
      </c>
      <c r="AT25" s="4">
        <v>3.2467751574204e-19</v>
      </c>
      <c r="AU25" s="4">
        <v>-9.0209995357124e-19</v>
      </c>
      <c r="AV25" s="4">
        <v>-6.4431889176059e-19</v>
      </c>
      <c r="AW25" s="4">
        <v>-2.7242449365768e-19</v>
      </c>
      <c r="AX25" s="4">
        <v>2.5546774526229e-18</v>
      </c>
      <c r="AY25" s="4">
        <v>4.8435895863302e-19</v>
      </c>
      <c r="AZ25" s="4">
        <v>-1.7390756386323e-18</v>
      </c>
      <c r="BA25" s="4">
        <v>2.3309771997485e-18</v>
      </c>
      <c r="BB25" s="4">
        <v>-7.2571902951497e-18</v>
      </c>
      <c r="BC25" s="3">
        <v>15998873.630342</v>
      </c>
      <c r="BD25" s="3">
        <v>3999654.1468619</v>
      </c>
      <c r="BE25" s="3">
        <v>-0.00011985272368488</v>
      </c>
      <c r="BF25" s="3">
        <v>0.00025442028164537</v>
      </c>
      <c r="BG25" s="4">
        <v>7.2996952300926e-5</v>
      </c>
      <c r="BH25" s="3">
        <v>-0.00018129135165155</v>
      </c>
      <c r="BI25" s="3">
        <v>60.04443685523</v>
      </c>
      <c r="BJ25" s="3">
        <v>30.023757995884</v>
      </c>
      <c r="BK25" s="3">
        <v>55.232053254066</v>
      </c>
      <c r="BL25" s="5"/>
    </row>
    <row r="26" spans="1:64">
      <c r="A26" s="3">
        <v>281170.66259518</v>
      </c>
      <c r="B26" s="4">
        <v>2.4903398707576e-6</v>
      </c>
      <c r="C26" s="4">
        <f t="shared" si="0"/>
        <v>9.60033732778842e-12</v>
      </c>
      <c r="D26" s="4">
        <v>6.3090851191752e-13</v>
      </c>
      <c r="E26" s="4">
        <v>7.6524304916374e-13</v>
      </c>
      <c r="F26" s="4">
        <v>7.6524304904028e-13</v>
      </c>
      <c r="G26" s="4">
        <v>7.6524304843329e-13</v>
      </c>
      <c r="H26" s="4">
        <v>6.3090851078578e-13</v>
      </c>
      <c r="I26" s="4">
        <v>6.3090851119701e-13</v>
      </c>
      <c r="J26" s="4">
        <v>6.3090851097018e-13</v>
      </c>
      <c r="K26" s="4">
        <v>6.6722834048201e-13</v>
      </c>
      <c r="L26" s="4">
        <v>6.6722834118625e-13</v>
      </c>
      <c r="M26" s="4">
        <v>6.6722834014307e-13</v>
      </c>
      <c r="N26" s="4">
        <v>6.9758214584426e-13</v>
      </c>
      <c r="O26" s="4">
        <v>6.3090851080956e-13</v>
      </c>
      <c r="P26" s="4">
        <v>6.9758214545163e-13</v>
      </c>
      <c r="Q26" s="4">
        <v>6.9758214807024e-13</v>
      </c>
      <c r="R26" s="4">
        <v>7.652430484754e-13</v>
      </c>
      <c r="S26" s="4">
        <v>7.6524304809899e-13</v>
      </c>
      <c r="T26" s="4">
        <v>7.6524304844647e-13</v>
      </c>
      <c r="U26" s="4">
        <v>6.3090851091373e-13</v>
      </c>
      <c r="V26" s="4">
        <v>6.672283407965e-13</v>
      </c>
      <c r="W26" s="4">
        <v>6.6722834149882e-13</v>
      </c>
      <c r="X26" s="4">
        <v>6.6722834057066e-13</v>
      </c>
      <c r="Y26" s="4">
        <v>6.9758214563562e-13</v>
      </c>
      <c r="Z26" s="4">
        <v>6.9758214781257e-13</v>
      </c>
      <c r="AA26" s="4">
        <v>6.97582148604e-13</v>
      </c>
      <c r="AB26" s="3">
        <v>0.99999999564792</v>
      </c>
      <c r="AC26" s="3">
        <v>0.99999444185935</v>
      </c>
      <c r="AD26" s="3">
        <v>0.00024830811195456</v>
      </c>
      <c r="AE26" s="4">
        <v>-6.0866808468873e-19</v>
      </c>
      <c r="AF26" s="4">
        <v>3.3214440711379e-18</v>
      </c>
      <c r="AG26" s="4">
        <v>2.6312703104677e-18</v>
      </c>
      <c r="AH26" s="4">
        <v>3.0222196554121e-19</v>
      </c>
      <c r="AI26" s="4">
        <v>-9.2593986320579e-20</v>
      </c>
      <c r="AJ26" s="4">
        <v>7.5864689305514e-19</v>
      </c>
      <c r="AK26" s="4">
        <v>1.2502732199057e-19</v>
      </c>
      <c r="AL26" s="4">
        <v>7.7030220268863e-19</v>
      </c>
      <c r="AM26" s="4">
        <v>5.0788226288524e-20</v>
      </c>
      <c r="AN26" s="4">
        <v>-6.1479180231607e-20</v>
      </c>
      <c r="AO26" s="4">
        <v>9.4906706282545e-19</v>
      </c>
      <c r="AP26" s="4">
        <v>-1.150275554712e-20</v>
      </c>
      <c r="AQ26" s="4">
        <v>4.6913866090558e-19</v>
      </c>
      <c r="AR26" s="4">
        <v>-4.0905381731889e-18</v>
      </c>
      <c r="AS26" s="4">
        <v>-4.25945602992e-19</v>
      </c>
      <c r="AT26" s="4">
        <v>3.2408074732683e-19</v>
      </c>
      <c r="AU26" s="4">
        <v>-9.0083670154332e-19</v>
      </c>
      <c r="AV26" s="4">
        <v>-6.4443977023289e-19</v>
      </c>
      <c r="AW26" s="4">
        <v>-2.7195065974471e-19</v>
      </c>
      <c r="AX26" s="4">
        <v>2.5514996611465e-18</v>
      </c>
      <c r="AY26" s="4">
        <v>4.8388234637439e-19</v>
      </c>
      <c r="AZ26" s="4">
        <v>-1.7367103097941e-18</v>
      </c>
      <c r="BA26" s="4">
        <v>2.3306523591543e-18</v>
      </c>
      <c r="BB26" s="4">
        <v>-7.2569200227806e-18</v>
      </c>
      <c r="BC26" s="3">
        <v>15998736.169081</v>
      </c>
      <c r="BD26" s="3">
        <v>3999611.9415278</v>
      </c>
      <c r="BE26" s="3">
        <v>-0.00011980489941851</v>
      </c>
      <c r="BF26" s="3">
        <v>0.00025471383159936</v>
      </c>
      <c r="BG26" s="4">
        <v>7.3162011349249e-5</v>
      </c>
      <c r="BH26" s="3">
        <v>-0.00018120033021038</v>
      </c>
      <c r="BI26" s="3">
        <v>60.044436683165</v>
      </c>
      <c r="BJ26" s="3">
        <v>30.023758439071</v>
      </c>
      <c r="BK26" s="3">
        <v>55.228714083332</v>
      </c>
      <c r="BL26" s="5"/>
    </row>
    <row r="27" spans="1:64">
      <c r="A27" s="3">
        <v>315478.6722401</v>
      </c>
      <c r="B27" s="4">
        <v>2.7942149455427e-6</v>
      </c>
      <c r="C27" s="4">
        <f t="shared" si="0"/>
        <v>9.59927734364425e-12</v>
      </c>
      <c r="D27" s="4">
        <v>6.3090578989905e-13</v>
      </c>
      <c r="E27" s="4">
        <v>7.6519621958843e-13</v>
      </c>
      <c r="F27" s="4">
        <v>7.6519621945019e-13</v>
      </c>
      <c r="G27" s="4">
        <v>7.6519621877012e-13</v>
      </c>
      <c r="H27" s="4">
        <v>6.3090578862961e-13</v>
      </c>
      <c r="I27" s="4">
        <v>6.3090578909073e-13</v>
      </c>
      <c r="J27" s="4">
        <v>6.3090578883651e-13</v>
      </c>
      <c r="K27" s="4">
        <v>6.672126710511e-13</v>
      </c>
      <c r="L27" s="4">
        <v>6.6721267184147e-13</v>
      </c>
      <c r="M27" s="4">
        <v>6.6721267067057e-13</v>
      </c>
      <c r="N27" s="4">
        <v>6.9754428921879e-13</v>
      </c>
      <c r="O27" s="4">
        <v>6.3090578865625e-13</v>
      </c>
      <c r="P27" s="4">
        <v>6.9754428877816e-13</v>
      </c>
      <c r="Q27" s="4">
        <v>6.9754429171737e-13</v>
      </c>
      <c r="R27" s="4">
        <v>7.6519621881669e-13</v>
      </c>
      <c r="S27" s="4">
        <v>7.651962183947e-13</v>
      </c>
      <c r="T27" s="4">
        <v>7.6519621878453e-13</v>
      </c>
      <c r="U27" s="4">
        <v>6.3090578877327e-13</v>
      </c>
      <c r="V27" s="4">
        <v>6.6721267140295e-13</v>
      </c>
      <c r="W27" s="4">
        <v>6.6721267219192e-13</v>
      </c>
      <c r="X27" s="4">
        <v>6.6721267115098e-13</v>
      </c>
      <c r="Y27" s="4">
        <v>6.9754428898408e-13</v>
      </c>
      <c r="Z27" s="4">
        <v>6.975442914274e-13</v>
      </c>
      <c r="AA27" s="4">
        <v>6.9754429231674e-13</v>
      </c>
      <c r="AB27" s="3">
        <v>0.9999999961165</v>
      </c>
      <c r="AC27" s="3">
        <v>0.99999443984011</v>
      </c>
      <c r="AD27" s="3">
        <v>0.00024856019025787</v>
      </c>
      <c r="AE27" s="4">
        <v>-6.0945152411152e-19</v>
      </c>
      <c r="AF27" s="4">
        <v>3.3165103100492e-18</v>
      </c>
      <c r="AG27" s="4">
        <v>2.6287999551397e-18</v>
      </c>
      <c r="AH27" s="4">
        <v>3.0308639833424e-19</v>
      </c>
      <c r="AI27" s="4">
        <v>-9.2770943792884e-20</v>
      </c>
      <c r="AJ27" s="4">
        <v>7.5859953290583e-19</v>
      </c>
      <c r="AK27" s="4">
        <v>1.2503530129868e-19</v>
      </c>
      <c r="AL27" s="4">
        <v>7.6996277785933e-19</v>
      </c>
      <c r="AM27" s="4">
        <v>5.5188014449803e-20</v>
      </c>
      <c r="AN27" s="4">
        <v>-6.1457303296342e-20</v>
      </c>
      <c r="AO27" s="4">
        <v>9.4840860966625e-19</v>
      </c>
      <c r="AP27" s="4">
        <v>-1.1243373735243e-20</v>
      </c>
      <c r="AQ27" s="4">
        <v>4.6950536357436e-19</v>
      </c>
      <c r="AR27" s="4">
        <v>-4.0897042467297e-18</v>
      </c>
      <c r="AS27" s="4">
        <v>-4.2469284655308e-19</v>
      </c>
      <c r="AT27" s="4">
        <v>3.2341164061521e-19</v>
      </c>
      <c r="AU27" s="4">
        <v>-8.9942008057842e-19</v>
      </c>
      <c r="AV27" s="4">
        <v>-6.4457587512511e-19</v>
      </c>
      <c r="AW27" s="4">
        <v>-2.714178055742e-19</v>
      </c>
      <c r="AX27" s="4">
        <v>2.5479335518894e-18</v>
      </c>
      <c r="AY27" s="4">
        <v>4.8334546006568e-19</v>
      </c>
      <c r="AZ27" s="4">
        <v>-1.7340595797935e-18</v>
      </c>
      <c r="BA27" s="4">
        <v>2.3302849393678e-18</v>
      </c>
      <c r="BB27" s="4">
        <v>-7.2566064535802e-18</v>
      </c>
      <c r="BC27" s="3">
        <v>15998581.939726</v>
      </c>
      <c r="BD27" s="3">
        <v>3999564.5888142</v>
      </c>
      <c r="BE27" s="3">
        <v>-0.00011975121880903</v>
      </c>
      <c r="BF27" s="3">
        <v>0.00025504316369905</v>
      </c>
      <c r="BG27" s="4">
        <v>7.3347205881444e-5</v>
      </c>
      <c r="BH27" s="3">
        <v>-0.00018109802775741</v>
      </c>
      <c r="BI27" s="3">
        <v>60.044436491971</v>
      </c>
      <c r="BJ27" s="3">
        <v>30.023758935846</v>
      </c>
      <c r="BK27" s="3">
        <v>55.224970960089</v>
      </c>
      <c r="BL27" s="5"/>
    </row>
    <row r="28" spans="1:64">
      <c r="A28" s="3">
        <v>353972.89219207</v>
      </c>
      <c r="B28" s="4">
        <v>3.1351465710685e-6</v>
      </c>
      <c r="C28" s="4">
        <f t="shared" si="0"/>
        <v>9.59808908664654e-12</v>
      </c>
      <c r="D28" s="4">
        <v>6.3090272107773e-13</v>
      </c>
      <c r="E28" s="4">
        <v>7.6514370366649e-13</v>
      </c>
      <c r="F28" s="4">
        <v>7.6514370351174e-13</v>
      </c>
      <c r="G28" s="4">
        <v>7.6514370274992e-13</v>
      </c>
      <c r="H28" s="4">
        <v>6.3090271965392e-13</v>
      </c>
      <c r="I28" s="4">
        <v>6.3090272017093e-13</v>
      </c>
      <c r="J28" s="4">
        <v>6.3090271988606e-13</v>
      </c>
      <c r="K28" s="4">
        <v>6.6719508334076e-13</v>
      </c>
      <c r="L28" s="4">
        <v>6.6719508422782e-13</v>
      </c>
      <c r="M28" s="4">
        <v>6.6719508291353e-13</v>
      </c>
      <c r="N28" s="4">
        <v>6.9750184146063e-13</v>
      </c>
      <c r="O28" s="4">
        <v>6.3090271968377e-13</v>
      </c>
      <c r="P28" s="4">
        <v>6.9750184096613e-13</v>
      </c>
      <c r="Q28" s="4">
        <v>6.975018442653e-13</v>
      </c>
      <c r="R28" s="4">
        <v>7.6514370280132e-13</v>
      </c>
      <c r="S28" s="4">
        <v>7.6514370232828e-13</v>
      </c>
      <c r="T28" s="4">
        <v>7.6514370276561e-13</v>
      </c>
      <c r="U28" s="4">
        <v>6.3090271981523e-13</v>
      </c>
      <c r="V28" s="4">
        <v>6.6719508373428e-13</v>
      </c>
      <c r="W28" s="4">
        <v>6.6719508462071e-13</v>
      </c>
      <c r="X28" s="4">
        <v>6.6719508345336e-13</v>
      </c>
      <c r="Y28" s="4">
        <v>6.9750184119651e-13</v>
      </c>
      <c r="Z28" s="4">
        <v>6.9750184393886e-13</v>
      </c>
      <c r="AA28" s="4">
        <v>6.975018449384e-13</v>
      </c>
      <c r="AB28" s="3">
        <v>0.99999999653505</v>
      </c>
      <c r="AC28" s="3">
        <v>0.99999443757259</v>
      </c>
      <c r="AD28" s="3">
        <v>0.00024884313290212</v>
      </c>
      <c r="AE28" s="4">
        <v>-6.1033080010883e-19</v>
      </c>
      <c r="AF28" s="4">
        <v>3.3109811202675e-18</v>
      </c>
      <c r="AG28" s="4">
        <v>2.62603215181e-18</v>
      </c>
      <c r="AH28" s="4">
        <v>3.0405687959072e-19</v>
      </c>
      <c r="AI28" s="4">
        <v>-9.2969483823124e-20</v>
      </c>
      <c r="AJ28" s="4">
        <v>7.5854501695276e-19</v>
      </c>
      <c r="AK28" s="4">
        <v>1.2504369708207e-19</v>
      </c>
      <c r="AL28" s="4">
        <v>7.695830038815e-19</v>
      </c>
      <c r="AM28" s="4">
        <v>6.0129846092173e-20</v>
      </c>
      <c r="AN28" s="4">
        <v>-6.1433297536544e-20</v>
      </c>
      <c r="AO28" s="4">
        <v>9.4767078130599e-19</v>
      </c>
      <c r="AP28" s="4">
        <v>-1.0952794334867e-20</v>
      </c>
      <c r="AQ28" s="4">
        <v>4.6991490152384e-19</v>
      </c>
      <c r="AR28" s="4">
        <v>-4.0887608344938e-18</v>
      </c>
      <c r="AS28" s="4">
        <v>-4.2328839212862e-19</v>
      </c>
      <c r="AT28" s="4">
        <v>3.2266149136032e-19</v>
      </c>
      <c r="AU28" s="4">
        <v>-8.9783157384157e-19</v>
      </c>
      <c r="AV28" s="4">
        <v>-6.44729187588e-19</v>
      </c>
      <c r="AW28" s="4">
        <v>-2.7081842728309e-19</v>
      </c>
      <c r="AX28" s="4">
        <v>2.5439315831489e-18</v>
      </c>
      <c r="AY28" s="4">
        <v>4.8274039671465e-19</v>
      </c>
      <c r="AZ28" s="4">
        <v>-1.7310894523708e-18</v>
      </c>
      <c r="BA28" s="4">
        <v>2.3298689808739e-18</v>
      </c>
      <c r="BB28" s="4">
        <v>-7.2562416524405e-18</v>
      </c>
      <c r="BC28" s="3">
        <v>15998408.897483</v>
      </c>
      <c r="BD28" s="3">
        <v>3999511.4612793</v>
      </c>
      <c r="BE28" s="3">
        <v>-0.00011969096190133</v>
      </c>
      <c r="BF28" s="3">
        <v>0.00025541263465147</v>
      </c>
      <c r="BG28" s="4">
        <v>7.3554991567933e-5</v>
      </c>
      <c r="BH28" s="3">
        <v>-0.00018098302645634</v>
      </c>
      <c r="BI28" s="3">
        <v>60.044436279779</v>
      </c>
      <c r="BJ28" s="3">
        <v>30.023759492619</v>
      </c>
      <c r="BK28" s="3">
        <v>55.220775492854</v>
      </c>
      <c r="BL28" s="5"/>
    </row>
    <row r="29" spans="1:64">
      <c r="A29" s="3">
        <v>397164.11736215</v>
      </c>
      <c r="B29" s="4">
        <v>3.517650702577e-6</v>
      </c>
      <c r="C29" s="4">
        <f t="shared" si="0"/>
        <v>9.59675719912509e-12</v>
      </c>
      <c r="D29" s="4">
        <v>6.3089925934209e-13</v>
      </c>
      <c r="E29" s="4">
        <v>7.6508481466513e-13</v>
      </c>
      <c r="F29" s="4">
        <v>7.6508481449195e-13</v>
      </c>
      <c r="G29" s="4">
        <v>7.6508481363875e-13</v>
      </c>
      <c r="H29" s="4">
        <v>6.3089925774523e-13</v>
      </c>
      <c r="I29" s="4">
        <v>6.3089925832485e-13</v>
      </c>
      <c r="J29" s="4">
        <v>6.3089925800568e-13</v>
      </c>
      <c r="K29" s="4">
        <v>6.671753416503e-13</v>
      </c>
      <c r="L29" s="4">
        <v>6.671753426459e-13</v>
      </c>
      <c r="M29" s="4">
        <v>6.6717534117059e-13</v>
      </c>
      <c r="N29" s="4">
        <v>6.9745424955521e-13</v>
      </c>
      <c r="O29" s="4">
        <v>6.3089925777866e-13</v>
      </c>
      <c r="P29" s="4">
        <v>6.9745424900025e-13</v>
      </c>
      <c r="Q29" s="4">
        <v>6.9745425270359e-13</v>
      </c>
      <c r="R29" s="4">
        <v>7.6508481369536e-13</v>
      </c>
      <c r="S29" s="4">
        <v>7.6508481316515e-13</v>
      </c>
      <c r="T29" s="4">
        <v>7.6508481365575e-13</v>
      </c>
      <c r="U29" s="4">
        <v>6.3089925792637e-13</v>
      </c>
      <c r="V29" s="4">
        <v>6.6717534209023e-13</v>
      </c>
      <c r="W29" s="4">
        <v>6.671753430863e-13</v>
      </c>
      <c r="X29" s="4">
        <v>6.6717534177729e-13</v>
      </c>
      <c r="Y29" s="4">
        <v>6.974542492579e-13</v>
      </c>
      <c r="Z29" s="4">
        <v>6.9745425233596e-13</v>
      </c>
      <c r="AA29" s="4">
        <v>6.9745425345956e-13</v>
      </c>
      <c r="AB29" s="3">
        <v>0.99999999690883</v>
      </c>
      <c r="AC29" s="3">
        <v>0.99999443502599</v>
      </c>
      <c r="AD29" s="3">
        <v>0.00024916073280513</v>
      </c>
      <c r="AE29" s="4">
        <v>-6.1131765520987e-19</v>
      </c>
      <c r="AF29" s="4">
        <v>3.3047855501046e-18</v>
      </c>
      <c r="AG29" s="4">
        <v>2.6229316252127e-18</v>
      </c>
      <c r="AH29" s="4">
        <v>3.0514649550119e-19</v>
      </c>
      <c r="AI29" s="4">
        <v>-9.3192240281751e-20</v>
      </c>
      <c r="AJ29" s="4">
        <v>7.584821143087e-19</v>
      </c>
      <c r="AK29" s="4">
        <v>1.2505241618918e-19</v>
      </c>
      <c r="AL29" s="4">
        <v>7.6915822850766e-19</v>
      </c>
      <c r="AM29" s="4">
        <v>6.5681197116719e-20</v>
      </c>
      <c r="AN29" s="4">
        <v>-6.1407040364352e-20</v>
      </c>
      <c r="AO29" s="4">
        <v>9.4684413085951e-19</v>
      </c>
      <c r="AP29" s="4">
        <v>-1.0627327552611e-20</v>
      </c>
      <c r="AQ29" s="4">
        <v>4.7037200768025e-19</v>
      </c>
      <c r="AR29" s="4">
        <v>-4.0876926056287e-18</v>
      </c>
      <c r="AS29" s="4">
        <v>-4.2171403500952e-19</v>
      </c>
      <c r="AT29" s="4">
        <v>3.2182056435097e-19</v>
      </c>
      <c r="AU29" s="4">
        <v>-8.9605045504454e-19</v>
      </c>
      <c r="AV29" s="4">
        <v>-6.4490196240157e-19</v>
      </c>
      <c r="AW29" s="4">
        <v>-2.7014403090854e-19</v>
      </c>
      <c r="AX29" s="4">
        <v>2.5394403656946e-18</v>
      </c>
      <c r="AY29" s="4">
        <v>4.8205814692224e-19</v>
      </c>
      <c r="AZ29" s="4">
        <v>-1.7277619959805e-18</v>
      </c>
      <c r="BA29" s="4">
        <v>2.3293975987471e-18</v>
      </c>
      <c r="BB29" s="4">
        <v>-7.2558160375597e-18</v>
      </c>
      <c r="BC29" s="3">
        <v>15998214.748379</v>
      </c>
      <c r="BD29" s="3">
        <v>3999451.8550856</v>
      </c>
      <c r="BE29" s="3">
        <v>-0.00011962331951669</v>
      </c>
      <c r="BF29" s="3">
        <v>0.00025582713035256</v>
      </c>
      <c r="BG29" s="4">
        <v>7.3788123399851e-5</v>
      </c>
      <c r="BH29" s="3">
        <v>-0.00018085371777187</v>
      </c>
      <c r="BI29" s="3">
        <v>60.044436044634</v>
      </c>
      <c r="BJ29" s="3">
        <v>30.023760116548</v>
      </c>
      <c r="BK29" s="3">
        <v>55.216073616039</v>
      </c>
      <c r="BL29" s="5"/>
    </row>
    <row r="30" spans="1:64">
      <c r="A30" s="3">
        <v>445625.46906688</v>
      </c>
      <c r="B30" s="4">
        <v>3.9467928763676e-6</v>
      </c>
      <c r="C30" s="4">
        <f t="shared" si="0"/>
        <v>9.59526449082946e-12</v>
      </c>
      <c r="D30" s="4">
        <v>6.3089535197413e-13</v>
      </c>
      <c r="E30" s="4">
        <v>7.6501878386882e-13</v>
      </c>
      <c r="F30" s="4">
        <v>7.6501878367508e-13</v>
      </c>
      <c r="G30" s="4">
        <v>7.6501878271976e-13</v>
      </c>
      <c r="H30" s="4">
        <v>6.308953501833e-13</v>
      </c>
      <c r="I30" s="4">
        <v>6.3089535083305e-13</v>
      </c>
      <c r="J30" s="4">
        <v>6.3089535047552e-13</v>
      </c>
      <c r="K30" s="4">
        <v>6.6715318109706e-13</v>
      </c>
      <c r="L30" s="4">
        <v>6.671531822145e-13</v>
      </c>
      <c r="M30" s="4">
        <v>6.6715318055838e-13</v>
      </c>
      <c r="N30" s="4">
        <v>6.974008948393e-13</v>
      </c>
      <c r="O30" s="4">
        <v>6.3089535022075e-13</v>
      </c>
      <c r="P30" s="4">
        <v>6.9740089421647e-13</v>
      </c>
      <c r="Q30" s="4">
        <v>6.9740089837366e-13</v>
      </c>
      <c r="R30" s="4">
        <v>7.6501878278193e-13</v>
      </c>
      <c r="S30" s="4">
        <v>7.6501878218773e-13</v>
      </c>
      <c r="T30" s="4">
        <v>7.6501878273808e-13</v>
      </c>
      <c r="U30" s="4">
        <v>6.3089535038673e-13</v>
      </c>
      <c r="V30" s="4">
        <v>6.6715318158864e-13</v>
      </c>
      <c r="W30" s="4">
        <v>6.6715318270812e-13</v>
      </c>
      <c r="X30" s="4">
        <v>6.6715318124037e-13</v>
      </c>
      <c r="Y30" s="4">
        <v>6.9740089450449e-13</v>
      </c>
      <c r="Z30" s="4">
        <v>6.9740089795947e-13</v>
      </c>
      <c r="AA30" s="4">
        <v>6.974008992228e-13</v>
      </c>
      <c r="AB30" s="3">
        <v>0.99999999724255</v>
      </c>
      <c r="AC30" s="3">
        <v>0.99999443216565</v>
      </c>
      <c r="AD30" s="3">
        <v>0.00024951725241926</v>
      </c>
      <c r="AE30" s="4">
        <v>-6.1242527162012e-19</v>
      </c>
      <c r="AF30" s="4">
        <v>3.2978444300195e-18</v>
      </c>
      <c r="AG30" s="4">
        <v>2.6194590549851e-18</v>
      </c>
      <c r="AH30" s="4">
        <v>3.0636996627532e-19</v>
      </c>
      <c r="AI30" s="4">
        <v>-9.3442169680105e-20</v>
      </c>
      <c r="AJ30" s="4">
        <v>7.5840935074809e-19</v>
      </c>
      <c r="AK30" s="4">
        <v>1.2506131690726e-19</v>
      </c>
      <c r="AL30" s="4">
        <v>7.6868329996781e-19</v>
      </c>
      <c r="AM30" s="4">
        <v>7.1918120045249e-20</v>
      </c>
      <c r="AN30" s="4">
        <v>-6.1378428623608e-20</v>
      </c>
      <c r="AO30" s="4">
        <v>9.4591811532024e-19</v>
      </c>
      <c r="AP30" s="4">
        <v>-1.0262863596655e-20</v>
      </c>
      <c r="AQ30" s="4">
        <v>4.7088186488802e-19</v>
      </c>
      <c r="AR30" s="4">
        <v>-4.0864818606175e-18</v>
      </c>
      <c r="AS30" s="4">
        <v>-4.1994943006086e-19</v>
      </c>
      <c r="AT30" s="4">
        <v>3.2087797534709e-19</v>
      </c>
      <c r="AU30" s="4">
        <v>-8.9405353135461e-19</v>
      </c>
      <c r="AV30" s="4">
        <v>-6.4509676944148e-19</v>
      </c>
      <c r="AW30" s="4">
        <v>-2.6938499382773e-19</v>
      </c>
      <c r="AX30" s="4">
        <v>2.5343999352887e-18</v>
      </c>
      <c r="AY30" s="4">
        <v>4.812884232002e-19</v>
      </c>
      <c r="AZ30" s="4">
        <v>-1.7240349180028e-18</v>
      </c>
      <c r="BA30" s="4">
        <v>2.3288628174839e-18</v>
      </c>
      <c r="BB30" s="4">
        <v>-7.2553180071522e-18</v>
      </c>
      <c r="BC30" s="3">
        <v>15997996.918931</v>
      </c>
      <c r="BD30" s="3">
        <v>3999384.9807202</v>
      </c>
      <c r="BE30" s="3">
        <v>-0.0001195473820165</v>
      </c>
      <c r="BF30" s="3">
        <v>0.00025629212983975</v>
      </c>
      <c r="BG30" s="4">
        <v>7.4049692130355e-5</v>
      </c>
      <c r="BH30" s="3">
        <v>-0.00018070829628909</v>
      </c>
      <c r="BI30" s="3">
        <v>60.044435784477</v>
      </c>
      <c r="BJ30" s="3">
        <v>30.023760815621</v>
      </c>
      <c r="BK30" s="3">
        <v>55.210804956479</v>
      </c>
      <c r="BL30" s="5"/>
    </row>
    <row r="31" spans="1:64">
      <c r="A31" s="3">
        <v>500000.00000001</v>
      </c>
      <c r="B31" s="4">
        <v>4.428254897365e-6</v>
      </c>
      <c r="C31" s="4">
        <f t="shared" si="0"/>
        <v>9.59359176452572e-12</v>
      </c>
      <c r="D31" s="4">
        <v>6.3089093858815e-13</v>
      </c>
      <c r="E31" s="4">
        <v>7.6494475103184e-13</v>
      </c>
      <c r="F31" s="4">
        <v>7.6494475081519e-13</v>
      </c>
      <c r="G31" s="4">
        <v>7.649447497458e-13</v>
      </c>
      <c r="H31" s="4">
        <v>6.3089093657992e-13</v>
      </c>
      <c r="I31" s="4">
        <v>6.3089093730819e-13</v>
      </c>
      <c r="J31" s="4">
        <v>6.3089093690776e-13</v>
      </c>
      <c r="K31" s="4">
        <v>6.6712830394615e-13</v>
      </c>
      <c r="L31" s="4">
        <v>6.671283052004e-13</v>
      </c>
      <c r="M31" s="4">
        <v>6.6712830334121e-13</v>
      </c>
      <c r="N31" s="4">
        <v>6.9734108545021e-13</v>
      </c>
      <c r="O31" s="4">
        <v>6.3089093662184e-13</v>
      </c>
      <c r="P31" s="4">
        <v>6.973410847512e-13</v>
      </c>
      <c r="Q31" s="4">
        <v>6.9734108941809e-13</v>
      </c>
      <c r="R31" s="4">
        <v>7.6494474981387e-13</v>
      </c>
      <c r="S31" s="4">
        <v>7.6494474914807e-13</v>
      </c>
      <c r="T31" s="4">
        <v>7.6494474976541e-13</v>
      </c>
      <c r="U31" s="4">
        <v>6.308909368084e-13</v>
      </c>
      <c r="V31" s="4">
        <v>6.6712830449517e-13</v>
      </c>
      <c r="W31" s="4">
        <v>6.6712830575357e-13</v>
      </c>
      <c r="X31" s="4">
        <v>6.6712830410798e-13</v>
      </c>
      <c r="Y31" s="4">
        <v>6.9734108507302e-13</v>
      </c>
      <c r="Z31" s="4">
        <v>6.9734108895121e-13</v>
      </c>
      <c r="AA31" s="4">
        <v>6.97341090372e-13</v>
      </c>
      <c r="AB31" s="3">
        <v>0.99999999754045</v>
      </c>
      <c r="AC31" s="3">
        <v>0.99999442895251</v>
      </c>
      <c r="AD31" s="3">
        <v>0.0002499174826702</v>
      </c>
      <c r="AE31" s="4">
        <v>-6.1366844639002e-19</v>
      </c>
      <c r="AF31" s="4">
        <v>3.2900694833963e-18</v>
      </c>
      <c r="AG31" s="4">
        <v>2.6155706472393e-18</v>
      </c>
      <c r="AH31" s="4">
        <v>3.0774385485459e-19</v>
      </c>
      <c r="AI31" s="4">
        <v>-9.3722591341786e-20</v>
      </c>
      <c r="AJ31" s="4">
        <v>7.583249548199e-19</v>
      </c>
      <c r="AK31" s="4">
        <v>1.2507019349872e-19</v>
      </c>
      <c r="AL31" s="4">
        <v>7.681525227477e-19</v>
      </c>
      <c r="AM31" s="4">
        <v>7.8926378109202e-20</v>
      </c>
      <c r="AN31" s="4">
        <v>-6.1347389414251e-20</v>
      </c>
      <c r="AO31" s="4">
        <v>9.4488097453895e-19</v>
      </c>
      <c r="AP31" s="4">
        <v>-9.8548292480294e-21</v>
      </c>
      <c r="AQ31" s="4">
        <v>4.7145012792591e-19</v>
      </c>
      <c r="AR31" s="4">
        <v>-4.0851081185152e-18</v>
      </c>
      <c r="AS31" s="4">
        <v>-4.1797185215682e-19</v>
      </c>
      <c r="AT31" s="4">
        <v>3.1982156066633e-19</v>
      </c>
      <c r="AU31" s="4">
        <v>-8.9181485801239e-19</v>
      </c>
      <c r="AV31" s="4">
        <v>-6.453165425387e-19</v>
      </c>
      <c r="AW31" s="4">
        <v>-2.6853040546558e-19</v>
      </c>
      <c r="AX31" s="4">
        <v>2.528742931855e-18</v>
      </c>
      <c r="AY31" s="4">
        <v>4.8041945782572e-19</v>
      </c>
      <c r="AZ31" s="4">
        <v>-1.7198611009452e-18</v>
      </c>
      <c r="BA31" s="4">
        <v>2.3282553730553e-18</v>
      </c>
      <c r="BB31" s="4">
        <v>-7.2547334776482e-18</v>
      </c>
      <c r="BC31" s="3">
        <v>15997752.522153</v>
      </c>
      <c r="BD31" s="3">
        <v>3999309.9525938</v>
      </c>
      <c r="BE31" s="3">
        <v>-0.000119462126606</v>
      </c>
      <c r="BF31" s="3">
        <v>0.00025681377689191</v>
      </c>
      <c r="BG31" s="4">
        <v>7.4343165141781e-5</v>
      </c>
      <c r="BH31" s="3">
        <v>-0.00018054470566023</v>
      </c>
      <c r="BI31" s="3">
        <v>60.044435497195</v>
      </c>
      <c r="BJ31" s="3">
        <v>30.023761598755</v>
      </c>
      <c r="BK31" s="3">
        <v>55.204902137557</v>
      </c>
      <c r="BL31" s="5"/>
    </row>
    <row r="32" spans="1:64">
      <c r="A32" s="3">
        <v>561009.22715099</v>
      </c>
      <c r="B32" s="4">
        <v>4.9684095732047e-6</v>
      </c>
      <c r="C32" s="4">
        <f t="shared" si="0"/>
        <v>9.59171758628954e-12</v>
      </c>
      <c r="D32" s="4">
        <v>6.3088594986431e-13</v>
      </c>
      <c r="E32" s="4">
        <v>7.6486175376824e-13</v>
      </c>
      <c r="F32" s="4">
        <v>7.6486175352606e-13</v>
      </c>
      <c r="G32" s="4">
        <v>7.6486175232934e-13</v>
      </c>
      <c r="H32" s="4">
        <v>6.3088594761245e-13</v>
      </c>
      <c r="I32" s="4">
        <v>6.3088594842861e-13</v>
      </c>
      <c r="J32" s="4">
        <v>6.3088594798026e-13</v>
      </c>
      <c r="K32" s="4">
        <v>6.6710037547287e-13</v>
      </c>
      <c r="L32" s="4">
        <v>6.6710037688072e-13</v>
      </c>
      <c r="M32" s="4">
        <v>6.6710037479344e-13</v>
      </c>
      <c r="N32" s="4">
        <v>6.9727447570405e-13</v>
      </c>
      <c r="O32" s="4">
        <v>6.3088594765937e-13</v>
      </c>
      <c r="P32" s="4">
        <v>6.9727447491951e-13</v>
      </c>
      <c r="Q32" s="4">
        <v>6.9727448015888e-13</v>
      </c>
      <c r="R32" s="4">
        <v>7.648617524036e-13</v>
      </c>
      <c r="S32" s="4">
        <v>7.6486175165768e-13</v>
      </c>
      <c r="T32" s="4">
        <v>7.6486175235015e-13</v>
      </c>
      <c r="U32" s="4">
        <v>6.308859478691e-13</v>
      </c>
      <c r="V32" s="4">
        <v>6.6710037608567e-13</v>
      </c>
      <c r="W32" s="4">
        <v>6.6710037750054e-13</v>
      </c>
      <c r="X32" s="4">
        <v>6.6710037565574e-13</v>
      </c>
      <c r="Y32" s="4">
        <v>6.9727447527892e-13</v>
      </c>
      <c r="Z32" s="4">
        <v>6.9727447963234e-13</v>
      </c>
      <c r="AA32" s="4">
        <v>6.9727448123064e-13</v>
      </c>
      <c r="AB32" s="3">
        <v>0.99999999780633</v>
      </c>
      <c r="AC32" s="3">
        <v>0.99999442534258</v>
      </c>
      <c r="AD32" s="3">
        <v>0.00025036680946822</v>
      </c>
      <c r="AE32" s="4">
        <v>-6.1506378699452e-19</v>
      </c>
      <c r="AF32" s="4">
        <v>3.2813623570908e-18</v>
      </c>
      <c r="AG32" s="4">
        <v>2.6112176707013e-18</v>
      </c>
      <c r="AH32" s="4">
        <v>3.0928680305097e-19</v>
      </c>
      <c r="AI32" s="4">
        <v>-9.4037232545717e-20</v>
      </c>
      <c r="AJ32" s="4">
        <v>7.5822679113721e-19</v>
      </c>
      <c r="AK32" s="4">
        <v>1.2507875639415e-19</v>
      </c>
      <c r="AL32" s="4">
        <v>7.6755961484281e-19</v>
      </c>
      <c r="AM32" s="4">
        <v>8.6802732019216e-20</v>
      </c>
      <c r="AN32" s="4">
        <v>-6.1313894444702e-20</v>
      </c>
      <c r="AO32" s="4">
        <v>9.4371959752688e-19</v>
      </c>
      <c r="AP32" s="4">
        <v>-9.3981412086894e-21</v>
      </c>
      <c r="AQ32" s="4">
        <v>4.7208293970705e-19</v>
      </c>
      <c r="AR32" s="4">
        <v>-4.0835476248158e-18</v>
      </c>
      <c r="AS32" s="4">
        <v>-4.1575593223804e-19</v>
      </c>
      <c r="AT32" s="4">
        <v>3.1863773327321e-19</v>
      </c>
      <c r="AU32" s="4">
        <v>-8.893054223558e-19</v>
      </c>
      <c r="AV32" s="4">
        <v>-6.4556463632463e-19</v>
      </c>
      <c r="AW32" s="4">
        <v>-2.6756788400998e-19</v>
      </c>
      <c r="AX32" s="4">
        <v>2.5223936892795e-18</v>
      </c>
      <c r="AY32" s="4">
        <v>4.7943776392211e-19</v>
      </c>
      <c r="AZ32" s="4">
        <v>-1.7151880981772e-18</v>
      </c>
      <c r="BA32" s="4">
        <v>2.3275644747322e-18</v>
      </c>
      <c r="BB32" s="4">
        <v>-7.2540453122154e-18</v>
      </c>
      <c r="BC32" s="3">
        <v>15997478.319422</v>
      </c>
      <c r="BD32" s="3">
        <v>3999225.7773823</v>
      </c>
      <c r="BE32" s="3">
        <v>-0.00011936640294664</v>
      </c>
      <c r="BF32" s="3">
        <v>0.0002573989601689</v>
      </c>
      <c r="BG32" s="4">
        <v>7.4672432275169e-5</v>
      </c>
      <c r="BH32" s="3">
        <v>-0.00018036062984141</v>
      </c>
      <c r="BI32" s="3">
        <v>60.044435180656</v>
      </c>
      <c r="BJ32" s="3">
        <v>30.023762475877</v>
      </c>
      <c r="BK32" s="3">
        <v>55.198290015973</v>
      </c>
      <c r="BL32" s="5"/>
    </row>
    <row r="33" spans="1:64">
      <c r="A33" s="3">
        <v>629462.7058971</v>
      </c>
      <c r="B33" s="4">
        <v>5.5744044958412e-6</v>
      </c>
      <c r="C33" s="4">
        <f t="shared" si="0"/>
        <v>9.58961790641372e-12</v>
      </c>
      <c r="D33" s="4">
        <v>6.3088030577853e-13</v>
      </c>
      <c r="E33" s="4">
        <v>7.6476871554774e-13</v>
      </c>
      <c r="F33" s="4">
        <v>7.6476871527715e-13</v>
      </c>
      <c r="G33" s="4">
        <v>7.6476871393839e-13</v>
      </c>
      <c r="H33" s="4">
        <v>6.308803032537e-13</v>
      </c>
      <c r="I33" s="4">
        <v>6.3088030416823e-13</v>
      </c>
      <c r="J33" s="4">
        <v>6.3088030366634e-13</v>
      </c>
      <c r="K33" s="4">
        <v>6.6706901945537e-13</v>
      </c>
      <c r="L33" s="4">
        <v>6.6706902103572e-13</v>
      </c>
      <c r="M33" s="4">
        <v>6.670690186922e-13</v>
      </c>
      <c r="N33" s="4">
        <v>6.9720107937207e-13</v>
      </c>
      <c r="O33" s="4">
        <v>6.3088030330621e-13</v>
      </c>
      <c r="P33" s="4">
        <v>6.9720107849151e-13</v>
      </c>
      <c r="Q33" s="4">
        <v>6.9720108437394e-13</v>
      </c>
      <c r="R33" s="4">
        <v>7.6476871401905e-13</v>
      </c>
      <c r="S33" s="4">
        <v>7.6476871318354e-13</v>
      </c>
      <c r="T33" s="4">
        <v>7.6476871396024e-13</v>
      </c>
      <c r="U33" s="4">
        <v>6.3088030354203e-13</v>
      </c>
      <c r="V33" s="4">
        <v>6.6706902013892e-13</v>
      </c>
      <c r="W33" s="4">
        <v>6.6706902173009e-13</v>
      </c>
      <c r="X33" s="4">
        <v>6.6706901966219e-13</v>
      </c>
      <c r="Y33" s="4">
        <v>6.9720107889264e-13</v>
      </c>
      <c r="Z33" s="4">
        <v>6.9720108377978e-13</v>
      </c>
      <c r="AA33" s="4">
        <v>6.9720108557832e-13</v>
      </c>
      <c r="AB33" s="3">
        <v>0.99999999804358</v>
      </c>
      <c r="AC33" s="3">
        <v>0.99999442128653</v>
      </c>
      <c r="AD33" s="3">
        <v>0.0002508712887213</v>
      </c>
      <c r="AE33" s="4">
        <v>-6.1662987164084e-19</v>
      </c>
      <c r="AF33" s="4">
        <v>3.2716135554906e-18</v>
      </c>
      <c r="AG33" s="4">
        <v>2.6063459688266e-18</v>
      </c>
      <c r="AH33" s="4">
        <v>3.1101979112862e-19</v>
      </c>
      <c r="AI33" s="4">
        <v>-9.4390273910606e-20</v>
      </c>
      <c r="AJ33" s="4">
        <v>7.5811227296381e-19</v>
      </c>
      <c r="AK33" s="4">
        <v>1.2508661931485e-19</v>
      </c>
      <c r="AL33" s="4">
        <v>7.66897716529e-19</v>
      </c>
      <c r="AM33" s="4">
        <v>9.5656247686722e-20</v>
      </c>
      <c r="AN33" s="4">
        <v>-6.1277981504776e-20</v>
      </c>
      <c r="AO33" s="4">
        <v>9.4241937240519e-19</v>
      </c>
      <c r="AP33" s="4">
        <v>-8.8871574258961e-21</v>
      </c>
      <c r="AQ33" s="4">
        <v>4.7278693986553e-19</v>
      </c>
      <c r="AR33" s="4">
        <v>-4.0817727774129e-18</v>
      </c>
      <c r="AS33" s="4">
        <v>-4.1327334780856e-19</v>
      </c>
      <c r="AT33" s="4">
        <v>3.1731132710594e-19</v>
      </c>
      <c r="AU33" s="4">
        <v>-8.8649280252611e-19</v>
      </c>
      <c r="AV33" s="4">
        <v>-6.4584488438598e-19</v>
      </c>
      <c r="AW33" s="4">
        <v>-2.6648337526577e-19</v>
      </c>
      <c r="AX33" s="4">
        <v>2.5152675318113e-18</v>
      </c>
      <c r="AY33" s="4">
        <v>4.7832785124527e-19</v>
      </c>
      <c r="AZ33" s="4">
        <v>-1.7099575664735e-18</v>
      </c>
      <c r="BA33" s="4">
        <v>2.3267775435432e-18</v>
      </c>
      <c r="BB33" s="4">
        <v>-7.2532326265444e-18</v>
      </c>
      <c r="BC33" s="3">
        <v>15997170.677635</v>
      </c>
      <c r="BD33" s="3">
        <v>3999131.3409304</v>
      </c>
      <c r="BE33" s="3">
        <v>-0.00011925891651421</v>
      </c>
      <c r="BF33" s="3">
        <v>0.00025805540287444</v>
      </c>
      <c r="BG33" s="4">
        <v>7.5041857233553e-5</v>
      </c>
      <c r="BH33" s="3">
        <v>-0.00018015344729113</v>
      </c>
      <c r="BI33" s="3">
        <v>60.044434832767</v>
      </c>
      <c r="BJ33" s="3">
        <v>30.023763458158</v>
      </c>
      <c r="BK33" s="3">
        <v>55.190884837421</v>
      </c>
      <c r="BL33" s="5"/>
    </row>
    <row r="34" spans="1:64">
      <c r="A34" s="3">
        <v>706268.77231139</v>
      </c>
      <c r="B34" s="4">
        <v>6.2542557845661e-6</v>
      </c>
      <c r="C34" s="4">
        <f t="shared" si="0"/>
        <v>9.58726625483042e-12</v>
      </c>
      <c r="D34" s="4">
        <v>6.3087391417998e-13</v>
      </c>
      <c r="E34" s="4">
        <v>7.6466443300964e-13</v>
      </c>
      <c r="F34" s="4">
        <v>7.6466443270748e-13</v>
      </c>
      <c r="G34" s="4">
        <v>7.6466443121038e-13</v>
      </c>
      <c r="H34" s="4">
        <v>6.3087391134936e-13</v>
      </c>
      <c r="I34" s="4">
        <v>6.3087391237393e-13</v>
      </c>
      <c r="J34" s="4">
        <v>6.3087391181228e-13</v>
      </c>
      <c r="K34" s="4">
        <v>6.6703381269107e-13</v>
      </c>
      <c r="L34" s="4">
        <v>6.6703381446514e-13</v>
      </c>
      <c r="M34" s="4">
        <v>6.6703381183372e-13</v>
      </c>
      <c r="N34" s="4">
        <v>6.9711905514444e-13</v>
      </c>
      <c r="O34" s="4">
        <v>6.3087391140808e-13</v>
      </c>
      <c r="P34" s="4">
        <v>6.9711905415608e-13</v>
      </c>
      <c r="Q34" s="4">
        <v>6.9711906076098e-13</v>
      </c>
      <c r="R34" s="4">
        <v>7.6466443129752e-13</v>
      </c>
      <c r="S34" s="4">
        <v>7.6466443036186e-13</v>
      </c>
      <c r="T34" s="4">
        <v>7.64664431233e-13</v>
      </c>
      <c r="U34" s="4">
        <v>6.3087391167332e-13</v>
      </c>
      <c r="V34" s="4">
        <v>6.6703381345295e-13</v>
      </c>
      <c r="W34" s="4">
        <v>6.6703381524288e-13</v>
      </c>
      <c r="X34" s="4">
        <v>6.6703381292517e-13</v>
      </c>
      <c r="Y34" s="4">
        <v>6.9711905460349e-13</v>
      </c>
      <c r="Z34" s="4">
        <v>6.9711906009006e-13</v>
      </c>
      <c r="AA34" s="4">
        <v>6.9711906211463e-13</v>
      </c>
      <c r="AB34" s="3">
        <v>0.99999999825528</v>
      </c>
      <c r="AC34" s="3">
        <v>0.99999441672818</v>
      </c>
      <c r="AD34" s="3">
        <v>0.00025143773129387</v>
      </c>
      <c r="AE34" s="4">
        <v>-6.1838721183147e-19</v>
      </c>
      <c r="AF34" s="4">
        <v>3.2607013374344e-18</v>
      </c>
      <c r="AG34" s="4">
        <v>2.6008953863247e-18</v>
      </c>
      <c r="AH34" s="4">
        <v>3.1296644131486e-19</v>
      </c>
      <c r="AI34" s="4">
        <v>-9.478641576985e-20</v>
      </c>
      <c r="AJ34" s="4">
        <v>7.5797821111306e-19</v>
      </c>
      <c r="AK34" s="4">
        <v>1.2509331613417e-19</v>
      </c>
      <c r="AL34" s="4">
        <v>7.6615926850961e-19</v>
      </c>
      <c r="AM34" s="4">
        <v>1.0561017005645e-19</v>
      </c>
      <c r="AN34" s="4">
        <v>-6.1239774128445e-20</v>
      </c>
      <c r="AO34" s="4">
        <v>9.4096403516772e-19</v>
      </c>
      <c r="AP34" s="4">
        <v>-8.3156235394755e-21</v>
      </c>
      <c r="AQ34" s="4">
        <v>4.7356925682845e-19</v>
      </c>
      <c r="AR34" s="4">
        <v>-4.0797513481308e-18</v>
      </c>
      <c r="AS34" s="4">
        <v>-4.1049254757129e-19</v>
      </c>
      <c r="AT34" s="4">
        <v>3.1582542078589e-19</v>
      </c>
      <c r="AU34" s="4">
        <v>-8.833407692717e-19</v>
      </c>
      <c r="AV34" s="4">
        <v>-6.4616168734703e-19</v>
      </c>
      <c r="AW34" s="4">
        <v>-2.6526090854578e-19</v>
      </c>
      <c r="AX34" s="4">
        <v>2.5072691746157e-18</v>
      </c>
      <c r="AY34" s="4">
        <v>4.7707188702041e-19</v>
      </c>
      <c r="AZ34" s="4">
        <v>-1.7041047143686e-18</v>
      </c>
      <c r="BA34" s="4">
        <v>2.325879861408e-18</v>
      </c>
      <c r="BB34" s="4">
        <v>-7.252269821521e-18</v>
      </c>
      <c r="BC34" s="3">
        <v>15996825.521413</v>
      </c>
      <c r="BD34" s="3">
        <v>3999025.3936544</v>
      </c>
      <c r="BE34" s="3">
        <v>-0.00011913821061351</v>
      </c>
      <c r="BF34" s="3">
        <v>0.00025879176308314</v>
      </c>
      <c r="BG34" s="4">
        <v>7.545633516421e-5</v>
      </c>
      <c r="BH34" s="3">
        <v>-0.00017992017677619</v>
      </c>
      <c r="BI34" s="3">
        <v>60.044434451556</v>
      </c>
      <c r="BJ34" s="3">
        <v>30.023764557967</v>
      </c>
      <c r="BK34" s="3">
        <v>55.182593348523</v>
      </c>
      <c r="BL34" s="5"/>
    </row>
    <row r="35" spans="1:64">
      <c r="A35" s="3">
        <v>792446.59623057</v>
      </c>
      <c r="B35" s="4">
        <v>7.0169531243511e-6</v>
      </c>
      <c r="C35" s="4">
        <f t="shared" si="0"/>
        <v>9.58463294344326e-12</v>
      </c>
      <c r="D35" s="4">
        <v>6.3086666866115e-13</v>
      </c>
      <c r="E35" s="4">
        <v>7.6454756156925e-13</v>
      </c>
      <c r="F35" s="4">
        <v>7.6454756123204e-13</v>
      </c>
      <c r="G35" s="4">
        <v>7.6454755955857e-13</v>
      </c>
      <c r="H35" s="4">
        <v>6.3086666548801e-13</v>
      </c>
      <c r="I35" s="4">
        <v>6.3086666663566e-13</v>
      </c>
      <c r="J35" s="4">
        <v>6.3086666600733e-13</v>
      </c>
      <c r="K35" s="4">
        <v>6.6699427893413e-13</v>
      </c>
      <c r="L35" s="4">
        <v>6.6699428092579e-13</v>
      </c>
      <c r="M35" s="4">
        <v>6.6699427797084e-13</v>
      </c>
      <c r="N35" s="4">
        <v>6.9702714846873e-13</v>
      </c>
      <c r="O35" s="4">
        <v>6.3086666555367e-13</v>
      </c>
      <c r="P35" s="4">
        <v>6.9702714735931e-13</v>
      </c>
      <c r="Q35" s="4">
        <v>6.97027154776e-13</v>
      </c>
      <c r="R35" s="4">
        <v>7.6454755965212e-13</v>
      </c>
      <c r="S35" s="4">
        <v>7.6454755860456e-13</v>
      </c>
      <c r="T35" s="4">
        <v>7.6454755958158e-13</v>
      </c>
      <c r="U35" s="4">
        <v>6.3086666585206e-13</v>
      </c>
      <c r="V35" s="4">
        <v>6.6699427978261e-13</v>
      </c>
      <c r="W35" s="4">
        <v>6.669942817967e-13</v>
      </c>
      <c r="X35" s="4">
        <v>6.6699427919936e-13</v>
      </c>
      <c r="Y35" s="4">
        <v>6.9702714785795e-13</v>
      </c>
      <c r="Z35" s="4">
        <v>6.9702715401786e-13</v>
      </c>
      <c r="AA35" s="4">
        <v>6.9702715629776e-13</v>
      </c>
      <c r="AB35" s="3">
        <v>0.99999999844413</v>
      </c>
      <c r="AC35" s="3">
        <v>0.99999441160411</v>
      </c>
      <c r="AD35" s="3">
        <v>0.00025207379893783</v>
      </c>
      <c r="AE35" s="4">
        <v>-6.2035902285155e-19</v>
      </c>
      <c r="AF35" s="4">
        <v>3.2484904909435e-18</v>
      </c>
      <c r="AG35" s="4">
        <v>2.5947992246816e-18</v>
      </c>
      <c r="AH35" s="4">
        <v>3.1515338049405e-19</v>
      </c>
      <c r="AI35" s="4">
        <v>-9.5230944933702e-20</v>
      </c>
      <c r="AJ35" s="4">
        <v>7.578207621704e-19</v>
      </c>
      <c r="AK35" s="4">
        <v>1.2509816741348e-19</v>
      </c>
      <c r="AL35" s="4">
        <v>7.6533597943907e-19</v>
      </c>
      <c r="AM35" s="4">
        <v>1.1680391310228e-19</v>
      </c>
      <c r="AN35" s="4">
        <v>-6.1199512015882e-20</v>
      </c>
      <c r="AO35" s="4">
        <v>9.3933548178413e-19</v>
      </c>
      <c r="AP35" s="4">
        <v>-7.6766167600474e-21</v>
      </c>
      <c r="AQ35" s="4">
        <v>4.7443748841185e-19</v>
      </c>
      <c r="AR35" s="4">
        <v>-4.0774457091473e-18</v>
      </c>
      <c r="AS35" s="4">
        <v>-4.0737839792185e-19</v>
      </c>
      <c r="AT35" s="4">
        <v>3.1416114420335e-19</v>
      </c>
      <c r="AU35" s="4">
        <v>-8.7980885850036e-19</v>
      </c>
      <c r="AV35" s="4">
        <v>-6.4652011328158e-19</v>
      </c>
      <c r="AW35" s="4">
        <v>-2.6388229754495e-19</v>
      </c>
      <c r="AX35" s="4">
        <v>2.4982913686481e-18</v>
      </c>
      <c r="AY35" s="4">
        <v>4.7564930058137e-19</v>
      </c>
      <c r="AZ35" s="4">
        <v>-1.6975576832415e-18</v>
      </c>
      <c r="BA35" s="4">
        <v>2.3248540911144e-18</v>
      </c>
      <c r="BB35" s="4">
        <v>-7.2511255967144e-18</v>
      </c>
      <c r="BC35" s="3">
        <v>15996438.279435</v>
      </c>
      <c r="BD35" s="3">
        <v>3998906.5341603</v>
      </c>
      <c r="BE35" s="3">
        <v>-0.00011900264566888</v>
      </c>
      <c r="BF35" s="3">
        <v>0.00025961774589327</v>
      </c>
      <c r="BG35" s="4">
        <v>7.5921357274277e-5</v>
      </c>
      <c r="BH35" s="3">
        <v>-0.00017965744675039</v>
      </c>
      <c r="BI35" s="3">
        <v>60.044434035235</v>
      </c>
      <c r="BJ35" s="3">
        <v>30.023765789024</v>
      </c>
      <c r="BK35" s="3">
        <v>55.17331181769</v>
      </c>
      <c r="BL35" s="5"/>
    </row>
    <row r="36" spans="1:64">
      <c r="A36" s="3">
        <v>889139.70501948</v>
      </c>
      <c r="B36" s="4">
        <v>7.8725774343978e-6</v>
      </c>
      <c r="C36" s="4">
        <f t="shared" si="0"/>
        <v>9.58168493467898e-12</v>
      </c>
      <c r="D36" s="4">
        <v>6.3085844591236e-13</v>
      </c>
      <c r="E36" s="4">
        <v>7.6441659945708e-13</v>
      </c>
      <c r="F36" s="4">
        <v>7.6441659908101e-13</v>
      </c>
      <c r="G36" s="4">
        <v>7.6441659721127e-13</v>
      </c>
      <c r="H36" s="4">
        <v>6.3085844235565e-13</v>
      </c>
      <c r="I36" s="4">
        <v>6.3085844364089e-13</v>
      </c>
      <c r="J36" s="4">
        <v>6.3085844293823e-13</v>
      </c>
      <c r="K36" s="4">
        <v>6.6694988217461e-13</v>
      </c>
      <c r="L36" s="4">
        <v>6.6694988441074e-13</v>
      </c>
      <c r="M36" s="4">
        <v>6.6694988109213e-13</v>
      </c>
      <c r="N36" s="4">
        <v>6.9692418532626e-13</v>
      </c>
      <c r="O36" s="4">
        <v>6.3085844242904e-13</v>
      </c>
      <c r="P36" s="4">
        <v>6.9692418408089e-13</v>
      </c>
      <c r="Q36" s="4">
        <v>6.9692419240989e-13</v>
      </c>
      <c r="R36" s="4">
        <v>7.6441659731093e-13</v>
      </c>
      <c r="S36" s="4">
        <v>7.6441659613841e-13</v>
      </c>
      <c r="T36" s="4">
        <v>7.644165972341e-13</v>
      </c>
      <c r="U36" s="4">
        <v>6.3085844276483e-13</v>
      </c>
      <c r="V36" s="4">
        <v>6.6694988311864e-13</v>
      </c>
      <c r="W36" s="4">
        <v>6.6694988538575e-13</v>
      </c>
      <c r="X36" s="4">
        <v>6.6694988247545e-13</v>
      </c>
      <c r="Y36" s="4">
        <v>6.9692418463616e-13</v>
      </c>
      <c r="Z36" s="4">
        <v>6.9692419155251e-13</v>
      </c>
      <c r="AA36" s="4">
        <v>6.9692419412105e-13</v>
      </c>
      <c r="AB36" s="3">
        <v>0.99999999861259</v>
      </c>
      <c r="AC36" s="3">
        <v>0.9999944058428</v>
      </c>
      <c r="AD36" s="3">
        <v>0.00025278811269087</v>
      </c>
      <c r="AE36" s="4">
        <v>-6.2257134597405e-19</v>
      </c>
      <c r="AF36" s="4">
        <v>3.2348310434483e-18</v>
      </c>
      <c r="AG36" s="4">
        <v>2.5879836342182e-18</v>
      </c>
      <c r="AH36" s="4">
        <v>3.1761062560071e-19</v>
      </c>
      <c r="AI36" s="4">
        <v>-9.5729809202886e-20</v>
      </c>
      <c r="AJ36" s="4">
        <v>7.5763524355746e-19</v>
      </c>
      <c r="AK36" s="4">
        <v>1.2510026041492e-19</v>
      </c>
      <c r="AL36" s="4">
        <v>7.6441880292448e-19</v>
      </c>
      <c r="AM36" s="4">
        <v>1.2939521614394e-19</v>
      </c>
      <c r="AN36" s="4">
        <v>-6.1157590565566e-20</v>
      </c>
      <c r="AO36" s="4">
        <v>9.3751357266423e-19</v>
      </c>
      <c r="AP36" s="4">
        <v>-6.9624897855555e-21</v>
      </c>
      <c r="AQ36" s="4">
        <v>4.7539965565604e-19</v>
      </c>
      <c r="AR36" s="4">
        <v>-4.0748117987804e-18</v>
      </c>
      <c r="AS36" s="4">
        <v>-4.0389181447868e-19</v>
      </c>
      <c r="AT36" s="4">
        <v>3.1229747141153e-19</v>
      </c>
      <c r="AU36" s="4">
        <v>-8.7585190399941e-19</v>
      </c>
      <c r="AV36" s="4">
        <v>-6.4692600570834e-19</v>
      </c>
      <c r="AW36" s="4">
        <v>-2.6232682522415e-19</v>
      </c>
      <c r="AX36" s="4">
        <v>2.4882135089785e-18</v>
      </c>
      <c r="AY36" s="4">
        <v>4.7403630077484e-19</v>
      </c>
      <c r="AZ36" s="4">
        <v>-1.6902368850477e-18</v>
      </c>
      <c r="BA36" s="4">
        <v>2.3236797788016e-18</v>
      </c>
      <c r="BB36" s="4">
        <v>-7.2497615771483e-18</v>
      </c>
      <c r="BC36" s="3">
        <v>15996003.824207</v>
      </c>
      <c r="BD36" s="3">
        <v>3998773.1908686</v>
      </c>
      <c r="BE36" s="3">
        <v>-0.00011885037536336</v>
      </c>
      <c r="BF36" s="3">
        <v>0.00026054422879704</v>
      </c>
      <c r="BG36" s="4">
        <v>7.6443083243881e-5</v>
      </c>
      <c r="BH36" s="3">
        <v>-0.00017936142847965</v>
      </c>
      <c r="BI36" s="3">
        <v>60.044433582392</v>
      </c>
      <c r="BJ36" s="3">
        <v>30.023767166569</v>
      </c>
      <c r="BK36" s="3">
        <v>55.162924977755</v>
      </c>
      <c r="BL36" s="5"/>
    </row>
    <row r="37" spans="1:64">
      <c r="A37" s="3">
        <v>997631.15748446</v>
      </c>
      <c r="B37" s="4">
        <v>8.8324325799458e-6</v>
      </c>
      <c r="C37" s="4">
        <f t="shared" ref="C37:C71" si="1">(BF37-BF36)/(A37-A36)</f>
        <v>9.57838551470631e-12</v>
      </c>
      <c r="D37" s="4">
        <v>6.308491026535e-13</v>
      </c>
      <c r="E37" s="4">
        <v>7.6426987023339e-13</v>
      </c>
      <c r="F37" s="4">
        <v>7.642698698143e-13</v>
      </c>
      <c r="G37" s="4">
        <v>7.642698677264e-13</v>
      </c>
      <c r="H37" s="4">
        <v>6.3084909866735e-13</v>
      </c>
      <c r="I37" s="4">
        <v>6.3084910010633e-13</v>
      </c>
      <c r="J37" s="4">
        <v>6.3084909932089e-13</v>
      </c>
      <c r="K37" s="4">
        <v>6.6690017157619e-13</v>
      </c>
      <c r="L37" s="4">
        <v>6.6690017408698e-13</v>
      </c>
      <c r="M37" s="4">
        <v>6.6690017035953e-13</v>
      </c>
      <c r="N37" s="4">
        <v>6.9680885636119e-13</v>
      </c>
      <c r="O37" s="4">
        <v>6.3084909874933e-13</v>
      </c>
      <c r="P37" s="4">
        <v>6.9680885496313e-13</v>
      </c>
      <c r="Q37" s="4">
        <v>6.9680886431761e-13</v>
      </c>
      <c r="R37" s="4">
        <v>7.6426986783154e-13</v>
      </c>
      <c r="S37" s="4">
        <v>7.6426986651955e-13</v>
      </c>
      <c r="T37" s="4">
        <v>7.6426986774826e-13</v>
      </c>
      <c r="U37" s="4">
        <v>6.3084909912735e-13</v>
      </c>
      <c r="V37" s="4">
        <v>6.6690017262537e-13</v>
      </c>
      <c r="W37" s="4">
        <v>6.6690017517822e-13</v>
      </c>
      <c r="X37" s="4">
        <v>6.6690017191779e-13</v>
      </c>
      <c r="Y37" s="4">
        <v>6.9680885558085e-13</v>
      </c>
      <c r="Z37" s="4">
        <v>6.9680886334713e-13</v>
      </c>
      <c r="AA37" s="4">
        <v>6.9680886624226e-13</v>
      </c>
      <c r="AB37" s="3">
        <v>0.99999999876284</v>
      </c>
      <c r="AC37" s="3">
        <v>0.99999439936338</v>
      </c>
      <c r="AD37" s="3">
        <v>0.00025359037554557</v>
      </c>
      <c r="AE37" s="4">
        <v>-6.2505331126225e-19</v>
      </c>
      <c r="AF37" s="4">
        <v>3.2195569095628e-18</v>
      </c>
      <c r="AG37" s="4">
        <v>2.5803669800093e-18</v>
      </c>
      <c r="AH37" s="4">
        <v>3.2037202956003e-19</v>
      </c>
      <c r="AI37" s="4">
        <v>-9.6289705468575e-20</v>
      </c>
      <c r="AJ37" s="4">
        <v>7.5741592484321e-19</v>
      </c>
      <c r="AK37" s="4">
        <v>1.2509839378467e-19</v>
      </c>
      <c r="AL37" s="4">
        <v>7.6339790413342e-19</v>
      </c>
      <c r="AM37" s="4">
        <v>1.4356270366747e-19</v>
      </c>
      <c r="AN37" s="4">
        <v>-6.1114609553557e-20</v>
      </c>
      <c r="AO37" s="4">
        <v>9.3547591514789e-19</v>
      </c>
      <c r="AP37" s="4">
        <v>-6.1648136193643e-21</v>
      </c>
      <c r="AQ37" s="4">
        <v>4.7646412510336e-19</v>
      </c>
      <c r="AR37" s="4">
        <v>-4.0717978918103e-18</v>
      </c>
      <c r="AS37" s="4">
        <v>-3.9998937386612e-19</v>
      </c>
      <c r="AT37" s="4">
        <v>3.1021099347506e-19</v>
      </c>
      <c r="AU37" s="4">
        <v>-8.7141952059719e-19</v>
      </c>
      <c r="AV37" s="4">
        <v>-6.4738611757781e-19</v>
      </c>
      <c r="AW37" s="4">
        <v>-2.6057087287915e-19</v>
      </c>
      <c r="AX37" s="4">
        <v>2.4768999175762e-18</v>
      </c>
      <c r="AY37" s="4">
        <v>4.7220529898873e-19</v>
      </c>
      <c r="AZ37" s="4">
        <v>-1.6820543212792e-18</v>
      </c>
      <c r="BA37" s="4">
        <v>2.3223327207233e-18</v>
      </c>
      <c r="BB37" s="4">
        <v>-7.2481306341381e-18</v>
      </c>
      <c r="BC37" s="3">
        <v>15995516.404607</v>
      </c>
      <c r="BD37" s="3">
        <v>3998623.6014548</v>
      </c>
      <c r="BE37" s="3">
        <v>-0.0001186793197219</v>
      </c>
      <c r="BF37" s="3">
        <v>0.0002615834017538</v>
      </c>
      <c r="BG37" s="4">
        <v>7.7028422394201e-5</v>
      </c>
      <c r="BH37" s="3">
        <v>-0.00017902776382526</v>
      </c>
      <c r="BI37" s="3">
        <v>60.044433092151</v>
      </c>
      <c r="BJ37" s="3">
        <v>30.023768707488</v>
      </c>
      <c r="BK37" s="3">
        <v>55.151304900216</v>
      </c>
      <c r="BL37" s="5"/>
    </row>
    <row r="38" spans="1:64">
      <c r="A38" s="3">
        <v>1119360.5692842</v>
      </c>
      <c r="B38" s="4">
        <v>9.9091928958684e-6</v>
      </c>
      <c r="C38" s="4">
        <f t="shared" si="1"/>
        <v>9.5746945102916e-12</v>
      </c>
      <c r="D38" s="4">
        <v>6.3083847297228e-13</v>
      </c>
      <c r="E38" s="4">
        <v>7.6410550264919e-13</v>
      </c>
      <c r="F38" s="4">
        <v>7.6410550218257e-13</v>
      </c>
      <c r="G38" s="4">
        <v>7.6410549985244e-13</v>
      </c>
      <c r="H38" s="4">
        <v>6.3083846850546e-13</v>
      </c>
      <c r="I38" s="4">
        <v>6.3083847011614e-13</v>
      </c>
      <c r="J38" s="4">
        <v>6.3083846923858e-13</v>
      </c>
      <c r="K38" s="4">
        <v>6.6684612806255e-13</v>
      </c>
      <c r="L38" s="4">
        <v>6.6684613088203e-13</v>
      </c>
      <c r="M38" s="4">
        <v>6.6684612669477e-13</v>
      </c>
      <c r="N38" s="4">
        <v>6.966797035935e-13</v>
      </c>
      <c r="O38" s="4">
        <v>6.3083846859698e-13</v>
      </c>
      <c r="P38" s="4">
        <v>6.9667970202391e-13</v>
      </c>
      <c r="Q38" s="4">
        <v>6.9667971253133e-13</v>
      </c>
      <c r="R38" s="4">
        <v>7.6410549996203e-13</v>
      </c>
      <c r="S38" s="4">
        <v>7.6410549849447e-13</v>
      </c>
      <c r="T38" s="4">
        <v>7.6410549987225e-13</v>
      </c>
      <c r="U38" s="4">
        <v>6.3083846902269e-13</v>
      </c>
      <c r="V38" s="4">
        <v>6.6684612922716e-13</v>
      </c>
      <c r="W38" s="4">
        <v>6.6684613210297e-13</v>
      </c>
      <c r="X38" s="4">
        <v>6.6684612845091e-13</v>
      </c>
      <c r="Y38" s="4">
        <v>6.9667970271036e-13</v>
      </c>
      <c r="Z38" s="4">
        <v>6.9667971143177e-13</v>
      </c>
      <c r="AA38" s="4">
        <v>6.966797146968e-13</v>
      </c>
      <c r="AB38" s="3">
        <v>0.99999999889684</v>
      </c>
      <c r="AC38" s="3">
        <v>0.9999943920746</v>
      </c>
      <c r="AD38" s="3">
        <v>0.00025449151087977</v>
      </c>
      <c r="AE38" s="4">
        <v>-6.278379033317e-19</v>
      </c>
      <c r="AF38" s="4">
        <v>3.2024845618709e-18</v>
      </c>
      <c r="AG38" s="4">
        <v>2.5718591112866e-18</v>
      </c>
      <c r="AH38" s="4">
        <v>3.2347579134349e-19</v>
      </c>
      <c r="AI38" s="4">
        <v>-9.6918179789531e-20</v>
      </c>
      <c r="AJ38" s="4">
        <v>7.5715580225558e-19</v>
      </c>
      <c r="AK38" s="4">
        <v>1.2509087322474e-19</v>
      </c>
      <c r="AL38" s="4">
        <v>7.6226261499499e-19</v>
      </c>
      <c r="AM38" s="4">
        <v>1.5950880991773e-19</v>
      </c>
      <c r="AN38" s="4">
        <v>-6.1071410437802e-20</v>
      </c>
      <c r="AO38" s="4">
        <v>9.3319761089962e-19</v>
      </c>
      <c r="AP38" s="4">
        <v>-5.2743298798294e-21</v>
      </c>
      <c r="AQ38" s="4">
        <v>4.776394622168e-19</v>
      </c>
      <c r="AR38" s="4">
        <v>-4.0683430277379e-18</v>
      </c>
      <c r="AS38" s="4">
        <v>-3.9562292565005e-19</v>
      </c>
      <c r="AT38" s="4">
        <v>3.0787569311646e-19</v>
      </c>
      <c r="AU38" s="4">
        <v>-8.6645552282827e-19</v>
      </c>
      <c r="AV38" s="4">
        <v>-6.4790826797383e-19</v>
      </c>
      <c r="AW38" s="4">
        <v>-2.5858756669753e-19</v>
      </c>
      <c r="AX38" s="4">
        <v>2.4641978542145e-18</v>
      </c>
      <c r="AY38" s="4">
        <v>4.7012424409045e-19</v>
      </c>
      <c r="AZ38" s="4">
        <v>-1.6729128442982e-18</v>
      </c>
      <c r="BA38" s="4">
        <v>2.3207842268405e-18</v>
      </c>
      <c r="BB38" s="4">
        <v>-7.2461743375713e-18</v>
      </c>
      <c r="BC38" s="3">
        <v>15994969.570107</v>
      </c>
      <c r="BD38" s="3">
        <v>3998455.7897643</v>
      </c>
      <c r="BE38" s="3">
        <v>-0.00011848713359299</v>
      </c>
      <c r="BF38" s="3">
        <v>0.0002627489236847</v>
      </c>
      <c r="BG38" s="4">
        <v>7.7685124507632e-5</v>
      </c>
      <c r="BH38" s="3">
        <v>-0.00017865150873193</v>
      </c>
      <c r="BI38" s="3">
        <v>60.044432564754</v>
      </c>
      <c r="BJ38" s="3">
        <v>30.023770430445</v>
      </c>
      <c r="BK38" s="3">
        <v>55.138309831516</v>
      </c>
      <c r="BL38" s="5"/>
    </row>
    <row r="39" spans="1:64">
      <c r="A39" s="3">
        <v>1255943.2157548</v>
      </c>
      <c r="B39" s="4">
        <v>1.1117068091798e-5</v>
      </c>
      <c r="C39" s="4">
        <f t="shared" si="1"/>
        <v>9.57056644133325e-12</v>
      </c>
      <c r="D39" s="4">
        <v>6.3082636331242e-13</v>
      </c>
      <c r="E39" s="4">
        <v>7.6392268172059e-13</v>
      </c>
      <c r="F39" s="4">
        <v>7.6392268120158e-13</v>
      </c>
      <c r="G39" s="4">
        <v>7.6392267860286e-13</v>
      </c>
      <c r="H39" s="4">
        <v>6.308263583077e-13</v>
      </c>
      <c r="I39" s="4">
        <v>6.3082636011006e-13</v>
      </c>
      <c r="J39" s="4">
        <v>6.3082635913008e-13</v>
      </c>
      <c r="K39" s="4">
        <v>6.6678541053663e-13</v>
      </c>
      <c r="L39" s="4">
        <v>6.6678541370311e-13</v>
      </c>
      <c r="M39" s="4">
        <v>6.667854089986e-13</v>
      </c>
      <c r="N39" s="4">
        <v>6.9653572519124e-13</v>
      </c>
      <c r="O39" s="4">
        <v>6.3082635840982e-13</v>
      </c>
      <c r="P39" s="4">
        <v>6.9653572342892e-13</v>
      </c>
      <c r="Q39" s="4">
        <v>6.9653573523287e-13</v>
      </c>
      <c r="R39" s="4">
        <v>7.6392267871528e-13</v>
      </c>
      <c r="S39" s="4">
        <v>7.6392267707434e-13</v>
      </c>
      <c r="T39" s="4">
        <v>7.6392267861917e-13</v>
      </c>
      <c r="U39" s="4">
        <v>6.3082635888943e-13</v>
      </c>
      <c r="V39" s="4">
        <v>6.6678541182755e-13</v>
      </c>
      <c r="W39" s="4">
        <v>6.6678541506867e-13</v>
      </c>
      <c r="X39" s="4">
        <v>6.6678541097876e-13</v>
      </c>
      <c r="Y39" s="4">
        <v>6.9653572419078e-13</v>
      </c>
      <c r="Z39" s="4">
        <v>6.9653573398574e-13</v>
      </c>
      <c r="AA39" s="4">
        <v>6.9653573767018e-13</v>
      </c>
      <c r="AB39" s="3">
        <v>0.99999999901633</v>
      </c>
      <c r="AC39" s="3">
        <v>0.99999438387302</v>
      </c>
      <c r="AD39" s="3">
        <v>0.00025550381985997</v>
      </c>
      <c r="AE39" s="4">
        <v>-6.3096202458944e-19</v>
      </c>
      <c r="AF39" s="4">
        <v>3.1834115823547e-18</v>
      </c>
      <c r="AG39" s="4">
        <v>2.5623607440162e-18</v>
      </c>
      <c r="AH39" s="4">
        <v>3.2696503446061e-19</v>
      </c>
      <c r="AI39" s="4">
        <v>-9.7623731658371e-20</v>
      </c>
      <c r="AJ39" s="4">
        <v>7.5684625021314e-19</v>
      </c>
      <c r="AK39" s="4">
        <v>1.2507548478272e-19</v>
      </c>
      <c r="AL39" s="4">
        <v>7.6100138421838e-19</v>
      </c>
      <c r="AM39" s="4">
        <v>1.7746322789671e-19</v>
      </c>
      <c r="AN39" s="4">
        <v>-6.1029126446376e-20</v>
      </c>
      <c r="AO39" s="4">
        <v>9.3065099445172e-19</v>
      </c>
      <c r="AP39" s="4">
        <v>-4.2808936795545e-21</v>
      </c>
      <c r="AQ39" s="4">
        <v>4.7893426198527e-19</v>
      </c>
      <c r="AR39" s="4">
        <v>-4.0643752897921e-18</v>
      </c>
      <c r="AS39" s="4">
        <v>-3.9073916336734e-19</v>
      </c>
      <c r="AT39" s="4">
        <v>3.0526266944586e-19</v>
      </c>
      <c r="AU39" s="4">
        <v>-8.6089731402446e-19</v>
      </c>
      <c r="AV39" s="4">
        <v>-6.485015139122e-19</v>
      </c>
      <c r="AW39" s="4">
        <v>-2.5634630974574e-19</v>
      </c>
      <c r="AX39" s="4">
        <v>2.4499352050183e-18</v>
      </c>
      <c r="AY39" s="4">
        <v>4.6775578628137e-19</v>
      </c>
      <c r="AZ39" s="4">
        <v>-1.6627054892108e-18</v>
      </c>
      <c r="BA39" s="4">
        <v>2.3190001384328e-18</v>
      </c>
      <c r="BB39" s="4">
        <v>-7.2438206260135e-18</v>
      </c>
      <c r="BC39" s="3">
        <v>15994356.086234</v>
      </c>
      <c r="BD39" s="3">
        <v>3998267.5400913</v>
      </c>
      <c r="BE39" s="3">
        <v>-0.00011827117232758</v>
      </c>
      <c r="BF39" s="3">
        <v>0.00026405609697748</v>
      </c>
      <c r="BG39" s="4">
        <v>7.8421881941217e-5</v>
      </c>
      <c r="BH39" s="3">
        <v>-0.00017822704602248</v>
      </c>
      <c r="BI39" s="3">
        <v>60.044432001544</v>
      </c>
      <c r="BJ39" s="3">
        <v>30.023772356034</v>
      </c>
      <c r="BK39" s="3">
        <v>55.123782917449</v>
      </c>
      <c r="BL39" s="5"/>
    </row>
    <row r="40" spans="1:64">
      <c r="A40" s="3">
        <v>1409191.4656323</v>
      </c>
      <c r="B40" s="4">
        <v>1.2471988067693e-5</v>
      </c>
      <c r="C40" s="4">
        <f t="shared" si="1"/>
        <v>9.56595032453444e-12</v>
      </c>
      <c r="D40" s="4">
        <v>6.3081254710484e-13</v>
      </c>
      <c r="E40" s="4">
        <v>7.6371974818049e-13</v>
      </c>
      <c r="F40" s="4">
        <v>7.6371974760386e-13</v>
      </c>
      <c r="G40" s="4">
        <v>7.6371974470781e-13</v>
      </c>
      <c r="H40" s="4">
        <v>6.3081254149841e-13</v>
      </c>
      <c r="I40" s="4">
        <v>6.3081254351458e-13</v>
      </c>
      <c r="J40" s="4">
        <v>6.3081254242088e-13</v>
      </c>
      <c r="K40" s="4">
        <v>6.6671718112196e-13</v>
      </c>
      <c r="L40" s="4">
        <v>6.6671718467865e-13</v>
      </c>
      <c r="M40" s="4">
        <v>6.6671717939203e-13</v>
      </c>
      <c r="N40" s="4">
        <v>6.9637568324336e-13</v>
      </c>
      <c r="O40" s="4">
        <v>6.3081254161226e-13</v>
      </c>
      <c r="P40" s="4">
        <v>6.9637568126443e-13</v>
      </c>
      <c r="Q40" s="4">
        <v>6.9637569452681e-13</v>
      </c>
      <c r="R40" s="4">
        <v>7.637197448207e-13</v>
      </c>
      <c r="S40" s="4">
        <v>7.6371974298667e-13</v>
      </c>
      <c r="T40" s="4">
        <v>7.6371974471867e-13</v>
      </c>
      <c r="U40" s="4">
        <v>6.3081254215286e-13</v>
      </c>
      <c r="V40" s="4">
        <v>6.6671718255062e-13</v>
      </c>
      <c r="W40" s="4">
        <v>6.6671718620535e-13</v>
      </c>
      <c r="X40" s="4">
        <v>6.6671718162605e-13</v>
      </c>
      <c r="Y40" s="4">
        <v>6.9637568210879e-13</v>
      </c>
      <c r="Z40" s="4">
        <v>6.9637569311064e-13</v>
      </c>
      <c r="AA40" s="4">
        <v>6.9637569727119e-13</v>
      </c>
      <c r="AB40" s="3">
        <v>0.99999999912288</v>
      </c>
      <c r="AC40" s="3">
        <v>0.99999437464157</v>
      </c>
      <c r="AD40" s="3">
        <v>0.00025664115855</v>
      </c>
      <c r="AE40" s="4">
        <v>-6.3446644713579e-19</v>
      </c>
      <c r="AF40" s="4">
        <v>3.1621154751829e-18</v>
      </c>
      <c r="AG40" s="4">
        <v>2.5517628721382e-18</v>
      </c>
      <c r="AH40" s="4">
        <v>3.3088842231612e-19</v>
      </c>
      <c r="AI40" s="4">
        <v>-9.8415797811276e-20</v>
      </c>
      <c r="AJ40" s="4">
        <v>7.5647649909406e-19</v>
      </c>
      <c r="AK40" s="4">
        <v>1.250494445685e-19</v>
      </c>
      <c r="AL40" s="4">
        <v>7.5960111127823e-19</v>
      </c>
      <c r="AM40" s="4">
        <v>1.9768704162833e-19</v>
      </c>
      <c r="AN40" s="4">
        <v>-6.0988874957712e-20</v>
      </c>
      <c r="AO40" s="4">
        <v>9.278054303209e-19</v>
      </c>
      <c r="AP40" s="4">
        <v>-3.1734292272086e-21</v>
      </c>
      <c r="AQ40" s="4">
        <v>4.8035679058642e-19</v>
      </c>
      <c r="AR40" s="4">
        <v>-4.0598095287739e-18</v>
      </c>
      <c r="AS40" s="4">
        <v>-3.8527928734174e-19</v>
      </c>
      <c r="AT40" s="4">
        <v>3.0233988840005e-19</v>
      </c>
      <c r="AU40" s="4">
        <v>-8.5467523371312e-19</v>
      </c>
      <c r="AV40" s="4">
        <v>-6.4917614739711e-19</v>
      </c>
      <c r="AW40" s="4">
        <v>-2.5381287689144e-19</v>
      </c>
      <c r="AX40" s="4">
        <v>2.4339167164416e-18</v>
      </c>
      <c r="AY40" s="4">
        <v>4.6505653604327e-19</v>
      </c>
      <c r="AZ40" s="4">
        <v>-1.6513149009849e-18</v>
      </c>
      <c r="BA40" s="4">
        <v>2.3169399057119e-18</v>
      </c>
      <c r="BB40" s="4">
        <v>-7.2409800710035e-18</v>
      </c>
      <c r="BC40" s="3">
        <v>15993667.83919</v>
      </c>
      <c r="BD40" s="3">
        <v>3998056.3681747</v>
      </c>
      <c r="BE40" s="3">
        <v>-0.0001180284498913</v>
      </c>
      <c r="BF40" s="3">
        <v>0.00026552206212313</v>
      </c>
      <c r="BG40" s="4">
        <v>7.9248444039612e-5</v>
      </c>
      <c r="BH40" s="3">
        <v>-0.00017774799303388</v>
      </c>
      <c r="BI40" s="3">
        <v>60.044431405237</v>
      </c>
      <c r="BJ40" s="3">
        <v>30.023774506847</v>
      </c>
      <c r="BK40" s="3">
        <v>55.107550926733</v>
      </c>
      <c r="BL40" s="5"/>
    </row>
    <row r="41" spans="1:63">
      <c r="A41" s="3">
        <v>1581138.8300842</v>
      </c>
      <c r="B41" s="4">
        <v>1.399180873786e-5</v>
      </c>
      <c r="C41" s="4">
        <f t="shared" si="1"/>
        <v>9.5607911702528e-12</v>
      </c>
      <c r="D41" s="4">
        <v>6.3079675747083e-13</v>
      </c>
      <c r="E41" s="4">
        <v>7.6349255197384e-13</v>
      </c>
      <c r="F41" s="4">
        <v>7.6349255133402e-13</v>
      </c>
      <c r="G41" s="4">
        <v>7.6349254810938e-13</v>
      </c>
      <c r="H41" s="4">
        <v>6.3079675119148e-13</v>
      </c>
      <c r="I41" s="4">
        <v>6.3079675344601e-13</v>
      </c>
      <c r="J41" s="4">
        <v>6.3079675222622e-13</v>
      </c>
      <c r="K41" s="4">
        <v>6.666404958853e-13</v>
      </c>
      <c r="L41" s="4">
        <v>6.6664049988093e-13</v>
      </c>
      <c r="M41" s="4">
        <v>6.6664049393896e-13</v>
      </c>
      <c r="N41" s="4">
        <v>6.9619659792357e-13</v>
      </c>
      <c r="O41" s="4">
        <v>6.3079675131833e-13</v>
      </c>
      <c r="P41" s="4">
        <v>6.9619659570114e-13</v>
      </c>
      <c r="Q41" s="4">
        <v>6.9619661060452e-13</v>
      </c>
      <c r="R41" s="4">
        <v>7.6349254821942e-13</v>
      </c>
      <c r="S41" s="4">
        <v>7.6349254617057e-13</v>
      </c>
      <c r="T41" s="4">
        <v>7.6349254811224e-13</v>
      </c>
      <c r="U41" s="4">
        <v>6.3079675192796e-13</v>
      </c>
      <c r="V41" s="4">
        <v>6.6664049746353e-13</v>
      </c>
      <c r="W41" s="4">
        <v>6.66640501587e-13</v>
      </c>
      <c r="X41" s="4">
        <v>6.6664049646096e-13</v>
      </c>
      <c r="Y41" s="4">
        <v>6.9619659663542e-13</v>
      </c>
      <c r="Z41" s="4">
        <v>6.9619660899433e-13</v>
      </c>
      <c r="AA41" s="4">
        <v>6.9619661369612e-13</v>
      </c>
      <c r="AB41" s="3">
        <v>0.99999999921787</v>
      </c>
      <c r="AC41" s="3">
        <v>0.99999436424618</v>
      </c>
      <c r="AD41" s="3">
        <v>0.0002579191410196</v>
      </c>
      <c r="AE41" s="4">
        <v>-6.3839659638682e-19</v>
      </c>
      <c r="AF41" s="4">
        <v>3.1383518890468e-18</v>
      </c>
      <c r="AG41" s="4">
        <v>2.5399461149928e-18</v>
      </c>
      <c r="AH41" s="4">
        <v>3.3530098687588e-19</v>
      </c>
      <c r="AI41" s="4">
        <v>-9.9305151595312e-20</v>
      </c>
      <c r="AJ41" s="4">
        <v>7.560333359472e-19</v>
      </c>
      <c r="AK41" s="4">
        <v>1.2500917740465e-19</v>
      </c>
      <c r="AL41" s="4">
        <v>7.5804809546283e-19</v>
      </c>
      <c r="AM41" s="4">
        <v>2.2047709987643e-19</v>
      </c>
      <c r="AN41" s="4">
        <v>-6.0952473853851e-20</v>
      </c>
      <c r="AO41" s="4">
        <v>9.2462681531347e-19</v>
      </c>
      <c r="AP41" s="4">
        <v>-1.9398862334877e-21</v>
      </c>
      <c r="AQ41" s="4">
        <v>4.819148129675e-19</v>
      </c>
      <c r="AR41" s="4">
        <v>-4.054545152688e-18</v>
      </c>
      <c r="AS41" s="4">
        <v>-3.7917839119691e-19</v>
      </c>
      <c r="AT41" s="4">
        <v>2.9907180967379e-19</v>
      </c>
      <c r="AU41" s="4">
        <v>-8.4771180528265e-19</v>
      </c>
      <c r="AV41" s="4">
        <v>-6.4994432796247e-19</v>
      </c>
      <c r="AW41" s="4">
        <v>-2.509477690207e-19</v>
      </c>
      <c r="AX41" s="4">
        <v>2.4159226898362e-18</v>
      </c>
      <c r="AY41" s="4">
        <v>4.6197546853169e-19</v>
      </c>
      <c r="AZ41" s="4">
        <v>-1.6386125285107e-18</v>
      </c>
      <c r="BA41" s="4">
        <v>2.3145548133237e-18</v>
      </c>
      <c r="BB41" s="4">
        <v>-7.2375430426371e-18</v>
      </c>
      <c r="BC41" s="3">
        <v>15992895.730741</v>
      </c>
      <c r="BD41" s="3">
        <v>3997819.4892954</v>
      </c>
      <c r="BE41" s="3">
        <v>-0.00011775559739297</v>
      </c>
      <c r="BF41" s="3">
        <v>0.00026716601496693</v>
      </c>
      <c r="BG41" s="4">
        <v>8.0175744862618e-5</v>
      </c>
      <c r="BH41" s="3">
        <v>-0.00017720707384735</v>
      </c>
      <c r="BI41" s="3">
        <v>60.04443078056</v>
      </c>
      <c r="BJ41" s="3">
        <v>30.023776907751</v>
      </c>
      <c r="BK41" s="3">
        <v>55.089422878972</v>
      </c>
    </row>
    <row r="42" spans="1:63">
      <c r="A42" s="3">
        <v>1774066.9461679</v>
      </c>
      <c r="B42" s="4">
        <v>1.5696542865697e-5</v>
      </c>
      <c r="C42" s="4">
        <f t="shared" si="1"/>
        <v>9.55502779584642e-12</v>
      </c>
      <c r="D42" s="4">
        <v>6.3077973912048e-13</v>
      </c>
      <c r="E42" s="4">
        <v>7.6323825635883e-13</v>
      </c>
      <c r="F42" s="4">
        <v>7.6323825564992e-13</v>
      </c>
      <c r="G42" s="4">
        <v>7.6323825206291e-13</v>
      </c>
      <c r="H42" s="4">
        <v>6.3077973208889e-13</v>
      </c>
      <c r="I42" s="4">
        <v>6.307797346089e-13</v>
      </c>
      <c r="J42" s="4">
        <v>6.3077973324954e-13</v>
      </c>
      <c r="K42" s="4">
        <v>6.6655428975672e-13</v>
      </c>
      <c r="L42" s="4">
        <v>6.6655429424632e-13</v>
      </c>
      <c r="M42" s="4">
        <v>6.6655428756615e-13</v>
      </c>
      <c r="N42" s="4">
        <v>6.9599693297104e-13</v>
      </c>
      <c r="O42" s="4">
        <v>6.3077973223008e-13</v>
      </c>
      <c r="P42" s="4">
        <v>6.9599693047479e-13</v>
      </c>
      <c r="Q42" s="4">
        <v>6.9599694722524e-13</v>
      </c>
      <c r="R42" s="4">
        <v>7.6323825216549e-13</v>
      </c>
      <c r="S42" s="4">
        <v>7.6323824987789e-13</v>
      </c>
      <c r="T42" s="4">
        <v>7.6323825205439e-13</v>
      </c>
      <c r="U42" s="4">
        <v>6.3077973291795e-13</v>
      </c>
      <c r="V42" s="4">
        <v>6.6655429149656e-13</v>
      </c>
      <c r="W42" s="4">
        <v>6.6655429615184e-13</v>
      </c>
      <c r="X42" s="4">
        <v>6.6655429041524e-13</v>
      </c>
      <c r="Y42" s="4">
        <v>6.9599693150665e-13</v>
      </c>
      <c r="Z42" s="4">
        <v>6.9599694539185e-13</v>
      </c>
      <c r="AA42" s="4">
        <v>6.9599695070983e-13</v>
      </c>
      <c r="AB42" s="3">
        <v>0.99999999930256</v>
      </c>
      <c r="AC42" s="3">
        <v>0.99999435253768</v>
      </c>
      <c r="AD42" s="3">
        <v>0.00025935536698128</v>
      </c>
      <c r="AE42" s="4">
        <v>-6.4280291984121e-19</v>
      </c>
      <c r="AF42" s="4">
        <v>3.1118534560879e-18</v>
      </c>
      <c r="AG42" s="4">
        <v>2.526780096373e-18</v>
      </c>
      <c r="AH42" s="4">
        <v>3.4026499089724e-19</v>
      </c>
      <c r="AI42" s="4">
        <v>-1.003040541852e-19</v>
      </c>
      <c r="AJ42" s="4">
        <v>7.5550043704117e-19</v>
      </c>
      <c r="AK42" s="4">
        <v>1.2495008770302e-19</v>
      </c>
      <c r="AL42" s="4">
        <v>7.5632796116511e-19</v>
      </c>
      <c r="AM42" s="4">
        <v>2.4617136641228e-19</v>
      </c>
      <c r="AN42" s="4">
        <v>-6.0922457776375e-20</v>
      </c>
      <c r="AO42" s="4">
        <v>9.2107717214174e-19</v>
      </c>
      <c r="AP42" s="4">
        <v>-5.6722173652851e-22</v>
      </c>
      <c r="AQ42" s="4">
        <v>4.8361510078622e-19</v>
      </c>
      <c r="AR42" s="4">
        <v>-4.0484629937339e-18</v>
      </c>
      <c r="AS42" s="4">
        <v>-3.7236508774779e-19</v>
      </c>
      <c r="AT42" s="4">
        <v>2.9541907639253e-19</v>
      </c>
      <c r="AU42" s="4">
        <v>-8.3992093424931e-19</v>
      </c>
      <c r="AV42" s="4">
        <v>-6.5082035433393e-19</v>
      </c>
      <c r="AW42" s="4">
        <v>-2.4770573949012e-19</v>
      </c>
      <c r="AX42" s="4">
        <v>2.3957053478207e-18</v>
      </c>
      <c r="AY42" s="4">
        <v>4.5845246825216e-19</v>
      </c>
      <c r="AZ42" s="4">
        <v>-1.6244580676127e-18</v>
      </c>
      <c r="BA42" s="4">
        <v>2.311786186698e-18</v>
      </c>
      <c r="BB42" s="4">
        <v>-7.2333746640494e-18</v>
      </c>
      <c r="BC42" s="3">
        <v>15992029.559019</v>
      </c>
      <c r="BD42" s="3">
        <v>3997553.7821199</v>
      </c>
      <c r="BE42" s="3">
        <v>-0.0001174488098354</v>
      </c>
      <c r="BF42" s="3">
        <v>0.00026900944847871</v>
      </c>
      <c r="BG42" s="4">
        <v>8.121604661612e-5</v>
      </c>
      <c r="BH42" s="3">
        <v>-0.00017659600227437</v>
      </c>
      <c r="BI42" s="3">
        <v>60.044430134911</v>
      </c>
      <c r="BJ42" s="3">
        <v>30.023779585974</v>
      </c>
      <c r="BK42" s="3">
        <v>55.06918874854</v>
      </c>
    </row>
    <row r="43" spans="1:63">
      <c r="A43" s="3">
        <v>1990535.8527675</v>
      </c>
      <c r="B43" s="4">
        <v>1.7608618967415e-5</v>
      </c>
      <c r="C43" s="4">
        <f t="shared" si="1"/>
        <v>9.54858957860973e-12</v>
      </c>
      <c r="D43" s="4">
        <v>6.3076566302092e-13</v>
      </c>
      <c r="E43" s="4">
        <v>7.6295371546732e-13</v>
      </c>
      <c r="F43" s="4">
        <v>7.6295371468322e-13</v>
      </c>
      <c r="G43" s="4">
        <v>7.6295371069747e-13</v>
      </c>
      <c r="H43" s="4">
        <v>6.3076565514867e-13</v>
      </c>
      <c r="I43" s="4">
        <v>6.3076565796414e-13</v>
      </c>
      <c r="J43" s="4">
        <v>6.3076565645063e-13</v>
      </c>
      <c r="K43" s="4">
        <v>6.6645737251778e-13</v>
      </c>
      <c r="L43" s="4">
        <v>6.6645737756356e-13</v>
      </c>
      <c r="M43" s="4">
        <v>6.6645737005141e-13</v>
      </c>
      <c r="N43" s="4">
        <v>6.9577734824686e-13</v>
      </c>
      <c r="O43" s="4">
        <v>6.3076565530567e-13</v>
      </c>
      <c r="P43" s="4">
        <v>6.9577734544257e-13</v>
      </c>
      <c r="Q43" s="4">
        <v>6.9577736427277e-13</v>
      </c>
      <c r="R43" s="4">
        <v>7.6295371078636e-13</v>
      </c>
      <c r="S43" s="4">
        <v>7.6295370823375e-13</v>
      </c>
      <c r="T43" s="4">
        <v>7.6295371067321e-13</v>
      </c>
      <c r="U43" s="4">
        <v>6.3076565608232e-13</v>
      </c>
      <c r="V43" s="4">
        <v>6.6645737443121e-13</v>
      </c>
      <c r="W43" s="4">
        <v>6.6645737969061e-13</v>
      </c>
      <c r="X43" s="4">
        <v>6.6645737327248e-13</v>
      </c>
      <c r="Y43" s="4">
        <v>6.9577734657979e-13</v>
      </c>
      <c r="Z43" s="4">
        <v>6.9577736218206e-13</v>
      </c>
      <c r="AA43" s="4">
        <v>6.9577736820273e-13</v>
      </c>
      <c r="AB43" s="3">
        <v>0.99999999937805</v>
      </c>
      <c r="AC43" s="3">
        <v>0.99999433935431</v>
      </c>
      <c r="AD43" s="3">
        <v>0.0002609696760348</v>
      </c>
      <c r="AE43" s="4">
        <v>-6.4774371658932e-19</v>
      </c>
      <c r="AF43" s="4">
        <v>3.0823285026556e-18</v>
      </c>
      <c r="AG43" s="4">
        <v>2.5121227720083e-18</v>
      </c>
      <c r="AH43" s="4">
        <v>3.4585088374955e-19</v>
      </c>
      <c r="AI43" s="4">
        <v>-1.014265730293e-19</v>
      </c>
      <c r="AJ43" s="4">
        <v>7.5485734095153e-19</v>
      </c>
      <c r="AK43" s="4">
        <v>1.2486512978904e-19</v>
      </c>
      <c r="AL43" s="4">
        <v>7.5442580942983e-19</v>
      </c>
      <c r="AM43" s="4">
        <v>2.7515478639327e-19</v>
      </c>
      <c r="AN43" s="4">
        <v>-6.0901810201771e-20</v>
      </c>
      <c r="AO43" s="4">
        <v>9.1711400668546e-19</v>
      </c>
      <c r="AP43" s="4">
        <v>9.5870481627587e-22</v>
      </c>
      <c r="AQ43" s="4">
        <v>4.8546281382062e-19</v>
      </c>
      <c r="AR43" s="4">
        <v>-4.0414171533034e-18</v>
      </c>
      <c r="AS43" s="4">
        <v>-3.6476117767755e-19</v>
      </c>
      <c r="AT43" s="4">
        <v>2.9133814291781e-19</v>
      </c>
      <c r="AU43" s="4">
        <v>-8.3120692073462e-19</v>
      </c>
      <c r="AV43" s="4">
        <v>-6.5182154509381e-19</v>
      </c>
      <c r="AW43" s="4">
        <v>-2.4403782052564e-19</v>
      </c>
      <c r="AX43" s="4">
        <v>2.3729852186274e-18</v>
      </c>
      <c r="AY43" s="4">
        <v>4.5441608249426e-19</v>
      </c>
      <c r="AZ43" s="4">
        <v>-1.6086982307615e-18</v>
      </c>
      <c r="BA43" s="4">
        <v>2.3085634672302e-18</v>
      </c>
      <c r="BB43" s="4">
        <v>-7.2283069450278e-18</v>
      </c>
      <c r="BC43" s="3">
        <v>15991057.882935</v>
      </c>
      <c r="BD43" s="3">
        <v>3997255.7476343</v>
      </c>
      <c r="BE43" s="3">
        <v>-0.00011710377768451</v>
      </c>
      <c r="BF43" s="3">
        <v>0.00027107642122436</v>
      </c>
      <c r="BG43" s="4">
        <v>8.2383101277569e-5</v>
      </c>
      <c r="BH43" s="3">
        <v>-0.00017590545486136</v>
      </c>
      <c r="BI43" s="3">
        <v>60.044429479019</v>
      </c>
      <c r="BJ43" s="3">
        <v>30.023782570938</v>
      </c>
      <c r="BK43" s="3">
        <v>55.046618467359</v>
      </c>
    </row>
    <row r="44" spans="1:63">
      <c r="A44" s="3">
        <v>2233417.9607549</v>
      </c>
      <c r="B44" s="4">
        <v>1.9753168102717e-5</v>
      </c>
      <c r="C44" s="4">
        <f t="shared" si="1"/>
        <v>9.54140392844516e-12</v>
      </c>
      <c r="D44" s="4">
        <v>6.3075108538327e-13</v>
      </c>
      <c r="E44" s="4">
        <v>7.6263543462776e-13</v>
      </c>
      <c r="F44" s="4">
        <v>7.6263543376214e-13</v>
      </c>
      <c r="G44" s="4">
        <v>7.6263542933886e-13</v>
      </c>
      <c r="H44" s="4">
        <v>6.3075107657201e-13</v>
      </c>
      <c r="I44" s="4">
        <v>6.3075107971597e-13</v>
      </c>
      <c r="J44" s="4">
        <v>6.3075107803249e-13</v>
      </c>
      <c r="K44" s="4">
        <v>6.6634933400328e-13</v>
      </c>
      <c r="L44" s="4">
        <v>6.6634933967567e-13</v>
      </c>
      <c r="M44" s="4">
        <v>6.6634933122522e-13</v>
      </c>
      <c r="N44" s="4">
        <v>6.9553182574144e-13</v>
      </c>
      <c r="O44" s="4">
        <v>6.307510767464e-13</v>
      </c>
      <c r="P44" s="4">
        <v>6.9553182259049e-13</v>
      </c>
      <c r="Q44" s="4">
        <v>6.955318437634e-13</v>
      </c>
      <c r="R44" s="4">
        <v>7.626354294057e-13</v>
      </c>
      <c r="S44" s="4">
        <v>7.6263542655931e-13</v>
      </c>
      <c r="T44" s="4">
        <v>7.626354292932e-13</v>
      </c>
      <c r="U44" s="4">
        <v>6.3075107762386e-13</v>
      </c>
      <c r="V44" s="4">
        <v>6.6634933610186e-13</v>
      </c>
      <c r="W44" s="4">
        <v>6.663493420484e-13</v>
      </c>
      <c r="X44" s="4">
        <v>6.6634933486993e-13</v>
      </c>
      <c r="Y44" s="4">
        <v>6.9553182384076e-13</v>
      </c>
      <c r="Z44" s="4">
        <v>6.9553184137527e-13</v>
      </c>
      <c r="AA44" s="4">
        <v>6.9553184819874e-13</v>
      </c>
      <c r="AB44" s="3">
        <v>0.99999999944534</v>
      </c>
      <c r="AC44" s="3">
        <v>0.99999432448564</v>
      </c>
      <c r="AD44" s="3">
        <v>0.0002627844443526</v>
      </c>
      <c r="AE44" s="4">
        <v>-6.5328288404061e-19</v>
      </c>
      <c r="AF44" s="4">
        <v>3.0494607859089e-18</v>
      </c>
      <c r="AG44" s="4">
        <v>2.4958204765359e-18</v>
      </c>
      <c r="AH44" s="4">
        <v>3.5213838197021e-19</v>
      </c>
      <c r="AI44" s="4">
        <v>-1.026887121155e-19</v>
      </c>
      <c r="AJ44" s="4">
        <v>7.5407861466422e-19</v>
      </c>
      <c r="AK44" s="4">
        <v>1.2474550892913e-19</v>
      </c>
      <c r="AL44" s="4">
        <v>7.5232655335319e-19</v>
      </c>
      <c r="AM44" s="4">
        <v>3.0786711553955e-19</v>
      </c>
      <c r="AN44" s="4">
        <v>-6.0894512308184e-20</v>
      </c>
      <c r="AO44" s="4">
        <v>9.1269001676496e-19</v>
      </c>
      <c r="AP44" s="4">
        <v>2.6529863644297e-21</v>
      </c>
      <c r="AQ44" s="4">
        <v>4.8746066168313e-19</v>
      </c>
      <c r="AR44" s="4">
        <v>-4.0332351280637e-18</v>
      </c>
      <c r="AS44" s="4">
        <v>-3.5628138659561e-19</v>
      </c>
      <c r="AT44" s="4">
        <v>2.8678097471468e-19</v>
      </c>
      <c r="AU44" s="4">
        <v>-8.2146380789444e-19</v>
      </c>
      <c r="AV44" s="4">
        <v>-6.5296811912941e-19</v>
      </c>
      <c r="AW44" s="4">
        <v>-2.3988786154251e-19</v>
      </c>
      <c r="AX44" s="4">
        <v>2.3474455155395e-18</v>
      </c>
      <c r="AY44" s="4">
        <v>4.4978118361617e-19</v>
      </c>
      <c r="AZ44" s="4">
        <v>-1.5911673934482e-18</v>
      </c>
      <c r="BA44" s="4">
        <v>2.3048017405229e-18</v>
      </c>
      <c r="BB44" s="4">
        <v>-7.2221335563516e-18</v>
      </c>
      <c r="BC44" s="3">
        <v>15989967.875875</v>
      </c>
      <c r="BD44" s="3">
        <v>3996921.4648802</v>
      </c>
      <c r="BE44" s="3">
        <v>-0.00011671562719795</v>
      </c>
      <c r="BF44" s="3">
        <v>0.00027339385752366</v>
      </c>
      <c r="BG44" s="4">
        <v>8.3692329149245e-5</v>
      </c>
      <c r="BH44" s="3">
        <v>-0.00017512477258592</v>
      </c>
      <c r="BI44" s="3">
        <v>60.044428828051</v>
      </c>
      <c r="BJ44" s="3">
        <v>30.023785894626</v>
      </c>
      <c r="BK44" s="3">
        <v>55.021460427519</v>
      </c>
    </row>
    <row r="45" spans="1:63">
      <c r="A45" s="3">
        <v>2505936.1681364</v>
      </c>
      <c r="B45" s="4">
        <v>2.2158346400152e-5</v>
      </c>
      <c r="C45" s="4">
        <f t="shared" si="1"/>
        <v>9.53339091407207e-12</v>
      </c>
      <c r="D45" s="4">
        <v>6.3073663965294e-13</v>
      </c>
      <c r="E45" s="4">
        <v>7.6228018755312e-13</v>
      </c>
      <c r="F45" s="4">
        <v>7.6228018659964e-13</v>
      </c>
      <c r="G45" s="4">
        <v>7.6228018169771e-13</v>
      </c>
      <c r="H45" s="4">
        <v>6.3073662979334e-13</v>
      </c>
      <c r="I45" s="4">
        <v>6.3073663330208e-13</v>
      </c>
      <c r="J45" s="4">
        <v>6.3073663143163e-13</v>
      </c>
      <c r="K45" s="4">
        <v>6.6623095187902e-13</v>
      </c>
      <c r="L45" s="4">
        <v>6.6623095825783e-13</v>
      </c>
      <c r="M45" s="4">
        <v>6.6623094874839e-13</v>
      </c>
      <c r="N45" s="4">
        <v>6.9526399979172e-13</v>
      </c>
      <c r="O45" s="4">
        <v>6.3073662998678e-13</v>
      </c>
      <c r="P45" s="4">
        <v>6.9526399625041e-13</v>
      </c>
      <c r="Q45" s="4">
        <v>6.9526402006342e-13</v>
      </c>
      <c r="R45" s="4">
        <v>7.6228018173146e-13</v>
      </c>
      <c r="S45" s="4">
        <v>7.6228017855991e-13</v>
      </c>
      <c r="T45" s="4">
        <v>7.6228018162335e-13</v>
      </c>
      <c r="U45" s="4">
        <v>6.3073663097888e-13</v>
      </c>
      <c r="V45" s="4">
        <v>6.6623095417338e-13</v>
      </c>
      <c r="W45" s="4">
        <v>6.6623096090263e-13</v>
      </c>
      <c r="X45" s="4">
        <v>6.6623095287631e-13</v>
      </c>
      <c r="Y45" s="4">
        <v>6.9526399762112e-13</v>
      </c>
      <c r="Z45" s="4">
        <v>6.9526401733066e-13</v>
      </c>
      <c r="AA45" s="4">
        <v>6.9526402507316e-13</v>
      </c>
      <c r="AB45" s="3">
        <v>0.99999999950531</v>
      </c>
      <c r="AC45" s="3">
        <v>0.99999430771007</v>
      </c>
      <c r="AD45" s="3">
        <v>0.00026482491260927</v>
      </c>
      <c r="AE45" s="4">
        <v>-6.5948931532666e-19</v>
      </c>
      <c r="AF45" s="4">
        <v>3.0129092673357e-18</v>
      </c>
      <c r="AG45" s="4">
        <v>2.4777073851508e-18</v>
      </c>
      <c r="AH45" s="4">
        <v>3.5921694908855e-19</v>
      </c>
      <c r="AI45" s="4">
        <v>-1.0410852723879e-19</v>
      </c>
      <c r="AJ45" s="4">
        <v>7.5313268083589e-19</v>
      </c>
      <c r="AK45" s="4">
        <v>1.2458064817254e-19</v>
      </c>
      <c r="AL45" s="4">
        <v>7.5001401555012e-19</v>
      </c>
      <c r="AM45" s="4">
        <v>3.4481460882623e-19</v>
      </c>
      <c r="AN45" s="4">
        <v>-6.0906229896275e-20</v>
      </c>
      <c r="AO45" s="4">
        <v>9.0775418184261e-19</v>
      </c>
      <c r="AP45" s="4">
        <v>4.5314405077196e-21</v>
      </c>
      <c r="AQ45" s="4">
        <v>4.8960732557381e-19</v>
      </c>
      <c r="AR45" s="4">
        <v>-4.0237169101083e-18</v>
      </c>
      <c r="AS45" s="4">
        <v>-3.468327470753e-19</v>
      </c>
      <c r="AT45" s="4">
        <v>2.8169490322111e-19</v>
      </c>
      <c r="AU45" s="4">
        <v>-8.1057452248931e-19</v>
      </c>
      <c r="AV45" s="4">
        <v>-6.5428312230815e-19</v>
      </c>
      <c r="AW45" s="4">
        <v>-2.3518604703214e-19</v>
      </c>
      <c r="AX45" s="4">
        <v>2.3187239704135e-18</v>
      </c>
      <c r="AY45" s="4">
        <v>4.4444689762212e-19</v>
      </c>
      <c r="AZ45" s="4">
        <v>-1.5716877917205e-18</v>
      </c>
      <c r="BA45" s="4">
        <v>2.3004068724067e-18</v>
      </c>
      <c r="BB45" s="4">
        <v>-7.21459757794e-18</v>
      </c>
      <c r="BC45" s="3">
        <v>15988745.157078</v>
      </c>
      <c r="BD45" s="3">
        <v>3996546.5399882</v>
      </c>
      <c r="BE45" s="3">
        <v>-0.00011627883346904</v>
      </c>
      <c r="BF45" s="3">
        <v>0.00027599188012583</v>
      </c>
      <c r="BG45" s="4">
        <v>8.5161019873e-5</v>
      </c>
      <c r="BH45" s="3">
        <v>-0.00017424177495973</v>
      </c>
      <c r="BI45" s="3">
        <v>60.044428202994</v>
      </c>
      <c r="BJ45" s="3">
        <v>30.023789591236</v>
      </c>
      <c r="BK45" s="3">
        <v>54.993440737812</v>
      </c>
    </row>
    <row r="46" spans="1:63">
      <c r="A46" s="3">
        <v>2811706.6259518</v>
      </c>
      <c r="B46" s="4">
        <v>2.4855695239709e-5</v>
      </c>
      <c r="C46" s="4">
        <f t="shared" si="1"/>
        <v>9.52445752342171e-12</v>
      </c>
      <c r="D46" s="4">
        <v>6.3073196490155e-13</v>
      </c>
      <c r="E46" s="4">
        <v>7.6188405736329e-13</v>
      </c>
      <c r="F46" s="4">
        <v>7.6188405631572e-13</v>
      </c>
      <c r="G46" s="4">
        <v>7.6188405089206e-13</v>
      </c>
      <c r="H46" s="4">
        <v>6.3073195387179e-13</v>
      </c>
      <c r="I46" s="4">
        <v>6.3073195778515e-13</v>
      </c>
      <c r="J46" s="4">
        <v>6.3073195570975e-13</v>
      </c>
      <c r="K46" s="4">
        <v>6.6609774515386e-13</v>
      </c>
      <c r="L46" s="4">
        <v>6.6609775232975e-13</v>
      </c>
      <c r="M46" s="4">
        <v>6.6609774162403e-13</v>
      </c>
      <c r="N46" s="4">
        <v>6.9496743046947e-13</v>
      </c>
      <c r="O46" s="4">
        <v>6.3073195408606e-13</v>
      </c>
      <c r="P46" s="4">
        <v>6.9496742648832e-13</v>
      </c>
      <c r="Q46" s="4">
        <v>6.9496745327804e-13</v>
      </c>
      <c r="R46" s="4">
        <v>7.6188405087822e-13</v>
      </c>
      <c r="S46" s="4">
        <v>7.618840473474e-13</v>
      </c>
      <c r="T46" s="4">
        <v>7.6188405077965e-13</v>
      </c>
      <c r="U46" s="4">
        <v>6.3073195520867e-13</v>
      </c>
      <c r="V46" s="4">
        <v>6.6609774765302e-13</v>
      </c>
      <c r="W46" s="4">
        <v>6.6609775527528e-13</v>
      </c>
      <c r="X46" s="4">
        <v>6.6609774630403e-13</v>
      </c>
      <c r="Y46" s="4">
        <v>6.9496742798617e-13</v>
      </c>
      <c r="Z46" s="4">
        <v>6.9496745014484e-13</v>
      </c>
      <c r="AA46" s="4">
        <v>6.9496745894177e-13</v>
      </c>
      <c r="AB46" s="3">
        <v>0.99999999955875</v>
      </c>
      <c r="AC46" s="3">
        <v>0.99999428878306</v>
      </c>
      <c r="AD46" s="3">
        <v>0.00026711955476216</v>
      </c>
      <c r="AE46" s="4">
        <v>-6.6643788032828e-19</v>
      </c>
      <c r="AF46" s="4">
        <v>2.9723029285432e-18</v>
      </c>
      <c r="AG46" s="4">
        <v>2.4576033576967e-18</v>
      </c>
      <c r="AH46" s="4">
        <v>3.67189692727e-19</v>
      </c>
      <c r="AI46" s="4">
        <v>-1.0570684868377e-19</v>
      </c>
      <c r="AJ46" s="4">
        <v>7.5198022310599e-19</v>
      </c>
      <c r="AK46" s="4">
        <v>1.243569757841e-19</v>
      </c>
      <c r="AL46" s="4">
        <v>7.4746956722053e-19</v>
      </c>
      <c r="AM46" s="4">
        <v>3.8657991659424e-19</v>
      </c>
      <c r="AN46" s="4">
        <v>-6.09444297317e-20</v>
      </c>
      <c r="AO46" s="4">
        <v>9.0224938466661e-19</v>
      </c>
      <c r="AP46" s="4">
        <v>6.6115040468311e-21</v>
      </c>
      <c r="AQ46" s="4">
        <v>4.9189909097335e-19</v>
      </c>
      <c r="AR46" s="4">
        <v>-4.0126279056562e-18</v>
      </c>
      <c r="AS46" s="4">
        <v>-3.3631340672935e-19</v>
      </c>
      <c r="AT46" s="4">
        <v>2.7602130643985e-19</v>
      </c>
      <c r="AU46" s="4">
        <v>-7.9840761543937e-19</v>
      </c>
      <c r="AV46" s="4">
        <v>-6.5579332232506e-19</v>
      </c>
      <c r="AW46" s="4">
        <v>-2.2984432273742e-19</v>
      </c>
      <c r="AX46" s="4">
        <v>2.286412933611e-18</v>
      </c>
      <c r="AY46" s="4">
        <v>4.382972907407e-19</v>
      </c>
      <c r="AZ46" s="4">
        <v>-1.5500668060792e-18</v>
      </c>
      <c r="BA46" s="4">
        <v>2.2952737140675e-18</v>
      </c>
      <c r="BB46" s="4">
        <v>-7.2053940427102e-18</v>
      </c>
      <c r="BC46" s="3">
        <v>15987373.602181</v>
      </c>
      <c r="BD46" s="3">
        <v>3996126.0490124</v>
      </c>
      <c r="BE46" s="3">
        <v>-0.0001157871186328</v>
      </c>
      <c r="BF46" s="3">
        <v>0.00027890417786321</v>
      </c>
      <c r="BG46" s="4">
        <v>8.6808560357069e-5</v>
      </c>
      <c r="BH46" s="3">
        <v>-0.00017324271651075</v>
      </c>
      <c r="BI46" s="3">
        <v>60.044427631686</v>
      </c>
      <c r="BJ46" s="3">
        <v>30.023793697828</v>
      </c>
      <c r="BK46" s="3">
        <v>54.962262770943</v>
      </c>
    </row>
    <row r="47" spans="1:63">
      <c r="A47" s="3">
        <v>3154786.7224011</v>
      </c>
      <c r="B47" s="4">
        <v>2.7880538556467e-5</v>
      </c>
      <c r="C47" s="4">
        <f t="shared" si="1"/>
        <v>9.5145084390297e-12</v>
      </c>
      <c r="D47" s="4">
        <v>6.3072860980751e-13</v>
      </c>
      <c r="E47" s="4">
        <v>7.6144182339893e-13</v>
      </c>
      <c r="F47" s="4">
        <v>7.6144182225139e-13</v>
      </c>
      <c r="G47" s="4">
        <v>7.6144181626143e-13</v>
      </c>
      <c r="H47" s="4">
        <v>6.3072859747246e-13</v>
      </c>
      <c r="I47" s="4">
        <v>6.3072860183395e-13</v>
      </c>
      <c r="J47" s="4">
        <v>6.3072859953458e-13</v>
      </c>
      <c r="K47" s="4">
        <v>6.6594782049574e-13</v>
      </c>
      <c r="L47" s="4">
        <v>6.6594782857189e-13</v>
      </c>
      <c r="M47" s="4">
        <v>6.6594781651344e-13</v>
      </c>
      <c r="N47" s="4">
        <v>6.9463618583321e-13</v>
      </c>
      <c r="O47" s="4">
        <v>6.3072859770938e-13</v>
      </c>
      <c r="P47" s="4">
        <v>6.9463618135609e-13</v>
      </c>
      <c r="Q47" s="4">
        <v>6.9463621150391e-13</v>
      </c>
      <c r="R47" s="4">
        <v>7.6144181618112e-13</v>
      </c>
      <c r="S47" s="4">
        <v>7.6144181225414e-13</v>
      </c>
      <c r="T47" s="4">
        <v>7.6144181609903e-13</v>
      </c>
      <c r="U47" s="4">
        <v>6.3072859898081e-13</v>
      </c>
      <c r="V47" s="4">
        <v>6.6594782320628e-13</v>
      </c>
      <c r="W47" s="4">
        <v>6.6594783184913e-13</v>
      </c>
      <c r="X47" s="4">
        <v>6.6594782182532e-13</v>
      </c>
      <c r="Y47" s="4">
        <v>6.9463618298667e-13</v>
      </c>
      <c r="Z47" s="4">
        <v>6.946362079041e-13</v>
      </c>
      <c r="AA47" s="4">
        <v>6.9463621791375e-13</v>
      </c>
      <c r="AB47" s="3">
        <v>0.99999999960636</v>
      </c>
      <c r="AC47" s="3">
        <v>0.99999426738686</v>
      </c>
      <c r="AD47" s="3">
        <v>0.00026970050497401</v>
      </c>
      <c r="AE47" s="4">
        <v>-6.7420998901907e-19</v>
      </c>
      <c r="AF47" s="4">
        <v>2.9272475182504e-18</v>
      </c>
      <c r="AG47" s="4">
        <v>2.4353152143829e-18</v>
      </c>
      <c r="AH47" s="4">
        <v>3.7617844879111e-19</v>
      </c>
      <c r="AI47" s="4">
        <v>-1.0750797794396e-19</v>
      </c>
      <c r="AJ47" s="4">
        <v>7.5057452177386e-19</v>
      </c>
      <c r="AK47" s="4">
        <v>1.2405702373256e-19</v>
      </c>
      <c r="AL47" s="4">
        <v>7.4467574862905e-19</v>
      </c>
      <c r="AM47" s="4">
        <v>4.338197767126e-19</v>
      </c>
      <c r="AN47" s="4">
        <v>-6.1017971643708e-20</v>
      </c>
      <c r="AO47" s="4">
        <v>8.9611075031277e-19</v>
      </c>
      <c r="AP47" s="4">
        <v>8.912474702488e-21</v>
      </c>
      <c r="AQ47" s="4">
        <v>4.9433424845952e-19</v>
      </c>
      <c r="AR47" s="4">
        <v>-3.9996962061492e-18</v>
      </c>
      <c r="AS47" s="4">
        <v>-3.2461534580385e-19</v>
      </c>
      <c r="AT47" s="4">
        <v>2.6969548017835e-19</v>
      </c>
      <c r="AU47" s="4">
        <v>-7.848150394335e-19</v>
      </c>
      <c r="AV47" s="4">
        <v>-6.5753108500359e-19</v>
      </c>
      <c r="AW47" s="4">
        <v>-2.2377271760456e-19</v>
      </c>
      <c r="AX47" s="4">
        <v>2.2500565100484e-18</v>
      </c>
      <c r="AY47" s="4">
        <v>4.3119115774639e-19</v>
      </c>
      <c r="AZ47" s="4">
        <v>-1.5260997992143e-18</v>
      </c>
      <c r="BA47" s="4">
        <v>2.289264908802e-18</v>
      </c>
      <c r="BB47" s="4">
        <v>-7.1941970057499e-18</v>
      </c>
      <c r="BC47" s="3">
        <v>15985835.140137</v>
      </c>
      <c r="BD47" s="3">
        <v>3995654.4769354</v>
      </c>
      <c r="BE47" s="3">
        <v>-0.0001152333659366</v>
      </c>
      <c r="BF47" s="3">
        <v>0.00028216841633614</v>
      </c>
      <c r="BG47" s="4">
        <v>8.8656684352856e-5</v>
      </c>
      <c r="BH47" s="3">
        <v>-0.00017211205514302</v>
      </c>
      <c r="BI47" s="3">
        <v>60.044427149698</v>
      </c>
      <c r="BJ47" s="3">
        <v>30.023798253906</v>
      </c>
      <c r="BK47" s="3">
        <v>54.927606398565</v>
      </c>
    </row>
    <row r="48" spans="1:63">
      <c r="A48" s="3">
        <v>3539728.9219208</v>
      </c>
      <c r="B48" s="4">
        <v>3.1272427613496e-5</v>
      </c>
      <c r="C48" s="4">
        <f t="shared" si="1"/>
        <v>9.5034393742606e-12</v>
      </c>
      <c r="D48" s="4">
        <v>6.3072390864175e-13</v>
      </c>
      <c r="E48" s="4">
        <v>7.6094809538007e-13</v>
      </c>
      <c r="F48" s="4">
        <v>7.6094809412737e-13</v>
      </c>
      <c r="G48" s="4">
        <v>7.6094808752579e-13</v>
      </c>
      <c r="H48" s="4">
        <v>6.3072389485173e-13</v>
      </c>
      <c r="I48" s="4">
        <v>6.3072389970876e-13</v>
      </c>
      <c r="J48" s="4">
        <v>6.3072389716549e-13</v>
      </c>
      <c r="K48" s="4">
        <v>6.6578247291884e-13</v>
      </c>
      <c r="L48" s="4">
        <v>6.6578248201299e-13</v>
      </c>
      <c r="M48" s="4">
        <v>6.6578246842308e-13</v>
      </c>
      <c r="N48" s="4">
        <v>6.9426712133987e-13</v>
      </c>
      <c r="O48" s="4">
        <v>6.3072389511321e-13</v>
      </c>
      <c r="P48" s="4">
        <v>6.9426711630298e-13</v>
      </c>
      <c r="Q48" s="4">
        <v>6.9426715024145e-13</v>
      </c>
      <c r="R48" s="4">
        <v>7.6094808735456e-13</v>
      </c>
      <c r="S48" s="4">
        <v>7.609480829917e-13</v>
      </c>
      <c r="T48" s="4">
        <v>7.6094808729815e-13</v>
      </c>
      <c r="U48" s="4">
        <v>6.3072389655455e-13</v>
      </c>
      <c r="V48" s="4">
        <v>6.6578247584378e-13</v>
      </c>
      <c r="W48" s="4">
        <v>6.6578248565521e-13</v>
      </c>
      <c r="X48" s="4">
        <v>6.657824744596e-13</v>
      </c>
      <c r="Y48" s="4">
        <v>6.9426711807018e-13</v>
      </c>
      <c r="Z48" s="4">
        <v>6.9426714609629e-13</v>
      </c>
      <c r="AA48" s="4">
        <v>6.9426715750446e-13</v>
      </c>
      <c r="AB48" s="3">
        <v>0.99999999964877</v>
      </c>
      <c r="AC48" s="3">
        <v>0.99999424316891</v>
      </c>
      <c r="AD48" s="3">
        <v>0.00027260403817584</v>
      </c>
      <c r="AE48" s="4">
        <v>-6.8289241830898e-19</v>
      </c>
      <c r="AF48" s="4">
        <v>2.8773273676278e-18</v>
      </c>
      <c r="AG48" s="4">
        <v>2.4106407568668e-18</v>
      </c>
      <c r="AH48" s="4">
        <v>3.8631753895321e-19</v>
      </c>
      <c r="AI48" s="4">
        <v>-1.0953953523116e-19</v>
      </c>
      <c r="AJ48" s="4">
        <v>7.4885582824704e-19</v>
      </c>
      <c r="AK48" s="4">
        <v>1.2365879536805e-19</v>
      </c>
      <c r="AL48" s="4">
        <v>7.4161496952892e-19</v>
      </c>
      <c r="AM48" s="4">
        <v>4.872926720416e-19</v>
      </c>
      <c r="AN48" s="4">
        <v>-6.1138072664696e-20</v>
      </c>
      <c r="AO48" s="4">
        <v>8.8926387776799e-19</v>
      </c>
      <c r="AP48" s="4">
        <v>1.1452442915548e-20</v>
      </c>
      <c r="AQ48" s="4">
        <v>4.9689711529762e-19</v>
      </c>
      <c r="AR48" s="4">
        <v>-3.9845940280982e-18</v>
      </c>
      <c r="AS48" s="4">
        <v>-3.1162299790428e-19</v>
      </c>
      <c r="AT48" s="4">
        <v>2.6264697384483e-19</v>
      </c>
      <c r="AU48" s="4">
        <v>-7.6963669992365e-19</v>
      </c>
      <c r="AV48" s="4">
        <v>-6.5953511520516e-19</v>
      </c>
      <c r="AW48" s="4">
        <v>-2.1687092959379e-19</v>
      </c>
      <c r="AX48" s="4">
        <v>2.209126061098e-18</v>
      </c>
      <c r="AY48" s="4">
        <v>4.2295899463252e-19</v>
      </c>
      <c r="AZ48" s="4">
        <v>-1.4995706002663e-18</v>
      </c>
      <c r="BA48" s="4">
        <v>2.2822118404855e-18</v>
      </c>
      <c r="BB48" s="4">
        <v>-7.1805653950484e-18</v>
      </c>
      <c r="BC48" s="3">
        <v>15984109.522892</v>
      </c>
      <c r="BD48" s="3">
        <v>3995125.6484685</v>
      </c>
      <c r="BE48" s="3">
        <v>-0.00011460950740707</v>
      </c>
      <c r="BF48" s="3">
        <v>0.00028582669119187</v>
      </c>
      <c r="BG48" s="4">
        <v>9.0729755104976e-5</v>
      </c>
      <c r="BH48" s="3">
        <v>-0.00017083211782475</v>
      </c>
      <c r="BI48" s="3">
        <v>60.044426804154</v>
      </c>
      <c r="BJ48" s="3">
        <v>30.023803300465</v>
      </c>
      <c r="BK48" s="3">
        <v>54.889127274534</v>
      </c>
    </row>
    <row r="49" spans="1:63">
      <c r="A49" s="3">
        <v>3971641.1736215</v>
      </c>
      <c r="B49" s="4">
        <v>3.5075640289311e-5</v>
      </c>
      <c r="C49" s="4">
        <f t="shared" si="1"/>
        <v>9.49113386649361e-12</v>
      </c>
      <c r="D49" s="4">
        <v>6.3071816655604e-13</v>
      </c>
      <c r="E49" s="4">
        <v>7.6039695517988e-13</v>
      </c>
      <c r="F49" s="4">
        <v>7.6039695381791e-13</v>
      </c>
      <c r="G49" s="4">
        <v>7.6039694655963e-13</v>
      </c>
      <c r="H49" s="4">
        <v>6.3071815114526e-13</v>
      </c>
      <c r="I49" s="4">
        <v>6.3071815654925e-13</v>
      </c>
      <c r="J49" s="4">
        <v>6.3071815374155e-13</v>
      </c>
      <c r="K49" s="4">
        <v>6.6559907878836e-13</v>
      </c>
      <c r="L49" s="4">
        <v>6.6559908903572e-13</v>
      </c>
      <c r="M49" s="4">
        <v>6.6559907370907e-13</v>
      </c>
      <c r="N49" s="4">
        <v>6.9386074292384e-13</v>
      </c>
      <c r="O49" s="4">
        <v>6.3071815143319e-13</v>
      </c>
      <c r="P49" s="4">
        <v>6.9386073725449e-13</v>
      </c>
      <c r="Q49" s="4">
        <v>6.9386077547471e-13</v>
      </c>
      <c r="R49" s="4">
        <v>7.60396946266e-13</v>
      </c>
      <c r="S49" s="4">
        <v>7.603969414248e-13</v>
      </c>
      <c r="T49" s="4">
        <v>7.603969462474e-13</v>
      </c>
      <c r="U49" s="4">
        <v>6.3071815306885e-13</v>
      </c>
      <c r="V49" s="4">
        <v>6.6559908192566e-13</v>
      </c>
      <c r="W49" s="4">
        <v>6.6559909307884e-13</v>
      </c>
      <c r="X49" s="4">
        <v>6.655990805783e-13</v>
      </c>
      <c r="Y49" s="4">
        <v>6.9386073915971e-13</v>
      </c>
      <c r="Z49" s="4">
        <v>6.9386077069021e-13</v>
      </c>
      <c r="AA49" s="4">
        <v>6.9386078371587e-13</v>
      </c>
      <c r="AB49" s="3">
        <v>0.99999999968655</v>
      </c>
      <c r="AC49" s="3">
        <v>0.99999421573241</v>
      </c>
      <c r="AD49" s="3">
        <v>0.00027587109547875</v>
      </c>
      <c r="AE49" s="4">
        <v>-6.9257574492714e-19</v>
      </c>
      <c r="AF49" s="4">
        <v>2.8221051842106e-18</v>
      </c>
      <c r="AG49" s="4">
        <v>2.3833672359906e-18</v>
      </c>
      <c r="AH49" s="4">
        <v>3.977589593022e-19</v>
      </c>
      <c r="AI49" s="4">
        <v>-1.1183277055466e-19</v>
      </c>
      <c r="AJ49" s="4">
        <v>7.4674948553028e-19</v>
      </c>
      <c r="AK49" s="4">
        <v>1.2313489303875e-19</v>
      </c>
      <c r="AL49" s="4">
        <v>7.3826867812942e-19</v>
      </c>
      <c r="AM49" s="4">
        <v>5.4787238293907e-19</v>
      </c>
      <c r="AN49" s="4">
        <v>-6.1319475017069e-20</v>
      </c>
      <c r="AO49" s="4">
        <v>8.8162289836999e-19</v>
      </c>
      <c r="AP49" s="4">
        <v>1.4248785872688e-20</v>
      </c>
      <c r="AQ49" s="4">
        <v>4.9956192443234e-19</v>
      </c>
      <c r="AR49" s="4">
        <v>-3.9669361827757e-18</v>
      </c>
      <c r="AS49" s="4">
        <v>-2.9721369551464e-19</v>
      </c>
      <c r="AT49" s="4">
        <v>2.5479851802931e-19</v>
      </c>
      <c r="AU49" s="4">
        <v>-7.5269624092821e-19</v>
      </c>
      <c r="AV49" s="4">
        <v>-6.6185207211983e-19</v>
      </c>
      <c r="AW49" s="4">
        <v>-2.0902360706903e-19</v>
      </c>
      <c r="AX49" s="4">
        <v>2.1630138670395e-18</v>
      </c>
      <c r="AY49" s="4">
        <v>4.133989526818e-19</v>
      </c>
      <c r="AZ49" s="4">
        <v>-1.4702506960947e-18</v>
      </c>
      <c r="BA49" s="4">
        <v>2.2739116675689e-18</v>
      </c>
      <c r="BB49" s="4">
        <v>-7.1639610028808e-18</v>
      </c>
      <c r="BC49" s="3">
        <v>15982174.059997</v>
      </c>
      <c r="BD49" s="3">
        <v>3994532.6484087</v>
      </c>
      <c r="BE49" s="3">
        <v>-0.00011390636313561</v>
      </c>
      <c r="BF49" s="3">
        <v>0.00028992602819134</v>
      </c>
      <c r="BG49" s="4">
        <v>9.3055082707945e-5</v>
      </c>
      <c r="BH49" s="3">
        <v>-0.00016938319500557</v>
      </c>
      <c r="BI49" s="3">
        <v>60.044426655487</v>
      </c>
      <c r="BJ49" s="3">
        <v>30.023808879328</v>
      </c>
      <c r="BK49" s="3">
        <v>54.846458248275</v>
      </c>
    </row>
    <row r="50" spans="1:63">
      <c r="A50" s="3">
        <v>4456254.6906689</v>
      </c>
      <c r="B50" s="4">
        <v>3.9339734320688e-5</v>
      </c>
      <c r="C50" s="4">
        <f t="shared" si="1"/>
        <v>9.47746858057773e-12</v>
      </c>
      <c r="D50" s="4">
        <v>6.3070900210248e-13</v>
      </c>
      <c r="E50" s="4">
        <v>7.5978210368729e-13</v>
      </c>
      <c r="F50" s="4">
        <v>7.5978210221355e-13</v>
      </c>
      <c r="G50" s="4">
        <v>7.5978209425517e-13</v>
      </c>
      <c r="H50" s="4">
        <v>6.307089848875e-13</v>
      </c>
      <c r="I50" s="4">
        <v>6.3070899089396e-13</v>
      </c>
      <c r="J50" s="4">
        <v>6.3070898780113e-13</v>
      </c>
      <c r="K50" s="4">
        <v>6.6539680090931e-13</v>
      </c>
      <c r="L50" s="4">
        <v>6.6539681246574e-13</v>
      </c>
      <c r="M50" s="4">
        <v>6.6539679516578e-13</v>
      </c>
      <c r="N50" s="4">
        <v>6.9341272049424e-13</v>
      </c>
      <c r="O50" s="4">
        <v>6.3070898520376e-13</v>
      </c>
      <c r="P50" s="4">
        <v>6.9341271410935e-13</v>
      </c>
      <c r="Q50" s="4">
        <v>6.934127571696e-13</v>
      </c>
      <c r="R50" s="4">
        <v>7.5978209379878e-13</v>
      </c>
      <c r="S50" s="4">
        <v>7.5978208843415e-13</v>
      </c>
      <c r="T50" s="4">
        <v>7.5978209383383e-13</v>
      </c>
      <c r="U50" s="4">
        <v>6.3070898706199e-13</v>
      </c>
      <c r="V50" s="4">
        <v>6.6539680425006e-13</v>
      </c>
      <c r="W50" s="4">
        <v>6.653968169483e-13</v>
      </c>
      <c r="X50" s="4">
        <v>6.6539680299405e-13</v>
      </c>
      <c r="Y50" s="4">
        <v>6.9341271615056e-13</v>
      </c>
      <c r="Z50" s="4">
        <v>6.9341275163317e-13</v>
      </c>
      <c r="AA50" s="4">
        <v>6.9341276653552e-13</v>
      </c>
      <c r="AB50" s="3">
        <v>0.99999999972019</v>
      </c>
      <c r="AC50" s="3">
        <v>0.99999418461412</v>
      </c>
      <c r="AD50" s="3">
        <v>0.00027954787788249</v>
      </c>
      <c r="AE50" s="4">
        <v>-7.0335034246283e-19</v>
      </c>
      <c r="AF50" s="4">
        <v>2.7611368800431e-18</v>
      </c>
      <c r="AG50" s="4">
        <v>2.3532706054287e-18</v>
      </c>
      <c r="AH50" s="4">
        <v>4.1067460048761e-19</v>
      </c>
      <c r="AI50" s="4">
        <v>-1.1441674211194e-19</v>
      </c>
      <c r="AJ50" s="4">
        <v>7.4416196498001e-19</v>
      </c>
      <c r="AK50" s="4">
        <v>1.2245558983842e-19</v>
      </c>
      <c r="AL50" s="4">
        <v>7.3461907323476e-19</v>
      </c>
      <c r="AM50" s="4">
        <v>6.1655178980506e-19</v>
      </c>
      <c r="AN50" s="4">
        <v>-6.1580593519802e-20</v>
      </c>
      <c r="AO50" s="4">
        <v>8.7309140478791e-19</v>
      </c>
      <c r="AP50" s="4">
        <v>1.7319074234647e-20</v>
      </c>
      <c r="AQ50" s="4">
        <v>5.0228838587083e-19</v>
      </c>
      <c r="AR50" s="4">
        <v>-3.9462707532887e-18</v>
      </c>
      <c r="AS50" s="4">
        <v>-2.8126226478994e-19</v>
      </c>
      <c r="AT50" s="4">
        <v>2.460669149612e-19</v>
      </c>
      <c r="AU50" s="4">
        <v>-7.3379983324219e-19</v>
      </c>
      <c r="AV50" s="4">
        <v>-6.6454024623497e-19</v>
      </c>
      <c r="AW50" s="4">
        <v>-2.0010047927039e-19</v>
      </c>
      <c r="AX50" s="4">
        <v>2.1110333391393e-18</v>
      </c>
      <c r="AY50" s="4">
        <v>4.0226723119233e-19</v>
      </c>
      <c r="AZ50" s="4">
        <v>-1.4379109636861e-18</v>
      </c>
      <c r="BA50" s="4">
        <v>2.2641160423844e-18</v>
      </c>
      <c r="BB50" s="4">
        <v>-7.143724137026e-18</v>
      </c>
      <c r="BC50" s="3">
        <v>15980003.327069</v>
      </c>
      <c r="BD50" s="3">
        <v>3993867.7344559</v>
      </c>
      <c r="BE50" s="3">
        <v>-0.00011311347221154</v>
      </c>
      <c r="BF50" s="3">
        <v>0.00029451893757288</v>
      </c>
      <c r="BG50" s="4">
        <v>9.5663274931341e-5</v>
      </c>
      <c r="BH50" s="3">
        <v>-0.00016774356273504</v>
      </c>
      <c r="BI50" s="3">
        <v>60.044426780517</v>
      </c>
      <c r="BJ50" s="3">
        <v>30.023815032388</v>
      </c>
      <c r="BK50" s="3">
        <v>54.799210951378</v>
      </c>
    </row>
    <row r="51" spans="1:63">
      <c r="A51" s="3">
        <v>5000000.0000001</v>
      </c>
      <c r="B51" s="4">
        <v>4.4120156300668e-5</v>
      </c>
      <c r="C51" s="4">
        <f t="shared" si="1"/>
        <v>9.46231322680897e-12</v>
      </c>
      <c r="D51" s="4">
        <v>6.3069532956886e-13</v>
      </c>
      <c r="E51" s="4">
        <v>7.5909659882644e-13</v>
      </c>
      <c r="F51" s="4">
        <v>7.5909659724075e-13</v>
      </c>
      <c r="G51" s="4">
        <v>7.5909658854238e-13</v>
      </c>
      <c r="H51" s="4">
        <v>6.30695310347e-13</v>
      </c>
      <c r="I51" s="4">
        <v>6.3069531701555e-13</v>
      </c>
      <c r="J51" s="4">
        <v>6.3069531361719e-13</v>
      </c>
      <c r="K51" s="4">
        <v>6.6516891359391e-13</v>
      </c>
      <c r="L51" s="4">
        <v>6.6516892663847e-13</v>
      </c>
      <c r="M51" s="4">
        <v>6.6516890709317e-13</v>
      </c>
      <c r="N51" s="4">
        <v>6.9291323290927e-13</v>
      </c>
      <c r="O51" s="4">
        <v>6.3069531069334e-13</v>
      </c>
      <c r="P51" s="4">
        <v>6.9291322571359e-13</v>
      </c>
      <c r="Q51" s="4">
        <v>6.9291327424928e-13</v>
      </c>
      <c r="R51" s="4">
        <v>7.5909658787169e-13</v>
      </c>
      <c r="S51" s="4">
        <v>7.5909658193622e-13</v>
      </c>
      <c r="T51" s="4">
        <v>7.5909658798093e-13</v>
      </c>
      <c r="U51" s="4">
        <v>6.3069531280697e-13</v>
      </c>
      <c r="V51" s="4">
        <v>6.6516891712018e-13</v>
      </c>
      <c r="W51" s="4">
        <v>6.6516893160014e-13</v>
      </c>
      <c r="X51" s="4">
        <v>6.6516891602855e-13</v>
      </c>
      <c r="Y51" s="4">
        <v>6.9291322788406e-13</v>
      </c>
      <c r="Z51" s="4">
        <v>6.9291326782563e-13</v>
      </c>
      <c r="AA51" s="4">
        <v>6.929132849129e-13</v>
      </c>
      <c r="AB51" s="3">
        <v>0.99999999975014</v>
      </c>
      <c r="AC51" s="3">
        <v>0.99999414926592</v>
      </c>
      <c r="AD51" s="3">
        <v>0.00028368653154139</v>
      </c>
      <c r="AE51" s="4">
        <v>-7.1530561075137e-19</v>
      </c>
      <c r="AF51" s="4">
        <v>2.6939756794256e-18</v>
      </c>
      <c r="AG51" s="4">
        <v>2.3201240251432e-18</v>
      </c>
      <c r="AH51" s="4">
        <v>4.2526140970183e-19</v>
      </c>
      <c r="AI51" s="4">
        <v>-1.1732980641818e-19</v>
      </c>
      <c r="AJ51" s="4">
        <v>7.4097764339955e-19</v>
      </c>
      <c r="AK51" s="4">
        <v>1.2158054538246e-19</v>
      </c>
      <c r="AL51" s="4">
        <v>7.3064889966485e-19</v>
      </c>
      <c r="AM51" s="4">
        <v>6.9447868255163e-19</v>
      </c>
      <c r="AN51" s="4">
        <v>-6.1943578469548e-20</v>
      </c>
      <c r="AO51" s="4">
        <v>8.6355595815384e-19</v>
      </c>
      <c r="AP51" s="4">
        <v>2.0679817680775e-20</v>
      </c>
      <c r="AQ51" s="4">
        <v>5.0501858247303e-19</v>
      </c>
      <c r="AR51" s="4">
        <v>-3.9220731217029e-18</v>
      </c>
      <c r="AS51" s="4">
        <v>-2.6364040112088e-19</v>
      </c>
      <c r="AT51" s="4">
        <v>2.36361801038e-19</v>
      </c>
      <c r="AU51" s="4">
        <v>-7.1273528942468e-19</v>
      </c>
      <c r="AV51" s="4">
        <v>-6.6766733746663e-19</v>
      </c>
      <c r="AW51" s="4">
        <v>-1.8996002437343e-19</v>
      </c>
      <c r="AX51" s="4">
        <v>2.052390822198e-18</v>
      </c>
      <c r="AY51" s="4">
        <v>3.8927006063308e-19</v>
      </c>
      <c r="AZ51" s="4">
        <v>-1.4023206101484e-18</v>
      </c>
      <c r="BA51" s="4">
        <v>2.2525252671667e-18</v>
      </c>
      <c r="BB51" s="4">
        <v>-7.119057396126e-18</v>
      </c>
      <c r="BC51" s="3">
        <v>15977568.854141</v>
      </c>
      <c r="BD51" s="3">
        <v>3993122.2443808</v>
      </c>
      <c r="BE51" s="3">
        <v>-0.00011221895011353</v>
      </c>
      <c r="BF51" s="3">
        <v>0.00029966402600538</v>
      </c>
      <c r="BG51" s="4">
        <v>9.858863171446e-5</v>
      </c>
      <c r="BH51" s="3">
        <v>-0.00016588858697947</v>
      </c>
      <c r="BI51" s="3">
        <v>60.044427276638</v>
      </c>
      <c r="BJ51" s="3">
        <v>30.023821801109</v>
      </c>
      <c r="BK51" s="3">
        <v>54.746978129664</v>
      </c>
    </row>
    <row r="52" spans="1:63">
      <c r="A52" s="3">
        <v>5610092.27151</v>
      </c>
      <c r="B52" s="4">
        <v>4.9478926221601e-5</v>
      </c>
      <c r="C52" s="4">
        <f t="shared" si="1"/>
        <v>9.44552781969888e-12</v>
      </c>
      <c r="D52" s="4">
        <v>6.3067576658332e-13</v>
      </c>
      <c r="E52" s="4">
        <v>7.5833392899667e-13</v>
      </c>
      <c r="F52" s="4">
        <v>7.5833392730204e-13</v>
      </c>
      <c r="G52" s="4">
        <v>7.583339178298e-13</v>
      </c>
      <c r="H52" s="4">
        <v>6.3067574513096e-13</v>
      </c>
      <c r="I52" s="4">
        <v>6.3067575252518e-13</v>
      </c>
      <c r="J52" s="4">
        <v>6.3067574880195e-13</v>
      </c>
      <c r="K52" s="4">
        <v>6.6491444393186e-13</v>
      </c>
      <c r="L52" s="4">
        <v>6.6491445867211e-13</v>
      </c>
      <c r="M52" s="4">
        <v>6.6491443656639e-13</v>
      </c>
      <c r="N52" s="4">
        <v>6.9235671890799e-13</v>
      </c>
      <c r="O52" s="4">
        <v>6.3067574550893e-13</v>
      </c>
      <c r="P52" s="4">
        <v>6.9235671079187e-13</v>
      </c>
      <c r="Q52" s="4">
        <v>6.9235676552726e-13</v>
      </c>
      <c r="R52" s="4">
        <v>7.5833391687927e-13</v>
      </c>
      <c r="S52" s="4">
        <v>7.5833391032358e-13</v>
      </c>
      <c r="T52" s="4">
        <v>7.5833391708916e-13</v>
      </c>
      <c r="U52" s="4">
        <v>6.3067574791617e-13</v>
      </c>
      <c r="V52" s="4">
        <v>6.6491444761381e-13</v>
      </c>
      <c r="W52" s="4">
        <v>6.6491446415377e-13</v>
      </c>
      <c r="X52" s="4">
        <v>6.6491444678294e-13</v>
      </c>
      <c r="Y52" s="4">
        <v>6.9235671307868e-13</v>
      </c>
      <c r="Z52" s="4">
        <v>6.9235675805323e-13</v>
      </c>
      <c r="AA52" s="4">
        <v>6.9235677769374e-13</v>
      </c>
      <c r="AB52" s="3">
        <v>0.99999999977679</v>
      </c>
      <c r="AC52" s="3">
        <v>0.999994109052</v>
      </c>
      <c r="AD52" s="3">
        <v>0.0002883458888226</v>
      </c>
      <c r="AE52" s="4">
        <v>-7.285251354854e-19</v>
      </c>
      <c r="AF52" s="4">
        <v>2.620183673311e-18</v>
      </c>
      <c r="AG52" s="4">
        <v>2.2837005383311e-18</v>
      </c>
      <c r="AH52" s="4">
        <v>4.4174446493381e-19</v>
      </c>
      <c r="AI52" s="4">
        <v>-1.2062030964017e-19</v>
      </c>
      <c r="AJ52" s="4">
        <v>7.3705337439253e-19</v>
      </c>
      <c r="AK52" s="4">
        <v>1.2045747845444e-19</v>
      </c>
      <c r="AL52" s="4">
        <v>7.2634078879745e-19</v>
      </c>
      <c r="AM52" s="4">
        <v>7.8297945007295e-19</v>
      </c>
      <c r="AN52" s="4">
        <v>-6.2435698179039e-20</v>
      </c>
      <c r="AO52" s="4">
        <v>8.5288140508096e-19</v>
      </c>
      <c r="AP52" s="4">
        <v>2.4345439190082e-20</v>
      </c>
      <c r="AQ52" s="4">
        <v>5.0767230700476e-19</v>
      </c>
      <c r="AR52" s="4">
        <v>-3.8937403625092e-18</v>
      </c>
      <c r="AS52" s="4">
        <v>-2.4421967626914e-19</v>
      </c>
      <c r="AT52" s="4">
        <v>2.2558554237695e-19</v>
      </c>
      <c r="AU52" s="4">
        <v>-6.8927095574948e-19</v>
      </c>
      <c r="AV52" s="4">
        <v>-6.713141321626e-19</v>
      </c>
      <c r="AW52" s="4">
        <v>-1.7844903049148e-19</v>
      </c>
      <c r="AX52" s="4">
        <v>1.9861641655377e-18</v>
      </c>
      <c r="AY52" s="4">
        <v>3.7405313537196e-19</v>
      </c>
      <c r="AZ52" s="4">
        <v>-1.3632527491456e-18</v>
      </c>
      <c r="BA52" s="4">
        <v>2.2387786707793e-18</v>
      </c>
      <c r="BB52" s="4">
        <v>-7.0890038384055e-18</v>
      </c>
      <c r="BC52" s="3">
        <v>15974838.761917</v>
      </c>
      <c r="BD52" s="3">
        <v>3992286.4876854</v>
      </c>
      <c r="BE52" s="3">
        <v>-0.00011120925745092</v>
      </c>
      <c r="BF52" s="3">
        <v>0.00030542666952851</v>
      </c>
      <c r="BG52" s="3">
        <v>0.00010186958493132</v>
      </c>
      <c r="BH52" s="3">
        <v>-0.00016379122947207</v>
      </c>
      <c r="BI52" s="3">
        <v>60.044428265206</v>
      </c>
      <c r="BJ52" s="3">
        <v>30.023829224563</v>
      </c>
      <c r="BK52" s="3">
        <v>54.689337724655</v>
      </c>
    </row>
    <row r="53" spans="1:63">
      <c r="A53" s="3">
        <v>6294627.058971</v>
      </c>
      <c r="B53" s="4">
        <v>5.5485398732066e-5</v>
      </c>
      <c r="C53" s="4">
        <f t="shared" si="1"/>
        <v>9.42695775198658e-12</v>
      </c>
      <c r="D53" s="4">
        <v>6.3065097559561e-13</v>
      </c>
      <c r="E53" s="4">
        <v>7.5749156910103e-13</v>
      </c>
      <c r="F53" s="4">
        <v>7.5749156730474e-13</v>
      </c>
      <c r="G53" s="4">
        <v>7.5749155703393e-13</v>
      </c>
      <c r="H53" s="4">
        <v>6.3065095166624e-13</v>
      </c>
      <c r="I53" s="4">
        <v>6.3065095985341e-13</v>
      </c>
      <c r="J53" s="4">
        <v>6.3065095578809e-13</v>
      </c>
      <c r="K53" s="4">
        <v>6.6462814212625e-13</v>
      </c>
      <c r="L53" s="4">
        <v>6.6462815880403e-13</v>
      </c>
      <c r="M53" s="4">
        <v>6.6462813377133e-13</v>
      </c>
      <c r="N53" s="4">
        <v>6.9174859447407e-13</v>
      </c>
      <c r="O53" s="4">
        <v>6.3065095207702e-13</v>
      </c>
      <c r="P53" s="4">
        <v>6.9174858531062e-13</v>
      </c>
      <c r="Q53" s="4">
        <v>6.9174864707237e-13</v>
      </c>
      <c r="R53" s="4">
        <v>7.5749155572049e-13</v>
      </c>
      <c r="S53" s="4">
        <v>7.5749154849385e-13</v>
      </c>
      <c r="T53" s="4">
        <v>7.5749155606496e-13</v>
      </c>
      <c r="U53" s="4">
        <v>6.3065095482249e-13</v>
      </c>
      <c r="V53" s="4">
        <v>6.6462814591857e-13</v>
      </c>
      <c r="W53" s="4">
        <v>6.6462816484703e-13</v>
      </c>
      <c r="X53" s="4">
        <v>6.6462814547435e-13</v>
      </c>
      <c r="Y53" s="4">
        <v>6.9174858769267e-13</v>
      </c>
      <c r="Z53" s="4">
        <v>6.9174863835065e-13</v>
      </c>
      <c r="AA53" s="4">
        <v>6.9174866098663e-13</v>
      </c>
      <c r="AB53" s="3">
        <v>0.9999999998005</v>
      </c>
      <c r="AC53" s="3">
        <v>0.99999406324028</v>
      </c>
      <c r="AD53" s="3">
        <v>0.00029359228771579</v>
      </c>
      <c r="AE53" s="4">
        <v>-7.4307491983665e-19</v>
      </c>
      <c r="AF53" s="4">
        <v>2.5393489368901e-18</v>
      </c>
      <c r="AG53" s="4">
        <v>2.2437794227436e-18</v>
      </c>
      <c r="AH53" s="4">
        <v>4.6037970256047e-19</v>
      </c>
      <c r="AI53" s="4">
        <v>-1.2434780820572e-19</v>
      </c>
      <c r="AJ53" s="4">
        <v>7.3220950961122e-19</v>
      </c>
      <c r="AK53" s="4">
        <v>1.1902155450413e-19</v>
      </c>
      <c r="AL53" s="4">
        <v>7.2167265557418e-19</v>
      </c>
      <c r="AM53" s="4">
        <v>8.8358456835973e-19</v>
      </c>
      <c r="AN53" s="4">
        <v>-6.3090689779396e-20</v>
      </c>
      <c r="AO53" s="4">
        <v>8.4090465085607e-19</v>
      </c>
      <c r="AP53" s="4">
        <v>2.8326969506872e-20</v>
      </c>
      <c r="AQ53" s="4">
        <v>5.1014048016709e-19</v>
      </c>
      <c r="AR53" s="4">
        <v>-3.8605885027477e-18</v>
      </c>
      <c r="AS53" s="4">
        <v>-2.2287539106907e-19</v>
      </c>
      <c r="AT53" s="4">
        <v>2.1363340479781e-19</v>
      </c>
      <c r="AU53" s="4">
        <v>-6.6315524924753e-19</v>
      </c>
      <c r="AV53" s="4">
        <v>-6.755839003711e-19</v>
      </c>
      <c r="AW53" s="4">
        <v>-1.654025587191e-19</v>
      </c>
      <c r="AX53" s="4">
        <v>1.9112766412108e-18</v>
      </c>
      <c r="AY53" s="4">
        <v>3.5619357128866e-19</v>
      </c>
      <c r="AZ53" s="4">
        <v>-1.3204917897568e-18</v>
      </c>
      <c r="BA53" s="4">
        <v>2.222447974977e-18</v>
      </c>
      <c r="BB53" s="4">
        <v>-7.0524127693208e-18</v>
      </c>
      <c r="BC53" s="3">
        <v>15971777.354172</v>
      </c>
      <c r="BD53" s="3">
        <v>3991349.6244826</v>
      </c>
      <c r="BE53" s="3">
        <v>-0.00011006892564624</v>
      </c>
      <c r="BF53" s="3">
        <v>0.00031187975004967</v>
      </c>
      <c r="BG53" s="3">
        <v>0.00010554919587332</v>
      </c>
      <c r="BH53" s="3">
        <v>-0.00016142062863052</v>
      </c>
      <c r="BI53" s="3">
        <v>60.044429896297</v>
      </c>
      <c r="BJ53" s="3">
        <v>30.023837337427</v>
      </c>
      <c r="BK53" s="3">
        <v>54.625858879186</v>
      </c>
    </row>
    <row r="54" spans="1:63">
      <c r="A54" s="3">
        <v>7062687.723114</v>
      </c>
      <c r="B54" s="4">
        <v>6.2217118236751e-5</v>
      </c>
      <c r="C54" s="4">
        <f t="shared" si="1"/>
        <v>9.40643707487786e-12</v>
      </c>
      <c r="D54" s="4">
        <v>6.306338305598e-13</v>
      </c>
      <c r="E54" s="4">
        <v>7.5656294645615e-13</v>
      </c>
      <c r="F54" s="4">
        <v>7.5656294457113e-13</v>
      </c>
      <c r="G54" s="4">
        <v>7.5656293349054e-13</v>
      </c>
      <c r="H54" s="4">
        <v>6.3063380388146e-13</v>
      </c>
      <c r="I54" s="4">
        <v>6.3063381293216e-13</v>
      </c>
      <c r="J54" s="4">
        <v>6.3063380851147e-13</v>
      </c>
      <c r="K54" s="4">
        <v>6.6431212817333e-13</v>
      </c>
      <c r="L54" s="4">
        <v>6.6431214707203e-13</v>
      </c>
      <c r="M54" s="4">
        <v>6.6431211868381e-13</v>
      </c>
      <c r="N54" s="4">
        <v>6.9108547890954e-13</v>
      </c>
      <c r="O54" s="4">
        <v>6.3063380432572e-13</v>
      </c>
      <c r="P54" s="4">
        <v>6.910854685512e-13</v>
      </c>
      <c r="Q54" s="4">
        <v>6.910855382843e-13</v>
      </c>
      <c r="R54" s="4">
        <v>7.5656293170909e-13</v>
      </c>
      <c r="S54" s="4">
        <v>7.5656292376023e-13</v>
      </c>
      <c r="T54" s="4">
        <v>7.565629322315e-13</v>
      </c>
      <c r="U54" s="4">
        <v>6.3063380746162e-13</v>
      </c>
      <c r="V54" s="4">
        <v>6.6431213201083e-13</v>
      </c>
      <c r="W54" s="4">
        <v>6.643121537171e-13</v>
      </c>
      <c r="X54" s="4">
        <v>6.6431213211618e-13</v>
      </c>
      <c r="Y54" s="4">
        <v>6.9108547099689e-13</v>
      </c>
      <c r="Z54" s="4">
        <v>6.9108552807547e-13</v>
      </c>
      <c r="AA54" s="4">
        <v>6.9108555424061e-13</v>
      </c>
      <c r="AB54" s="3">
        <v>0.99999999982158</v>
      </c>
      <c r="AC54" s="3">
        <v>0.99999401098668</v>
      </c>
      <c r="AD54" s="3">
        <v>0.00029950043892412</v>
      </c>
      <c r="AE54" s="4">
        <v>-7.5898902042051e-19</v>
      </c>
      <c r="AF54" s="4">
        <v>2.4510998927177e-18</v>
      </c>
      <c r="AG54" s="4">
        <v>2.2001490320292e-18</v>
      </c>
      <c r="AH54" s="4">
        <v>4.8145335443206e-19</v>
      </c>
      <c r="AI54" s="4">
        <v>-1.2860205069817e-19</v>
      </c>
      <c r="AJ54" s="4">
        <v>7.2622986074035e-19</v>
      </c>
      <c r="AK54" s="4">
        <v>1.1719782604131e-19</v>
      </c>
      <c r="AL54" s="4">
        <v>7.166075236189e-19</v>
      </c>
      <c r="AM54" s="4">
        <v>9.9805081200447e-19</v>
      </c>
      <c r="AN54" s="4">
        <v>-6.3949878462668e-20</v>
      </c>
      <c r="AO54" s="4">
        <v>8.2742747358219e-19</v>
      </c>
      <c r="AP54" s="4">
        <v>3.2639289676319e-20</v>
      </c>
      <c r="AQ54" s="4">
        <v>5.1228382321274e-19</v>
      </c>
      <c r="AR54" s="4">
        <v>-3.8218259473285e-18</v>
      </c>
      <c r="AS54" s="4">
        <v>-1.9949139957754e-19</v>
      </c>
      <c r="AT54" s="4">
        <v>2.003929023442e-19</v>
      </c>
      <c r="AU54" s="4">
        <v>-6.3411776750666e-19</v>
      </c>
      <c r="AV54" s="4">
        <v>-6.806647732231e-19</v>
      </c>
      <c r="AW54" s="4">
        <v>-1.5065206569866e-19</v>
      </c>
      <c r="AX54" s="4">
        <v>1.8264509623005e-18</v>
      </c>
      <c r="AY54" s="4">
        <v>3.3518293226157e-19</v>
      </c>
      <c r="AZ54" s="4">
        <v>-1.2738389904936e-18</v>
      </c>
      <c r="BA54" s="4">
        <v>2.2030473155879e-18</v>
      </c>
      <c r="BB54" s="4">
        <v>-7.007909631212e-18</v>
      </c>
      <c r="BC54" s="3">
        <v>15968344.641326</v>
      </c>
      <c r="BD54" s="3">
        <v>3990299.524068</v>
      </c>
      <c r="BE54" s="3">
        <v>-0.00010878014607449</v>
      </c>
      <c r="BF54" s="3">
        <v>0.00031910446435662</v>
      </c>
      <c r="BG54" s="3">
        <v>0.00010967570109149</v>
      </c>
      <c r="BH54" s="3">
        <v>-0.00015874699555037</v>
      </c>
      <c r="BI54" s="3">
        <v>60.044432353247</v>
      </c>
      <c r="BJ54" s="3">
        <v>30.023846160689</v>
      </c>
      <c r="BK54" s="3">
        <v>54.556111317162</v>
      </c>
    </row>
    <row r="55" spans="1:63">
      <c r="A55" s="3">
        <v>7924465.9623058</v>
      </c>
      <c r="B55" s="4">
        <v>6.9760741747338e-5</v>
      </c>
      <c r="C55" s="4">
        <f t="shared" si="1"/>
        <v>9.38377631428006e-12</v>
      </c>
      <c r="D55" s="4">
        <v>6.3060904330385e-13</v>
      </c>
      <c r="E55" s="4">
        <v>7.5555045859637e-13</v>
      </c>
      <c r="F55" s="4">
        <v>7.5555045664285e-13</v>
      </c>
      <c r="G55" s="4">
        <v>7.5555044476005e-13</v>
      </c>
      <c r="H55" s="4">
        <v>6.3060901357844e-13</v>
      </c>
      <c r="I55" s="4">
        <v>6.3060902356573e-13</v>
      </c>
      <c r="J55" s="4">
        <v>6.3060901878108e-13</v>
      </c>
      <c r="K55" s="4">
        <v>6.6395421157407e-13</v>
      </c>
      <c r="L55" s="4">
        <v>6.6395423302804e-13</v>
      </c>
      <c r="M55" s="4">
        <v>6.6395420078054e-13</v>
      </c>
      <c r="N55" s="4">
        <v>6.9036445839185e-13</v>
      </c>
      <c r="O55" s="4">
        <v>6.3060901405603e-13</v>
      </c>
      <c r="P55" s="4">
        <v>6.9036444666601e-13</v>
      </c>
      <c r="Q55" s="4">
        <v>6.9036452545252e-13</v>
      </c>
      <c r="R55" s="4">
        <v>7.5555044237806e-13</v>
      </c>
      <c r="S55" s="4">
        <v>7.5555043365622e-13</v>
      </c>
      <c r="T55" s="4">
        <v>7.555504431336e-13</v>
      </c>
      <c r="U55" s="4">
        <v>6.3060901764367e-13</v>
      </c>
      <c r="V55" s="4">
        <v>6.639542153664e-13</v>
      </c>
      <c r="W55" s="4">
        <v>6.6395424031376e-13</v>
      </c>
      <c r="X55" s="4">
        <v>6.6395421623051e-13</v>
      </c>
      <c r="Y55" s="4">
        <v>6.9036444913024e-13</v>
      </c>
      <c r="Z55" s="4">
        <v>6.9036451346498e-13</v>
      </c>
      <c r="AA55" s="4">
        <v>6.9036454380699e-13</v>
      </c>
      <c r="AB55" s="3">
        <v>0.99999999984031</v>
      </c>
      <c r="AC55" s="3">
        <v>0.9999939511961</v>
      </c>
      <c r="AD55" s="3">
        <v>0.00030615445923231</v>
      </c>
      <c r="AE55" s="4">
        <v>-7.7624296542382e-19</v>
      </c>
      <c r="AF55" s="4">
        <v>2.3551390003291e-18</v>
      </c>
      <c r="AG55" s="4">
        <v>2.1526212863357e-18</v>
      </c>
      <c r="AH55" s="4">
        <v>5.0529852502258e-19</v>
      </c>
      <c r="AI55" s="4">
        <v>-1.3348163141877e-19</v>
      </c>
      <c r="AJ55" s="4">
        <v>7.1884178080916e-19</v>
      </c>
      <c r="AK55" s="4">
        <v>1.1488231319705e-19</v>
      </c>
      <c r="AL55" s="4">
        <v>7.1110872792935e-19</v>
      </c>
      <c r="AM55" s="4">
        <v>1.1283784044902e-18</v>
      </c>
      <c r="AN55" s="4">
        <v>-6.5055599856796e-20</v>
      </c>
      <c r="AO55" s="4">
        <v>8.1217783267987e-19</v>
      </c>
      <c r="AP55" s="4">
        <v>3.7291832158517e-20</v>
      </c>
      <c r="AQ55" s="4">
        <v>5.1392538894383e-19</v>
      </c>
      <c r="AR55" s="4">
        <v>-3.7766087737196e-18</v>
      </c>
      <c r="AS55" s="4">
        <v>-1.7396641746115e-19</v>
      </c>
      <c r="AT55" s="4">
        <v>1.8574401240431e-19</v>
      </c>
      <c r="AU55" s="4">
        <v>-6.0186884558062e-19</v>
      </c>
      <c r="AV55" s="4">
        <v>-6.8674257151253e-19</v>
      </c>
      <c r="AW55" s="4">
        <v>-1.340669603042e-19</v>
      </c>
      <c r="AX55" s="4">
        <v>1.7302240723892e-18</v>
      </c>
      <c r="AY55" s="4">
        <v>3.1040258557547e-19</v>
      </c>
      <c r="AZ55" s="4">
        <v>-1.2231260860371e-18</v>
      </c>
      <c r="BA55" s="4">
        <v>2.1797893180765e-18</v>
      </c>
      <c r="BB55" s="4">
        <v>-6.9539567020721e-18</v>
      </c>
      <c r="BC55" s="3">
        <v>15964495.865672</v>
      </c>
      <c r="BD55" s="3">
        <v>3989122.6252504</v>
      </c>
      <c r="BE55" s="3">
        <v>-0.00010732253097079</v>
      </c>
      <c r="BF55" s="3">
        <v>0.00032719119858571</v>
      </c>
      <c r="BG55" s="3">
        <v>0.00011430316035122</v>
      </c>
      <c r="BH55" s="3">
        <v>-0.00015573987552795</v>
      </c>
      <c r="BI55" s="3">
        <v>60.044435890295</v>
      </c>
      <c r="BJ55" s="3">
        <v>30.023855700876</v>
      </c>
      <c r="BK55" s="3">
        <v>54.479675173634</v>
      </c>
    </row>
    <row r="56" spans="1:63">
      <c r="A56" s="3">
        <v>8891397.0501949</v>
      </c>
      <c r="B56" s="4">
        <v>7.8213054928101e-5</v>
      </c>
      <c r="C56" s="4">
        <f t="shared" si="1"/>
        <v>9.35882480214338e-12</v>
      </c>
      <c r="D56" s="4">
        <v>6.3058110400579e-13</v>
      </c>
      <c r="E56" s="4">
        <v>7.5442701779747e-13</v>
      </c>
      <c r="F56" s="4">
        <v>7.5442701580499e-13</v>
      </c>
      <c r="G56" s="4">
        <v>7.5442700315259e-13</v>
      </c>
      <c r="H56" s="4">
        <v>6.3058107090654e-13</v>
      </c>
      <c r="I56" s="4">
        <v>6.3058108190496e-13</v>
      </c>
      <c r="J56" s="4">
        <v>6.3058107675509e-13</v>
      </c>
      <c r="K56" s="4">
        <v>6.6354845227627e-13</v>
      </c>
      <c r="L56" s="4">
        <v>6.6354847668286e-13</v>
      </c>
      <c r="M56" s="4">
        <v>6.6354843998038e-13</v>
      </c>
      <c r="N56" s="4">
        <v>6.8956815069748e-13</v>
      </c>
      <c r="O56" s="4">
        <v>6.3058107141618e-13</v>
      </c>
      <c r="P56" s="4">
        <v>6.8956813740077e-13</v>
      </c>
      <c r="Q56" s="4">
        <v>6.8956822648201e-13</v>
      </c>
      <c r="R56" s="4">
        <v>7.5442700000392e-13</v>
      </c>
      <c r="S56" s="4">
        <v>7.5442699046017e-13</v>
      </c>
      <c r="T56" s="4">
        <v>7.5442700106215e-13</v>
      </c>
      <c r="U56" s="4">
        <v>6.3058107552785e-13</v>
      </c>
      <c r="V56" s="4">
        <v>6.6354845590131e-13</v>
      </c>
      <c r="W56" s="4">
        <v>6.6354848464361e-13</v>
      </c>
      <c r="X56" s="4">
        <v>6.6354845779109e-13</v>
      </c>
      <c r="Y56" s="4">
        <v>6.8956813982129e-13</v>
      </c>
      <c r="Z56" s="4">
        <v>6.8956821235955e-13</v>
      </c>
      <c r="AA56" s="4">
        <v>6.8956824766893e-13</v>
      </c>
      <c r="AB56" s="3">
        <v>0.99999999985694</v>
      </c>
      <c r="AC56" s="3">
        <v>0.99999388258543</v>
      </c>
      <c r="AD56" s="3">
        <v>0.00031364905021305</v>
      </c>
      <c r="AE56" s="4">
        <v>-7.9474073198236e-19</v>
      </c>
      <c r="AF56" s="4">
        <v>2.2512809816264e-18</v>
      </c>
      <c r="AG56" s="4">
        <v>2.1010554686555e-18</v>
      </c>
      <c r="AH56" s="4">
        <v>5.3230674412823e-19</v>
      </c>
      <c r="AI56" s="4">
        <v>-1.3910303160584e-19</v>
      </c>
      <c r="AJ56" s="4">
        <v>7.0970408540641e-19</v>
      </c>
      <c r="AK56" s="4">
        <v>1.1194856513003e-19</v>
      </c>
      <c r="AL56" s="4">
        <v>7.051381724956e-19</v>
      </c>
      <c r="AM56" s="4">
        <v>1.2768806808854e-18</v>
      </c>
      <c r="AN56" s="4">
        <v>-6.6464285769242e-20</v>
      </c>
      <c r="AO56" s="4">
        <v>7.9482608792616e-19</v>
      </c>
      <c r="AP56" s="4">
        <v>4.2281204182422e-20</v>
      </c>
      <c r="AQ56" s="4">
        <v>5.1484039813329e-19</v>
      </c>
      <c r="AR56" s="4">
        <v>-3.7240659551199e-18</v>
      </c>
      <c r="AS56" s="4">
        <v>-1.4622351667611e-19</v>
      </c>
      <c r="AT56" s="4">
        <v>1.6955936041194e-19</v>
      </c>
      <c r="AU56" s="4">
        <v>-5.6609573900371e-19</v>
      </c>
      <c r="AV56" s="4">
        <v>-6.9402549972882e-19</v>
      </c>
      <c r="AW56" s="4">
        <v>-1.1551676991537e-19</v>
      </c>
      <c r="AX56" s="4">
        <v>1.6208786602113e-18</v>
      </c>
      <c r="AY56" s="4">
        <v>2.8110510407816e-19</v>
      </c>
      <c r="AZ56" s="4">
        <v>-1.1682324855689e-18</v>
      </c>
      <c r="BA56" s="4">
        <v>2.1518284873096e-18</v>
      </c>
      <c r="BB56" s="4">
        <v>-6.8888168948074e-18</v>
      </c>
      <c r="BC56" s="3">
        <v>15960180.984599</v>
      </c>
      <c r="BD56" s="3">
        <v>3987803.7846851</v>
      </c>
      <c r="BE56" s="3">
        <v>-0.00010567283519312</v>
      </c>
      <c r="BF56" s="3">
        <v>0.00033624053723301</v>
      </c>
      <c r="BG56" s="3">
        <v>0.00011949209563493</v>
      </c>
      <c r="BH56" s="3">
        <v>-0.0001523650167004</v>
      </c>
      <c r="BI56" s="3">
        <v>60.044440810757</v>
      </c>
      <c r="BJ56" s="3">
        <v>30.02386595106</v>
      </c>
      <c r="BK56" s="3">
        <v>54.396154212049</v>
      </c>
    </row>
    <row r="57" spans="1:63">
      <c r="A57" s="3">
        <v>9976311.5748447</v>
      </c>
      <c r="B57" s="4">
        <v>8.7682118069828e-5</v>
      </c>
      <c r="C57" s="4">
        <f t="shared" si="1"/>
        <v>9.33141180383576e-12</v>
      </c>
      <c r="D57" s="4">
        <v>6.3054976921316e-13</v>
      </c>
      <c r="E57" s="4">
        <v>7.5318015247428e-13</v>
      </c>
      <c r="F57" s="4">
        <v>7.5318015048405e-13</v>
      </c>
      <c r="G57" s="4">
        <v>7.5318013712827e-13</v>
      </c>
      <c r="H57" s="4">
        <v>6.3054973238307e-13</v>
      </c>
      <c r="I57" s="4">
        <v>6.3054974446697e-13</v>
      </c>
      <c r="J57" s="4">
        <v>6.3054973896082e-13</v>
      </c>
      <c r="K57" s="4">
        <v>6.6308830286507e-13</v>
      </c>
      <c r="L57" s="4">
        <v>6.6308833070023e-13</v>
      </c>
      <c r="M57" s="4">
        <v>6.6308828883379e-13</v>
      </c>
      <c r="N57" s="4">
        <v>6.8869603563634e-13</v>
      </c>
      <c r="O57" s="4">
        <v>6.3054973292171e-13</v>
      </c>
      <c r="P57" s="4">
        <v>6.8869602052721e-13</v>
      </c>
      <c r="Q57" s="4">
        <v>6.8869612132978e-13</v>
      </c>
      <c r="R57" s="4">
        <v>7.5318013300492e-13</v>
      </c>
      <c r="S57" s="4">
        <v>7.531801225938e-13</v>
      </c>
      <c r="T57" s="4">
        <v>7.5318013445339e-13</v>
      </c>
      <c r="U57" s="4">
        <v>6.3054973764332e-13</v>
      </c>
      <c r="V57" s="4">
        <v>6.6308830616087e-13</v>
      </c>
      <c r="W57" s="4">
        <v>6.6308833936346e-13</v>
      </c>
      <c r="X57" s="4">
        <v>6.6308830941504e-13</v>
      </c>
      <c r="Y57" s="4">
        <v>6.886960228202e-13</v>
      </c>
      <c r="Z57" s="4">
        <v>6.8869610463613e-13</v>
      </c>
      <c r="AA57" s="4">
        <v>6.886961458832e-13</v>
      </c>
      <c r="AB57" s="3">
        <v>0.99999999987169</v>
      </c>
      <c r="AC57" s="3">
        <v>0.99999380365766</v>
      </c>
      <c r="AD57" s="3">
        <v>0.00032209067155743</v>
      </c>
      <c r="AE57" s="4">
        <v>-8.1425419839397e-19</v>
      </c>
      <c r="AF57" s="4">
        <v>2.1394845233474e-18</v>
      </c>
      <c r="AG57" s="4">
        <v>2.0453715958791e-18</v>
      </c>
      <c r="AH57" s="4">
        <v>5.6291854336401e-19</v>
      </c>
      <c r="AI57" s="4">
        <v>-1.4561253748117e-19</v>
      </c>
      <c r="AJ57" s="4">
        <v>6.9838133768398e-19</v>
      </c>
      <c r="AK57" s="4">
        <v>1.0825814874792e-19</v>
      </c>
      <c r="AL57" s="4">
        <v>6.9865263416394e-19</v>
      </c>
      <c r="AM57" s="4">
        <v>1.4462214578352e-18</v>
      </c>
      <c r="AN57" s="4">
        <v>-6.825097818661e-20</v>
      </c>
      <c r="AO57" s="4">
        <v>7.7495112208859e-19</v>
      </c>
      <c r="AP57" s="4">
        <v>4.7594376871514e-20</v>
      </c>
      <c r="AQ57" s="4">
        <v>5.1473434559922e-19</v>
      </c>
      <c r="AR57" s="4">
        <v>-3.6632706481182e-18</v>
      </c>
      <c r="AS57" s="4">
        <v>-1.1621469766719e-19</v>
      </c>
      <c r="AT57" s="4">
        <v>1.5170370137533e-19</v>
      </c>
      <c r="AU57" s="4">
        <v>-5.2647129957711e-19</v>
      </c>
      <c r="AV57" s="4">
        <v>-7.0277274386386e-19</v>
      </c>
      <c r="AW57" s="4">
        <v>-9.4869175920059e-20</v>
      </c>
      <c r="AX57" s="4">
        <v>1.4964193421873e-18</v>
      </c>
      <c r="AY57" s="4">
        <v>2.4639456650131e-19</v>
      </c>
      <c r="AZ57" s="4">
        <v>-1.1090993124164e-18</v>
      </c>
      <c r="BA57" s="4">
        <v>2.1182117296709e-18</v>
      </c>
      <c r="BB57" s="4">
        <v>-6.8104192668899e-18</v>
      </c>
      <c r="BC57" s="3">
        <v>15955344.046048</v>
      </c>
      <c r="BD57" s="3">
        <v>3986326.0938757</v>
      </c>
      <c r="BE57" s="3">
        <v>-0.00010380445253078</v>
      </c>
      <c r="BF57" s="3">
        <v>0.00034636432143448</v>
      </c>
      <c r="BG57" s="3">
        <v>0.00012531025782196</v>
      </c>
      <c r="BH57" s="3">
        <v>-0.00014858949352543</v>
      </c>
      <c r="BI57" s="3">
        <v>60.04444745892</v>
      </c>
      <c r="BJ57" s="3">
        <v>30.023876880634</v>
      </c>
      <c r="BK57" s="3">
        <v>54.305194846111</v>
      </c>
    </row>
    <row r="58" spans="1:63">
      <c r="A58" s="3">
        <v>11193605.692842</v>
      </c>
      <c r="B58" s="4">
        <v>9.8288525572135e-5</v>
      </c>
      <c r="C58" s="4">
        <f t="shared" si="1"/>
        <v>9.30134840999463e-12</v>
      </c>
      <c r="D58" s="4">
        <v>6.3051904128129e-13</v>
      </c>
      <c r="E58" s="4">
        <v>7.5180030771245e-13</v>
      </c>
      <c r="F58" s="4">
        <v>7.5180030578022e-13</v>
      </c>
      <c r="G58" s="4">
        <v>7.5180029183105e-13</v>
      </c>
      <c r="H58" s="4">
        <v>6.3051900033148e-13</v>
      </c>
      <c r="I58" s="4">
        <v>6.3051901357307e-13</v>
      </c>
      <c r="J58" s="4">
        <v>6.3051900773337e-13</v>
      </c>
      <c r="K58" s="4">
        <v>6.6256626868258e-13</v>
      </c>
      <c r="L58" s="4">
        <v>6.6256630052129e-13</v>
      </c>
      <c r="M58" s="4">
        <v>6.6256625264131e-13</v>
      </c>
      <c r="N58" s="4">
        <v>6.8772707783351e-13</v>
      </c>
      <c r="O58" s="4">
        <v>6.3051900089371e-13</v>
      </c>
      <c r="P58" s="4">
        <v>6.877270606223e-13</v>
      </c>
      <c r="Q58" s="4">
        <v>6.8772717478671e-13</v>
      </c>
      <c r="R58" s="4">
        <v>7.5180028647346e-13</v>
      </c>
      <c r="S58" s="4">
        <v>7.51800275155e-13</v>
      </c>
      <c r="T58" s="4">
        <v>7.5180028842194e-13</v>
      </c>
      <c r="U58" s="4">
        <v>6.3051900632753e-13</v>
      </c>
      <c r="V58" s="4">
        <v>6.6256627143772e-13</v>
      </c>
      <c r="W58" s="4">
        <v>6.6256630990383e-13</v>
      </c>
      <c r="X58" s="4">
        <v>6.6256627648397e-13</v>
      </c>
      <c r="Y58" s="4">
        <v>6.8772706267721e-13</v>
      </c>
      <c r="Z58" s="4">
        <v>6.8772715498839e-13</v>
      </c>
      <c r="AA58" s="4">
        <v>6.8772720336693e-13</v>
      </c>
      <c r="AB58" s="3">
        <v>0.99999999988476</v>
      </c>
      <c r="AC58" s="3">
        <v>0.99999371259411</v>
      </c>
      <c r="AD58" s="3">
        <v>0.00033159887129398</v>
      </c>
      <c r="AE58" s="4">
        <v>-8.3445083770447e-19</v>
      </c>
      <c r="AF58" s="4">
        <v>2.0198618919623e-18</v>
      </c>
      <c r="AG58" s="4">
        <v>1.9855854183669e-18</v>
      </c>
      <c r="AH58" s="4">
        <v>5.9763399784052e-19</v>
      </c>
      <c r="AI58" s="4">
        <v>-1.531927011751e-19</v>
      </c>
      <c r="AJ58" s="4">
        <v>6.8436056011075e-19</v>
      </c>
      <c r="AK58" s="4">
        <v>1.0363257333812e-19</v>
      </c>
      <c r="AL58" s="4">
        <v>6.9162396122521e-19</v>
      </c>
      <c r="AM58" s="4">
        <v>1.6394659650948e-18</v>
      </c>
      <c r="AN58" s="4">
        <v>-7.0511439229956e-20</v>
      </c>
      <c r="AO58" s="4">
        <v>7.5200100937673e-19</v>
      </c>
      <c r="AP58" s="4">
        <v>5.3205481716846e-20</v>
      </c>
      <c r="AQ58" s="4">
        <v>5.1323951411733e-19</v>
      </c>
      <c r="AR58" s="4">
        <v>-3.5933466177543e-18</v>
      </c>
      <c r="AS58" s="4">
        <v>-8.3915267049194e-20</v>
      </c>
      <c r="AT58" s="4">
        <v>1.3202963672844e-19</v>
      </c>
      <c r="AU58" s="4">
        <v>-4.8265875714102e-19</v>
      </c>
      <c r="AV58" s="4">
        <v>-7.1329733415285e-19</v>
      </c>
      <c r="AW58" s="4">
        <v>-7.2025717877285e-20</v>
      </c>
      <c r="AX58" s="4">
        <v>1.3546067858992e-18</v>
      </c>
      <c r="AY58" s="4">
        <v>2.0521005661359e-19</v>
      </c>
      <c r="AZ58" s="4">
        <v>-1.0457239679196e-18</v>
      </c>
      <c r="BA58" s="4">
        <v>2.0778162159953e-18</v>
      </c>
      <c r="BB58" s="4">
        <v>-6.7164559063101e-18</v>
      </c>
      <c r="BC58" s="3">
        <v>15949922.517369</v>
      </c>
      <c r="BD58" s="3">
        <v>3984670.6830975</v>
      </c>
      <c r="BE58" s="3">
        <v>-0.00010168693035685</v>
      </c>
      <c r="BF58" s="3">
        <v>0.00035768679814341</v>
      </c>
      <c r="BG58" s="3">
        <v>0.00013183351013398</v>
      </c>
      <c r="BH58" s="3">
        <v>-0.00014437915545184</v>
      </c>
      <c r="BI58" s="3">
        <v>60.044456243171</v>
      </c>
      <c r="BJ58" s="3">
        <v>30.02388843714</v>
      </c>
      <c r="BK58" s="3">
        <v>54.206506359034</v>
      </c>
    </row>
    <row r="59" spans="1:63">
      <c r="A59" s="3">
        <v>12559432.157548</v>
      </c>
      <c r="B59" s="3">
        <v>0.00011016680127551</v>
      </c>
      <c r="C59" s="4">
        <f t="shared" si="1"/>
        <v>9.26842824448781e-12</v>
      </c>
      <c r="D59" s="4">
        <v>6.3050836086841e-13</v>
      </c>
      <c r="E59" s="4">
        <v>7.502768385908e-13</v>
      </c>
      <c r="F59" s="4">
        <v>7.5027683679014e-13</v>
      </c>
      <c r="G59" s="4">
        <v>7.5027682241418e-13</v>
      </c>
      <c r="H59" s="4">
        <v>6.3050831537687e-13</v>
      </c>
      <c r="I59" s="4">
        <v>6.3050832984361e-13</v>
      </c>
      <c r="J59" s="4">
        <v>6.305083237114e-13</v>
      </c>
      <c r="K59" s="4">
        <v>6.6197537294696e-13</v>
      </c>
      <c r="L59" s="4">
        <v>6.6197540948965e-13</v>
      </c>
      <c r="M59" s="4">
        <v>6.6197535457104e-13</v>
      </c>
      <c r="N59" s="4">
        <v>6.8665116493173e-13</v>
      </c>
      <c r="O59" s="4">
        <v>6.3050831595409e-13</v>
      </c>
      <c r="P59" s="4">
        <v>6.8665114526752e-13</v>
      </c>
      <c r="Q59" s="4">
        <v>6.8665127468388e-13</v>
      </c>
      <c r="R59" s="4">
        <v>7.5027681549929e-13</v>
      </c>
      <c r="S59" s="4">
        <v>7.5027680324132e-13</v>
      </c>
      <c r="T59" s="4">
        <v>7.5027681808492e-13</v>
      </c>
      <c r="U59" s="4">
        <v>6.3050832222227e-13</v>
      </c>
      <c r="V59" s="4">
        <v>6.6197537488876e-13</v>
      </c>
      <c r="W59" s="4">
        <v>6.6197541959345e-13</v>
      </c>
      <c r="X59" s="4">
        <v>6.6197538226492e-13</v>
      </c>
      <c r="Y59" s="4">
        <v>6.8665114694071e-13</v>
      </c>
      <c r="Z59" s="4">
        <v>6.8665125112696e-13</v>
      </c>
      <c r="AA59" s="4">
        <v>6.8665130811349e-13</v>
      </c>
      <c r="AB59" s="3">
        <v>0.99999999989633</v>
      </c>
      <c r="AC59" s="3">
        <v>0.99999360720339</v>
      </c>
      <c r="AD59" s="3">
        <v>0.00034230767638701</v>
      </c>
      <c r="AE59" s="4">
        <v>-8.5485395331594e-19</v>
      </c>
      <c r="AF59" s="4">
        <v>1.8927753034906e-18</v>
      </c>
      <c r="AG59" s="4">
        <v>1.9218002221775e-18</v>
      </c>
      <c r="AH59" s="4">
        <v>6.3704250584009e-19</v>
      </c>
      <c r="AI59" s="4">
        <v>-1.6207112431812e-19</v>
      </c>
      <c r="AJ59" s="4">
        <v>6.6703431961901e-19</v>
      </c>
      <c r="AK59" s="4">
        <v>9.7833887151117e-20</v>
      </c>
      <c r="AL59" s="4">
        <v>6.8394147988195e-19</v>
      </c>
      <c r="AM59" s="4">
        <v>1.8601161878703e-18</v>
      </c>
      <c r="AN59" s="4">
        <v>-7.3366407551649e-20</v>
      </c>
      <c r="AO59" s="4">
        <v>7.2522331168405e-19</v>
      </c>
      <c r="AP59" s="4">
        <v>5.9073000801196e-20</v>
      </c>
      <c r="AQ59" s="4">
        <v>5.0994658809327e-19</v>
      </c>
      <c r="AR59" s="4">
        <v>-3.5135301585661e-18</v>
      </c>
      <c r="AS59" s="4">
        <v>-4.935252794741e-20</v>
      </c>
      <c r="AT59" s="4">
        <v>1.1038049080528e-19</v>
      </c>
      <c r="AU59" s="4">
        <v>-4.3430285184489e-19</v>
      </c>
      <c r="AV59" s="4">
        <v>-7.2594236844856e-19</v>
      </c>
      <c r="AW59" s="4">
        <v>-4.6941083867034e-20</v>
      </c>
      <c r="AX59" s="4">
        <v>1.1926593628114e-18</v>
      </c>
      <c r="AY59" s="4">
        <v>1.563133551911e-19</v>
      </c>
      <c r="AZ59" s="4">
        <v>-9.7819756457128e-19</v>
      </c>
      <c r="BA59" s="4">
        <v>2.0291487136434e-18</v>
      </c>
      <c r="BB59" s="4">
        <v>-6.60478976162e-18</v>
      </c>
      <c r="BC59" s="3">
        <v>15943846.523842</v>
      </c>
      <c r="BD59" s="3">
        <v>3982816.5004246</v>
      </c>
      <c r="BE59" s="4">
        <v>-9.92853206373e-5</v>
      </c>
      <c r="BF59" s="3">
        <v>0.00037034586272596</v>
      </c>
      <c r="BG59" s="3">
        <v>0.0001391467935993</v>
      </c>
      <c r="BH59" s="3">
        <v>-0.00013970137363416</v>
      </c>
      <c r="BI59" s="3">
        <v>60.044467683278</v>
      </c>
      <c r="BJ59" s="3">
        <v>30.023900514769</v>
      </c>
      <c r="BK59" s="3">
        <v>54.099884272634</v>
      </c>
    </row>
    <row r="60" spans="1:63">
      <c r="A60" s="3">
        <v>14091914.656323</v>
      </c>
      <c r="B60" s="3">
        <v>0.00012346694817172</v>
      </c>
      <c r="C60" s="4">
        <f t="shared" si="1"/>
        <v>9.23245415607013e-12</v>
      </c>
      <c r="D60" s="4">
        <v>6.3049986640801e-13</v>
      </c>
      <c r="E60" s="4">
        <v>7.486211370042e-13</v>
      </c>
      <c r="F60" s="4">
        <v>7.4862113543021e-13</v>
      </c>
      <c r="G60" s="4">
        <v>7.4862112086634e-13</v>
      </c>
      <c r="H60" s="4">
        <v>6.304998159199e-13</v>
      </c>
      <c r="I60" s="4">
        <v>6.3049983167073e-13</v>
      </c>
      <c r="J60" s="4">
        <v>6.3049982531075e-13</v>
      </c>
      <c r="K60" s="4">
        <v>6.6131394389514e-13</v>
      </c>
      <c r="L60" s="4">
        <v>6.6131398600255e-13</v>
      </c>
      <c r="M60" s="4">
        <v>6.6131392279975e-13</v>
      </c>
      <c r="N60" s="4">
        <v>6.8546451713326e-13</v>
      </c>
      <c r="O60" s="4">
        <v>6.3049981649887e-13</v>
      </c>
      <c r="P60" s="4">
        <v>6.8546449458645e-13</v>
      </c>
      <c r="Q60" s="4">
        <v>6.8546464143514e-13</v>
      </c>
      <c r="R60" s="4">
        <v>7.4862111199316e-13</v>
      </c>
      <c r="S60" s="4">
        <v>7.4862109877399e-13</v>
      </c>
      <c r="T60" s="4">
        <v>7.4862111538663e-13</v>
      </c>
      <c r="U60" s="4">
        <v>6.3049982374861e-13</v>
      </c>
      <c r="V60" s="4">
        <v>6.6131394467568e-13</v>
      </c>
      <c r="W60" s="4">
        <v>6.6131399680892e-13</v>
      </c>
      <c r="X60" s="4">
        <v>6.6131395505579e-13</v>
      </c>
      <c r="Y60" s="4">
        <v>6.8546449569348e-13</v>
      </c>
      <c r="Z60" s="4">
        <v>6.8546461331709e-13</v>
      </c>
      <c r="AA60" s="4">
        <v>6.8546468074674e-13</v>
      </c>
      <c r="AB60" s="3">
        <v>0.99999999990655</v>
      </c>
      <c r="AC60" s="3">
        <v>0.99999348477849</v>
      </c>
      <c r="AD60" s="3">
        <v>0.00035436715276962</v>
      </c>
      <c r="AE60" s="4">
        <v>-8.7476065657513e-19</v>
      </c>
      <c r="AF60" s="4">
        <v>1.7588981458315e-18</v>
      </c>
      <c r="AG60" s="4">
        <v>1.854262198195e-18</v>
      </c>
      <c r="AH60" s="4">
        <v>6.8182995734675e-19</v>
      </c>
      <c r="AI60" s="4">
        <v>-1.7252578558288e-19</v>
      </c>
      <c r="AJ60" s="4">
        <v>6.4566930016166e-19</v>
      </c>
      <c r="AK60" s="4">
        <v>9.0569944303978e-20</v>
      </c>
      <c r="AL60" s="4">
        <v>6.7538473287753e-19</v>
      </c>
      <c r="AM60" s="4">
        <v>2.1121596364413e-18</v>
      </c>
      <c r="AN60" s="4">
        <v>-7.6969921058277e-20</v>
      </c>
      <c r="AO60" s="4">
        <v>6.9360490223588e-19</v>
      </c>
      <c r="AP60" s="4">
        <v>6.5133083506572e-20</v>
      </c>
      <c r="AQ60" s="4">
        <v>5.0437760277151e-19</v>
      </c>
      <c r="AR60" s="4">
        <v>-3.4233541237842e-18</v>
      </c>
      <c r="AS60" s="4">
        <v>-1.2615391270038e-20</v>
      </c>
      <c r="AT60" s="4">
        <v>8.6588358623597e-20</v>
      </c>
      <c r="AU60" s="4">
        <v>-3.8104296395762e-19</v>
      </c>
      <c r="AV60" s="4">
        <v>-7.4110165978612e-19</v>
      </c>
      <c r="AW60" s="4">
        <v>-1.9628451105216e-20</v>
      </c>
      <c r="AX60" s="4">
        <v>1.0073124467272e-18</v>
      </c>
      <c r="AY60" s="4">
        <v>9.8321461377171e-20</v>
      </c>
      <c r="AZ60" s="4">
        <v>-9.0671285932992e-19</v>
      </c>
      <c r="BA60" s="4">
        <v>1.9704508582232e-18</v>
      </c>
      <c r="BB60" s="4">
        <v>-6.4734063270914e-18</v>
      </c>
      <c r="BC60" s="3">
        <v>15937037.995879</v>
      </c>
      <c r="BD60" s="3">
        <v>3980740.0638839</v>
      </c>
      <c r="BE60" s="4">
        <v>-9.6559386550223e-5</v>
      </c>
      <c r="BF60" s="3">
        <v>0.00038449443714088</v>
      </c>
      <c r="BG60" s="3">
        <v>0.00014734518445773</v>
      </c>
      <c r="BH60" s="3">
        <v>-0.00013452812556167</v>
      </c>
      <c r="BI60" s="3">
        <v>60.04448237173</v>
      </c>
      <c r="BJ60" s="3">
        <v>30.023912962981</v>
      </c>
      <c r="BK60" s="3">
        <v>53.98524487908</v>
      </c>
    </row>
    <row r="61" spans="1:63">
      <c r="A61" s="3">
        <v>15811388.300842</v>
      </c>
      <c r="B61" s="3">
        <v>0.00013835614813582</v>
      </c>
      <c r="C61" s="4">
        <f t="shared" si="1"/>
        <v>9.19322499262381e-12</v>
      </c>
      <c r="D61" s="4">
        <v>6.3047455107122e-13</v>
      </c>
      <c r="E61" s="4">
        <v>7.4682206164076e-13</v>
      </c>
      <c r="F61" s="4">
        <v>7.4682206041411e-13</v>
      </c>
      <c r="G61" s="4">
        <v>7.4682204599255e-13</v>
      </c>
      <c r="H61" s="4">
        <v>6.3047449510028e-13</v>
      </c>
      <c r="I61" s="4">
        <v>6.3047451218101e-13</v>
      </c>
      <c r="J61" s="4">
        <v>6.3047450568829e-13</v>
      </c>
      <c r="K61" s="4">
        <v>6.6056710743442e-13</v>
      </c>
      <c r="L61" s="4">
        <v>6.60567156174e-13</v>
      </c>
      <c r="M61" s="4">
        <v>6.6056708316252e-13</v>
      </c>
      <c r="N61" s="4">
        <v>6.841700265785e-13</v>
      </c>
      <c r="O61" s="4">
        <v>6.3047449566127e-13</v>
      </c>
      <c r="P61" s="4">
        <v>6.841700006169e-13</v>
      </c>
      <c r="Q61" s="4">
        <v>6.8417016741465e-13</v>
      </c>
      <c r="R61" s="4">
        <v>7.4682203466478e-13</v>
      </c>
      <c r="S61" s="4">
        <v>7.4682202047616e-13</v>
      </c>
      <c r="T61" s="4">
        <v>7.4682203907792e-13</v>
      </c>
      <c r="U61" s="4">
        <v>6.3047450407107e-13</v>
      </c>
      <c r="V61" s="4">
        <v>6.6056710661449e-13</v>
      </c>
      <c r="W61" s="4">
        <v>6.6056716763627e-13</v>
      </c>
      <c r="X61" s="4">
        <v>6.6056712083945e-13</v>
      </c>
      <c r="Y61" s="4">
        <v>6.8417000092341e-13</v>
      </c>
      <c r="Z61" s="4">
        <v>6.8417013375137e-13</v>
      </c>
      <c r="AA61" s="4">
        <v>6.8417021391364e-13</v>
      </c>
      <c r="AB61" s="3">
        <v>0.99999999991555</v>
      </c>
      <c r="AC61" s="3">
        <v>0.99999334210239</v>
      </c>
      <c r="AD61" s="3">
        <v>0.00036794511331657</v>
      </c>
      <c r="AE61" s="4">
        <v>-8.9314608077333e-19</v>
      </c>
      <c r="AF61" s="4">
        <v>1.6192842952387e-18</v>
      </c>
      <c r="AG61" s="4">
        <v>1.783384453301e-18</v>
      </c>
      <c r="AH61" s="4">
        <v>7.3281019547793e-19</v>
      </c>
      <c r="AI61" s="4">
        <v>-1.8491776979292e-19</v>
      </c>
      <c r="AJ61" s="4">
        <v>6.1936883327441e-19</v>
      </c>
      <c r="AK61" s="4">
        <v>8.1501222051342e-20</v>
      </c>
      <c r="AL61" s="4">
        <v>6.6562858784959e-19</v>
      </c>
      <c r="AM61" s="4">
        <v>2.4000638762051e-18</v>
      </c>
      <c r="AN61" s="4">
        <v>-8.1526050306997e-20</v>
      </c>
      <c r="AO61" s="4">
        <v>6.5579853518293e-19</v>
      </c>
      <c r="AP61" s="4">
        <v>7.1288585248588e-20</v>
      </c>
      <c r="AQ61" s="4">
        <v>4.9586786275356e-19</v>
      </c>
      <c r="AR61" s="4">
        <v>-3.3229046440575e-18</v>
      </c>
      <c r="AS61" s="4">
        <v>2.6123033988632e-20</v>
      </c>
      <c r="AT61" s="4">
        <v>6.0472211297075e-20</v>
      </c>
      <c r="AU61" s="4">
        <v>-3.2248541851603e-19</v>
      </c>
      <c r="AV61" s="4">
        <v>-7.5930325327593e-19</v>
      </c>
      <c r="AW61" s="4">
        <v>9.9072873811078e-21</v>
      </c>
      <c r="AX61" s="4">
        <v>7.9494322249891e-19</v>
      </c>
      <c r="AY61" s="4">
        <v>2.974831443769e-20</v>
      </c>
      <c r="AZ61" s="4">
        <v>-8.3157062173906e-19</v>
      </c>
      <c r="BA61" s="4">
        <v>1.8997653609821e-18</v>
      </c>
      <c r="BB61" s="4">
        <v>-6.3200949041396e-18</v>
      </c>
      <c r="BC61" s="3">
        <v>15929409.740331</v>
      </c>
      <c r="BD61" s="3">
        <v>3978415.193378</v>
      </c>
      <c r="BE61" s="4">
        <v>-9.3462756189075e-5</v>
      </c>
      <c r="BF61" s="3">
        <v>0.00040030194522383</v>
      </c>
      <c r="BG61" s="3">
        <v>0.00015653510538893</v>
      </c>
      <c r="BH61" s="3">
        <v>-0.0001288728850559</v>
      </c>
      <c r="BI61" s="3">
        <v>60.04450088993</v>
      </c>
      <c r="BJ61" s="3">
        <v>30.023925558613</v>
      </c>
      <c r="BK61" s="3">
        <v>53.862663329357</v>
      </c>
    </row>
    <row r="62" spans="1:63">
      <c r="A62" s="3">
        <v>17740669.461679</v>
      </c>
      <c r="B62" s="3">
        <v>0.00015502052453803</v>
      </c>
      <c r="C62" s="4">
        <f t="shared" si="1"/>
        <v>9.15060957332984e-12</v>
      </c>
      <c r="D62" s="4">
        <v>6.3040944651862e-13</v>
      </c>
      <c r="E62" s="4">
        <v>7.4485294226991e-13</v>
      </c>
      <c r="F62" s="4">
        <v>7.4485294154115e-13</v>
      </c>
      <c r="G62" s="4">
        <v>7.4485292770666e-13</v>
      </c>
      <c r="H62" s="4">
        <v>6.3040938455104e-13</v>
      </c>
      <c r="I62" s="4">
        <v>6.3040940298845e-13</v>
      </c>
      <c r="J62" s="4">
        <v>6.3040939649614e-13</v>
      </c>
      <c r="K62" s="4">
        <v>6.5971927982942e-13</v>
      </c>
      <c r="L62" s="4">
        <v>6.5971933653585e-13</v>
      </c>
      <c r="M62" s="4">
        <v>6.597192518373e-13</v>
      </c>
      <c r="N62" s="4">
        <v>6.8276201125604e-13</v>
      </c>
      <c r="O62" s="4">
        <v>6.3040938506531e-13</v>
      </c>
      <c r="P62" s="4">
        <v>6.8276198121179e-13</v>
      </c>
      <c r="Q62" s="4">
        <v>6.8276217086382e-13</v>
      </c>
      <c r="R62" s="4">
        <v>7.4485291331157e-13</v>
      </c>
      <c r="S62" s="4">
        <v>7.4485289816192e-13</v>
      </c>
      <c r="T62" s="4">
        <v>7.4485291900651e-13</v>
      </c>
      <c r="U62" s="4">
        <v>6.304093948533e-13</v>
      </c>
      <c r="V62" s="4">
        <v>6.5971927685892e-13</v>
      </c>
      <c r="W62" s="4">
        <v>6.5971934857109e-13</v>
      </c>
      <c r="X62" s="4">
        <v>6.5971929597503e-13</v>
      </c>
      <c r="Y62" s="4">
        <v>6.8276198042276e-13</v>
      </c>
      <c r="Z62" s="4">
        <v>6.8276213045192e-13</v>
      </c>
      <c r="AA62" s="4">
        <v>6.8276222620997e-13</v>
      </c>
      <c r="AB62" s="3">
        <v>0.99999999992346</v>
      </c>
      <c r="AC62" s="3">
        <v>0.99999317519304</v>
      </c>
      <c r="AD62" s="3">
        <v>0.0003832291151444</v>
      </c>
      <c r="AE62" s="4">
        <v>-9.0869826386476e-19</v>
      </c>
      <c r="AF62" s="4">
        <v>1.4754038032229e-18</v>
      </c>
      <c r="AG62" s="4">
        <v>1.7098582277037e-18</v>
      </c>
      <c r="AH62" s="4">
        <v>7.9094945969702e-19</v>
      </c>
      <c r="AI62" s="4">
        <v>-1.9971569145535e-19</v>
      </c>
      <c r="AJ62" s="4">
        <v>5.8707739509739e-19</v>
      </c>
      <c r="AK62" s="4">
        <v>7.0193234683736e-20</v>
      </c>
      <c r="AL62" s="4">
        <v>6.5421448813413e-19</v>
      </c>
      <c r="AM62" s="4">
        <v>2.7288723374598e-18</v>
      </c>
      <c r="AN62" s="4">
        <v>-8.7290674999255e-20</v>
      </c>
      <c r="AO62" s="4">
        <v>6.1000917964517e-19</v>
      </c>
      <c r="AP62" s="4">
        <v>7.7421649852892e-20</v>
      </c>
      <c r="AQ62" s="4">
        <v>4.8362976641667e-19</v>
      </c>
      <c r="AR62" s="4">
        <v>-3.2130902911255e-18</v>
      </c>
      <c r="AS62" s="4">
        <v>6.6647911267053e-20</v>
      </c>
      <c r="AT62" s="4">
        <v>3.1825162654757e-20</v>
      </c>
      <c r="AU62" s="4">
        <v>-2.5824858309032e-19</v>
      </c>
      <c r="AV62" s="4">
        <v>-7.8118649704702e-19</v>
      </c>
      <c r="AW62" s="4">
        <v>4.1402934049715e-20</v>
      </c>
      <c r="AX62" s="4">
        <v>5.5122248695146e-19</v>
      </c>
      <c r="AY62" s="4">
        <v>-5.1156687745554e-20</v>
      </c>
      <c r="AZ62" s="4">
        <v>-7.5319237892037e-19</v>
      </c>
      <c r="BA62" s="4">
        <v>1.8149105648071e-18</v>
      </c>
      <c r="BB62" s="4">
        <v>-6.1431260968725e-18</v>
      </c>
      <c r="BC62" s="3">
        <v>15920864.622588</v>
      </c>
      <c r="BD62" s="3">
        <v>3975812.7831516</v>
      </c>
      <c r="BE62" s="4">
        <v>-8.9942698339219e-5</v>
      </c>
      <c r="BF62" s="3">
        <v>0.00041795604388383</v>
      </c>
      <c r="BG62" s="3">
        <v>0.00016683549241771</v>
      </c>
      <c r="BH62" s="3">
        <v>-0.00012272162777174</v>
      </c>
      <c r="BI62" s="3">
        <v>60.044523950665</v>
      </c>
      <c r="BJ62" s="3">
        <v>30.023938022815</v>
      </c>
      <c r="BK62" s="3">
        <v>53.732408197967</v>
      </c>
    </row>
    <row r="63" spans="1:63">
      <c r="A63" s="3">
        <v>19905358.527676</v>
      </c>
      <c r="B63" s="3">
        <v>0.00017366720578559</v>
      </c>
      <c r="C63" s="4">
        <f t="shared" si="1"/>
        <v>9.10444057069827e-12</v>
      </c>
      <c r="D63" s="4">
        <v>6.3031234384879e-13</v>
      </c>
      <c r="E63" s="4">
        <v>7.4269644084457e-13</v>
      </c>
      <c r="F63" s="4">
        <v>7.4269644079875e-13</v>
      </c>
      <c r="G63" s="4">
        <v>7.4269642813865e-13</v>
      </c>
      <c r="H63" s="4">
        <v>6.3031227535079e-13</v>
      </c>
      <c r="I63" s="4">
        <v>6.3031229514525e-13</v>
      </c>
      <c r="J63" s="4">
        <v>6.3031228883368e-13</v>
      </c>
      <c r="K63" s="4">
        <v>6.5875747504887e-13</v>
      </c>
      <c r="L63" s="4">
        <v>6.5875754140464e-13</v>
      </c>
      <c r="M63" s="4">
        <v>6.5875744268927e-13</v>
      </c>
      <c r="N63" s="4">
        <v>6.8121487755596e-13</v>
      </c>
      <c r="O63" s="4">
        <v>6.3031227577697e-13</v>
      </c>
      <c r="P63" s="4">
        <v>6.812148425795e-13</v>
      </c>
      <c r="Q63" s="4">
        <v>6.812150584371e-13</v>
      </c>
      <c r="R63" s="4">
        <v>7.4269640992145e-13</v>
      </c>
      <c r="S63" s="4">
        <v>7.4269639383921e-13</v>
      </c>
      <c r="T63" s="4">
        <v>7.4269641722175e-13</v>
      </c>
      <c r="U63" s="4">
        <v>6.3031228721244e-13</v>
      </c>
      <c r="V63" s="4">
        <v>6.5875746924462e-13</v>
      </c>
      <c r="W63" s="4">
        <v>6.5875755388313e-13</v>
      </c>
      <c r="X63" s="4">
        <v>6.5875749455042e-13</v>
      </c>
      <c r="Y63" s="4">
        <v>6.8121484032666e-13</v>
      </c>
      <c r="Z63" s="4">
        <v>6.8121500981255e-13</v>
      </c>
      <c r="AA63" s="4">
        <v>6.8121512475115e-13</v>
      </c>
      <c r="AB63" s="3">
        <v>0.99999999993038</v>
      </c>
      <c r="AC63" s="3">
        <v>0.999992979118</v>
      </c>
      <c r="AD63" s="3">
        <v>0.00040042838370793</v>
      </c>
      <c r="AE63" s="4">
        <v>-9.1972794409777e-19</v>
      </c>
      <c r="AF63" s="4">
        <v>1.3291689853688e-18</v>
      </c>
      <c r="AG63" s="4">
        <v>1.6346846686037e-18</v>
      </c>
      <c r="AH63" s="4">
        <v>8.5741781572353e-19</v>
      </c>
      <c r="AI63" s="4">
        <v>-2.1753331934491e-19</v>
      </c>
      <c r="AJ63" s="4">
        <v>5.475345172533e-19</v>
      </c>
      <c r="AK63" s="4">
        <v>5.6094731036741e-20</v>
      </c>
      <c r="AL63" s="4">
        <v>6.4030592499923e-19</v>
      </c>
      <c r="AM63" s="4">
        <v>3.1044006085062e-18</v>
      </c>
      <c r="AN63" s="4">
        <v>-9.4571412060912e-20</v>
      </c>
      <c r="AO63" s="4">
        <v>5.5379612450528e-19</v>
      </c>
      <c r="AP63" s="4">
        <v>8.3455175952306e-20</v>
      </c>
      <c r="AQ63" s="4">
        <v>4.6674893377922e-19</v>
      </c>
      <c r="AR63" s="4">
        <v>-3.0959193902112e-18</v>
      </c>
      <c r="AS63" s="4">
        <v>1.0870499608988e-19</v>
      </c>
      <c r="AT63" s="4">
        <v>3.9470798797954e-22</v>
      </c>
      <c r="AU63" s="4">
        <v>-1.879557447665e-19</v>
      </c>
      <c r="AV63" s="4">
        <v>-8.0751052040674e-19</v>
      </c>
      <c r="AW63" s="4">
        <v>7.4378522181787e-20</v>
      </c>
      <c r="AX63" s="4">
        <v>2.7103236467084e-19</v>
      </c>
      <c r="AY63" s="4">
        <v>-1.4600247207632e-19</v>
      </c>
      <c r="AZ63" s="4">
        <v>-6.7207199290358e-19</v>
      </c>
      <c r="BA63" s="4">
        <v>1.7133956434234e-18</v>
      </c>
      <c r="BB63" s="4">
        <v>-5.9417236640769e-18</v>
      </c>
      <c r="BC63" s="3">
        <v>15911294.414384</v>
      </c>
      <c r="BD63" s="3">
        <v>3972900.4730977</v>
      </c>
      <c r="BE63" s="4">
        <v>-8.5938900738587e-5</v>
      </c>
      <c r="BF63" s="3">
        <v>0.00043766432683924</v>
      </c>
      <c r="BG63" s="3">
        <v>0.00017837929854762</v>
      </c>
      <c r="BH63" s="3">
        <v>-0.00011610455743007</v>
      </c>
      <c r="BI63" s="3">
        <v>60.044552349729</v>
      </c>
      <c r="BJ63" s="3">
        <v>30.023949948093</v>
      </c>
      <c r="BK63" s="3">
        <v>53.594985526941</v>
      </c>
    </row>
    <row r="64" spans="1:63">
      <c r="A64" s="3">
        <v>22334179.607549</v>
      </c>
      <c r="B64" s="3">
        <v>0.00019452653299455</v>
      </c>
      <c r="C64" s="4">
        <f t="shared" si="1"/>
        <v>9.05455256390477e-12</v>
      </c>
      <c r="D64" s="4">
        <v>6.3015980139309e-13</v>
      </c>
      <c r="E64" s="4">
        <v>7.4033115150222e-13</v>
      </c>
      <c r="F64" s="4">
        <v>7.4033115236385e-13</v>
      </c>
      <c r="G64" s="4">
        <v>7.4033114164136e-13</v>
      </c>
      <c r="H64" s="4">
        <v>6.3015972582382e-13</v>
      </c>
      <c r="I64" s="4">
        <v>6.3015974694025e-13</v>
      </c>
      <c r="J64" s="4">
        <v>6.3015974104703e-13</v>
      </c>
      <c r="K64" s="4">
        <v>6.5768541066261e-13</v>
      </c>
      <c r="L64" s="4">
        <v>6.5768548880247e-13</v>
      </c>
      <c r="M64" s="4">
        <v>6.5768537316501e-13</v>
      </c>
      <c r="N64" s="4">
        <v>6.7953938237472e-13</v>
      </c>
      <c r="O64" s="4">
        <v>6.3015972610312e-13</v>
      </c>
      <c r="P64" s="4">
        <v>6.7953934136921e-13</v>
      </c>
      <c r="Q64" s="4">
        <v>6.7953958729093e-13</v>
      </c>
      <c r="R64" s="4">
        <v>7.4033111867428e-13</v>
      </c>
      <c r="S64" s="4">
        <v>7.4033110171124e-13</v>
      </c>
      <c r="T64" s="4">
        <v>7.4033112797834e-13</v>
      </c>
      <c r="U64" s="4">
        <v>6.3015973952185e-13</v>
      </c>
      <c r="V64" s="4">
        <v>6.5768540118291e-13</v>
      </c>
      <c r="W64" s="4">
        <v>6.5768550153482e-13</v>
      </c>
      <c r="X64" s="4">
        <v>6.5768543428756e-13</v>
      </c>
      <c r="Y64" s="4">
        <v>6.7953933719637e-13</v>
      </c>
      <c r="Z64" s="4">
        <v>6.7953952868757e-13</v>
      </c>
      <c r="AA64" s="4">
        <v>6.795396672933e-13</v>
      </c>
      <c r="AB64" s="3">
        <v>0.99999999993641</v>
      </c>
      <c r="AC64" s="3">
        <v>0.99999274769392</v>
      </c>
      <c r="AD64" s="3">
        <v>0.00041977601967885</v>
      </c>
      <c r="AE64" s="4">
        <v>-9.2402036280635e-19</v>
      </c>
      <c r="AF64" s="4">
        <v>1.1829637116699e-18</v>
      </c>
      <c r="AG64" s="4">
        <v>1.5592143780764e-18</v>
      </c>
      <c r="AH64" s="4">
        <v>9.336223572705e-19</v>
      </c>
      <c r="AI64" s="4">
        <v>-2.3917033150997e-19</v>
      </c>
      <c r="AJ64" s="4">
        <v>4.9919588048481e-19</v>
      </c>
      <c r="AK64" s="4">
        <v>3.8509291237827e-20</v>
      </c>
      <c r="AL64" s="4">
        <v>6.2283614326103e-19</v>
      </c>
      <c r="AM64" s="4">
        <v>3.5332407566716e-18</v>
      </c>
      <c r="AN64" s="4">
        <v>-1.0378612862242e-19</v>
      </c>
      <c r="AO64" s="4">
        <v>4.8386065673163e-19</v>
      </c>
      <c r="AP64" s="4">
        <v>8.9263307893851e-20</v>
      </c>
      <c r="AQ64" s="4">
        <v>4.4414644467653e-19</v>
      </c>
      <c r="AR64" s="4">
        <v>-2.974952618981e-18</v>
      </c>
      <c r="AS64" s="4">
        <v>1.5200457624158e-19</v>
      </c>
      <c r="AT64" s="4">
        <v>-3.4138872958269e-20</v>
      </c>
      <c r="AU64" s="4">
        <v>-1.1123279875459e-19</v>
      </c>
      <c r="AV64" s="4">
        <v>-8.3917461917177e-19</v>
      </c>
      <c r="AW64" s="4">
        <v>1.0812041465826e-19</v>
      </c>
      <c r="AX64" s="4">
        <v>-5.1400132112216e-20</v>
      </c>
      <c r="AY64" s="4">
        <v>-2.5675146561177e-19</v>
      </c>
      <c r="AZ64" s="4">
        <v>-5.8871569879376e-19</v>
      </c>
      <c r="BA64" s="4">
        <v>1.5924471367271e-18</v>
      </c>
      <c r="BB64" s="4">
        <v>-5.7166790808571e-18</v>
      </c>
      <c r="BC64" s="3">
        <v>15900578.639777</v>
      </c>
      <c r="BD64" s="3">
        <v>3969642.3260192</v>
      </c>
      <c r="BE64" s="4">
        <v>-8.1382502479321e-5</v>
      </c>
      <c r="BF64" s="3">
        <v>0.00045965621497527</v>
      </c>
      <c r="BG64" s="3">
        <v>0.00019131510859784</v>
      </c>
      <c r="BH64" s="3">
        <v>-0.00010901813581331</v>
      </c>
      <c r="BI64" s="3">
        <v>60.04458704635</v>
      </c>
      <c r="BJ64" s="3">
        <v>30.023960849215</v>
      </c>
      <c r="BK64" s="3">
        <v>53.451186896943</v>
      </c>
    </row>
    <row r="65" spans="1:63">
      <c r="A65" s="3">
        <v>25059361.681365</v>
      </c>
      <c r="B65" s="3">
        <v>0.00021785469109348</v>
      </c>
      <c r="C65" s="4">
        <f t="shared" si="1"/>
        <v>9.00074523268941e-12</v>
      </c>
      <c r="D65" s="4">
        <v>6.2994144250587e-13</v>
      </c>
      <c r="E65" s="4">
        <v>7.377667348439e-13</v>
      </c>
      <c r="F65" s="4">
        <v>7.3776673688193e-13</v>
      </c>
      <c r="G65" s="4">
        <v>7.3776672907587e-13</v>
      </c>
      <c r="H65" s="4">
        <v>6.2994135933762e-13</v>
      </c>
      <c r="I65" s="4">
        <v>6.2994138169523e-13</v>
      </c>
      <c r="J65" s="4">
        <v>6.2994137652592e-13</v>
      </c>
      <c r="K65" s="4">
        <v>6.5647721059216e-13</v>
      </c>
      <c r="L65" s="4">
        <v>6.5647730324037e-13</v>
      </c>
      <c r="M65" s="4">
        <v>6.5647716703859e-13</v>
      </c>
      <c r="N65" s="4">
        <v>6.7781392073798e-13</v>
      </c>
      <c r="O65" s="4">
        <v>6.2994135938727e-13</v>
      </c>
      <c r="P65" s="4">
        <v>6.7781387226382e-13</v>
      </c>
      <c r="Q65" s="4">
        <v>6.778141526778e-13</v>
      </c>
      <c r="R65" s="4">
        <v>7.3776670022066e-13</v>
      </c>
      <c r="S65" s="4">
        <v>7.3776668245545e-13</v>
      </c>
      <c r="T65" s="4">
        <v>7.3776671201816e-13</v>
      </c>
      <c r="U65" s="4">
        <v>6.2994137521254e-13</v>
      </c>
      <c r="V65" s="4">
        <v>6.56477196408e-13</v>
      </c>
      <c r="W65" s="4">
        <v>6.564773159638e-13</v>
      </c>
      <c r="X65" s="4">
        <v>6.564772393025e-13</v>
      </c>
      <c r="Y65" s="4">
        <v>6.7781386561005e-13</v>
      </c>
      <c r="Z65" s="4">
        <v>6.7781408199134e-13</v>
      </c>
      <c r="AA65" s="4">
        <v>6.7781424986906e-13</v>
      </c>
      <c r="AB65" s="3">
        <v>0.99999999994162</v>
      </c>
      <c r="AC65" s="3">
        <v>0.99999247337427</v>
      </c>
      <c r="AD65" s="3">
        <v>0.00044153097375478</v>
      </c>
      <c r="AE65" s="4">
        <v>-9.1891447145692e-19</v>
      </c>
      <c r="AF65" s="4">
        <v>1.0396375192679e-18</v>
      </c>
      <c r="AG65" s="4">
        <v>1.4852844912559e-18</v>
      </c>
      <c r="AH65" s="4">
        <v>1.021795404676e-18</v>
      </c>
      <c r="AI65" s="4">
        <v>-2.6564132156817e-19</v>
      </c>
      <c r="AJ65" s="4">
        <v>4.401113957997e-19</v>
      </c>
      <c r="AK65" s="4">
        <v>1.6502679068096e-20</v>
      </c>
      <c r="AL65" s="4">
        <v>6.003899232643e-19</v>
      </c>
      <c r="AM65" s="4">
        <v>4.0228487510897e-18</v>
      </c>
      <c r="AN65" s="4">
        <v>-1.1543130741414e-19</v>
      </c>
      <c r="AO65" s="4">
        <v>3.9570438495221e-19</v>
      </c>
      <c r="AP65" s="4">
        <v>9.460115436146e-20</v>
      </c>
      <c r="AQ65" s="4">
        <v>4.1450715348804e-19</v>
      </c>
      <c r="AR65" s="4">
        <v>-2.8561509330725e-18</v>
      </c>
      <c r="AS65" s="4">
        <v>1.962563379079e-19</v>
      </c>
      <c r="AT65" s="4">
        <v>-7.2220885078588e-20</v>
      </c>
      <c r="AU65" s="4">
        <v>-2.7377766427586e-20</v>
      </c>
      <c r="AV65" s="4">
        <v>-8.7722048839795e-19</v>
      </c>
      <c r="AW65" s="4">
        <v>1.4159858502893e-19</v>
      </c>
      <c r="AX65" s="4">
        <v>-4.2244834161806e-19</v>
      </c>
      <c r="AY65" s="4">
        <v>-3.8553721513661e-19</v>
      </c>
      <c r="AZ65" s="4">
        <v>-5.0349460990544e-19</v>
      </c>
      <c r="BA65" s="4">
        <v>1.4496610283549e-18</v>
      </c>
      <c r="BB65" s="4">
        <v>-5.4708110815373e-18</v>
      </c>
      <c r="BC65" s="3">
        <v>15888582.908665</v>
      </c>
      <c r="BD65" s="3">
        <v>3965998.3488051</v>
      </c>
      <c r="BE65" s="4">
        <v>-7.6193276784736e-5</v>
      </c>
      <c r="BF65" s="3">
        <v>0.00048418488453438</v>
      </c>
      <c r="BG65" s="3">
        <v>0.00020580888073522</v>
      </c>
      <c r="BH65" s="3">
        <v>-0.00010151474389022</v>
      </c>
      <c r="BI65" s="3">
        <v>60.044628922963</v>
      </c>
      <c r="BJ65" s="3">
        <v>30.023970054367</v>
      </c>
      <c r="BK65" s="3">
        <v>53.302160502656</v>
      </c>
    </row>
    <row r="66" spans="1:63">
      <c r="A66" s="3">
        <v>28117066.259519</v>
      </c>
      <c r="B66" s="3">
        <v>0.00024393626391647</v>
      </c>
      <c r="C66" s="4">
        <f t="shared" si="1"/>
        <v>8.9428310574099e-12</v>
      </c>
      <c r="D66" s="4">
        <v>6.2965041932284e-13</v>
      </c>
      <c r="E66" s="4">
        <v>7.3497958085852e-13</v>
      </c>
      <c r="F66" s="4">
        <v>7.3497958439168e-13</v>
      </c>
      <c r="G66" s="4">
        <v>7.3497958074749e-13</v>
      </c>
      <c r="H66" s="4">
        <v>6.2965032807253e-13</v>
      </c>
      <c r="I66" s="4">
        <v>6.2965035153293e-13</v>
      </c>
      <c r="J66" s="4">
        <v>6.2965034747191e-13</v>
      </c>
      <c r="K66" s="4">
        <v>6.5513525352871e-13</v>
      </c>
      <c r="L66" s="4">
        <v>6.5513536417818e-13</v>
      </c>
      <c r="M66" s="4">
        <v>6.5513520282607e-13</v>
      </c>
      <c r="N66" s="4">
        <v>6.7593332326825e-13</v>
      </c>
      <c r="O66" s="4">
        <v>6.2965032777624e-13</v>
      </c>
      <c r="P66" s="4">
        <v>6.7593326541493e-13</v>
      </c>
      <c r="Q66" s="4">
        <v>6.7593358537238e-13</v>
      </c>
      <c r="R66" s="4">
        <v>7.3497954460563e-13</v>
      </c>
      <c r="S66" s="4">
        <v>7.3497952614799e-13</v>
      </c>
      <c r="T66" s="4">
        <v>7.3497955949966e-13</v>
      </c>
      <c r="U66" s="4">
        <v>6.2965034654874e-13</v>
      </c>
      <c r="V66" s="4">
        <v>6.5513523339237e-13</v>
      </c>
      <c r="W66" s="4">
        <v>6.5513537653909e-13</v>
      </c>
      <c r="X66" s="4">
        <v>6.5513528853613e-13</v>
      </c>
      <c r="Y66" s="4">
        <v>6.7593325559279e-13</v>
      </c>
      <c r="Z66" s="4">
        <v>6.7593350013585e-13</v>
      </c>
      <c r="AA66" s="4">
        <v>6.7593370426216e-13</v>
      </c>
      <c r="AB66" s="3">
        <v>0.99999999994609</v>
      </c>
      <c r="AC66" s="3">
        <v>0.99999214650564</v>
      </c>
      <c r="AD66" s="3">
        <v>0.00046598101697968</v>
      </c>
      <c r="AE66" s="4">
        <v>-9.012307975337e-19</v>
      </c>
      <c r="AF66" s="4">
        <v>9.0261991131511e-19</v>
      </c>
      <c r="AG66" s="4">
        <v>1.4150849526897e-18</v>
      </c>
      <c r="AH66" s="4">
        <v>1.1243975093888e-18</v>
      </c>
      <c r="AI66" s="4">
        <v>-2.9837061422061e-19</v>
      </c>
      <c r="AJ66" s="4">
        <v>3.6784376225332e-19</v>
      </c>
      <c r="AK66" s="4">
        <v>-1.1168471386075e-20</v>
      </c>
      <c r="AL66" s="4">
        <v>5.7070817599679e-19</v>
      </c>
      <c r="AM66" s="4">
        <v>4.5818717888374e-18</v>
      </c>
      <c r="AN66" s="4">
        <v>-1.3010710292211e-19</v>
      </c>
      <c r="AO66" s="4">
        <v>2.8303196206613e-19</v>
      </c>
      <c r="AP66" s="4">
        <v>9.9213169311758e-20</v>
      </c>
      <c r="AQ66" s="4">
        <v>3.7640694952608e-19</v>
      </c>
      <c r="AR66" s="4">
        <v>-2.7482585316471e-18</v>
      </c>
      <c r="AS66" s="4">
        <v>2.4110678059796e-19</v>
      </c>
      <c r="AT66" s="4">
        <v>-1.1443177188212e-19</v>
      </c>
      <c r="AU66" s="4">
        <v>6.4306048643315e-20</v>
      </c>
      <c r="AV66" s="4">
        <v>-9.2298890187941e-19</v>
      </c>
      <c r="AW66" s="4">
        <v>1.7337554203364e-19</v>
      </c>
      <c r="AX66" s="4">
        <v>-8.4913686287347e-19</v>
      </c>
      <c r="AY66" s="4">
        <v>-5.341944692254e-19</v>
      </c>
      <c r="AZ66" s="4">
        <v>-4.166672429517e-19</v>
      </c>
      <c r="BA66" s="4">
        <v>1.2817585933013e-18</v>
      </c>
      <c r="BB66" s="4">
        <v>-5.2115805759833e-18</v>
      </c>
      <c r="BC66" s="3">
        <v>15875157.765168</v>
      </c>
      <c r="BD66" s="3">
        <v>3961924.1852843</v>
      </c>
      <c r="BE66" s="4">
        <v>-7.0279403567515e-5</v>
      </c>
      <c r="BF66" s="3">
        <v>0.00051152942000028</v>
      </c>
      <c r="BG66" s="3">
        <v>0.00022204616357051</v>
      </c>
      <c r="BH66" s="4">
        <v>-9.3845889236234e-5</v>
      </c>
      <c r="BI66" s="3">
        <v>60.044678814201</v>
      </c>
      <c r="BJ66" s="3">
        <v>30.02397660649</v>
      </c>
      <c r="BK66" s="3">
        <v>53.149442208894</v>
      </c>
    </row>
    <row r="67" spans="1:63">
      <c r="A67" s="3">
        <v>31547867.224011</v>
      </c>
      <c r="B67" s="3">
        <v>0.0002730869121454</v>
      </c>
      <c r="C67" s="4">
        <f t="shared" si="1"/>
        <v>8.88075658876393e-12</v>
      </c>
      <c r="D67" s="4">
        <v>6.2925864218436e-13</v>
      </c>
      <c r="E67" s="4">
        <v>7.3190925769342e-13</v>
      </c>
      <c r="F67" s="4">
        <v>7.3190926309402e-13</v>
      </c>
      <c r="G67" s="4">
        <v>7.3190926518649e-13</v>
      </c>
      <c r="H67" s="4">
        <v>6.2925854246142e-13</v>
      </c>
      <c r="I67" s="4">
        <v>6.2925856681626e-13</v>
      </c>
      <c r="J67" s="4">
        <v>6.2925856433496e-13</v>
      </c>
      <c r="K67" s="4">
        <v>6.536679635651e-13</v>
      </c>
      <c r="L67" s="4">
        <v>6.5366809671548e-13</v>
      </c>
      <c r="M67" s="4">
        <v>6.5366790441666e-13</v>
      </c>
      <c r="N67" s="4">
        <v>6.7387787162024e-13</v>
      </c>
      <c r="O67" s="4">
        <v>6.2925854165524e-13</v>
      </c>
      <c r="P67" s="4">
        <v>6.7387780181225e-13</v>
      </c>
      <c r="Q67" s="4">
        <v>6.7387816702756e-13</v>
      </c>
      <c r="R67" s="4">
        <v>7.319092200368e-13</v>
      </c>
      <c r="S67" s="4">
        <v>7.3190920103268e-13</v>
      </c>
      <c r="T67" s="4">
        <v>7.3190923877107e-13</v>
      </c>
      <c r="U67" s="4">
        <v>6.2925856407706e-13</v>
      </c>
      <c r="V67" s="4">
        <v>6.5366793598005e-13</v>
      </c>
      <c r="W67" s="4">
        <v>6.5366810824799e-13</v>
      </c>
      <c r="X67" s="4">
        <v>6.5366800640222e-13</v>
      </c>
      <c r="Y67" s="4">
        <v>6.7387778798195e-13</v>
      </c>
      <c r="Z67" s="4">
        <v>6.7387806441866e-13</v>
      </c>
      <c r="AA67" s="4">
        <v>6.7387831342906e-13</v>
      </c>
      <c r="AB67" s="3">
        <v>0.99999999994987</v>
      </c>
      <c r="AC67" s="3">
        <v>0.99999175426138</v>
      </c>
      <c r="AD67" s="3">
        <v>0.00049344603184476</v>
      </c>
      <c r="AE67" s="4">
        <v>-8.6733279651276e-19</v>
      </c>
      <c r="AF67" s="4">
        <v>7.7594948046959e-19</v>
      </c>
      <c r="AG67" s="4">
        <v>1.3514430119195e-18</v>
      </c>
      <c r="AH67" s="4">
        <v>1.2442204448223e-18</v>
      </c>
      <c r="AI67" s="4">
        <v>-3.3934328153381e-19</v>
      </c>
      <c r="AJ67" s="4">
        <v>2.7913632141839e-19</v>
      </c>
      <c r="AK67" s="4">
        <v>-4.6320753558662e-20</v>
      </c>
      <c r="AL67" s="4">
        <v>5.3076640022646e-19</v>
      </c>
      <c r="AM67" s="4">
        <v>5.2218890620788e-18</v>
      </c>
      <c r="AN67" s="4">
        <v>-1.4871692343555e-19</v>
      </c>
      <c r="AO67" s="4">
        <v>1.3718434183432e-19</v>
      </c>
      <c r="AP67" s="4">
        <v>1.028265633113e-19</v>
      </c>
      <c r="AQ67" s="4">
        <v>3.2788012282444e-19</v>
      </c>
      <c r="AR67" s="4">
        <v>-2.6627973549452e-18</v>
      </c>
      <c r="AS67" s="4">
        <v>2.8626447521239e-19</v>
      </c>
      <c r="AT67" s="4">
        <v>-1.6158758429013e-19</v>
      </c>
      <c r="AU67" s="4">
        <v>1.6445045831254e-19</v>
      </c>
      <c r="AV67" s="4">
        <v>-9.7807771811416e-19</v>
      </c>
      <c r="AW67" s="4">
        <v>2.0167284152463e-19</v>
      </c>
      <c r="AX67" s="4">
        <v>-1.3391550101697e-18</v>
      </c>
      <c r="AY67" s="4">
        <v>-7.0467119726173e-19</v>
      </c>
      <c r="AZ67" s="4">
        <v>-3.2825453711443e-19</v>
      </c>
      <c r="BA67" s="4">
        <v>1.0839890026086e-18</v>
      </c>
      <c r="BB67" s="4">
        <v>-4.9509736005335e-18</v>
      </c>
      <c r="BC67" s="3">
        <v>15860137.625745</v>
      </c>
      <c r="BD67" s="3">
        <v>3957370.8491264</v>
      </c>
      <c r="BE67" s="4">
        <v>-6.3537678910455e-5</v>
      </c>
      <c r="BF67" s="3">
        <v>0.00054199752827043</v>
      </c>
      <c r="BG67" s="3">
        <v>0.0002402339197381</v>
      </c>
      <c r="BH67" s="4">
        <v>-8.6116763161957e-5</v>
      </c>
      <c r="BI67" s="3">
        <v>60.044737746332</v>
      </c>
      <c r="BJ67" s="3">
        <v>30.023979600905</v>
      </c>
      <c r="BK67" s="3">
        <v>52.994982761845</v>
      </c>
    </row>
    <row r="68" spans="1:63">
      <c r="A68" s="3">
        <v>35397289.219208</v>
      </c>
      <c r="B68" s="3">
        <v>0.00030565654870855</v>
      </c>
      <c r="C68" s="4">
        <f t="shared" si="1"/>
        <v>8.81441926186728e-12</v>
      </c>
      <c r="D68" s="4">
        <v>6.2872689594503e-13</v>
      </c>
      <c r="E68" s="4">
        <v>7.2857624919127e-13</v>
      </c>
      <c r="F68" s="4">
        <v>7.2857625689013e-13</v>
      </c>
      <c r="G68" s="4">
        <v>7.2857626669932e-13</v>
      </c>
      <c r="H68" s="4">
        <v>6.2872678751675e-13</v>
      </c>
      <c r="I68" s="4">
        <v>6.2872681247881e-13</v>
      </c>
      <c r="J68" s="4">
        <v>6.2872681213975e-13</v>
      </c>
      <c r="K68" s="4">
        <v>6.5202612186224e-13</v>
      </c>
      <c r="L68" s="4">
        <v>6.5202628334296e-13</v>
      </c>
      <c r="M68" s="4">
        <v>6.5202605273781e-13</v>
      </c>
      <c r="N68" s="4">
        <v>6.7160485050935e-13</v>
      </c>
      <c r="O68" s="4">
        <v>6.2872678597001e-13</v>
      </c>
      <c r="P68" s="4">
        <v>6.716047652235e-13</v>
      </c>
      <c r="Q68" s="4">
        <v>6.7160518208464e-13</v>
      </c>
      <c r="R68" s="4">
        <v>7.2857621041943e-13</v>
      </c>
      <c r="S68" s="4">
        <v>7.285761910585e-13</v>
      </c>
      <c r="T68" s="4">
        <v>7.2857623391209e-13</v>
      </c>
      <c r="U68" s="4">
        <v>6.2872681296796e-13</v>
      </c>
      <c r="V68" s="4">
        <v>6.5202608505943e-13</v>
      </c>
      <c r="W68" s="4">
        <v>6.520262934311e-13</v>
      </c>
      <c r="X68" s="4">
        <v>6.5202617447885e-13</v>
      </c>
      <c r="Y68" s="4">
        <v>6.7160474636082e-13</v>
      </c>
      <c r="Z68" s="4">
        <v>6.7160505898548e-13</v>
      </c>
      <c r="AA68" s="4">
        <v>6.7160536348977e-13</v>
      </c>
      <c r="AB68" s="3">
        <v>0.999999999953</v>
      </c>
      <c r="AC68" s="3">
        <v>0.99999127935385</v>
      </c>
      <c r="AD68" s="3">
        <v>0.00052428090794678</v>
      </c>
      <c r="AE68" s="4">
        <v>-8.1329870116673e-19</v>
      </c>
      <c r="AF68" s="4">
        <v>6.6422117858434e-19</v>
      </c>
      <c r="AG68" s="4">
        <v>1.2978684517706e-18</v>
      </c>
      <c r="AH68" s="4">
        <v>1.3847940225365e-18</v>
      </c>
      <c r="AI68" s="4">
        <v>-3.9132357290867e-19</v>
      </c>
      <c r="AJ68" s="4">
        <v>1.6936808120552e-19</v>
      </c>
      <c r="AK68" s="4">
        <v>-9.1729740486773e-20</v>
      </c>
      <c r="AL68" s="4">
        <v>4.7659782358241e-19</v>
      </c>
      <c r="AM68" s="4">
        <v>5.9582920689519e-18</v>
      </c>
      <c r="AN68" s="4">
        <v>-1.7250770106492e-19</v>
      </c>
      <c r="AO68" s="4">
        <v>-5.3917743567791e-20</v>
      </c>
      <c r="AP68" s="4">
        <v>1.0514463797803e-19</v>
      </c>
      <c r="AQ68" s="4">
        <v>2.6623521034765e-19</v>
      </c>
      <c r="AR68" s="4">
        <v>-2.6145879436855e-18</v>
      </c>
      <c r="AS68" s="4">
        <v>3.3154246067512e-19</v>
      </c>
      <c r="AT68" s="4">
        <v>-2.1491567479916e-19</v>
      </c>
      <c r="AU68" s="4">
        <v>2.7380138653765e-19</v>
      </c>
      <c r="AV68" s="4">
        <v>-1.0442754163496e-18</v>
      </c>
      <c r="AW68" s="4">
        <v>2.2415475332985e-19</v>
      </c>
      <c r="AX68" s="4">
        <v>-1.9006110195821e-18</v>
      </c>
      <c r="AY68" s="4">
        <v>-8.9882043394446e-19</v>
      </c>
      <c r="AZ68" s="4">
        <v>-2.3768206610621e-19</v>
      </c>
      <c r="BA68" s="4">
        <v>8.4962295053205e-19</v>
      </c>
      <c r="BB68" s="4">
        <v>-4.706835073226e-18</v>
      </c>
      <c r="BC68" s="3">
        <v>15843339.131281</v>
      </c>
      <c r="BD68" s="3">
        <v>3952284.2832424</v>
      </c>
      <c r="BE68" s="4">
        <v>-5.5851704903413e-5</v>
      </c>
      <c r="BF68" s="3">
        <v>0.00057592794765195</v>
      </c>
      <c r="BG68" s="3">
        <v>0.00026060297249369</v>
      </c>
      <c r="BH68" s="4">
        <v>-7.8485625516289e-5</v>
      </c>
      <c r="BI68" s="3">
        <v>60.044806734213</v>
      </c>
      <c r="BJ68" s="3">
        <v>30.023977965291</v>
      </c>
      <c r="BK68" s="3">
        <v>52.841173815819</v>
      </c>
    </row>
    <row r="69" spans="1:63">
      <c r="A69" s="3">
        <v>39716411.736216</v>
      </c>
      <c r="B69" s="3">
        <v>0.00034203297436275</v>
      </c>
      <c r="C69" s="4">
        <f t="shared" si="1"/>
        <v>8.74364407371359e-12</v>
      </c>
      <c r="D69" s="4">
        <v>6.2806444384683e-13</v>
      </c>
      <c r="E69" s="4">
        <v>7.2498992027765e-13</v>
      </c>
      <c r="F69" s="4">
        <v>7.249899307698e-13</v>
      </c>
      <c r="G69" s="4">
        <v>7.2498995077541e-13</v>
      </c>
      <c r="H69" s="4">
        <v>6.2806432672678e-13</v>
      </c>
      <c r="I69" s="4">
        <v>6.2806435192996e-13</v>
      </c>
      <c r="J69" s="4">
        <v>6.2806435438152e-13</v>
      </c>
      <c r="K69" s="4">
        <v>6.5020716427278e-13</v>
      </c>
      <c r="L69" s="4">
        <v>6.5020736167374e-13</v>
      </c>
      <c r="M69" s="4">
        <v>6.5020708337634e-13</v>
      </c>
      <c r="N69" s="4">
        <v>6.6911735553354e-13</v>
      </c>
      <c r="O69" s="4">
        <v>6.2806432411601e-13</v>
      </c>
      <c r="P69" s="4">
        <v>6.691172498758e-13</v>
      </c>
      <c r="Q69" s="4">
        <v>6.6911772542081e-13</v>
      </c>
      <c r="R69" s="4">
        <v>7.2498988074057e-13</v>
      </c>
      <c r="S69" s="4">
        <v>7.2498986126756e-13</v>
      </c>
      <c r="T69" s="4">
        <v>7.2498991012636e-13</v>
      </c>
      <c r="U69" s="4">
        <v>6.2806435693494e-13</v>
      </c>
      <c r="V69" s="4">
        <v>6.502071161941e-13</v>
      </c>
      <c r="W69" s="4">
        <v>6.502073694885e-13</v>
      </c>
      <c r="X69" s="4">
        <v>6.5020722917123e-13</v>
      </c>
      <c r="Y69" s="4">
        <v>6.6911722473342e-13</v>
      </c>
      <c r="Z69" s="4">
        <v>6.6911757856729e-13</v>
      </c>
      <c r="AA69" s="4">
        <v>6.6911795144964e-13</v>
      </c>
      <c r="AB69" s="3">
        <v>0.99999999995552</v>
      </c>
      <c r="AC69" s="3">
        <v>0.99999069842064</v>
      </c>
      <c r="AD69" s="3">
        <v>0.00055887858965828</v>
      </c>
      <c r="AE69" s="4">
        <v>-7.3458355839389e-19</v>
      </c>
      <c r="AF69" s="4">
        <v>5.7262557692037e-19</v>
      </c>
      <c r="AG69" s="4">
        <v>1.2585464870655e-18</v>
      </c>
      <c r="AH69" s="4">
        <v>1.5502899130581e-18</v>
      </c>
      <c r="AI69" s="4">
        <v>-4.5816203485419e-19</v>
      </c>
      <c r="AJ69" s="4">
        <v>3.161940437003e-20</v>
      </c>
      <c r="AK69" s="4">
        <v>-1.5156872181618e-19</v>
      </c>
      <c r="AL69" s="4">
        <v>4.0264102476876e-19</v>
      </c>
      <c r="AM69" s="4">
        <v>6.8125898788017e-18</v>
      </c>
      <c r="AN69" s="4">
        <v>-2.0303727726668e-19</v>
      </c>
      <c r="AO69" s="4">
        <v>-3.0724895959655e-19</v>
      </c>
      <c r="AP69" s="4">
        <v>1.0586896231606e-19</v>
      </c>
      <c r="AQ69" s="4">
        <v>1.8775600340454e-19</v>
      </c>
      <c r="AR69" s="4">
        <v>-2.6228042381358e-18</v>
      </c>
      <c r="AS69" s="4">
        <v>3.7687684143213e-19</v>
      </c>
      <c r="AT69" s="4">
        <v>-2.7625263659895e-19</v>
      </c>
      <c r="AU69" s="4">
        <v>3.9307472299588e-19</v>
      </c>
      <c r="AV69" s="4">
        <v>-1.1235087331675e-18</v>
      </c>
      <c r="AW69" s="4">
        <v>2.3780380879298e-19</v>
      </c>
      <c r="AX69" s="4">
        <v>-2.5423432419736e-18</v>
      </c>
      <c r="AY69" s="4">
        <v>-1.1170208393116e-18</v>
      </c>
      <c r="AZ69" s="4">
        <v>-1.434019323237e-19</v>
      </c>
      <c r="BA69" s="4">
        <v>5.6935944929233e-19</v>
      </c>
      <c r="BB69" s="4">
        <v>-4.5053847561032e-18</v>
      </c>
      <c r="BC69" s="3">
        <v>15824559.04185</v>
      </c>
      <c r="BD69" s="3">
        <v>3946604.7858094</v>
      </c>
      <c r="BE69" s="4">
        <v>-4.7088498335718e-5</v>
      </c>
      <c r="BF69" s="3">
        <v>0.00061369281765143</v>
      </c>
      <c r="BG69" s="3">
        <v>0.00028341082579327</v>
      </c>
      <c r="BH69" s="4">
        <v>-7.1073569524441e-5</v>
      </c>
      <c r="BI69" s="3">
        <v>60.044886747197</v>
      </c>
      <c r="BJ69" s="3">
        <v>30.023970473202</v>
      </c>
      <c r="BK69" s="3">
        <v>52.690869965669</v>
      </c>
    </row>
    <row r="70" spans="1:63">
      <c r="A70" s="3">
        <v>44562546.906689</v>
      </c>
      <c r="B70" s="3">
        <v>0.00038264576568406</v>
      </c>
      <c r="C70" s="4">
        <f t="shared" si="1"/>
        <v>8.66823323569821e-12</v>
      </c>
      <c r="D70" s="4">
        <v>6.2726534342786e-13</v>
      </c>
      <c r="E70" s="4">
        <v>7.2112146933946e-13</v>
      </c>
      <c r="F70" s="4">
        <v>7.2112148318865e-13</v>
      </c>
      <c r="G70" s="4">
        <v>7.2112151648771e-13</v>
      </c>
      <c r="H70" s="4">
        <v>6.2726521799477e-13</v>
      </c>
      <c r="I70" s="4">
        <v>6.272652430123e-13</v>
      </c>
      <c r="J70" s="4">
        <v>6.2726524896741e-13</v>
      </c>
      <c r="K70" s="4">
        <v>6.4817827984131e-13</v>
      </c>
      <c r="L70" s="4">
        <v>6.4817852311101e-13</v>
      </c>
      <c r="M70" s="4">
        <v>6.4817818507802e-13</v>
      </c>
      <c r="N70" s="4">
        <v>6.6643824494637e-13</v>
      </c>
      <c r="O70" s="4">
        <v>6.2726521386715e-13</v>
      </c>
      <c r="P70" s="4">
        <v>6.6643811201396e-13</v>
      </c>
      <c r="Q70" s="4">
        <v>6.6643865383144e-13</v>
      </c>
      <c r="R70" s="4">
        <v>7.2112142944146e-13</v>
      </c>
      <c r="S70" s="4">
        <v>7.2112141017528e-13</v>
      </c>
      <c r="T70" s="4">
        <v>7.2112146612141e-13</v>
      </c>
      <c r="U70" s="4">
        <v>6.2726525421029e-13</v>
      </c>
      <c r="V70" s="4">
        <v>6.4817821814484e-13</v>
      </c>
      <c r="W70" s="4">
        <v>6.4817852749866e-13</v>
      </c>
      <c r="X70" s="4">
        <v>6.4817836026606e-13</v>
      </c>
      <c r="Y70" s="4">
        <v>6.6643807907396e-13</v>
      </c>
      <c r="Z70" s="4">
        <v>6.6643848012431e-13</v>
      </c>
      <c r="AA70" s="4">
        <v>6.6643893676658e-13</v>
      </c>
      <c r="AB70" s="3">
        <v>0.99999999995744</v>
      </c>
      <c r="AC70" s="3">
        <v>0.99998997880621</v>
      </c>
      <c r="AD70" s="3">
        <v>0.00059767336885626</v>
      </c>
      <c r="AE70" s="4">
        <v>-6.2680960874251e-19</v>
      </c>
      <c r="AF70" s="4">
        <v>5.0714308270204e-19</v>
      </c>
      <c r="AG70" s="4">
        <v>1.2382725474986e-18</v>
      </c>
      <c r="AH70" s="4">
        <v>1.7462841619804e-18</v>
      </c>
      <c r="AI70" s="4">
        <v>-5.4537900733569e-19</v>
      </c>
      <c r="AJ70" s="4">
        <v>-1.4487069868929e-19</v>
      </c>
      <c r="AK70" s="4">
        <v>-2.326918258197e-19</v>
      </c>
      <c r="AL70" s="4">
        <v>3.0022020015085e-19</v>
      </c>
      <c r="AM70" s="4">
        <v>7.816412696726e-18</v>
      </c>
      <c r="AN70" s="4">
        <v>-2.4254911753554e-19</v>
      </c>
      <c r="AO70" s="4">
        <v>-6.4761951955368e-19</v>
      </c>
      <c r="AP70" s="4">
        <v>1.0468485275128e-19</v>
      </c>
      <c r="AQ70" s="4">
        <v>8.761473990823e-20</v>
      </c>
      <c r="AR70" s="4">
        <v>-2.7109646762215e-18</v>
      </c>
      <c r="AS70" s="4">
        <v>4.2222191030552e-19</v>
      </c>
      <c r="AT70" s="4">
        <v>-3.4843065249052e-19</v>
      </c>
      <c r="AU70" s="4">
        <v>5.2335016237932e-19</v>
      </c>
      <c r="AV70" s="4">
        <v>-1.2177040987333e-18</v>
      </c>
      <c r="AW70" s="4">
        <v>2.3833509914005e-19</v>
      </c>
      <c r="AX70" s="4">
        <v>-3.2757241353713e-18</v>
      </c>
      <c r="AY70" s="4">
        <v>-1.3579899753841e-18</v>
      </c>
      <c r="AZ70" s="4">
        <v>-4.2272177970627e-20</v>
      </c>
      <c r="BA70" s="4">
        <v>2.3008232057477e-19</v>
      </c>
      <c r="BB70" s="4">
        <v>-4.3854359690508e-18</v>
      </c>
      <c r="BC70" s="3">
        <v>15803572.132548</v>
      </c>
      <c r="BD70" s="3">
        <v>3940266.4534924</v>
      </c>
      <c r="BE70" s="4">
        <v>-3.709501810435e-5</v>
      </c>
      <c r="BF70" s="3">
        <v>0.00065570024760081</v>
      </c>
      <c r="BG70" s="3">
        <v>0.00030894437714861</v>
      </c>
      <c r="BH70" s="4">
        <v>-6.4462621099948e-5</v>
      </c>
      <c r="BI70" s="3">
        <v>60.044978612506</v>
      </c>
      <c r="BJ70" s="3">
        <v>30.02395533819</v>
      </c>
      <c r="BK70" s="3">
        <v>52.547405705969</v>
      </c>
    </row>
    <row r="71" spans="1:63">
      <c r="A71" s="3">
        <v>50000000</v>
      </c>
      <c r="B71" s="3">
        <v>0.00042796986473429</v>
      </c>
      <c r="C71" s="4">
        <f t="shared" si="1"/>
        <v>8.58811685380898e-12</v>
      </c>
      <c r="D71" s="4">
        <v>6.2623882018659e-13</v>
      </c>
      <c r="E71" s="4">
        <v>7.1697179689732e-13</v>
      </c>
      <c r="F71" s="4">
        <v>7.1697181473376e-13</v>
      </c>
      <c r="G71" s="4">
        <v>7.1697186519987e-13</v>
      </c>
      <c r="H71" s="4">
        <v>6.2623868733932e-13</v>
      </c>
      <c r="I71" s="4">
        <v>6.262387117372e-13</v>
      </c>
      <c r="J71" s="4">
        <v>6.2623872192819e-13</v>
      </c>
      <c r="K71" s="4">
        <v>6.4590862154334e-13</v>
      </c>
      <c r="L71" s="4">
        <v>6.4590892384668e-13</v>
      </c>
      <c r="M71" s="4">
        <v>6.4590851050791e-13</v>
      </c>
      <c r="N71" s="4">
        <v>6.6350293362583e-13</v>
      </c>
      <c r="O71" s="4">
        <v>6.2623868106052e-13</v>
      </c>
      <c r="P71" s="4">
        <v>6.6350276355407e-13</v>
      </c>
      <c r="Q71" s="4">
        <v>6.6350337959981e-13</v>
      </c>
      <c r="R71" s="4">
        <v>7.1697175707888e-13</v>
      </c>
      <c r="S71" s="4">
        <v>7.1697173844882e-13</v>
      </c>
      <c r="T71" s="4">
        <v>7.1697180278309e-13</v>
      </c>
      <c r="U71" s="4">
        <v>6.2623873130391e-13</v>
      </c>
      <c r="V71" s="4">
        <v>6.4590854366537e-13</v>
      </c>
      <c r="W71" s="4">
        <v>6.4590892310616e-13</v>
      </c>
      <c r="X71" s="4">
        <v>6.4590872174229e-13</v>
      </c>
      <c r="Y71" s="4">
        <v>6.6350272095268e-13</v>
      </c>
      <c r="Z71" s="4">
        <v>6.6350317661272e-13</v>
      </c>
      <c r="AA71" s="4">
        <v>6.6350373506581e-13</v>
      </c>
      <c r="AB71" s="3">
        <v>0.99999999995874</v>
      </c>
      <c r="AC71" s="3">
        <v>0.99998907337496</v>
      </c>
      <c r="AD71" s="3">
        <v>0.00064114560001121</v>
      </c>
      <c r="AE71" s="4">
        <v>-4.8566632192718e-19</v>
      </c>
      <c r="AF71" s="4">
        <v>4.7530560052614e-19</v>
      </c>
      <c r="AG71" s="4">
        <v>1.2425040201908e-18</v>
      </c>
      <c r="AH71" s="4">
        <v>1.9805157858276e-18</v>
      </c>
      <c r="AI71" s="4">
        <v>-6.6118854736884e-19</v>
      </c>
      <c r="AJ71" s="4">
        <v>-3.7713792447876e-19</v>
      </c>
      <c r="AK71" s="4">
        <v>-3.4668641213925e-19</v>
      </c>
      <c r="AL71" s="4">
        <v>1.5856778949894e-19</v>
      </c>
      <c r="AM71" s="4">
        <v>9.0174706572546e-18</v>
      </c>
      <c r="AN71" s="4">
        <v>-2.9435619480067e-19</v>
      </c>
      <c r="AO71" s="4">
        <v>-1.1116508214741e-18</v>
      </c>
      <c r="AP71" s="4">
        <v>1.0174425739559e-19</v>
      </c>
      <c r="AQ71" s="4">
        <v>-4.2996758650712e-20</v>
      </c>
      <c r="AR71" s="4">
        <v>-2.9070934732614e-18</v>
      </c>
      <c r="AS71" s="4">
        <v>4.6720923598811e-19</v>
      </c>
      <c r="AT71" s="4">
        <v>-4.3585630304204e-19</v>
      </c>
      <c r="AU71" s="4">
        <v>6.6629654810476e-19</v>
      </c>
      <c r="AV71" s="4">
        <v>-1.3286139183734e-18</v>
      </c>
      <c r="AW71" s="4">
        <v>2.1951717371473e-19</v>
      </c>
      <c r="AX71" s="4">
        <v>-4.1157667068254e-18</v>
      </c>
      <c r="AY71" s="4">
        <v>-1.6208411165082e-18</v>
      </c>
      <c r="AZ71" s="4">
        <v>7.1168513372968e-20</v>
      </c>
      <c r="BA71" s="4">
        <v>-1.865574657055e-19</v>
      </c>
      <c r="BB71" s="4">
        <v>-4.3937839204935e-18</v>
      </c>
      <c r="BC71" s="3">
        <v>15780130.200435</v>
      </c>
      <c r="BD71" s="3">
        <v>3933196.9937334</v>
      </c>
      <c r="BE71" s="4">
        <v>-2.569979955832e-5</v>
      </c>
      <c r="BF71" s="3">
        <v>0.00070239773015327</v>
      </c>
      <c r="BG71" s="3">
        <v>0.00033752291937814</v>
      </c>
      <c r="BH71" s="4">
        <v>-5.9415458079974e-5</v>
      </c>
      <c r="BI71" s="3">
        <v>60.045083306364</v>
      </c>
      <c r="BJ71" s="3">
        <v>30.023930401063</v>
      </c>
      <c r="BK71" s="3">
        <v>52.414516710059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71"/>
  <sheetViews>
    <sheetView workbookViewId="0">
      <selection activeCell="C1" sqref="C1:C4"/>
    </sheetView>
  </sheetViews>
  <sheetFormatPr defaultColWidth="8.81481481481481" defaultRowHeight="15"/>
  <cols>
    <col min="1" max="1" width="11.362962962963"/>
    <col min="2" max="3" width="12.4518518518519"/>
  </cols>
  <sheetData>
    <row r="1" spans="1:64">
      <c r="A1" s="3" t="s">
        <v>4</v>
      </c>
      <c r="B1" s="3" t="s">
        <v>5</v>
      </c>
      <c r="C1" s="3" t="s">
        <v>66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47</v>
      </c>
      <c r="AT1" s="3" t="s">
        <v>48</v>
      </c>
      <c r="AU1" s="3" t="s">
        <v>49</v>
      </c>
      <c r="AV1" s="3" t="s">
        <v>50</v>
      </c>
      <c r="AW1" s="3" t="s">
        <v>51</v>
      </c>
      <c r="AX1" s="3" t="s">
        <v>52</v>
      </c>
      <c r="AY1" s="3" t="s">
        <v>53</v>
      </c>
      <c r="AZ1" s="3" t="s">
        <v>54</v>
      </c>
      <c r="BA1" s="3" t="s">
        <v>55</v>
      </c>
      <c r="BB1" s="3" t="s">
        <v>56</v>
      </c>
      <c r="BC1" s="3" t="s">
        <v>57</v>
      </c>
      <c r="BD1" s="3" t="s">
        <v>58</v>
      </c>
      <c r="BE1" s="3" t="s">
        <v>59</v>
      </c>
      <c r="BF1" s="3" t="s">
        <v>60</v>
      </c>
      <c r="BG1" s="3" t="s">
        <v>61</v>
      </c>
      <c r="BH1" s="3" t="s">
        <v>62</v>
      </c>
      <c r="BI1" s="3" t="s">
        <v>63</v>
      </c>
      <c r="BJ1" s="3" t="s">
        <v>64</v>
      </c>
      <c r="BK1" s="3" t="s">
        <v>65</v>
      </c>
      <c r="BL1" s="5"/>
    </row>
    <row r="2" spans="1:64">
      <c r="A2" s="3">
        <v>0</v>
      </c>
      <c r="B2" s="3">
        <v>0</v>
      </c>
      <c r="C2" s="3"/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5"/>
    </row>
    <row r="3" spans="1:64">
      <c r="A3" s="3">
        <v>0.39716411736214</v>
      </c>
      <c r="B3" s="4">
        <v>6.4457756385166e-15</v>
      </c>
      <c r="C3" s="4">
        <f>(BF3-BF2)/(A3-A2)</f>
        <v>2.81602493530981e-6</v>
      </c>
      <c r="D3" s="4">
        <v>2.1502795404522e-15</v>
      </c>
      <c r="E3" s="4">
        <v>2.6005259112099e-15</v>
      </c>
      <c r="F3" s="4">
        <v>2.6005259112099e-15</v>
      </c>
      <c r="G3" s="4">
        <v>2.6005259112099e-15</v>
      </c>
      <c r="H3" s="4">
        <v>2.1502795404522e-15</v>
      </c>
      <c r="I3" s="4">
        <v>2.1502795404522e-15</v>
      </c>
      <c r="J3" s="4">
        <v>2.1502795404522e-15</v>
      </c>
      <c r="K3" s="4">
        <v>2.2795953857634e-15</v>
      </c>
      <c r="L3" s="4">
        <v>2.2795953857634e-15</v>
      </c>
      <c r="M3" s="4">
        <v>2.2795953857634e-15</v>
      </c>
      <c r="N3" s="4">
        <v>2.3754626088817e-15</v>
      </c>
      <c r="O3" s="4">
        <v>2.1502795404522e-15</v>
      </c>
      <c r="P3" s="4">
        <v>2.3754626088817e-15</v>
      </c>
      <c r="Q3" s="4">
        <v>2.3754626088817e-15</v>
      </c>
      <c r="R3" s="4">
        <v>2.6005259112099e-15</v>
      </c>
      <c r="S3" s="4">
        <v>2.6005259112099e-15</v>
      </c>
      <c r="T3" s="4">
        <v>2.6005259112099e-15</v>
      </c>
      <c r="U3" s="4">
        <v>2.1502795404522e-15</v>
      </c>
      <c r="V3" s="4">
        <v>2.2795953857634e-15</v>
      </c>
      <c r="W3" s="4">
        <v>2.2795953857634e-15</v>
      </c>
      <c r="X3" s="4">
        <v>2.2795953857634e-15</v>
      </c>
      <c r="Y3" s="4">
        <v>2.3754626088817e-15</v>
      </c>
      <c r="Z3" s="4">
        <v>2.3754626088817e-15</v>
      </c>
      <c r="AA3" s="4">
        <v>2.3754626088817e-15</v>
      </c>
      <c r="AB3" s="3">
        <v>1</v>
      </c>
      <c r="AC3" s="3">
        <v>0.99999999999958</v>
      </c>
      <c r="AD3" s="4">
        <v>1.0922817181954e-6</v>
      </c>
      <c r="AE3" s="4">
        <v>2.4153968336641e-28</v>
      </c>
      <c r="AF3" s="4">
        <v>-2.8436273110126e-28</v>
      </c>
      <c r="AG3" s="4">
        <v>2.1678489887036e-28</v>
      </c>
      <c r="AH3" s="4">
        <v>-3.2724028313081e-28</v>
      </c>
      <c r="AI3" s="4">
        <v>-7.1438276953379e-29</v>
      </c>
      <c r="AJ3" s="4">
        <v>-2.2396415264037e-28</v>
      </c>
      <c r="AK3" s="4">
        <v>1.1334949790002e-28</v>
      </c>
      <c r="AL3" s="4">
        <v>1.6922381968778e-28</v>
      </c>
      <c r="AM3" s="4">
        <v>1.4399046901473e-28</v>
      </c>
      <c r="AN3" s="4">
        <v>-2.77608020529e-28</v>
      </c>
      <c r="AO3" s="4">
        <v>9.9792766189869e-29</v>
      </c>
      <c r="AP3" s="4">
        <v>-1.5211680216495e-28</v>
      </c>
      <c r="AQ3" s="4">
        <v>4.3321171794469e-28</v>
      </c>
      <c r="AR3" s="4">
        <v>-4.820812597756e-28</v>
      </c>
      <c r="AS3" s="4">
        <v>2.6851001458257e-28</v>
      </c>
      <c r="AT3" s="4">
        <v>1.8334963169953e-29</v>
      </c>
      <c r="AU3" s="4">
        <v>-2.6761154807569e-28</v>
      </c>
      <c r="AV3" s="4">
        <v>-1.3640707866515e-28</v>
      </c>
      <c r="AW3" s="4">
        <v>1.5856888069249e-28</v>
      </c>
      <c r="AX3" s="4">
        <v>1.5299185733768e-29</v>
      </c>
      <c r="AY3" s="4">
        <v>-1.6026475549332e-28</v>
      </c>
      <c r="AZ3" s="4">
        <v>2.4195578123943e-28</v>
      </c>
      <c r="BA3" s="4">
        <v>3.6182549265242e-28</v>
      </c>
      <c r="BB3" s="4">
        <v>-5.0818739325205e-28</v>
      </c>
      <c r="BC3" s="3">
        <v>15999999.999989</v>
      </c>
      <c r="BD3" s="3">
        <v>3999999.999999</v>
      </c>
      <c r="BE3" s="4">
        <v>-5.3283587548061e-7</v>
      </c>
      <c r="BF3" s="4">
        <v>1.1184240579021e-6</v>
      </c>
      <c r="BG3" s="4">
        <v>3.1725947051445e-7</v>
      </c>
      <c r="BH3" s="4">
        <v>-3.5895552848324e-9</v>
      </c>
      <c r="BI3" s="3">
        <v>0.26599902793147</v>
      </c>
      <c r="BJ3" s="3">
        <v>0.13299954423109</v>
      </c>
      <c r="BK3" s="3">
        <v>0.24482978736276</v>
      </c>
      <c r="BL3" s="5"/>
    </row>
    <row r="4" spans="1:64">
      <c r="A4" s="3">
        <v>3.9716411736214</v>
      </c>
      <c r="B4" s="4">
        <v>6.663133178544e-13</v>
      </c>
      <c r="C4" s="4">
        <f>(BF4-BF3)/(A4-A3)</f>
        <v>2.81582668036627e-6</v>
      </c>
      <c r="D4" s="4">
        <v>2.1523725085112e-14</v>
      </c>
      <c r="E4" s="4">
        <v>2.6033522695134e-14</v>
      </c>
      <c r="F4" s="4">
        <v>2.6033522695134e-14</v>
      </c>
      <c r="G4" s="4">
        <v>2.6033522695134e-14</v>
      </c>
      <c r="H4" s="4">
        <v>2.1523725085112e-14</v>
      </c>
      <c r="I4" s="4">
        <v>2.1523725085112e-14</v>
      </c>
      <c r="J4" s="4">
        <v>2.1523725085112e-14</v>
      </c>
      <c r="K4" s="4">
        <v>2.2816749253283e-14</v>
      </c>
      <c r="L4" s="4">
        <v>2.2816749253283e-14</v>
      </c>
      <c r="M4" s="4">
        <v>2.2816749253283e-14</v>
      </c>
      <c r="N4" s="4">
        <v>2.3778834529508e-14</v>
      </c>
      <c r="O4" s="4">
        <v>2.1523725085112e-14</v>
      </c>
      <c r="P4" s="4">
        <v>2.3778834529508e-14</v>
      </c>
      <c r="Q4" s="4">
        <v>2.3778834529508e-14</v>
      </c>
      <c r="R4" s="4">
        <v>2.6033522695134e-14</v>
      </c>
      <c r="S4" s="4">
        <v>2.6033522695134e-14</v>
      </c>
      <c r="T4" s="4">
        <v>2.6033522695134e-14</v>
      </c>
      <c r="U4" s="4">
        <v>2.1523725085112e-14</v>
      </c>
      <c r="V4" s="4">
        <v>2.2816749253283e-14</v>
      </c>
      <c r="W4" s="4">
        <v>2.2816749253283e-14</v>
      </c>
      <c r="X4" s="4">
        <v>2.2816749253283e-14</v>
      </c>
      <c r="Y4" s="4">
        <v>2.3778834529508e-14</v>
      </c>
      <c r="Z4" s="4">
        <v>2.3778834529508e-14</v>
      </c>
      <c r="AA4" s="4">
        <v>2.3778834529508e-14</v>
      </c>
      <c r="AB4" s="3">
        <v>1</v>
      </c>
      <c r="AC4" s="3">
        <v>0.99999999999933</v>
      </c>
      <c r="AD4" s="4">
        <v>1.092232515653e-5</v>
      </c>
      <c r="AE4" s="4">
        <v>2.0555037364017e-27</v>
      </c>
      <c r="AF4" s="4">
        <v>2.6639915444805e-27</v>
      </c>
      <c r="AG4" s="4">
        <v>7.4477306801719e-27</v>
      </c>
      <c r="AH4" s="4">
        <v>-1.1119325801684e-27</v>
      </c>
      <c r="AI4" s="4">
        <v>4.154677582111e-28</v>
      </c>
      <c r="AJ4" s="4">
        <v>-8.1544174198905e-28</v>
      </c>
      <c r="AK4" s="4">
        <v>3.1198312791723e-27</v>
      </c>
      <c r="AL4" s="4">
        <v>2.6865040274706e-27</v>
      </c>
      <c r="AM4" s="4">
        <v>-5.2172552856369e-28</v>
      </c>
      <c r="AN4" s="4">
        <v>-1.9612868530176e-27</v>
      </c>
      <c r="AO4" s="4">
        <v>3.4800540252611e-27</v>
      </c>
      <c r="AP4" s="4">
        <v>-9.5858005156038e-28</v>
      </c>
      <c r="AQ4" s="4">
        <v>5.1464513790252e-27</v>
      </c>
      <c r="AR4" s="4">
        <v>-9.6118040302228e-27</v>
      </c>
      <c r="AS4" s="4">
        <v>2.3172843374355e-27</v>
      </c>
      <c r="AT4" s="4">
        <v>1.747747291968e-27</v>
      </c>
      <c r="AU4" s="4">
        <v>-5.328740848375e-27</v>
      </c>
      <c r="AV4" s="4">
        <v>-1.8197882774573e-27</v>
      </c>
      <c r="AW4" s="4">
        <v>1.6188951060511e-27</v>
      </c>
      <c r="AX4" s="4">
        <v>2.6830437721121e-27</v>
      </c>
      <c r="AY4" s="4">
        <v>-1.8192464380889e-27</v>
      </c>
      <c r="AZ4" s="4">
        <v>-1.2196429856663e-27</v>
      </c>
      <c r="BA4" s="4">
        <v>5.3969297662069e-27</v>
      </c>
      <c r="BB4" s="4">
        <v>-1.0742795135138e-26</v>
      </c>
      <c r="BC4" s="3">
        <v>15999999.999275</v>
      </c>
      <c r="BD4" s="3">
        <v>3999999.9998958</v>
      </c>
      <c r="BE4" s="4">
        <v>-5.328299594054e-6</v>
      </c>
      <c r="BF4" s="4">
        <v>1.1183531921274e-5</v>
      </c>
      <c r="BG4" s="4">
        <v>3.1726435611411e-6</v>
      </c>
      <c r="BH4" s="4">
        <v>-3.5889975184096e-7</v>
      </c>
      <c r="BI4" s="3">
        <v>2.6599871736447</v>
      </c>
      <c r="BJ4" s="3">
        <v>1.3299966132476</v>
      </c>
      <c r="BK4" s="3">
        <v>2.448284890291</v>
      </c>
      <c r="BL4" s="5"/>
    </row>
    <row r="5" spans="1:64">
      <c r="A5" s="3">
        <v>39.716411736214</v>
      </c>
      <c r="B5" s="4">
        <v>6.7215435975001e-11</v>
      </c>
      <c r="C5" s="4">
        <f>(BF5-BF4)/(A5-A4)</f>
        <v>2.81386592012051e-6</v>
      </c>
      <c r="D5" s="4">
        <v>2.1744184276859e-13</v>
      </c>
      <c r="E5" s="4">
        <v>2.6328286263611e-13</v>
      </c>
      <c r="F5" s="4">
        <v>2.6328286263611e-13</v>
      </c>
      <c r="G5" s="4">
        <v>2.6328286263611e-13</v>
      </c>
      <c r="H5" s="4">
        <v>2.1744184276859e-13</v>
      </c>
      <c r="I5" s="4">
        <v>2.1744184276859e-13</v>
      </c>
      <c r="J5" s="4">
        <v>2.1744184276859e-13</v>
      </c>
      <c r="K5" s="4">
        <v>2.3034059386973e-13</v>
      </c>
      <c r="L5" s="4">
        <v>2.3034059386973e-13</v>
      </c>
      <c r="M5" s="4">
        <v>2.3034059386973e-13</v>
      </c>
      <c r="N5" s="4">
        <v>2.4032243341325e-13</v>
      </c>
      <c r="O5" s="4">
        <v>2.1744184276859e-13</v>
      </c>
      <c r="P5" s="4">
        <v>2.4032243341325e-13</v>
      </c>
      <c r="Q5" s="4">
        <v>2.4032243341325e-13</v>
      </c>
      <c r="R5" s="4">
        <v>2.6328286263611e-13</v>
      </c>
      <c r="S5" s="4">
        <v>2.6328286263611e-13</v>
      </c>
      <c r="T5" s="4">
        <v>2.6328286263611e-13</v>
      </c>
      <c r="U5" s="4">
        <v>2.1744184276859e-13</v>
      </c>
      <c r="V5" s="4">
        <v>2.3034059386973e-13</v>
      </c>
      <c r="W5" s="4">
        <v>2.3034059386973e-13</v>
      </c>
      <c r="X5" s="4">
        <v>2.3034059386973e-13</v>
      </c>
      <c r="Y5" s="4">
        <v>2.4032243341325e-13</v>
      </c>
      <c r="Z5" s="4">
        <v>2.4032243341325e-13</v>
      </c>
      <c r="AA5" s="4">
        <v>2.4032243341325e-13</v>
      </c>
      <c r="AB5" s="3">
        <v>1</v>
      </c>
      <c r="AC5" s="3">
        <v>0.99999999890127</v>
      </c>
      <c r="AD5" s="3">
        <v>0.00010917409632799</v>
      </c>
      <c r="AE5" s="4">
        <v>-2.0980911472005e-23</v>
      </c>
      <c r="AF5" s="4">
        <v>1.7673311764429e-22</v>
      </c>
      <c r="AG5" s="4">
        <v>1.7076264787931e-22</v>
      </c>
      <c r="AH5" s="4">
        <v>3.2612698100385e-23</v>
      </c>
      <c r="AI5" s="4">
        <v>-1.7449402235242e-24</v>
      </c>
      <c r="AJ5" s="4">
        <v>4.3175323882556e-23</v>
      </c>
      <c r="AK5" s="4">
        <v>2.7879877847711e-23</v>
      </c>
      <c r="AL5" s="4">
        <v>6.2412812777789e-23</v>
      </c>
      <c r="AM5" s="4">
        <v>-2.2674478790783e-23</v>
      </c>
      <c r="AN5" s="4">
        <v>9.1049348914626e-25</v>
      </c>
      <c r="AO5" s="4">
        <v>7.2909602317805e-23</v>
      </c>
      <c r="AP5" s="4">
        <v>-4.1668168103917e-24</v>
      </c>
      <c r="AQ5" s="4">
        <v>4.8237833824357e-23</v>
      </c>
      <c r="AR5" s="4">
        <v>-2.1368044548999e-22</v>
      </c>
      <c r="AS5" s="4">
        <v>-1.6861241745193e-23</v>
      </c>
      <c r="AT5" s="4">
        <v>3.2632696124262e-23</v>
      </c>
      <c r="AU5" s="4">
        <v>-7.408454774794e-23</v>
      </c>
      <c r="AV5" s="4">
        <v>-4.5924910104413e-23</v>
      </c>
      <c r="AW5" s="4">
        <v>-9.9732828410249e-24</v>
      </c>
      <c r="AX5" s="4">
        <v>1.4252224942533e-22</v>
      </c>
      <c r="AY5" s="4">
        <v>2.3013937529798e-23</v>
      </c>
      <c r="AZ5" s="4">
        <v>-1.1336282109471e-22</v>
      </c>
      <c r="BA5" s="4">
        <v>8.60407241394e-23</v>
      </c>
      <c r="BB5" s="4">
        <v>-3.216586635353e-22</v>
      </c>
      <c r="BC5" s="3">
        <v>15999999.953949</v>
      </c>
      <c r="BD5" s="3">
        <v>3999999.9895025</v>
      </c>
      <c r="BE5" s="4">
        <v>-5.3277085372917e-5</v>
      </c>
      <c r="BF5" s="3">
        <v>0.00011176452362988</v>
      </c>
      <c r="BG5" s="4">
        <v>3.1731308705725e-5</v>
      </c>
      <c r="BH5" s="4">
        <v>-3.5912648837155e-5</v>
      </c>
      <c r="BI5" s="3">
        <v>26.599561049436</v>
      </c>
      <c r="BJ5" s="3">
        <v>13.300082920389</v>
      </c>
      <c r="BK5" s="3">
        <v>24.481551789551</v>
      </c>
      <c r="BL5" s="5"/>
    </row>
    <row r="6" spans="1:64">
      <c r="A6" s="3">
        <v>397.16411736214</v>
      </c>
      <c r="B6" s="4">
        <v>4.7303860240076e-9</v>
      </c>
      <c r="C6" s="4">
        <f t="shared" ref="C6:C37" si="0">(BF6-BF5)/(A6-A5)</f>
        <v>8.65484662976143e-7</v>
      </c>
      <c r="D6" s="4">
        <v>1.0790255365656e-12</v>
      </c>
      <c r="E6" s="4">
        <v>1.3124019540589e-12</v>
      </c>
      <c r="F6" s="4">
        <v>1.3124019538803e-12</v>
      </c>
      <c r="G6" s="4">
        <v>1.3124019533433e-12</v>
      </c>
      <c r="H6" s="4">
        <v>1.0790255357255e-12</v>
      </c>
      <c r="I6" s="4">
        <v>1.0790255359882e-12</v>
      </c>
      <c r="J6" s="4">
        <v>1.0790255358268e-12</v>
      </c>
      <c r="K6" s="4">
        <v>1.1394707231902e-12</v>
      </c>
      <c r="L6" s="4">
        <v>1.1394707237521e-12</v>
      </c>
      <c r="M6" s="4">
        <v>1.1394707229941e-12</v>
      </c>
      <c r="N6" s="4">
        <v>1.1945814558729e-12</v>
      </c>
      <c r="O6" s="4">
        <v>1.0790255357396e-12</v>
      </c>
      <c r="P6" s="4">
        <v>1.1945814555746e-12</v>
      </c>
      <c r="Q6" s="4">
        <v>1.1945814578218e-12</v>
      </c>
      <c r="R6" s="4">
        <v>1.3124019533641e-12</v>
      </c>
      <c r="S6" s="4">
        <v>1.3124019531184e-12</v>
      </c>
      <c r="T6" s="4">
        <v>1.3124019533335e-12</v>
      </c>
      <c r="U6" s="4">
        <v>1.0790255358148e-12</v>
      </c>
      <c r="V6" s="4">
        <v>1.1394707234855e-12</v>
      </c>
      <c r="W6" s="4">
        <v>1.1394707240382e-12</v>
      </c>
      <c r="X6" s="4">
        <v>1.1394707233422e-12</v>
      </c>
      <c r="Y6" s="4">
        <v>1.1945814557889e-12</v>
      </c>
      <c r="Z6" s="4">
        <v>1.1945814577945e-12</v>
      </c>
      <c r="AA6" s="4">
        <v>1.1945814584285e-12</v>
      </c>
      <c r="AB6" s="3">
        <v>0.99994678722835</v>
      </c>
      <c r="AC6" s="3">
        <v>0.99759604104101</v>
      </c>
      <c r="AD6" s="3">
        <v>0.00041162874116605</v>
      </c>
      <c r="AE6" s="4">
        <v>-5.1117262554103e-16</v>
      </c>
      <c r="AF6" s="4">
        <v>2.7718927960405e-15</v>
      </c>
      <c r="AG6" s="4">
        <v>1.9574393800297e-15</v>
      </c>
      <c r="AH6" s="4">
        <v>1.2079234689982e-16</v>
      </c>
      <c r="AI6" s="4">
        <v>-6.6358673469783e-17</v>
      </c>
      <c r="AJ6" s="4">
        <v>5.5109971493573e-16</v>
      </c>
      <c r="AK6" s="4">
        <v>3.1207642791045e-17</v>
      </c>
      <c r="AL6" s="4">
        <v>4.7023572185045e-16</v>
      </c>
      <c r="AM6" s="4">
        <v>1.3301532603607e-16</v>
      </c>
      <c r="AN6" s="4">
        <v>-9.457889504758e-17</v>
      </c>
      <c r="AO6" s="4">
        <v>6.4198899539646e-16</v>
      </c>
      <c r="AP6" s="4">
        <v>2.7921499787509e-18</v>
      </c>
      <c r="AQ6" s="4">
        <v>2.6065950397967e-16</v>
      </c>
      <c r="AR6" s="4">
        <v>-3.7084551722588e-15</v>
      </c>
      <c r="AS6" s="4">
        <v>-3.4976366836618e-16</v>
      </c>
      <c r="AT6" s="4">
        <v>1.7841118927419e-16</v>
      </c>
      <c r="AU6" s="4">
        <v>-5.8811841059298e-16</v>
      </c>
      <c r="AV6" s="4">
        <v>-4.1937238617509e-16</v>
      </c>
      <c r="AW6" s="4">
        <v>-2.4653909242651e-16</v>
      </c>
      <c r="AX6" s="4">
        <v>2.0252634221103e-15</v>
      </c>
      <c r="AY6" s="4">
        <v>3.9176706847159e-16</v>
      </c>
      <c r="AZ6" s="4">
        <v>-1.2578681909811e-15</v>
      </c>
      <c r="BA6" s="4">
        <v>2.4256267344583e-15</v>
      </c>
      <c r="BB6" s="4">
        <v>-7.0155362597958e-15</v>
      </c>
      <c r="BC6" s="3">
        <v>15999997.782026</v>
      </c>
      <c r="BD6" s="3">
        <v>3999999.2685301</v>
      </c>
      <c r="BE6" s="3">
        <v>-0.00020113411378694</v>
      </c>
      <c r="BF6" s="3">
        <v>0.00042113003066513</v>
      </c>
      <c r="BG6" s="3">
        <v>0.00011989967235086</v>
      </c>
      <c r="BH6" s="3">
        <v>-0.00050792346943527</v>
      </c>
      <c r="BI6" s="3">
        <v>100.4570060265</v>
      </c>
      <c r="BJ6" s="3">
        <v>50.232786883434</v>
      </c>
      <c r="BK6" s="3">
        <v>92.444432524753</v>
      </c>
      <c r="BL6" s="5"/>
    </row>
    <row r="7" spans="1:64">
      <c r="A7" s="3">
        <v>3971.6411736214</v>
      </c>
      <c r="B7" s="4">
        <v>5.9075528685149e-8</v>
      </c>
      <c r="C7" s="4">
        <f t="shared" si="0"/>
        <v>1.65545298287344e-11</v>
      </c>
      <c r="D7" s="4">
        <v>1.0790238893312e-12</v>
      </c>
      <c r="E7" s="4">
        <v>1.3123931435419e-12</v>
      </c>
      <c r="F7" s="4">
        <v>1.3123931401908e-12</v>
      </c>
      <c r="G7" s="4">
        <v>1.3123931301416e-12</v>
      </c>
      <c r="H7" s="4">
        <v>1.0790238736222e-12</v>
      </c>
      <c r="I7" s="4">
        <v>1.0790238785305e-12</v>
      </c>
      <c r="J7" s="4">
        <v>1.0790238755125e-12</v>
      </c>
      <c r="K7" s="4">
        <v>1.1394673769458e-12</v>
      </c>
      <c r="L7" s="4">
        <v>1.1394673874573e-12</v>
      </c>
      <c r="M7" s="4">
        <v>1.1394673732847e-12</v>
      </c>
      <c r="N7" s="4">
        <v>1.19457440842e-12</v>
      </c>
      <c r="O7" s="4">
        <v>1.079023873886e-12</v>
      </c>
      <c r="P7" s="4">
        <v>1.1945744028421e-12</v>
      </c>
      <c r="Q7" s="4">
        <v>1.1945744449003e-12</v>
      </c>
      <c r="R7" s="4">
        <v>1.3123931305287e-12</v>
      </c>
      <c r="S7" s="4">
        <v>1.3123931259388e-12</v>
      </c>
      <c r="T7" s="4">
        <v>1.3123931299558e-12</v>
      </c>
      <c r="U7" s="4">
        <v>1.0790238752925e-12</v>
      </c>
      <c r="V7" s="4">
        <v>1.1394673824729e-12</v>
      </c>
      <c r="W7" s="4">
        <v>1.1394673928157e-12</v>
      </c>
      <c r="X7" s="4">
        <v>1.1394673797975e-12</v>
      </c>
      <c r="Y7" s="4">
        <v>1.1945744068577e-12</v>
      </c>
      <c r="Z7" s="4">
        <v>1.1945744444098e-12</v>
      </c>
      <c r="AA7" s="4">
        <v>1.1945744562753e-12</v>
      </c>
      <c r="AB7" s="3">
        <v>0.99999291524022</v>
      </c>
      <c r="AC7" s="3">
        <v>0.99759597753469</v>
      </c>
      <c r="AD7" s="3">
        <v>0.00041167390495231</v>
      </c>
      <c r="AE7" s="4">
        <v>-5.1124958646427e-16</v>
      </c>
      <c r="AF7" s="4">
        <v>2.7714536361494e-15</v>
      </c>
      <c r="AG7" s="4">
        <v>1.9572356231444e-15</v>
      </c>
      <c r="AH7" s="4">
        <v>1.208467325833e-16</v>
      </c>
      <c r="AI7" s="4">
        <v>-6.6364438150652e-17</v>
      </c>
      <c r="AJ7" s="4">
        <v>5.510915092126e-16</v>
      </c>
      <c r="AK7" s="4">
        <v>3.1208628128114e-17</v>
      </c>
      <c r="AL7" s="4">
        <v>4.7023179418891e-16</v>
      </c>
      <c r="AM7" s="4">
        <v>1.3336527131415e-16</v>
      </c>
      <c r="AN7" s="4">
        <v>-9.4576644375412e-17</v>
      </c>
      <c r="AO7" s="4">
        <v>6.4195521162825e-16</v>
      </c>
      <c r="AP7" s="4">
        <v>2.8067978418508e-18</v>
      </c>
      <c r="AQ7" s="4">
        <v>2.606759948877e-16</v>
      </c>
      <c r="AR7" s="4">
        <v>-3.7082457261607e-15</v>
      </c>
      <c r="AS7" s="4">
        <v>-3.4967036384035e-16</v>
      </c>
      <c r="AT7" s="4">
        <v>1.7837429116114e-16</v>
      </c>
      <c r="AU7" s="4">
        <v>-5.8803428118484e-16</v>
      </c>
      <c r="AV7" s="4">
        <v>-4.1937778163055e-16</v>
      </c>
      <c r="AW7" s="4">
        <v>-2.4650136178661e-16</v>
      </c>
      <c r="AX7" s="4">
        <v>2.0250168313413e-15</v>
      </c>
      <c r="AY7" s="4">
        <v>3.9172966881566e-16</v>
      </c>
      <c r="AZ7" s="4">
        <v>-1.2576603784441e-15</v>
      </c>
      <c r="BA7" s="4">
        <v>2.42558390172e-15</v>
      </c>
      <c r="BB7" s="4">
        <v>-7.0152935822776e-15</v>
      </c>
      <c r="BC7" s="3">
        <v>15999973.059651</v>
      </c>
      <c r="BD7" s="3">
        <v>3999990.8834864</v>
      </c>
      <c r="BE7" s="3">
        <v>-0.00020112481562221</v>
      </c>
      <c r="BF7" s="3">
        <v>0.00042118920445218</v>
      </c>
      <c r="BG7" s="3">
        <v>0.00011993251272413</v>
      </c>
      <c r="BH7" s="3">
        <v>-0.00050793085046421</v>
      </c>
      <c r="BI7" s="3">
        <v>100.45700581385</v>
      </c>
      <c r="BJ7" s="3">
        <v>50.232787014057</v>
      </c>
      <c r="BK7" s="3">
        <v>92.443754357741</v>
      </c>
      <c r="BL7" s="5"/>
    </row>
    <row r="8" spans="1:64">
      <c r="A8" s="3">
        <v>39716.411736214</v>
      </c>
      <c r="B8" s="4">
        <v>6.0250532611481e-7</v>
      </c>
      <c r="C8" s="4">
        <f t="shared" si="0"/>
        <v>1.65535380212858e-11</v>
      </c>
      <c r="D8" s="4">
        <v>1.0790074007775e-12</v>
      </c>
      <c r="E8" s="4">
        <v>1.3123050452817e-12</v>
      </c>
      <c r="F8" s="4">
        <v>1.3123050102531e-12</v>
      </c>
      <c r="G8" s="4">
        <v>1.312304905201e-12</v>
      </c>
      <c r="H8" s="4">
        <v>1.0790072364388e-12</v>
      </c>
      <c r="I8" s="4">
        <v>1.0790072877726e-12</v>
      </c>
      <c r="J8" s="4">
        <v>1.079007256216e-12</v>
      </c>
      <c r="K8" s="4">
        <v>1.1394339007899e-12</v>
      </c>
      <c r="L8" s="4">
        <v>1.1394340108212e-12</v>
      </c>
      <c r="M8" s="4">
        <v>1.139433862456e-12</v>
      </c>
      <c r="N8" s="4">
        <v>1.1945039382756e-12</v>
      </c>
      <c r="O8" s="4">
        <v>1.0790072391977e-12</v>
      </c>
      <c r="P8" s="4">
        <v>1.1945038799028e-12</v>
      </c>
      <c r="Q8" s="4">
        <v>1.1945043201337e-12</v>
      </c>
      <c r="R8" s="4">
        <v>1.3123049091856e-12</v>
      </c>
      <c r="S8" s="4">
        <v>1.3123048611935e-12</v>
      </c>
      <c r="T8" s="4">
        <v>1.3123049032174e-12</v>
      </c>
      <c r="U8" s="4">
        <v>1.079007253927e-12</v>
      </c>
      <c r="V8" s="4">
        <v>1.1394339585115e-12</v>
      </c>
      <c r="W8" s="4">
        <v>1.1394340668532e-12</v>
      </c>
      <c r="X8" s="4">
        <v>1.1394339306865e-12</v>
      </c>
      <c r="Y8" s="4">
        <v>1.1945039218681e-12</v>
      </c>
      <c r="Z8" s="4">
        <v>1.1945043149209e-12</v>
      </c>
      <c r="AA8" s="4">
        <v>1.1945044392268e-12</v>
      </c>
      <c r="AB8" s="3">
        <v>0.99999926429085</v>
      </c>
      <c r="AC8" s="3">
        <v>0.99759534216696</v>
      </c>
      <c r="AD8" s="3">
        <v>0.00041212564457018</v>
      </c>
      <c r="AE8" s="4">
        <v>-5.1201914612368e-16</v>
      </c>
      <c r="AF8" s="4">
        <v>2.7670648166072e-15</v>
      </c>
      <c r="AG8" s="4">
        <v>1.9551993521621e-15</v>
      </c>
      <c r="AH8" s="4">
        <v>1.2139081058365e-16</v>
      </c>
      <c r="AI8" s="4">
        <v>-6.6422047795479e-17</v>
      </c>
      <c r="AJ8" s="4">
        <v>5.5100917016683e-16</v>
      </c>
      <c r="AK8" s="4">
        <v>3.121834218525e-17</v>
      </c>
      <c r="AL8" s="4">
        <v>4.7019284922769e-16</v>
      </c>
      <c r="AM8" s="4">
        <v>1.3686708697838e-16</v>
      </c>
      <c r="AN8" s="4">
        <v>-9.4554119309696e-17</v>
      </c>
      <c r="AO8" s="4">
        <v>6.416176874578e-16</v>
      </c>
      <c r="AP8" s="4">
        <v>2.9532047610381e-18</v>
      </c>
      <c r="AQ8" s="4">
        <v>2.6084046933401e-16</v>
      </c>
      <c r="AR8" s="4">
        <v>-3.7061474833833e-15</v>
      </c>
      <c r="AS8" s="4">
        <v>-3.487378359497e-16</v>
      </c>
      <c r="AT8" s="4">
        <v>1.7800547867442e-16</v>
      </c>
      <c r="AU8" s="4">
        <v>-5.8719312718536e-16</v>
      </c>
      <c r="AV8" s="4">
        <v>-4.194318232787e-16</v>
      </c>
      <c r="AW8" s="4">
        <v>-2.4612344305413e-16</v>
      </c>
      <c r="AX8" s="4">
        <v>2.022550147544e-15</v>
      </c>
      <c r="AY8" s="4">
        <v>3.9135467930334e-16</v>
      </c>
      <c r="AZ8" s="4">
        <v>-1.2555837968233e-15</v>
      </c>
      <c r="BA8" s="4">
        <v>2.4251537087523e-15</v>
      </c>
      <c r="BB8" s="4">
        <v>-7.0128619212644e-15</v>
      </c>
      <c r="BC8" s="3">
        <v>15999725.842329</v>
      </c>
      <c r="BD8" s="3">
        <v>3999907.0365885</v>
      </c>
      <c r="BE8" s="3">
        <v>-0.0002010318135314</v>
      </c>
      <c r="BF8" s="3">
        <v>0.00042178090687075</v>
      </c>
      <c r="BG8" s="3">
        <v>0.00012026090854102</v>
      </c>
      <c r="BH8" s="3">
        <v>-0.00050763367570258</v>
      </c>
      <c r="BI8" s="3">
        <v>100.45700516482</v>
      </c>
      <c r="BJ8" s="3">
        <v>50.2327885021</v>
      </c>
      <c r="BK8" s="3">
        <v>92.436977661662</v>
      </c>
      <c r="BL8" s="5"/>
    </row>
    <row r="9" spans="1:64">
      <c r="A9" s="3">
        <v>397164.11736214</v>
      </c>
      <c r="B9" s="4">
        <v>6.0346392034065e-6</v>
      </c>
      <c r="C9" s="4">
        <f t="shared" si="0"/>
        <v>1.65416847930976e-11</v>
      </c>
      <c r="D9" s="4">
        <v>1.0788421925238e-12</v>
      </c>
      <c r="E9" s="4">
        <v>1.3114263416587e-12</v>
      </c>
      <c r="F9" s="4">
        <v>1.3114259945355e-12</v>
      </c>
      <c r="G9" s="4">
        <v>1.3114249513776e-12</v>
      </c>
      <c r="H9" s="4">
        <v>1.0788405477676e-12</v>
      </c>
      <c r="I9" s="4">
        <v>1.0788410603954e-12</v>
      </c>
      <c r="J9" s="4">
        <v>1.0788407461304e-12</v>
      </c>
      <c r="K9" s="4">
        <v>1.1390990434727e-12</v>
      </c>
      <c r="L9" s="4">
        <v>1.1391001510846e-12</v>
      </c>
      <c r="M9" s="4">
        <v>1.1390986560536e-12</v>
      </c>
      <c r="N9" s="4">
        <v>1.1938012996851e-12</v>
      </c>
      <c r="O9" s="4">
        <v>1.0788405752957e-12</v>
      </c>
      <c r="P9" s="4">
        <v>1.1938007134775e-12</v>
      </c>
      <c r="Q9" s="4">
        <v>1.1938051417065e-12</v>
      </c>
      <c r="R9" s="4">
        <v>1.3114249848921e-12</v>
      </c>
      <c r="S9" s="4">
        <v>1.3114245067898e-12</v>
      </c>
      <c r="T9" s="4">
        <v>1.3114249276347e-12</v>
      </c>
      <c r="U9" s="4">
        <v>1.0788407242567e-12</v>
      </c>
      <c r="V9" s="4">
        <v>1.1390996108491e-12</v>
      </c>
      <c r="W9" s="4">
        <v>1.1391007089556e-12</v>
      </c>
      <c r="X9" s="4">
        <v>1.1390993485137e-12</v>
      </c>
      <c r="Y9" s="4">
        <v>1.193801128702e-12</v>
      </c>
      <c r="Z9" s="4">
        <v>1.1938050802086e-12</v>
      </c>
      <c r="AA9" s="4">
        <v>1.193806341602e-12</v>
      </c>
      <c r="AB9" s="3">
        <v>0.999999926177</v>
      </c>
      <c r="AC9" s="3">
        <v>0.99758892348386</v>
      </c>
      <c r="AD9" s="3">
        <v>0.00041665247368103</v>
      </c>
      <c r="AE9" s="4">
        <v>-5.1971356937162e-16</v>
      </c>
      <c r="AF9" s="4">
        <v>2.7234985922319e-15</v>
      </c>
      <c r="AG9" s="4">
        <v>1.9349921419496e-15</v>
      </c>
      <c r="AH9" s="4">
        <v>1.2685323495735e-16</v>
      </c>
      <c r="AI9" s="4">
        <v>-6.6996603828249e-17</v>
      </c>
      <c r="AJ9" s="4">
        <v>5.5016079158178e-16</v>
      </c>
      <c r="AK9" s="4">
        <v>3.1298555092952e-17</v>
      </c>
      <c r="AL9" s="4">
        <v>4.6983713367844e-16</v>
      </c>
      <c r="AM9" s="4">
        <v>1.7211678900796e-16</v>
      </c>
      <c r="AN9" s="4">
        <v>-9.4333979894423e-17</v>
      </c>
      <c r="AO9" s="4">
        <v>6.3828171859156e-16</v>
      </c>
      <c r="AP9" s="4">
        <v>4.4106416831802e-18</v>
      </c>
      <c r="AQ9" s="4">
        <v>2.624429692949e-16</v>
      </c>
      <c r="AR9" s="4">
        <v>-3.6849131573416e-15</v>
      </c>
      <c r="AS9" s="4">
        <v>-3.394743374222e-16</v>
      </c>
      <c r="AT9" s="4">
        <v>1.7433514181232e-16</v>
      </c>
      <c r="AU9" s="4">
        <v>-5.788059982942e-16</v>
      </c>
      <c r="AV9" s="4">
        <v>-4.1998571979045e-16</v>
      </c>
      <c r="AW9" s="4">
        <v>-2.4229097471024e-16</v>
      </c>
      <c r="AX9" s="4">
        <v>1.9978290394831e-15</v>
      </c>
      <c r="AY9" s="4">
        <v>3.8750682409396e-16</v>
      </c>
      <c r="AZ9" s="4">
        <v>-1.2349898656239e-15</v>
      </c>
      <c r="BA9" s="4">
        <v>2.420725331072e-15</v>
      </c>
      <c r="BB9" s="4">
        <v>-6.9881967000718e-15</v>
      </c>
      <c r="BC9" s="3">
        <v>15997254.312689</v>
      </c>
      <c r="BD9" s="3">
        <v>3999068.9211376</v>
      </c>
      <c r="BE9" s="3">
        <v>-0.00020009966056773</v>
      </c>
      <c r="BF9" s="3">
        <v>0.00042769369414723</v>
      </c>
      <c r="BG9" s="3">
        <v>0.00012354422249021</v>
      </c>
      <c r="BH9" s="3">
        <v>-0.0005049048141171</v>
      </c>
      <c r="BI9" s="3">
        <v>100.45699855097</v>
      </c>
      <c r="BJ9" s="3">
        <v>50.232803032499</v>
      </c>
      <c r="BK9" s="3">
        <v>92.369601338773</v>
      </c>
      <c r="BL9" s="5"/>
    </row>
    <row r="10" spans="1:64">
      <c r="A10" s="3">
        <v>44562.546906687</v>
      </c>
      <c r="B10" s="4">
        <v>6.7617757108898e-7</v>
      </c>
      <c r="C10" s="4">
        <f t="shared" si="0"/>
        <v>1.6541616397613e-11</v>
      </c>
      <c r="D10" s="4">
        <v>1.0790000521364e-12</v>
      </c>
      <c r="E10" s="4">
        <v>1.3122661619107e-12</v>
      </c>
      <c r="F10" s="4">
        <v>1.3122661129614e-12</v>
      </c>
      <c r="G10" s="4">
        <v>1.3122659661431e-12</v>
      </c>
      <c r="H10" s="4">
        <v>1.0789998223758e-12</v>
      </c>
      <c r="I10" s="4">
        <v>1.0789998941378e-12</v>
      </c>
      <c r="J10" s="4">
        <v>1.0789998500289e-12</v>
      </c>
      <c r="K10" s="4">
        <v>1.1394190680303e-12</v>
      </c>
      <c r="L10" s="4">
        <v>1.1394192219064e-12</v>
      </c>
      <c r="M10" s="4">
        <v>1.1394190144121e-12</v>
      </c>
      <c r="N10" s="4">
        <v>1.1944728073778e-12</v>
      </c>
      <c r="O10" s="4">
        <v>1.0789998262326e-12</v>
      </c>
      <c r="P10" s="4">
        <v>1.1944727257536e-12</v>
      </c>
      <c r="Q10" s="4">
        <v>1.1944733413826e-12</v>
      </c>
      <c r="R10" s="4">
        <v>1.3122659716717e-12</v>
      </c>
      <c r="S10" s="4">
        <v>1.3122659045894e-12</v>
      </c>
      <c r="T10" s="4">
        <v>1.3122659633442e-12</v>
      </c>
      <c r="U10" s="4">
        <v>1.0789998468352e-12</v>
      </c>
      <c r="V10" s="4">
        <v>1.1394191486628e-12</v>
      </c>
      <c r="W10" s="4">
        <v>1.1394193002244e-12</v>
      </c>
      <c r="X10" s="4">
        <v>1.1394191098673e-12</v>
      </c>
      <c r="Y10" s="4">
        <v>1.1944727843936e-12</v>
      </c>
      <c r="Z10" s="4">
        <v>1.1944733340356e-12</v>
      </c>
      <c r="AA10" s="4">
        <v>1.1944735079387e-12</v>
      </c>
      <c r="AB10" s="3">
        <v>0.99998892429092</v>
      </c>
      <c r="AC10" s="3">
        <v>0.9975950633436</v>
      </c>
      <c r="AD10" s="3">
        <v>0.00041218688039936</v>
      </c>
      <c r="AE10" s="4">
        <v>-5.1235794350801e-16</v>
      </c>
      <c r="AF10" s="4">
        <v>2.7651314346462e-15</v>
      </c>
      <c r="AG10" s="4">
        <v>1.9543024555243e-15</v>
      </c>
      <c r="AH10" s="4">
        <v>1.2163052768231e-16</v>
      </c>
      <c r="AI10" s="4">
        <v>-6.6447329671062e-17</v>
      </c>
      <c r="AJ10" s="4">
        <v>5.5097269288695e-16</v>
      </c>
      <c r="AK10" s="4">
        <v>3.1222753104791e-17</v>
      </c>
      <c r="AL10" s="4">
        <v>4.7017586273499e-16</v>
      </c>
      <c r="AM10" s="4">
        <v>1.3841033192939e-16</v>
      </c>
      <c r="AN10" s="4">
        <v>-9.4543857303252e-17</v>
      </c>
      <c r="AO10" s="4">
        <v>6.4146891170052e-16</v>
      </c>
      <c r="AP10" s="4">
        <v>3.0175795977997e-18</v>
      </c>
      <c r="AQ10" s="4">
        <v>2.6091264910237e-16</v>
      </c>
      <c r="AR10" s="4">
        <v>-3.7052159832819e-15</v>
      </c>
      <c r="AS10" s="4">
        <v>-3.4832690205618e-16</v>
      </c>
      <c r="AT10" s="4">
        <v>1.7784310816746e-16</v>
      </c>
      <c r="AU10" s="4">
        <v>-5.8682242947964e-16</v>
      </c>
      <c r="AV10" s="4">
        <v>-4.1945550259423e-16</v>
      </c>
      <c r="AW10" s="4">
        <v>-2.4595649070851e-16</v>
      </c>
      <c r="AX10" s="4">
        <v>2.021462771476e-15</v>
      </c>
      <c r="AY10" s="4">
        <v>3.9118899846351e-16</v>
      </c>
      <c r="AZ10" s="4">
        <v>-1.254669331169e-15</v>
      </c>
      <c r="BA10" s="4">
        <v>2.4249613578167e-15</v>
      </c>
      <c r="BB10" s="4">
        <v>-7.0117827202562e-15</v>
      </c>
      <c r="BC10" s="3">
        <v>15999692.326711</v>
      </c>
      <c r="BD10" s="3">
        <v>3999895.6695788</v>
      </c>
      <c r="BE10" s="3">
        <v>-0.00020101920415028</v>
      </c>
      <c r="BF10" s="3">
        <v>0.00042186109422756</v>
      </c>
      <c r="BG10" s="3">
        <v>0.00012030543088741</v>
      </c>
      <c r="BH10" s="3">
        <v>-0.00050759193792653</v>
      </c>
      <c r="BI10" s="3">
        <v>100.45700508115</v>
      </c>
      <c r="BJ10" s="3">
        <v>50.232788704099</v>
      </c>
      <c r="BK10" s="3">
        <v>92.436056903454</v>
      </c>
      <c r="BL10" s="5"/>
    </row>
    <row r="11" spans="1:64">
      <c r="A11" s="3">
        <v>50000</v>
      </c>
      <c r="B11" s="4">
        <v>7.5883821828831e-7</v>
      </c>
      <c r="C11" s="4">
        <f t="shared" si="0"/>
        <v>1.65510689261254e-11</v>
      </c>
      <c r="D11" s="4">
        <v>1.0789969185574e-12</v>
      </c>
      <c r="E11" s="4">
        <v>1.3122494809122e-12</v>
      </c>
      <c r="F11" s="4">
        <v>1.3122494259873e-12</v>
      </c>
      <c r="G11" s="4">
        <v>1.3122492612331e-12</v>
      </c>
      <c r="H11" s="4">
        <v>1.0789966606828e-12</v>
      </c>
      <c r="I11" s="4">
        <v>1.078996741222e-12</v>
      </c>
      <c r="J11" s="4">
        <v>1.0789966917212e-12</v>
      </c>
      <c r="K11" s="4">
        <v>1.1394127189711e-12</v>
      </c>
      <c r="L11" s="4">
        <v>1.1394128916985e-12</v>
      </c>
      <c r="M11" s="4">
        <v>1.1394126587797e-12</v>
      </c>
      <c r="N11" s="4">
        <v>1.1944594616055e-12</v>
      </c>
      <c r="O11" s="4">
        <v>1.0789966650115e-12</v>
      </c>
      <c r="P11" s="4">
        <v>1.194459369986e-12</v>
      </c>
      <c r="Q11" s="4">
        <v>1.1944600610205e-12</v>
      </c>
      <c r="R11" s="4">
        <v>1.3122492674156e-12</v>
      </c>
      <c r="S11" s="4">
        <v>1.3122491921333e-12</v>
      </c>
      <c r="T11" s="4">
        <v>1.3122492580782e-12</v>
      </c>
      <c r="U11" s="4">
        <v>1.0789966881398e-12</v>
      </c>
      <c r="V11" s="4">
        <v>1.1394128094341e-12</v>
      </c>
      <c r="W11" s="4">
        <v>1.1394129795881e-12</v>
      </c>
      <c r="X11" s="4">
        <v>1.139412765948e-12</v>
      </c>
      <c r="Y11" s="4">
        <v>1.1944594357844e-12</v>
      </c>
      <c r="Z11" s="4">
        <v>1.1944600527442e-12</v>
      </c>
      <c r="AA11" s="4">
        <v>1.1944602479853e-12</v>
      </c>
      <c r="AB11" s="3">
        <v>0.99999006111096</v>
      </c>
      <c r="AC11" s="3">
        <v>0.99759494308405</v>
      </c>
      <c r="AD11" s="3">
        <v>0.00041225561239943</v>
      </c>
      <c r="AE11" s="4">
        <v>-5.1250357110287e-16</v>
      </c>
      <c r="AF11" s="4">
        <v>2.7643013819316e-15</v>
      </c>
      <c r="AG11" s="4">
        <v>1.9539173896499e-15</v>
      </c>
      <c r="AH11" s="4">
        <v>1.2173359282089e-16</v>
      </c>
      <c r="AI11" s="4">
        <v>-6.6458222604318e-17</v>
      </c>
      <c r="AJ11" s="4">
        <v>5.50956982033e-16</v>
      </c>
      <c r="AK11" s="4">
        <v>3.122456410793e-17</v>
      </c>
      <c r="AL11" s="4">
        <v>4.7016859635303e-16</v>
      </c>
      <c r="AM11" s="4">
        <v>1.3907398304602e-16</v>
      </c>
      <c r="AN11" s="4">
        <v>-9.4539564421173e-17</v>
      </c>
      <c r="AO11" s="4">
        <v>6.4140509690244e-16</v>
      </c>
      <c r="AP11" s="4">
        <v>3.0452569842086e-18</v>
      </c>
      <c r="AQ11" s="4">
        <v>2.6094362580302e-16</v>
      </c>
      <c r="AR11" s="4">
        <v>-3.7048170231636e-15</v>
      </c>
      <c r="AS11" s="4">
        <v>-3.4815049623184e-16</v>
      </c>
      <c r="AT11" s="4">
        <v>1.7777334401012e-16</v>
      </c>
      <c r="AU11" s="4">
        <v>-5.8666322831338e-16</v>
      </c>
      <c r="AV11" s="4">
        <v>-4.1946576321045e-16</v>
      </c>
      <c r="AW11" s="4">
        <v>-2.4588470428619e-16</v>
      </c>
      <c r="AX11" s="4">
        <v>2.0209955543743e-15</v>
      </c>
      <c r="AY11" s="4">
        <v>3.9111765536756e-16</v>
      </c>
      <c r="AZ11" s="4">
        <v>-1.2542766954543e-15</v>
      </c>
      <c r="BA11" s="4">
        <v>2.4248791105483e-15</v>
      </c>
      <c r="BB11" s="4">
        <v>-7.0113202138721e-15</v>
      </c>
      <c r="BC11" s="3">
        <v>15999654.721856</v>
      </c>
      <c r="BD11" s="3">
        <v>3999882.9157424</v>
      </c>
      <c r="BE11" s="3">
        <v>-0.00020100505200032</v>
      </c>
      <c r="BF11" s="3">
        <v>0.00042195108988849</v>
      </c>
      <c r="BG11" s="3">
        <v>0.00012035538462076</v>
      </c>
      <c r="BH11" s="3">
        <v>-0.00050754648977993</v>
      </c>
      <c r="BI11" s="3">
        <v>100.45700498366</v>
      </c>
      <c r="BJ11" s="3">
        <v>50.2327889303</v>
      </c>
      <c r="BK11" s="3">
        <v>92.43502653764</v>
      </c>
      <c r="BL11" s="5"/>
    </row>
    <row r="12" spans="1:64">
      <c r="A12" s="3">
        <v>56100.922715098</v>
      </c>
      <c r="B12" s="4">
        <v>8.5158376800918e-7</v>
      </c>
      <c r="C12" s="4">
        <f t="shared" si="0"/>
        <v>1.65506776229312e-11</v>
      </c>
      <c r="D12" s="4">
        <v>1.0789934022944e-12</v>
      </c>
      <c r="E12" s="4">
        <v>1.3122307664421e-12</v>
      </c>
      <c r="F12" s="4">
        <v>1.3122307048168e-12</v>
      </c>
      <c r="G12" s="4">
        <v>1.3122305199484e-12</v>
      </c>
      <c r="H12" s="4">
        <v>1.0789931128806e-12</v>
      </c>
      <c r="I12" s="4">
        <v>1.0789932032653e-12</v>
      </c>
      <c r="J12" s="4">
        <v>1.078993147717e-12</v>
      </c>
      <c r="K12" s="4">
        <v>1.1394055950831e-12</v>
      </c>
      <c r="L12" s="4">
        <v>1.1394057889643e-12</v>
      </c>
      <c r="M12" s="4">
        <v>1.1394055275147e-12</v>
      </c>
      <c r="N12" s="4">
        <v>1.1944444891458e-12</v>
      </c>
      <c r="O12" s="4">
        <v>1.0789931177385e-12</v>
      </c>
      <c r="P12" s="4">
        <v>1.1944443863113e-12</v>
      </c>
      <c r="Q12" s="4">
        <v>1.1944451619576e-12</v>
      </c>
      <c r="R12" s="4">
        <v>1.3122305268589e-12</v>
      </c>
      <c r="S12" s="4">
        <v>1.3122304423794e-12</v>
      </c>
      <c r="T12" s="4">
        <v>1.3122305163907e-12</v>
      </c>
      <c r="U12" s="4">
        <v>1.0789931437015e-12</v>
      </c>
      <c r="V12" s="4">
        <v>1.1394056965657e-12</v>
      </c>
      <c r="W12" s="4">
        <v>1.1394058875891e-12</v>
      </c>
      <c r="X12" s="4">
        <v>1.1394056478313e-12</v>
      </c>
      <c r="Y12" s="4">
        <v>1.1944444601362e-12</v>
      </c>
      <c r="Z12" s="4">
        <v>1.1944451526311e-12</v>
      </c>
      <c r="AA12" s="4">
        <v>1.1944453718246e-12</v>
      </c>
      <c r="AB12" s="3">
        <v>0.99999108729466</v>
      </c>
      <c r="AC12" s="3">
        <v>0.99759480811343</v>
      </c>
      <c r="AD12" s="3">
        <v>0.00041233273542494</v>
      </c>
      <c r="AE12" s="4">
        <v>-5.1266696080639e-16</v>
      </c>
      <c r="AF12" s="4">
        <v>2.7633702907322e-15</v>
      </c>
      <c r="AG12" s="4">
        <v>1.9534854590467e-15</v>
      </c>
      <c r="AH12" s="4">
        <v>1.2184924900716e-16</v>
      </c>
      <c r="AI12" s="4">
        <v>-6.6470443762359e-17</v>
      </c>
      <c r="AJ12" s="4">
        <v>5.5093933101388e-16</v>
      </c>
      <c r="AK12" s="4">
        <v>3.1226583576332e-17</v>
      </c>
      <c r="AL12" s="4">
        <v>4.7016046802075e-16</v>
      </c>
      <c r="AM12" s="4">
        <v>1.3981877965506e-16</v>
      </c>
      <c r="AN12" s="4">
        <v>-9.4534751496703e-17</v>
      </c>
      <c r="AO12" s="4">
        <v>6.4133352407943e-16</v>
      </c>
      <c r="AP12" s="4">
        <v>3.076305206641e-18</v>
      </c>
      <c r="AQ12" s="4">
        <v>2.6097834816804e-16</v>
      </c>
      <c r="AR12" s="4">
        <v>-3.7043691708918e-15</v>
      </c>
      <c r="AS12" s="4">
        <v>-3.479526117715e-16</v>
      </c>
      <c r="AT12" s="4">
        <v>1.7769508107075e-16</v>
      </c>
      <c r="AU12" s="4">
        <v>-5.8648462086888e-16</v>
      </c>
      <c r="AV12" s="4">
        <v>-4.1947728717688e-16</v>
      </c>
      <c r="AW12" s="4">
        <v>-2.4580411324149e-16</v>
      </c>
      <c r="AX12" s="4">
        <v>2.0204712926355e-15</v>
      </c>
      <c r="AY12" s="4">
        <v>3.9103753007414e-16</v>
      </c>
      <c r="AZ12" s="4">
        <v>-1.2538362828809e-15</v>
      </c>
      <c r="BA12" s="4">
        <v>2.4247867159146e-15</v>
      </c>
      <c r="BB12" s="4">
        <v>-7.0108009801812e-15</v>
      </c>
      <c r="BC12" s="3">
        <v>15999612.528877</v>
      </c>
      <c r="BD12" s="3">
        <v>3999868.6059017</v>
      </c>
      <c r="BE12" s="3">
        <v>-0.0002009891718245</v>
      </c>
      <c r="BF12" s="3">
        <v>0.00042205206429355</v>
      </c>
      <c r="BG12" s="3">
        <v>0.00012041143326824</v>
      </c>
      <c r="BH12" s="3">
        <v>-0.00050749547470284</v>
      </c>
      <c r="BI12" s="3">
        <v>100.45700487446</v>
      </c>
      <c r="BJ12" s="3">
        <v>50.232789184064</v>
      </c>
      <c r="BK12" s="3">
        <v>92.433870650091</v>
      </c>
      <c r="BL12" s="5"/>
    </row>
    <row r="13" spans="1:64">
      <c r="A13" s="3">
        <v>62946.270589709</v>
      </c>
      <c r="B13" s="4">
        <v>9.5564444843713e-7</v>
      </c>
      <c r="C13" s="4">
        <f t="shared" si="0"/>
        <v>1.65502387278512e-11</v>
      </c>
      <c r="D13" s="4">
        <v>1.0789894565673e-12</v>
      </c>
      <c r="E13" s="4">
        <v>1.312209770875e-12</v>
      </c>
      <c r="F13" s="4">
        <v>1.312209701737e-12</v>
      </c>
      <c r="G13" s="4">
        <v>1.312209494313e-12</v>
      </c>
      <c r="H13" s="4">
        <v>1.0789891317719e-12</v>
      </c>
      <c r="I13" s="4">
        <v>1.0789892332005e-12</v>
      </c>
      <c r="J13" s="4">
        <v>1.0789891708695e-12</v>
      </c>
      <c r="K13" s="4">
        <v>1.1393976017903e-12</v>
      </c>
      <c r="L13" s="4">
        <v>1.139397819409e-12</v>
      </c>
      <c r="M13" s="4">
        <v>1.1393975259422e-12</v>
      </c>
      <c r="N13" s="4">
        <v>1.1944276919628e-12</v>
      </c>
      <c r="O13" s="4">
        <v>1.0789891372235e-12</v>
      </c>
      <c r="P13" s="4">
        <v>1.1944275765449e-12</v>
      </c>
      <c r="Q13" s="4">
        <v>1.1944284471338e-12</v>
      </c>
      <c r="R13" s="4">
        <v>1.3122095020334e-12</v>
      </c>
      <c r="S13" s="4">
        <v>1.3122094072387e-12</v>
      </c>
      <c r="T13" s="4">
        <v>1.3122094902993e-12</v>
      </c>
      <c r="U13" s="4">
        <v>1.078989166368e-12</v>
      </c>
      <c r="V13" s="4">
        <v>1.1393977156238e-12</v>
      </c>
      <c r="W13" s="4">
        <v>1.1393979300734e-12</v>
      </c>
      <c r="X13" s="4">
        <v>1.139397661019e-12</v>
      </c>
      <c r="Y13" s="4">
        <v>1.1944276593689e-12</v>
      </c>
      <c r="Z13" s="4">
        <v>1.1944284366196e-12</v>
      </c>
      <c r="AA13" s="4">
        <v>1.1944286827016e-12</v>
      </c>
      <c r="AB13" s="3">
        <v>0.99999201245817</v>
      </c>
      <c r="AC13" s="3">
        <v>0.99759465662706</v>
      </c>
      <c r="AD13" s="3">
        <v>0.00041241927448481</v>
      </c>
      <c r="AE13" s="4">
        <v>-5.1285027799809e-16</v>
      </c>
      <c r="AF13" s="4">
        <v>2.7623258954279e-15</v>
      </c>
      <c r="AG13" s="4">
        <v>1.9530009764228e-15</v>
      </c>
      <c r="AH13" s="4">
        <v>1.2197903650494e-16</v>
      </c>
      <c r="AI13" s="4">
        <v>-6.6484154982432e-17</v>
      </c>
      <c r="AJ13" s="4">
        <v>5.5091949709929e-16</v>
      </c>
      <c r="AK13" s="4">
        <v>3.1228833710839e-17</v>
      </c>
      <c r="AL13" s="4">
        <v>4.7015137893458e-16</v>
      </c>
      <c r="AM13" s="4">
        <v>1.4065466640327e-16</v>
      </c>
      <c r="AN13" s="4">
        <v>-9.4529356049177e-17</v>
      </c>
      <c r="AO13" s="4">
        <v>6.4125325394603e-16</v>
      </c>
      <c r="AP13" s="4">
        <v>3.111133929315e-18</v>
      </c>
      <c r="AQ13" s="4">
        <v>2.6101726442234e-16</v>
      </c>
      <c r="AR13" s="4">
        <v>-3.7038664061937e-15</v>
      </c>
      <c r="AS13" s="4">
        <v>-3.4773063984122e-16</v>
      </c>
      <c r="AT13" s="4">
        <v>1.776072858886e-16</v>
      </c>
      <c r="AU13" s="4">
        <v>-5.8628424417911e-16</v>
      </c>
      <c r="AV13" s="4">
        <v>-4.1949023158257e-16</v>
      </c>
      <c r="AW13" s="4">
        <v>-2.4571363158611e-16</v>
      </c>
      <c r="AX13" s="4">
        <v>2.0198830164723e-15</v>
      </c>
      <c r="AY13" s="4">
        <v>3.9094753104236e-16</v>
      </c>
      <c r="AZ13" s="4">
        <v>-1.2533422979184e-15</v>
      </c>
      <c r="BA13" s="4">
        <v>2.4246829068629e-15</v>
      </c>
      <c r="BB13" s="4">
        <v>-7.0102180217109e-15</v>
      </c>
      <c r="BC13" s="3">
        <v>15999565.188033</v>
      </c>
      <c r="BD13" s="3">
        <v>3999852.5502471</v>
      </c>
      <c r="BE13" s="3">
        <v>-0.00020097135246102</v>
      </c>
      <c r="BF13" s="3">
        <v>0.00042216535643505</v>
      </c>
      <c r="BG13" s="3">
        <v>0.00012047432042798</v>
      </c>
      <c r="BH13" s="3">
        <v>-0.00050743821485651</v>
      </c>
      <c r="BI13" s="3">
        <v>100.45700475217</v>
      </c>
      <c r="BJ13" s="3">
        <v>50.232789468731</v>
      </c>
      <c r="BK13" s="3">
        <v>92.432573977067</v>
      </c>
      <c r="BL13" s="5"/>
    </row>
    <row r="14" spans="1:64">
      <c r="A14" s="3">
        <v>70626.877231138</v>
      </c>
      <c r="B14" s="4">
        <v>1.0724005168079e-6</v>
      </c>
      <c r="C14" s="4">
        <f t="shared" si="0"/>
        <v>1.65497464528848e-11</v>
      </c>
      <c r="D14" s="4">
        <v>1.0789850288658e-12</v>
      </c>
      <c r="E14" s="4">
        <v>1.3121862164982e-12</v>
      </c>
      <c r="F14" s="4">
        <v>1.3121861389377e-12</v>
      </c>
      <c r="G14" s="4">
        <v>1.312185906222e-12</v>
      </c>
      <c r="H14" s="4">
        <v>1.0789846643796e-12</v>
      </c>
      <c r="I14" s="4">
        <v>1.0789847781957e-12</v>
      </c>
      <c r="J14" s="4">
        <v>1.078984708258e-12</v>
      </c>
      <c r="K14" s="4">
        <v>1.1393886329682e-12</v>
      </c>
      <c r="L14" s="4">
        <v>1.1393888772243e-12</v>
      </c>
      <c r="M14" s="4">
        <v>1.1393885478272e-12</v>
      </c>
      <c r="N14" s="4">
        <v>1.1944088479729e-12</v>
      </c>
      <c r="O14" s="4">
        <v>1.0789846704972e-12</v>
      </c>
      <c r="P14" s="4">
        <v>1.1944087184362e-12</v>
      </c>
      <c r="Q14" s="4">
        <v>1.1944096955609e-12</v>
      </c>
      <c r="R14" s="4">
        <v>1.3121859148422e-12</v>
      </c>
      <c r="S14" s="4">
        <v>1.3121858084792e-12</v>
      </c>
      <c r="T14" s="4">
        <v>1.3121859016916e-12</v>
      </c>
      <c r="U14" s="4">
        <v>1.0789847032126e-12</v>
      </c>
      <c r="V14" s="4">
        <v>1.1393887606431e-12</v>
      </c>
      <c r="W14" s="4">
        <v>1.1393890013905e-12</v>
      </c>
      <c r="X14" s="4">
        <v>1.1393886994747e-12</v>
      </c>
      <c r="Y14" s="4">
        <v>1.1944088113489e-12</v>
      </c>
      <c r="Z14" s="4">
        <v>1.1944096837023e-12</v>
      </c>
      <c r="AA14" s="4">
        <v>1.1944099599706e-12</v>
      </c>
      <c r="AB14" s="3">
        <v>0.99999284560016</v>
      </c>
      <c r="AC14" s="3">
        <v>0.9975944865976</v>
      </c>
      <c r="AD14" s="3">
        <v>0.00041251637995381</v>
      </c>
      <c r="AE14" s="4">
        <v>-5.130559517354e-16</v>
      </c>
      <c r="AF14" s="4">
        <v>2.7611544500164e-15</v>
      </c>
      <c r="AG14" s="4">
        <v>1.9524575685518e-15</v>
      </c>
      <c r="AH14" s="4">
        <v>1.2212468453943e-16</v>
      </c>
      <c r="AI14" s="4">
        <v>-6.6499537800575e-17</v>
      </c>
      <c r="AJ14" s="4">
        <v>5.5089720635637e-16</v>
      </c>
      <c r="AK14" s="4">
        <v>3.1231338586453e-17</v>
      </c>
      <c r="AL14" s="4">
        <v>4.7014121988184e-16</v>
      </c>
      <c r="AM14" s="4">
        <v>1.4159281268624e-16</v>
      </c>
      <c r="AN14" s="4">
        <v>-9.4523308215129e-17</v>
      </c>
      <c r="AO14" s="4">
        <v>6.4116323451473e-16</v>
      </c>
      <c r="AP14" s="4">
        <v>3.1502023808624e-18</v>
      </c>
      <c r="AQ14" s="4">
        <v>2.6106087519971e-16</v>
      </c>
      <c r="AR14" s="4">
        <v>-3.7033019600703e-15</v>
      </c>
      <c r="AS14" s="4">
        <v>-3.4748165636591e-16</v>
      </c>
      <c r="AT14" s="4">
        <v>1.7750879981243e-16</v>
      </c>
      <c r="AU14" s="4">
        <v>-5.8605944822015e-16</v>
      </c>
      <c r="AV14" s="4">
        <v>-4.1950477345226e-16</v>
      </c>
      <c r="AW14" s="4">
        <v>-2.4561203776606e-16</v>
      </c>
      <c r="AX14" s="4">
        <v>2.0192229031538e-15</v>
      </c>
      <c r="AY14" s="4">
        <v>3.90846428359e-16</v>
      </c>
      <c r="AZ14" s="4">
        <v>-1.2527882466836e-15</v>
      </c>
      <c r="BA14" s="4">
        <v>2.4245662542066e-15</v>
      </c>
      <c r="BB14" s="4">
        <v>-7.0095634676216e-15</v>
      </c>
      <c r="BC14" s="3">
        <v>15999512.071305</v>
      </c>
      <c r="BD14" s="3">
        <v>3999834.5358218</v>
      </c>
      <c r="BE14" s="3">
        <v>-0.00020095135690207</v>
      </c>
      <c r="BF14" s="3">
        <v>0.00042229246852757</v>
      </c>
      <c r="BG14" s="3">
        <v>0.00012054488040645</v>
      </c>
      <c r="BH14" s="3">
        <v>-0.00050737394402539</v>
      </c>
      <c r="BI14" s="3">
        <v>100.45700461523</v>
      </c>
      <c r="BJ14" s="3">
        <v>50.232789788058</v>
      </c>
      <c r="BK14" s="3">
        <v>92.431119405858</v>
      </c>
      <c r="BL14" s="5"/>
    </row>
    <row r="15" spans="1:64">
      <c r="A15" s="3">
        <v>79244.659623056</v>
      </c>
      <c r="B15" s="4">
        <v>1.2034005442644e-6</v>
      </c>
      <c r="C15" s="4">
        <f t="shared" si="0"/>
        <v>1.65491943453759e-11</v>
      </c>
      <c r="D15" s="4">
        <v>1.0789800602445e-12</v>
      </c>
      <c r="E15" s="4">
        <v>1.3121597918746e-12</v>
      </c>
      <c r="F15" s="4">
        <v>1.3121597048723e-12</v>
      </c>
      <c r="G15" s="4">
        <v>1.3121594437993e-12</v>
      </c>
      <c r="H15" s="4">
        <v>1.0789796512343e-12</v>
      </c>
      <c r="I15" s="4">
        <v>1.0789797789443e-12</v>
      </c>
      <c r="J15" s="4">
        <v>1.0789797004763e-12</v>
      </c>
      <c r="K15" s="4">
        <v>1.1393785695319e-12</v>
      </c>
      <c r="L15" s="4">
        <v>1.1393788436801e-12</v>
      </c>
      <c r="M15" s="4">
        <v>1.1393784739602e-12</v>
      </c>
      <c r="N15" s="4">
        <v>1.1943877081408e-12</v>
      </c>
      <c r="O15" s="4">
        <v>1.0789796580988e-12</v>
      </c>
      <c r="P15" s="4">
        <v>1.1943875627624e-12</v>
      </c>
      <c r="Q15" s="4">
        <v>1.1943886594329e-12</v>
      </c>
      <c r="R15" s="4">
        <v>1.312159453418e-12</v>
      </c>
      <c r="S15" s="4">
        <v>1.3121593340818e-12</v>
      </c>
      <c r="T15" s="4">
        <v>1.3121594386826e-12</v>
      </c>
      <c r="U15" s="4">
        <v>1.0789796948224e-12</v>
      </c>
      <c r="V15" s="4">
        <v>1.1393787127163e-12</v>
      </c>
      <c r="W15" s="4">
        <v>1.1393789829867e-12</v>
      </c>
      <c r="X15" s="4">
        <v>1.1393786442124e-12</v>
      </c>
      <c r="Y15" s="4">
        <v>1.1943876669841e-12</v>
      </c>
      <c r="Z15" s="4">
        <v>1.194388646051e-12</v>
      </c>
      <c r="AA15" s="4">
        <v>1.1943889562103e-12</v>
      </c>
      <c r="AB15" s="3">
        <v>0.99999359509911</v>
      </c>
      <c r="AC15" s="3">
        <v>0.99759429574717</v>
      </c>
      <c r="AD15" s="3">
        <v>0.000412625342945</v>
      </c>
      <c r="AE15" s="4">
        <v>-5.132867068401e-16</v>
      </c>
      <c r="AF15" s="4">
        <v>2.7598405517689e-15</v>
      </c>
      <c r="AG15" s="4">
        <v>1.9518480947185e-15</v>
      </c>
      <c r="AH15" s="4">
        <v>1.2228813460679e-16</v>
      </c>
      <c r="AI15" s="4">
        <v>-6.6516795829465e-17</v>
      </c>
      <c r="AJ15" s="4">
        <v>5.50872149505e-16</v>
      </c>
      <c r="AK15" s="4">
        <v>3.1234124166472e-17</v>
      </c>
      <c r="AL15" s="4">
        <v>4.7012987037781e-16</v>
      </c>
      <c r="AM15" s="4">
        <v>1.4264576486028e-16</v>
      </c>
      <c r="AN15" s="4">
        <v>-9.4516529921773e-17</v>
      </c>
      <c r="AO15" s="4">
        <v>6.4106228778357e-16</v>
      </c>
      <c r="AP15" s="4">
        <v>3.1940252884848e-18</v>
      </c>
      <c r="AQ15" s="4">
        <v>2.6110973935556e-16</v>
      </c>
      <c r="AR15" s="4">
        <v>-3.7026682200678e-15</v>
      </c>
      <c r="AS15" s="4">
        <v>-3.4720238439521e-16</v>
      </c>
      <c r="AT15" s="4">
        <v>1.7739832396915e-16</v>
      </c>
      <c r="AU15" s="4">
        <v>-5.8580726124003e-16</v>
      </c>
      <c r="AV15" s="4">
        <v>-4.195211123666e-16</v>
      </c>
      <c r="AW15" s="4">
        <v>-2.4549795749089e-16</v>
      </c>
      <c r="AX15" s="4">
        <v>2.0184821724205e-15</v>
      </c>
      <c r="AY15" s="4">
        <v>3.9073283558201e-16</v>
      </c>
      <c r="AZ15" s="4">
        <v>-1.2521668540148e-15</v>
      </c>
      <c r="BA15" s="4">
        <v>2.4244351449852e-15</v>
      </c>
      <c r="BB15" s="4">
        <v>-7.0088284621934e-15</v>
      </c>
      <c r="BC15" s="3">
        <v>15999452.47408</v>
      </c>
      <c r="BD15" s="3">
        <v>3999814.3237013</v>
      </c>
      <c r="BE15" s="3">
        <v>-0.00020092891911902</v>
      </c>
      <c r="BF15" s="3">
        <v>0.0004224350858832</v>
      </c>
      <c r="BG15" s="3">
        <v>0.00012062404928135</v>
      </c>
      <c r="BH15" s="3">
        <v>-0.0005073017955038</v>
      </c>
      <c r="BI15" s="3">
        <v>100.45700446194</v>
      </c>
      <c r="BJ15" s="3">
        <v>50.232790146257</v>
      </c>
      <c r="BK15" s="3">
        <v>92.429487752684</v>
      </c>
      <c r="BL15" s="5"/>
    </row>
    <row r="16" spans="1:64">
      <c r="A16" s="3">
        <v>88913.970501947</v>
      </c>
      <c r="B16" s="4">
        <v>1.3503819259481e-6</v>
      </c>
      <c r="C16" s="4">
        <f t="shared" si="0"/>
        <v>1.65485748833798e-11</v>
      </c>
      <c r="D16" s="4">
        <v>1.0789744845299e-12</v>
      </c>
      <c r="E16" s="4">
        <v>1.3121301477676e-12</v>
      </c>
      <c r="F16" s="4">
        <v>1.3121300501823e-12</v>
      </c>
      <c r="G16" s="4">
        <v>1.3121297573174e-12</v>
      </c>
      <c r="H16" s="4">
        <v>1.0789740255754e-12</v>
      </c>
      <c r="I16" s="4">
        <v>1.0789741688685e-12</v>
      </c>
      <c r="J16" s="4">
        <v>1.0789740808349e-12</v>
      </c>
      <c r="K16" s="4">
        <v>1.1393672778522e-12</v>
      </c>
      <c r="L16" s="4">
        <v>1.1393675855452e-12</v>
      </c>
      <c r="M16" s="4">
        <v>1.1393671705722e-12</v>
      </c>
      <c r="N16" s="4">
        <v>1.1943639932284e-12</v>
      </c>
      <c r="O16" s="4">
        <v>1.0789740332776e-12</v>
      </c>
      <c r="P16" s="4">
        <v>1.1943638300752e-12</v>
      </c>
      <c r="Q16" s="4">
        <v>1.1943650608916e-12</v>
      </c>
      <c r="R16" s="4">
        <v>1.3121297680425e-12</v>
      </c>
      <c r="S16" s="4">
        <v>1.3121296341586e-12</v>
      </c>
      <c r="T16" s="4">
        <v>1.3121297515348e-12</v>
      </c>
      <c r="U16" s="4">
        <v>1.0789740745004e-12</v>
      </c>
      <c r="V16" s="4">
        <v>1.1393674384122e-12</v>
      </c>
      <c r="W16" s="4">
        <v>1.1393677418288e-12</v>
      </c>
      <c r="X16" s="4">
        <v>1.1393673617143e-12</v>
      </c>
      <c r="Y16" s="4">
        <v>1.1943639469724e-12</v>
      </c>
      <c r="Z16" s="4">
        <v>1.194365045782e-12</v>
      </c>
      <c r="AA16" s="4">
        <v>1.1943653939944e-12</v>
      </c>
      <c r="AB16" s="3">
        <v>0.99999426871967</v>
      </c>
      <c r="AC16" s="3">
        <v>0.99759408151602</v>
      </c>
      <c r="AD16" s="3">
        <v>0.00041274761257696</v>
      </c>
      <c r="AE16" s="4">
        <v>-5.1354559979488e-16</v>
      </c>
      <c r="AF16" s="4">
        <v>2.7583669442425e-15</v>
      </c>
      <c r="AG16" s="4">
        <v>1.9511645555918e-15</v>
      </c>
      <c r="AH16" s="4">
        <v>1.2247156669175e-16</v>
      </c>
      <c r="AI16" s="4">
        <v>-6.6536157448645e-17</v>
      </c>
      <c r="AJ16" s="4">
        <v>5.5084397704733e-16</v>
      </c>
      <c r="AK16" s="4">
        <v>3.1237218254051e-17</v>
      </c>
      <c r="AL16" s="4">
        <v>4.7011719783888e-16</v>
      </c>
      <c r="AM16" s="4">
        <v>1.4382761794043e-16</v>
      </c>
      <c r="AN16" s="4">
        <v>-9.4508933967608e-17</v>
      </c>
      <c r="AO16" s="4">
        <v>6.4094909497994e-16</v>
      </c>
      <c r="AP16" s="4">
        <v>3.243179508323e-18</v>
      </c>
      <c r="AQ16" s="4">
        <v>2.6116448031411e-16</v>
      </c>
      <c r="AR16" s="4">
        <v>-3.7019566228092e-15</v>
      </c>
      <c r="AS16" s="4">
        <v>-3.4688915199976e-16</v>
      </c>
      <c r="AT16" s="4">
        <v>1.7727440244365e-16</v>
      </c>
      <c r="AU16" s="4">
        <v>-5.8552435089349e-16</v>
      </c>
      <c r="AV16" s="4">
        <v>-4.1953947347059e-16</v>
      </c>
      <c r="AW16" s="4">
        <v>-2.453698441172e-16</v>
      </c>
      <c r="AX16" s="4">
        <v>2.017650968687e-15</v>
      </c>
      <c r="AY16" s="4">
        <v>3.9060518886729e-16</v>
      </c>
      <c r="AZ16" s="4">
        <v>-1.2514699709944e-15</v>
      </c>
      <c r="BA16" s="4">
        <v>2.4242877574674e-15</v>
      </c>
      <c r="BB16" s="4">
        <v>-7.0080030381216e-15</v>
      </c>
      <c r="BC16" s="3">
        <v>15999385.605803</v>
      </c>
      <c r="BD16" s="3">
        <v>3999791.6458292</v>
      </c>
      <c r="BE16" s="3">
        <v>-0.00020090374049567</v>
      </c>
      <c r="BF16" s="3">
        <v>0.00042259509919835</v>
      </c>
      <c r="BG16" s="3">
        <v>0.00012071287730932</v>
      </c>
      <c r="BH16" s="3">
        <v>-0.00050722080199535</v>
      </c>
      <c r="BI16" s="3">
        <v>100.4570042904</v>
      </c>
      <c r="BJ16" s="3">
        <v>50.232790548048</v>
      </c>
      <c r="BK16" s="3">
        <v>92.427657514354</v>
      </c>
      <c r="BL16" s="5"/>
    </row>
    <row r="17" spans="1:64">
      <c r="A17" s="3">
        <v>99763.115748445</v>
      </c>
      <c r="B17" s="4">
        <v>1.51529388827e-6</v>
      </c>
      <c r="C17" s="4">
        <f t="shared" si="0"/>
        <v>1.65478798956959e-11</v>
      </c>
      <c r="D17" s="4">
        <v>1.0789682274296e-12</v>
      </c>
      <c r="E17" s="4">
        <v>1.3120968925834e-12</v>
      </c>
      <c r="F17" s="4">
        <v>1.3120967831372e-12</v>
      </c>
      <c r="G17" s="4">
        <v>1.3120964546335e-12</v>
      </c>
      <c r="H17" s="4">
        <v>1.0789677124523e-12</v>
      </c>
      <c r="I17" s="4">
        <v>1.078967873222e-12</v>
      </c>
      <c r="J17" s="4">
        <v>1.0789677744629e-12</v>
      </c>
      <c r="K17" s="4">
        <v>1.1393546079779e-12</v>
      </c>
      <c r="L17" s="4">
        <v>1.1393549533159e-12</v>
      </c>
      <c r="M17" s="4">
        <v>1.1393544875551e-12</v>
      </c>
      <c r="N17" s="4">
        <v>1.1943373901564e-12</v>
      </c>
      <c r="O17" s="4">
        <v>1.0789677210941e-12</v>
      </c>
      <c r="P17" s="4">
        <v>1.1943372070594e-12</v>
      </c>
      <c r="Q17" s="4">
        <v>1.1943385884069e-12</v>
      </c>
      <c r="R17" s="4">
        <v>1.3120964665822e-12</v>
      </c>
      <c r="S17" s="4">
        <v>1.3120963163865e-12</v>
      </c>
      <c r="T17" s="4">
        <v>1.3120964480934e-12</v>
      </c>
      <c r="U17" s="4">
        <v>1.0789677673675e-12</v>
      </c>
      <c r="V17" s="4">
        <v>1.1393547880007e-12</v>
      </c>
      <c r="W17" s="4">
        <v>1.1393551286341e-12</v>
      </c>
      <c r="X17" s="4">
        <v>1.139354702155e-12</v>
      </c>
      <c r="Y17" s="4">
        <v>1.1943373381618e-12</v>
      </c>
      <c r="Z17" s="4">
        <v>1.194338571335e-12</v>
      </c>
      <c r="AA17" s="4">
        <v>1.1943389622779e-12</v>
      </c>
      <c r="AB17" s="3">
        <v>0.99999487362842</v>
      </c>
      <c r="AC17" s="3">
        <v>0.99759384102706</v>
      </c>
      <c r="AD17" s="3">
        <v>0.00041288481537378</v>
      </c>
      <c r="AE17" s="4">
        <v>-5.1383605894422e-16</v>
      </c>
      <c r="AF17" s="4">
        <v>2.7567142978033e-15</v>
      </c>
      <c r="AG17" s="4">
        <v>1.9503979916805e-15</v>
      </c>
      <c r="AH17" s="4">
        <v>1.2267742882266e-16</v>
      </c>
      <c r="AI17" s="4">
        <v>-6.655787879732e-17</v>
      </c>
      <c r="AJ17" s="4">
        <v>5.5081229370947e-16</v>
      </c>
      <c r="AK17" s="4">
        <v>3.1240650376348e-17</v>
      </c>
      <c r="AL17" s="4">
        <v>4.7010305680519e-16</v>
      </c>
      <c r="AM17" s="4">
        <v>1.4515420918143e-16</v>
      </c>
      <c r="AN17" s="4">
        <v>-9.4500423000417e-17</v>
      </c>
      <c r="AO17" s="4">
        <v>6.408221801005e-16</v>
      </c>
      <c r="AP17" s="4">
        <v>3.2983114285162e-18</v>
      </c>
      <c r="AQ17" s="4">
        <v>2.6122579302652e-16</v>
      </c>
      <c r="AR17" s="4">
        <v>-3.7011575322504e-15</v>
      </c>
      <c r="AS17" s="4">
        <v>-3.4653784541543e-16</v>
      </c>
      <c r="AT17" s="4">
        <v>1.7713540347944e-16</v>
      </c>
      <c r="AU17" s="4">
        <v>-5.8520698076179e-16</v>
      </c>
      <c r="AV17" s="4">
        <v>-4.1956011090131e-16</v>
      </c>
      <c r="AW17" s="4">
        <v>-2.4522595639954e-16</v>
      </c>
      <c r="AX17" s="4">
        <v>2.0167182288509e-15</v>
      </c>
      <c r="AY17" s="4">
        <v>3.904617231871e-16</v>
      </c>
      <c r="AZ17" s="4">
        <v>-1.2506884719269e-15</v>
      </c>
      <c r="BA17" s="4">
        <v>2.4241220326673e-15</v>
      </c>
      <c r="BB17" s="4">
        <v>-7.0070759732667e-15</v>
      </c>
      <c r="BC17" s="3">
        <v>15999310.579508</v>
      </c>
      <c r="BD17" s="3">
        <v>3999766.2014676</v>
      </c>
      <c r="BE17" s="3">
        <v>-0.00020087548581914</v>
      </c>
      <c r="BF17" s="3">
        <v>0.00042277462955086</v>
      </c>
      <c r="BG17" s="3">
        <v>0.00012081254284804</v>
      </c>
      <c r="BH17" s="3">
        <v>-0.00050712987427037</v>
      </c>
      <c r="BI17" s="3">
        <v>100.45700409849</v>
      </c>
      <c r="BJ17" s="3">
        <v>50.232790998717</v>
      </c>
      <c r="BK17" s="3">
        <v>92.425604590784</v>
      </c>
      <c r="BL17" s="5"/>
    </row>
    <row r="18" spans="1:64">
      <c r="A18" s="3">
        <v>111936.05692842</v>
      </c>
      <c r="B18" s="4">
        <v>1.7003232942825e-6</v>
      </c>
      <c r="C18" s="4">
        <f t="shared" si="0"/>
        <v>1.65471003335959e-11</v>
      </c>
      <c r="D18" s="4">
        <v>1.0789612055303e-12</v>
      </c>
      <c r="E18" s="4">
        <v>1.3120595872648e-12</v>
      </c>
      <c r="F18" s="4">
        <v>1.3120594645276e-12</v>
      </c>
      <c r="G18" s="4">
        <v>1.312059096077e-12</v>
      </c>
      <c r="H18" s="4">
        <v>1.078960627714e-12</v>
      </c>
      <c r="I18" s="4">
        <v>1.078960808083e-12</v>
      </c>
      <c r="J18" s="4">
        <v>1.0789606972986e-12</v>
      </c>
      <c r="K18" s="4">
        <v>1.1393403916395e-12</v>
      </c>
      <c r="L18" s="4">
        <v>1.1393407792244e-12</v>
      </c>
      <c r="M18" s="4">
        <v>1.1393402564624e-12</v>
      </c>
      <c r="N18" s="4">
        <v>1.1943075479344e-12</v>
      </c>
      <c r="O18" s="4">
        <v>1.0789606374095e-12</v>
      </c>
      <c r="P18" s="4">
        <v>1.19430734246e-12</v>
      </c>
      <c r="Q18" s="4">
        <v>1.1943088927274e-12</v>
      </c>
      <c r="R18" s="4">
        <v>1.3120591093765e-12</v>
      </c>
      <c r="S18" s="4">
        <v>1.312058940892e-12</v>
      </c>
      <c r="T18" s="4">
        <v>1.3120590886741e-12</v>
      </c>
      <c r="U18" s="4">
        <v>1.0789606893528e-12</v>
      </c>
      <c r="V18" s="4">
        <v>1.1393405934582e-12</v>
      </c>
      <c r="W18" s="4">
        <v>1.1393409758824e-12</v>
      </c>
      <c r="X18" s="4">
        <v>1.1393404974063e-12</v>
      </c>
      <c r="Y18" s="4">
        <v>1.1943074894796e-12</v>
      </c>
      <c r="Z18" s="4">
        <v>1.1943088734243e-12</v>
      </c>
      <c r="AA18" s="4">
        <v>1.1943093123541e-12</v>
      </c>
      <c r="AB18" s="3">
        <v>0.99999541641591</v>
      </c>
      <c r="AC18" s="3">
        <v>0.99759357104584</v>
      </c>
      <c r="AD18" s="3">
        <v>0.00041303877706171</v>
      </c>
      <c r="AE18" s="4">
        <v>-5.1416192954108e-16</v>
      </c>
      <c r="AF18" s="4">
        <v>2.7548609651338e-15</v>
      </c>
      <c r="AG18" s="4">
        <v>1.9495383703139e-15</v>
      </c>
      <c r="AH18" s="4">
        <v>1.2290847026309e-16</v>
      </c>
      <c r="AI18" s="4">
        <v>-6.6582247152513e-17</v>
      </c>
      <c r="AJ18" s="4">
        <v>5.5077665207667e-16</v>
      </c>
      <c r="AK18" s="4">
        <v>3.1244451567456e-17</v>
      </c>
      <c r="AL18" s="4">
        <v>4.7008728815983e-16</v>
      </c>
      <c r="AM18" s="4">
        <v>1.466433365832e-16</v>
      </c>
      <c r="AN18" s="4">
        <v>-9.449088839755e-17</v>
      </c>
      <c r="AO18" s="4">
        <v>6.4067989171962e-16</v>
      </c>
      <c r="AP18" s="4">
        <v>3.3601452410856e-18</v>
      </c>
      <c r="AQ18" s="4">
        <v>2.6129445151249e-16</v>
      </c>
      <c r="AR18" s="4">
        <v>-3.7002601018126e-15</v>
      </c>
      <c r="AS18" s="4">
        <v>-3.4614385672815e-16</v>
      </c>
      <c r="AT18" s="4">
        <v>1.7697949850534e-16</v>
      </c>
      <c r="AU18" s="4">
        <v>-5.8485096169947e-16</v>
      </c>
      <c r="AV18" s="4">
        <v>-4.1958331172121e-16</v>
      </c>
      <c r="AW18" s="4">
        <v>-2.4506433319109e-16</v>
      </c>
      <c r="AX18" s="4">
        <v>2.0156715336351e-15</v>
      </c>
      <c r="AY18" s="4">
        <v>3.9030044517744e-16</v>
      </c>
      <c r="AZ18" s="4">
        <v>-1.2498121397461e-15</v>
      </c>
      <c r="BA18" s="4">
        <v>2.4239356415764e-15</v>
      </c>
      <c r="BB18" s="4">
        <v>-7.0060346273873e-15</v>
      </c>
      <c r="BC18" s="3">
        <v>15999226.400063</v>
      </c>
      <c r="BD18" s="3">
        <v>3999737.6532166</v>
      </c>
      <c r="BE18" s="3">
        <v>-0.00020084377877355</v>
      </c>
      <c r="BF18" s="3">
        <v>0.00042297605642992</v>
      </c>
      <c r="BG18" s="3">
        <v>0.0001209243679769</v>
      </c>
      <c r="BH18" s="3">
        <v>-0.00050702778168479</v>
      </c>
      <c r="BI18" s="3">
        <v>100.45700388388</v>
      </c>
      <c r="BJ18" s="3">
        <v>50.232791504197</v>
      </c>
      <c r="BK18" s="3">
        <v>92.423301975058</v>
      </c>
      <c r="BL18" s="5"/>
    </row>
    <row r="19" spans="1:64">
      <c r="A19" s="3">
        <v>125594.32157548</v>
      </c>
      <c r="B19" s="4">
        <v>1.9079235867578e-6</v>
      </c>
      <c r="C19" s="4">
        <f t="shared" si="0"/>
        <v>1.65462259481586e-11</v>
      </c>
      <c r="D19" s="4">
        <v>1.0789533251693e-12</v>
      </c>
      <c r="E19" s="4">
        <v>1.3120177395847e-12</v>
      </c>
      <c r="F19" s="4">
        <v>1.312017601956e-12</v>
      </c>
      <c r="G19" s="4">
        <v>1.3120171887354e-12</v>
      </c>
      <c r="H19" s="4">
        <v>1.0789526768711e-12</v>
      </c>
      <c r="I19" s="4">
        <v>1.0789528792185e-12</v>
      </c>
      <c r="J19" s="4">
        <v>1.0789527549528e-12</v>
      </c>
      <c r="K19" s="4">
        <v>1.1393244400075e-12</v>
      </c>
      <c r="L19" s="4">
        <v>1.1393248750054e-12</v>
      </c>
      <c r="M19" s="4">
        <v>1.1393242882662e-12</v>
      </c>
      <c r="N19" s="4">
        <v>1.1942740731096e-12</v>
      </c>
      <c r="O19" s="4">
        <v>1.0789526877484e-12</v>
      </c>
      <c r="P19" s="4">
        <v>1.194273842527e-12</v>
      </c>
      <c r="Q19" s="4">
        <v>1.1942755823524e-12</v>
      </c>
      <c r="R19" s="4">
        <v>1.3120172035225e-12</v>
      </c>
      <c r="S19" s="4">
        <v>1.3120170145347e-12</v>
      </c>
      <c r="T19" s="4">
        <v>1.3120171803482e-12</v>
      </c>
      <c r="U19" s="4">
        <v>1.0789527460573e-12</v>
      </c>
      <c r="V19" s="4">
        <v>1.1393246662295e-12</v>
      </c>
      <c r="W19" s="4">
        <v>1.1393250955852e-12</v>
      </c>
      <c r="X19" s="4">
        <v>1.1393245587987e-12</v>
      </c>
      <c r="Y19" s="4">
        <v>1.1942740073793e-12</v>
      </c>
      <c r="Z19" s="4">
        <v>1.1942755605084e-12</v>
      </c>
      <c r="AA19" s="4">
        <v>1.1942760533345e-12</v>
      </c>
      <c r="AB19" s="3">
        <v>0.99999590312256</v>
      </c>
      <c r="AC19" s="3">
        <v>0.99759326793536</v>
      </c>
      <c r="AD19" s="3">
        <v>0.00041321154706298</v>
      </c>
      <c r="AE19" s="4">
        <v>-5.1452752419311e-16</v>
      </c>
      <c r="AF19" s="4">
        <v>2.7527827087087e-15</v>
      </c>
      <c r="AG19" s="4">
        <v>1.9485744598297e-15</v>
      </c>
      <c r="AH19" s="4">
        <v>1.2316777892609e-16</v>
      </c>
      <c r="AI19" s="4">
        <v>-6.660958469263e-17</v>
      </c>
      <c r="AJ19" s="4">
        <v>5.5073654518327e-16</v>
      </c>
      <c r="AK19" s="4">
        <v>3.1248654030027e-17</v>
      </c>
      <c r="AL19" s="4">
        <v>4.7006971850875e-16</v>
      </c>
      <c r="AM19" s="4">
        <v>1.4831500529156e-16</v>
      </c>
      <c r="AN19" s="4">
        <v>-9.4480209067203e-17</v>
      </c>
      <c r="AO19" s="4">
        <v>6.4052038270036e-16</v>
      </c>
      <c r="AP19" s="4">
        <v>3.4294921496709e-18</v>
      </c>
      <c r="AQ19" s="4">
        <v>2.6137131705216e-16</v>
      </c>
      <c r="AR19" s="4">
        <v>-3.6992521179024e-15</v>
      </c>
      <c r="AS19" s="4">
        <v>-3.4570202553383e-16</v>
      </c>
      <c r="AT19" s="4">
        <v>1.7680463868355e-16</v>
      </c>
      <c r="AU19" s="4">
        <v>-5.8445159741117e-16</v>
      </c>
      <c r="AV19" s="4">
        <v>-4.1960940042283e-16</v>
      </c>
      <c r="AW19" s="4">
        <v>-2.4488276479253e-16</v>
      </c>
      <c r="AX19" s="4">
        <v>2.014496940341e-15</v>
      </c>
      <c r="AY19" s="4">
        <v>3.9011910190136e-16</v>
      </c>
      <c r="AZ19" s="4">
        <v>-1.2488295383814e-15</v>
      </c>
      <c r="BA19" s="4">
        <v>2.4237259473305e-15</v>
      </c>
      <c r="BB19" s="4">
        <v>-7.0048647567736e-15</v>
      </c>
      <c r="BC19" s="3">
        <v>15999131.950988</v>
      </c>
      <c r="BD19" s="3">
        <v>3999705.6225495</v>
      </c>
      <c r="BE19" s="3">
        <v>-0.00020080819687325</v>
      </c>
      <c r="BF19" s="3">
        <v>0.00042320204916283</v>
      </c>
      <c r="BG19" s="3">
        <v>0.00012104983601639</v>
      </c>
      <c r="BH19" s="3">
        <v>-0.00050691315168952</v>
      </c>
      <c r="BI19" s="3">
        <v>100.45700364398</v>
      </c>
      <c r="BJ19" s="3">
        <v>50.232792071117</v>
      </c>
      <c r="BK19" s="3">
        <v>92.420719407454</v>
      </c>
      <c r="BL19" s="5"/>
    </row>
    <row r="20" spans="1:64">
      <c r="A20" s="3">
        <v>140919.14656322</v>
      </c>
      <c r="B20" s="4">
        <v>2.1408472490645e-6</v>
      </c>
      <c r="C20" s="4">
        <f t="shared" si="0"/>
        <v>1.65452452927085e-11</v>
      </c>
      <c r="D20" s="4">
        <v>1.0789444811663e-12</v>
      </c>
      <c r="E20" s="4">
        <v>1.3119707977591e-12</v>
      </c>
      <c r="F20" s="4">
        <v>1.3119706434488e-12</v>
      </c>
      <c r="G20" s="4">
        <v>1.3119701800596e-12</v>
      </c>
      <c r="H20" s="4">
        <v>1.0789437538172e-12</v>
      </c>
      <c r="I20" s="4">
        <v>1.0789439808091e-12</v>
      </c>
      <c r="J20" s="4">
        <v>1.0789438414313e-12</v>
      </c>
      <c r="K20" s="4">
        <v>1.1393065411771e-12</v>
      </c>
      <c r="L20" s="4">
        <v>1.1393070293872e-12</v>
      </c>
      <c r="M20" s="4">
        <v>1.1393063708384e-12</v>
      </c>
      <c r="N20" s="4">
        <v>1.1942365246796e-12</v>
      </c>
      <c r="O20" s="4">
        <v>1.0789437660196e-12</v>
      </c>
      <c r="P20" s="4">
        <v>1.194236265925e-12</v>
      </c>
      <c r="Q20" s="4">
        <v>1.1942382184715e-12</v>
      </c>
      <c r="R20" s="4">
        <v>1.3119701964808e-12</v>
      </c>
      <c r="S20" s="4">
        <v>1.3119699845092e-12</v>
      </c>
      <c r="T20" s="4">
        <v>1.3119701705476e-12</v>
      </c>
      <c r="U20" s="4">
        <v>1.0789438314756e-12</v>
      </c>
      <c r="V20" s="4">
        <v>1.1393067947143e-12</v>
      </c>
      <c r="W20" s="4">
        <v>1.1393072767802e-12</v>
      </c>
      <c r="X20" s="4">
        <v>1.1393066746077e-12</v>
      </c>
      <c r="Y20" s="4">
        <v>1.1942364507522e-12</v>
      </c>
      <c r="Z20" s="4">
        <v>1.1942381937296e-12</v>
      </c>
      <c r="AA20" s="4">
        <v>1.1942387470963e-12</v>
      </c>
      <c r="AB20" s="3">
        <v>0.99999633926833</v>
      </c>
      <c r="AC20" s="3">
        <v>0.99759292760487</v>
      </c>
      <c r="AD20" s="3">
        <v>0.00041340542602582</v>
      </c>
      <c r="AE20" s="4">
        <v>-5.1493767951752e-16</v>
      </c>
      <c r="AF20" s="4">
        <v>2.7504523982649e-15</v>
      </c>
      <c r="AG20" s="4">
        <v>1.9474936898086e-15</v>
      </c>
      <c r="AH20" s="4">
        <v>1.2345882351509e-16</v>
      </c>
      <c r="AI20" s="4">
        <v>-6.6640252727823e-17</v>
      </c>
      <c r="AJ20" s="4">
        <v>5.5069139803132e-16</v>
      </c>
      <c r="AK20" s="4">
        <v>3.1253290569918e-17</v>
      </c>
      <c r="AL20" s="4">
        <v>4.700501597799e-16</v>
      </c>
      <c r="AM20" s="4">
        <v>1.501917060734e-16</v>
      </c>
      <c r="AN20" s="4">
        <v>-9.4468250100654e-17</v>
      </c>
      <c r="AO20" s="4">
        <v>6.4034158784978e-16</v>
      </c>
      <c r="AP20" s="4">
        <v>3.5072606329888e-18</v>
      </c>
      <c r="AQ20" s="4">
        <v>2.614573469464e-16</v>
      </c>
      <c r="AR20" s="4">
        <v>-3.6981198219107e-15</v>
      </c>
      <c r="AS20" s="4">
        <v>-3.4520657412605e-16</v>
      </c>
      <c r="AT20" s="4">
        <v>1.7660852879537e-16</v>
      </c>
      <c r="AU20" s="4">
        <v>-5.8400362361012e-16</v>
      </c>
      <c r="AV20" s="4">
        <v>-4.1963874413566e-16</v>
      </c>
      <c r="AW20" s="4">
        <v>-2.4467876038031e-16</v>
      </c>
      <c r="AX20" s="4">
        <v>2.0131787949117e-15</v>
      </c>
      <c r="AY20" s="4">
        <v>3.8991514488621e-16</v>
      </c>
      <c r="AZ20" s="4">
        <v>-1.2477278713476e-15</v>
      </c>
      <c r="BA20" s="4">
        <v>2.4234899615595e-15</v>
      </c>
      <c r="BB20" s="4">
        <v>-7.0035503026593e-15</v>
      </c>
      <c r="BC20" s="3">
        <v>15999025.979669</v>
      </c>
      <c r="BD20" s="3">
        <v>3999669.6848053</v>
      </c>
      <c r="BE20" s="3">
        <v>-0.00020076826576347</v>
      </c>
      <c r="BF20" s="3">
        <v>0.00042345560215132</v>
      </c>
      <c r="BG20" s="3">
        <v>0.00012119061118412</v>
      </c>
      <c r="BH20" s="3">
        <v>-0.00050678442882148</v>
      </c>
      <c r="BI20" s="3">
        <v>100.45700337594</v>
      </c>
      <c r="BJ20" s="3">
        <v>50.232792706926</v>
      </c>
      <c r="BK20" s="3">
        <v>92.417822989513</v>
      </c>
      <c r="BL20" s="5"/>
    </row>
    <row r="21" spans="1:64">
      <c r="A21" s="3">
        <v>158113.88300842</v>
      </c>
      <c r="B21" s="4">
        <v>2.4021822098091e-6</v>
      </c>
      <c r="C21" s="4">
        <f t="shared" si="0"/>
        <v>1.6544145365451e-11</v>
      </c>
      <c r="D21" s="4">
        <v>1.078934555394e-12</v>
      </c>
      <c r="E21" s="4">
        <v>1.311918143312e-12</v>
      </c>
      <c r="F21" s="4">
        <v>1.3119179703185e-12</v>
      </c>
      <c r="G21" s="4">
        <v>1.3119174507199e-12</v>
      </c>
      <c r="H21" s="4">
        <v>1.0789337393873e-12</v>
      </c>
      <c r="I21" s="4">
        <v>1.0789339940112e-12</v>
      </c>
      <c r="J21" s="4">
        <v>1.0789338376952e-12</v>
      </c>
      <c r="K21" s="4">
        <v>1.1392864573442e-12</v>
      </c>
      <c r="L21" s="4">
        <v>1.1392870052769e-12</v>
      </c>
      <c r="M21" s="4">
        <v>1.1392862661234e-12</v>
      </c>
      <c r="N21" s="4">
        <v>1.1941944084078e-12</v>
      </c>
      <c r="O21" s="4">
        <v>1.0789337530755e-12</v>
      </c>
      <c r="P21" s="4">
        <v>1.1941941180431e-12</v>
      </c>
      <c r="Q21" s="4">
        <v>1.1941963093091e-12</v>
      </c>
      <c r="R21" s="4">
        <v>1.3119174689304e-12</v>
      </c>
      <c r="S21" s="4">
        <v>1.3119172311976e-12</v>
      </c>
      <c r="T21" s="4">
        <v>1.3119174399202e-12</v>
      </c>
      <c r="U21" s="4">
        <v>1.0789338265568e-12</v>
      </c>
      <c r="V21" s="4">
        <v>1.1392867414468e-12</v>
      </c>
      <c r="W21" s="4">
        <v>1.13928728272e-12</v>
      </c>
      <c r="X21" s="4">
        <v>1.1392866072327e-12</v>
      </c>
      <c r="Y21" s="4">
        <v>1.1941943252402e-12</v>
      </c>
      <c r="Z21" s="4">
        <v>1.1941962812566e-12</v>
      </c>
      <c r="AA21" s="4">
        <v>1.1941969026366e-12</v>
      </c>
      <c r="AB21" s="3">
        <v>0.99999672988422</v>
      </c>
      <c r="AC21" s="3">
        <v>0.99759254545193</v>
      </c>
      <c r="AD21" s="3">
        <v>0.00041362299677297</v>
      </c>
      <c r="AE21" s="4">
        <v>-5.1539781925428e-16</v>
      </c>
      <c r="AF21" s="4">
        <v>2.7478396743047e-15</v>
      </c>
      <c r="AG21" s="4">
        <v>1.9462819957149e-15</v>
      </c>
      <c r="AH21" s="4">
        <v>1.2378550102174e-16</v>
      </c>
      <c r="AI21" s="4">
        <v>-6.6674656443999e-17</v>
      </c>
      <c r="AJ21" s="4">
        <v>5.5064055754458e-16</v>
      </c>
      <c r="AK21" s="4">
        <v>3.1258393830944e-17</v>
      </c>
      <c r="AL21" s="4">
        <v>4.7002840909939e-16</v>
      </c>
      <c r="AM21" s="4">
        <v>1.5229873015513e-16</v>
      </c>
      <c r="AN21" s="4">
        <v>-9.445486135132e-17</v>
      </c>
      <c r="AO21" s="4">
        <v>6.4014119903021e-16</v>
      </c>
      <c r="AP21" s="4">
        <v>3.5944678715273e-18</v>
      </c>
      <c r="AQ21" s="4">
        <v>2.6155360391039e-16</v>
      </c>
      <c r="AR21" s="4">
        <v>-3.6968477079513e-15</v>
      </c>
      <c r="AS21" s="4">
        <v>-3.4465103535869e-16</v>
      </c>
      <c r="AT21" s="4">
        <v>1.763885980683e-16</v>
      </c>
      <c r="AU21" s="4">
        <v>-5.8350113997695e-16</v>
      </c>
      <c r="AV21" s="4">
        <v>-4.1967175859271e-16</v>
      </c>
      <c r="AW21" s="4">
        <v>-2.4444951079937e-16</v>
      </c>
      <c r="AX21" s="4">
        <v>2.0116995202745e-15</v>
      </c>
      <c r="AY21" s="4">
        <v>3.8968568872988e-16</v>
      </c>
      <c r="AZ21" s="4">
        <v>-1.2464928245886e-15</v>
      </c>
      <c r="BA21" s="4">
        <v>2.4232242933618e-15</v>
      </c>
      <c r="BB21" s="4">
        <v>-7.0020731502882e-15</v>
      </c>
      <c r="BC21" s="3">
        <v>15998907.080773</v>
      </c>
      <c r="BD21" s="3">
        <v>3999629.3635733</v>
      </c>
      <c r="BE21" s="3">
        <v>-0.00020072345280961</v>
      </c>
      <c r="BF21" s="3">
        <v>0.00042374007437059</v>
      </c>
      <c r="BG21" s="3">
        <v>0.00012134856063985</v>
      </c>
      <c r="BH21" s="3">
        <v>-0.00050663987108748</v>
      </c>
      <c r="BI21" s="3">
        <v>100.4570030766</v>
      </c>
      <c r="BJ21" s="3">
        <v>50.232793419945</v>
      </c>
      <c r="BK21" s="3">
        <v>92.414574753801</v>
      </c>
      <c r="BL21" s="5"/>
    </row>
    <row r="22" spans="1:64">
      <c r="A22" s="3">
        <v>177406.69461679</v>
      </c>
      <c r="B22" s="4">
        <v>2.695392668391e-6</v>
      </c>
      <c r="C22" s="4">
        <f t="shared" si="0"/>
        <v>1.6542911847619e-11</v>
      </c>
      <c r="D22" s="4">
        <v>1.0789234151686e-12</v>
      </c>
      <c r="E22" s="4">
        <v>1.3118590830996e-12</v>
      </c>
      <c r="F22" s="4">
        <v>1.3118588891857e-12</v>
      </c>
      <c r="G22" s="4">
        <v>1.3118583066208e-12</v>
      </c>
      <c r="H22" s="4">
        <v>1.0789224997354e-12</v>
      </c>
      <c r="I22" s="4">
        <v>1.0789227853382e-12</v>
      </c>
      <c r="J22" s="4">
        <v>1.0789226100398e-12</v>
      </c>
      <c r="K22" s="4">
        <v>1.1392639216318e-12</v>
      </c>
      <c r="L22" s="4">
        <v>1.1392645365968e-12</v>
      </c>
      <c r="M22" s="4">
        <v>1.1392637069618e-12</v>
      </c>
      <c r="N22" s="4">
        <v>1.194147170476e-12</v>
      </c>
      <c r="O22" s="4">
        <v>1.0789225150895e-12</v>
      </c>
      <c r="P22" s="4">
        <v>1.1941468446437e-12</v>
      </c>
      <c r="Q22" s="4">
        <v>1.1941493038106e-12</v>
      </c>
      <c r="R22" s="4">
        <v>1.3118583267832e-12</v>
      </c>
      <c r="S22" s="4">
        <v>1.3118580601797e-12</v>
      </c>
      <c r="T22" s="4">
        <v>1.3118582943439e-12</v>
      </c>
      <c r="U22" s="4">
        <v>1.078922597583e-12</v>
      </c>
      <c r="V22" s="4">
        <v>1.1392642399255e-12</v>
      </c>
      <c r="W22" s="4">
        <v>1.1392648477131e-12</v>
      </c>
      <c r="X22" s="4">
        <v>1.1392640900274e-12</v>
      </c>
      <c r="Y22" s="4">
        <v>1.1941470768869e-12</v>
      </c>
      <c r="Z22" s="4">
        <v>1.1941492719691e-12</v>
      </c>
      <c r="AA22" s="4">
        <v>1.1941499697695e-12</v>
      </c>
      <c r="AB22" s="3">
        <v>0.99999707954464</v>
      </c>
      <c r="AC22" s="3">
        <v>0.99759211629672</v>
      </c>
      <c r="AD22" s="3">
        <v>0.00041386715910079</v>
      </c>
      <c r="AE22" s="4">
        <v>-5.159140251702e-16</v>
      </c>
      <c r="AF22" s="4">
        <v>2.7449105750679e-15</v>
      </c>
      <c r="AG22" s="4">
        <v>1.9449236468181e-15</v>
      </c>
      <c r="AH22" s="4">
        <v>1.2415219028613e-16</v>
      </c>
      <c r="AI22" s="4">
        <v>-6.6713250224389e-17</v>
      </c>
      <c r="AJ22" s="4">
        <v>5.5058328111342e-16</v>
      </c>
      <c r="AK22" s="4">
        <v>3.1263995195899e-17</v>
      </c>
      <c r="AL22" s="4">
        <v>4.7000424908383e-16</v>
      </c>
      <c r="AM22" s="4">
        <v>1.5466452543627e-16</v>
      </c>
      <c r="AN22" s="4">
        <v>-9.4439875861741e-17</v>
      </c>
      <c r="AO22" s="4">
        <v>6.3991663786893e-16</v>
      </c>
      <c r="AP22" s="4">
        <v>3.692252447261e-18</v>
      </c>
      <c r="AQ22" s="4">
        <v>2.6166126597889e-16</v>
      </c>
      <c r="AR22" s="4">
        <v>-3.6954182925463e-15</v>
      </c>
      <c r="AS22" s="4">
        <v>-3.4402817256932e-16</v>
      </c>
      <c r="AT22" s="4">
        <v>1.7614196771896e-16</v>
      </c>
      <c r="AU22" s="4">
        <v>-5.8293753417551e-16</v>
      </c>
      <c r="AV22" s="4">
        <v>-4.19708915086e-16</v>
      </c>
      <c r="AW22" s="4">
        <v>-2.441918461296e-16</v>
      </c>
      <c r="AX22" s="4">
        <v>2.0100393782291e-15</v>
      </c>
      <c r="AY22" s="4">
        <v>3.8942746317256e-16</v>
      </c>
      <c r="AZ22" s="4">
        <v>-1.2451083926926e-15</v>
      </c>
      <c r="BA22" s="4">
        <v>2.4229250909188e-15</v>
      </c>
      <c r="BB22" s="4">
        <v>-7.0004128532711e-15</v>
      </c>
      <c r="BC22" s="3">
        <v>15998773.677641</v>
      </c>
      <c r="BD22" s="3">
        <v>3999584.124396</v>
      </c>
      <c r="BE22" s="3">
        <v>-0.00020067315988278</v>
      </c>
      <c r="BF22" s="3">
        <v>0.00042405923365232</v>
      </c>
      <c r="BG22" s="3">
        <v>0.0001215257792206</v>
      </c>
      <c r="BH22" s="3">
        <v>-0.00050647750505194</v>
      </c>
      <c r="BI22" s="3">
        <v>100.45700274253</v>
      </c>
      <c r="BJ22" s="3">
        <v>50.232794219505</v>
      </c>
      <c r="BK22" s="3">
        <v>92.410932184781</v>
      </c>
      <c r="BL22" s="5"/>
    </row>
    <row r="23" spans="1:64">
      <c r="A23" s="3">
        <v>199053.58527675</v>
      </c>
      <c r="B23" s="4">
        <v>3.0243648737524e-6</v>
      </c>
      <c r="C23" s="4">
        <f t="shared" si="0"/>
        <v>1.65415285670723e-11</v>
      </c>
      <c r="D23" s="4">
        <v>1.0789109114367e-12</v>
      </c>
      <c r="E23" s="4">
        <v>1.311792840403e-12</v>
      </c>
      <c r="F23" s="4">
        <v>1.3117926230697e-12</v>
      </c>
      <c r="G23" s="4">
        <v>1.3117919699832e-12</v>
      </c>
      <c r="H23" s="4">
        <v>1.0789098845067e-12</v>
      </c>
      <c r="I23" s="4">
        <v>1.0789102048374e-12</v>
      </c>
      <c r="J23" s="4">
        <v>1.0789100082687e-12</v>
      </c>
      <c r="K23" s="4">
        <v>1.1392386345293e-12</v>
      </c>
      <c r="L23" s="4">
        <v>1.1392393247341e-12</v>
      </c>
      <c r="M23" s="4">
        <v>1.1392383935245e-12</v>
      </c>
      <c r="N23" s="4">
        <v>1.1940941903989e-12</v>
      </c>
      <c r="O23" s="4">
        <v>1.0789099017283e-12</v>
      </c>
      <c r="P23" s="4">
        <v>1.1940938247707e-12</v>
      </c>
      <c r="Q23" s="4">
        <v>1.1940965845945e-12</v>
      </c>
      <c r="R23" s="4">
        <v>1.3117919922657e-12</v>
      </c>
      <c r="S23" s="4">
        <v>1.3117916933112e-12</v>
      </c>
      <c r="T23" s="4">
        <v>1.3117919560082e-12</v>
      </c>
      <c r="U23" s="4">
        <v>1.0789099943433e-12</v>
      </c>
      <c r="V23" s="4">
        <v>1.1392389910554e-12</v>
      </c>
      <c r="W23" s="4">
        <v>1.1392396735772e-12</v>
      </c>
      <c r="X23" s="4">
        <v>1.1392388237414e-12</v>
      </c>
      <c r="Y23" s="4">
        <v>1.1940940850491e-12</v>
      </c>
      <c r="Z23" s="4">
        <v>1.1940965484079e-12</v>
      </c>
      <c r="AA23" s="4">
        <v>1.1940973320896e-12</v>
      </c>
      <c r="AB23" s="3">
        <v>0.99999739239997</v>
      </c>
      <c r="AC23" s="3">
        <v>0.99759163430749</v>
      </c>
      <c r="AD23" s="3">
        <v>0.00041414116891581</v>
      </c>
      <c r="AE23" s="4">
        <v>-5.1649311605169e-16</v>
      </c>
      <c r="AF23" s="4">
        <v>2.7416271232461e-15</v>
      </c>
      <c r="AG23" s="4">
        <v>1.9434010556258e-15</v>
      </c>
      <c r="AH23" s="4">
        <v>1.2456381240934e-16</v>
      </c>
      <c r="AI23" s="4">
        <v>-6.6756543609396e-17</v>
      </c>
      <c r="AJ23" s="4">
        <v>5.5051872301062e-16</v>
      </c>
      <c r="AK23" s="4">
        <v>3.127012330143e-17</v>
      </c>
      <c r="AL23" s="4">
        <v>4.6997744860449e-16</v>
      </c>
      <c r="AM23" s="4">
        <v>1.5732110004163e-16</v>
      </c>
      <c r="AN23" s="4">
        <v>-9.4423108198436e-17</v>
      </c>
      <c r="AO23" s="4">
        <v>6.3966502554161e-16</v>
      </c>
      <c r="AP23" s="4">
        <v>3.8018884481415e-18</v>
      </c>
      <c r="AQ23" s="4">
        <v>2.6178163689293e-16</v>
      </c>
      <c r="AR23" s="4">
        <v>-3.6938118515314e-15</v>
      </c>
      <c r="AS23" s="4">
        <v>-3.433298907335e-16</v>
      </c>
      <c r="AT23" s="4">
        <v>1.7586541480798e-16</v>
      </c>
      <c r="AU23" s="4">
        <v>-5.8230539698902e-16</v>
      </c>
      <c r="AV23" s="4">
        <v>-4.1975074845567e-16</v>
      </c>
      <c r="AW23" s="4">
        <v>-2.4390218717552e-16</v>
      </c>
      <c r="AX23" s="4">
        <v>2.0081762012561e-15</v>
      </c>
      <c r="AY23" s="4">
        <v>3.891367578306e-16</v>
      </c>
      <c r="AZ23" s="4">
        <v>-1.2435566865828e-15</v>
      </c>
      <c r="BA23" s="4">
        <v>2.4225879726549e-15</v>
      </c>
      <c r="BB23" s="4">
        <v>-6.9985463180604e-15</v>
      </c>
      <c r="BC23" s="3">
        <v>15998624.001429</v>
      </c>
      <c r="BD23" s="3">
        <v>3999533.3677079</v>
      </c>
      <c r="BE23" s="3">
        <v>-0.00020061671524007</v>
      </c>
      <c r="BF23" s="3">
        <v>0.00042441730631256</v>
      </c>
      <c r="BG23" s="3">
        <v>0.00012172461717922</v>
      </c>
      <c r="BH23" s="3">
        <v>-0.00050629512458726</v>
      </c>
      <c r="BI23" s="3">
        <v>100.45700236994</v>
      </c>
      <c r="BJ23" s="3">
        <v>50.232795116041</v>
      </c>
      <c r="BK23" s="3">
        <v>92.406847685591</v>
      </c>
      <c r="BL23" s="5"/>
    </row>
    <row r="24" spans="1:64">
      <c r="A24" s="3">
        <v>223341.79607548</v>
      </c>
      <c r="B24" s="4">
        <v>3.3934584558104e-6</v>
      </c>
      <c r="C24" s="4">
        <f t="shared" si="0"/>
        <v>1.65399774474526e-11</v>
      </c>
      <c r="D24" s="4">
        <v>1.07889687673e-12</v>
      </c>
      <c r="E24" s="4">
        <v>1.3117185449879e-12</v>
      </c>
      <c r="F24" s="4">
        <v>1.3117183014448e-12</v>
      </c>
      <c r="G24" s="4">
        <v>1.3117175693925e-12</v>
      </c>
      <c r="H24" s="4">
        <v>1.0788957247758e-12</v>
      </c>
      <c r="I24" s="4">
        <v>1.0788960840328e-12</v>
      </c>
      <c r="J24" s="4">
        <v>1.078895863634e-12</v>
      </c>
      <c r="K24" s="4">
        <v>1.1392102598914e-12</v>
      </c>
      <c r="L24" s="4">
        <v>1.1392110345525e-12</v>
      </c>
      <c r="M24" s="4">
        <v>1.1392099893079e-12</v>
      </c>
      <c r="N24" s="4">
        <v>1.1940347731223e-12</v>
      </c>
      <c r="O24" s="4">
        <v>1.0788957440909e-12</v>
      </c>
      <c r="P24" s="4">
        <v>1.1940343628412e-12</v>
      </c>
      <c r="Q24" s="4">
        <v>1.1940374600922e-12</v>
      </c>
      <c r="R24" s="4">
        <v>1.3117175939658e-12</v>
      </c>
      <c r="S24" s="4">
        <v>1.3117172587664e-12</v>
      </c>
      <c r="T24" s="4">
        <v>1.311717553461e-12</v>
      </c>
      <c r="U24" s="4">
        <v>1.0788958480744e-12</v>
      </c>
      <c r="V24" s="4">
        <v>1.1392106591507e-12</v>
      </c>
      <c r="W24" s="4">
        <v>1.1392114256565e-12</v>
      </c>
      <c r="X24" s="4">
        <v>1.1392104725247e-12</v>
      </c>
      <c r="Y24" s="4">
        <v>1.1940346544915e-12</v>
      </c>
      <c r="Z24" s="4">
        <v>1.1940374189122e-12</v>
      </c>
      <c r="AA24" s="4">
        <v>1.1940382991264e-12</v>
      </c>
      <c r="AB24" s="3">
        <v>0.99999767220872</v>
      </c>
      <c r="AC24" s="3">
        <v>0.99759109291581</v>
      </c>
      <c r="AD24" s="3">
        <v>0.00041444868226218</v>
      </c>
      <c r="AE24" s="4">
        <v>-5.1714273629977e-16</v>
      </c>
      <c r="AF24" s="4">
        <v>2.7379468690357e-15</v>
      </c>
      <c r="AG24" s="4">
        <v>1.9416945672257e-15</v>
      </c>
      <c r="AH24" s="4">
        <v>1.2502589894435e-16</v>
      </c>
      <c r="AI24" s="4">
        <v>-6.6805107979228e-17</v>
      </c>
      <c r="AJ24" s="4">
        <v>5.504459186221e-16</v>
      </c>
      <c r="AK24" s="4">
        <v>3.1276802006277e-17</v>
      </c>
      <c r="AL24" s="4">
        <v>4.6994776443133e-16</v>
      </c>
      <c r="AM24" s="4">
        <v>1.6030447956051e-16</v>
      </c>
      <c r="AN24" s="4">
        <v>-9.4404352677513e-17</v>
      </c>
      <c r="AO24" s="4">
        <v>6.3938314965543e-16</v>
      </c>
      <c r="AP24" s="4">
        <v>3.9248010982104e-18</v>
      </c>
      <c r="AQ24" s="4">
        <v>2.6191615677523e-16</v>
      </c>
      <c r="AR24" s="4">
        <v>-3.6920061204041e-15</v>
      </c>
      <c r="AS24" s="4">
        <v>-3.4254713812732e-16</v>
      </c>
      <c r="AT24" s="4">
        <v>1.7555533205613e-16</v>
      </c>
      <c r="AU24" s="4">
        <v>-5.8159642759279e-16</v>
      </c>
      <c r="AV24" s="4">
        <v>-4.1979786644324e-16</v>
      </c>
      <c r="AW24" s="4">
        <v>-2.4357649000293e-16</v>
      </c>
      <c r="AX24" s="4">
        <v>2.0060850902396e-15</v>
      </c>
      <c r="AY24" s="4">
        <v>3.888093575947e-16</v>
      </c>
      <c r="AZ24" s="4">
        <v>-1.2418177215189e-15</v>
      </c>
      <c r="BA24" s="4">
        <v>2.4222079474977e-15</v>
      </c>
      <c r="BB24" s="4">
        <v>-6.9964474425108e-15</v>
      </c>
      <c r="BC24" s="3">
        <v>15998456.067702</v>
      </c>
      <c r="BD24" s="3">
        <v>3999476.4209183</v>
      </c>
      <c r="BE24" s="3">
        <v>-0.00020055336438056</v>
      </c>
      <c r="BF24" s="3">
        <v>0.00042481903277141</v>
      </c>
      <c r="BG24" s="3">
        <v>0.00012194771130097</v>
      </c>
      <c r="BH24" s="3">
        <v>-0.00050609022942251</v>
      </c>
      <c r="BI24" s="3">
        <v>100.4570019547</v>
      </c>
      <c r="BJ24" s="3">
        <v>50.232796121236</v>
      </c>
      <c r="BK24" s="3">
        <v>92.402267985369</v>
      </c>
      <c r="BL24" s="5"/>
    </row>
    <row r="25" spans="1:64">
      <c r="A25" s="3">
        <v>250593.61681364</v>
      </c>
      <c r="B25" s="4">
        <v>3.8075639772887e-6</v>
      </c>
      <c r="C25" s="4">
        <f t="shared" si="0"/>
        <v>1.65382382370111e-11</v>
      </c>
      <c r="D25" s="4">
        <v>1.0788811228589e-12</v>
      </c>
      <c r="E25" s="4">
        <v>1.3116352220121e-12</v>
      </c>
      <c r="F25" s="4">
        <v>1.3116349491458e-12</v>
      </c>
      <c r="G25" s="4">
        <v>1.3116341286946e-12</v>
      </c>
      <c r="H25" s="4">
        <v>1.0788798307223e-12</v>
      </c>
      <c r="I25" s="4">
        <v>1.0788802336062e-12</v>
      </c>
      <c r="J25" s="4">
        <v>1.0788799865144e-12</v>
      </c>
      <c r="K25" s="4">
        <v>1.1391784204446e-12</v>
      </c>
      <c r="L25" s="4">
        <v>1.1391792899127e-12</v>
      </c>
      <c r="M25" s="4">
        <v>1.1391781166348e-12</v>
      </c>
      <c r="N25" s="4">
        <v>1.1939681402137e-12</v>
      </c>
      <c r="O25" s="4">
        <v>1.0788798523839e-12</v>
      </c>
      <c r="P25" s="4">
        <v>1.1939676798298e-12</v>
      </c>
      <c r="Q25" s="4">
        <v>1.1939711557869e-12</v>
      </c>
      <c r="R25" s="4">
        <v>1.3116341557273e-12</v>
      </c>
      <c r="S25" s="4">
        <v>1.311633779928e-12</v>
      </c>
      <c r="T25" s="4">
        <v>1.3116341105034e-12</v>
      </c>
      <c r="U25" s="4">
        <v>1.0788799691383e-12</v>
      </c>
      <c r="V25" s="4">
        <v>1.1391788674451e-12</v>
      </c>
      <c r="W25" s="4">
        <v>1.1391797283471e-12</v>
      </c>
      <c r="X25" s="4">
        <v>1.1391786594382e-12</v>
      </c>
      <c r="Y25" s="4">
        <v>1.1939680065741e-12</v>
      </c>
      <c r="Z25" s="4">
        <v>1.1939711088555e-12</v>
      </c>
      <c r="AA25" s="4">
        <v>1.1939720975981e-12</v>
      </c>
      <c r="AB25" s="3">
        <v>0.99999792236875</v>
      </c>
      <c r="AC25" s="3">
        <v>0.9975904847202</v>
      </c>
      <c r="AD25" s="3">
        <v>0.00041479380486332</v>
      </c>
      <c r="AE25" s="4">
        <v>-5.1787145461863e-16</v>
      </c>
      <c r="AF25" s="4">
        <v>2.7338223860055e-15</v>
      </c>
      <c r="AG25" s="4">
        <v>1.9397822271489e-15</v>
      </c>
      <c r="AH25" s="4">
        <v>1.2554466895122e-16</v>
      </c>
      <c r="AI25" s="4">
        <v>-6.6859584072416e-17</v>
      </c>
      <c r="AJ25" s="4">
        <v>5.5036376576925e-16</v>
      </c>
      <c r="AK25" s="4">
        <v>3.1284047668915e-17</v>
      </c>
      <c r="AL25" s="4">
        <v>4.6991494383703e-16</v>
      </c>
      <c r="AM25" s="4">
        <v>1.636552262362e-16</v>
      </c>
      <c r="AN25" s="4">
        <v>-9.4383381459025e-17</v>
      </c>
      <c r="AO25" s="4">
        <v>6.390674278137e-16</v>
      </c>
      <c r="AP25" s="4">
        <v>4.0625840765308e-18</v>
      </c>
      <c r="AQ25" s="4">
        <v>2.6206641292918e-16</v>
      </c>
      <c r="AR25" s="4">
        <v>-3.6899759506641e-15</v>
      </c>
      <c r="AS25" s="4">
        <v>-3.4166979766823e-16</v>
      </c>
      <c r="AT25" s="4">
        <v>1.7520768320421e-16</v>
      </c>
      <c r="AU25" s="4">
        <v>-5.8080132796656e-16</v>
      </c>
      <c r="AV25" s="4">
        <v>-4.198509605251e-16</v>
      </c>
      <c r="AW25" s="4">
        <v>-2.4321018244863e-16</v>
      </c>
      <c r="AX25" s="4">
        <v>2.0037380739077e-15</v>
      </c>
      <c r="AY25" s="4">
        <v>3.8844046766252e-16</v>
      </c>
      <c r="AZ25" s="4">
        <v>-1.2398691837192e-15</v>
      </c>
      <c r="BA25" s="4">
        <v>2.4217793206287e-15</v>
      </c>
      <c r="BB25" s="4">
        <v>-6.9940867002051e-15</v>
      </c>
      <c r="BC25" s="3">
        <v>15998267.650197</v>
      </c>
      <c r="BD25" s="3">
        <v>3999412.5295358</v>
      </c>
      <c r="BE25" s="3">
        <v>-0.00020048225974369</v>
      </c>
      <c r="BF25" s="3">
        <v>0.00042526972987517</v>
      </c>
      <c r="BG25" s="3">
        <v>0.00012219801980391</v>
      </c>
      <c r="BH25" s="3">
        <v>-0.00050586001157143</v>
      </c>
      <c r="BI25" s="3">
        <v>100.45700149232</v>
      </c>
      <c r="BJ25" s="3">
        <v>50.232797248158</v>
      </c>
      <c r="BK25" s="3">
        <v>92.397133481241</v>
      </c>
      <c r="BL25" s="5"/>
    </row>
    <row r="26" spans="1:64">
      <c r="A26" s="3">
        <v>281170.66259518</v>
      </c>
      <c r="B26" s="4">
        <v>4.2721674540465e-6</v>
      </c>
      <c r="C26" s="4">
        <f t="shared" si="0"/>
        <v>1.6536288281822e-11</v>
      </c>
      <c r="D26" s="4">
        <v>1.0788634383068e-12</v>
      </c>
      <c r="E26" s="4">
        <v>1.3115417796656e-12</v>
      </c>
      <c r="F26" s="4">
        <v>1.3115414740044e-12</v>
      </c>
      <c r="G26" s="4">
        <v>1.3115405546222e-12</v>
      </c>
      <c r="H26" s="4">
        <v>1.0788619890047e-12</v>
      </c>
      <c r="I26" s="4">
        <v>1.0788624407771e-12</v>
      </c>
      <c r="J26" s="4">
        <v>1.0788621637916e-12</v>
      </c>
      <c r="K26" s="4">
        <v>1.1391426927383e-12</v>
      </c>
      <c r="L26" s="4">
        <v>1.1391436686392e-12</v>
      </c>
      <c r="M26" s="4">
        <v>1.1391423515991e-12</v>
      </c>
      <c r="N26" s="4">
        <v>1.1938934200532e-12</v>
      </c>
      <c r="O26" s="4">
        <v>1.0788620132961e-12</v>
      </c>
      <c r="P26" s="4">
        <v>1.1938929034512e-12</v>
      </c>
      <c r="Q26" s="4">
        <v>1.1938968044577e-12</v>
      </c>
      <c r="R26" s="4">
        <v>1.3115405842751e-12</v>
      </c>
      <c r="S26" s="4">
        <v>1.3115401630064e-12</v>
      </c>
      <c r="T26" s="4">
        <v>1.3115405338145e-12</v>
      </c>
      <c r="U26" s="4">
        <v>1.0788621443987e-12</v>
      </c>
      <c r="V26" s="4">
        <v>1.1391431930458e-12</v>
      </c>
      <c r="W26" s="4">
        <v>1.1391441600693e-12</v>
      </c>
      <c r="X26" s="4">
        <v>1.1391429614109e-12</v>
      </c>
      <c r="Y26" s="4">
        <v>1.1938932694387e-12</v>
      </c>
      <c r="Z26" s="4">
        <v>1.1938967508861e-12</v>
      </c>
      <c r="AA26" s="4">
        <v>1.1938978616734e-12</v>
      </c>
      <c r="AB26" s="3">
        <v>0.99999814594714</v>
      </c>
      <c r="AC26" s="3">
        <v>0.99758980137624</v>
      </c>
      <c r="AD26" s="3">
        <v>0.00041518114788579</v>
      </c>
      <c r="AE26" s="4">
        <v>-5.1868887419221e-16</v>
      </c>
      <c r="AF26" s="4">
        <v>2.7292007160072e-15</v>
      </c>
      <c r="AG26" s="4">
        <v>1.9376395257205e-15</v>
      </c>
      <c r="AH26" s="4">
        <v>1.2612711610252e-16</v>
      </c>
      <c r="AI26" s="4">
        <v>-6.6920690425847e-17</v>
      </c>
      <c r="AJ26" s="4">
        <v>5.5027100277437e-16</v>
      </c>
      <c r="AK26" s="4">
        <v>3.1291865594008e-17</v>
      </c>
      <c r="AL26" s="4">
        <v>4.6987872853802e-16</v>
      </c>
      <c r="AM26" s="4">
        <v>1.6741902869468e-16</v>
      </c>
      <c r="AN26" s="4">
        <v>-9.4359942599849e-17</v>
      </c>
      <c r="AO26" s="4">
        <v>6.3871386781975e-16</v>
      </c>
      <c r="AP26" s="4">
        <v>4.2170186308325e-18</v>
      </c>
      <c r="AQ26" s="4">
        <v>2.6223415043418e-16</v>
      </c>
      <c r="AR26" s="4">
        <v>-3.6876929167699e-15</v>
      </c>
      <c r="AS26" s="4">
        <v>-3.4068656708265e-16</v>
      </c>
      <c r="AT26" s="4">
        <v>1.7481795349122e-16</v>
      </c>
      <c r="AU26" s="4">
        <v>-5.7990968511038e-16</v>
      </c>
      <c r="AV26" s="4">
        <v>-4.199108186583e-16</v>
      </c>
      <c r="AW26" s="4">
        <v>-2.4279809127185e-16</v>
      </c>
      <c r="AX26" s="4">
        <v>2.0011037243466e-15</v>
      </c>
      <c r="AY26" s="4">
        <v>3.880246257568e-16</v>
      </c>
      <c r="AZ26" s="4">
        <v>-1.2376861741482e-15</v>
      </c>
      <c r="BA26" s="4">
        <v>2.4212955833231e-15</v>
      </c>
      <c r="BB26" s="4">
        <v>-6.9914306619045e-15</v>
      </c>
      <c r="BC26" s="3">
        <v>15998056.251388</v>
      </c>
      <c r="BD26" s="3">
        <v>3999340.8472176</v>
      </c>
      <c r="BE26" s="3">
        <v>-0.00020040244909968</v>
      </c>
      <c r="BF26" s="3">
        <v>0.00042577536071902</v>
      </c>
      <c r="BG26" s="3">
        <v>0.0001224788614816</v>
      </c>
      <c r="BH26" s="3">
        <v>-0.00050560129505762</v>
      </c>
      <c r="BI26" s="3">
        <v>100.45700097798</v>
      </c>
      <c r="BJ26" s="3">
        <v>50.232798511417</v>
      </c>
      <c r="BK26" s="3">
        <v>92.391377508813</v>
      </c>
      <c r="BL26" s="5"/>
    </row>
    <row r="27" spans="1:64">
      <c r="A27" s="3">
        <v>315478.6722401</v>
      </c>
      <c r="B27" s="4">
        <v>4.7934226802743e-6</v>
      </c>
      <c r="C27" s="4">
        <f t="shared" si="0"/>
        <v>1.65341022365014e-11</v>
      </c>
      <c r="D27" s="4">
        <v>1.0788435852897e-12</v>
      </c>
      <c r="E27" s="4">
        <v>1.3114369953999e-12</v>
      </c>
      <c r="F27" s="4">
        <v>1.311436653076e-12</v>
      </c>
      <c r="G27" s="4">
        <v>1.3114356230109e-12</v>
      </c>
      <c r="H27" s="4">
        <v>1.0788419597978e-12</v>
      </c>
      <c r="I27" s="4">
        <v>1.0788424663465e-12</v>
      </c>
      <c r="J27" s="4">
        <v>1.0788421558907e-12</v>
      </c>
      <c r="K27" s="4">
        <v>1.1391026014723e-12</v>
      </c>
      <c r="L27" s="4">
        <v>1.1391036968661e-12</v>
      </c>
      <c r="M27" s="4">
        <v>1.1391022183877e-12</v>
      </c>
      <c r="N27" s="4">
        <v>1.1938096369201e-12</v>
      </c>
      <c r="O27" s="4">
        <v>1.078841987036e-12</v>
      </c>
      <c r="P27" s="4">
        <v>1.1938090572376e-12</v>
      </c>
      <c r="Q27" s="4">
        <v>1.1938134353264e-12</v>
      </c>
      <c r="R27" s="4">
        <v>1.3114356554284e-12</v>
      </c>
      <c r="S27" s="4">
        <v>1.3114351832487e-12</v>
      </c>
      <c r="T27" s="4">
        <v>1.3114355991655e-12</v>
      </c>
      <c r="U27" s="4">
        <v>1.0788421342616e-12</v>
      </c>
      <c r="V27" s="4">
        <v>1.1391031612655e-12</v>
      </c>
      <c r="W27" s="4">
        <v>1.13910424762e-12</v>
      </c>
      <c r="X27" s="4">
        <v>1.1391029035739e-12</v>
      </c>
      <c r="Y27" s="4">
        <v>1.1938094670894e-12</v>
      </c>
      <c r="Z27" s="4">
        <v>1.1938133740684e-12</v>
      </c>
      <c r="AA27" s="4">
        <v>1.1938146221384e-12</v>
      </c>
      <c r="AB27" s="3">
        <v>0.99999834570864</v>
      </c>
      <c r="AC27" s="3">
        <v>0.99758903347115</v>
      </c>
      <c r="AD27" s="3">
        <v>0.00041561589072587</v>
      </c>
      <c r="AE27" s="4">
        <v>-5.1960575557631e-16</v>
      </c>
      <c r="AF27" s="4">
        <v>2.724022759785e-15</v>
      </c>
      <c r="AG27" s="4">
        <v>1.9352391176833e-15</v>
      </c>
      <c r="AH27" s="4">
        <v>1.2678110720566e-16</v>
      </c>
      <c r="AI27" s="4">
        <v>-6.6989232865262e-17</v>
      </c>
      <c r="AJ27" s="4">
        <v>5.5016618247416e-16</v>
      </c>
      <c r="AK27" s="4">
        <v>3.1300245314027e-17</v>
      </c>
      <c r="AL27" s="4">
        <v>4.6983886041703e-16</v>
      </c>
      <c r="AM27" s="4">
        <v>1.716473732016e-16</v>
      </c>
      <c r="AN27" s="4">
        <v>-9.4333758006666e-17</v>
      </c>
      <c r="AO27" s="4">
        <v>6.3831802426307e-16</v>
      </c>
      <c r="AP27" s="4">
        <v>4.3900946551569e-18</v>
      </c>
      <c r="AQ27" s="4">
        <v>2.6242128214903e-16</v>
      </c>
      <c r="AR27" s="4">
        <v>-3.6851248649496e-15</v>
      </c>
      <c r="AS27" s="4">
        <v>-3.3958482708658e-16</v>
      </c>
      <c r="AT27" s="4">
        <v>1.7438109480086e-16</v>
      </c>
      <c r="AU27" s="4">
        <v>-5.7890983997752e-16</v>
      </c>
      <c r="AV27" s="4">
        <v>-4.1997834016897e-16</v>
      </c>
      <c r="AW27" s="4">
        <v>-2.4233435836499e-16</v>
      </c>
      <c r="AX27" s="4">
        <v>1.9981467231167e-15</v>
      </c>
      <c r="AY27" s="4">
        <v>3.8755559930491e-16</v>
      </c>
      <c r="AZ27" s="4">
        <v>-1.2352409282827e-15</v>
      </c>
      <c r="BA27" s="4">
        <v>2.4207492827375e-15</v>
      </c>
      <c r="BB27" s="4">
        <v>-6.9884414435578e-15</v>
      </c>
      <c r="BC27" s="3">
        <v>15997819.069493</v>
      </c>
      <c r="BD27" s="3">
        <v>3999260.4246164</v>
      </c>
      <c r="BE27" s="3">
        <v>-0.00020031286245819</v>
      </c>
      <c r="BF27" s="3">
        <v>0.00042634261285802</v>
      </c>
      <c r="BG27" s="3">
        <v>0.00012279395960158</v>
      </c>
      <c r="BH27" s="3">
        <v>-0.00050531050297829</v>
      </c>
      <c r="BI27" s="3">
        <v>100.45700040646</v>
      </c>
      <c r="BJ27" s="3">
        <v>50.232799927344</v>
      </c>
      <c r="BK27" s="3">
        <v>92.384925534615</v>
      </c>
      <c r="BL27" s="5"/>
    </row>
    <row r="28" spans="1:64">
      <c r="A28" s="3">
        <v>353972.89219207</v>
      </c>
      <c r="B28" s="4">
        <v>5.3782322944204e-6</v>
      </c>
      <c r="C28" s="4">
        <f t="shared" si="0"/>
        <v>1.6531651775877e-11</v>
      </c>
      <c r="D28" s="4">
        <v>1.0788212964272e-12</v>
      </c>
      <c r="E28" s="4">
        <v>1.3113195006052e-12</v>
      </c>
      <c r="F28" s="4">
        <v>1.3113191173132e-12</v>
      </c>
      <c r="G28" s="4">
        <v>1.3113179634613e-12</v>
      </c>
      <c r="H28" s="4">
        <v>1.0788194734387e-12</v>
      </c>
      <c r="I28" s="4">
        <v>1.0788200413502e-12</v>
      </c>
      <c r="J28" s="4">
        <v>1.0788196934292e-12</v>
      </c>
      <c r="K28" s="4">
        <v>1.1390576131214e-12</v>
      </c>
      <c r="L28" s="4">
        <v>1.1390588426816e-12</v>
      </c>
      <c r="M28" s="4">
        <v>1.1390571828958e-12</v>
      </c>
      <c r="N28" s="4">
        <v>1.1937156988576e-12</v>
      </c>
      <c r="O28" s="4">
        <v>1.0788195039785e-12</v>
      </c>
      <c r="P28" s="4">
        <v>1.1937150483941e-12</v>
      </c>
      <c r="Q28" s="4">
        <v>1.1937199619909e-12</v>
      </c>
      <c r="R28" s="4">
        <v>1.3113179987604e-12</v>
      </c>
      <c r="S28" s="4">
        <v>1.3113174695913e-12</v>
      </c>
      <c r="T28" s="4">
        <v>1.3113179360793e-12</v>
      </c>
      <c r="U28" s="4">
        <v>1.0788196693246e-12</v>
      </c>
      <c r="V28" s="4">
        <v>1.1390582392496e-12</v>
      </c>
      <c r="W28" s="4">
        <v>1.1390594598236e-12</v>
      </c>
      <c r="X28" s="4">
        <v>1.1390579528928e-12</v>
      </c>
      <c r="Y28" s="4">
        <v>1.1937155072527e-12</v>
      </c>
      <c r="Z28" s="4">
        <v>1.1937198918119e-12</v>
      </c>
      <c r="AA28" s="4">
        <v>1.1937212943527e-12</v>
      </c>
      <c r="AB28" s="3">
        <v>0.99999852414241</v>
      </c>
      <c r="AC28" s="3">
        <v>0.99758817038038</v>
      </c>
      <c r="AD28" s="3">
        <v>0.00041610385172885</v>
      </c>
      <c r="AE28" s="4">
        <v>-5.2063415325419e-16</v>
      </c>
      <c r="AF28" s="4">
        <v>2.7182226097527e-15</v>
      </c>
      <c r="AG28" s="4">
        <v>1.9325505153322e-15</v>
      </c>
      <c r="AH28" s="4">
        <v>1.2751549378142e-16</v>
      </c>
      <c r="AI28" s="4">
        <v>-6.7066115193164e-17</v>
      </c>
      <c r="AJ28" s="4">
        <v>5.5004764127099e-16</v>
      </c>
      <c r="AK28" s="4">
        <v>3.1309154490883e-17</v>
      </c>
      <c r="AL28" s="4">
        <v>4.6979508952071e-16</v>
      </c>
      <c r="AM28" s="4">
        <v>1.7639830841142e-16</v>
      </c>
      <c r="AN28" s="4">
        <v>-9.4304521367463e-17</v>
      </c>
      <c r="AO28" s="4">
        <v>6.3787495124744e-16</v>
      </c>
      <c r="AP28" s="4">
        <v>4.584033848419e-18</v>
      </c>
      <c r="AQ28" s="4">
        <v>2.6262989758218e-16</v>
      </c>
      <c r="AR28" s="4">
        <v>-3.6822353949313e-15</v>
      </c>
      <c r="AS28" s="4">
        <v>-3.3835049677005e-16</v>
      </c>
      <c r="AT28" s="4">
        <v>1.7389146497089e-16</v>
      </c>
      <c r="AU28" s="4">
        <v>-5.7778874159012e-16</v>
      </c>
      <c r="AV28" s="4">
        <v>-4.2005455329056e-16</v>
      </c>
      <c r="AW28" s="4">
        <v>-2.4181234451496e-16</v>
      </c>
      <c r="AX28" s="4">
        <v>1.9948273706361e-15</v>
      </c>
      <c r="AY28" s="4">
        <v>3.8702626439844e-16</v>
      </c>
      <c r="AZ28" s="4">
        <v>-1.23250251039e-15</v>
      </c>
      <c r="BA28" s="4">
        <v>2.4201318677498e-15</v>
      </c>
      <c r="BB28" s="4">
        <v>-6.985076068246e-15</v>
      </c>
      <c r="BC28" s="3">
        <v>15997552.961474</v>
      </c>
      <c r="BD28" s="3">
        <v>3999170.1968807</v>
      </c>
      <c r="BE28" s="3">
        <v>-0.0002002122972993</v>
      </c>
      <c r="BF28" s="3">
        <v>0.00042697898589765</v>
      </c>
      <c r="BG28" s="3">
        <v>0.0001231474911354</v>
      </c>
      <c r="BH28" s="3">
        <v>-0.0005049835897644</v>
      </c>
      <c r="BI28" s="3">
        <v>100.45699977222</v>
      </c>
      <c r="BJ28" s="3">
        <v>50.232801514187</v>
      </c>
      <c r="BK28" s="3">
        <v>92.377694263787</v>
      </c>
      <c r="BL28" s="5"/>
    </row>
    <row r="29" spans="1:64">
      <c r="A29" s="3">
        <v>397164.11736215</v>
      </c>
      <c r="B29" s="4">
        <v>6.0343386297384e-6</v>
      </c>
      <c r="C29" s="4">
        <f t="shared" si="0"/>
        <v>1.65289052303744e-11</v>
      </c>
      <c r="D29" s="4">
        <v>1.0787962709773e-12</v>
      </c>
      <c r="E29" s="4">
        <v>1.3111877635752e-12</v>
      </c>
      <c r="F29" s="4">
        <v>1.3111873345272e-12</v>
      </c>
      <c r="G29" s="4">
        <v>1.3111860422891e-12</v>
      </c>
      <c r="H29" s="4">
        <v>1.0787942266341e-12</v>
      </c>
      <c r="I29" s="4">
        <v>1.0787948632733e-12</v>
      </c>
      <c r="J29" s="4">
        <v>1.0787944734279e-12</v>
      </c>
      <c r="K29" s="4">
        <v>1.1390071287689e-12</v>
      </c>
      <c r="L29" s="4">
        <v>1.1390085089849e-12</v>
      </c>
      <c r="M29" s="4">
        <v>1.1390066455529e-12</v>
      </c>
      <c r="N29" s="4">
        <v>1.193610384205e-12</v>
      </c>
      <c r="O29" s="4">
        <v>1.0787942608723e-12</v>
      </c>
      <c r="P29" s="4">
        <v>1.1936096543188e-12</v>
      </c>
      <c r="Q29" s="4">
        <v>1.1936151690335e-12</v>
      </c>
      <c r="R29" s="4">
        <v>1.3111860805442e-12</v>
      </c>
      <c r="S29" s="4">
        <v>1.3111854876001e-12</v>
      </c>
      <c r="T29" s="4">
        <v>1.3111860107776e-12</v>
      </c>
      <c r="U29" s="4">
        <v>1.0787944465878e-12</v>
      </c>
      <c r="V29" s="4">
        <v>1.1390078288127e-12</v>
      </c>
      <c r="W29" s="4">
        <v>1.1390092003963e-12</v>
      </c>
      <c r="X29" s="4">
        <v>1.1390075110102e-12</v>
      </c>
      <c r="Y29" s="4">
        <v>1.1936101679002e-12</v>
      </c>
      <c r="Z29" s="4">
        <v>1.1936150884711e-12</v>
      </c>
      <c r="AA29" s="4">
        <v>1.1936166648836e-12</v>
      </c>
      <c r="AB29" s="3">
        <v>0.99999868348704</v>
      </c>
      <c r="AC29" s="3">
        <v>0.99758720010323</v>
      </c>
      <c r="AD29" s="3">
        <v>0.00041665156787062</v>
      </c>
      <c r="AE29" s="4">
        <v>-5.2178756758048e-16</v>
      </c>
      <c r="AF29" s="4">
        <v>2.7117268226592e-15</v>
      </c>
      <c r="AG29" s="4">
        <v>1.9295397539609e-15</v>
      </c>
      <c r="AH29" s="4">
        <v>1.283402384744e-16</v>
      </c>
      <c r="AI29" s="4">
        <v>-6.7152351238239e-17</v>
      </c>
      <c r="AJ29" s="4">
        <v>5.4991346232361e-16</v>
      </c>
      <c r="AK29" s="4">
        <v>3.1318530976341e-17</v>
      </c>
      <c r="AL29" s="4">
        <v>4.6974718502551e-16</v>
      </c>
      <c r="AM29" s="4">
        <v>1.8173731821942e-16</v>
      </c>
      <c r="AN29" s="4">
        <v>-9.4271896085694e-17</v>
      </c>
      <c r="AO29" s="4">
        <v>6.3737915120985e-16</v>
      </c>
      <c r="AP29" s="4">
        <v>4.801315095696e-18</v>
      </c>
      <c r="AQ29" s="4">
        <v>2.6286226986763e-16</v>
      </c>
      <c r="AR29" s="4">
        <v>-3.6789832639102e-15</v>
      </c>
      <c r="AS29" s="4">
        <v>-3.3696787558361e-16</v>
      </c>
      <c r="AT29" s="4">
        <v>1.7334276081696e-16</v>
      </c>
      <c r="AU29" s="4">
        <v>-5.7653178488172e-16</v>
      </c>
      <c r="AV29" s="4">
        <v>-4.2014063585748e-16</v>
      </c>
      <c r="AW29" s="4">
        <v>-2.4122451856871e-16</v>
      </c>
      <c r="AX29" s="4">
        <v>1.99110103116e-15</v>
      </c>
      <c r="AY29" s="4">
        <v>3.8642846301654e-16</v>
      </c>
      <c r="AZ29" s="4">
        <v>-1.2294364818546e-15</v>
      </c>
      <c r="BA29" s="4">
        <v>2.419433506191e-15</v>
      </c>
      <c r="BB29" s="4">
        <v>-6.9812857269615e-15</v>
      </c>
      <c r="BC29" s="3">
        <v>15997254.401552</v>
      </c>
      <c r="BD29" s="3">
        <v>3999068.9696468</v>
      </c>
      <c r="BE29" s="3">
        <v>-0.00020009940190055</v>
      </c>
      <c r="BF29" s="3">
        <v>0.00042769288956527</v>
      </c>
      <c r="BG29" s="3">
        <v>0.00012354414196411</v>
      </c>
      <c r="BH29" s="3">
        <v>-0.00050461599846298</v>
      </c>
      <c r="BI29" s="3">
        <v>100.45699906939</v>
      </c>
      <c r="BJ29" s="3">
        <v>50.232803292309</v>
      </c>
      <c r="BK29" s="3">
        <v>92.36959065614</v>
      </c>
      <c r="BL29" s="5"/>
    </row>
    <row r="30" spans="1:64">
      <c r="A30" s="3">
        <v>445625.46906688</v>
      </c>
      <c r="B30" s="4">
        <v>6.7704255170769e-6</v>
      </c>
      <c r="C30" s="4">
        <f t="shared" si="0"/>
        <v>1.65258272195867e-11</v>
      </c>
      <c r="D30" s="4">
        <v>1.0787681705687e-12</v>
      </c>
      <c r="E30" s="4">
        <v>1.3110400705885e-12</v>
      </c>
      <c r="F30" s="4">
        <v>1.3110395904667e-12</v>
      </c>
      <c r="G30" s="4">
        <v>1.3110381435908e-12</v>
      </c>
      <c r="H30" s="4">
        <v>1.0787658781624e-12</v>
      </c>
      <c r="I30" s="4">
        <v>1.0787665917617e-12</v>
      </c>
      <c r="J30" s="4">
        <v>1.0787661550172e-12</v>
      </c>
      <c r="K30" s="4">
        <v>1.1389504760484e-12</v>
      </c>
      <c r="L30" s="4">
        <v>1.1389520254541e-12</v>
      </c>
      <c r="M30" s="4">
        <v>1.1389499332531e-12</v>
      </c>
      <c r="N30" s="4">
        <v>1.1934923266582e-12</v>
      </c>
      <c r="O30" s="4">
        <v>1.0787659165426e-12</v>
      </c>
      <c r="P30" s="4">
        <v>1.1934915076513e-12</v>
      </c>
      <c r="Q30" s="4">
        <v>1.1934976971693e-12</v>
      </c>
      <c r="R30" s="4">
        <v>1.3110381848141e-12</v>
      </c>
      <c r="S30" s="4">
        <v>1.3110375205243e-12</v>
      </c>
      <c r="T30" s="4">
        <v>1.3110381072428e-12</v>
      </c>
      <c r="U30" s="4">
        <v>1.0787661251606e-12</v>
      </c>
      <c r="V30" s="4">
        <v>1.1389512583823e-12</v>
      </c>
      <c r="W30" s="4">
        <v>1.1389527999209e-12</v>
      </c>
      <c r="X30" s="4">
        <v>1.1389509061978e-12</v>
      </c>
      <c r="Y30" s="4">
        <v>1.1934920823017e-12</v>
      </c>
      <c r="Z30" s="4">
        <v>1.1934976044857e-12</v>
      </c>
      <c r="AA30" s="4">
        <v>1.193499376684e-12</v>
      </c>
      <c r="AB30" s="3">
        <v>0.99999882575385</v>
      </c>
      <c r="AC30" s="3">
        <v>0.99758610907418</v>
      </c>
      <c r="AD30" s="3">
        <v>0.00041726638457278</v>
      </c>
      <c r="AE30" s="4">
        <v>-5.2308111302643e-16</v>
      </c>
      <c r="AF30" s="4">
        <v>2.7044536295428e-15</v>
      </c>
      <c r="AG30" s="4">
        <v>1.9261690286663e-15</v>
      </c>
      <c r="AH30" s="4">
        <v>1.2926655856655e-16</v>
      </c>
      <c r="AI30" s="4">
        <v>-6.7249078491213e-17</v>
      </c>
      <c r="AJ30" s="4">
        <v>5.4976143142194e-16</v>
      </c>
      <c r="AK30" s="4">
        <v>3.1328272606884e-17</v>
      </c>
      <c r="AL30" s="4">
        <v>4.6969494997081e-16</v>
      </c>
      <c r="AM30" s="4">
        <v>1.8773831959268e-16</v>
      </c>
      <c r="AN30" s="4">
        <v>-9.4235513321017e-17</v>
      </c>
      <c r="AO30" s="4">
        <v>6.3682451959463e-16</v>
      </c>
      <c r="AP30" s="4">
        <v>5.0447021586072e-18</v>
      </c>
      <c r="AQ30" s="4">
        <v>2.6312085983551e-16</v>
      </c>
      <c r="AR30" s="4">
        <v>-3.6753216993021e-15</v>
      </c>
      <c r="AS30" s="4">
        <v>-3.3541947130035e-16</v>
      </c>
      <c r="AT30" s="4">
        <v>1.7272794428465e-16</v>
      </c>
      <c r="AU30" s="4">
        <v>-5.7512263063334e-16</v>
      </c>
      <c r="AV30" s="4">
        <v>-4.2023793981821e-16</v>
      </c>
      <c r="AW30" s="4">
        <v>-2.4056232961599e-16</v>
      </c>
      <c r="AX30" s="4">
        <v>1.9869175040968e-15</v>
      </c>
      <c r="AY30" s="4">
        <v>3.857528339364e-16</v>
      </c>
      <c r="AZ30" s="4">
        <v>-1.2260045428495e-15</v>
      </c>
      <c r="BA30" s="4">
        <v>2.4186428669294e-15</v>
      </c>
      <c r="BB30" s="4">
        <v>-6.977014919797e-15</v>
      </c>
      <c r="BC30" s="3">
        <v>15996919.434714</v>
      </c>
      <c r="BD30" s="3">
        <v>3998955.4033445</v>
      </c>
      <c r="BE30" s="3">
        <v>-0.00019997265650386</v>
      </c>
      <c r="BF30" s="3">
        <v>0.00042849375349037</v>
      </c>
      <c r="BG30" s="3">
        <v>0.00012398916878024</v>
      </c>
      <c r="BH30" s="3">
        <v>-0.00050420256437968</v>
      </c>
      <c r="BI30" s="3">
        <v>100.45699829185</v>
      </c>
      <c r="BJ30" s="3">
        <v>50.232805284444</v>
      </c>
      <c r="BK30" s="3">
        <v>92.360510843739</v>
      </c>
      <c r="BL30" s="5"/>
    </row>
    <row r="31" spans="1:64">
      <c r="A31" s="3">
        <v>500000.00000001</v>
      </c>
      <c r="B31" s="4">
        <v>7.59623234209e-6</v>
      </c>
      <c r="C31" s="4">
        <f t="shared" si="0"/>
        <v>1.65223782389016e-11</v>
      </c>
      <c r="D31" s="4">
        <v>1.0787366143603e-12</v>
      </c>
      <c r="E31" s="4">
        <v>1.3108745049255e-12</v>
      </c>
      <c r="F31" s="4">
        <v>1.3108739678309e-12</v>
      </c>
      <c r="G31" s="4">
        <v>1.3108723482451e-12</v>
      </c>
      <c r="H31" s="4">
        <v>1.0787340439993e-12</v>
      </c>
      <c r="I31" s="4">
        <v>1.0787348437564e-12</v>
      </c>
      <c r="J31" s="4">
        <v>1.0787343545675e-12</v>
      </c>
      <c r="K31" s="4">
        <v>1.1388869000806e-12</v>
      </c>
      <c r="L31" s="4">
        <v>1.1388886395132e-12</v>
      </c>
      <c r="M31" s="4">
        <v>1.138886290281e-12</v>
      </c>
      <c r="N31" s="4">
        <v>1.1933599987303e-12</v>
      </c>
      <c r="O31" s="4">
        <v>1.0787340870176e-12</v>
      </c>
      <c r="P31" s="4">
        <v>1.1933590797187e-12</v>
      </c>
      <c r="Q31" s="4">
        <v>1.1933660268041e-12</v>
      </c>
      <c r="R31" s="4">
        <v>1.3108723923606e-12</v>
      </c>
      <c r="S31" s="4">
        <v>1.3108716482848e-12</v>
      </c>
      <c r="T31" s="4">
        <v>1.3108723062153e-12</v>
      </c>
      <c r="U31" s="4">
        <v>1.0787343213922e-12</v>
      </c>
      <c r="V31" s="4">
        <v>1.1388877739367e-12</v>
      </c>
      <c r="W31" s="4">
        <v>1.1388895068214e-12</v>
      </c>
      <c r="X31" s="4">
        <v>1.1388873843059e-12</v>
      </c>
      <c r="Y31" s="4">
        <v>1.1933597224742e-12</v>
      </c>
      <c r="Z31" s="4">
        <v>1.1933659199272e-12</v>
      </c>
      <c r="AA31" s="4">
        <v>1.1933679126844e-12</v>
      </c>
      <c r="AB31" s="3">
        <v>0.99999895274831</v>
      </c>
      <c r="AC31" s="3">
        <v>0.99758488194568</v>
      </c>
      <c r="AD31" s="3">
        <v>0.0004179565569803</v>
      </c>
      <c r="AE31" s="4">
        <v>-5.2453170443927e-16</v>
      </c>
      <c r="AF31" s="4">
        <v>2.6963120822811e-15</v>
      </c>
      <c r="AG31" s="4">
        <v>1.9223963018786e-15</v>
      </c>
      <c r="AH31" s="4">
        <v>1.3030708887974e-16</v>
      </c>
      <c r="AI31" s="4">
        <v>-6.7357573556575e-17</v>
      </c>
      <c r="AJ31" s="4">
        <v>5.495889840621e-16</v>
      </c>
      <c r="AK31" s="4">
        <v>3.1338224055232e-17</v>
      </c>
      <c r="AL31" s="4">
        <v>4.696382408741e-16</v>
      </c>
      <c r="AM31" s="4">
        <v>1.9448480527588e-16</v>
      </c>
      <c r="AN31" s="4">
        <v>-9.4194970156483e-17</v>
      </c>
      <c r="AO31" s="4">
        <v>6.3620428535811e-16</v>
      </c>
      <c r="AP31" s="4">
        <v>5.3172737661261e-18</v>
      </c>
      <c r="AQ31" s="4">
        <v>2.634083159296e-16</v>
      </c>
      <c r="AR31" s="4">
        <v>-3.6711976060072e-15</v>
      </c>
      <c r="AS31" s="4">
        <v>-3.3368581358273e-16</v>
      </c>
      <c r="AT31" s="4">
        <v>1.7203916128903e-16</v>
      </c>
      <c r="AU31" s="4">
        <v>-5.7354300581463e-16</v>
      </c>
      <c r="AV31" s="4">
        <v>-4.2034802036982e-16</v>
      </c>
      <c r="AW31" s="4">
        <v>-2.3981605970204e-16</v>
      </c>
      <c r="AX31" s="4">
        <v>1.9822203105586e-15</v>
      </c>
      <c r="AY31" s="4">
        <v>3.8498861175452e-16</v>
      </c>
      <c r="AZ31" s="4">
        <v>-1.2221641475709e-15</v>
      </c>
      <c r="BA31" s="4">
        <v>2.4177468593629e-15</v>
      </c>
      <c r="BB31" s="4">
        <v>-6.9722004565668e-15</v>
      </c>
      <c r="BC31" s="3">
        <v>15996543.62458</v>
      </c>
      <c r="BD31" s="3">
        <v>3998827.995615</v>
      </c>
      <c r="BE31" s="3">
        <v>-0.00019983035202656</v>
      </c>
      <c r="BF31" s="3">
        <v>0.00042939215005701</v>
      </c>
      <c r="BG31" s="3">
        <v>0.00012448846849335</v>
      </c>
      <c r="BH31" s="3">
        <v>-0.00050373744291322</v>
      </c>
      <c r="BI31" s="3">
        <v>100.45699743329</v>
      </c>
      <c r="BJ31" s="3">
        <v>50.232807515934</v>
      </c>
      <c r="BK31" s="3">
        <v>92.350338943337</v>
      </c>
      <c r="BL31" s="5"/>
    </row>
    <row r="32" spans="1:64">
      <c r="A32" s="3">
        <v>561009.22715099</v>
      </c>
      <c r="B32" s="4">
        <v>8.522681828188e-6</v>
      </c>
      <c r="C32" s="4">
        <f t="shared" si="0"/>
        <v>1.65185141286259e-11</v>
      </c>
      <c r="D32" s="4">
        <v>1.0787011734646e-12</v>
      </c>
      <c r="E32" s="4">
        <v>1.3106889235608e-12</v>
      </c>
      <c r="F32" s="4">
        <v>1.3106883229595e-12</v>
      </c>
      <c r="G32" s="4">
        <v>1.3106865105904e-12</v>
      </c>
      <c r="H32" s="4">
        <v>1.0786982917048e-12</v>
      </c>
      <c r="I32" s="4">
        <v>1.0786991878904e-12</v>
      </c>
      <c r="J32" s="4">
        <v>1.0786986400808e-12</v>
      </c>
      <c r="K32" s="4">
        <v>1.1388155533267e-12</v>
      </c>
      <c r="L32" s="4">
        <v>1.1388175062194e-12</v>
      </c>
      <c r="M32" s="4">
        <v>1.1388148681512e-12</v>
      </c>
      <c r="N32" s="4">
        <v>1.1932129000465e-12</v>
      </c>
      <c r="O32" s="4">
        <v>1.0786983399153e-12</v>
      </c>
      <c r="P32" s="4">
        <v>1.1932118688143e-12</v>
      </c>
      <c r="Q32" s="4">
        <v>1.1932196664406e-12</v>
      </c>
      <c r="R32" s="4">
        <v>1.3106865574007e-12</v>
      </c>
      <c r="S32" s="4">
        <v>1.3106857241364e-12</v>
      </c>
      <c r="T32" s="4">
        <v>1.3106864618647e-12</v>
      </c>
      <c r="U32" s="4">
        <v>1.0786986032643e-12</v>
      </c>
      <c r="V32" s="4">
        <v>1.1388165288585e-12</v>
      </c>
      <c r="W32" s="4">
        <v>1.138818477259e-12</v>
      </c>
      <c r="X32" s="4">
        <v>1.1388160986312e-12</v>
      </c>
      <c r="Y32" s="4">
        <v>1.1932125874637e-12</v>
      </c>
      <c r="Z32" s="4">
        <v>1.1932195428916e-12</v>
      </c>
      <c r="AA32" s="4">
        <v>1.1932217842384e-12</v>
      </c>
      <c r="AB32" s="3">
        <v>0.99999906608976</v>
      </c>
      <c r="AC32" s="3">
        <v>0.99758350136145</v>
      </c>
      <c r="AD32" s="3">
        <v>0.00041873136417659</v>
      </c>
      <c r="AE32" s="4">
        <v>-5.2615826275037e-16</v>
      </c>
      <c r="AF32" s="4">
        <v>2.6872011341414e-15</v>
      </c>
      <c r="AG32" s="4">
        <v>1.9181748836667e-15</v>
      </c>
      <c r="AH32" s="4">
        <v>1.3147606626871e-16</v>
      </c>
      <c r="AI32" s="4">
        <v>-6.747926932177e-17</v>
      </c>
      <c r="AJ32" s="4">
        <v>5.4939314227642e-16</v>
      </c>
      <c r="AK32" s="4">
        <v>3.1348160251967e-17</v>
      </c>
      <c r="AL32" s="4">
        <v>4.6957700079893e-16</v>
      </c>
      <c r="AM32" s="4">
        <v>2.0207113353833e-16</v>
      </c>
      <c r="AN32" s="4">
        <v>-9.414982849888e-17</v>
      </c>
      <c r="AO32" s="4">
        <v>6.3551094670185e-16</v>
      </c>
      <c r="AP32" s="4">
        <v>5.622456051135e-18</v>
      </c>
      <c r="AQ32" s="4">
        <v>2.6372746831356e-16</v>
      </c>
      <c r="AR32" s="4">
        <v>-3.66655065469e-15</v>
      </c>
      <c r="AS32" s="4">
        <v>-3.3174525053409e-16</v>
      </c>
      <c r="AT32" s="4">
        <v>1.7126765283127e-16</v>
      </c>
      <c r="AU32" s="4">
        <v>-5.7177248332255e-16</v>
      </c>
      <c r="AV32" s="4">
        <v>-4.2047266994329e-16</v>
      </c>
      <c r="AW32" s="4">
        <v>-2.389746542909e-16</v>
      </c>
      <c r="AX32" s="4">
        <v>1.9769459344354e-15</v>
      </c>
      <c r="AY32" s="4">
        <v>3.8412338747935e-16</v>
      </c>
      <c r="AZ32" s="4">
        <v>-1.2178680910797e-15</v>
      </c>
      <c r="BA32" s="4">
        <v>2.4167303244797e-15</v>
      </c>
      <c r="BB32" s="4">
        <v>-6.9667702962122e-15</v>
      </c>
      <c r="BC32" s="3">
        <v>15996121.994959</v>
      </c>
      <c r="BD32" s="3">
        <v>3998685.0616067</v>
      </c>
      <c r="BE32" s="3">
        <v>-0.00019967056583742</v>
      </c>
      <c r="BF32" s="3">
        <v>0.00043039993183768</v>
      </c>
      <c r="BG32" s="3">
        <v>0.00012504865605025</v>
      </c>
      <c r="BH32" s="3">
        <v>-0.00050321404036291</v>
      </c>
      <c r="BI32" s="3">
        <v>100.45699648734</v>
      </c>
      <c r="BJ32" s="3">
        <v>50.232810015053</v>
      </c>
      <c r="BK32" s="3">
        <v>92.338945752959</v>
      </c>
      <c r="BL32" s="5"/>
    </row>
    <row r="33" spans="1:64">
      <c r="A33" s="3">
        <v>629462.7058971</v>
      </c>
      <c r="B33" s="4">
        <v>9.5620232054328e-6</v>
      </c>
      <c r="C33" s="4">
        <f t="shared" si="0"/>
        <v>1.65141855306254e-11</v>
      </c>
      <c r="D33" s="4">
        <v>1.0786613642631e-12</v>
      </c>
      <c r="E33" s="4">
        <v>1.310480931077e-12</v>
      </c>
      <c r="F33" s="4">
        <v>1.3104802597446e-12</v>
      </c>
      <c r="G33" s="4">
        <v>1.3104782323248e-12</v>
      </c>
      <c r="H33" s="4">
        <v>1.0786581336977e-12</v>
      </c>
      <c r="I33" s="4">
        <v>1.078659137774e-12</v>
      </c>
      <c r="J33" s="4">
        <v>1.0786585244709e-12</v>
      </c>
      <c r="K33" s="4">
        <v>1.1387354844187e-12</v>
      </c>
      <c r="L33" s="4">
        <v>1.1387376771328e-12</v>
      </c>
      <c r="M33" s="4">
        <v>1.1387347144226e-12</v>
      </c>
      <c r="N33" s="4">
        <v>1.1930498763256e-12</v>
      </c>
      <c r="O33" s="4">
        <v>1.0786581877192e-12</v>
      </c>
      <c r="P33" s="4">
        <v>1.1930487191613e-12</v>
      </c>
      <c r="Q33" s="4">
        <v>1.1930574717879e-12</v>
      </c>
      <c r="R33" s="4">
        <v>1.3104782814669e-12</v>
      </c>
      <c r="S33" s="4">
        <v>1.3104773485493e-12</v>
      </c>
      <c r="T33" s="4">
        <v>1.3104781756826e-12</v>
      </c>
      <c r="U33" s="4">
        <v>1.078658483672e-12</v>
      </c>
      <c r="V33" s="4">
        <v>1.1387365727613e-12</v>
      </c>
      <c r="W33" s="4">
        <v>1.1387387640088e-12</v>
      </c>
      <c r="X33" s="4">
        <v>1.1387360987645e-12</v>
      </c>
      <c r="Y33" s="4">
        <v>1.1930495223114e-12</v>
      </c>
      <c r="Z33" s="4">
        <v>1.1930573285898e-12</v>
      </c>
      <c r="AA33" s="4">
        <v>1.1930598502754e-12</v>
      </c>
      <c r="AB33" s="3">
        <v>0.99999916722983</v>
      </c>
      <c r="AC33" s="3">
        <v>0.99758194777732</v>
      </c>
      <c r="AD33" s="3">
        <v>0.00041960123797982</v>
      </c>
      <c r="AE33" s="4">
        <v>-5.2798181471387e-16</v>
      </c>
      <c r="AF33" s="4">
        <v>2.6770086507052e-15</v>
      </c>
      <c r="AG33" s="4">
        <v>1.913452987757e-15</v>
      </c>
      <c r="AH33" s="4">
        <v>1.3278953345841e-16</v>
      </c>
      <c r="AI33" s="4">
        <v>-6.7615772684408e-17</v>
      </c>
      <c r="AJ33" s="4">
        <v>5.4917042698041e-16</v>
      </c>
      <c r="AK33" s="4">
        <v>3.1357781674702e-17</v>
      </c>
      <c r="AL33" s="4">
        <v>4.695113316399e-16</v>
      </c>
      <c r="AM33" s="4">
        <v>2.1060390262967e-16</v>
      </c>
      <c r="AN33" s="4">
        <v>-9.4099616026538e-17</v>
      </c>
      <c r="AO33" s="4">
        <v>6.3473620179429e-16</v>
      </c>
      <c r="AP33" s="4">
        <v>5.9640569933823e-18</v>
      </c>
      <c r="AQ33" s="4">
        <v>2.6408131438135e-16</v>
      </c>
      <c r="AR33" s="4">
        <v>-3.6613122219473e-15</v>
      </c>
      <c r="AS33" s="4">
        <v>-3.2957372161058e-16</v>
      </c>
      <c r="AT33" s="4">
        <v>1.7040365893809e-16</v>
      </c>
      <c r="AU33" s="4">
        <v>-5.6978824214251e-16</v>
      </c>
      <c r="AV33" s="4">
        <v>-4.2061395445657e-16</v>
      </c>
      <c r="AW33" s="4">
        <v>-2.3802553890949e-16</v>
      </c>
      <c r="AX33" s="4">
        <v>1.9710231922849e-15</v>
      </c>
      <c r="AY33" s="4">
        <v>3.8314282152062e-16</v>
      </c>
      <c r="AZ33" s="4">
        <v>-1.2130640588111e-15</v>
      </c>
      <c r="BA33" s="4">
        <v>2.4155756860147e-15</v>
      </c>
      <c r="BB33" s="4">
        <v>-6.960642180085e-15</v>
      </c>
      <c r="BC33" s="3">
        <v>15995648.964241</v>
      </c>
      <c r="BD33" s="3">
        <v>3998524.711874</v>
      </c>
      <c r="BE33" s="3">
        <v>-0.00019949113389364</v>
      </c>
      <c r="BF33" s="3">
        <v>0.00043153038528591</v>
      </c>
      <c r="BG33" s="3">
        <v>0.00012567715168124</v>
      </c>
      <c r="BH33" s="3">
        <v>-0.00050262488090146</v>
      </c>
      <c r="BI33" s="3">
        <v>100.45699544779</v>
      </c>
      <c r="BJ33" s="3">
        <v>50.232812813532</v>
      </c>
      <c r="BK33" s="3">
        <v>92.326187319767</v>
      </c>
      <c r="BL33" s="5"/>
    </row>
    <row r="34" spans="1:64">
      <c r="A34" s="3">
        <v>706268.77231139</v>
      </c>
      <c r="B34" s="4">
        <v>1.0727992316566e-5</v>
      </c>
      <c r="C34" s="4">
        <f t="shared" si="0"/>
        <v>1.65093379362814e-11</v>
      </c>
      <c r="D34" s="4">
        <v>1.0786166420114e-12</v>
      </c>
      <c r="E34" s="4">
        <v>1.3102478519313e-12</v>
      </c>
      <c r="F34" s="4">
        <v>1.310247101895e-12</v>
      </c>
      <c r="G34" s="4">
        <v>1.3102448347608e-12</v>
      </c>
      <c r="H34" s="4">
        <v>1.0786130208161e-12</v>
      </c>
      <c r="I34" s="4">
        <v>1.0786141455669e-12</v>
      </c>
      <c r="J34" s="4">
        <v>1.0786134591306e-12</v>
      </c>
      <c r="K34" s="4">
        <v>1.1386456247873e-12</v>
      </c>
      <c r="L34" s="4">
        <v>1.1386480869896e-12</v>
      </c>
      <c r="M34" s="4">
        <v>1.1386447593085e-12</v>
      </c>
      <c r="N34" s="4">
        <v>1.192867399808e-12</v>
      </c>
      <c r="O34" s="4">
        <v>1.0786130813394e-12</v>
      </c>
      <c r="P34" s="4">
        <v>1.1928661013197e-12</v>
      </c>
      <c r="Q34" s="4">
        <v>1.1928759263272e-12</v>
      </c>
      <c r="R34" s="4">
        <v>1.31024488565e-12</v>
      </c>
      <c r="S34" s="4">
        <v>1.3102438414439e-12</v>
      </c>
      <c r="T34" s="4">
        <v>1.3102447687288e-12</v>
      </c>
      <c r="U34" s="4">
        <v>1.0786134139921e-12</v>
      </c>
      <c r="V34" s="4">
        <v>1.138646838113e-12</v>
      </c>
      <c r="W34" s="4">
        <v>1.1386493031403e-12</v>
      </c>
      <c r="X34" s="4">
        <v>1.1386463172389e-12</v>
      </c>
      <c r="Y34" s="4">
        <v>1.1928669984617e-12</v>
      </c>
      <c r="Z34" s="4">
        <v>1.1928757598959e-12</v>
      </c>
      <c r="AA34" s="4">
        <v>1.1928785979219e-12</v>
      </c>
      <c r="AB34" s="3">
        <v>0.99999925746906</v>
      </c>
      <c r="AC34" s="3">
        <v>0.99758019872449</v>
      </c>
      <c r="AD34" s="3">
        <v>0.00042057790874356</v>
      </c>
      <c r="AE34" s="4">
        <v>-5.300255861646e-16</v>
      </c>
      <c r="AF34" s="4">
        <v>2.6656104109074e-15</v>
      </c>
      <c r="AG34" s="4">
        <v>1.9081732268364e-15</v>
      </c>
      <c r="AH34" s="4">
        <v>1.342655837917e-16</v>
      </c>
      <c r="AI34" s="4">
        <v>-6.7768891398271e-17</v>
      </c>
      <c r="AJ34" s="4">
        <v>5.4891674143808e-16</v>
      </c>
      <c r="AK34" s="4">
        <v>3.1366703178213e-17</v>
      </c>
      <c r="AL34" s="4">
        <v>4.6944146497391e-16</v>
      </c>
      <c r="AM34" s="4">
        <v>2.2020387561418e-16</v>
      </c>
      <c r="AN34" s="4">
        <v>-9.404382064135e-17</v>
      </c>
      <c r="AO34" s="4">
        <v>6.3387088154353e-16</v>
      </c>
      <c r="AP34" s="4">
        <v>6.3463038141004e-18</v>
      </c>
      <c r="AQ34" s="4">
        <v>2.6447299248126e-16</v>
      </c>
      <c r="AR34" s="4">
        <v>-3.6554041076309e-15</v>
      </c>
      <c r="AS34" s="4">
        <v>-3.2714455880336e-16</v>
      </c>
      <c r="AT34" s="4">
        <v>1.6943631148315e-16</v>
      </c>
      <c r="AU34" s="4">
        <v>-5.6756478754064e-16</v>
      </c>
      <c r="AV34" s="4">
        <v>-4.2077426839414e-16</v>
      </c>
      <c r="AW34" s="4">
        <v>-2.3695440008569e-16</v>
      </c>
      <c r="AX34" s="4">
        <v>1.9643716912423e-15</v>
      </c>
      <c r="AY34" s="4">
        <v>3.8203029655039e-16</v>
      </c>
      <c r="AZ34" s="4">
        <v>-1.2076942057304e-15</v>
      </c>
      <c r="BA34" s="4">
        <v>2.4142624814887e-15</v>
      </c>
      <c r="BB34" s="4">
        <v>-6.9537219570779e-15</v>
      </c>
      <c r="BC34" s="3">
        <v>15995118.272265</v>
      </c>
      <c r="BD34" s="3">
        <v>3998344.8277662</v>
      </c>
      <c r="BE34" s="3">
        <v>-0.00019928962072995</v>
      </c>
      <c r="BF34" s="3">
        <v>0.0004327984025919</v>
      </c>
      <c r="BG34" s="3">
        <v>0.00012638227862201</v>
      </c>
      <c r="BH34" s="3">
        <v>-0.00050196149054373</v>
      </c>
      <c r="BI34" s="3">
        <v>100.45699430871</v>
      </c>
      <c r="BJ34" s="3">
        <v>50.232815946452</v>
      </c>
      <c r="BK34" s="3">
        <v>92.31190343535</v>
      </c>
      <c r="BL34" s="5"/>
    </row>
    <row r="35" spans="1:64">
      <c r="A35" s="3">
        <v>792446.59623057</v>
      </c>
      <c r="B35" s="4">
        <v>1.2035990984212e-5</v>
      </c>
      <c r="C35" s="4">
        <f t="shared" si="0"/>
        <v>1.65039102627361e-11</v>
      </c>
      <c r="D35" s="4">
        <v>1.0785663924616e-12</v>
      </c>
      <c r="E35" s="4">
        <v>1.3099866990101e-12</v>
      </c>
      <c r="F35" s="4">
        <v>1.3099858614915e-12</v>
      </c>
      <c r="G35" s="4">
        <v>1.3099833273705e-12</v>
      </c>
      <c r="H35" s="4">
        <v>1.0785623338917e-12</v>
      </c>
      <c r="I35" s="4">
        <v>1.0785635935638e-12</v>
      </c>
      <c r="J35" s="4">
        <v>1.0785628255129e-12</v>
      </c>
      <c r="K35" s="4">
        <v>1.1385447741476e-12</v>
      </c>
      <c r="L35" s="4">
        <v>1.1385475392393e-12</v>
      </c>
      <c r="M35" s="4">
        <v>1.1385438011407e-12</v>
      </c>
      <c r="N35" s="4">
        <v>1.1926629698939e-12</v>
      </c>
      <c r="O35" s="4">
        <v>1.0785624016872e-12</v>
      </c>
      <c r="P35" s="4">
        <v>1.1926615128014e-12</v>
      </c>
      <c r="Q35" s="4">
        <v>1.1926725421147e-12</v>
      </c>
      <c r="R35" s="4">
        <v>1.3099833791285e-12</v>
      </c>
      <c r="S35" s="4">
        <v>1.3099822107123e-12</v>
      </c>
      <c r="T35" s="4">
        <v>1.3099832501656e-12</v>
      </c>
      <c r="U35" s="4">
        <v>1.0785627756658e-12</v>
      </c>
      <c r="V35" s="4">
        <v>1.1385461257123e-12</v>
      </c>
      <c r="W35" s="4">
        <v>1.1385488995621e-12</v>
      </c>
      <c r="X35" s="4">
        <v>1.1385455550402e-12</v>
      </c>
      <c r="Y35" s="4">
        <v>1.1926625143773e-12</v>
      </c>
      <c r="Z35" s="4">
        <v>1.1926723481206e-12</v>
      </c>
      <c r="AA35" s="4">
        <v>1.1926755433634e-12</v>
      </c>
      <c r="AB35" s="3">
        <v>0.99999933797165</v>
      </c>
      <c r="AC35" s="3">
        <v>0.99757822876755</v>
      </c>
      <c r="AD35" s="3">
        <v>0.0004216745697701</v>
      </c>
      <c r="AE35" s="4">
        <v>-5.3231574475381e-16</v>
      </c>
      <c r="AF35" s="4">
        <v>2.6528690069127e-15</v>
      </c>
      <c r="AG35" s="4">
        <v>1.9022721422203e-15</v>
      </c>
      <c r="AH35" s="4">
        <v>1.3592464306272e-16</v>
      </c>
      <c r="AI35" s="4">
        <v>-6.7940659919849e-17</v>
      </c>
      <c r="AJ35" s="4">
        <v>5.4862731225561e-16</v>
      </c>
      <c r="AK35" s="4">
        <v>3.1374362973621e-17</v>
      </c>
      <c r="AL35" s="4">
        <v>4.6936784636631e-16</v>
      </c>
      <c r="AM35" s="4">
        <v>2.3100796830655e-16</v>
      </c>
      <c r="AN35" s="4">
        <v>-9.39818938842e-17</v>
      </c>
      <c r="AO35" s="4">
        <v>6.3290486713565e-16</v>
      </c>
      <c r="AP35" s="4">
        <v>6.7738822321e-18</v>
      </c>
      <c r="AQ35" s="4">
        <v>2.6490574553435e-16</v>
      </c>
      <c r="AR35" s="4">
        <v>-3.6487372073832e-15</v>
      </c>
      <c r="AS35" s="4">
        <v>-3.244282300516e-16</v>
      </c>
      <c r="AT35" s="4">
        <v>1.6835351794682e-16</v>
      </c>
      <c r="AU35" s="4">
        <v>-5.6507365867261e-16</v>
      </c>
      <c r="AV35" s="4">
        <v>-4.2095639759343e-16</v>
      </c>
      <c r="AW35" s="4">
        <v>-2.3574488937964e-16</v>
      </c>
      <c r="AX35" s="4">
        <v>1.9569007634251e-15</v>
      </c>
      <c r="AY35" s="4">
        <v>3.8076650816096e-16</v>
      </c>
      <c r="AZ35" s="4">
        <v>-1.2016946788712e-15</v>
      </c>
      <c r="BA35" s="4">
        <v>2.4127667877682e-15</v>
      </c>
      <c r="BB35" s="4">
        <v>-6.94590183618e-15</v>
      </c>
      <c r="BC35" s="3">
        <v>15994522.898145</v>
      </c>
      <c r="BD35" s="3">
        <v>3998143.0337937</v>
      </c>
      <c r="BE35" s="3">
        <v>-0.00019906328438171</v>
      </c>
      <c r="BF35" s="3">
        <v>0.0004342206736645</v>
      </c>
      <c r="BG35" s="3">
        <v>0.00012717337273787</v>
      </c>
      <c r="BH35" s="3">
        <v>-0.00050121424213122</v>
      </c>
      <c r="BI35" s="3">
        <v>100.45699306483</v>
      </c>
      <c r="BJ35" s="3">
        <v>50.232819452791</v>
      </c>
      <c r="BK35" s="3">
        <v>92.295915969874</v>
      </c>
      <c r="BL35" s="5"/>
    </row>
    <row r="36" spans="1:64">
      <c r="A36" s="3">
        <v>889139.70501948</v>
      </c>
      <c r="B36" s="4">
        <v>1.3503287778664e-5</v>
      </c>
      <c r="C36" s="4">
        <f t="shared" si="0"/>
        <v>1.64978346194504e-11</v>
      </c>
      <c r="D36" s="4">
        <v>1.0785099224506e-12</v>
      </c>
      <c r="E36" s="4">
        <v>1.3096941391564e-12</v>
      </c>
      <c r="F36" s="4">
        <v>1.3096932045146e-12</v>
      </c>
      <c r="G36" s="4">
        <v>1.3096903733095e-12</v>
      </c>
      <c r="H36" s="4">
        <v>1.0785053742845e-12</v>
      </c>
      <c r="I36" s="4">
        <v>1.0785067847423e-12</v>
      </c>
      <c r="J36" s="4">
        <v>1.0785059256736e-12</v>
      </c>
      <c r="K36" s="4">
        <v>1.1384315842036e-12</v>
      </c>
      <c r="L36" s="4">
        <v>1.1384346898102e-12</v>
      </c>
      <c r="M36" s="4">
        <v>1.1384304900496e-12</v>
      </c>
      <c r="N36" s="4">
        <v>1.192433986412e-12</v>
      </c>
      <c r="O36" s="4">
        <v>1.0785054502111e-12</v>
      </c>
      <c r="P36" s="4">
        <v>1.1924323513122e-12</v>
      </c>
      <c r="Q36" s="4">
        <v>1.1924447332339e-12</v>
      </c>
      <c r="R36" s="4">
        <v>1.3096904246718e-12</v>
      </c>
      <c r="S36" s="4">
        <v>1.3096891177138e-12</v>
      </c>
      <c r="T36" s="4">
        <v>1.3096902827673e-12</v>
      </c>
      <c r="U36" s="4">
        <v>1.0785058707434e-12</v>
      </c>
      <c r="V36" s="4">
        <v>1.1384330883796e-12</v>
      </c>
      <c r="W36" s="4">
        <v>1.1384362107919e-12</v>
      </c>
      <c r="X36" s="4">
        <v>1.1384324653403e-12</v>
      </c>
      <c r="Y36" s="4">
        <v>1.1924334687792e-12</v>
      </c>
      <c r="Z36" s="4">
        <v>1.1924445064298e-12</v>
      </c>
      <c r="AA36" s="4">
        <v>1.1924481053669e-12</v>
      </c>
      <c r="AB36" s="3">
        <v>0.99999940977936</v>
      </c>
      <c r="AC36" s="3">
        <v>0.99757600899993</v>
      </c>
      <c r="AD36" s="3">
        <v>0.00042290606304896</v>
      </c>
      <c r="AE36" s="4">
        <v>-5.3488144978816e-16</v>
      </c>
      <c r="AF36" s="4">
        <v>2.6386327389283e-15</v>
      </c>
      <c r="AG36" s="4">
        <v>1.8956796776731e-15</v>
      </c>
      <c r="AH36" s="4">
        <v>1.3778977724866e-16</v>
      </c>
      <c r="AI36" s="4">
        <v>-6.8133369790876e-17</v>
      </c>
      <c r="AJ36" s="4">
        <v>5.4829652448876e-16</v>
      </c>
      <c r="AK36" s="4">
        <v>3.1380007933528e-17</v>
      </c>
      <c r="AL36" s="4">
        <v>4.6929121197531e-16</v>
      </c>
      <c r="AM36" s="4">
        <v>2.4317151857517e-16</v>
      </c>
      <c r="AN36" s="4">
        <v>-9.3913252014821e-17</v>
      </c>
      <c r="AO36" s="4">
        <v>6.3182700945637e-16</v>
      </c>
      <c r="AP36" s="4">
        <v>7.2519764899916e-18</v>
      </c>
      <c r="AQ36" s="4">
        <v>2.6538286128046e-16</v>
      </c>
      <c r="AR36" s="4">
        <v>-3.6412098401703e-15</v>
      </c>
      <c r="AS36" s="4">
        <v>-3.2139209370022e-16</v>
      </c>
      <c r="AT36" s="4">
        <v>1.6714183766264e-16</v>
      </c>
      <c r="AU36" s="4">
        <v>-5.6228310137483e-16</v>
      </c>
      <c r="AV36" s="4">
        <v>-4.2116358830119e-16</v>
      </c>
      <c r="AW36" s="4">
        <v>-2.3437834312493e-16</v>
      </c>
      <c r="AX36" s="4">
        <v>1.9485081569767e-15</v>
      </c>
      <c r="AY36" s="4">
        <v>3.7932896189691e-16</v>
      </c>
      <c r="AZ36" s="4">
        <v>-1.1949951428739e-15</v>
      </c>
      <c r="BA36" s="4">
        <v>2.4110605807091e-15</v>
      </c>
      <c r="BB36" s="4">
        <v>-6.9370581371536e-15</v>
      </c>
      <c r="BC36" s="3">
        <v>15993854.968173</v>
      </c>
      <c r="BD36" s="3">
        <v>3997916.6666913</v>
      </c>
      <c r="BE36" s="3">
        <v>-0.00019880903631945</v>
      </c>
      <c r="BF36" s="3">
        <v>0.00043581590058214</v>
      </c>
      <c r="BG36" s="3">
        <v>0.00012806090532136</v>
      </c>
      <c r="BH36" s="3">
        <v>-0.00050037222431399</v>
      </c>
      <c r="BI36" s="3">
        <v>100.45699171193</v>
      </c>
      <c r="BJ36" s="3">
        <v>50.232823375761</v>
      </c>
      <c r="BK36" s="3">
        <v>92.278027088542</v>
      </c>
      <c r="BL36" s="5"/>
    </row>
    <row r="37" spans="1:64">
      <c r="A37" s="3">
        <v>997631.15748446</v>
      </c>
      <c r="B37" s="4">
        <v>1.5149242636935e-5</v>
      </c>
      <c r="C37" s="4">
        <f t="shared" si="0"/>
        <v>1.64910357568261e-11</v>
      </c>
      <c r="D37" s="4">
        <v>1.0784464494082e-12</v>
      </c>
      <c r="E37" s="4">
        <v>1.3093664552479e-12</v>
      </c>
      <c r="F37" s="4">
        <v>1.3093654129265e-12</v>
      </c>
      <c r="G37" s="4">
        <v>1.3093622514961e-12</v>
      </c>
      <c r="H37" s="4">
        <v>1.0784413533336e-12</v>
      </c>
      <c r="I37" s="4">
        <v>1.0784429322264e-12</v>
      </c>
      <c r="J37" s="4">
        <v>1.0784419717311e-12</v>
      </c>
      <c r="K37" s="4">
        <v>1.1383058923152e-12</v>
      </c>
      <c r="L37" s="4">
        <v>1.1383093808382e-12</v>
      </c>
      <c r="M37" s="4">
        <v>1.1383046615939e-12</v>
      </c>
      <c r="N37" s="4">
        <v>1.1921775516361e-12</v>
      </c>
      <c r="O37" s="4">
        <v>1.078441438348e-12</v>
      </c>
      <c r="P37" s="4">
        <v>1.1921757167384e-12</v>
      </c>
      <c r="Q37" s="4">
        <v>1.1921896180206e-12</v>
      </c>
      <c r="R37" s="4">
        <v>1.309362300694e-12</v>
      </c>
      <c r="S37" s="4">
        <v>1.3093608393225e-12</v>
      </c>
      <c r="T37" s="4">
        <v>1.3093621449828e-12</v>
      </c>
      <c r="U37" s="4">
        <v>1.0784419113465e-12</v>
      </c>
      <c r="V37" s="4">
        <v>1.1383075645957e-12</v>
      </c>
      <c r="W37" s="4">
        <v>1.1383110806907e-12</v>
      </c>
      <c r="X37" s="4">
        <v>1.1383068871933e-12</v>
      </c>
      <c r="Y37" s="4">
        <v>1.1921769626285e-12</v>
      </c>
      <c r="Z37" s="4">
        <v>1.1921893520281e-12</v>
      </c>
      <c r="AA37" s="4">
        <v>1.1921934075903e-12</v>
      </c>
      <c r="AB37" s="3">
        <v>0.99999947382355</v>
      </c>
      <c r="AC37" s="3">
        <v>0.99757350651237</v>
      </c>
      <c r="AD37" s="3">
        <v>0.00042428908915153</v>
      </c>
      <c r="AE37" s="4">
        <v>-5.3775517299229e-16</v>
      </c>
      <c r="AF37" s="4">
        <v>2.6227344981844e-15</v>
      </c>
      <c r="AG37" s="4">
        <v>1.8883186416896e-15</v>
      </c>
      <c r="AH37" s="4">
        <v>1.3988705083098e-16</v>
      </c>
      <c r="AI37" s="4">
        <v>-6.834960583402e-17</v>
      </c>
      <c r="AJ37" s="4">
        <v>5.479177488088e-16</v>
      </c>
      <c r="AK37" s="4">
        <v>3.138263339854e-17</v>
      </c>
      <c r="AL37" s="4">
        <v>4.6921267739295e-16</v>
      </c>
      <c r="AM37" s="4">
        <v>2.5687096297604e-16</v>
      </c>
      <c r="AN37" s="4">
        <v>-9.3837276765233e-17</v>
      </c>
      <c r="AO37" s="4">
        <v>6.3062504042154e-16</v>
      </c>
      <c r="AP37" s="4">
        <v>7.7863096044765e-18</v>
      </c>
      <c r="AQ37" s="4">
        <v>2.6590758735422e-16</v>
      </c>
      <c r="AR37" s="4">
        <v>-3.632705840906e-15</v>
      </c>
      <c r="AS37" s="4">
        <v>-3.1800014814675e-16</v>
      </c>
      <c r="AT37" s="4">
        <v>1.657863488335e-16</v>
      </c>
      <c r="AU37" s="4">
        <v>-5.5915770758202e-16</v>
      </c>
      <c r="AV37" s="4">
        <v>-4.2139963407257e-16</v>
      </c>
      <c r="AW37" s="4">
        <v>-2.3283345062664e-16</v>
      </c>
      <c r="AX37" s="4">
        <v>1.939078457783e-15</v>
      </c>
      <c r="AY37" s="4">
        <v>3.7769136914751e-16</v>
      </c>
      <c r="AZ37" s="4">
        <v>-1.1875183082545e-15</v>
      </c>
      <c r="BA37" s="4">
        <v>2.4091109434465e-15</v>
      </c>
      <c r="BB37" s="4">
        <v>-6.9270486271457e-15</v>
      </c>
      <c r="BC37" s="3">
        <v>15993105.652707</v>
      </c>
      <c r="BD37" s="3">
        <v>3997662.7408166</v>
      </c>
      <c r="BE37" s="3">
        <v>-0.00019852339591256</v>
      </c>
      <c r="BF37" s="3">
        <v>0.00043760503700405</v>
      </c>
      <c r="BG37" s="3">
        <v>0.00012905662064607</v>
      </c>
      <c r="BH37" s="3">
        <v>-0.0004994230279659</v>
      </c>
      <c r="BI37" s="3">
        <v>100.45699024755</v>
      </c>
      <c r="BJ37" s="3">
        <v>50.232827763226</v>
      </c>
      <c r="BK37" s="3">
        <v>92.258017364796</v>
      </c>
      <c r="BL37" s="5"/>
    </row>
    <row r="38" spans="1:64">
      <c r="A38" s="3">
        <v>1119360.5692842</v>
      </c>
      <c r="B38" s="4">
        <v>1.6995558215754e-5</v>
      </c>
      <c r="C38" s="4">
        <f t="shared" ref="C38:C71" si="1">(BF38-BF37)/(A38-A37)</f>
        <v>1.64834309855288e-11</v>
      </c>
      <c r="D38" s="4">
        <v>1.0783750909756e-12</v>
      </c>
      <c r="E38" s="4">
        <v>1.3089995032132e-12</v>
      </c>
      <c r="F38" s="4">
        <v>1.3089983416937e-12</v>
      </c>
      <c r="G38" s="4">
        <v>1.3089948136392e-12</v>
      </c>
      <c r="H38" s="4">
        <v>1.0783693819132e-12</v>
      </c>
      <c r="I38" s="4">
        <v>1.078371148855e-12</v>
      </c>
      <c r="J38" s="4">
        <v>1.0783700754325e-12</v>
      </c>
      <c r="K38" s="4">
        <v>1.1381665807752e-12</v>
      </c>
      <c r="L38" s="4">
        <v>1.1381705000354e-12</v>
      </c>
      <c r="M38" s="4">
        <v>1.1381651960127e-12</v>
      </c>
      <c r="N38" s="4">
        <v>1.1918904411443e-12</v>
      </c>
      <c r="O38" s="4">
        <v>1.0783694770804e-12</v>
      </c>
      <c r="P38" s="4">
        <v>1.1918883819712e-12</v>
      </c>
      <c r="Q38" s="4">
        <v>1.1919039901596e-12</v>
      </c>
      <c r="R38" s="4">
        <v>1.3089948582499e-12</v>
      </c>
      <c r="S38" s="4">
        <v>1.3089932249167e-12</v>
      </c>
      <c r="T38" s="4">
        <v>1.308994687942e-12</v>
      </c>
      <c r="U38" s="4">
        <v>1.0783700092371e-12</v>
      </c>
      <c r="V38" s="4">
        <v>1.1381684377597e-12</v>
      </c>
      <c r="W38" s="4">
        <v>1.1381723988307e-12</v>
      </c>
      <c r="X38" s="4">
        <v>1.1381677048613e-12</v>
      </c>
      <c r="Y38" s="4">
        <v>1.1918897699427e-12</v>
      </c>
      <c r="Z38" s="4">
        <v>1.1919036772023e-12</v>
      </c>
      <c r="AA38" s="4">
        <v>1.1919082497773e-12</v>
      </c>
      <c r="AB38" s="3">
        <v>0.99999953093729</v>
      </c>
      <c r="AC38" s="3">
        <v>0.99757068378247</v>
      </c>
      <c r="AD38" s="3">
        <v>0.00042584244408457</v>
      </c>
      <c r="AE38" s="4">
        <v>-5.4097336830736e-16</v>
      </c>
      <c r="AF38" s="4">
        <v>2.6049906875542e-15</v>
      </c>
      <c r="AG38" s="4">
        <v>1.8801040964151e-15</v>
      </c>
      <c r="AH38" s="4">
        <v>1.4224593814814e-16</v>
      </c>
      <c r="AI38" s="4">
        <v>-6.8592287663632e-17</v>
      </c>
      <c r="AJ38" s="4">
        <v>5.4748313241872e-16</v>
      </c>
      <c r="AK38" s="4">
        <v>3.1380840530374e-17</v>
      </c>
      <c r="AL38" s="4">
        <v>4.6913382857179e-16</v>
      </c>
      <c r="AM38" s="4">
        <v>2.7230691288941e-16</v>
      </c>
      <c r="AN38" s="4">
        <v>-9.37533010266e-17</v>
      </c>
      <c r="AO38" s="4">
        <v>6.2928546847434e-16</v>
      </c>
      <c r="AP38" s="4">
        <v>8.3831779428062e-18</v>
      </c>
      <c r="AQ38" s="4">
        <v>2.6648300233934e-16</v>
      </c>
      <c r="AR38" s="4">
        <v>-3.623092268096e-15</v>
      </c>
      <c r="AS38" s="4">
        <v>-3.1421279007275e-16</v>
      </c>
      <c r="AT38" s="4">
        <v>1.6427051498667e-16</v>
      </c>
      <c r="AU38" s="4">
        <v>-5.5565800750693e-16</v>
      </c>
      <c r="AV38" s="4">
        <v>-4.2166897882897e-16</v>
      </c>
      <c r="AW38" s="4">
        <v>-2.3108594615739e-16</v>
      </c>
      <c r="AX38" s="4">
        <v>1.9284812359044e-15</v>
      </c>
      <c r="AY38" s="4">
        <v>3.7582293779937e-16</v>
      </c>
      <c r="AZ38" s="4">
        <v>-1.1791794359762e-15</v>
      </c>
      <c r="BA38" s="4">
        <v>2.4068791739775e-15</v>
      </c>
      <c r="BB38" s="4">
        <v>-6.9157088457142e-15</v>
      </c>
      <c r="BC38" s="3">
        <v>15992265.050493</v>
      </c>
      <c r="BD38" s="3">
        <v>3997377.9093775</v>
      </c>
      <c r="BE38" s="3">
        <v>-0.00019820243750383</v>
      </c>
      <c r="BF38" s="3">
        <v>0.00043961155536236</v>
      </c>
      <c r="BG38" s="3">
        <v>0.00013017368988384</v>
      </c>
      <c r="BH38" s="3">
        <v>-0.00049835255991603</v>
      </c>
      <c r="BI38" s="3">
        <v>100.45698867261</v>
      </c>
      <c r="BJ38" s="3">
        <v>50.232832668032</v>
      </c>
      <c r="BK38" s="3">
        <v>92.235643824469</v>
      </c>
      <c r="BL38" s="5"/>
    </row>
    <row r="39" spans="1:64">
      <c r="A39" s="3">
        <v>1255943.2157548</v>
      </c>
      <c r="B39" s="4">
        <v>1.9066560762872e-5</v>
      </c>
      <c r="C39" s="4">
        <f t="shared" si="1"/>
        <v>1.64749261227292e-11</v>
      </c>
      <c r="D39" s="4">
        <v>1.0782948486759e-12</v>
      </c>
      <c r="E39" s="4">
        <v>1.3085927988581e-12</v>
      </c>
      <c r="F39" s="4">
        <v>1.308591505623e-12</v>
      </c>
      <c r="G39" s="4">
        <v>1.3085875710879e-12</v>
      </c>
      <c r="H39" s="4">
        <v>1.0782884540355e-12</v>
      </c>
      <c r="I39" s="4">
        <v>1.0782904307985e-12</v>
      </c>
      <c r="J39" s="4">
        <v>1.0782892317679e-12</v>
      </c>
      <c r="K39" s="4">
        <v>1.1380101975442e-12</v>
      </c>
      <c r="L39" s="4">
        <v>1.1380146015316e-12</v>
      </c>
      <c r="M39" s="4">
        <v>1.13800863893e-12</v>
      </c>
      <c r="N39" s="4">
        <v>1.1915711989277e-12</v>
      </c>
      <c r="O39" s="4">
        <v>1.0782885605398e-12</v>
      </c>
      <c r="P39" s="4">
        <v>1.1915688879691e-12</v>
      </c>
      <c r="Q39" s="4">
        <v>1.1915864140581e-12</v>
      </c>
      <c r="R39" s="4">
        <v>1.3085876078423e-12</v>
      </c>
      <c r="S39" s="4">
        <v>1.3085857831833e-12</v>
      </c>
      <c r="T39" s="4">
        <v>1.30858742228e-12</v>
      </c>
      <c r="U39" s="4">
        <v>1.0782891594365e-12</v>
      </c>
      <c r="V39" s="4">
        <v>1.1380122568959e-12</v>
      </c>
      <c r="W39" s="4">
        <v>1.138016721333e-12</v>
      </c>
      <c r="X39" s="4">
        <v>1.1380114686062e-12</v>
      </c>
      <c r="Y39" s="4">
        <v>1.1915704328451e-12</v>
      </c>
      <c r="Z39" s="4">
        <v>1.191586044632e-12</v>
      </c>
      <c r="AA39" s="4">
        <v>1.1915912032482e-12</v>
      </c>
      <c r="AB39" s="3">
        <v>0.99999958186616</v>
      </c>
      <c r="AC39" s="3">
        <v>0.99756749814665</v>
      </c>
      <c r="AD39" s="3">
        <v>0.00042758728797846</v>
      </c>
      <c r="AE39" s="4">
        <v>-5.4457620787688e-16</v>
      </c>
      <c r="AF39" s="4">
        <v>2.5852002484053e-15</v>
      </c>
      <c r="AG39" s="4">
        <v>1.8709429711417e-15</v>
      </c>
      <c r="AH39" s="4">
        <v>1.448997827235e-16</v>
      </c>
      <c r="AI39" s="4">
        <v>-6.8864681938365e-17</v>
      </c>
      <c r="AJ39" s="4">
        <v>5.4698329138272e-16</v>
      </c>
      <c r="AK39" s="4">
        <v>3.1372859450727e-17</v>
      </c>
      <c r="AL39" s="4">
        <v>4.690566853366e-16</v>
      </c>
      <c r="AM39" s="4">
        <v>2.8970786720034e-16</v>
      </c>
      <c r="AN39" s="4">
        <v>-9.3660546154761e-17</v>
      </c>
      <c r="AO39" s="4">
        <v>6.2779351023438e-16</v>
      </c>
      <c r="AP39" s="4">
        <v>9.0494978896439e-18</v>
      </c>
      <c r="AQ39" s="4">
        <v>2.6711184723459e-16</v>
      </c>
      <c r="AR39" s="4">
        <v>-3.6122169364505e-15</v>
      </c>
      <c r="AS39" s="4">
        <v>-3.0998659434029e-16</v>
      </c>
      <c r="AT39" s="4">
        <v>1.6257602993935e-16</v>
      </c>
      <c r="AU39" s="4">
        <v>-5.5174006660305e-16</v>
      </c>
      <c r="AV39" s="4">
        <v>-4.2197677525508e-16</v>
      </c>
      <c r="AW39" s="4">
        <v>-2.291082392217e-16</v>
      </c>
      <c r="AX39" s="4">
        <v>1.9165685273988e-15</v>
      </c>
      <c r="AY39" s="4">
        <v>3.7368753034705e-16</v>
      </c>
      <c r="AZ39" s="4">
        <v>-1.1698860295807e-15</v>
      </c>
      <c r="BA39" s="4">
        <v>2.4043195553918e-15</v>
      </c>
      <c r="BB39" s="4">
        <v>-6.902849013477e-15</v>
      </c>
      <c r="BC39" s="3">
        <v>15991322.059518</v>
      </c>
      <c r="BD39" s="3">
        <v>3997058.4212127</v>
      </c>
      <c r="BE39" s="3">
        <v>-0.00019784173187215</v>
      </c>
      <c r="BF39" s="3">
        <v>0.00044186174437261</v>
      </c>
      <c r="BG39" s="3">
        <v>0.00013142688427101</v>
      </c>
      <c r="BH39" s="3">
        <v>-0.00049714480353203</v>
      </c>
      <c r="BI39" s="3">
        <v>100.45698699076</v>
      </c>
      <c r="BJ39" s="3">
        <v>50.232838148385</v>
      </c>
      <c r="BK39" s="3">
        <v>92.210637809909</v>
      </c>
      <c r="BL39" s="5"/>
    </row>
    <row r="40" spans="1:64">
      <c r="A40" s="3">
        <v>1409191.4656323</v>
      </c>
      <c r="B40" s="4">
        <v>2.1389514138835e-5</v>
      </c>
      <c r="C40" s="4">
        <f t="shared" si="1"/>
        <v>1.64654178071009e-11</v>
      </c>
      <c r="D40" s="4">
        <v>1.0782045925289e-12</v>
      </c>
      <c r="E40" s="4">
        <v>1.3081384202748e-12</v>
      </c>
      <c r="F40" s="4">
        <v>1.3081369817847e-12</v>
      </c>
      <c r="G40" s="4">
        <v>1.3081325972751e-12</v>
      </c>
      <c r="H40" s="4">
        <v>1.078197431393e-12</v>
      </c>
      <c r="I40" s="4">
        <v>1.0781996421124e-12</v>
      </c>
      <c r="J40" s="4">
        <v>1.0781983035254e-12</v>
      </c>
      <c r="K40" s="4">
        <v>1.137834635135e-12</v>
      </c>
      <c r="L40" s="4">
        <v>1.1378395848534e-12</v>
      </c>
      <c r="M40" s="4">
        <v>1.1378328801718e-12</v>
      </c>
      <c r="N40" s="4">
        <v>1.1912145802776e-12</v>
      </c>
      <c r="O40" s="4">
        <v>1.0781975505502e-12</v>
      </c>
      <c r="P40" s="4">
        <v>1.1912119866147e-12</v>
      </c>
      <c r="Q40" s="4">
        <v>1.1912316680571e-12</v>
      </c>
      <c r="R40" s="4">
        <v>1.3081326218192e-12</v>
      </c>
      <c r="S40" s="4">
        <v>1.3081305845124e-12</v>
      </c>
      <c r="T40" s="4">
        <v>1.3081324205447e-12</v>
      </c>
      <c r="U40" s="4">
        <v>1.0781982247846e-12</v>
      </c>
      <c r="V40" s="4">
        <v>1.1378369154666e-12</v>
      </c>
      <c r="W40" s="4">
        <v>1.1378419498396e-12</v>
      </c>
      <c r="X40" s="4">
        <v>1.1378360736211e-12</v>
      </c>
      <c r="Y40" s="4">
        <v>1.1912137044025e-12</v>
      </c>
      <c r="Z40" s="4">
        <v>1.1912312305078e-12</v>
      </c>
      <c r="AA40" s="4">
        <v>1.191237054253e-12</v>
      </c>
      <c r="AB40" s="3">
        <v>0.99999962727493</v>
      </c>
      <c r="AC40" s="3">
        <v>0.99756390041351</v>
      </c>
      <c r="AD40" s="3">
        <v>0.00042954744836601</v>
      </c>
      <c r="AE40" s="4">
        <v>-5.4860802955223e-16</v>
      </c>
      <c r="AF40" s="4">
        <v>2.5631438070951e-15</v>
      </c>
      <c r="AG40" s="4">
        <v>1.8607336008142e-15</v>
      </c>
      <c r="AH40" s="4">
        <v>1.4788632523372e-16</v>
      </c>
      <c r="AI40" s="4">
        <v>-6.9170432118463e-17</v>
      </c>
      <c r="AJ40" s="4">
        <v>5.4640697643529e-16</v>
      </c>
      <c r="AK40" s="4">
        <v>3.1356410262955e-17</v>
      </c>
      <c r="AL40" s="4">
        <v>4.6898360726435e-16</v>
      </c>
      <c r="AM40" s="4">
        <v>3.0933446569018e-16</v>
      </c>
      <c r="AN40" s="4">
        <v>-9.3558041278571e-17</v>
      </c>
      <c r="AO40" s="4">
        <v>6.2613300487247e-16</v>
      </c>
      <c r="AP40" s="4">
        <v>9.7928374320046e-18</v>
      </c>
      <c r="AQ40" s="4">
        <v>2.6779627575669e-16</v>
      </c>
      <c r="AR40" s="4">
        <v>-3.599905413786e-15</v>
      </c>
      <c r="AS40" s="4">
        <v>-3.0527411199505e-16</v>
      </c>
      <c r="AT40" s="4">
        <v>1.6068267103608e-16</v>
      </c>
      <c r="AU40" s="4">
        <v>-5.4735502479974e-16</v>
      </c>
      <c r="AV40" s="4">
        <v>-4.2232898276078e-16</v>
      </c>
      <c r="AW40" s="4">
        <v>-2.268691054653e-16</v>
      </c>
      <c r="AX40" s="4">
        <v>1.9031718027899e-15</v>
      </c>
      <c r="AY40" s="4">
        <v>3.7124271527208e-16</v>
      </c>
      <c r="AZ40" s="4">
        <v>-1.1595374907271e-15</v>
      </c>
      <c r="BA40" s="4">
        <v>2.4013781564708e-15</v>
      </c>
      <c r="BB40" s="4">
        <v>-6.888249110375e-15</v>
      </c>
      <c r="BC40" s="3">
        <v>15990264.232274</v>
      </c>
      <c r="BD40" s="3">
        <v>3996700.0724204</v>
      </c>
      <c r="BE40" s="3">
        <v>-0.00019743627806543</v>
      </c>
      <c r="BF40" s="3">
        <v>0.00044438504083505</v>
      </c>
      <c r="BG40" s="3">
        <v>0.00013283276839499</v>
      </c>
      <c r="BH40" s="3">
        <v>-0.00049578155365566</v>
      </c>
      <c r="BI40" s="3">
        <v>100.45698521005</v>
      </c>
      <c r="BJ40" s="3">
        <v>50.232844268184</v>
      </c>
      <c r="BK40" s="3">
        <v>92.182702851146</v>
      </c>
      <c r="BL40" s="5"/>
    </row>
    <row r="41" spans="1:63">
      <c r="A41" s="3">
        <v>1581138.8300842</v>
      </c>
      <c r="B41" s="4">
        <v>2.399496978664e-5</v>
      </c>
      <c r="C41" s="4">
        <f t="shared" si="1"/>
        <v>1.6454793163878e-11</v>
      </c>
      <c r="D41" s="4">
        <v>1.0781030404751e-12</v>
      </c>
      <c r="E41" s="4">
        <v>1.30762995933e-12</v>
      </c>
      <c r="F41" s="4">
        <v>1.3076283610233e-12</v>
      </c>
      <c r="G41" s="4">
        <v>1.3076234792674e-12</v>
      </c>
      <c r="H41" s="4">
        <v>1.0780950227042e-12</v>
      </c>
      <c r="I41" s="4">
        <v>1.0780974940954e-12</v>
      </c>
      <c r="J41" s="4">
        <v>1.0780960006514e-12</v>
      </c>
      <c r="K41" s="4">
        <v>1.1376375264513e-12</v>
      </c>
      <c r="L41" s="4">
        <v>1.1376430909066e-12</v>
      </c>
      <c r="M41" s="4">
        <v>1.1376355495542e-12</v>
      </c>
      <c r="N41" s="4">
        <v>1.1908156399588e-12</v>
      </c>
      <c r="O41" s="4">
        <v>1.0780951559749e-12</v>
      </c>
      <c r="P41" s="4">
        <v>1.1908127288237e-12</v>
      </c>
      <c r="Q41" s="4">
        <v>1.190834832948e-12</v>
      </c>
      <c r="R41" s="4">
        <v>1.3076234858566e-12</v>
      </c>
      <c r="S41" s="4">
        <v>1.3076212124828e-12</v>
      </c>
      <c r="T41" s="4">
        <v>1.3076232687076e-12</v>
      </c>
      <c r="U41" s="4">
        <v>1.0780959153067e-12</v>
      </c>
      <c r="V41" s="4">
        <v>1.1376400471505e-12</v>
      </c>
      <c r="W41" s="4">
        <v>1.1376457274789e-12</v>
      </c>
      <c r="X41" s="4">
        <v>1.1376391559473e-12</v>
      </c>
      <c r="Y41" s="4">
        <v>1.1908146367084e-12</v>
      </c>
      <c r="Z41" s="4">
        <v>1.190834312948e-12</v>
      </c>
      <c r="AA41" s="4">
        <v>1.1908408926567e-12</v>
      </c>
      <c r="AB41" s="3">
        <v>0.99999966775762</v>
      </c>
      <c r="AC41" s="3">
        <v>0.99755983410463</v>
      </c>
      <c r="AD41" s="3">
        <v>0.0004317497657775</v>
      </c>
      <c r="AE41" s="4">
        <v>-5.5311772810578e-16</v>
      </c>
      <c r="AF41" s="4">
        <v>2.5385826139883e-15</v>
      </c>
      <c r="AG41" s="4">
        <v>1.8493652154316e-15</v>
      </c>
      <c r="AH41" s="4">
        <v>1.5124837157164e-16</v>
      </c>
      <c r="AI41" s="4">
        <v>-6.9513764667879e-17</v>
      </c>
      <c r="AJ41" s="4">
        <v>5.4574079178632e-16</v>
      </c>
      <c r="AK41" s="4">
        <v>3.1328569464394e-17</v>
      </c>
      <c r="AL41" s="4">
        <v>4.689183102735e-16</v>
      </c>
      <c r="AM41" s="4">
        <v>3.3148436981526e-16</v>
      </c>
      <c r="AN41" s="4">
        <v>-9.3444947149207e-17</v>
      </c>
      <c r="AO41" s="4">
        <v>6.2428618776632e-16</v>
      </c>
      <c r="AP41" s="4">
        <v>1.0621439755853e-17</v>
      </c>
      <c r="AQ41" s="4">
        <v>2.6853768494765e-16</v>
      </c>
      <c r="AR41" s="4">
        <v>-3.5859580845798e-15</v>
      </c>
      <c r="AS41" s="4">
        <v>-3.0002361710345e-16</v>
      </c>
      <c r="AT41" s="4">
        <v>1.5856808971148e-16</v>
      </c>
      <c r="AU41" s="4">
        <v>-5.4244856898686e-16</v>
      </c>
      <c r="AV41" s="4">
        <v>-4.2273279212217e-16</v>
      </c>
      <c r="AW41" s="4">
        <v>-2.2433252273212e-16</v>
      </c>
      <c r="AX41" s="4">
        <v>1.8881008216708e-15</v>
      </c>
      <c r="AY41" s="4">
        <v>3.6843804466426e-16</v>
      </c>
      <c r="AZ41" s="4">
        <v>-1.1480248381147e-15</v>
      </c>
      <c r="BA41" s="4">
        <v>2.3979906037161e-15</v>
      </c>
      <c r="BB41" s="4">
        <v>-6.8716552606942e-15</v>
      </c>
      <c r="BC41" s="3">
        <v>15989077.615376</v>
      </c>
      <c r="BD41" s="3">
        <v>3996298.1528856</v>
      </c>
      <c r="BE41" s="3">
        <v>-0.00019698043192128</v>
      </c>
      <c r="BF41" s="3">
        <v>0.00044721439915218</v>
      </c>
      <c r="BG41" s="3">
        <v>0.00013440991641483</v>
      </c>
      <c r="BH41" s="3">
        <v>-0.00049424207456674</v>
      </c>
      <c r="BI41" s="3">
        <v>100.45698334449</v>
      </c>
      <c r="BJ41" s="3">
        <v>50.232851097651</v>
      </c>
      <c r="BK41" s="3">
        <v>92.151512423786</v>
      </c>
    </row>
    <row r="42" spans="1:63">
      <c r="A42" s="3">
        <v>1774066.9461679</v>
      </c>
      <c r="B42" s="4">
        <v>2.6917159059021e-5</v>
      </c>
      <c r="C42" s="4">
        <f t="shared" si="1"/>
        <v>1.64429259766561e-11</v>
      </c>
      <c r="D42" s="4">
        <v>1.0779925560916e-12</v>
      </c>
      <c r="E42" s="4">
        <v>1.3070611530717e-12</v>
      </c>
      <c r="F42" s="4">
        <v>1.3070593793915e-12</v>
      </c>
      <c r="G42" s="4">
        <v>1.3070539492555e-12</v>
      </c>
      <c r="H42" s="4">
        <v>1.0779835813325e-12</v>
      </c>
      <c r="I42" s="4">
        <v>1.0779863429162e-12</v>
      </c>
      <c r="J42" s="4">
        <v>1.0779846779096e-12</v>
      </c>
      <c r="K42" s="4">
        <v>1.1374162102463e-12</v>
      </c>
      <c r="L42" s="4">
        <v>1.1374224675991e-12</v>
      </c>
      <c r="M42" s="4">
        <v>1.1374139822743e-12</v>
      </c>
      <c r="N42" s="4">
        <v>1.1903743251244e-12</v>
      </c>
      <c r="O42" s="4">
        <v>1.0779837303358e-12</v>
      </c>
      <c r="P42" s="4">
        <v>1.1903710573973e-12</v>
      </c>
      <c r="Q42" s="4">
        <v>1.1903958852915e-12</v>
      </c>
      <c r="R42" s="4">
        <v>1.3070539303701e-12</v>
      </c>
      <c r="S42" s="4">
        <v>1.3070513952794e-12</v>
      </c>
      <c r="T42" s="4">
        <v>1.3070536976026e-12</v>
      </c>
      <c r="U42" s="4">
        <v>1.0779845858574e-12</v>
      </c>
      <c r="V42" s="4">
        <v>1.137418991213e-12</v>
      </c>
      <c r="W42" s="4">
        <v>1.1374254044617e-12</v>
      </c>
      <c r="X42" s="4">
        <v>1.1374180580215e-12</v>
      </c>
      <c r="Y42" s="4">
        <v>1.1903731736994e-12</v>
      </c>
      <c r="Z42" s="4">
        <v>1.190395265184e-12</v>
      </c>
      <c r="AA42" s="4">
        <v>1.1904027054665e-12</v>
      </c>
      <c r="AB42" s="3">
        <v>0.99999970384491</v>
      </c>
      <c r="AC42" s="3">
        <v>0.99755523697951</v>
      </c>
      <c r="AD42" s="3">
        <v>0.00043422447970977</v>
      </c>
      <c r="AE42" s="4">
        <v>-5.5815981527855e-16</v>
      </c>
      <c r="AF42" s="4">
        <v>2.5112582078726e-15</v>
      </c>
      <c r="AG42" s="4">
        <v>1.8367175815602e-15</v>
      </c>
      <c r="AH42" s="4">
        <v>1.5503449362399e-16</v>
      </c>
      <c r="AI42" s="4">
        <v>-6.9899518934544e-17</v>
      </c>
      <c r="AJ42" s="4">
        <v>5.4496865565311e-16</v>
      </c>
      <c r="AK42" s="4">
        <v>3.1285373291392e-17</v>
      </c>
      <c r="AL42" s="4">
        <v>4.6886572443508e-16</v>
      </c>
      <c r="AM42" s="4">
        <v>3.5649796966797e-16</v>
      </c>
      <c r="AN42" s="4">
        <v>-9.3320338384676e-17</v>
      </c>
      <c r="AO42" s="4">
        <v>6.2223354877177e-16</v>
      </c>
      <c r="AP42" s="4">
        <v>1.1544241119502e-17</v>
      </c>
      <c r="AQ42" s="4">
        <v>2.6933627664976e-16</v>
      </c>
      <c r="AR42" s="4">
        <v>-3.5701454335503e-15</v>
      </c>
      <c r="AS42" s="4">
        <v>-2.9417904386974e-16</v>
      </c>
      <c r="AT42" s="4">
        <v>1.5620765765866e-16</v>
      </c>
      <c r="AU42" s="4">
        <v>-5.3696036452053e-16</v>
      </c>
      <c r="AV42" s="4">
        <v>-4.2319675789836e-16</v>
      </c>
      <c r="AW42" s="4">
        <v>-2.2145815660606e-16</v>
      </c>
      <c r="AX42" s="4">
        <v>1.8711392716376e-15</v>
      </c>
      <c r="AY42" s="4">
        <v>3.6521355409049e-16</v>
      </c>
      <c r="AZ42" s="4">
        <v>-1.1352305691885e-15</v>
      </c>
      <c r="BA42" s="4">
        <v>2.3940801710176e-15</v>
      </c>
      <c r="BB42" s="4">
        <v>-6.8527722033377e-15</v>
      </c>
      <c r="BC42" s="3">
        <v>15987746.567375</v>
      </c>
      <c r="BD42" s="3">
        <v>3995847.3856052</v>
      </c>
      <c r="BE42" s="3">
        <v>-0.00019646781231452</v>
      </c>
      <c r="BF42" s="3">
        <v>0.00045038670188376</v>
      </c>
      <c r="BG42" s="3">
        <v>0.00013617915478</v>
      </c>
      <c r="BH42" s="3">
        <v>-0.00049250283622128</v>
      </c>
      <c r="BI42" s="3">
        <v>100.45698141573</v>
      </c>
      <c r="BJ42" s="3">
        <v>50.232858713482</v>
      </c>
      <c r="BK42" s="3">
        <v>92.116707924856</v>
      </c>
    </row>
    <row r="43" spans="1:63">
      <c r="A43" s="3">
        <v>1990535.8527675</v>
      </c>
      <c r="B43" s="4">
        <v>3.0194431513799e-5</v>
      </c>
      <c r="C43" s="4">
        <f t="shared" si="1"/>
        <v>1.64296731455223e-11</v>
      </c>
      <c r="D43" s="4">
        <v>1.077875803494e-12</v>
      </c>
      <c r="E43" s="4">
        <v>1.3064250669642e-12</v>
      </c>
      <c r="F43" s="4">
        <v>1.3064231014248e-12</v>
      </c>
      <c r="G43" s="4">
        <v>1.3064170679076e-12</v>
      </c>
      <c r="H43" s="4">
        <v>1.0778657601064e-12</v>
      </c>
      <c r="I43" s="4">
        <v>1.0778688444416e-12</v>
      </c>
      <c r="J43" s="4">
        <v>1.0778669897069e-12</v>
      </c>
      <c r="K43" s="4">
        <v>1.1371677165107e-12</v>
      </c>
      <c r="L43" s="4">
        <v>1.1371747554263e-12</v>
      </c>
      <c r="M43" s="4">
        <v>1.1371652042145e-12</v>
      </c>
      <c r="N43" s="4">
        <v>1.189883266238e-12</v>
      </c>
      <c r="O43" s="4">
        <v>1.0778659266349e-12</v>
      </c>
      <c r="P43" s="4">
        <v>1.1898795978732e-12</v>
      </c>
      <c r="Q43" s="4">
        <v>1.1899074887996e-12</v>
      </c>
      <c r="R43" s="4">
        <v>1.3064170137691e-12</v>
      </c>
      <c r="S43" s="4">
        <v>1.3064141889598e-12</v>
      </c>
      <c r="T43" s="4">
        <v>1.3064167662153e-12</v>
      </c>
      <c r="U43" s="4">
        <v>1.0778668909688e-12</v>
      </c>
      <c r="V43" s="4">
        <v>1.1371707777799e-12</v>
      </c>
      <c r="W43" s="4">
        <v>1.1371780236275e-12</v>
      </c>
      <c r="X43" s="4">
        <v>1.1371698141713e-12</v>
      </c>
      <c r="Y43" s="4">
        <v>1.1898819419579e-12</v>
      </c>
      <c r="Z43" s="4">
        <v>1.189906746778e-12</v>
      </c>
      <c r="AA43" s="4">
        <v>1.189915168471e-12</v>
      </c>
      <c r="AB43" s="3">
        <v>0.99999973601077</v>
      </c>
      <c r="AC43" s="3">
        <v>0.99755003581777</v>
      </c>
      <c r="AD43" s="3">
        <v>0.00043700566260088</v>
      </c>
      <c r="AE43" s="4">
        <v>-5.6379572578028e-16</v>
      </c>
      <c r="AF43" s="4">
        <v>2.4808921348615e-15</v>
      </c>
      <c r="AG43" s="4">
        <v>1.8226607489025e-15</v>
      </c>
      <c r="AH43" s="4">
        <v>1.5929986134978e-16</v>
      </c>
      <c r="AI43" s="4">
        <v>-7.0333311662279e-17</v>
      </c>
      <c r="AJ43" s="4">
        <v>5.4407077249967e-16</v>
      </c>
      <c r="AK43" s="4">
        <v>3.1220942248971e-17</v>
      </c>
      <c r="AL43" s="4">
        <v>4.6883254396409e-16</v>
      </c>
      <c r="AM43" s="4">
        <v>3.8476484840687e-16</v>
      </c>
      <c r="AN43" s="4">
        <v>-9.3183065283585e-17</v>
      </c>
      <c r="AO43" s="4">
        <v>6.199535467388e-16</v>
      </c>
      <c r="AP43" s="4">
        <v>1.257093423605e-17</v>
      </c>
      <c r="AQ43" s="4">
        <v>2.7019026340721e-16</v>
      </c>
      <c r="AR43" s="4">
        <v>-3.5521957879062e-15</v>
      </c>
      <c r="AS43" s="4">
        <v>-2.8767995466578e-16</v>
      </c>
      <c r="AT43" s="4">
        <v>1.5357427212652e-16</v>
      </c>
      <c r="AU43" s="4">
        <v>-5.3082340013628e-16</v>
      </c>
      <c r="AV43" s="4">
        <v>-4.2373142041248e-16</v>
      </c>
      <c r="AW43" s="4">
        <v>-2.182024488501e-16</v>
      </c>
      <c r="AX43" s="4">
        <v>1.8520422424105e-15</v>
      </c>
      <c r="AY43" s="4">
        <v>3.6149720813291e-16</v>
      </c>
      <c r="AZ43" s="4">
        <v>-1.121028152016e-15</v>
      </c>
      <c r="BA43" s="4">
        <v>2.389555517717e-15</v>
      </c>
      <c r="BB43" s="4">
        <v>-6.8312486201104e-15</v>
      </c>
      <c r="BC43" s="3">
        <v>15986253.553984</v>
      </c>
      <c r="BD43" s="3">
        <v>3995341.8586464</v>
      </c>
      <c r="BE43" s="3">
        <v>-0.0001958911899209</v>
      </c>
      <c r="BF43" s="3">
        <v>0.00045394321526536</v>
      </c>
      <c r="BG43" s="3">
        <v>0.00013816383507506</v>
      </c>
      <c r="BH43" s="3">
        <v>-0.00049053721397623</v>
      </c>
      <c r="BI43" s="3">
        <v>100.45697945564</v>
      </c>
      <c r="BJ43" s="3">
        <v>50.23286719845</v>
      </c>
      <c r="BK43" s="3">
        <v>92.07789700169</v>
      </c>
    </row>
    <row r="44" spans="1:63">
      <c r="A44" s="3">
        <v>2233417.9607549</v>
      </c>
      <c r="B44" s="4">
        <v>3.3869740310798e-5</v>
      </c>
      <c r="C44" s="4">
        <f t="shared" si="1"/>
        <v>1.64148874048262e-11</v>
      </c>
      <c r="D44" s="4">
        <v>1.0777467723282e-12</v>
      </c>
      <c r="E44" s="4">
        <v>1.3057140079464e-12</v>
      </c>
      <c r="F44" s="4">
        <v>1.3057118332504e-12</v>
      </c>
      <c r="G44" s="4">
        <v>1.305705137588e-12</v>
      </c>
      <c r="H44" s="4">
        <v>1.0777355362604e-12</v>
      </c>
      <c r="I44" s="4">
        <v>1.0777389791784e-12</v>
      </c>
      <c r="J44" s="4">
        <v>1.0777369149875e-12</v>
      </c>
      <c r="K44" s="4">
        <v>1.1368914649592e-12</v>
      </c>
      <c r="L44" s="4">
        <v>1.136899386202e-12</v>
      </c>
      <c r="M44" s="4">
        <v>1.136888630331e-12</v>
      </c>
      <c r="N44" s="4">
        <v>1.1893389541663e-12</v>
      </c>
      <c r="O44" s="4">
        <v>1.0777357222964e-12</v>
      </c>
      <c r="P44" s="4">
        <v>1.1893348355283e-12</v>
      </c>
      <c r="Q44" s="4">
        <v>1.189366171962e-12</v>
      </c>
      <c r="R44" s="4">
        <v>1.3057050355516e-12</v>
      </c>
      <c r="S44" s="4">
        <v>1.3057018905685e-12</v>
      </c>
      <c r="T44" s="4">
        <v>1.3057047748223e-12</v>
      </c>
      <c r="U44" s="4">
        <v>1.0777368098213e-12</v>
      </c>
      <c r="V44" s="4">
        <v>1.1368948261802e-12</v>
      </c>
      <c r="W44" s="4">
        <v>1.1369030191177e-12</v>
      </c>
      <c r="X44" s="4">
        <v>1.1368938492329e-12</v>
      </c>
      <c r="Y44" s="4">
        <v>1.1893374276525e-12</v>
      </c>
      <c r="Z44" s="4">
        <v>1.1893652810325e-12</v>
      </c>
      <c r="AA44" s="4">
        <v>1.1893748241815e-12</v>
      </c>
      <c r="AB44" s="3">
        <v>0.99999976467732</v>
      </c>
      <c r="AC44" s="3">
        <v>0.99754414094401</v>
      </c>
      <c r="AD44" s="3">
        <v>0.0004401317242766</v>
      </c>
      <c r="AE44" s="4">
        <v>-5.7008994971037e-16</v>
      </c>
      <c r="AF44" s="4">
        <v>2.4471868876183e-15</v>
      </c>
      <c r="AG44" s="4">
        <v>1.8070554182193e-15</v>
      </c>
      <c r="AH44" s="4">
        <v>1.641070879201e-16</v>
      </c>
      <c r="AI44" s="4">
        <v>-7.0821571807466e-17</v>
      </c>
      <c r="AJ44" s="4">
        <v>5.4302323085111e-16</v>
      </c>
      <c r="AK44" s="4">
        <v>3.1128596664041e-17</v>
      </c>
      <c r="AL44" s="4">
        <v>4.6882772885746e-16</v>
      </c>
      <c r="AM44" s="4">
        <v>4.1673361147301e-16</v>
      </c>
      <c r="AN44" s="4">
        <v>-9.3032254385777e-17</v>
      </c>
      <c r="AO44" s="4">
        <v>6.1742271012434e-16</v>
      </c>
      <c r="AP44" s="4">
        <v>1.3711835499964e-17</v>
      </c>
      <c r="AQ44" s="4">
        <v>2.7109566300542e-16</v>
      </c>
      <c r="AR44" s="4">
        <v>-3.5318028815894e-15</v>
      </c>
      <c r="AS44" s="4">
        <v>-2.8046163567307e-16</v>
      </c>
      <c r="AT44" s="4">
        <v>1.5063821288852e-16</v>
      </c>
      <c r="AU44" s="4">
        <v>-5.2396362935038e-16</v>
      </c>
      <c r="AV44" s="4">
        <v>-4.2434906465715e-16</v>
      </c>
      <c r="AW44" s="4">
        <v>-2.1451220342264e-16</v>
      </c>
      <c r="AX44" s="4">
        <v>1.8305289441043e-15</v>
      </c>
      <c r="AY44" s="4">
        <v>3.5720259232198e-16</v>
      </c>
      <c r="AZ44" s="4">
        <v>-1.1052835647186e-15</v>
      </c>
      <c r="BA44" s="4">
        <v>2.3843083262235e-15</v>
      </c>
      <c r="BB44" s="4">
        <v>-6.8066804861767e-15</v>
      </c>
      <c r="BC44" s="3">
        <v>15984578.926709</v>
      </c>
      <c r="BD44" s="3">
        <v>3994774.9517568</v>
      </c>
      <c r="BE44" s="3">
        <v>-0.00019524238759213</v>
      </c>
      <c r="BF44" s="3">
        <v>0.00045793009772062</v>
      </c>
      <c r="BG44" s="3">
        <v>0.00014039013476234</v>
      </c>
      <c r="BH44" s="3">
        <v>-0.00048831479658516</v>
      </c>
      <c r="BI44" s="3">
        <v>100.45697750931</v>
      </c>
      <c r="BJ44" s="3">
        <v>50.232876642232</v>
      </c>
      <c r="BK44" s="3">
        <v>92.034651104177</v>
      </c>
    </row>
    <row r="45" spans="1:63">
      <c r="A45" s="3">
        <v>2505936.1681364</v>
      </c>
      <c r="B45" s="4">
        <v>3.799118955837e-5</v>
      </c>
      <c r="C45" s="4">
        <f t="shared" si="1"/>
        <v>1.63984019176524e-11</v>
      </c>
      <c r="D45" s="4">
        <v>1.0776114984264e-12</v>
      </c>
      <c r="E45" s="4">
        <v>1.304921295672e-12</v>
      </c>
      <c r="F45" s="4">
        <v>1.3049188938936e-12</v>
      </c>
      <c r="G45" s="4">
        <v>1.304911473811e-12</v>
      </c>
      <c r="H45" s="4">
        <v>1.0775989317591e-12</v>
      </c>
      <c r="I45" s="4">
        <v>1.0776027726035e-12</v>
      </c>
      <c r="J45" s="4">
        <v>1.0776004777493e-12</v>
      </c>
      <c r="K45" s="4">
        <v>1.136585211167e-12</v>
      </c>
      <c r="L45" s="4">
        <v>1.1365941294927e-12</v>
      </c>
      <c r="M45" s="4">
        <v>1.136582010668e-12</v>
      </c>
      <c r="N45" s="4">
        <v>1.1887414442023e-12</v>
      </c>
      <c r="O45" s="4">
        <v>1.0775991394903e-12</v>
      </c>
      <c r="P45" s="4">
        <v>1.1887368192966e-12</v>
      </c>
      <c r="Q45" s="4">
        <v>1.1887720326818e-12</v>
      </c>
      <c r="R45" s="4">
        <v>1.3049113076034e-12</v>
      </c>
      <c r="S45" s="4">
        <v>1.3049078094664e-12</v>
      </c>
      <c r="T45" s="4">
        <v>1.3049110363465e-12</v>
      </c>
      <c r="U45" s="4">
        <v>1.0776003666114e-12</v>
      </c>
      <c r="V45" s="4">
        <v>1.1365888908973e-12</v>
      </c>
      <c r="W45" s="4">
        <v>1.1365981627294e-12</v>
      </c>
      <c r="X45" s="4">
        <v>1.1365879248473e-12</v>
      </c>
      <c r="Y45" s="4">
        <v>1.1887396803758e-12</v>
      </c>
      <c r="Z45" s="4">
        <v>1.1887709593493e-12</v>
      </c>
      <c r="AA45" s="4">
        <v>1.1887817868573e-12</v>
      </c>
      <c r="AB45" s="3">
        <v>0.99999979021865</v>
      </c>
      <c r="AC45" s="3">
        <v>0.99753745731516</v>
      </c>
      <c r="AD45" s="3">
        <v>0.00044364596067459</v>
      </c>
      <c r="AE45" s="4">
        <v>-5.7711254998335e-16</v>
      </c>
      <c r="AF45" s="4">
        <v>2.4098255511179e-15</v>
      </c>
      <c r="AG45" s="4">
        <v>1.7897517719552e-15</v>
      </c>
      <c r="AH45" s="4">
        <v>1.6952667802736e-16</v>
      </c>
      <c r="AI45" s="4">
        <v>-7.1371672003913e-17</v>
      </c>
      <c r="AJ45" s="4">
        <v>5.4179708489324e-16</v>
      </c>
      <c r="AK45" s="4">
        <v>3.0999901606992e-17</v>
      </c>
      <c r="AL45" s="4">
        <v>4.6886152769554e-16</v>
      </c>
      <c r="AM45" s="4">
        <v>4.5292588122452e-16</v>
      </c>
      <c r="AN45" s="4">
        <v>-9.2867464824763e-17</v>
      </c>
      <c r="AO45" s="4">
        <v>6.146168338901e-16</v>
      </c>
      <c r="AP45" s="4">
        <v>1.4977900484942e-17</v>
      </c>
      <c r="AQ45" s="4">
        <v>2.7204569574376e-16</v>
      </c>
      <c r="AR45" s="4">
        <v>-3.5086224701381e-15</v>
      </c>
      <c r="AS45" s="4">
        <v>-2.724547285083e-16</v>
      </c>
      <c r="AT45" s="4">
        <v>1.4736701221532e-16</v>
      </c>
      <c r="AU45" s="4">
        <v>-5.1629902345856e-16</v>
      </c>
      <c r="AV45" s="4">
        <v>-4.250637719963e-16</v>
      </c>
      <c r="AW45" s="4">
        <v>-2.1031606199725e-16</v>
      </c>
      <c r="AX45" s="4">
        <v>1.8062736065204e-15</v>
      </c>
      <c r="AY45" s="4">
        <v>3.5222728319572e-16</v>
      </c>
      <c r="AZ45" s="4">
        <v>-1.0878549414423e-15</v>
      </c>
      <c r="BA45" s="4">
        <v>2.3782267813824e-15</v>
      </c>
      <c r="BB45" s="4">
        <v>-6.7785979146483e-15</v>
      </c>
      <c r="BC45" s="3">
        <v>15982700.663533</v>
      </c>
      <c r="BD45" s="3">
        <v>3994139.2504755</v>
      </c>
      <c r="BE45" s="3">
        <v>-0.0001945121168043</v>
      </c>
      <c r="BF45" s="3">
        <v>0.00046239896081514</v>
      </c>
      <c r="BG45" s="3">
        <v>0.00014288739799421</v>
      </c>
      <c r="BH45" s="3">
        <v>-0.00048580089841073</v>
      </c>
      <c r="BI45" s="3">
        <v>100.4569756398</v>
      </c>
      <c r="BJ45" s="3">
        <v>50.232887140004</v>
      </c>
      <c r="BK45" s="3">
        <v>91.986504863615</v>
      </c>
    </row>
    <row r="46" spans="1:63">
      <c r="A46" s="3">
        <v>2811706.6259518</v>
      </c>
      <c r="B46" s="4">
        <v>4.2612638567371e-5</v>
      </c>
      <c r="C46" s="4">
        <f t="shared" si="1"/>
        <v>1.63800299945057e-11</v>
      </c>
      <c r="D46" s="4">
        <v>1.0774778542638e-12</v>
      </c>
      <c r="E46" s="4">
        <v>1.304037428822e-12</v>
      </c>
      <c r="F46" s="4">
        <v>1.3040347816752e-12</v>
      </c>
      <c r="G46" s="4">
        <v>1.3040265718343e-12</v>
      </c>
      <c r="H46" s="4">
        <v>1.0774638038479e-12</v>
      </c>
      <c r="I46" s="4">
        <v>1.077468085695e-12</v>
      </c>
      <c r="J46" s="4">
        <v>1.0774655375194e-12</v>
      </c>
      <c r="K46" s="4">
        <v>1.1362412204336e-12</v>
      </c>
      <c r="L46" s="4">
        <v>1.1362512668533e-12</v>
      </c>
      <c r="M46" s="4">
        <v>1.1362376040752e-12</v>
      </c>
      <c r="N46" s="4">
        <v>1.1880741499466e-12</v>
      </c>
      <c r="O46" s="4">
        <v>1.0774640356841e-12</v>
      </c>
      <c r="P46" s="4">
        <v>1.1880689555207e-12</v>
      </c>
      <c r="Q46" s="4">
        <v>1.1881085328597e-12</v>
      </c>
      <c r="R46" s="4">
        <v>1.3040263206009e-12</v>
      </c>
      <c r="S46" s="4">
        <v>1.3040224337731e-12</v>
      </c>
      <c r="T46" s="4">
        <v>1.3040260428281e-12</v>
      </c>
      <c r="U46" s="4">
        <v>1.0774654211447e-12</v>
      </c>
      <c r="V46" s="4">
        <v>1.1362452352124e-12</v>
      </c>
      <c r="W46" s="4">
        <v>1.1362557380332e-12</v>
      </c>
      <c r="X46" s="4">
        <v>1.1362443135224e-12</v>
      </c>
      <c r="Y46" s="4">
        <v>1.1880721067951e-12</v>
      </c>
      <c r="Z46" s="4">
        <v>1.188107235473e-12</v>
      </c>
      <c r="AA46" s="4">
        <v>1.1881195375609e-12</v>
      </c>
      <c r="AB46" s="3">
        <v>0.99999981297387</v>
      </c>
      <c r="AC46" s="3">
        <v>0.99752986528157</v>
      </c>
      <c r="AD46" s="3">
        <v>0.00044759718393181</v>
      </c>
      <c r="AE46" s="4">
        <v>-5.8493812624112e-16</v>
      </c>
      <c r="AF46" s="4">
        <v>2.3684710586553e-15</v>
      </c>
      <c r="AG46" s="4">
        <v>1.7705890652862e-15</v>
      </c>
      <c r="AH46" s="4">
        <v>1.7564150348586e-16</v>
      </c>
      <c r="AI46" s="4">
        <v>-7.1992344120317e-17</v>
      </c>
      <c r="AJ46" s="4">
        <v>5.4035831383876e-16</v>
      </c>
      <c r="AK46" s="4">
        <v>3.0824082512486e-17</v>
      </c>
      <c r="AL46" s="4">
        <v>4.6894626064395e-16</v>
      </c>
      <c r="AM46" s="4">
        <v>4.9393268970968e-16</v>
      </c>
      <c r="AN46" s="4">
        <v>-9.2687945346132e-17</v>
      </c>
      <c r="AO46" s="4">
        <v>6.1150860503084e-16</v>
      </c>
      <c r="AP46" s="4">
        <v>1.6381763169586e-17</v>
      </c>
      <c r="AQ46" s="4">
        <v>2.7303697181281e-16</v>
      </c>
      <c r="AR46" s="4">
        <v>-3.4822686058304e-15</v>
      </c>
      <c r="AS46" s="4">
        <v>-2.6358577158087e-16</v>
      </c>
      <c r="AT46" s="4">
        <v>1.4372474375168e-16</v>
      </c>
      <c r="AU46" s="4">
        <v>-5.0773717013618e-16</v>
      </c>
      <c r="AV46" s="4">
        <v>-4.2589250434917e-16</v>
      </c>
      <c r="AW46" s="4">
        <v>-2.0554052565734e-16</v>
      </c>
      <c r="AX46" s="4">
        <v>1.7789163031677e-15</v>
      </c>
      <c r="AY46" s="4">
        <v>3.4645077739422e-16</v>
      </c>
      <c r="AZ46" s="4">
        <v>-1.0685924824915e-15</v>
      </c>
      <c r="BA46" s="4">
        <v>2.3711727954454e-15</v>
      </c>
      <c r="BB46" s="4">
        <v>-6.7465211408273e-15</v>
      </c>
      <c r="BC46" s="3">
        <v>15980594.088601</v>
      </c>
      <c r="BD46" s="3">
        <v>3993426.4538255</v>
      </c>
      <c r="BE46" s="3">
        <v>-0.00019368983008228</v>
      </c>
      <c r="BF46" s="3">
        <v>0.00046740749008559</v>
      </c>
      <c r="BG46" s="3">
        <v>0.00014568851750173</v>
      </c>
      <c r="BH46" s="3">
        <v>-0.0004829563001401</v>
      </c>
      <c r="BI46" s="3">
        <v>100.45697392702</v>
      </c>
      <c r="BJ46" s="3">
        <v>50.232898796174</v>
      </c>
      <c r="BK46" s="3">
        <v>91.932955220603</v>
      </c>
    </row>
    <row r="47" spans="1:63">
      <c r="A47" s="3">
        <v>3154786.7224011</v>
      </c>
      <c r="B47" s="4">
        <v>4.7794370826432e-5</v>
      </c>
      <c r="C47" s="4">
        <f t="shared" si="1"/>
        <v>1.6359578566836e-11</v>
      </c>
      <c r="D47" s="4">
        <v>1.0773266458187e-12</v>
      </c>
      <c r="E47" s="4">
        <v>1.3030509246852e-12</v>
      </c>
      <c r="F47" s="4">
        <v>1.3030480138977e-12</v>
      </c>
      <c r="G47" s="4">
        <v>1.303038946602e-12</v>
      </c>
      <c r="H47" s="4">
        <v>1.0773109421226e-12</v>
      </c>
      <c r="I47" s="4">
        <v>1.0773157119678e-12</v>
      </c>
      <c r="J47" s="4">
        <v>1.0773128863251e-12</v>
      </c>
      <c r="K47" s="4">
        <v>1.1358548052152e-12</v>
      </c>
      <c r="L47" s="4">
        <v>1.1358661297317e-12</v>
      </c>
      <c r="M47" s="4">
        <v>1.1358507154602e-12</v>
      </c>
      <c r="N47" s="4">
        <v>1.1873292857467e-12</v>
      </c>
      <c r="O47" s="4">
        <v>1.0773112007149e-12</v>
      </c>
      <c r="P47" s="4">
        <v>1.187323450234e-12</v>
      </c>
      <c r="Q47" s="4">
        <v>1.1873679416503e-12</v>
      </c>
      <c r="R47" s="4">
        <v>1.303038583717e-12</v>
      </c>
      <c r="S47" s="4">
        <v>1.3030342701298e-12</v>
      </c>
      <c r="T47" s="4">
        <v>1.3030383052152e-12</v>
      </c>
      <c r="U47" s="4">
        <v>1.0773127659589e-12</v>
      </c>
      <c r="V47" s="4">
        <v>1.1358591683485e-12</v>
      </c>
      <c r="W47" s="4">
        <v>1.1358710781289e-12</v>
      </c>
      <c r="X47" s="4">
        <v>1.1358583363039e-12</v>
      </c>
      <c r="Y47" s="4">
        <v>1.1873269127998e-12</v>
      </c>
      <c r="Z47" s="4">
        <v>1.1873663683047e-12</v>
      </c>
      <c r="AA47" s="4">
        <v>1.1873803680803e-12</v>
      </c>
      <c r="AB47" s="3">
        <v>0.99999983324324</v>
      </c>
      <c r="AC47" s="3">
        <v>0.99752121827827</v>
      </c>
      <c r="AD47" s="3">
        <v>0.00045204045005475</v>
      </c>
      <c r="AE47" s="4">
        <v>-5.9364624861073e-16</v>
      </c>
      <c r="AF47" s="4">
        <v>2.3227761833741e-15</v>
      </c>
      <c r="AG47" s="4">
        <v>1.7493991536482e-15</v>
      </c>
      <c r="AH47" s="4">
        <v>1.8254800286099e-16</v>
      </c>
      <c r="AI47" s="4">
        <v>-7.269397314949e-17</v>
      </c>
      <c r="AJ47" s="4">
        <v>5.3866501168057e-16</v>
      </c>
      <c r="AK47" s="4">
        <v>3.0587397792725e-17</v>
      </c>
      <c r="AL47" s="4">
        <v>4.6909837887653e-16</v>
      </c>
      <c r="AM47" s="4">
        <v>5.4043679652189e-16</v>
      </c>
      <c r="AN47" s="4">
        <v>-9.2493148452174e-17</v>
      </c>
      <c r="AO47" s="4">
        <v>6.0806654905859e-16</v>
      </c>
      <c r="AP47" s="4">
        <v>1.7935971549489e-17</v>
      </c>
      <c r="AQ47" s="4">
        <v>2.7405783570268e-16</v>
      </c>
      <c r="AR47" s="4">
        <v>-3.4522967894012e-15</v>
      </c>
      <c r="AS47" s="4">
        <v>-2.5377907894456e-16</v>
      </c>
      <c r="AT47" s="4">
        <v>1.3967243929246e-16</v>
      </c>
      <c r="AU47" s="4">
        <v>-4.9817531219032e-16</v>
      </c>
      <c r="AV47" s="4">
        <v>-4.2685610623925e-16</v>
      </c>
      <c r="AW47" s="4">
        <v>-2.0010603070907e-16</v>
      </c>
      <c r="AX47" s="4">
        <v>1.7480372688684e-15</v>
      </c>
      <c r="AY47" s="4">
        <v>3.3972516841053e-16</v>
      </c>
      <c r="AZ47" s="4">
        <v>-1.0473430130672e-15</v>
      </c>
      <c r="BA47" s="4">
        <v>2.362970943327e-15</v>
      </c>
      <c r="BB47" s="4">
        <v>-6.7098523533232e-15</v>
      </c>
      <c r="BC47" s="3">
        <v>15978231.567331</v>
      </c>
      <c r="BD47" s="3">
        <v>3992627.2743343</v>
      </c>
      <c r="BE47" s="3">
        <v>-0.00019276358021283</v>
      </c>
      <c r="BF47" s="3">
        <v>0.00047302013587817</v>
      </c>
      <c r="BG47" s="3">
        <v>0.00014883035506733</v>
      </c>
      <c r="BH47" s="3">
        <v>-0.00047973681789886</v>
      </c>
      <c r="BI47" s="3">
        <v>100.4569724772</v>
      </c>
      <c r="BJ47" s="3">
        <v>50.232911720549</v>
      </c>
      <c r="BK47" s="3">
        <v>91.873459560708</v>
      </c>
    </row>
    <row r="48" spans="1:63">
      <c r="A48" s="3">
        <v>3539728.9219208</v>
      </c>
      <c r="B48" s="4">
        <v>5.3603844787001e-5</v>
      </c>
      <c r="C48" s="4">
        <f t="shared" si="1"/>
        <v>1.63368328283742e-11</v>
      </c>
      <c r="D48" s="4">
        <v>1.0771564247451e-12</v>
      </c>
      <c r="E48" s="4">
        <v>1.3019501874328e-12</v>
      </c>
      <c r="F48" s="4">
        <v>1.3019469952503e-12</v>
      </c>
      <c r="G48" s="4">
        <v>1.3019370014787e-12</v>
      </c>
      <c r="H48" s="4">
        <v>1.077138880052e-12</v>
      </c>
      <c r="I48" s="4">
        <v>1.0771441889905e-12</v>
      </c>
      <c r="J48" s="4">
        <v>1.0771410604815e-12</v>
      </c>
      <c r="K48" s="4">
        <v>1.1354267530502e-12</v>
      </c>
      <c r="L48" s="4">
        <v>1.1354395279861e-12</v>
      </c>
      <c r="M48" s="4">
        <v>1.1354221234989e-12</v>
      </c>
      <c r="N48" s="4">
        <v>1.1864987996826e-12</v>
      </c>
      <c r="O48" s="4">
        <v>1.0771391683105e-12</v>
      </c>
      <c r="P48" s="4">
        <v>1.1864922419482e-12</v>
      </c>
      <c r="Q48" s="4">
        <v>1.1865422693848e-12</v>
      </c>
      <c r="R48" s="4">
        <v>1.3019364930629e-12</v>
      </c>
      <c r="S48" s="4">
        <v>1.3019317122127e-12</v>
      </c>
      <c r="T48" s="4">
        <v>1.3019362219101e-12</v>
      </c>
      <c r="U48" s="4">
        <v>1.0771409379107e-12</v>
      </c>
      <c r="V48" s="4">
        <v>1.1354314730423e-12</v>
      </c>
      <c r="W48" s="4">
        <v>1.1354449939574e-12</v>
      </c>
      <c r="X48" s="4">
        <v>1.1354307910018e-12</v>
      </c>
      <c r="Y48" s="4">
        <v>1.1864960361307e-12</v>
      </c>
      <c r="Z48" s="4">
        <v>1.1865403552534e-12</v>
      </c>
      <c r="AA48" s="4">
        <v>1.1865563156395e-12</v>
      </c>
      <c r="AB48" s="3">
        <v>0.99999985129432</v>
      </c>
      <c r="AC48" s="3">
        <v>0.99751135416573</v>
      </c>
      <c r="AD48" s="3">
        <v>0.00045703785200652</v>
      </c>
      <c r="AE48" s="4">
        <v>-6.0331778683609e-16</v>
      </c>
      <c r="AF48" s="4">
        <v>2.2723831247139e-15</v>
      </c>
      <c r="AG48" s="4">
        <v>1.7260079449021e-15</v>
      </c>
      <c r="AH48" s="4">
        <v>1.9035346836775e-16</v>
      </c>
      <c r="AI48" s="4">
        <v>-7.3488559266082e-17</v>
      </c>
      <c r="AJ48" s="4">
        <v>5.36665519793e-16</v>
      </c>
      <c r="AK48" s="4">
        <v>3.0272943652296e-17</v>
      </c>
      <c r="AL48" s="4">
        <v>4.6933841488438e-16</v>
      </c>
      <c r="AM48" s="4">
        <v>5.932299982303e-16</v>
      </c>
      <c r="AN48" s="4">
        <v>-9.2282916748969e-17</v>
      </c>
      <c r="AO48" s="4">
        <v>6.0425479260164e-16</v>
      </c>
      <c r="AP48" s="4">
        <v>1.9652700107422e-17</v>
      </c>
      <c r="AQ48" s="4">
        <v>2.750893578975e-16</v>
      </c>
      <c r="AR48" s="4">
        <v>-3.4182029619544e-15</v>
      </c>
      <c r="AS48" s="4">
        <v>-2.4295618908079e-16</v>
      </c>
      <c r="AT48" s="4">
        <v>1.3516772321046e-16</v>
      </c>
      <c r="AU48" s="4">
        <v>-4.8750210590849e-16</v>
      </c>
      <c r="AV48" s="4">
        <v>-4.2797978634719e-16</v>
      </c>
      <c r="AW48" s="4">
        <v>-1.9392354867117e-16</v>
      </c>
      <c r="AX48" s="4">
        <v>1.7131487092961e-15</v>
      </c>
      <c r="AY48" s="4">
        <v>3.3187143893947e-16</v>
      </c>
      <c r="AZ48" s="4">
        <v>-1.0239489585794e-15</v>
      </c>
      <c r="BA48" s="4">
        <v>2.3534125432975e-15</v>
      </c>
      <c r="BB48" s="4">
        <v>-6.6678857914066e-15</v>
      </c>
      <c r="BC48" s="3">
        <v>15975582.153723</v>
      </c>
      <c r="BD48" s="3">
        <v>3991731.32242</v>
      </c>
      <c r="BE48" s="3">
        <v>-0.00019171980347833</v>
      </c>
      <c r="BF48" s="3">
        <v>0.00047930887224031</v>
      </c>
      <c r="BG48" s="3">
        <v>0.00015235421778414</v>
      </c>
      <c r="BH48" s="3">
        <v>-0.00047609245552724</v>
      </c>
      <c r="BI48" s="3">
        <v>100.4569714294</v>
      </c>
      <c r="BJ48" s="3">
        <v>50.232926026072</v>
      </c>
      <c r="BK48" s="3">
        <v>91.807436318685</v>
      </c>
    </row>
    <row r="49" spans="1:63">
      <c r="A49" s="3">
        <v>3971641.1736215</v>
      </c>
      <c r="B49" s="4">
        <v>6.0116530158643e-5</v>
      </c>
      <c r="C49" s="4">
        <f t="shared" si="1"/>
        <v>1.63115563493718e-11</v>
      </c>
      <c r="D49" s="4">
        <v>1.0769654198428e-12</v>
      </c>
      <c r="E49" s="4">
        <v>1.3007227161175e-12</v>
      </c>
      <c r="F49" s="4">
        <v>1.3007192259736e-12</v>
      </c>
      <c r="G49" s="4">
        <v>1.3007082368359e-12</v>
      </c>
      <c r="H49" s="4">
        <v>1.0769458265204e-12</v>
      </c>
      <c r="I49" s="4">
        <v>1.0769517298686e-12</v>
      </c>
      <c r="J49" s="4">
        <v>1.0769482721058e-12</v>
      </c>
      <c r="K49" s="4">
        <v>1.1349504164683e-12</v>
      </c>
      <c r="L49" s="4">
        <v>1.1349648410629e-12</v>
      </c>
      <c r="M49" s="4">
        <v>1.1349451702123e-12</v>
      </c>
      <c r="N49" s="4">
        <v>1.18558579804e-12</v>
      </c>
      <c r="O49" s="4">
        <v>1.0769461476318e-12</v>
      </c>
      <c r="P49" s="4">
        <v>1.1855784258756e-12</v>
      </c>
      <c r="Q49" s="4">
        <v>1.1856346931317e-12</v>
      </c>
      <c r="R49" s="4">
        <v>1.3007075399121e-12</v>
      </c>
      <c r="S49" s="4">
        <v>1.30070224905e-12</v>
      </c>
      <c r="T49" s="4">
        <v>1.3007072871218e-12</v>
      </c>
      <c r="U49" s="4">
        <v>1.0769481497917e-12</v>
      </c>
      <c r="V49" s="4">
        <v>1.1349554949734e-12</v>
      </c>
      <c r="W49" s="4">
        <v>1.1349708658825e-12</v>
      </c>
      <c r="X49" s="4">
        <v>1.1349550423936e-12</v>
      </c>
      <c r="Y49" s="4">
        <v>1.1855825704023e-12</v>
      </c>
      <c r="Z49" s="4">
        <v>1.1856323570697e-12</v>
      </c>
      <c r="AA49" s="4">
        <v>1.1856505894843e-12</v>
      </c>
      <c r="AB49" s="3">
        <v>0.99999986736548</v>
      </c>
      <c r="AC49" s="3">
        <v>0.9975000840003</v>
      </c>
      <c r="AD49" s="3">
        <v>0.00046265940541293</v>
      </c>
      <c r="AE49" s="4">
        <v>-6.1403384403525e-16</v>
      </c>
      <c r="AF49" s="4">
        <v>2.2169298418479e-15</v>
      </c>
      <c r="AG49" s="4">
        <v>1.700235289193e-15</v>
      </c>
      <c r="AH49" s="4">
        <v>1.991801425545e-16</v>
      </c>
      <c r="AI49" s="4">
        <v>-7.4389925034634e-17</v>
      </c>
      <c r="AJ49" s="4">
        <v>5.3429656750857e-16</v>
      </c>
      <c r="AK49" s="4">
        <v>2.9860177687772e-17</v>
      </c>
      <c r="AL49" s="4">
        <v>4.6969055659368e-16</v>
      </c>
      <c r="AM49" s="4">
        <v>6.5322860798023e-16</v>
      </c>
      <c r="AN49" s="4">
        <v>-9.2057960198258e-17</v>
      </c>
      <c r="AO49" s="4">
        <v>6.00031633421e-16</v>
      </c>
      <c r="AP49" s="4">
        <v>2.1543709446513e-17</v>
      </c>
      <c r="AQ49" s="4">
        <v>2.7610522211622e-16</v>
      </c>
      <c r="AR49" s="4">
        <v>-3.3794210846886e-15</v>
      </c>
      <c r="AS49" s="4">
        <v>-2.3103766000843e-16</v>
      </c>
      <c r="AT49" s="4">
        <v>1.3016460070482e-16</v>
      </c>
      <c r="AU49" s="4">
        <v>-4.7559474013449e-16</v>
      </c>
      <c r="AV49" s="4">
        <v>-4.2929571605949e-16</v>
      </c>
      <c r="AW49" s="4">
        <v>-1.8689362181933e-16</v>
      </c>
      <c r="AX49" s="4">
        <v>1.673682252315e-15</v>
      </c>
      <c r="AY49" s="4">
        <v>3.2267409943241e-16</v>
      </c>
      <c r="AZ49" s="4">
        <v>-9.9825121107795e-16</v>
      </c>
      <c r="BA49" s="4">
        <v>2.3422494783616e-15</v>
      </c>
      <c r="BB49" s="4">
        <v>-6.6198058507728e-15</v>
      </c>
      <c r="BC49" s="3">
        <v>15972611.193881</v>
      </c>
      <c r="BD49" s="3">
        <v>3990726.9769066</v>
      </c>
      <c r="BE49" s="3">
        <v>-0.00019054305458248</v>
      </c>
      <c r="BF49" s="3">
        <v>0.00048635403327191</v>
      </c>
      <c r="BG49" s="3">
        <v>0.0001563063902245</v>
      </c>
      <c r="BH49" s="3">
        <v>-0.0004719673299064</v>
      </c>
      <c r="BI49" s="3">
        <v>100.45697096184</v>
      </c>
      <c r="BJ49" s="3">
        <v>50.232941827506</v>
      </c>
      <c r="BK49" s="3">
        <v>91.734267367395</v>
      </c>
    </row>
    <row r="50" spans="1:63">
      <c r="A50" s="3">
        <v>4456254.6906689</v>
      </c>
      <c r="B50" s="4">
        <v>6.7416832294462e-5</v>
      </c>
      <c r="C50" s="4">
        <f t="shared" si="1"/>
        <v>1.62834997036373e-11</v>
      </c>
      <c r="D50" s="4">
        <v>1.0767477706213e-12</v>
      </c>
      <c r="E50" s="4">
        <v>1.2993548616152e-12</v>
      </c>
      <c r="F50" s="4">
        <v>1.2993510589898e-12</v>
      </c>
      <c r="G50" s="4">
        <v>1.2993390077184e-12</v>
      </c>
      <c r="H50" s="4">
        <v>1.0767258992615e-12</v>
      </c>
      <c r="I50" s="4">
        <v>1.0767324566108e-12</v>
      </c>
      <c r="J50" s="4">
        <v>1.0767286426169e-12</v>
      </c>
      <c r="K50" s="4">
        <v>1.1344219141107e-12</v>
      </c>
      <c r="L50" s="4">
        <v>1.1344382196699e-12</v>
      </c>
      <c r="M50" s="4">
        <v>1.1344159618048e-12</v>
      </c>
      <c r="N50" s="4">
        <v>1.1845736951414e-12</v>
      </c>
      <c r="O50" s="4">
        <v>1.0767262567069e-12</v>
      </c>
      <c r="P50" s="4">
        <v>1.1845654034339e-12</v>
      </c>
      <c r="Q50" s="4">
        <v>1.1846287077834e-12</v>
      </c>
      <c r="R50" s="4">
        <v>1.2993380679226e-12</v>
      </c>
      <c r="S50" s="4">
        <v>1.2993322223616e-12</v>
      </c>
      <c r="T50" s="4">
        <v>1.2993378482446e-12</v>
      </c>
      <c r="U50" s="4">
        <v>1.0767285238478e-12</v>
      </c>
      <c r="V50" s="4">
        <v>1.1344273433912e-12</v>
      </c>
      <c r="W50" s="4">
        <v>1.1344448444602e-12</v>
      </c>
      <c r="X50" s="4">
        <v>1.134427223847e-12</v>
      </c>
      <c r="Y50" s="4">
        <v>1.1845699143602e-12</v>
      </c>
      <c r="Z50" s="4">
        <v>1.1846258479905e-12</v>
      </c>
      <c r="AA50" s="4">
        <v>1.1846467233002e-12</v>
      </c>
      <c r="AB50" s="3">
        <v>0.99999988166918</v>
      </c>
      <c r="AC50" s="3">
        <v>0.99748718347548</v>
      </c>
      <c r="AD50" s="3">
        <v>0.00046898404416933</v>
      </c>
      <c r="AE50" s="4">
        <v>-6.2587092540095e-16</v>
      </c>
      <c r="AF50" s="4">
        <v>2.1560661918889e-15</v>
      </c>
      <c r="AG50" s="4">
        <v>1.6718962545658e-15</v>
      </c>
      <c r="AH50" s="4">
        <v>2.0916734034731e-16</v>
      </c>
      <c r="AI50" s="4">
        <v>-7.5408523320217e-17</v>
      </c>
      <c r="AJ50" s="4">
        <v>5.31480220543e-16</v>
      </c>
      <c r="AK50" s="4">
        <v>2.932599690128e-17</v>
      </c>
      <c r="AL50" s="4">
        <v>4.701847700182e-16</v>
      </c>
      <c r="AM50" s="4">
        <v>7.2148204938867e-16</v>
      </c>
      <c r="AN50" s="4">
        <v>-9.1820051703919e-17</v>
      </c>
      <c r="AO50" s="4">
        <v>5.9534970507585e-16</v>
      </c>
      <c r="AP50" s="4">
        <v>2.3620564536658e-17</v>
      </c>
      <c r="AQ50" s="4">
        <v>2.7706845068236e-16</v>
      </c>
      <c r="AR50" s="4">
        <v>-3.3353193786193e-15</v>
      </c>
      <c r="AS50" s="4">
        <v>-2.1794664889988e-16</v>
      </c>
      <c r="AT50" s="4">
        <v>1.2461398526395e-16</v>
      </c>
      <c r="AU50" s="4">
        <v>-4.6231852800005e-16</v>
      </c>
      <c r="AV50" s="4">
        <v>-4.3084341275587e-16</v>
      </c>
      <c r="AW50" s="4">
        <v>-1.7890579134901e-16</v>
      </c>
      <c r="AX50" s="4">
        <v>1.6289851771354e-15</v>
      </c>
      <c r="AY50" s="4">
        <v>3.1187079245709e-16</v>
      </c>
      <c r="AZ50" s="4">
        <v>-9.7010027317266e-16</v>
      </c>
      <c r="BA50" s="4">
        <v>2.3291826107255e-15</v>
      </c>
      <c r="BB50" s="4">
        <v>-6.5646623044663e-15</v>
      </c>
      <c r="BC50" s="3">
        <v>15969279.891673</v>
      </c>
      <c r="BD50" s="3">
        <v>3989601.2440189</v>
      </c>
      <c r="BE50" s="3">
        <v>-0.00018921572755371</v>
      </c>
      <c r="BF50" s="3">
        <v>0.00049424523733313</v>
      </c>
      <c r="BG50" s="3">
        <v>0.00016073872187302</v>
      </c>
      <c r="BH50" s="3">
        <v>-0.0004672995154495</v>
      </c>
      <c r="BI50" s="3">
        <v>100.45697130087</v>
      </c>
      <c r="BJ50" s="3">
        <v>50.232959239139</v>
      </c>
      <c r="BK50" s="3">
        <v>91.653301170863</v>
      </c>
    </row>
    <row r="51" spans="1:63">
      <c r="A51" s="3">
        <v>5000000.0000001</v>
      </c>
      <c r="B51" s="4">
        <v>7.5599107449705e-5</v>
      </c>
      <c r="C51" s="4">
        <f t="shared" si="1"/>
        <v>1.6252398353357e-11</v>
      </c>
      <c r="D51" s="4">
        <v>1.076499353577e-12</v>
      </c>
      <c r="E51" s="4">
        <v>1.2978316370923e-12</v>
      </c>
      <c r="F51" s="4">
        <v>1.2978275106081e-12</v>
      </c>
      <c r="G51" s="4">
        <v>1.2978143352181e-12</v>
      </c>
      <c r="H51" s="4">
        <v>1.0764749510098e-12</v>
      </c>
      <c r="I51" s="4">
        <v>1.0764822261795e-12</v>
      </c>
      <c r="J51" s="4">
        <v>1.0764780289606e-12</v>
      </c>
      <c r="K51" s="4">
        <v>1.133827604534e-12</v>
      </c>
      <c r="L51" s="4">
        <v>1.1338460596691e-12</v>
      </c>
      <c r="M51" s="4">
        <v>1.1338208421679e-12</v>
      </c>
      <c r="N51" s="4">
        <v>1.1834463819529e-12</v>
      </c>
      <c r="O51" s="4">
        <v>1.0764753485734e-12</v>
      </c>
      <c r="P51" s="4">
        <v>1.1834370504361e-12</v>
      </c>
      <c r="Q51" s="4">
        <v>1.1835082961065e-12</v>
      </c>
      <c r="R51" s="4">
        <v>1.2978130839656e-12</v>
      </c>
      <c r="S51" s="4">
        <v>1.2978066375296e-12</v>
      </c>
      <c r="T51" s="4">
        <v>1.297812916879e-12</v>
      </c>
      <c r="U51" s="4">
        <v>1.0764779180474e-12</v>
      </c>
      <c r="V51" s="4">
        <v>1.1338333643714e-12</v>
      </c>
      <c r="W51" s="4">
        <v>1.1338533223492e-12</v>
      </c>
      <c r="X51" s="4">
        <v>1.1338337117847e-12</v>
      </c>
      <c r="Y51" s="4">
        <v>1.1834419397826e-12</v>
      </c>
      <c r="Z51" s="4">
        <v>1.1835047845854e-12</v>
      </c>
      <c r="AA51" s="4">
        <v>1.1835287469808e-12</v>
      </c>
      <c r="AB51" s="3">
        <v>0.99999989439473</v>
      </c>
      <c r="AC51" s="3">
        <v>0.99747238447946</v>
      </c>
      <c r="AD51" s="3">
        <v>0.00047610076290147</v>
      </c>
      <c r="AE51" s="4">
        <v>-6.3889784895511e-16</v>
      </c>
      <c r="AF51" s="4">
        <v>2.089461902103e-15</v>
      </c>
      <c r="AG51" s="4">
        <v>1.6408100852217e-15</v>
      </c>
      <c r="AH51" s="4">
        <v>2.2047578009843e-16</v>
      </c>
      <c r="AI51" s="4">
        <v>-7.6560686892294e-17</v>
      </c>
      <c r="AJ51" s="4">
        <v>5.2812157779478e-16</v>
      </c>
      <c r="AK51" s="4">
        <v>2.8639619377141e-17</v>
      </c>
      <c r="AL51" s="4">
        <v>4.7085769582749e-16</v>
      </c>
      <c r="AM51" s="4">
        <v>7.9921129123827e-16</v>
      </c>
      <c r="AN51" s="4">
        <v>-9.1571725603967e-17</v>
      </c>
      <c r="AO51" s="4">
        <v>5.9015140562445e-16</v>
      </c>
      <c r="AP51" s="4">
        <v>2.5893555830185e-17</v>
      </c>
      <c r="AQ51" s="4">
        <v>2.7792955897329e-16</v>
      </c>
      <c r="AR51" s="4">
        <v>-3.2852044769321e-15</v>
      </c>
      <c r="AS51" s="4">
        <v>-2.0360975752066e-16</v>
      </c>
      <c r="AT51" s="4">
        <v>1.1846306247301e-16</v>
      </c>
      <c r="AU51" s="4">
        <v>-4.4752641725649e-16</v>
      </c>
      <c r="AV51" s="4">
        <v>-4.3266799026634e-16</v>
      </c>
      <c r="AW51" s="4">
        <v>-1.6984369607501e-16</v>
      </c>
      <c r="AX51" s="4">
        <v>1.5782923730028e-15</v>
      </c>
      <c r="AY51" s="4">
        <v>2.9914258803859e-16</v>
      </c>
      <c r="AZ51" s="4">
        <v>-9.3935738273495e-16</v>
      </c>
      <c r="BA51" s="4">
        <v>2.3138572081111e-15</v>
      </c>
      <c r="BB51" s="4">
        <v>-6.5013642974302e-15</v>
      </c>
      <c r="BC51" s="3">
        <v>15965544.844961</v>
      </c>
      <c r="BD51" s="3">
        <v>3988339.6079831</v>
      </c>
      <c r="BE51" s="3">
        <v>-0.00018771781681642</v>
      </c>
      <c r="BF51" s="3">
        <v>0.00050308240270315</v>
      </c>
      <c r="BG51" s="3">
        <v>0.00016570928745513</v>
      </c>
      <c r="BH51" s="3">
        <v>-0.00046201969054472</v>
      </c>
      <c r="BI51" s="3">
        <v>100.45697273248</v>
      </c>
      <c r="BJ51" s="3">
        <v>50.232978372434</v>
      </c>
      <c r="BK51" s="3">
        <v>91.563857437784</v>
      </c>
    </row>
    <row r="52" spans="1:63">
      <c r="A52" s="3">
        <v>5610092.27151</v>
      </c>
      <c r="B52" s="4">
        <v>8.4768801533297e-5</v>
      </c>
      <c r="C52" s="4">
        <f t="shared" si="1"/>
        <v>1.62179674992153e-11</v>
      </c>
      <c r="D52" s="4">
        <v>1.0762153113566e-12</v>
      </c>
      <c r="E52" s="4">
        <v>1.2961386081592e-12</v>
      </c>
      <c r="F52" s="4">
        <v>1.2961341509528e-12</v>
      </c>
      <c r="G52" s="4">
        <v>1.296119797735e-12</v>
      </c>
      <c r="H52" s="4">
        <v>1.0761880985298e-12</v>
      </c>
      <c r="I52" s="4">
        <v>1.07619615939e-12</v>
      </c>
      <c r="J52" s="4">
        <v>1.0761915527313e-12</v>
      </c>
      <c r="K52" s="4">
        <v>1.1331636486892e-12</v>
      </c>
      <c r="L52" s="4">
        <v>1.1331845679398e-12</v>
      </c>
      <c r="M52" s="4">
        <v>1.1331559546798e-12</v>
      </c>
      <c r="N52" s="4">
        <v>1.1821916157058e-12</v>
      </c>
      <c r="O52" s="4">
        <v>1.0761885402996e-12</v>
      </c>
      <c r="P52" s="4">
        <v>1.1821811061638e-12</v>
      </c>
      <c r="Q52" s="4">
        <v>1.1822613200377e-12</v>
      </c>
      <c r="R52" s="4">
        <v>1.2961181487208e-12</v>
      </c>
      <c r="S52" s="4">
        <v>1.2961110543607e-12</v>
      </c>
      <c r="T52" s="4">
        <v>1.2961180596552e-12</v>
      </c>
      <c r="U52" s="4">
        <v>1.0761914552329e-12</v>
      </c>
      <c r="V52" s="4">
        <v>1.1331697023516e-12</v>
      </c>
      <c r="W52" s="4">
        <v>1.1331925018782e-12</v>
      </c>
      <c r="X52" s="4">
        <v>1.1331706886746e-12</v>
      </c>
      <c r="Y52" s="4">
        <v>1.1821863802031e-12</v>
      </c>
      <c r="Z52" s="4">
        <v>1.1822569954941e-12</v>
      </c>
      <c r="AA52" s="4">
        <v>1.1822845801709e-12</v>
      </c>
      <c r="AB52" s="3">
        <v>0.99999990571065</v>
      </c>
      <c r="AC52" s="3">
        <v>0.99745536997595</v>
      </c>
      <c r="AD52" s="3">
        <v>0.00048410984566233</v>
      </c>
      <c r="AE52" s="4">
        <v>-6.5316849916118e-16</v>
      </c>
      <c r="AF52" s="4">
        <v>2.0168223726073e-15</v>
      </c>
      <c r="AG52" s="4">
        <v>1.6068033279583e-15</v>
      </c>
      <c r="AH52" s="4">
        <v>2.3329011416139e-16</v>
      </c>
      <c r="AI52" s="4">
        <v>-7.7868501479447e-17</v>
      </c>
      <c r="AJ52" s="4">
        <v>5.2410465498445e-16</v>
      </c>
      <c r="AK52" s="4">
        <v>2.7762843042768e-17</v>
      </c>
      <c r="AL52" s="4">
        <v>4.7175251468487e-16</v>
      </c>
      <c r="AM52" s="4">
        <v>8.8783453936524e-16</v>
      </c>
      <c r="AN52" s="4">
        <v>-9.1317254811595e-17</v>
      </c>
      <c r="AO52" s="4">
        <v>5.8436496480954e-16</v>
      </c>
      <c r="AP52" s="4">
        <v>2.8370778735749e-17</v>
      </c>
      <c r="AQ52" s="4">
        <v>2.7862333466965e-16</v>
      </c>
      <c r="AR52" s="4">
        <v>-3.2283265977894e-15</v>
      </c>
      <c r="AS52" s="4">
        <v>-1.8796043983122e-16</v>
      </c>
      <c r="AT52" s="4">
        <v>1.1165537833847e-16</v>
      </c>
      <c r="AU52" s="4">
        <v>-4.3105818212818e-16</v>
      </c>
      <c r="AV52" s="4">
        <v>-4.3482583599242e-16</v>
      </c>
      <c r="AW52" s="4">
        <v>-1.5958583537157e-16</v>
      </c>
      <c r="AX52" s="4">
        <v>1.5207022809499e-15</v>
      </c>
      <c r="AY52" s="4">
        <v>2.84101939935e-16</v>
      </c>
      <c r="AZ52" s="4">
        <v>-9.0590122392541e-16</v>
      </c>
      <c r="BA52" s="4">
        <v>2.2958534307044e-15</v>
      </c>
      <c r="BB52" s="4">
        <v>-6.4286626892248e-15</v>
      </c>
      <c r="BC52" s="3">
        <v>15961357.503905</v>
      </c>
      <c r="BD52" s="3">
        <v>3986925.8567438</v>
      </c>
      <c r="BE52" s="3">
        <v>-0.00018602652156137</v>
      </c>
      <c r="BF52" s="3">
        <v>0.00051297685933402</v>
      </c>
      <c r="BG52" s="3">
        <v>0.00017128312258705</v>
      </c>
      <c r="BH52" s="3">
        <v>-0.00045605129961142</v>
      </c>
      <c r="BI52" s="3">
        <v>100.45697561299</v>
      </c>
      <c r="BJ52" s="3">
        <v>50.232999330613</v>
      </c>
      <c r="BK52" s="3">
        <v>91.465234913894</v>
      </c>
    </row>
    <row r="53" spans="1:63">
      <c r="A53" s="3">
        <v>6294627.058971</v>
      </c>
      <c r="B53" s="4">
        <v>9.5043714779072e-5</v>
      </c>
      <c r="C53" s="4">
        <f t="shared" si="1"/>
        <v>1.61798963265706e-11</v>
      </c>
      <c r="D53" s="4">
        <v>1.0758995693556e-12</v>
      </c>
      <c r="E53" s="4">
        <v>1.2942681912239e-12</v>
      </c>
      <c r="F53" s="4">
        <v>1.2942634026266e-12</v>
      </c>
      <c r="G53" s="4">
        <v>1.2942478306751e-12</v>
      </c>
      <c r="H53" s="4">
        <v>1.0758692389101e-12</v>
      </c>
      <c r="I53" s="4">
        <v>1.0758781570484e-12</v>
      </c>
      <c r="J53" s="4">
        <v>1.0758731167085e-12</v>
      </c>
      <c r="K53" s="4">
        <v>1.1324202144359e-12</v>
      </c>
      <c r="L53" s="4">
        <v>1.1324439684319e-12</v>
      </c>
      <c r="M53" s="4">
        <v>1.1324114461526e-12</v>
      </c>
      <c r="N53" s="4">
        <v>1.1808203688059e-12</v>
      </c>
      <c r="O53" s="4">
        <v>1.0758697292704e-12</v>
      </c>
      <c r="P53" s="4">
        <v>1.1808085215101e-12</v>
      </c>
      <c r="Q53" s="4">
        <v>1.1808988714673e-12</v>
      </c>
      <c r="R53" s="4">
        <v>1.2942456755611e-12</v>
      </c>
      <c r="S53" s="4">
        <v>1.2942378861649e-12</v>
      </c>
      <c r="T53" s="4">
        <v>1.294245697397e-12</v>
      </c>
      <c r="U53" s="4">
        <v>1.0758730395635e-12</v>
      </c>
      <c r="V53" s="4">
        <v>1.1324265037527e-12</v>
      </c>
      <c r="W53" s="4">
        <v>1.1324525995395e-12</v>
      </c>
      <c r="X53" s="4">
        <v>1.132428348451e-12</v>
      </c>
      <c r="Y53" s="4">
        <v>1.1808141786463e-12</v>
      </c>
      <c r="Z53" s="4">
        <v>1.1808935302526e-12</v>
      </c>
      <c r="AA53" s="4">
        <v>1.1809253859851e-12</v>
      </c>
      <c r="AB53" s="3">
        <v>0.99999991576661</v>
      </c>
      <c r="AC53" s="3">
        <v>0.99743577285814</v>
      </c>
      <c r="AD53" s="3">
        <v>0.00049312421347826</v>
      </c>
      <c r="AE53" s="4">
        <v>-6.6870797252371e-16</v>
      </c>
      <c r="AF53" s="4">
        <v>1.9379089472562e-15</v>
      </c>
      <c r="AG53" s="4">
        <v>1.5697161601525e-15</v>
      </c>
      <c r="AH53" s="4">
        <v>2.478214278176e-16</v>
      </c>
      <c r="AI53" s="4">
        <v>-7.9362226943881e-17</v>
      </c>
      <c r="AJ53" s="4">
        <v>5.1928572730555e-16</v>
      </c>
      <c r="AK53" s="4">
        <v>2.6649787833962e-17</v>
      </c>
      <c r="AL53" s="4">
        <v>4.7291576060287e-16</v>
      </c>
      <c r="AM53" s="4">
        <v>9.8899504276255e-16</v>
      </c>
      <c r="AN53" s="4">
        <v>-9.1063668224161e-17</v>
      </c>
      <c r="AO53" s="4">
        <v>5.7789850444641e-16</v>
      </c>
      <c r="AP53" s="4">
        <v>3.1057170400026e-17</v>
      </c>
      <c r="AQ53" s="4">
        <v>2.7906475274988e-16</v>
      </c>
      <c r="AR53" s="4">
        <v>-3.1638929603565e-15</v>
      </c>
      <c r="AS53" s="4">
        <v>-1.7094276155331e-16</v>
      </c>
      <c r="AT53" s="4">
        <v>1.0413109177766e-16</v>
      </c>
      <c r="AU53" s="4">
        <v>-4.1274021387245e-16</v>
      </c>
      <c r="AV53" s="4">
        <v>-4.3739848015882e-16</v>
      </c>
      <c r="AW53" s="4">
        <v>-1.4800782712458e-16</v>
      </c>
      <c r="AX53" s="4">
        <v>1.4551444879277e-15</v>
      </c>
      <c r="AY53" s="4">
        <v>2.6628170750427e-16</v>
      </c>
      <c r="AZ53" s="4">
        <v>-8.6963635361131e-16</v>
      </c>
      <c r="BA53" s="4">
        <v>2.2746820674802e-15</v>
      </c>
      <c r="BB53" s="4">
        <v>-6.3451285002715e-15</v>
      </c>
      <c r="BC53" s="3">
        <v>15956663.5615</v>
      </c>
      <c r="BD53" s="3">
        <v>3985341.8867915</v>
      </c>
      <c r="BE53" s="3">
        <v>-0.00018411575456518</v>
      </c>
      <c r="BF53" s="3">
        <v>0.00052405256122707</v>
      </c>
      <c r="BG53" s="3">
        <v>0.0001775330505566</v>
      </c>
      <c r="BH53" s="3">
        <v>-0.00044930987342943</v>
      </c>
      <c r="BI53" s="3">
        <v>100.45698037854</v>
      </c>
      <c r="BJ53" s="3">
        <v>50.2330222001</v>
      </c>
      <c r="BK53" s="3">
        <v>91.356722636984</v>
      </c>
    </row>
    <row r="54" spans="1:63">
      <c r="A54" s="3">
        <v>7062687.723114</v>
      </c>
      <c r="B54" s="3">
        <v>0.00010655541163386</v>
      </c>
      <c r="C54" s="4">
        <f t="shared" si="1"/>
        <v>1.61378462978443e-11</v>
      </c>
      <c r="D54" s="4">
        <v>1.075559764712e-12</v>
      </c>
      <c r="E54" s="4">
        <v>1.292208948218e-12</v>
      </c>
      <c r="F54" s="4">
        <v>1.2922038357949e-12</v>
      </c>
      <c r="G54" s="4">
        <v>1.2921870229139e-12</v>
      </c>
      <c r="H54" s="4">
        <v>1.0755259783845e-12</v>
      </c>
      <c r="I54" s="4">
        <v>1.0755358285439e-12</v>
      </c>
      <c r="J54" s="4">
        <v>1.0755303338637e-12</v>
      </c>
      <c r="K54" s="4">
        <v>1.131594490589e-12</v>
      </c>
      <c r="L54" s="4">
        <v>1.1316215189977e-12</v>
      </c>
      <c r="M54" s="4">
        <v>1.1315844800968e-12</v>
      </c>
      <c r="N54" s="4">
        <v>1.1793238256232e-12</v>
      </c>
      <c r="O54" s="4">
        <v>1.0755265219899e-12</v>
      </c>
      <c r="P54" s="4">
        <v>1.1793104548346e-12</v>
      </c>
      <c r="Q54" s="4">
        <v>1.1794122711602e-12</v>
      </c>
      <c r="R54" s="4">
        <v>1.292184225919e-12</v>
      </c>
      <c r="S54" s="4">
        <v>1.292175695349e-12</v>
      </c>
      <c r="T54" s="4">
        <v>1.2921844008962e-12</v>
      </c>
      <c r="U54" s="4">
        <v>1.0755302855241e-12</v>
      </c>
      <c r="V54" s="4">
        <v>1.1316009298776e-12</v>
      </c>
      <c r="W54" s="4">
        <v>1.1316308619077e-12</v>
      </c>
      <c r="X54" s="4">
        <v>1.131603911647e-12</v>
      </c>
      <c r="Y54" s="4">
        <v>1.1793164830008e-12</v>
      </c>
      <c r="Z54" s="4">
        <v>1.1794056557076e-12</v>
      </c>
      <c r="AA54" s="4">
        <v>1.1794425737545e-12</v>
      </c>
      <c r="AB54" s="3">
        <v>0.999999924696</v>
      </c>
      <c r="AC54" s="3">
        <v>0.99741315281658</v>
      </c>
      <c r="AD54" s="3">
        <v>0.00050327084975174</v>
      </c>
      <c r="AE54" s="4">
        <v>-6.8549355182713e-16</v>
      </c>
      <c r="AF54" s="4">
        <v>1.8525565781921e-15</v>
      </c>
      <c r="AG54" s="4">
        <v>1.529409077734e-15</v>
      </c>
      <c r="AH54" s="4">
        <v>2.6430858928636e-16</v>
      </c>
      <c r="AI54" s="4">
        <v>-8.1091232716761e-17</v>
      </c>
      <c r="AJ54" s="4">
        <v>5.134947346488e-16</v>
      </c>
      <c r="AK54" s="4">
        <v>2.5246763247719e-17</v>
      </c>
      <c r="AL54" s="4">
        <v>4.7438823989758e-16</v>
      </c>
      <c r="AM54" s="4">
        <v>1.1045750023141e-15</v>
      </c>
      <c r="AN54" s="4">
        <v>-9.082052073405e-17</v>
      </c>
      <c r="AO54" s="4">
        <v>5.7063240641933e-16</v>
      </c>
      <c r="AP54" s="4">
        <v>3.3960015518845e-17</v>
      </c>
      <c r="AQ54" s="4">
        <v>2.791477975927e-16</v>
      </c>
      <c r="AR54" s="4">
        <v>-3.0910537394911e-15</v>
      </c>
      <c r="AS54" s="4">
        <v>-1.5251474999481e-16</v>
      </c>
      <c r="AT54" s="4">
        <v>9.5826794353311e-17</v>
      </c>
      <c r="AU54" s="4">
        <v>-3.9238672999425e-16</v>
      </c>
      <c r="AV54" s="4">
        <v>-4.4053578591556e-16</v>
      </c>
      <c r="AW54" s="4">
        <v>-1.3499717588132e-16</v>
      </c>
      <c r="AX54" s="4">
        <v>1.3803378300391e-15</v>
      </c>
      <c r="AY54" s="4">
        <v>2.4511955052769e-16</v>
      </c>
      <c r="AZ54" s="4">
        <v>-8.3049939082591e-16</v>
      </c>
      <c r="BA54" s="4">
        <v>2.2497859927924e-15</v>
      </c>
      <c r="BB54" s="4">
        <v>-6.2491291558987e-15</v>
      </c>
      <c r="BC54" s="3">
        <v>15951402.253408</v>
      </c>
      <c r="BD54" s="3">
        <v>3983567.4800107</v>
      </c>
      <c r="BE54" s="3">
        <v>-0.00018195546675314</v>
      </c>
      <c r="BF54" s="3">
        <v>0.00053644740617243</v>
      </c>
      <c r="BG54" s="3">
        <v>0.0001845405992818</v>
      </c>
      <c r="BH54" s="3">
        <v>-0.00044171048097367</v>
      </c>
      <c r="BI54" s="3">
        <v>100.45698757865</v>
      </c>
      <c r="BJ54" s="3">
        <v>50.233047028847</v>
      </c>
      <c r="BK54" s="3">
        <v>91.237616973236</v>
      </c>
    </row>
    <row r="55" spans="1:63">
      <c r="A55" s="3">
        <v>7924465.9623058</v>
      </c>
      <c r="B55" s="3">
        <v>0.00011945073221354</v>
      </c>
      <c r="C55" s="4">
        <f t="shared" si="1"/>
        <v>1.60914506212121e-11</v>
      </c>
      <c r="D55" s="4">
        <v>1.0751764066597e-12</v>
      </c>
      <c r="E55" s="4">
        <v>1.2899532941726e-12</v>
      </c>
      <c r="F55" s="4">
        <v>1.2899478761441e-12</v>
      </c>
      <c r="G55" s="4">
        <v>1.2899298261253e-12</v>
      </c>
      <c r="H55" s="4">
        <v>1.0751387933457e-12</v>
      </c>
      <c r="I55" s="4">
        <v>1.0751496525624e-12</v>
      </c>
      <c r="J55" s="4">
        <v>1.0751436879297e-12</v>
      </c>
      <c r="K55" s="4">
        <v>1.1306637086147e-12</v>
      </c>
      <c r="L55" s="4">
        <v>1.1306945369287e-12</v>
      </c>
      <c r="M55" s="4">
        <v>1.1306522575051e-12</v>
      </c>
      <c r="N55" s="4">
        <v>1.1776783901975e-12</v>
      </c>
      <c r="O55" s="4">
        <v>1.0751393950517e-12</v>
      </c>
      <c r="P55" s="4">
        <v>1.1776632783719e-12</v>
      </c>
      <c r="Q55" s="4">
        <v>1.1777780792111e-12</v>
      </c>
      <c r="R55" s="4">
        <v>1.2899262176001e-12</v>
      </c>
      <c r="S55" s="4">
        <v>1.2899169019577e-12</v>
      </c>
      <c r="T55" s="4">
        <v>1.2899265995029e-12</v>
      </c>
      <c r="U55" s="4">
        <v>1.0751436792301e-12</v>
      </c>
      <c r="V55" s="4">
        <v>1.1306701773147e-12</v>
      </c>
      <c r="W55" s="4">
        <v>1.1307045899644e-12</v>
      </c>
      <c r="X55" s="4">
        <v>1.1306746484035e-12</v>
      </c>
      <c r="Y55" s="4">
        <v>1.1776696518404e-12</v>
      </c>
      <c r="Z55" s="4">
        <v>1.1777698628636e-12</v>
      </c>
      <c r="AA55" s="4">
        <v>1.1778128147245e-12</v>
      </c>
      <c r="AB55" s="3">
        <v>0.999999932618</v>
      </c>
      <c r="AC55" s="3">
        <v>0.99738694859222</v>
      </c>
      <c r="AD55" s="3">
        <v>0.00051469252802158</v>
      </c>
      <c r="AE55" s="4">
        <v>-7.0342311602654e-16</v>
      </c>
      <c r="AF55" s="4">
        <v>1.7607114811531e-15</v>
      </c>
      <c r="AG55" s="4">
        <v>1.4857777248259e-15</v>
      </c>
      <c r="AH55" s="4">
        <v>2.8303398925524e-16</v>
      </c>
      <c r="AI55" s="4">
        <v>-8.3107124692936e-17</v>
      </c>
      <c r="AJ55" s="4">
        <v>5.0651677388026e-16</v>
      </c>
      <c r="AK55" s="4">
        <v>2.3482545329412e-17</v>
      </c>
      <c r="AL55" s="4">
        <v>4.7621817639676e-16</v>
      </c>
      <c r="AM55" s="4">
        <v>1.2367300243594e-15</v>
      </c>
      <c r="AN55" s="4">
        <v>-9.0597497740929e-17</v>
      </c>
      <c r="AO55" s="4">
        <v>5.6238480574581e-16</v>
      </c>
      <c r="AP55" s="4">
        <v>3.7077907079177e-17</v>
      </c>
      <c r="AQ55" s="4">
        <v>2.7874182510871e-16</v>
      </c>
      <c r="AR55" s="4">
        <v>-3.0090400646384e-15</v>
      </c>
      <c r="AS55" s="4">
        <v>-1.3265423211633e-16</v>
      </c>
      <c r="AT55" s="4">
        <v>8.6675598081111e-17</v>
      </c>
      <c r="AU55" s="4">
        <v>-3.6979777404023e-16</v>
      </c>
      <c r="AV55" s="4">
        <v>-4.4437571702119e-16</v>
      </c>
      <c r="AW55" s="4">
        <v>-1.2048557950051e-16</v>
      </c>
      <c r="AX55" s="4">
        <v>1.294788424208e-15</v>
      </c>
      <c r="AY55" s="4">
        <v>2.1993027015137e-16</v>
      </c>
      <c r="AZ55" s="4">
        <v>-7.8847374742802e-16</v>
      </c>
      <c r="BA55" s="4">
        <v>2.2202923984391e-15</v>
      </c>
      <c r="BB55" s="4">
        <v>-6.1389711152817e-15</v>
      </c>
      <c r="BC55" s="3">
        <v>15945505.674122</v>
      </c>
      <c r="BD55" s="3">
        <v>3981580.0899562</v>
      </c>
      <c r="BE55" s="3">
        <v>-0.00017951129002699</v>
      </c>
      <c r="BF55" s="3">
        <v>0.00055031466815482</v>
      </c>
      <c r="BG55" s="3">
        <v>0.00019239706777601</v>
      </c>
      <c r="BH55" s="3">
        <v>-0.00043316835691788</v>
      </c>
      <c r="BI55" s="3">
        <v>100.45699797059</v>
      </c>
      <c r="BJ55" s="3">
        <v>50.233073821203</v>
      </c>
      <c r="BK55" s="3">
        <v>91.107238857099</v>
      </c>
    </row>
    <row r="56" spans="1:63">
      <c r="A56" s="3">
        <v>8891397.0501949</v>
      </c>
      <c r="B56" s="3">
        <v>0.00013389344963388</v>
      </c>
      <c r="C56" s="4">
        <f t="shared" si="1"/>
        <v>1.60404093513631e-11</v>
      </c>
      <c r="D56" s="4">
        <v>1.0747457943828e-12</v>
      </c>
      <c r="E56" s="4">
        <v>1.2874519849292e-12</v>
      </c>
      <c r="F56" s="4">
        <v>1.2874462930153e-12</v>
      </c>
      <c r="G56" s="4">
        <v>1.2874270447379e-12</v>
      </c>
      <c r="H56" s="4">
        <v>1.0747039475111e-12</v>
      </c>
      <c r="I56" s="4">
        <v>1.0747158938661e-12</v>
      </c>
      <c r="J56" s="4">
        <v>1.0747094514092e-12</v>
      </c>
      <c r="K56" s="4">
        <v>1.1296139794025e-12</v>
      </c>
      <c r="L56" s="4">
        <v>1.1296492407078e-12</v>
      </c>
      <c r="M56" s="4">
        <v>1.129600852451e-12</v>
      </c>
      <c r="N56" s="4">
        <v>1.1758624452675e-12</v>
      </c>
      <c r="O56" s="4">
        <v>1.0747046122529e-12</v>
      </c>
      <c r="P56" s="4">
        <v>1.1758453353112e-12</v>
      </c>
      <c r="Q56" s="4">
        <v>1.1759748563924e-12</v>
      </c>
      <c r="R56" s="4">
        <v>1.287422413335e-12</v>
      </c>
      <c r="S56" s="4">
        <v>1.2874122724697e-12</v>
      </c>
      <c r="T56" s="4">
        <v>1.2874230701054e-12</v>
      </c>
      <c r="U56" s="4">
        <v>1.074709495878e-12</v>
      </c>
      <c r="V56" s="4">
        <v>1.1296203129478e-12</v>
      </c>
      <c r="W56" s="4">
        <v>1.129659979449e-12</v>
      </c>
      <c r="X56" s="4">
        <v>1.1296267169008e-12</v>
      </c>
      <c r="Y56" s="4">
        <v>1.1758520108553e-12</v>
      </c>
      <c r="Z56" s="4">
        <v>1.1759646249017e-12</v>
      </c>
      <c r="AA56" s="4">
        <v>1.1760148102758e-12</v>
      </c>
      <c r="AB56" s="3">
        <v>0.99999993963895</v>
      </c>
      <c r="AC56" s="3">
        <v>0.99735649762713</v>
      </c>
      <c r="AD56" s="3">
        <v>0.00052754973541249</v>
      </c>
      <c r="AE56" s="4">
        <v>-7.223114126286e-16</v>
      </c>
      <c r="AF56" s="4">
        <v>1.6624653588679e-15</v>
      </c>
      <c r="AG56" s="4">
        <v>1.4387754723099e-15</v>
      </c>
      <c r="AH56" s="4">
        <v>3.0432868685876e-16</v>
      </c>
      <c r="AI56" s="4">
        <v>-8.5474005260953e-17</v>
      </c>
      <c r="AJ56" s="4">
        <v>4.9809131181006e-16</v>
      </c>
      <c r="AK56" s="4">
        <v>2.1276028794087e-17</v>
      </c>
      <c r="AL56" s="4">
        <v>4.7846079462166e-16</v>
      </c>
      <c r="AM56" s="4">
        <v>1.3879532976226e-15</v>
      </c>
      <c r="AN56" s="4">
        <v>-9.0417183677474e-17</v>
      </c>
      <c r="AO56" s="4">
        <v>5.5292816346057e-16</v>
      </c>
      <c r="AP56" s="4">
        <v>4.0399169706712e-17</v>
      </c>
      <c r="AQ56" s="4">
        <v>2.7768530718517e-16</v>
      </c>
      <c r="AR56" s="4">
        <v>-2.9171751133937e-15</v>
      </c>
      <c r="AS56" s="4">
        <v>-1.1136504480899e-16</v>
      </c>
      <c r="AT56" s="4">
        <v>7.6607026281855e-17</v>
      </c>
      <c r="AU56" s="4">
        <v>-3.4475738585988e-16</v>
      </c>
      <c r="AV56" s="4">
        <v>-4.4908273073432e-16</v>
      </c>
      <c r="AW56" s="4">
        <v>-1.0439959170086e-16</v>
      </c>
      <c r="AX56" s="4">
        <v>1.1967131860486e-15</v>
      </c>
      <c r="AY56" s="4">
        <v>1.8988427049126e-16</v>
      </c>
      <c r="AZ56" s="4">
        <v>-7.4360418336678e-16</v>
      </c>
      <c r="BA56" s="4">
        <v>2.1853273701405e-15</v>
      </c>
      <c r="BB56" s="4">
        <v>-6.0128459059168e-15</v>
      </c>
      <c r="BC56" s="3">
        <v>15938898.030857</v>
      </c>
      <c r="BD56" s="3">
        <v>3979354.6109512</v>
      </c>
      <c r="BE56" s="3">
        <v>-0.00017674409098252</v>
      </c>
      <c r="BF56" s="3">
        <v>0.00056582463861912</v>
      </c>
      <c r="BG56" s="3">
        <v>0.00020120457136024</v>
      </c>
      <c r="BH56" s="3">
        <v>-0.00042358937643599</v>
      </c>
      <c r="BI56" s="3">
        <v>100.45701240675</v>
      </c>
      <c r="BJ56" s="3">
        <v>50.233102542143</v>
      </c>
      <c r="BK56" s="3">
        <v>90.96495709016</v>
      </c>
    </row>
    <row r="57" spans="1:63">
      <c r="A57" s="3">
        <v>9976311.5748447</v>
      </c>
      <c r="B57" s="3">
        <v>0.00015006614892883</v>
      </c>
      <c r="C57" s="4">
        <f t="shared" si="1"/>
        <v>1.59843645947848e-11</v>
      </c>
      <c r="D57" s="4">
        <v>1.0742719490681e-12</v>
      </c>
      <c r="E57" s="4">
        <v>1.284681071548e-12</v>
      </c>
      <c r="F57" s="4">
        <v>1.2846751541751e-12</v>
      </c>
      <c r="G57" s="4">
        <v>1.2846547931456e-12</v>
      </c>
      <c r="H57" s="4">
        <v>1.0742254244296e-12</v>
      </c>
      <c r="I57" s="4">
        <v>1.0742385352462e-12</v>
      </c>
      <c r="J57" s="4">
        <v>1.0742316179978e-12</v>
      </c>
      <c r="K57" s="4">
        <v>1.1284299116713e-12</v>
      </c>
      <c r="L57" s="4">
        <v>1.1284703750527e-12</v>
      </c>
      <c r="M57" s="4">
        <v>1.1284148290905e-12</v>
      </c>
      <c r="N57" s="4">
        <v>1.1738673271953e-12</v>
      </c>
      <c r="O57" s="4">
        <v>1.0742261569206e-12</v>
      </c>
      <c r="P57" s="4">
        <v>1.1738479122185e-12</v>
      </c>
      <c r="Q57" s="4">
        <v>1.1739941417173e-12</v>
      </c>
      <c r="R57" s="4">
        <v>1.2846488760715e-12</v>
      </c>
      <c r="S57" s="4">
        <v>1.2846378753197e-12</v>
      </c>
      <c r="T57" s="4">
        <v>1.28464989312e-12</v>
      </c>
      <c r="U57" s="4">
        <v>1.0742317328358e-12</v>
      </c>
      <c r="V57" s="4">
        <v>1.1284358905064e-12</v>
      </c>
      <c r="W57" s="4">
        <v>1.1284817440978e-12</v>
      </c>
      <c r="X57" s="4">
        <v>1.1284447838839e-12</v>
      </c>
      <c r="Y57" s="4">
        <v>1.1738548245301e-12</v>
      </c>
      <c r="Z57" s="4">
        <v>1.173981369705e-12</v>
      </c>
      <c r="AA57" s="4">
        <v>1.1740402788381e-12</v>
      </c>
      <c r="AB57" s="3">
        <v>0.99999994585262</v>
      </c>
      <c r="AC57" s="3">
        <v>0.99732102880434</v>
      </c>
      <c r="AD57" s="3">
        <v>0.00054202253900409</v>
      </c>
      <c r="AE57" s="4">
        <v>-7.4181025218628e-16</v>
      </c>
      <c r="AF57" s="4">
        <v>1.5580786598831e-15</v>
      </c>
      <c r="AG57" s="4">
        <v>1.3884264815459e-15</v>
      </c>
      <c r="AH57" s="4">
        <v>3.2856884893918e-16</v>
      </c>
      <c r="AI57" s="4">
        <v>-8.827457250324e-17</v>
      </c>
      <c r="AJ57" s="4">
        <v>4.8788671483224e-16</v>
      </c>
      <c r="AK57" s="4">
        <v>1.8541739405542e-17</v>
      </c>
      <c r="AL57" s="4">
        <v>4.8116656620942e-16</v>
      </c>
      <c r="AM57" s="4">
        <v>1.5610930173138e-15</v>
      </c>
      <c r="AN57" s="4">
        <v>-9.0313952725354e-17</v>
      </c>
      <c r="AO57" s="4">
        <v>5.4194727949821e-16</v>
      </c>
      <c r="AP57" s="4">
        <v>4.3901159591454e-17</v>
      </c>
      <c r="AQ57" s="4">
        <v>2.7577265161513e-16</v>
      </c>
      <c r="AR57" s="4">
        <v>-2.8149205088632e-15</v>
      </c>
      <c r="AS57" s="4">
        <v>-8.8676011273703e-17</v>
      </c>
      <c r="AT57" s="4">
        <v>6.5546104230908e-17</v>
      </c>
      <c r="AU57" s="4">
        <v>-3.1704084193281e-16</v>
      </c>
      <c r="AV57" s="4">
        <v>-4.5486450636929e-16</v>
      </c>
      <c r="AW57" s="4">
        <v>-8.6694772711227e-17</v>
      </c>
      <c r="AX57" s="4">
        <v>1.0840295382941e-15</v>
      </c>
      <c r="AY57" s="4">
        <v>1.5399571432529e-16</v>
      </c>
      <c r="AZ57" s="4">
        <v>-6.9600279008036e-16</v>
      </c>
      <c r="BA57" s="4">
        <v>2.1439057257258e-15</v>
      </c>
      <c r="BB57" s="4">
        <v>-5.8687713452097e-15</v>
      </c>
      <c r="BC57" s="3">
        <v>15931494.714163</v>
      </c>
      <c r="BD57" s="3">
        <v>3976863.0901764</v>
      </c>
      <c r="BE57" s="3">
        <v>-0.0001736090387244</v>
      </c>
      <c r="BF57" s="3">
        <v>0.0005831663079353</v>
      </c>
      <c r="BG57" s="3">
        <v>0.0002110773346337</v>
      </c>
      <c r="BH57" s="3">
        <v>-0.00041287925064184</v>
      </c>
      <c r="BI57" s="3">
        <v>100.45703188416</v>
      </c>
      <c r="BJ57" s="3">
        <v>50.233133093778</v>
      </c>
      <c r="BK57" s="3">
        <v>90.810223593371</v>
      </c>
    </row>
    <row r="58" spans="1:63">
      <c r="A58" s="3">
        <v>11193605.692842</v>
      </c>
      <c r="B58" s="3">
        <v>0.0001681722585635</v>
      </c>
      <c r="C58" s="4">
        <f t="shared" si="1"/>
        <v>1.59229429325091e-11</v>
      </c>
      <c r="D58" s="4">
        <v>1.073753689992e-12</v>
      </c>
      <c r="E58" s="4">
        <v>1.2816193757239e-12</v>
      </c>
      <c r="F58" s="4">
        <v>1.2816133017026e-12</v>
      </c>
      <c r="G58" s="4">
        <v>1.2815919741434e-12</v>
      </c>
      <c r="H58" s="4">
        <v>1.0737020039823e-12</v>
      </c>
      <c r="I58" s="4">
        <v>1.0737163534937e-12</v>
      </c>
      <c r="J58" s="4">
        <v>1.0737089794213e-12</v>
      </c>
      <c r="K58" s="4">
        <v>1.1270976770499e-12</v>
      </c>
      <c r="L58" s="4">
        <v>1.1271442847869e-12</v>
      </c>
      <c r="M58" s="4">
        <v>1.1270803050754e-12</v>
      </c>
      <c r="N58" s="4">
        <v>1.1716548760472e-12</v>
      </c>
      <c r="O58" s="4">
        <v>1.073702808408e-12</v>
      </c>
      <c r="P58" s="4">
        <v>1.1716327853755e-12</v>
      </c>
      <c r="Q58" s="4">
        <v>1.171798003466e-12</v>
      </c>
      <c r="R58" s="4">
        <v>1.2815844453875e-12</v>
      </c>
      <c r="S58" s="4">
        <v>1.2815725574995e-12</v>
      </c>
      <c r="T58" s="4">
        <v>1.2815859295499e-12</v>
      </c>
      <c r="U58" s="4">
        <v>1.0737091863312e-12</v>
      </c>
      <c r="V58" s="4">
        <v>1.1271030134213e-12</v>
      </c>
      <c r="W58" s="4">
        <v>1.1271561874336e-12</v>
      </c>
      <c r="X58" s="4">
        <v>1.1271150924302e-12</v>
      </c>
      <c r="Y58" s="4">
        <v>1.1716398417896e-12</v>
      </c>
      <c r="Z58" s="4">
        <v>1.1717820265027e-12</v>
      </c>
      <c r="AA58" s="4">
        <v>1.1718515170055e-12</v>
      </c>
      <c r="AB58" s="3">
        <v>0.99999995134324</v>
      </c>
      <c r="AC58" s="3">
        <v>0.99727960954036</v>
      </c>
      <c r="AD58" s="3">
        <v>0.00055831275990003</v>
      </c>
      <c r="AE58" s="4">
        <v>-7.6143976269381e-16</v>
      </c>
      <c r="AF58" s="4">
        <v>1.4480067729573e-15</v>
      </c>
      <c r="AG58" s="4">
        <v>1.3348614330436e-15</v>
      </c>
      <c r="AH58" s="4">
        <v>3.5618815158015e-16</v>
      </c>
      <c r="AI58" s="4">
        <v>-9.1614663979328e-17</v>
      </c>
      <c r="AJ58" s="4">
        <v>4.7552219922134e-16</v>
      </c>
      <c r="AK58" s="4">
        <v>1.5176395966571e-17</v>
      </c>
      <c r="AL58" s="4">
        <v>4.8439161766375e-16</v>
      </c>
      <c r="AM58" s="4">
        <v>1.759382879691e-15</v>
      </c>
      <c r="AN58" s="4">
        <v>-9.0339831539866e-17</v>
      </c>
      <c r="AO58" s="4">
        <v>5.2900503823434e-16</v>
      </c>
      <c r="AP58" s="4">
        <v>4.7546602057177e-17</v>
      </c>
      <c r="AQ58" s="4">
        <v>2.7275394610973e-16</v>
      </c>
      <c r="AR58" s="4">
        <v>-2.7020570989015e-15</v>
      </c>
      <c r="AS58" s="4">
        <v>-6.4639998660898e-17</v>
      </c>
      <c r="AT58" s="4">
        <v>5.3411866665216e-17</v>
      </c>
      <c r="AU58" s="4">
        <v>-2.8641578740478e-16</v>
      </c>
      <c r="AV58" s="4">
        <v>-4.6197698703135e-16</v>
      </c>
      <c r="AW58" s="4">
        <v>-6.7375732653056e-17</v>
      </c>
      <c r="AX58" s="4">
        <v>9.5434474656589e-16</v>
      </c>
      <c r="AY58" s="4">
        <v>1.1110296111282e-16</v>
      </c>
      <c r="AZ58" s="4">
        <v>-6.4585233935199e-16</v>
      </c>
      <c r="BA58" s="4">
        <v>2.0948949805852e-15</v>
      </c>
      <c r="BB58" s="4">
        <v>-5.7048125467964e-15</v>
      </c>
      <c r="BC58" s="3">
        <v>15923201.344632</v>
      </c>
      <c r="BD58" s="3">
        <v>3974074.4377405</v>
      </c>
      <c r="BE58" s="3">
        <v>-0.00017005484432974</v>
      </c>
      <c r="BF58" s="3">
        <v>0.00060254921270825</v>
      </c>
      <c r="BG58" s="3">
        <v>0.00022214312539217</v>
      </c>
      <c r="BH58" s="3">
        <v>-0.00040094450810637</v>
      </c>
      <c r="BI58" s="3">
        <v>100.45705758999</v>
      </c>
      <c r="BJ58" s="3">
        <v>50.233165299126</v>
      </c>
      <c r="BK58" s="3">
        <v>90.642605961453</v>
      </c>
    </row>
    <row r="59" spans="1:63">
      <c r="A59" s="3">
        <v>12559432.157548</v>
      </c>
      <c r="B59" s="3">
        <v>0.00018843830373768</v>
      </c>
      <c r="C59" s="4">
        <f t="shared" si="1"/>
        <v>1.58557315287719e-11</v>
      </c>
      <c r="D59" s="4">
        <v>1.073222361769e-12</v>
      </c>
      <c r="E59" s="4">
        <v>1.2782439495422e-12</v>
      </c>
      <c r="F59" s="4">
        <v>1.2782378122029e-12</v>
      </c>
      <c r="G59" s="4">
        <v>1.278215742443e-12</v>
      </c>
      <c r="H59" s="4">
        <v>1.0731649903701e-12</v>
      </c>
      <c r="I59" s="4">
        <v>1.073180646625e-12</v>
      </c>
      <c r="J59" s="4">
        <v>1.0731728536084e-12</v>
      </c>
      <c r="K59" s="4">
        <v>1.1255947991189e-12</v>
      </c>
      <c r="L59" s="4">
        <v>1.1256487150714e-12</v>
      </c>
      <c r="M59" s="4">
        <v>1.125574738517e-12</v>
      </c>
      <c r="N59" s="4">
        <v>1.1692031629866e-12</v>
      </c>
      <c r="O59" s="4">
        <v>1.0731658698086e-12</v>
      </c>
      <c r="P59" s="4">
        <v>1.1691779430961e-12</v>
      </c>
      <c r="Q59" s="4">
        <v>1.1693647694271e-12</v>
      </c>
      <c r="R59" s="4">
        <v>1.2782061983335e-12</v>
      </c>
      <c r="S59" s="4">
        <v>1.2781934055883e-12</v>
      </c>
      <c r="T59" s="4">
        <v>1.2782082827196e-12</v>
      </c>
      <c r="U59" s="4">
        <v>1.07317318022e-12</v>
      </c>
      <c r="V59" s="4">
        <v>1.1255991211645e-12</v>
      </c>
      <c r="W59" s="4">
        <v>1.1256610012875e-12</v>
      </c>
      <c r="X59" s="4">
        <v>1.125615254275e-12</v>
      </c>
      <c r="Y59" s="4">
        <v>1.1691850173107e-12</v>
      </c>
      <c r="Z59" s="4">
        <v>1.1693447483628e-12</v>
      </c>
      <c r="AA59" s="4">
        <v>1.1694271457672e-12</v>
      </c>
      <c r="AB59" s="3">
        <v>0.99999995619121</v>
      </c>
      <c r="AC59" s="3">
        <v>0.99723112550273</v>
      </c>
      <c r="AD59" s="3">
        <v>0.00057664617581277</v>
      </c>
      <c r="AE59" s="4">
        <v>-7.8054135252973e-16</v>
      </c>
      <c r="AF59" s="4">
        <v>1.3329599893056e-15</v>
      </c>
      <c r="AG59" s="4">
        <v>1.2783113641681e-15</v>
      </c>
      <c r="AH59" s="4">
        <v>3.8770330557615e-16</v>
      </c>
      <c r="AI59" s="4">
        <v>-9.5629469862272e-17</v>
      </c>
      <c r="AJ59" s="4">
        <v>4.605559036949e-16</v>
      </c>
      <c r="AK59" s="4">
        <v>1.1052274194488e-17</v>
      </c>
      <c r="AL59" s="4">
        <v>4.8811352482561e-16</v>
      </c>
      <c r="AM59" s="4">
        <v>1.9864140156699e-15</v>
      </c>
      <c r="AN59" s="4">
        <v>-9.0570194588058e-17</v>
      </c>
      <c r="AO59" s="4">
        <v>5.1346578421922e-16</v>
      </c>
      <c r="AP59" s="4">
        <v>5.1279455824671e-17</v>
      </c>
      <c r="AQ59" s="4">
        <v>2.6835770670097e-16</v>
      </c>
      <c r="AR59" s="4">
        <v>-2.5787868038796e-15</v>
      </c>
      <c r="AS59" s="4">
        <v>-3.9343877159112e-17</v>
      </c>
      <c r="AT59" s="4">
        <v>4.011653767035e-17</v>
      </c>
      <c r="AU59" s="4">
        <v>-2.5263523565337e-16</v>
      </c>
      <c r="AV59" s="4">
        <v>-4.7070609528689e-16</v>
      </c>
      <c r="AW59" s="4">
        <v>-4.6513731413584e-17</v>
      </c>
      <c r="AX59" s="4">
        <v>8.0469809560232e-16</v>
      </c>
      <c r="AY59" s="4">
        <v>5.986907434268e-17</v>
      </c>
      <c r="AZ59" s="4">
        <v>-5.934237985069e-16</v>
      </c>
      <c r="BA59" s="4">
        <v>2.0367964384603e-15</v>
      </c>
      <c r="BB59" s="4">
        <v>-5.5195968251517e-15</v>
      </c>
      <c r="BC59" s="3">
        <v>15913912.667831</v>
      </c>
      <c r="BD59" s="3">
        <v>3970954.0943672</v>
      </c>
      <c r="BE59" s="3">
        <v>-0.00016602262006401</v>
      </c>
      <c r="BF59" s="3">
        <v>0.00062420539044752</v>
      </c>
      <c r="BG59" s="3">
        <v>0.00023454484944458</v>
      </c>
      <c r="BH59" s="3">
        <v>-0.00038770389460322</v>
      </c>
      <c r="BI59" s="3">
        <v>100.45709103337</v>
      </c>
      <c r="BJ59" s="3">
        <v>50.233198821444</v>
      </c>
      <c r="BK59" s="3">
        <v>90.461829958692</v>
      </c>
    </row>
    <row r="60" spans="1:63">
      <c r="A60" s="3">
        <v>14091914.656323</v>
      </c>
      <c r="B60" s="3">
        <v>0.00021111635376296</v>
      </c>
      <c r="C60" s="4">
        <f t="shared" si="1"/>
        <v>1.57823602039589e-11</v>
      </c>
      <c r="D60" s="4">
        <v>1.0726260072119e-12</v>
      </c>
      <c r="E60" s="4">
        <v>1.2745707160497e-12</v>
      </c>
      <c r="F60" s="4">
        <v>1.2745646375798e-12</v>
      </c>
      <c r="G60" s="4">
        <v>1.274542149306e-12</v>
      </c>
      <c r="H60" s="4">
        <v>1.0725623867972e-12</v>
      </c>
      <c r="I60" s="4">
        <v>1.0725794075203e-12</v>
      </c>
      <c r="J60" s="4">
        <v>1.0725712592404e-12</v>
      </c>
      <c r="K60" s="4">
        <v>1.1239118755701e-12</v>
      </c>
      <c r="L60" s="4">
        <v>1.1239745488384e-12</v>
      </c>
      <c r="M60" s="4">
        <v>1.1238886481388e-12</v>
      </c>
      <c r="N60" s="4">
        <v>1.1665029827825e-12</v>
      </c>
      <c r="O60" s="4">
        <v>1.0725633421785e-12</v>
      </c>
      <c r="P60" s="4">
        <v>1.1664740710868e-12</v>
      </c>
      <c r="Q60" s="4">
        <v>1.1666855179113e-12</v>
      </c>
      <c r="R60" s="4">
        <v>1.2745300909508e-12</v>
      </c>
      <c r="S60" s="4">
        <v>1.2745163873113e-12</v>
      </c>
      <c r="T60" s="4">
        <v>1.274532940821e-12</v>
      </c>
      <c r="U60" s="4">
        <v>1.0725717417196e-12</v>
      </c>
      <c r="V60" s="4">
        <v>1.1239147087739e-12</v>
      </c>
      <c r="W60" s="4">
        <v>1.1239870003364e-12</v>
      </c>
      <c r="X60" s="4">
        <v>1.1239359766191e-12</v>
      </c>
      <c r="Y60" s="4">
        <v>1.166480995831e-12</v>
      </c>
      <c r="Z60" s="4">
        <v>1.1666603962455e-12</v>
      </c>
      <c r="AA60" s="4">
        <v>1.1667586225913e-12</v>
      </c>
      <c r="AB60" s="3">
        <v>0.99999996045577</v>
      </c>
      <c r="AC60" s="3">
        <v>0.99717422787149</v>
      </c>
      <c r="AD60" s="3">
        <v>0.00059727510812607</v>
      </c>
      <c r="AE60" s="4">
        <v>-7.9820213454628e-16</v>
      </c>
      <c r="AF60" s="4">
        <v>1.2139512770873e-15</v>
      </c>
      <c r="AG60" s="4">
        <v>1.2191570879537e-15</v>
      </c>
      <c r="AH60" s="4">
        <v>4.2371718924408e-16</v>
      </c>
      <c r="AI60" s="4">
        <v>-1.004909557516e-16</v>
      </c>
      <c r="AJ60" s="4">
        <v>4.4246707619232e-16</v>
      </c>
      <c r="AK60" s="4">
        <v>6.0302414748463e-18</v>
      </c>
      <c r="AL60" s="4">
        <v>4.9221651781043e-16</v>
      </c>
      <c r="AM60" s="4">
        <v>2.2461353424556e-15</v>
      </c>
      <c r="AN60" s="4">
        <v>-9.1116846817962e-17</v>
      </c>
      <c r="AO60" s="4">
        <v>4.9443769298431e-16</v>
      </c>
      <c r="AP60" s="4">
        <v>5.5018650925853e-17</v>
      </c>
      <c r="AQ60" s="4">
        <v>2.6225874815374e-16</v>
      </c>
      <c r="AR60" s="4">
        <v>-2.4460956807886e-15</v>
      </c>
      <c r="AS60" s="4">
        <v>-1.2912817467052e-17</v>
      </c>
      <c r="AT60" s="4">
        <v>2.5563230685181e-17</v>
      </c>
      <c r="AU60" s="4">
        <v>-2.1544375466734e-16</v>
      </c>
      <c r="AV60" s="4">
        <v>-4.8140710678556e-16</v>
      </c>
      <c r="AW60" s="4">
        <v>-2.424768152078e-17</v>
      </c>
      <c r="AX60" s="4">
        <v>6.3166190151306e-16</v>
      </c>
      <c r="AY60" s="4">
        <v>-1.2029365798353e-18</v>
      </c>
      <c r="AZ60" s="4">
        <v>-5.3907650837182e-16</v>
      </c>
      <c r="BA60" s="4">
        <v>1.9679899677788e-15</v>
      </c>
      <c r="BB60" s="4">
        <v>-5.3122777638137e-15</v>
      </c>
      <c r="BC60" s="3">
        <v>15903511.401552</v>
      </c>
      <c r="BD60" s="3">
        <v>3967463.6910196</v>
      </c>
      <c r="BE60" s="3">
        <v>-0.00016144481547783</v>
      </c>
      <c r="BF60" s="3">
        <v>0.00064839158124945</v>
      </c>
      <c r="BG60" s="3">
        <v>0.00024844224212561</v>
      </c>
      <c r="BH60" s="3">
        <v>-0.00037308592260312</v>
      </c>
      <c r="BI60" s="3">
        <v>100.45713388457</v>
      </c>
      <c r="BJ60" s="3">
        <v>50.233233216784</v>
      </c>
      <c r="BK60" s="3">
        <v>90.267838075454</v>
      </c>
    </row>
    <row r="61" spans="1:63">
      <c r="A61" s="3">
        <v>15811388.300842</v>
      </c>
      <c r="B61" s="3">
        <v>0.00023648673951298</v>
      </c>
      <c r="C61" s="4">
        <f t="shared" si="1"/>
        <v>1.57024248995761e-11</v>
      </c>
      <c r="D61" s="4">
        <v>1.0719355910981e-12</v>
      </c>
      <c r="E61" s="4">
        <v>1.2705647754362e-12</v>
      </c>
      <c r="F61" s="4">
        <v>1.2705589112644e-12</v>
      </c>
      <c r="G61" s="4">
        <v>1.2705364532186e-12</v>
      </c>
      <c r="H61" s="4">
        <v>1.0718651215227e-12</v>
      </c>
      <c r="I61" s="4">
        <v>1.071883548968e-12</v>
      </c>
      <c r="J61" s="4">
        <v>1.0718751418641e-12</v>
      </c>
      <c r="K61" s="4">
        <v>1.1220205487093e-12</v>
      </c>
      <c r="L61" s="4">
        <v>1.1220937971709e-12</v>
      </c>
      <c r="M61" s="4">
        <v>1.1219935813509e-12</v>
      </c>
      <c r="N61" s="4">
        <v>1.163551310103e-12</v>
      </c>
      <c r="O61" s="4">
        <v>1.0718661501334e-12</v>
      </c>
      <c r="P61" s="4">
        <v>1.1635179980631e-12</v>
      </c>
      <c r="Q61" s="4">
        <v>1.1637575281024e-12</v>
      </c>
      <c r="R61" s="4">
        <v>1.2705212650901e-12</v>
      </c>
      <c r="S61" s="4">
        <v>1.2705066582868e-12</v>
      </c>
      <c r="T61" s="4">
        <v>1.2705250851374e-12</v>
      </c>
      <c r="U61" s="4">
        <v>1.0718758285299e-12</v>
      </c>
      <c r="V61" s="4">
        <v>1.1220212944547e-12</v>
      </c>
      <c r="W61" s="4">
        <v>1.1221061101031e-12</v>
      </c>
      <c r="X61" s="4">
        <v>1.1220490378487e-12</v>
      </c>
      <c r="Y61" s="4">
        <v>1.1635245567489e-12</v>
      </c>
      <c r="Z61" s="4">
        <v>1.1637259846157e-12</v>
      </c>
      <c r="AA61" s="4">
        <v>1.1638437170988e-12</v>
      </c>
      <c r="AB61" s="3">
        <v>0.99999996419633</v>
      </c>
      <c r="AC61" s="3">
        <v>0.99710735687144</v>
      </c>
      <c r="AD61" s="3">
        <v>0.00062048104348011</v>
      </c>
      <c r="AE61" s="4">
        <v>-8.1317559917817e-16</v>
      </c>
      <c r="AF61" s="4">
        <v>1.0923251677967e-15</v>
      </c>
      <c r="AG61" s="4">
        <v>1.1579558591131e-15</v>
      </c>
      <c r="AH61" s="4">
        <v>4.6495759877881e-16</v>
      </c>
      <c r="AI61" s="4">
        <v>-1.0642693647716e-16</v>
      </c>
      <c r="AJ61" s="4">
        <v>4.2063322747007e-16</v>
      </c>
      <c r="AK61" s="4">
        <v>-3.5681968181909e-20</v>
      </c>
      <c r="AL61" s="4">
        <v>4.964622653513e-16</v>
      </c>
      <c r="AM61" s="4">
        <v>2.5427249210733e-15</v>
      </c>
      <c r="AN61" s="4">
        <v>-9.214169487733e-17</v>
      </c>
      <c r="AO61" s="4">
        <v>4.7066448873506e-16</v>
      </c>
      <c r="AP61" s="4">
        <v>5.8649040708905e-17</v>
      </c>
      <c r="AQ61" s="4">
        <v>2.5403017242052e-16</v>
      </c>
      <c r="AR61" s="4">
        <v>-2.3061044166746e-15</v>
      </c>
      <c r="AS61" s="4">
        <v>1.4491703205765e-17</v>
      </c>
      <c r="AT61" s="4">
        <v>9.6422020047878e-18</v>
      </c>
      <c r="AU61" s="4">
        <v>-1.7455267725898e-16</v>
      </c>
      <c r="AV61" s="4">
        <v>-4.9455442480234e-16</v>
      </c>
      <c r="AW61" s="4">
        <v>-7.2899045368187e-19</v>
      </c>
      <c r="AX61" s="4">
        <v>4.3146062698951e-16</v>
      </c>
      <c r="AY61" s="4">
        <v>-7.3710796180522e-17</v>
      </c>
      <c r="AZ61" s="4">
        <v>-4.8324896438363e-16</v>
      </c>
      <c r="BA61" s="4">
        <v>1.8867265359184e-15</v>
      </c>
      <c r="BB61" s="4">
        <v>-5.0826691617388e-15</v>
      </c>
      <c r="BC61" s="3">
        <v>15891866.888063</v>
      </c>
      <c r="BD61" s="3">
        <v>3963560.6544696</v>
      </c>
      <c r="BE61" s="3">
        <v>-0.00015624365287707</v>
      </c>
      <c r="BF61" s="3">
        <v>0.00067539148701931</v>
      </c>
      <c r="BG61" s="3">
        <v>0.00026401386322572</v>
      </c>
      <c r="BH61" s="3">
        <v>-0.00035710570484498</v>
      </c>
      <c r="BI61" s="3">
        <v>100.45718782725</v>
      </c>
      <c r="BJ61" s="3">
        <v>50.233267841238</v>
      </c>
      <c r="BK61" s="3">
        <v>90.060853273422</v>
      </c>
    </row>
    <row r="62" spans="1:63">
      <c r="A62" s="3">
        <v>17740669.461679</v>
      </c>
      <c r="B62" s="3">
        <v>0.00026486080719931</v>
      </c>
      <c r="C62" s="4">
        <f t="shared" si="1"/>
        <v>1.56156532759018e-11</v>
      </c>
      <c r="D62" s="4">
        <v>1.0711077694904e-12</v>
      </c>
      <c r="E62" s="4">
        <v>1.2661828820768e-12</v>
      </c>
      <c r="F62" s="4">
        <v>1.2661774253502e-12</v>
      </c>
      <c r="G62" s="4">
        <v>1.2661556025154e-12</v>
      </c>
      <c r="H62" s="4">
        <v>1.0710298213804e-12</v>
      </c>
      <c r="I62" s="4">
        <v>1.0710496758834e-12</v>
      </c>
      <c r="J62" s="4">
        <v>1.0710411469823e-12</v>
      </c>
      <c r="K62" s="4">
        <v>1.1198867196356e-12</v>
      </c>
      <c r="L62" s="4">
        <v>1.1199728377548e-12</v>
      </c>
      <c r="M62" s="4">
        <v>1.1198553258389e-12</v>
      </c>
      <c r="N62" s="4">
        <v>1.1603319538894e-12</v>
      </c>
      <c r="O62" s="4">
        <v>1.0710309145838e-12</v>
      </c>
      <c r="P62" s="4">
        <v>1.1602933344762e-12</v>
      </c>
      <c r="Q62" s="4">
        <v>1.1605649220204e-12</v>
      </c>
      <c r="R62" s="4">
        <v>1.2661365259949e-12</v>
      </c>
      <c r="S62" s="4">
        <v>1.2661210394617e-12</v>
      </c>
      <c r="T62" s="4">
        <v>1.26614156948e-12</v>
      </c>
      <c r="U62" s="4">
        <v>1.0710421042734e-12</v>
      </c>
      <c r="V62" s="4">
        <v>1.1198846298037e-12</v>
      </c>
      <c r="W62" s="4">
        <v>1.1199846044862e-12</v>
      </c>
      <c r="X62" s="4">
        <v>1.1199205092697e-12</v>
      </c>
      <c r="Y62" s="4">
        <v>1.1602992516112e-12</v>
      </c>
      <c r="Z62" s="4">
        <v>1.1605253215623e-12</v>
      </c>
      <c r="AA62" s="4">
        <v>1.1606671846622e-12</v>
      </c>
      <c r="AB62" s="3">
        <v>0.99999996746731</v>
      </c>
      <c r="AC62" s="3">
        <v>0.99702862769747</v>
      </c>
      <c r="AD62" s="3">
        <v>0.00064657782404895</v>
      </c>
      <c r="AE62" s="4">
        <v>-8.2391330875977e-16</v>
      </c>
      <c r="AF62" s="4">
        <v>9.6975483441559e-16</v>
      </c>
      <c r="AG62" s="4">
        <v>1.0955341602808e-15</v>
      </c>
      <c r="AH62" s="4">
        <v>5.1229488186954e-16</v>
      </c>
      <c r="AI62" s="4">
        <v>-1.1373802033773e-16</v>
      </c>
      <c r="AJ62" s="4">
        <v>3.9433364379967e-16</v>
      </c>
      <c r="AK62" s="4">
        <v>-7.3171376250549e-18</v>
      </c>
      <c r="AL62" s="4">
        <v>5.0044324203668e-16</v>
      </c>
      <c r="AM62" s="4">
        <v>2.8805582762695e-15</v>
      </c>
      <c r="AN62" s="4">
        <v>-9.3859093306771e-17</v>
      </c>
      <c r="AO62" s="4">
        <v>4.4038406384476e-16</v>
      </c>
      <c r="AP62" s="4">
        <v>6.2028304977967e-17</v>
      </c>
      <c r="AQ62" s="4">
        <v>2.4317646491109e-16</v>
      </c>
      <c r="AR62" s="4">
        <v>-2.1623456373524e-15</v>
      </c>
      <c r="AS62" s="4">
        <v>4.2711963223515e-17</v>
      </c>
      <c r="AT62" s="4">
        <v>-7.7815466773944e-18</v>
      </c>
      <c r="AU62" s="4">
        <v>-1.2966860913495e-16</v>
      </c>
      <c r="AV62" s="4">
        <v>-5.1073885596277e-16</v>
      </c>
      <c r="AW62" s="4">
        <v>2.365216770792e-17</v>
      </c>
      <c r="AX62" s="4">
        <v>1.9975413768358e-16</v>
      </c>
      <c r="AY62" s="4">
        <v>-1.594319112448e-16</v>
      </c>
      <c r="AZ62" s="4">
        <v>-4.2645366744068e-16</v>
      </c>
      <c r="BA62" s="4">
        <v>1.7911288212168e-15</v>
      </c>
      <c r="BB62" s="4">
        <v>-4.8320731112265e-15</v>
      </c>
      <c r="BC62" s="3">
        <v>15878833.997599</v>
      </c>
      <c r="BD62" s="3">
        <v>3959197.9194521</v>
      </c>
      <c r="BE62" s="3">
        <v>-0.00015033086771961</v>
      </c>
      <c r="BF62" s="3">
        <v>0.00070551847269867</v>
      </c>
      <c r="BG62" s="3">
        <v>0.00028145894285335</v>
      </c>
      <c r="BH62" s="3">
        <v>-0.00033973437476878</v>
      </c>
      <c r="BI62" s="3">
        <v>100.45725489844</v>
      </c>
      <c r="BJ62" s="3">
        <v>50.233301867382</v>
      </c>
      <c r="BK62" s="3">
        <v>89.8414363593</v>
      </c>
    </row>
    <row r="63" spans="1:63">
      <c r="A63" s="3">
        <v>19905358.527676</v>
      </c>
      <c r="B63" s="3">
        <v>0.00029658415355596</v>
      </c>
      <c r="C63" s="4">
        <f t="shared" si="1"/>
        <v>1.55217067686323e-11</v>
      </c>
      <c r="D63" s="4">
        <v>1.0701475613635e-12</v>
      </c>
      <c r="E63" s="4">
        <v>1.2613929153458e-12</v>
      </c>
      <c r="F63" s="4">
        <v>1.2613881016881e-12</v>
      </c>
      <c r="G63" s="4">
        <v>1.2613677126701e-12</v>
      </c>
      <c r="H63" s="4">
        <v>1.0700614893452e-12</v>
      </c>
      <c r="I63" s="4">
        <v>1.0700827615758e-12</v>
      </c>
      <c r="J63" s="4">
        <v>1.0700742967147e-12</v>
      </c>
      <c r="K63" s="4">
        <v>1.1174809273168e-12</v>
      </c>
      <c r="L63" s="4">
        <v>1.1175828264776e-12</v>
      </c>
      <c r="M63" s="4">
        <v>1.117444286202e-12</v>
      </c>
      <c r="N63" s="4">
        <v>1.1567929198073e-12</v>
      </c>
      <c r="O63" s="4">
        <v>1.0700626292083e-12</v>
      </c>
      <c r="P63" s="4">
        <v>1.1567478121391e-12</v>
      </c>
      <c r="Q63" s="4">
        <v>1.1570560026628e-12</v>
      </c>
      <c r="R63" s="4">
        <v>1.2613438134009e-12</v>
      </c>
      <c r="S63" s="4">
        <v>1.2613274877866e-12</v>
      </c>
      <c r="T63" s="4">
        <v>1.2613503935773e-12</v>
      </c>
      <c r="U63" s="4">
        <v>1.0700756187766e-12</v>
      </c>
      <c r="V63" s="4">
        <v>1.1174750762329e-12</v>
      </c>
      <c r="W63" s="4">
        <v>1.1175935159451e-12</v>
      </c>
      <c r="X63" s="4">
        <v>1.1175211441593e-12</v>
      </c>
      <c r="Y63" s="4">
        <v>1.1567527425224e-12</v>
      </c>
      <c r="Z63" s="4">
        <v>1.1570063513976e-12</v>
      </c>
      <c r="AA63" s="4">
        <v>1.1571781443962e-12</v>
      </c>
      <c r="AB63" s="3">
        <v>0.99999997031533</v>
      </c>
      <c r="AC63" s="3">
        <v>0.99693573831364</v>
      </c>
      <c r="AD63" s="3">
        <v>0.00067591462831921</v>
      </c>
      <c r="AE63" s="4">
        <v>-8.285322042198e-16</v>
      </c>
      <c r="AF63" s="4">
        <v>8.4822204108967e-16</v>
      </c>
      <c r="AG63" s="4">
        <v>1.0329989596225e-15</v>
      </c>
      <c r="AH63" s="4">
        <v>5.667820017353e-16</v>
      </c>
      <c r="AI63" s="4">
        <v>-1.2282767670981e-16</v>
      </c>
      <c r="AJ63" s="4">
        <v>3.6271288814852e-16</v>
      </c>
      <c r="AK63" s="4">
        <v>-1.6020615048109e-17</v>
      </c>
      <c r="AL63" s="4">
        <v>5.033307169125e-16</v>
      </c>
      <c r="AM63" s="4">
        <v>3.2642075755571e-15</v>
      </c>
      <c r="AN63" s="4">
        <v>-9.6550369441445e-17</v>
      </c>
      <c r="AO63" s="4">
        <v>4.0108371464656e-16</v>
      </c>
      <c r="AP63" s="4">
        <v>6.503006148679e-17</v>
      </c>
      <c r="AQ63" s="4">
        <v>2.2912916451292e-16</v>
      </c>
      <c r="AR63" s="4">
        <v>-2.0200842395205e-15</v>
      </c>
      <c r="AS63" s="4">
        <v>7.1606962619684e-17</v>
      </c>
      <c r="AT63" s="4">
        <v>-2.6884827469812e-17</v>
      </c>
      <c r="AU63" s="4">
        <v>-8.0480992225047e-17</v>
      </c>
      <c r="AV63" s="4">
        <v>-5.3069087524115e-16</v>
      </c>
      <c r="AW63" s="4">
        <v>4.8309009791604e-17</v>
      </c>
      <c r="AX63" s="4">
        <v>-6.831547168764e-17</v>
      </c>
      <c r="AY63" s="4">
        <v>-2.5985577597618e-16</v>
      </c>
      <c r="AZ63" s="4">
        <v>-3.6921270486097e-16</v>
      </c>
      <c r="BA63" s="4">
        <v>1.6790687735944e-15</v>
      </c>
      <c r="BB63" s="4">
        <v>-4.5640891677458e-15</v>
      </c>
      <c r="BC63" s="3">
        <v>15864251.51148</v>
      </c>
      <c r="BD63" s="3">
        <v>3954323.4780802</v>
      </c>
      <c r="BE63" s="3">
        <v>-0.00014360560894698</v>
      </c>
      <c r="BF63" s="3">
        <v>0.00073911814162634</v>
      </c>
      <c r="BG63" s="3">
        <v>0.00030099980333229</v>
      </c>
      <c r="BH63" s="3">
        <v>-0.00032104663000288</v>
      </c>
      <c r="BI63" s="3">
        <v>100.45733736988</v>
      </c>
      <c r="BJ63" s="3">
        <v>50.233334135548</v>
      </c>
      <c r="BK63" s="3">
        <v>89.610558603011</v>
      </c>
    </row>
    <row r="64" spans="1:63">
      <c r="A64" s="3">
        <v>22334179.607549</v>
      </c>
      <c r="B64" s="3">
        <v>0.00033204000442657</v>
      </c>
      <c r="C64" s="4">
        <f t="shared" si="1"/>
        <v>1.54202545970897e-11</v>
      </c>
      <c r="D64" s="4">
        <v>1.0690073691408e-12</v>
      </c>
      <c r="E64" s="4">
        <v>1.2561393366402e-12</v>
      </c>
      <c r="F64" s="4">
        <v>1.256135449089e-12</v>
      </c>
      <c r="G64" s="4">
        <v>1.2561175307298e-12</v>
      </c>
      <c r="H64" s="4">
        <v>1.0689125334736e-12</v>
      </c>
      <c r="I64" s="4">
        <v>1.0689351754468e-12</v>
      </c>
      <c r="J64" s="4">
        <v>1.068927017189e-12</v>
      </c>
      <c r="K64" s="4">
        <v>1.1148009198731e-12</v>
      </c>
      <c r="L64" s="4">
        <v>1.1149223049843e-12</v>
      </c>
      <c r="M64" s="4">
        <v>1.1147580522816e-12</v>
      </c>
      <c r="N64" s="4">
        <v>1.15296455576e-12</v>
      </c>
      <c r="O64" s="4">
        <v>1.0689136881043e-12</v>
      </c>
      <c r="P64" s="4">
        <v>1.1529113952708e-12</v>
      </c>
      <c r="Q64" s="4">
        <v>1.1532613559861e-12</v>
      </c>
      <c r="R64" s="4">
        <v>1.2560876580759e-12</v>
      </c>
      <c r="S64" s="4">
        <v>1.2560705522535e-12</v>
      </c>
      <c r="T64" s="4">
        <v>1.2560961626453e-12</v>
      </c>
      <c r="U64" s="4">
        <v>1.0689288408962e-12</v>
      </c>
      <c r="V64" s="4">
        <v>1.1147901728559e-12</v>
      </c>
      <c r="W64" s="4">
        <v>1.114931243936e-12</v>
      </c>
      <c r="X64" s="4">
        <v>1.1148489636432e-12</v>
      </c>
      <c r="Y64" s="4">
        <v>1.1529149118175e-12</v>
      </c>
      <c r="Z64" s="4">
        <v>1.1531992725624e-12</v>
      </c>
      <c r="AA64" s="4">
        <v>1.1534082295278e-12</v>
      </c>
      <c r="AB64" s="3">
        <v>0.99999997278184</v>
      </c>
      <c r="AC64" s="3">
        <v>0.9968258335489</v>
      </c>
      <c r="AD64" s="3">
        <v>0.00070887940501195</v>
      </c>
      <c r="AE64" s="4">
        <v>-8.2474589811831e-16</v>
      </c>
      <c r="AF64" s="4">
        <v>7.2998885293794e-16</v>
      </c>
      <c r="AG64" s="4">
        <v>9.7177474764368e-16</v>
      </c>
      <c r="AH64" s="4">
        <v>6.2972090954327e-16</v>
      </c>
      <c r="AI64" s="4">
        <v>-1.3423444539777e-16</v>
      </c>
      <c r="AJ64" s="4">
        <v>3.2473170032066e-16</v>
      </c>
      <c r="AK64" s="4">
        <v>-2.6402639652273e-17</v>
      </c>
      <c r="AL64" s="4">
        <v>5.0403977672764e-16</v>
      </c>
      <c r="AM64" s="4">
        <v>3.6982659695552e-15</v>
      </c>
      <c r="AN64" s="4">
        <v>-1.006127341666e-16</v>
      </c>
      <c r="AO64" s="4">
        <v>3.4919532117057e-16</v>
      </c>
      <c r="AP64" s="4">
        <v>6.7460702679364e-17</v>
      </c>
      <c r="AQ64" s="4">
        <v>2.1121036783506e-16</v>
      </c>
      <c r="AR64" s="4">
        <v>-1.886627489316e-15</v>
      </c>
      <c r="AS64" s="4">
        <v>1.0107746816423e-16</v>
      </c>
      <c r="AT64" s="4">
        <v>-4.7910691301446e-17</v>
      </c>
      <c r="AU64" s="4">
        <v>-2.6635484413952e-17</v>
      </c>
      <c r="AV64" s="4">
        <v>-5.5531229313328e-16</v>
      </c>
      <c r="AW64" s="4">
        <v>7.247599539901e-17</v>
      </c>
      <c r="AX64" s="4">
        <v>-3.7775803497101e-16</v>
      </c>
      <c r="AY64" s="4">
        <v>-3.7682035356483e-16</v>
      </c>
      <c r="AZ64" s="4">
        <v>-3.1198138500725e-16</v>
      </c>
      <c r="BA64" s="4">
        <v>1.5481597142486e-15</v>
      </c>
      <c r="BB64" s="4">
        <v>-4.2853849807147e-15</v>
      </c>
      <c r="BC64" s="3">
        <v>15847940.607865</v>
      </c>
      <c r="BD64" s="3">
        <v>3948879.9933884</v>
      </c>
      <c r="BE64" s="3">
        <v>-0.00013595309621474</v>
      </c>
      <c r="BF64" s="3">
        <v>0.00077657118104876</v>
      </c>
      <c r="BG64" s="3">
        <v>0.00032288441916427</v>
      </c>
      <c r="BH64" s="3">
        <v>-0.00030105532936184</v>
      </c>
      <c r="BI64" s="3">
        <v>100.45743793058</v>
      </c>
      <c r="BJ64" s="3">
        <v>50.233363246446</v>
      </c>
      <c r="BK64" s="3">
        <v>89.369677073254</v>
      </c>
    </row>
    <row r="65" spans="1:63">
      <c r="A65" s="3">
        <v>25059361.681365</v>
      </c>
      <c r="B65" s="3">
        <v>0.00037165329563031</v>
      </c>
      <c r="C65" s="4">
        <f t="shared" si="1"/>
        <v>1.53109041425381e-11</v>
      </c>
      <c r="D65" s="4">
        <v>1.0676673425035e-12</v>
      </c>
      <c r="E65" s="4">
        <v>1.2504477224828e-12</v>
      </c>
      <c r="F65" s="4">
        <v>1.2504450971089e-12</v>
      </c>
      <c r="G65" s="4">
        <v>1.2504309779841e-12</v>
      </c>
      <c r="H65" s="4">
        <v>1.0675631419291e-12</v>
      </c>
      <c r="I65" s="4">
        <v>1.0675870579765e-12</v>
      </c>
      <c r="J65" s="4">
        <v>1.0675795114711e-12</v>
      </c>
      <c r="K65" s="4">
        <v>1.1117943874223e-12</v>
      </c>
      <c r="L65" s="4">
        <v>1.1119399817166e-12</v>
      </c>
      <c r="M65" s="4">
        <v>1.1117441296009e-12</v>
      </c>
      <c r="N65" s="4">
        <v>1.1489534020711e-12</v>
      </c>
      <c r="O65" s="4">
        <v>1.067564258618e-12</v>
      </c>
      <c r="P65" s="4">
        <v>1.1488900786575e-12</v>
      </c>
      <c r="Q65" s="4">
        <v>1.1492876306184e-12</v>
      </c>
      <c r="R65" s="4">
        <v>1.25039371414e-12</v>
      </c>
      <c r="S65" s="4">
        <v>1.2503759058248e-12</v>
      </c>
      <c r="T65" s="4">
        <v>1.2504046240772e-12</v>
      </c>
      <c r="U65" s="4">
        <v>1.0675820391654e-12</v>
      </c>
      <c r="V65" s="4">
        <v>1.1117773673197e-12</v>
      </c>
      <c r="W65" s="4">
        <v>1.1119463409585e-12</v>
      </c>
      <c r="X65" s="4">
        <v>1.1118520067772e-12</v>
      </c>
      <c r="Y65" s="4">
        <v>1.1488916585786e-12</v>
      </c>
      <c r="Z65" s="4">
        <v>1.1492103497396e-12</v>
      </c>
      <c r="AA65" s="4">
        <v>1.149465424762e-12</v>
      </c>
      <c r="AB65" s="3">
        <v>0.99999997490355</v>
      </c>
      <c r="AC65" s="3">
        <v>0.99669541132995</v>
      </c>
      <c r="AD65" s="3">
        <v>0.00074590179215291</v>
      </c>
      <c r="AE65" s="4">
        <v>-8.1003365032334e-16</v>
      </c>
      <c r="AF65" s="4">
        <v>6.1751762025257e-16</v>
      </c>
      <c r="AG65" s="4">
        <v>9.1368003178392e-16</v>
      </c>
      <c r="AH65" s="4">
        <v>7.0314071081682e-16</v>
      </c>
      <c r="AI65" s="4">
        <v>-1.4866816735496e-16</v>
      </c>
      <c r="AJ65" s="4">
        <v>2.7904494312646e-16</v>
      </c>
      <c r="AK65" s="4">
        <v>-3.8845521396056e-17</v>
      </c>
      <c r="AL65" s="4">
        <v>5.0104218152071e-16</v>
      </c>
      <c r="AM65" s="4">
        <v>4.1874100148753e-15</v>
      </c>
      <c r="AN65" s="4">
        <v>-1.0654257247947e-16</v>
      </c>
      <c r="AO65" s="4">
        <v>2.7962566947348e-16</v>
      </c>
      <c r="AP65" s="4">
        <v>6.9028516083057e-17</v>
      </c>
      <c r="AQ65" s="4">
        <v>1.8857036677779e-16</v>
      </c>
      <c r="AR65" s="4">
        <v>-1.7718101747571e-15</v>
      </c>
      <c r="AS65" s="4">
        <v>1.3109788338742e-16</v>
      </c>
      <c r="AT65" s="4">
        <v>-7.1215278804313e-17</v>
      </c>
      <c r="AU65" s="4">
        <v>3.2522061814659e-17</v>
      </c>
      <c r="AV65" s="4">
        <v>-5.8570767854936e-16</v>
      </c>
      <c r="AW65" s="4">
        <v>9.5173338494468e-17</v>
      </c>
      <c r="AX65" s="4">
        <v>-7.3346996283366e-16</v>
      </c>
      <c r="AY65" s="4">
        <v>-5.1213349560058e-16</v>
      </c>
      <c r="AZ65" s="4">
        <v>-2.5501245561908e-16</v>
      </c>
      <c r="BA65" s="4">
        <v>1.3963902775427e-15</v>
      </c>
      <c r="BB65" s="4">
        <v>-4.0062327030294e-15</v>
      </c>
      <c r="BC65" s="3">
        <v>15829702.509752</v>
      </c>
      <c r="BD65" s="3">
        <v>3942804.1484321</v>
      </c>
      <c r="BE65" s="3">
        <v>-0.00012723972444044</v>
      </c>
      <c r="BF65" s="3">
        <v>0.00081829618255192</v>
      </c>
      <c r="BG65" s="3">
        <v>0.00034738914798702</v>
      </c>
      <c r="BH65" s="3">
        <v>-0.00027999259106329</v>
      </c>
      <c r="BI65" s="3">
        <v>100.45755897561</v>
      </c>
      <c r="BJ65" s="3">
        <v>50.233387228645</v>
      </c>
      <c r="BK65" s="3">
        <v>89.120849528081</v>
      </c>
    </row>
    <row r="66" spans="1:63">
      <c r="A66" s="3">
        <v>28117066.259519</v>
      </c>
      <c r="B66" s="3">
        <v>0.00041589440496597</v>
      </c>
      <c r="C66" s="4">
        <f t="shared" si="1"/>
        <v>1.51933173709073e-11</v>
      </c>
      <c r="D66" s="4">
        <v>1.0661009162029e-12</v>
      </c>
      <c r="E66" s="4">
        <v>1.2442533569083e-12</v>
      </c>
      <c r="F66" s="4">
        <v>1.244252389335e-12</v>
      </c>
      <c r="G66" s="4">
        <v>1.2442437593071e-12</v>
      </c>
      <c r="H66" s="4">
        <v>1.0659868365633e-12</v>
      </c>
      <c r="I66" s="4">
        <v>1.066011874996e-12</v>
      </c>
      <c r="J66" s="4">
        <v>1.0660053097674e-12</v>
      </c>
      <c r="K66" s="4">
        <v>1.1084467448309e-12</v>
      </c>
      <c r="L66" s="4">
        <v>1.1086225731689e-12</v>
      </c>
      <c r="M66" s="4">
        <v>1.1083877210425e-12</v>
      </c>
      <c r="N66" s="4">
        <v>1.1445659065397e-12</v>
      </c>
      <c r="O66" s="4">
        <v>1.0659878315889e-12</v>
      </c>
      <c r="P66" s="4">
        <v>1.144489530235e-12</v>
      </c>
      <c r="Q66" s="4">
        <v>1.1449411432524e-12</v>
      </c>
      <c r="R66" s="4">
        <v>1.2441973495998e-12</v>
      </c>
      <c r="S66" s="4">
        <v>1.2441789364781e-12</v>
      </c>
      <c r="T66" s="4">
        <v>1.2442112656898e-12</v>
      </c>
      <c r="U66" s="4">
        <v>1.0660088444241e-12</v>
      </c>
      <c r="V66" s="4">
        <v>1.1084217984386e-12</v>
      </c>
      <c r="W66" s="4">
        <v>1.1086253561574e-12</v>
      </c>
      <c r="X66" s="4">
        <v>1.1085161350766e-12</v>
      </c>
      <c r="Y66" s="4">
        <v>1.1444885375576e-12</v>
      </c>
      <c r="Z66" s="4">
        <v>1.1448455704921e-12</v>
      </c>
      <c r="AA66" s="4">
        <v>1.1451577314593e-12</v>
      </c>
      <c r="AB66" s="3">
        <v>0.99999997671073</v>
      </c>
      <c r="AC66" s="3">
        <v>0.99653981594356</v>
      </c>
      <c r="AD66" s="3">
        <v>0.00078745788958907</v>
      </c>
      <c r="AE66" s="4">
        <v>-7.816848208234e-16</v>
      </c>
      <c r="AF66" s="4">
        <v>5.1352675146769e-16</v>
      </c>
      <c r="AG66" s="4">
        <v>8.6079338415114e-16</v>
      </c>
      <c r="AH66" s="4">
        <v>7.8923522571133e-16</v>
      </c>
      <c r="AI66" s="4">
        <v>-1.6715188973016e-16</v>
      </c>
      <c r="AJ66" s="4">
        <v>2.2386367709664e-16</v>
      </c>
      <c r="AK66" s="4">
        <v>-5.3942665362025e-17</v>
      </c>
      <c r="AL66" s="4">
        <v>4.9194981765091e-16</v>
      </c>
      <c r="AM66" s="4">
        <v>4.7370179301553e-15</v>
      </c>
      <c r="AN66" s="4">
        <v>-1.1497332942822e-16</v>
      </c>
      <c r="AO66" s="4">
        <v>1.8495307506978e-16</v>
      </c>
      <c r="AP66" s="4">
        <v>6.9410825699919e-17</v>
      </c>
      <c r="AQ66" s="4">
        <v>1.6022633798934e-16</v>
      </c>
      <c r="AR66" s="4">
        <v>-1.6877019630837e-15</v>
      </c>
      <c r="AS66" s="4">
        <v>1.6168347811153e-16</v>
      </c>
      <c r="AT66" s="4">
        <v>-9.7295138945467e-17</v>
      </c>
      <c r="AU66" s="4">
        <v>9.7685410373248e-17</v>
      </c>
      <c r="AV66" s="4">
        <v>-6.233396400028e-16</v>
      </c>
      <c r="AW66" s="4">
        <v>1.1515306417729e-16</v>
      </c>
      <c r="AX66" s="4">
        <v>-1.1400178221268e-15</v>
      </c>
      <c r="AY66" s="4">
        <v>-6.6714336816667e-16</v>
      </c>
      <c r="AZ66" s="4">
        <v>-1.9835056376593e-16</v>
      </c>
      <c r="BA66" s="4">
        <v>1.220427369186e-15</v>
      </c>
      <c r="BB66" s="4">
        <v>-3.743110390877e-15</v>
      </c>
      <c r="BC66" s="3">
        <v>15809317.203023</v>
      </c>
      <c r="BD66" s="3">
        <v>3936026.4174311</v>
      </c>
      <c r="BE66" s="3">
        <v>-0.0001173137091894</v>
      </c>
      <c r="BF66" s="3">
        <v>0.00086475285863429</v>
      </c>
      <c r="BG66" s="3">
        <v>0.00037482221847264</v>
      </c>
      <c r="BH66" s="3">
        <v>-0.00025828831404133</v>
      </c>
      <c r="BI66" s="3">
        <v>100.45770307019</v>
      </c>
      <c r="BJ66" s="3">
        <v>50.23340361677</v>
      </c>
      <c r="BK66" s="3">
        <v>88.866767187943</v>
      </c>
    </row>
    <row r="67" spans="1:63">
      <c r="A67" s="3">
        <v>31547867.224011</v>
      </c>
      <c r="B67" s="3">
        <v>0.00046528316407438</v>
      </c>
      <c r="C67" s="4">
        <f t="shared" si="1"/>
        <v>1.50673761326298e-11</v>
      </c>
      <c r="D67" s="4">
        <v>1.0642495384489e-12</v>
      </c>
      <c r="E67" s="4">
        <v>1.2374521146938e-12</v>
      </c>
      <c r="F67" s="4">
        <v>1.2374532660862e-12</v>
      </c>
      <c r="G67" s="4">
        <v>1.2374522617436e-12</v>
      </c>
      <c r="H67" s="4">
        <v>1.0641252213493e-12</v>
      </c>
      <c r="I67" s="4">
        <v>1.0641511702188e-12</v>
      </c>
      <c r="J67" s="4">
        <v>1.0641460131704e-12</v>
      </c>
      <c r="K67" s="4">
        <v>1.1047787194201e-12</v>
      </c>
      <c r="L67" s="4">
        <v>1.1049924740153e-12</v>
      </c>
      <c r="M67" s="4">
        <v>1.1047093184251e-12</v>
      </c>
      <c r="N67" s="4">
        <v>1.1397731098768e-12</v>
      </c>
      <c r="O67" s="4">
        <v>1.0641259646362e-12</v>
      </c>
      <c r="P67" s="4">
        <v>1.1396796583879e-12</v>
      </c>
      <c r="Q67" s="4">
        <v>1.1401924000412e-12</v>
      </c>
      <c r="R67" s="4">
        <v>1.2373945257212e-12</v>
      </c>
      <c r="S67" s="4">
        <v>1.2373756276869e-12</v>
      </c>
      <c r="T67" s="4">
        <v>1.2374122024617e-12</v>
      </c>
      <c r="U67" s="4">
        <v>1.0641510127631e-12</v>
      </c>
      <c r="V67" s="4">
        <v>1.1047438899103e-12</v>
      </c>
      <c r="W67" s="4">
        <v>1.1049905065601e-12</v>
      </c>
      <c r="X67" s="4">
        <v>1.1048626472619e-12</v>
      </c>
      <c r="Y67" s="4">
        <v>1.1396753218371e-12</v>
      </c>
      <c r="Z67" s="4">
        <v>1.1400752535982e-12</v>
      </c>
      <c r="AA67" s="4">
        <v>1.1404577675819e-12</v>
      </c>
      <c r="AB67" s="3">
        <v>0.99999997822541</v>
      </c>
      <c r="AC67" s="3">
        <v>0.99635240960121</v>
      </c>
      <c r="AD67" s="3">
        <v>0.00083407507466582</v>
      </c>
      <c r="AE67" s="4">
        <v>-7.3710778274405e-16</v>
      </c>
      <c r="AF67" s="4">
        <v>4.2094449202896e-16</v>
      </c>
      <c r="AG67" s="4">
        <v>8.1565025300857e-16</v>
      </c>
      <c r="AH67" s="4">
        <v>8.90596447945e-16</v>
      </c>
      <c r="AI67" s="4">
        <v>-1.9115328858552e-16</v>
      </c>
      <c r="AJ67" s="4">
        <v>1.5657503723759e-16</v>
      </c>
      <c r="AK67" s="4">
        <v>-7.2776561932592e-17</v>
      </c>
      <c r="AL67" s="4">
        <v>4.7366308393854e-16</v>
      </c>
      <c r="AM67" s="4">
        <v>5.3557330978586e-15</v>
      </c>
      <c r="AN67" s="4">
        <v>-1.268470367685e-16</v>
      </c>
      <c r="AO67" s="4">
        <v>5.4550944015962e-17</v>
      </c>
      <c r="AP67" s="4">
        <v>6.8217585605362e-17</v>
      </c>
      <c r="AQ67" s="4">
        <v>1.2465185240506e-16</v>
      </c>
      <c r="AR67" s="4">
        <v>-1.6473599547542e-15</v>
      </c>
      <c r="AS67" s="4">
        <v>1.9299571995915e-16</v>
      </c>
      <c r="AT67" s="4">
        <v>-1.2688828060058e-16</v>
      </c>
      <c r="AU67" s="4">
        <v>1.6964304166278e-16</v>
      </c>
      <c r="AV67" s="4">
        <v>-6.7002871054498e-16</v>
      </c>
      <c r="AW67" s="4">
        <v>1.3096586864817e-16</v>
      </c>
      <c r="AX67" s="4">
        <v>-1.6012867449309e-15</v>
      </c>
      <c r="AY67" s="4">
        <v>-8.4320946760948e-16</v>
      </c>
      <c r="AZ67" s="4">
        <v>-1.416533210383e-16</v>
      </c>
      <c r="BA67" s="4">
        <v>1.0150483144208e-15</v>
      </c>
      <c r="BB67" s="4">
        <v>-3.5167456166377e-15</v>
      </c>
      <c r="BC67" s="3">
        <v>15786542.034761</v>
      </c>
      <c r="BD67" s="3">
        <v>3928470.8639601</v>
      </c>
      <c r="BE67" s="3">
        <v>-0.0001060050311008</v>
      </c>
      <c r="BF67" s="3">
        <v>0.00091644602720248</v>
      </c>
      <c r="BG67" s="3">
        <v>0.00040552638440513</v>
      </c>
      <c r="BH67" s="3">
        <v>-0.00023634097468664</v>
      </c>
      <c r="BI67" s="3">
        <v>100.45787297308</v>
      </c>
      <c r="BJ67" s="3">
        <v>50.233409864061</v>
      </c>
      <c r="BK67" s="3">
        <v>88.610794844617</v>
      </c>
    </row>
    <row r="68" spans="1:63">
      <c r="A68" s="3">
        <v>35397289.219208</v>
      </c>
      <c r="B68" s="3">
        <v>0.0005203935024391</v>
      </c>
      <c r="C68" s="4">
        <f t="shared" si="1"/>
        <v>1.49328840188378e-11</v>
      </c>
      <c r="D68" s="4">
        <v>1.0620369207299e-12</v>
      </c>
      <c r="E68" s="4">
        <v>1.2300704535088e-12</v>
      </c>
      <c r="F68" s="4">
        <v>1.2300742604652e-12</v>
      </c>
      <c r="G68" s="4">
        <v>1.2300835716291e-12</v>
      </c>
      <c r="H68" s="4">
        <v>1.0619022520126e-12</v>
      </c>
      <c r="I68" s="4">
        <v>1.0619288466512e-12</v>
      </c>
      <c r="J68" s="4">
        <v>1.0619255608418e-12</v>
      </c>
      <c r="K68" s="4">
        <v>1.1006908401943e-12</v>
      </c>
      <c r="L68" s="4">
        <v>1.1009523685263e-12</v>
      </c>
      <c r="M68" s="4">
        <v>1.1006091947727e-12</v>
      </c>
      <c r="N68" s="4">
        <v>1.1344976574535e-12</v>
      </c>
      <c r="O68" s="4">
        <v>1.0619025461128e-12</v>
      </c>
      <c r="P68" s="4">
        <v>1.1343814472509e-12</v>
      </c>
      <c r="Q68" s="4">
        <v>1.1349628813096e-12</v>
      </c>
      <c r="R68" s="4">
        <v>1.2300117867311e-12</v>
      </c>
      <c r="S68" s="4">
        <v>1.2299925511783e-12</v>
      </c>
      <c r="T68" s="4">
        <v>1.2300341767488e-12</v>
      </c>
      <c r="U68" s="4">
        <v>1.0619327180313e-12</v>
      </c>
      <c r="V68" s="4">
        <v>1.1006438507191e-12</v>
      </c>
      <c r="W68" s="4">
        <v>1.1009442606696e-12</v>
      </c>
      <c r="X68" s="4">
        <v>1.1007928131709e-12</v>
      </c>
      <c r="Y68" s="4">
        <v>1.1343728312678e-12</v>
      </c>
      <c r="Z68" s="4">
        <v>1.1348209457735e-12</v>
      </c>
      <c r="AA68" s="4">
        <v>1.1352896371521e-12</v>
      </c>
      <c r="AB68" s="3">
        <v>0.9999999794608</v>
      </c>
      <c r="AC68" s="3">
        <v>0.99612354632247</v>
      </c>
      <c r="AD68" s="3">
        <v>0.00088633628318991</v>
      </c>
      <c r="AE68" s="4">
        <v>-6.7405412234004e-16</v>
      </c>
      <c r="AF68" s="4">
        <v>3.4284355455374e-16</v>
      </c>
      <c r="AG68" s="4">
        <v>7.8120153411939e-16</v>
      </c>
      <c r="AH68" s="4">
        <v>1.0104831902502e-15</v>
      </c>
      <c r="AI68" s="4">
        <v>-2.2277662485777e-16</v>
      </c>
      <c r="AJ68" s="4">
        <v>7.3038008683998e-17</v>
      </c>
      <c r="AK68" s="4">
        <v>-9.7316832597483e-17</v>
      </c>
      <c r="AL68" s="4">
        <v>4.4226556858859e-16</v>
      </c>
      <c r="AM68" s="4">
        <v>6.0582537114872e-15</v>
      </c>
      <c r="AN68" s="4">
        <v>-1.4347350773441e-16</v>
      </c>
      <c r="AO68" s="4">
        <v>-1.2687830960981e-16</v>
      </c>
      <c r="AP68" s="4">
        <v>6.4962583689516e-17</v>
      </c>
      <c r="AQ68" s="4">
        <v>7.9470952964659e-17</v>
      </c>
      <c r="AR68" s="4">
        <v>-1.6643136729332e-15</v>
      </c>
      <c r="AS68" s="4">
        <v>2.2536609466405e-16</v>
      </c>
      <c r="AT68" s="4">
        <v>-1.6112182325505e-16</v>
      </c>
      <c r="AU68" s="4">
        <v>2.4940857145498e-16</v>
      </c>
      <c r="AV68" s="4">
        <v>-7.2798433962707e-16</v>
      </c>
      <c r="AW68" s="4">
        <v>1.4079748977302e-16</v>
      </c>
      <c r="AX68" s="4">
        <v>-2.1206925516166e-15</v>
      </c>
      <c r="AY68" s="4">
        <v>-1.0416048570849e-15</v>
      </c>
      <c r="AZ68" s="4">
        <v>-8.3887013978286e-17</v>
      </c>
      <c r="BA68" s="4">
        <v>7.7231503267324e-16</v>
      </c>
      <c r="BB68" s="4">
        <v>-3.3524244375854e-15</v>
      </c>
      <c r="BC68" s="3">
        <v>15761109.647704</v>
      </c>
      <c r="BD68" s="3">
        <v>3920054.8016472</v>
      </c>
      <c r="BE68" s="4">
        <v>-9.312292602349e-5</v>
      </c>
      <c r="BF68" s="3">
        <v>0.00097392899939632</v>
      </c>
      <c r="BG68" s="3">
        <v>0.00043988269584558</v>
      </c>
      <c r="BH68" s="3">
        <v>-0.00021445690217062</v>
      </c>
      <c r="BI68" s="3">
        <v>100.45807156829</v>
      </c>
      <c r="BJ68" s="3">
        <v>50.233403117526</v>
      </c>
      <c r="BK68" s="3">
        <v>88.356993309062</v>
      </c>
    </row>
    <row r="69" spans="1:63">
      <c r="A69" s="3">
        <v>39716411.736216</v>
      </c>
      <c r="B69" s="3">
        <v>0.00058185880503208</v>
      </c>
      <c r="C69" s="4">
        <f t="shared" si="1"/>
        <v>1.47895492825543e-11</v>
      </c>
      <c r="D69" s="4">
        <v>1.0594795998512e-12</v>
      </c>
      <c r="E69" s="4">
        <v>1.2221289836145e-12</v>
      </c>
      <c r="F69" s="4">
        <v>1.2221360715262e-12</v>
      </c>
      <c r="G69" s="4">
        <v>1.2221590770748e-12</v>
      </c>
      <c r="H69" s="4">
        <v>1.0593348212725e-12</v>
      </c>
      <c r="I69" s="4">
        <v>1.0593617759835e-12</v>
      </c>
      <c r="J69" s="4">
        <v>1.0593608155894e-12</v>
      </c>
      <c r="K69" s="4">
        <v>1.0961688111249e-12</v>
      </c>
      <c r="L69" s="4">
        <v>1.096490783478e-12</v>
      </c>
      <c r="M69" s="4">
        <v>1.0960727804226e-12</v>
      </c>
      <c r="N69" s="4">
        <v>1.1287299358327e-12</v>
      </c>
      <c r="O69" s="4">
        <v>1.059334371937e-12</v>
      </c>
      <c r="P69" s="4">
        <v>1.1285828158737e-12</v>
      </c>
      <c r="Q69" s="4">
        <v>1.1292408553817e-12</v>
      </c>
      <c r="R69" s="4">
        <v>1.2220698250386e-12</v>
      </c>
      <c r="S69" s="4">
        <v>1.2220504379036e-12</v>
      </c>
      <c r="T69" s="4">
        <v>1.2220981360084e-12</v>
      </c>
      <c r="U69" s="4">
        <v>1.0593711744899e-12</v>
      </c>
      <c r="V69" s="4">
        <v>1.0961070647017e-12</v>
      </c>
      <c r="W69" s="4">
        <v>1.0964748301027e-12</v>
      </c>
      <c r="X69" s="4">
        <v>1.0962933184708e-12</v>
      </c>
      <c r="Y69" s="4">
        <v>1.12856878172e-12</v>
      </c>
      <c r="Z69" s="4">
        <v>1.1290713962415e-12</v>
      </c>
      <c r="AA69" s="4">
        <v>1.1296448203745e-12</v>
      </c>
      <c r="AB69" s="3">
        <v>0.99999998041754</v>
      </c>
      <c r="AC69" s="3">
        <v>0.99583910002121</v>
      </c>
      <c r="AD69" s="3">
        <v>0.00094488437886644</v>
      </c>
      <c r="AE69" s="4">
        <v>-5.9042332065559e-16</v>
      </c>
      <c r="AF69" s="4">
        <v>2.8258279040503e-16</v>
      </c>
      <c r="AG69" s="4">
        <v>7.6074223757115e-16</v>
      </c>
      <c r="AH69" s="4">
        <v>1.1527728090408e-15</v>
      </c>
      <c r="AI69" s="4">
        <v>-2.6509185929695e-16</v>
      </c>
      <c r="AJ69" s="4">
        <v>-3.3649112309902e-17</v>
      </c>
      <c r="AK69" s="4">
        <v>-1.3102404865273e-16</v>
      </c>
      <c r="AL69" s="4">
        <v>3.9251393244877e-16</v>
      </c>
      <c r="AM69" s="4">
        <v>6.870345528377e-15</v>
      </c>
      <c r="AN69" s="4">
        <v>-1.6659630764617e-16</v>
      </c>
      <c r="AO69" s="4">
        <v>-3.8144162356084e-16</v>
      </c>
      <c r="AP69" s="4">
        <v>5.9046109509247e-17</v>
      </c>
      <c r="AQ69" s="4">
        <v>2.1018191581584e-17</v>
      </c>
      <c r="AR69" s="4">
        <v>-1.7517509727434e-15</v>
      </c>
      <c r="AS69" s="4">
        <v>2.5928495122105e-16</v>
      </c>
      <c r="AT69" s="4">
        <v>-2.0170176484715e-16</v>
      </c>
      <c r="AU69" s="4">
        <v>3.3816353122066e-16</v>
      </c>
      <c r="AV69" s="4">
        <v>-7.9982684209815e-16</v>
      </c>
      <c r="AW69" s="4">
        <v>1.4227459102717e-16</v>
      </c>
      <c r="AX69" s="4">
        <v>-2.7021052695846e-15</v>
      </c>
      <c r="AY69" s="4">
        <v>-1.2622662738178e-15</v>
      </c>
      <c r="AZ69" s="4">
        <v>-2.2988116895892e-17</v>
      </c>
      <c r="BA69" s="4">
        <v>4.8045019130444e-16</v>
      </c>
      <c r="BB69" s="4">
        <v>-3.2800804933993e-15</v>
      </c>
      <c r="BC69" s="3">
        <v>15732725.162712</v>
      </c>
      <c r="BD69" s="3">
        <v>3910688.3279522</v>
      </c>
      <c r="BE69" s="4">
        <v>-7.8450339385533e-5</v>
      </c>
      <c r="BF69" s="3">
        <v>0.001037806874719</v>
      </c>
      <c r="BG69" s="3">
        <v>0.0004783147095984</v>
      </c>
      <c r="BH69" s="3">
        <v>-0.00019317700575482</v>
      </c>
      <c r="BI69" s="3">
        <v>100.45830135199</v>
      </c>
      <c r="BJ69" s="3">
        <v>50.233379928028</v>
      </c>
      <c r="BK69" s="3">
        <v>88.11014822682</v>
      </c>
    </row>
    <row r="70" spans="1:63">
      <c r="A70" s="3">
        <v>44562546.906689</v>
      </c>
      <c r="B70" s="3">
        <v>0.0006503774396119</v>
      </c>
      <c r="C70" s="4">
        <f t="shared" si="1"/>
        <v>1.46371059575246e-11</v>
      </c>
      <c r="D70" s="4">
        <v>1.0565367708632e-12</v>
      </c>
      <c r="E70" s="4">
        <v>1.2135715801462e-12</v>
      </c>
      <c r="F70" s="4">
        <v>1.213582676348e-12</v>
      </c>
      <c r="G70" s="4">
        <v>1.2136236194532e-12</v>
      </c>
      <c r="H70" s="4">
        <v>1.0563826162622e-12</v>
      </c>
      <c r="I70" s="4">
        <v>1.0564097033307e-12</v>
      </c>
      <c r="J70" s="4">
        <v>1.0564114306024e-12</v>
      </c>
      <c r="K70" s="4">
        <v>1.0911299697817e-12</v>
      </c>
      <c r="L70" s="4">
        <v>1.0915288567193e-12</v>
      </c>
      <c r="M70" s="4">
        <v>1.0910171290043e-12</v>
      </c>
      <c r="N70" s="4">
        <v>1.1225183380564e-12</v>
      </c>
      <c r="O70" s="4">
        <v>1.0563809907629e-12</v>
      </c>
      <c r="P70" s="4">
        <v>1.1223284560058e-12</v>
      </c>
      <c r="Q70" s="4">
        <v>1.1230711673441e-12</v>
      </c>
      <c r="R70" s="4">
        <v>1.2135125852211e-12</v>
      </c>
      <c r="S70" s="4">
        <v>1.2134932941605e-12</v>
      </c>
      <c r="T70" s="4">
        <v>1.21354834961e-12</v>
      </c>
      <c r="U70" s="4">
        <v>1.0564265558811e-12</v>
      </c>
      <c r="V70" s="4">
        <v>1.0910505876809e-12</v>
      </c>
      <c r="W70" s="4">
        <v>1.09150279924e-12</v>
      </c>
      <c r="X70" s="4">
        <v>1.0912828235806e-12</v>
      </c>
      <c r="Y70" s="4">
        <v>1.1223076025556e-12</v>
      </c>
      <c r="Z70" s="4">
        <v>1.1228725680027e-12</v>
      </c>
      <c r="AA70" s="4">
        <v>1.1235720735099e-12</v>
      </c>
      <c r="AB70" s="3">
        <v>0.99999998108359</v>
      </c>
      <c r="AC70" s="3">
        <v>0.99547813549499</v>
      </c>
      <c r="AD70" s="3">
        <v>0.0010104270652533</v>
      </c>
      <c r="AE70" s="4">
        <v>-4.8499181114947e-16</v>
      </c>
      <c r="AF70" s="4">
        <v>2.4414568551146e-16</v>
      </c>
      <c r="AG70" s="4">
        <v>7.5782741117779e-16</v>
      </c>
      <c r="AH70" s="4">
        <v>1.3225694514652e-15</v>
      </c>
      <c r="AI70" s="4">
        <v>-3.226855943152e-16</v>
      </c>
      <c r="AJ70" s="4">
        <v>-1.7526623269679e-16</v>
      </c>
      <c r="AK70" s="4">
        <v>-1.8026155568022e-16</v>
      </c>
      <c r="AL70" s="4">
        <v>3.167277099521e-16</v>
      </c>
      <c r="AM70" s="4">
        <v>7.8364276533152e-15</v>
      </c>
      <c r="AN70" s="4">
        <v>-1.9880622278259e-16</v>
      </c>
      <c r="AO70" s="4">
        <v>-7.4156743425279e-16</v>
      </c>
      <c r="AP70" s="4">
        <v>4.9670569214295e-17</v>
      </c>
      <c r="AQ70" s="4">
        <v>-5.6439110825778e-17</v>
      </c>
      <c r="AR70" s="4">
        <v>-1.9217179847794e-15</v>
      </c>
      <c r="AS70" s="4">
        <v>2.9527974655007e-16</v>
      </c>
      <c r="AT70" s="4">
        <v>-2.5124847504801e-16</v>
      </c>
      <c r="AU70" s="4">
        <v>4.3755879633808e-16</v>
      </c>
      <c r="AV70" s="4">
        <v>-8.8857243736104e-16</v>
      </c>
      <c r="AW70" s="4">
        <v>1.3176722665679e-16</v>
      </c>
      <c r="AX70" s="4">
        <v>-3.3529874295324e-15</v>
      </c>
      <c r="AY70" s="4">
        <v>-1.5041554559147e-15</v>
      </c>
      <c r="AZ70" s="4">
        <v>4.4643058579968e-17</v>
      </c>
      <c r="BA70" s="4">
        <v>1.2234333194936e-16</v>
      </c>
      <c r="BB70" s="4">
        <v>-3.3349680282543e-15</v>
      </c>
      <c r="BC70" s="3">
        <v>15701063.614356</v>
      </c>
      <c r="BD70" s="3">
        <v>3900274.1686756</v>
      </c>
      <c r="BE70" s="4">
        <v>-6.1739480129915e-5</v>
      </c>
      <c r="BF70" s="3">
        <v>0.0011087402686937</v>
      </c>
      <c r="BG70" s="3">
        <v>0.00052129237833704</v>
      </c>
      <c r="BH70" s="3">
        <v>-0.00017369867131025</v>
      </c>
      <c r="BI70" s="3">
        <v>100.45856479187</v>
      </c>
      <c r="BJ70" s="3">
        <v>50.233335785076</v>
      </c>
      <c r="BK70" s="3">
        <v>87.875764388463</v>
      </c>
    </row>
    <row r="71" spans="1:63">
      <c r="A71" s="3">
        <v>50000000</v>
      </c>
      <c r="B71" s="3">
        <v>0.00072671777364721</v>
      </c>
      <c r="C71" s="4">
        <f t="shared" si="1"/>
        <v>1.44755575177884e-11</v>
      </c>
      <c r="D71" s="4">
        <v>1.0530595673208e-12</v>
      </c>
      <c r="E71" s="4">
        <v>1.2043698946728e-12</v>
      </c>
      <c r="F71" s="4">
        <v>1.2043858322415e-12</v>
      </c>
      <c r="G71" s="4">
        <v>1.204450063676e-12</v>
      </c>
      <c r="H71" s="4">
        <v>1.0528974279766e-12</v>
      </c>
      <c r="I71" s="4">
        <v>1.052924644835e-12</v>
      </c>
      <c r="J71" s="4">
        <v>1.052929191299e-12</v>
      </c>
      <c r="K71" s="4">
        <v>1.0855365852197e-12</v>
      </c>
      <c r="L71" s="4">
        <v>1.0860341568179e-12</v>
      </c>
      <c r="M71" s="4">
        <v>1.0854042446544e-12</v>
      </c>
      <c r="N71" s="4">
        <v>1.1157315012662e-12</v>
      </c>
      <c r="O71" s="4">
        <v>1.0528939926498e-12</v>
      </c>
      <c r="P71" s="4">
        <v>1.1154814234511e-12</v>
      </c>
      <c r="Q71" s="4">
        <v>1.1163168013316e-12</v>
      </c>
      <c r="R71" s="4">
        <v>1.2043117591874e-12</v>
      </c>
      <c r="S71" s="4">
        <v>1.2042929219071e-12</v>
      </c>
      <c r="T71" s="4">
        <v>1.2043569243487e-12</v>
      </c>
      <c r="U71" s="4">
        <v>1.0529514084803e-12</v>
      </c>
      <c r="V71" s="4">
        <v>1.0854365252499e-12</v>
      </c>
      <c r="W71" s="4">
        <v>1.0859946534522e-12</v>
      </c>
      <c r="X71" s="4">
        <v>1.0857254013864e-12</v>
      </c>
      <c r="Y71" s="4">
        <v>1.1154519780188e-12</v>
      </c>
      <c r="Z71" s="4">
        <v>1.1160894583433e-12</v>
      </c>
      <c r="AA71" s="4">
        <v>1.1169392420417e-12</v>
      </c>
      <c r="AB71" s="3">
        <v>0.99999998142748</v>
      </c>
      <c r="AC71" s="3">
        <v>0.99500955321217</v>
      </c>
      <c r="AD71" s="3">
        <v>0.0010837439049437</v>
      </c>
      <c r="AE71" s="4">
        <v>-3.5672797132709e-16</v>
      </c>
      <c r="AF71" s="4">
        <v>2.328915459133e-16</v>
      </c>
      <c r="AG71" s="4">
        <v>7.7637411993167e-16</v>
      </c>
      <c r="AH71" s="4">
        <v>1.5269603451404e-15</v>
      </c>
      <c r="AI71" s="4">
        <v>-4.0259102922789e-16</v>
      </c>
      <c r="AJ71" s="4">
        <v>-3.7200005091079e-16</v>
      </c>
      <c r="AK71" s="4">
        <v>-2.5659325838721e-16</v>
      </c>
      <c r="AL71" s="4">
        <v>2.0613225361929e-16</v>
      </c>
      <c r="AM71" s="4">
        <v>9.0282969729638e-15</v>
      </c>
      <c r="AN71" s="4">
        <v>-2.4411547569792e-16</v>
      </c>
      <c r="AO71" s="4">
        <v>-1.2543260921385e-15</v>
      </c>
      <c r="AP71" s="4">
        <v>3.61353650701e-17</v>
      </c>
      <c r="AQ71" s="4">
        <v>-1.6372420685494e-16</v>
      </c>
      <c r="AR71" s="4">
        <v>-2.1853463369056e-15</v>
      </c>
      <c r="AS71" s="4">
        <v>3.3371253581534e-16</v>
      </c>
      <c r="AT71" s="4">
        <v>-3.1391188685593e-16</v>
      </c>
      <c r="AU71" s="4">
        <v>5.4998419540611e-16</v>
      </c>
      <c r="AV71" s="4">
        <v>-9.9733642831373e-16</v>
      </c>
      <c r="AW71" s="4">
        <v>1.0323533509053e-16</v>
      </c>
      <c r="AX71" s="4">
        <v>-4.0870547270111e-15</v>
      </c>
      <c r="AY71" s="4">
        <v>-1.7689020779932e-15</v>
      </c>
      <c r="AZ71" s="4">
        <v>1.248185967728e-16</v>
      </c>
      <c r="BA71" s="4">
        <v>-3.2577865665317e-16</v>
      </c>
      <c r="BB71" s="4">
        <v>-3.5505835947903e-15</v>
      </c>
      <c r="BC71" s="3">
        <v>15665768.859298</v>
      </c>
      <c r="BD71" s="3">
        <v>3888708.3807005</v>
      </c>
      <c r="BE71" s="4">
        <v>-4.2715342873014e-5</v>
      </c>
      <c r="BF71" s="3">
        <v>0.0011874504336962</v>
      </c>
      <c r="BG71" s="3">
        <v>0.00056933628334608</v>
      </c>
      <c r="BH71" s="3">
        <v>-0.0001578489999561</v>
      </c>
      <c r="BI71" s="3">
        <v>100.45886475141</v>
      </c>
      <c r="BJ71" s="3">
        <v>50.233265068674</v>
      </c>
      <c r="BK71" s="3">
        <v>87.659919498449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71"/>
  <sheetViews>
    <sheetView topLeftCell="A48" workbookViewId="0">
      <selection activeCell="C3" sqref="C3:C71"/>
    </sheetView>
  </sheetViews>
  <sheetFormatPr defaultColWidth="8.81481481481481" defaultRowHeight="15"/>
  <cols>
    <col min="1" max="3" width="12.4518518518519"/>
  </cols>
  <sheetData>
    <row r="1" spans="1:64">
      <c r="A1" s="3" t="s">
        <v>4</v>
      </c>
      <c r="B1" s="3" t="s">
        <v>5</v>
      </c>
      <c r="C1" s="3" t="s">
        <v>66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47</v>
      </c>
      <c r="AT1" s="3" t="s">
        <v>48</v>
      </c>
      <c r="AU1" s="3" t="s">
        <v>49</v>
      </c>
      <c r="AV1" s="3" t="s">
        <v>50</v>
      </c>
      <c r="AW1" s="3" t="s">
        <v>51</v>
      </c>
      <c r="AX1" s="3" t="s">
        <v>52</v>
      </c>
      <c r="AY1" s="3" t="s">
        <v>53</v>
      </c>
      <c r="AZ1" s="3" t="s">
        <v>54</v>
      </c>
      <c r="BA1" s="3" t="s">
        <v>55</v>
      </c>
      <c r="BB1" s="3" t="s">
        <v>56</v>
      </c>
      <c r="BC1" s="3" t="s">
        <v>57</v>
      </c>
      <c r="BD1" s="3" t="s">
        <v>58</v>
      </c>
      <c r="BE1" s="3" t="s">
        <v>59</v>
      </c>
      <c r="BF1" s="3" t="s">
        <v>60</v>
      </c>
      <c r="BG1" s="3" t="s">
        <v>61</v>
      </c>
      <c r="BH1" s="3" t="s">
        <v>62</v>
      </c>
      <c r="BI1" s="3" t="s">
        <v>63</v>
      </c>
      <c r="BJ1" s="3" t="s">
        <v>64</v>
      </c>
      <c r="BK1" s="3" t="s">
        <v>65</v>
      </c>
      <c r="BL1" s="5"/>
    </row>
    <row r="2" spans="1:64">
      <c r="A2" s="3">
        <v>0</v>
      </c>
      <c r="B2" s="3">
        <v>0</v>
      </c>
      <c r="C2" s="3"/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5"/>
    </row>
    <row r="3" spans="1:64">
      <c r="A3" s="3">
        <v>0.39716411736214</v>
      </c>
      <c r="B3" s="4">
        <v>9.0532381450157e-15</v>
      </c>
      <c r="C3" s="4">
        <f>(BF3-BF2)/(A3-A2)</f>
        <v>3.91652964071945e-6</v>
      </c>
      <c r="D3" s="4">
        <v>2.9907101417528e-15</v>
      </c>
      <c r="E3" s="4">
        <v>3.6169584574199e-15</v>
      </c>
      <c r="F3" s="4">
        <v>3.6169584574199e-15</v>
      </c>
      <c r="G3" s="4">
        <v>3.6169584574199e-15</v>
      </c>
      <c r="H3" s="4">
        <v>2.9907101417528e-15</v>
      </c>
      <c r="I3" s="4">
        <v>2.9907101417528e-15</v>
      </c>
      <c r="J3" s="4">
        <v>2.9907101417528e-15</v>
      </c>
      <c r="K3" s="4">
        <v>3.1705683297039e-15</v>
      </c>
      <c r="L3" s="4">
        <v>3.1705683297039e-15</v>
      </c>
      <c r="M3" s="4">
        <v>3.1705683297039e-15</v>
      </c>
      <c r="N3" s="4">
        <v>3.3039162296889e-15</v>
      </c>
      <c r="O3" s="4">
        <v>2.9907101417528e-15</v>
      </c>
      <c r="P3" s="4">
        <v>3.3039162296889e-15</v>
      </c>
      <c r="Q3" s="4">
        <v>3.3039162296889e-15</v>
      </c>
      <c r="R3" s="4">
        <v>3.6169584574199e-15</v>
      </c>
      <c r="S3" s="4">
        <v>3.6169584574199e-15</v>
      </c>
      <c r="T3" s="4">
        <v>3.6169584574199e-15</v>
      </c>
      <c r="U3" s="4">
        <v>2.9907101417528e-15</v>
      </c>
      <c r="V3" s="4">
        <v>3.1705683297039e-15</v>
      </c>
      <c r="W3" s="4">
        <v>3.1705683297039e-15</v>
      </c>
      <c r="X3" s="4">
        <v>3.1705683297039e-15</v>
      </c>
      <c r="Y3" s="4">
        <v>3.3039162296889e-15</v>
      </c>
      <c r="Z3" s="4">
        <v>3.3039162296889e-15</v>
      </c>
      <c r="AA3" s="4">
        <v>3.3039162296889e-15</v>
      </c>
      <c r="AB3" s="3">
        <v>1</v>
      </c>
      <c r="AC3" s="3">
        <v>0.99999999999963</v>
      </c>
      <c r="AD3" s="4">
        <v>1.519147461013e-6</v>
      </c>
      <c r="AE3" s="4">
        <v>2.8539486830054e-28</v>
      </c>
      <c r="AF3" s="4">
        <v>-2.9840517835336e-28</v>
      </c>
      <c r="AG3" s="4">
        <v>3.0170621749962e-28</v>
      </c>
      <c r="AH3" s="4">
        <v>-3.749955090625e-28</v>
      </c>
      <c r="AI3" s="4">
        <v>-7.1323901274795e-29</v>
      </c>
      <c r="AJ3" s="4">
        <v>-2.5858331543663e-28</v>
      </c>
      <c r="AK3" s="4">
        <v>1.536747128955e-28</v>
      </c>
      <c r="AL3" s="4">
        <v>2.0485987171442e-28</v>
      </c>
      <c r="AM3" s="4">
        <v>1.5708675456598e-28</v>
      </c>
      <c r="AN3" s="4">
        <v>-3.2517880757928e-28</v>
      </c>
      <c r="AO3" s="4">
        <v>1.3876507389493e-28</v>
      </c>
      <c r="AP3" s="4">
        <v>-1.7448293766833e-28</v>
      </c>
      <c r="AQ3" s="4">
        <v>5.2208145855019e-28</v>
      </c>
      <c r="AR3" s="4">
        <v>-6.1192935450955e-28</v>
      </c>
      <c r="AS3" s="4">
        <v>3.2357097405423e-28</v>
      </c>
      <c r="AT3" s="4">
        <v>3.6067023340467e-29</v>
      </c>
      <c r="AU3" s="4">
        <v>-3.4479541730569e-28</v>
      </c>
      <c r="AV3" s="4">
        <v>-1.6099660505553e-28</v>
      </c>
      <c r="AW3" s="4">
        <v>1.9455655556271e-28</v>
      </c>
      <c r="AX3" s="4">
        <v>3.0665399686111e-29</v>
      </c>
      <c r="AY3" s="4">
        <v>-2.0299625293828e-28</v>
      </c>
      <c r="AZ3" s="4">
        <v>2.6437345238767e-28</v>
      </c>
      <c r="BA3" s="4">
        <v>4.5194222814571e-28</v>
      </c>
      <c r="BB3" s="4">
        <v>-6.4154253325281e-28</v>
      </c>
      <c r="BC3" s="3">
        <v>15999999.999985</v>
      </c>
      <c r="BD3" s="3">
        <v>3999999.9999986</v>
      </c>
      <c r="BE3" s="4">
        <v>-7.4107022875466e-7</v>
      </c>
      <c r="BF3" s="4">
        <v>1.555505037879e-6</v>
      </c>
      <c r="BG3" s="4">
        <v>4.4124622319751e-7</v>
      </c>
      <c r="BH3" s="4">
        <v>-6.9413069817658e-9</v>
      </c>
      <c r="BI3" s="3">
        <v>0.36995265227646</v>
      </c>
      <c r="BJ3" s="3">
        <v>0.18497638468533</v>
      </c>
      <c r="BK3" s="3">
        <v>0.34051031554592</v>
      </c>
      <c r="BL3" s="5"/>
    </row>
    <row r="4" spans="1:64">
      <c r="A4" s="3">
        <v>3.9716411736214</v>
      </c>
      <c r="B4" s="4">
        <v>9.2713750592455e-13</v>
      </c>
      <c r="C4" s="4">
        <f>(BF4-BF3)/(A4-A3)</f>
        <v>3.91614606660178e-6</v>
      </c>
      <c r="D4" s="4">
        <v>2.9948473124403e-14</v>
      </c>
      <c r="E4" s="4">
        <v>3.6225165574113e-14</v>
      </c>
      <c r="F4" s="4">
        <v>3.6225165574113e-14</v>
      </c>
      <c r="G4" s="4">
        <v>3.6225165574113e-14</v>
      </c>
      <c r="H4" s="4">
        <v>2.9948473124403e-14</v>
      </c>
      <c r="I4" s="4">
        <v>2.9948473124403e-14</v>
      </c>
      <c r="J4" s="4">
        <v>2.9948473124403e-14</v>
      </c>
      <c r="K4" s="4">
        <v>3.1746645455353e-14</v>
      </c>
      <c r="L4" s="4">
        <v>3.1746645455353e-14</v>
      </c>
      <c r="M4" s="4">
        <v>3.1746645455353e-14</v>
      </c>
      <c r="N4" s="4">
        <v>3.3086862634247e-14</v>
      </c>
      <c r="O4" s="4">
        <v>2.9948473124403e-14</v>
      </c>
      <c r="P4" s="4">
        <v>3.3086862634247e-14</v>
      </c>
      <c r="Q4" s="4">
        <v>3.3086862634247e-14</v>
      </c>
      <c r="R4" s="4">
        <v>3.6225165574113e-14</v>
      </c>
      <c r="S4" s="4">
        <v>3.6225165574113e-14</v>
      </c>
      <c r="T4" s="4">
        <v>3.6225165574113e-14</v>
      </c>
      <c r="U4" s="4">
        <v>2.9948473124403e-14</v>
      </c>
      <c r="V4" s="4">
        <v>3.1746645455353e-14</v>
      </c>
      <c r="W4" s="4">
        <v>3.1746645455353e-14</v>
      </c>
      <c r="X4" s="4">
        <v>3.1746645455353e-14</v>
      </c>
      <c r="Y4" s="4">
        <v>3.3086862634247e-14</v>
      </c>
      <c r="Z4" s="4">
        <v>3.3086862634247e-14</v>
      </c>
      <c r="AA4" s="4">
        <v>3.3086862634247e-14</v>
      </c>
      <c r="AB4" s="3">
        <v>1</v>
      </c>
      <c r="AC4" s="3">
        <v>0.99999999999894</v>
      </c>
      <c r="AD4" s="4">
        <v>1.5190522637611e-5</v>
      </c>
      <c r="AE4" s="4">
        <v>3.614923540886e-27</v>
      </c>
      <c r="AF4" s="4">
        <v>8.7372271392994e-27</v>
      </c>
      <c r="AG4" s="4">
        <v>1.753737484335e-26</v>
      </c>
      <c r="AH4" s="4">
        <v>-7.7460710396109e-28</v>
      </c>
      <c r="AI4" s="4">
        <v>1.1077495401723e-27</v>
      </c>
      <c r="AJ4" s="4">
        <v>-5.105329820664e-28</v>
      </c>
      <c r="AK4" s="4">
        <v>6.9370376579013e-27</v>
      </c>
      <c r="AL4" s="4">
        <v>6.1717522730776e-27</v>
      </c>
      <c r="AM4" s="4">
        <v>-2.150206118688e-27</v>
      </c>
      <c r="AN4" s="4">
        <v>-3.2832987010795e-27</v>
      </c>
      <c r="AO4" s="4">
        <v>8.2206588748558e-27</v>
      </c>
      <c r="AP4" s="4">
        <v>-1.6916757532248e-27</v>
      </c>
      <c r="AQ4" s="4">
        <v>1.0491365557873e-26</v>
      </c>
      <c r="AR4" s="4">
        <v>-2.1705485329055e-26</v>
      </c>
      <c r="AS4" s="4">
        <v>3.8954059830801e-27</v>
      </c>
      <c r="AT4" s="4">
        <v>4.1904076924244e-27</v>
      </c>
      <c r="AU4" s="4">
        <v>-1.1630160450665e-26</v>
      </c>
      <c r="AV4" s="4">
        <v>-4.1481662960402e-27</v>
      </c>
      <c r="AW4" s="4">
        <v>2.8242757843172e-27</v>
      </c>
      <c r="AX4" s="4">
        <v>7.3983400196173e-27</v>
      </c>
      <c r="AY4" s="4">
        <v>-3.0142160613166e-27</v>
      </c>
      <c r="AZ4" s="4">
        <v>-4.9054796388255e-27</v>
      </c>
      <c r="BA4" s="4">
        <v>1.116115336125e-26</v>
      </c>
      <c r="BB4" s="4">
        <v>-2.5069505232005e-26</v>
      </c>
      <c r="BC4" s="3">
        <v>15999999.999055</v>
      </c>
      <c r="BD4" s="3">
        <v>3999999.9998551</v>
      </c>
      <c r="BE4" s="4">
        <v>-7.4105879151069e-6</v>
      </c>
      <c r="BF4" s="4">
        <v>1.5553679301907e-5</v>
      </c>
      <c r="BG4" s="4">
        <v>4.4125565234489e-6</v>
      </c>
      <c r="BH4" s="4">
        <v>-6.9425035635772e-7</v>
      </c>
      <c r="BI4" s="3">
        <v>3.6995205152444</v>
      </c>
      <c r="BJ4" s="3">
        <v>1.8497661115461</v>
      </c>
      <c r="BK4" s="3">
        <v>3.4050780463608</v>
      </c>
      <c r="BL4" s="5"/>
    </row>
    <row r="5" spans="1:64">
      <c r="A5" s="3">
        <v>39.716411736214</v>
      </c>
      <c r="B5" s="4">
        <v>9.3827133243859e-11</v>
      </c>
      <c r="C5" s="4">
        <f t="shared" ref="C5:C36" si="0">(BF5-BF4)/(A5-A4)</f>
        <v>3.91235395349254e-6</v>
      </c>
      <c r="D5" s="4">
        <v>3.0376647303547e-13</v>
      </c>
      <c r="E5" s="4">
        <v>3.6797743102295e-13</v>
      </c>
      <c r="F5" s="4">
        <v>3.6797743102295e-13</v>
      </c>
      <c r="G5" s="4">
        <v>3.6797743102295e-13</v>
      </c>
      <c r="H5" s="4">
        <v>3.0376647303547e-13</v>
      </c>
      <c r="I5" s="4">
        <v>3.0376647303547e-13</v>
      </c>
      <c r="J5" s="4">
        <v>3.0376647303547e-13</v>
      </c>
      <c r="K5" s="4">
        <v>3.2168508237534e-13</v>
      </c>
      <c r="L5" s="4">
        <v>3.2168508237534e-13</v>
      </c>
      <c r="M5" s="4">
        <v>3.2168508237534e-13</v>
      </c>
      <c r="N5" s="4">
        <v>3.3579056379847e-13</v>
      </c>
      <c r="O5" s="4">
        <v>3.0376647303547e-13</v>
      </c>
      <c r="P5" s="4">
        <v>3.3579056379847e-13</v>
      </c>
      <c r="Q5" s="4">
        <v>3.3579056379847e-13</v>
      </c>
      <c r="R5" s="4">
        <v>3.6797743102295e-13</v>
      </c>
      <c r="S5" s="4">
        <v>3.6797743102295e-13</v>
      </c>
      <c r="T5" s="4">
        <v>3.6797743102295e-13</v>
      </c>
      <c r="U5" s="4">
        <v>3.0376647303547e-13</v>
      </c>
      <c r="V5" s="4">
        <v>3.2168508237534e-13</v>
      </c>
      <c r="W5" s="4">
        <v>3.2168508237534e-13</v>
      </c>
      <c r="X5" s="4">
        <v>3.2168508237534e-13</v>
      </c>
      <c r="Y5" s="4">
        <v>3.3579056379847e-13</v>
      </c>
      <c r="Z5" s="4">
        <v>3.3579056379847e-13</v>
      </c>
      <c r="AA5" s="4">
        <v>3.3579056379847e-13</v>
      </c>
      <c r="AB5" s="3">
        <v>0.99999999999999</v>
      </c>
      <c r="AC5" s="3">
        <v>0.99999998999113</v>
      </c>
      <c r="AD5" s="3">
        <v>0.00015181015609726</v>
      </c>
      <c r="AE5" s="4">
        <v>-3.6247295839614e-22</v>
      </c>
      <c r="AF5" s="4">
        <v>2.4632263831582e-21</v>
      </c>
      <c r="AG5" s="4">
        <v>2.2333083537964e-21</v>
      </c>
      <c r="AH5" s="4">
        <v>3.890118666984e-22</v>
      </c>
      <c r="AI5" s="4">
        <v>-4.9356131000984e-23</v>
      </c>
      <c r="AJ5" s="4">
        <v>6.0432161764584e-22</v>
      </c>
      <c r="AK5" s="4">
        <v>2.6840146926456e-22</v>
      </c>
      <c r="AL5" s="4">
        <v>7.8151695886769e-22</v>
      </c>
      <c r="AM5" s="4">
        <v>-2.0579018268842e-22</v>
      </c>
      <c r="AN5" s="4">
        <v>5.0301977071415e-24</v>
      </c>
      <c r="AO5" s="4">
        <v>9.0977497070757e-22</v>
      </c>
      <c r="AP5" s="4">
        <v>-4.0416649173862e-23</v>
      </c>
      <c r="AQ5" s="4">
        <v>5.5055087760986e-22</v>
      </c>
      <c r="AR5" s="4">
        <v>-2.9226263085533e-21</v>
      </c>
      <c r="AS5" s="4">
        <v>-2.7926330696098e-22</v>
      </c>
      <c r="AT5" s="4">
        <v>3.8359561135191e-22</v>
      </c>
      <c r="AU5" s="4">
        <v>-9.0431406057583e-22</v>
      </c>
      <c r="AV5" s="4">
        <v>-5.9544969417033e-22</v>
      </c>
      <c r="AW5" s="4">
        <v>-1.6833638690602e-22</v>
      </c>
      <c r="AX5" s="4">
        <v>1.9790413744261e-21</v>
      </c>
      <c r="AY5" s="4">
        <v>3.4783004728817e-22</v>
      </c>
      <c r="AZ5" s="4">
        <v>-1.5065133447906e-21</v>
      </c>
      <c r="BA5" s="4">
        <v>1.2952064003449e-21</v>
      </c>
      <c r="BB5" s="4">
        <v>-4.6306520106168e-21</v>
      </c>
      <c r="BC5" s="3">
        <v>15999999.939889</v>
      </c>
      <c r="BD5" s="3">
        <v>3999999.9853508</v>
      </c>
      <c r="BE5" s="4">
        <v>-7.40944565324e-5</v>
      </c>
      <c r="BF5" s="3">
        <v>0.00015539987372915</v>
      </c>
      <c r="BG5" s="4">
        <v>4.4134960800483e-5</v>
      </c>
      <c r="BH5" s="4">
        <v>-6.9485680980787e-5</v>
      </c>
      <c r="BI5" s="3">
        <v>36.994604078527</v>
      </c>
      <c r="BJ5" s="3">
        <v>18.497886767539</v>
      </c>
      <c r="BK5" s="3">
        <v>34.048272838115</v>
      </c>
      <c r="BL5" s="5"/>
    </row>
    <row r="6" spans="1:64">
      <c r="A6" s="3">
        <v>397.16411736214</v>
      </c>
      <c r="B6" s="4">
        <v>7.2855628549602e-9</v>
      </c>
      <c r="C6" s="4">
        <f t="shared" si="0"/>
        <v>1.20190627024962e-6</v>
      </c>
      <c r="D6" s="4">
        <v>1.5334626122135e-12</v>
      </c>
      <c r="E6" s="4">
        <v>1.869326294881e-12</v>
      </c>
      <c r="F6" s="4">
        <v>1.869326245809e-12</v>
      </c>
      <c r="G6" s="4">
        <v>1.8693261259167e-12</v>
      </c>
      <c r="H6" s="4">
        <v>1.5334624427698e-12</v>
      </c>
      <c r="I6" s="4">
        <v>1.5334624909401e-12</v>
      </c>
      <c r="J6" s="4">
        <v>1.5334624593229e-12</v>
      </c>
      <c r="K6" s="4">
        <v>1.6167069798805e-12</v>
      </c>
      <c r="L6" s="4">
        <v>1.6167071012868e-12</v>
      </c>
      <c r="M6" s="4">
        <v>1.6167069474594e-12</v>
      </c>
      <c r="N6" s="4">
        <v>1.6991276530146e-12</v>
      </c>
      <c r="O6" s="4">
        <v>1.5334624451385e-12</v>
      </c>
      <c r="P6" s="4">
        <v>1.6991275924237e-12</v>
      </c>
      <c r="Q6" s="4">
        <v>1.6991281090309e-12</v>
      </c>
      <c r="R6" s="4">
        <v>1.8693261291707e-12</v>
      </c>
      <c r="S6" s="4">
        <v>1.8693260837247e-12</v>
      </c>
      <c r="T6" s="4">
        <v>1.8693261230202e-12</v>
      </c>
      <c r="U6" s="4">
        <v>1.5334624597155e-12</v>
      </c>
      <c r="V6" s="4">
        <v>1.6167070477573e-12</v>
      </c>
      <c r="W6" s="4">
        <v>1.6167071663689e-12</v>
      </c>
      <c r="X6" s="4">
        <v>1.6167070206177e-12</v>
      </c>
      <c r="Y6" s="4">
        <v>1.6991276427456e-12</v>
      </c>
      <c r="Z6" s="4">
        <v>1.6991281230329e-12</v>
      </c>
      <c r="AA6" s="4">
        <v>1.6991282650451e-12</v>
      </c>
      <c r="AB6" s="3">
        <v>0.99468025560372</v>
      </c>
      <c r="AC6" s="3">
        <v>0.87101861973629</v>
      </c>
      <c r="AD6" s="3">
        <v>0.00057200624697946</v>
      </c>
      <c r="AE6" s="4">
        <v>-7.8964906086744e-14</v>
      </c>
      <c r="AF6" s="4">
        <v>4.3120396776584e-13</v>
      </c>
      <c r="AG6" s="4">
        <v>2.8238989093983e-13</v>
      </c>
      <c r="AH6" s="4">
        <v>9.7819787999015e-15</v>
      </c>
      <c r="AI6" s="4">
        <v>-8.8506352555101e-15</v>
      </c>
      <c r="AJ6" s="4">
        <v>7.7227448876832e-14</v>
      </c>
      <c r="AK6" s="4">
        <v>1.2575556449075e-15</v>
      </c>
      <c r="AL6" s="4">
        <v>5.9066041396805e-14</v>
      </c>
      <c r="AM6" s="4">
        <v>2.8143862426488e-14</v>
      </c>
      <c r="AN6" s="4">
        <v>-1.8021884045565e-14</v>
      </c>
      <c r="AO6" s="4">
        <v>8.7716333295534e-14</v>
      </c>
      <c r="AP6" s="4">
        <v>1.0890217260587e-15</v>
      </c>
      <c r="AQ6" s="4">
        <v>3.1308375925295e-14</v>
      </c>
      <c r="AR6" s="4">
        <v>-6.3358938593709e-13</v>
      </c>
      <c r="AS6" s="4">
        <v>-5.1368341762471e-14</v>
      </c>
      <c r="AT6" s="4">
        <v>2.0596809851352e-14</v>
      </c>
      <c r="AU6" s="4">
        <v>-7.7206628467661e-14</v>
      </c>
      <c r="AV6" s="4">
        <v>-5.5054982360528e-14</v>
      </c>
      <c r="AW6" s="4">
        <v>-4.0103114564472e-14</v>
      </c>
      <c r="AX6" s="4">
        <v>3.0614876079103e-13</v>
      </c>
      <c r="AY6" s="4">
        <v>5.966488669663e-14</v>
      </c>
      <c r="AZ6" s="4">
        <v>-1.7791868663164e-13</v>
      </c>
      <c r="BA6" s="4">
        <v>4.3588482117896e-13</v>
      </c>
      <c r="BB6" s="4">
        <v>-1.2331463822244e-12</v>
      </c>
      <c r="BC6" s="3">
        <v>15999996.81899</v>
      </c>
      <c r="BD6" s="3">
        <v>3999999.5582072</v>
      </c>
      <c r="BE6" s="3">
        <v>-0.00027968213804008</v>
      </c>
      <c r="BF6" s="3">
        <v>0.00058501851240729</v>
      </c>
      <c r="BG6" s="3">
        <v>0.00016679719398036</v>
      </c>
      <c r="BH6" s="3">
        <v>-0.00097949112826378</v>
      </c>
      <c r="BI6" s="3">
        <v>139.71343490712</v>
      </c>
      <c r="BJ6" s="3">
        <v>69.864978885352</v>
      </c>
      <c r="BK6" s="3">
        <v>128.56012489656</v>
      </c>
      <c r="BL6" s="5"/>
    </row>
    <row r="7" spans="1:64">
      <c r="A7" s="3">
        <v>3971.6411736214</v>
      </c>
      <c r="B7" s="4">
        <v>9.3529789341792e-8</v>
      </c>
      <c r="C7" s="4">
        <f t="shared" si="0"/>
        <v>2.70910163880935e-11</v>
      </c>
      <c r="D7" s="4">
        <v>1.5334640920701e-12</v>
      </c>
      <c r="E7" s="4">
        <v>1.8693114158941e-12</v>
      </c>
      <c r="F7" s="4">
        <v>1.8693104875178e-12</v>
      </c>
      <c r="G7" s="4">
        <v>1.8693082205488e-12</v>
      </c>
      <c r="H7" s="4">
        <v>1.5334608928534e-12</v>
      </c>
      <c r="I7" s="4">
        <v>1.533461802048e-12</v>
      </c>
      <c r="J7" s="4">
        <v>1.533461204659e-12</v>
      </c>
      <c r="K7" s="4">
        <v>1.6166997618511e-12</v>
      </c>
      <c r="L7" s="4">
        <v>1.6167020551648e-12</v>
      </c>
      <c r="M7" s="4">
        <v>1.6166991506026e-12</v>
      </c>
      <c r="N7" s="4">
        <v>1.699118527121e-12</v>
      </c>
      <c r="O7" s="4">
        <v>1.5334609376625e-12</v>
      </c>
      <c r="P7" s="4">
        <v>1.6991173838491e-12</v>
      </c>
      <c r="Q7" s="4">
        <v>1.6991271313143e-12</v>
      </c>
      <c r="R7" s="4">
        <v>1.8693082837955e-12</v>
      </c>
      <c r="S7" s="4">
        <v>1.8693074268923e-12</v>
      </c>
      <c r="T7" s="4">
        <v>1.8693081676289e-12</v>
      </c>
      <c r="U7" s="4">
        <v>1.5334612120491e-12</v>
      </c>
      <c r="V7" s="4">
        <v>1.6167010433445e-12</v>
      </c>
      <c r="W7" s="4">
        <v>1.6167032843387e-12</v>
      </c>
      <c r="X7" s="4">
        <v>1.6167005322882e-12</v>
      </c>
      <c r="Y7" s="4">
        <v>1.6991183347346e-12</v>
      </c>
      <c r="Z7" s="4">
        <v>1.6991274097454e-12</v>
      </c>
      <c r="AA7" s="4">
        <v>1.6991300807291e-12</v>
      </c>
      <c r="AB7" s="3">
        <v>0.99925825160999</v>
      </c>
      <c r="AC7" s="3">
        <v>0.87103456424619</v>
      </c>
      <c r="AD7" s="3">
        <v>0.0005720855187427</v>
      </c>
      <c r="AE7" s="4">
        <v>-7.8924734757373e-14</v>
      </c>
      <c r="AF7" s="4">
        <v>4.3071718934478e-13</v>
      </c>
      <c r="AG7" s="4">
        <v>2.8227058675661e-13</v>
      </c>
      <c r="AH7" s="4">
        <v>9.8145030359411e-15</v>
      </c>
      <c r="AI7" s="4">
        <v>-8.8513295766602e-15</v>
      </c>
      <c r="AJ7" s="4">
        <v>7.7192412368992e-14</v>
      </c>
      <c r="AK7" s="4">
        <v>1.2529687698127e-15</v>
      </c>
      <c r="AL7" s="4">
        <v>5.903609118192e-14</v>
      </c>
      <c r="AM7" s="4">
        <v>2.8166204780482e-14</v>
      </c>
      <c r="AN7" s="4">
        <v>-1.8009875681739e-14</v>
      </c>
      <c r="AO7" s="4">
        <v>8.7573275666605e-14</v>
      </c>
      <c r="AP7" s="4">
        <v>1.0883739170396e-15</v>
      </c>
      <c r="AQ7" s="4">
        <v>3.1227549948517e-14</v>
      </c>
      <c r="AR7" s="4">
        <v>-6.2954906254645e-13</v>
      </c>
      <c r="AS7" s="4">
        <v>-5.1281856791114e-14</v>
      </c>
      <c r="AT7" s="4">
        <v>2.0571968364616e-14</v>
      </c>
      <c r="AU7" s="4">
        <v>-7.7166549362433e-14</v>
      </c>
      <c r="AV7" s="4">
        <v>-5.5057379814113e-14</v>
      </c>
      <c r="AW7" s="4">
        <v>-4.0067394421944e-14</v>
      </c>
      <c r="AX7" s="4">
        <v>3.0586051144177e-13</v>
      </c>
      <c r="AY7" s="4">
        <v>5.9640545206824e-14</v>
      </c>
      <c r="AZ7" s="4">
        <v>-1.7780187877186e-13</v>
      </c>
      <c r="BA7" s="4">
        <v>4.3484513878895e-13</v>
      </c>
      <c r="BB7" s="4">
        <v>-1.2276714293902e-12</v>
      </c>
      <c r="BC7" s="3">
        <v>15999960.381465</v>
      </c>
      <c r="BD7" s="3">
        <v>3999996.488177</v>
      </c>
      <c r="BE7" s="3">
        <v>-0.0002796814215747</v>
      </c>
      <c r="BF7" s="3">
        <v>0.0005851153486238</v>
      </c>
      <c r="BG7" s="3">
        <v>0.00016684365797688</v>
      </c>
      <c r="BH7" s="3">
        <v>-0.00097968603026175</v>
      </c>
      <c r="BI7" s="3">
        <v>139.71343348086</v>
      </c>
      <c r="BJ7" s="3">
        <v>69.864979152256</v>
      </c>
      <c r="BK7" s="3">
        <v>128.55921370683</v>
      </c>
      <c r="BL7" s="5"/>
    </row>
    <row r="8" spans="1:64">
      <c r="A8" s="3">
        <v>39716.411736214</v>
      </c>
      <c r="B8" s="4">
        <v>9.5442367030657e-7</v>
      </c>
      <c r="C8" s="4">
        <f t="shared" si="0"/>
        <v>2.70477983501691e-11</v>
      </c>
      <c r="D8" s="4">
        <v>1.5334775723006e-12</v>
      </c>
      <c r="E8" s="4">
        <v>1.8691636258555e-12</v>
      </c>
      <c r="F8" s="4">
        <v>1.8691540540239e-12</v>
      </c>
      <c r="G8" s="4">
        <v>1.8691303794569e-12</v>
      </c>
      <c r="H8" s="4">
        <v>1.5334441320992e-12</v>
      </c>
      <c r="I8" s="4">
        <v>1.5334536320192e-12</v>
      </c>
      <c r="J8" s="4">
        <v>1.5334473928114e-12</v>
      </c>
      <c r="K8" s="4">
        <v>1.6166277926397e-12</v>
      </c>
      <c r="L8" s="4">
        <v>1.616651750819e-12</v>
      </c>
      <c r="M8" s="4">
        <v>1.6166213978214e-12</v>
      </c>
      <c r="N8" s="4">
        <v>1.6990264726522e-12</v>
      </c>
      <c r="O8" s="4">
        <v>1.5334446003356e-12</v>
      </c>
      <c r="P8" s="4">
        <v>1.6990145776481e-12</v>
      </c>
      <c r="Q8" s="4">
        <v>1.6991148345353e-12</v>
      </c>
      <c r="R8" s="4">
        <v>1.8691310098097e-12</v>
      </c>
      <c r="S8" s="4">
        <v>1.8691220742689e-12</v>
      </c>
      <c r="T8" s="4">
        <v>1.8691298196797e-12</v>
      </c>
      <c r="U8" s="4">
        <v>1.533447475361e-12</v>
      </c>
      <c r="V8" s="4">
        <v>1.61664113912e-12</v>
      </c>
      <c r="W8" s="4">
        <v>1.6166645430973e-12</v>
      </c>
      <c r="X8" s="4">
        <v>1.6166358703571e-12</v>
      </c>
      <c r="Y8" s="4">
        <v>1.6990245165218e-12</v>
      </c>
      <c r="Z8" s="4">
        <v>1.6991187744935e-12</v>
      </c>
      <c r="AA8" s="4">
        <v>1.6991455300025e-12</v>
      </c>
      <c r="AB8" s="3">
        <v>0.99992365833416</v>
      </c>
      <c r="AC8" s="3">
        <v>0.8711954401926</v>
      </c>
      <c r="AD8" s="3">
        <v>0.00057287656817347</v>
      </c>
      <c r="AE8" s="4">
        <v>-7.8517618179737e-14</v>
      </c>
      <c r="AF8" s="4">
        <v>4.2593971683585e-13</v>
      </c>
      <c r="AG8" s="4">
        <v>2.8107865626227e-13</v>
      </c>
      <c r="AH8" s="4">
        <v>1.0135180878708e-14</v>
      </c>
      <c r="AI8" s="4">
        <v>-8.8579222501391e-15</v>
      </c>
      <c r="AJ8" s="4">
        <v>7.6841813857308e-14</v>
      </c>
      <c r="AK8" s="4">
        <v>1.2091800869685e-15</v>
      </c>
      <c r="AL8" s="4">
        <v>5.8742706762016e-14</v>
      </c>
      <c r="AM8" s="4">
        <v>2.840248384019e-14</v>
      </c>
      <c r="AN8" s="4">
        <v>-1.7890094147599e-14</v>
      </c>
      <c r="AO8" s="4">
        <v>8.6175686882535e-14</v>
      </c>
      <c r="AP8" s="4">
        <v>1.081942257723e-15</v>
      </c>
      <c r="AQ8" s="4">
        <v>3.0464565838447e-14</v>
      </c>
      <c r="AR8" s="4">
        <v>-5.9298882866355e-13</v>
      </c>
      <c r="AS8" s="4">
        <v>-5.0433307459393e-14</v>
      </c>
      <c r="AT8" s="4">
        <v>2.0327865123085e-14</v>
      </c>
      <c r="AU8" s="4">
        <v>-7.6767173226144e-14</v>
      </c>
      <c r="AV8" s="4">
        <v>-5.5080197442091e-14</v>
      </c>
      <c r="AW8" s="4">
        <v>-3.9710458034012e-14</v>
      </c>
      <c r="AX8" s="4">
        <v>3.0302348959251e-13</v>
      </c>
      <c r="AY8" s="4">
        <v>5.9397331722692e-14</v>
      </c>
      <c r="AZ8" s="4">
        <v>-1.7664232129662e-13</v>
      </c>
      <c r="BA8" s="4">
        <v>4.2477297133781e-13</v>
      </c>
      <c r="BB8" s="4">
        <v>-1.1775101466501e-12</v>
      </c>
      <c r="BC8" s="3">
        <v>15999596.242898</v>
      </c>
      <c r="BD8" s="3">
        <v>3999964.8627238</v>
      </c>
      <c r="BE8" s="3">
        <v>-0.00027967283772473</v>
      </c>
      <c r="BF8" s="3">
        <v>0.00058608216597005</v>
      </c>
      <c r="BG8" s="3">
        <v>0.00016730840215811</v>
      </c>
      <c r="BH8" s="3">
        <v>-0.00098031991133639</v>
      </c>
      <c r="BI8" s="3">
        <v>139.71342484053</v>
      </c>
      <c r="BJ8" s="3">
        <v>69.864982443195</v>
      </c>
      <c r="BK8" s="3">
        <v>128.55010826226</v>
      </c>
      <c r="BL8" s="5"/>
    </row>
    <row r="9" spans="1:64">
      <c r="A9" s="3">
        <v>397164.11736214</v>
      </c>
      <c r="B9" s="4">
        <v>9.4532504124127e-6</v>
      </c>
      <c r="C9" s="4">
        <f t="shared" si="0"/>
        <v>2.67414891331356e-11</v>
      </c>
      <c r="D9" s="4">
        <v>1.5335323532551e-12</v>
      </c>
      <c r="E9" s="4">
        <v>1.8677470701829e-12</v>
      </c>
      <c r="F9" s="4">
        <v>1.8676638322678e-12</v>
      </c>
      <c r="G9" s="4">
        <v>1.8674325057152e-12</v>
      </c>
      <c r="H9" s="4">
        <v>1.5332021725229e-12</v>
      </c>
      <c r="I9" s="4">
        <v>1.5332956450431e-12</v>
      </c>
      <c r="J9" s="4">
        <v>1.5332345569779e-12</v>
      </c>
      <c r="K9" s="4">
        <v>1.6159293014106e-12</v>
      </c>
      <c r="L9" s="4">
        <v>1.6161646002975e-12</v>
      </c>
      <c r="M9" s="4">
        <v>1.6158654601622e-12</v>
      </c>
      <c r="N9" s="4">
        <v>1.6980590163346e-12</v>
      </c>
      <c r="O9" s="4">
        <v>1.5332067704438e-12</v>
      </c>
      <c r="P9" s="4">
        <v>1.6979463160084e-12</v>
      </c>
      <c r="Q9" s="4">
        <v>1.6988328328524e-12</v>
      </c>
      <c r="R9" s="4">
        <v>1.8674356869758e-12</v>
      </c>
      <c r="S9" s="4">
        <v>1.8673492616665e-12</v>
      </c>
      <c r="T9" s="4">
        <v>1.8674260514417e-12</v>
      </c>
      <c r="U9" s="4">
        <v>1.5332359100968e-12</v>
      </c>
      <c r="V9" s="4">
        <v>1.6160565526803e-12</v>
      </c>
      <c r="W9" s="4">
        <v>1.6162861249734e-12</v>
      </c>
      <c r="X9" s="4">
        <v>1.6160112906223e-12</v>
      </c>
      <c r="Y9" s="4">
        <v>1.698043989555e-12</v>
      </c>
      <c r="Z9" s="4">
        <v>1.6989246289595e-12</v>
      </c>
      <c r="AA9" s="4">
        <v>1.6991287530691e-12</v>
      </c>
      <c r="AB9" s="3">
        <v>0.99999314845843</v>
      </c>
      <c r="AC9" s="3">
        <v>0.8728617451862</v>
      </c>
      <c r="AD9" s="3">
        <v>0.00058067242433827</v>
      </c>
      <c r="AE9" s="4">
        <v>-7.4225192761125e-14</v>
      </c>
      <c r="AF9" s="4">
        <v>3.8560966879727e-13</v>
      </c>
      <c r="AG9" s="4">
        <v>2.6944187337987e-13</v>
      </c>
      <c r="AH9" s="4">
        <v>1.2973176174034e-14</v>
      </c>
      <c r="AI9" s="4">
        <v>-8.8994560162175e-15</v>
      </c>
      <c r="AJ9" s="4">
        <v>7.3414905560594e-14</v>
      </c>
      <c r="AK9" s="4">
        <v>9.2092924817466e-16</v>
      </c>
      <c r="AL9" s="4">
        <v>5.6312962385958e-14</v>
      </c>
      <c r="AM9" s="4">
        <v>3.1530258137271e-14</v>
      </c>
      <c r="AN9" s="4">
        <v>-1.6727656627088e-14</v>
      </c>
      <c r="AO9" s="4">
        <v>7.4819813966093e-14</v>
      </c>
      <c r="AP9" s="4">
        <v>1.0260793088883e-15</v>
      </c>
      <c r="AQ9" s="4">
        <v>2.552386797987e-14</v>
      </c>
      <c r="AR9" s="4">
        <v>-4.1138828020091e-13</v>
      </c>
      <c r="AS9" s="4">
        <v>-4.3297202165881e-14</v>
      </c>
      <c r="AT9" s="4">
        <v>1.8240742132802e-14</v>
      </c>
      <c r="AU9" s="4">
        <v>-7.2926952488907e-14</v>
      </c>
      <c r="AV9" s="4">
        <v>-5.5230567771691e-14</v>
      </c>
      <c r="AW9" s="4">
        <v>-3.6314141771932e-14</v>
      </c>
      <c r="AX9" s="4">
        <v>2.7862391178219e-13</v>
      </c>
      <c r="AY9" s="4">
        <v>5.7026564222376e-14</v>
      </c>
      <c r="AZ9" s="4">
        <v>-1.6591832358764e-13</v>
      </c>
      <c r="BA9" s="4">
        <v>3.4825233811226e-13</v>
      </c>
      <c r="BB9" s="4">
        <v>-9.0463398070832e-13</v>
      </c>
      <c r="BC9" s="3">
        <v>15995973.438636</v>
      </c>
      <c r="BD9" s="3">
        <v>3999583.8619516</v>
      </c>
      <c r="BE9" s="3">
        <v>-0.00027948609807294</v>
      </c>
      <c r="BF9" s="3">
        <v>0.00059564084990571</v>
      </c>
      <c r="BG9" s="3">
        <v>0.0001719605356164</v>
      </c>
      <c r="BH9" s="3">
        <v>-0.00099412349448692</v>
      </c>
      <c r="BI9" s="3">
        <v>139.71335644465</v>
      </c>
      <c r="BJ9" s="3">
        <v>69.865008646976</v>
      </c>
      <c r="BK9" s="3">
        <v>128.45943952379</v>
      </c>
      <c r="BL9" s="5"/>
    </row>
    <row r="10" spans="1:64">
      <c r="A10" s="3">
        <v>44562.546906687</v>
      </c>
      <c r="B10" s="4">
        <v>1.0708787330094e-6</v>
      </c>
      <c r="C10" s="4">
        <f t="shared" si="0"/>
        <v>2.67381354556702e-11</v>
      </c>
      <c r="D10" s="4">
        <v>1.5334825824457e-12</v>
      </c>
      <c r="E10" s="4">
        <v>1.8690989521402e-12</v>
      </c>
      <c r="F10" s="4">
        <v>1.8690856651671e-12</v>
      </c>
      <c r="G10" s="4">
        <v>1.8690526020702e-12</v>
      </c>
      <c r="H10" s="4">
        <v>1.5334358593627e-12</v>
      </c>
      <c r="I10" s="4">
        <v>1.5334491305859e-12</v>
      </c>
      <c r="J10" s="4">
        <v>1.5334404165156e-12</v>
      </c>
      <c r="K10" s="4">
        <v>1.6165960174061e-12</v>
      </c>
      <c r="L10" s="4">
        <v>1.6166294827691e-12</v>
      </c>
      <c r="M10" s="4">
        <v>1.6165870784315e-12</v>
      </c>
      <c r="N10" s="4">
        <v>1.6989852632322e-12</v>
      </c>
      <c r="O10" s="4">
        <v>1.533436513492e-12</v>
      </c>
      <c r="P10" s="4">
        <v>1.6989686793383e-12</v>
      </c>
      <c r="Q10" s="4">
        <v>1.6991077582503e-12</v>
      </c>
      <c r="R10" s="4">
        <v>1.8690534617278e-12</v>
      </c>
      <c r="S10" s="4">
        <v>1.8690409904618e-12</v>
      </c>
      <c r="T10" s="4">
        <v>1.8690518146889e-12</v>
      </c>
      <c r="U10" s="4">
        <v>1.5334405353875e-12</v>
      </c>
      <c r="V10" s="4">
        <v>1.6166146334164e-12</v>
      </c>
      <c r="W10" s="4">
        <v>1.616647319876e-12</v>
      </c>
      <c r="X10" s="4">
        <v>1.6166073195622e-12</v>
      </c>
      <c r="Y10" s="4">
        <v>1.6989825649958e-12</v>
      </c>
      <c r="Z10" s="4">
        <v>1.6991138715879e-12</v>
      </c>
      <c r="AA10" s="4">
        <v>1.6991505648103e-12</v>
      </c>
      <c r="AB10" s="3">
        <v>0.99887099357293</v>
      </c>
      <c r="AC10" s="3">
        <v>0.87126704694701</v>
      </c>
      <c r="AD10" s="3">
        <v>0.00057298349548736</v>
      </c>
      <c r="AE10" s="4">
        <v>-7.8335250974456e-14</v>
      </c>
      <c r="AF10" s="4">
        <v>4.2388748522556e-13</v>
      </c>
      <c r="AG10" s="4">
        <v>2.8055433687145e-13</v>
      </c>
      <c r="AH10" s="4">
        <v>1.0273702828108e-14</v>
      </c>
      <c r="AI10" s="4">
        <v>-8.8606151793412e-15</v>
      </c>
      <c r="AJ10" s="4">
        <v>7.6687334341744e-14</v>
      </c>
      <c r="AK10" s="4">
        <v>1.1911416077196e-15</v>
      </c>
      <c r="AL10" s="4">
        <v>5.8616963505679e-14</v>
      </c>
      <c r="AM10" s="4">
        <v>2.85131213398e-14</v>
      </c>
      <c r="AN10" s="4">
        <v>-1.7837440312163e-14</v>
      </c>
      <c r="AO10" s="4">
        <v>8.5579313580983e-14</v>
      </c>
      <c r="AP10" s="4">
        <v>1.0791330133836e-15</v>
      </c>
      <c r="AQ10" s="4">
        <v>3.0153162994127e-14</v>
      </c>
      <c r="AR10" s="4">
        <v>-5.7888557431947e-13</v>
      </c>
      <c r="AS10" s="4">
        <v>-5.0068980708117e-14</v>
      </c>
      <c r="AT10" s="4">
        <v>2.0222842759674e-14</v>
      </c>
      <c r="AU10" s="4">
        <v>-7.659210303122e-14</v>
      </c>
      <c r="AV10" s="4">
        <v>-5.5089544644317e-14</v>
      </c>
      <c r="AW10" s="4">
        <v>-3.9553621727695e-14</v>
      </c>
      <c r="AX10" s="4">
        <v>3.0180094954827e-13</v>
      </c>
      <c r="AY10" s="4">
        <v>5.9290469957002e-14</v>
      </c>
      <c r="AZ10" s="4">
        <v>-1.7613653112696e-13</v>
      </c>
      <c r="BA10" s="4">
        <v>4.205237647542e-13</v>
      </c>
      <c r="BB10" s="4">
        <v>-1.1578214667003e-12</v>
      </c>
      <c r="BC10" s="3">
        <v>15999546.914213</v>
      </c>
      <c r="BD10" s="3">
        <v>3999960.4231227</v>
      </c>
      <c r="BE10" s="3">
        <v>-0.00027967144676388</v>
      </c>
      <c r="BF10" s="3">
        <v>0.00058621294135299</v>
      </c>
      <c r="BG10" s="3">
        <v>0.00016737141710957</v>
      </c>
      <c r="BH10" s="3">
        <v>-0.00098029780283727</v>
      </c>
      <c r="BI10" s="3">
        <v>139.71342377107</v>
      </c>
      <c r="BJ10" s="3">
        <v>69.864982932769</v>
      </c>
      <c r="BK10" s="3">
        <v>128.54886928527</v>
      </c>
      <c r="BL10" s="5"/>
    </row>
    <row r="11" spans="1:64">
      <c r="A11" s="3">
        <v>50000</v>
      </c>
      <c r="B11" s="4">
        <v>1.201481724817e-6</v>
      </c>
      <c r="C11" s="4">
        <f t="shared" si="0"/>
        <v>2.69824324554416e-11</v>
      </c>
      <c r="D11" s="4">
        <v>1.5334846331147e-12</v>
      </c>
      <c r="E11" s="4">
        <v>1.8690713380731e-12</v>
      </c>
      <c r="F11" s="4">
        <v>1.8690564763738e-12</v>
      </c>
      <c r="G11" s="4">
        <v>1.8690193873401e-12</v>
      </c>
      <c r="H11" s="4">
        <v>1.5334322091025e-12</v>
      </c>
      <c r="I11" s="4">
        <v>1.5334470984938e-12</v>
      </c>
      <c r="J11" s="4">
        <v>1.5334373229605e-12</v>
      </c>
      <c r="K11" s="4">
        <v>1.6165824687323e-12</v>
      </c>
      <c r="L11" s="4">
        <v>1.6166200121008e-12</v>
      </c>
      <c r="M11" s="4">
        <v>1.6165724369394e-12</v>
      </c>
      <c r="N11" s="4">
        <v>1.6989675259336e-12</v>
      </c>
      <c r="O11" s="4">
        <v>1.5334329430143e-12</v>
      </c>
      <c r="P11" s="4">
        <v>1.6989489377647e-12</v>
      </c>
      <c r="Q11" s="4">
        <v>1.6991044678526e-12</v>
      </c>
      <c r="R11" s="4">
        <v>1.8690203404844e-12</v>
      </c>
      <c r="S11" s="4">
        <v>1.8690063547857e-12</v>
      </c>
      <c r="T11" s="4">
        <v>1.8690185009502e-12</v>
      </c>
      <c r="U11" s="4">
        <v>1.5334374582233e-12</v>
      </c>
      <c r="V11" s="4">
        <v>1.6166033391885e-12</v>
      </c>
      <c r="W11" s="4">
        <v>1.6166400062413e-12</v>
      </c>
      <c r="X11" s="4">
        <v>1.6165951584426e-12</v>
      </c>
      <c r="Y11" s="4">
        <v>1.6989645169589e-12</v>
      </c>
      <c r="Z11" s="4">
        <v>1.6991116362071e-12</v>
      </c>
      <c r="AA11" s="4">
        <v>1.6991524556445e-12</v>
      </c>
      <c r="AB11" s="3">
        <v>0.99898838648994</v>
      </c>
      <c r="AC11" s="3">
        <v>0.87129791970855</v>
      </c>
      <c r="AD11" s="3">
        <v>0.00057310344160607</v>
      </c>
      <c r="AE11" s="4">
        <v>-7.8256241892639e-14</v>
      </c>
      <c r="AF11" s="4">
        <v>4.2301652278718e-13</v>
      </c>
      <c r="AG11" s="4">
        <v>2.8032912398761e-13</v>
      </c>
      <c r="AH11" s="4">
        <v>1.033266945053e-14</v>
      </c>
      <c r="AI11" s="4">
        <v>-8.8617293765332e-15</v>
      </c>
      <c r="AJ11" s="4">
        <v>7.6620904808845e-14</v>
      </c>
      <c r="AK11" s="4">
        <v>1.1836256842616e-15</v>
      </c>
      <c r="AL11" s="4">
        <v>5.8563679612444e-14</v>
      </c>
      <c r="AM11" s="4">
        <v>2.8562571731571e-14</v>
      </c>
      <c r="AN11" s="4">
        <v>-1.781487739026e-14</v>
      </c>
      <c r="AO11" s="4">
        <v>8.5326954644451e-14</v>
      </c>
      <c r="AP11" s="4">
        <v>1.0779391014192e-15</v>
      </c>
      <c r="AQ11" s="4">
        <v>3.0024135974343e-14</v>
      </c>
      <c r="AR11" s="4">
        <v>-5.7319337671839e-13</v>
      </c>
      <c r="AS11" s="4">
        <v>-4.9914409625652e-14</v>
      </c>
      <c r="AT11" s="4">
        <v>2.0178234347861e-14</v>
      </c>
      <c r="AU11" s="4">
        <v>-7.6517037552042e-14</v>
      </c>
      <c r="AV11" s="4">
        <v>-5.5093419890094e-14</v>
      </c>
      <c r="AW11" s="4">
        <v>-3.948627074906e-14</v>
      </c>
      <c r="AX11" s="4">
        <v>3.0128087628331e-13</v>
      </c>
      <c r="AY11" s="4">
        <v>5.9244547308236e-14</v>
      </c>
      <c r="AZ11" s="4">
        <v>-1.759202758546e-13</v>
      </c>
      <c r="BA11" s="4">
        <v>4.1873543251044e-13</v>
      </c>
      <c r="BB11" s="4">
        <v>-1.1498081798346e-12</v>
      </c>
      <c r="BC11" s="3">
        <v>15999491.576163</v>
      </c>
      <c r="BD11" s="3">
        <v>3999955.4058382</v>
      </c>
      <c r="BE11" s="3">
        <v>-0.00027966982326254</v>
      </c>
      <c r="BF11" s="3">
        <v>0.00058635965706381</v>
      </c>
      <c r="BG11" s="3">
        <v>0.00016744213447458</v>
      </c>
      <c r="BH11" s="3">
        <v>-0.00098037499191136</v>
      </c>
      <c r="BI11" s="3">
        <v>139.71342251216</v>
      </c>
      <c r="BJ11" s="3">
        <v>69.864983435404</v>
      </c>
      <c r="BK11" s="3">
        <v>128.54748392585</v>
      </c>
      <c r="BL11" s="5"/>
    </row>
    <row r="12" spans="1:64">
      <c r="A12" s="3">
        <v>56100.922715098</v>
      </c>
      <c r="B12" s="4">
        <v>1.3479446510158e-6</v>
      </c>
      <c r="C12" s="4">
        <f t="shared" si="0"/>
        <v>2.69701284942997e-11</v>
      </c>
      <c r="D12" s="4">
        <v>1.5334868485403e-12</v>
      </c>
      <c r="E12" s="4">
        <v>1.8690404223692e-12</v>
      </c>
      <c r="F12" s="4">
        <v>1.8690238059017e-12</v>
      </c>
      <c r="G12" s="4">
        <v>1.8689822052281e-12</v>
      </c>
      <c r="H12" s="4">
        <v>1.533428032929e-12</v>
      </c>
      <c r="I12" s="4">
        <v>1.5334447362528e-12</v>
      </c>
      <c r="J12" s="4">
        <v>1.5334337711006e-12</v>
      </c>
      <c r="K12" s="4">
        <v>1.6165672873078e-12</v>
      </c>
      <c r="L12" s="4">
        <v>1.6166094015265e-12</v>
      </c>
      <c r="M12" s="4">
        <v>1.6165560297544e-12</v>
      </c>
      <c r="N12" s="4">
        <v>1.6989475731639e-12</v>
      </c>
      <c r="O12" s="4">
        <v>1.5334288562758e-12</v>
      </c>
      <c r="P12" s="4">
        <v>1.6989267423824e-12</v>
      </c>
      <c r="Q12" s="4">
        <v>1.6991006068204e-12</v>
      </c>
      <c r="R12" s="4">
        <v>1.8689832604655e-12</v>
      </c>
      <c r="S12" s="4">
        <v>1.868967578547e-12</v>
      </c>
      <c r="T12" s="4">
        <v>1.8689812070912e-12</v>
      </c>
      <c r="U12" s="4">
        <v>1.5334339251994e-12</v>
      </c>
      <c r="V12" s="4">
        <v>1.6165906812957e-12</v>
      </c>
      <c r="W12" s="4">
        <v>1.6166318095256e-12</v>
      </c>
      <c r="X12" s="4">
        <v>1.6165815346907e-12</v>
      </c>
      <c r="Y12" s="4">
        <v>1.6989442200088e-12</v>
      </c>
      <c r="Z12" s="4">
        <v>1.6991090196562e-12</v>
      </c>
      <c r="AA12" s="4">
        <v>1.6991543951386e-12</v>
      </c>
      <c r="AB12" s="3">
        <v>0.99909455904884</v>
      </c>
      <c r="AC12" s="3">
        <v>0.87133263004364</v>
      </c>
      <c r="AD12" s="3">
        <v>0.00057323794229808</v>
      </c>
      <c r="AE12" s="4">
        <v>-7.8167280767327e-14</v>
      </c>
      <c r="AF12" s="4">
        <v>4.2204609559753e-13</v>
      </c>
      <c r="AG12" s="4">
        <v>2.8007658641448e-13</v>
      </c>
      <c r="AH12" s="4">
        <v>1.0398484769839e-14</v>
      </c>
      <c r="AI12" s="4">
        <v>-8.8629547966951e-15</v>
      </c>
      <c r="AJ12" s="4">
        <v>7.6546392491098e-14</v>
      </c>
      <c r="AK12" s="4">
        <v>1.1753408221461e-15</v>
      </c>
      <c r="AL12" s="4">
        <v>5.8504356183609e-14</v>
      </c>
      <c r="AM12" s="4">
        <v>2.8618914781188e-14</v>
      </c>
      <c r="AN12" s="4">
        <v>-1.7789588674845e-14</v>
      </c>
      <c r="AO12" s="4">
        <v>8.504625125242e-14</v>
      </c>
      <c r="AP12" s="4">
        <v>1.0766058496755e-15</v>
      </c>
      <c r="AQ12" s="4">
        <v>2.9882193457768e-14</v>
      </c>
      <c r="AR12" s="4">
        <v>-5.6701805155721e-13</v>
      </c>
      <c r="AS12" s="4">
        <v>-4.974221213208e-14</v>
      </c>
      <c r="AT12" s="4">
        <v>2.0128507709706e-14</v>
      </c>
      <c r="AU12" s="4">
        <v>-7.6432934188047e-14</v>
      </c>
      <c r="AV12" s="4">
        <v>-5.5097687322732e-14</v>
      </c>
      <c r="AW12" s="4">
        <v>-3.9410794182896e-14</v>
      </c>
      <c r="AX12" s="4">
        <v>3.0070086765038e-13</v>
      </c>
      <c r="AY12" s="4">
        <v>5.9193056570273e-14</v>
      </c>
      <c r="AZ12" s="4">
        <v>-1.7567835079441e-13</v>
      </c>
      <c r="BA12" s="4">
        <v>4.1675217952248e-13</v>
      </c>
      <c r="BB12" s="4">
        <v>-1.1410753525714e-12</v>
      </c>
      <c r="BC12" s="3">
        <v>15999429.497823</v>
      </c>
      <c r="BD12" s="3">
        <v>3999949.7320102</v>
      </c>
      <c r="BE12" s="3">
        <v>-0.00027966793302882</v>
      </c>
      <c r="BF12" s="3">
        <v>0.00058652419973337</v>
      </c>
      <c r="BG12" s="3">
        <v>0.00016752148494242</v>
      </c>
      <c r="BH12" s="3">
        <v>-0.00098046046078439</v>
      </c>
      <c r="BI12" s="3">
        <v>139.71342110925</v>
      </c>
      <c r="BJ12" s="3">
        <v>69.864983998514</v>
      </c>
      <c r="BK12" s="3">
        <v>128.54592966027</v>
      </c>
      <c r="BL12" s="5"/>
    </row>
    <row r="13" spans="1:64">
      <c r="A13" s="3">
        <v>62946.270589709</v>
      </c>
      <c r="B13" s="4">
        <v>1.5121852912232e-6</v>
      </c>
      <c r="C13" s="4">
        <f t="shared" si="0"/>
        <v>2.69566414826684e-11</v>
      </c>
      <c r="D13" s="4">
        <v>1.533489230465e-12</v>
      </c>
      <c r="E13" s="4">
        <v>1.8690058161305e-12</v>
      </c>
      <c r="F13" s="4">
        <v>1.8689872458467e-12</v>
      </c>
      <c r="G13" s="4">
        <v>1.8689405900086e-12</v>
      </c>
      <c r="H13" s="4">
        <v>1.5334232495922e-12</v>
      </c>
      <c r="I13" s="4">
        <v>1.5334419860649e-12</v>
      </c>
      <c r="J13" s="4">
        <v>1.5334296878521e-12</v>
      </c>
      <c r="K13" s="4">
        <v>1.6165502788225e-12</v>
      </c>
      <c r="L13" s="4">
        <v>1.6165975156521e-12</v>
      </c>
      <c r="M13" s="4">
        <v>1.6165376464428e-12</v>
      </c>
      <c r="N13" s="4">
        <v>1.6989251232964e-12</v>
      </c>
      <c r="O13" s="4">
        <v>1.5334241731822e-12</v>
      </c>
      <c r="P13" s="4">
        <v>1.6989017840322e-12</v>
      </c>
      <c r="Q13" s="4">
        <v>1.6990960685263e-12</v>
      </c>
      <c r="R13" s="4">
        <v>1.868941756283e-12</v>
      </c>
      <c r="S13" s="4">
        <v>1.8689241749307e-12</v>
      </c>
      <c r="T13" s="4">
        <v>1.8689394656489e-12</v>
      </c>
      <c r="U13" s="4">
        <v>1.5334298636456e-12</v>
      </c>
      <c r="V13" s="4">
        <v>1.6165764967373e-12</v>
      </c>
      <c r="W13" s="4">
        <v>1.6166226240904e-12</v>
      </c>
      <c r="X13" s="4">
        <v>1.616566274949e-12</v>
      </c>
      <c r="Y13" s="4">
        <v>1.698921389504e-12</v>
      </c>
      <c r="Z13" s="4">
        <v>1.6991059500846e-12</v>
      </c>
      <c r="AA13" s="4">
        <v>1.6991563494161e-12</v>
      </c>
      <c r="AB13" s="3">
        <v>0.99919043139059</v>
      </c>
      <c r="AC13" s="3">
        <v>0.87137165841217</v>
      </c>
      <c r="AD13" s="3">
        <v>0.0005733887549859</v>
      </c>
      <c r="AE13" s="4">
        <v>-7.8067097666105e-14</v>
      </c>
      <c r="AF13" s="4">
        <v>4.2096572037187e-13</v>
      </c>
      <c r="AG13" s="4">
        <v>2.7979344360278e-13</v>
      </c>
      <c r="AH13" s="4">
        <v>1.0471901096184e-14</v>
      </c>
      <c r="AI13" s="4">
        <v>-8.8642993984499e-15</v>
      </c>
      <c r="AJ13" s="4">
        <v>7.6462825332486e-14</v>
      </c>
      <c r="AK13" s="4">
        <v>1.1662273292119e-15</v>
      </c>
      <c r="AL13" s="4">
        <v>5.8438368708458e-14</v>
      </c>
      <c r="AM13" s="4">
        <v>2.8683172926064e-14</v>
      </c>
      <c r="AN13" s="4">
        <v>-1.7761248818222e-14</v>
      </c>
      <c r="AO13" s="4">
        <v>8.4734331089513e-14</v>
      </c>
      <c r="AP13" s="4">
        <v>1.0751181951377e-15</v>
      </c>
      <c r="AQ13" s="4">
        <v>2.9726357807085e-14</v>
      </c>
      <c r="AR13" s="4">
        <v>-5.6034074120809e-13</v>
      </c>
      <c r="AS13" s="4">
        <v>-4.9550537528923e-14</v>
      </c>
      <c r="AT13" s="4">
        <v>2.0073117072221e-14</v>
      </c>
      <c r="AU13" s="4">
        <v>-7.6338722524513e-14</v>
      </c>
      <c r="AV13" s="4">
        <v>-5.51023767885e-14</v>
      </c>
      <c r="AW13" s="4">
        <v>-3.9326236340729e-14</v>
      </c>
      <c r="AX13" s="4">
        <v>3.0005448628751e-13</v>
      </c>
      <c r="AY13" s="4">
        <v>5.9135330721266e-14</v>
      </c>
      <c r="AZ13" s="4">
        <v>-1.7540781201419e-13</v>
      </c>
      <c r="BA13" s="4">
        <v>4.1455566335018e-13</v>
      </c>
      <c r="BB13" s="4">
        <v>-1.1315852343741e-12</v>
      </c>
      <c r="BC13" s="3">
        <v>15999359.859624</v>
      </c>
      <c r="BD13" s="3">
        <v>3999943.3113159</v>
      </c>
      <c r="BE13" s="3">
        <v>-0.00027966572763351</v>
      </c>
      <c r="BF13" s="3">
        <v>0.00058670872732185</v>
      </c>
      <c r="BG13" s="3">
        <v>0.0001676105227221</v>
      </c>
      <c r="BH13" s="3">
        <v>-0.00098055496788364</v>
      </c>
      <c r="BI13" s="3">
        <v>139.71341954684</v>
      </c>
      <c r="BJ13" s="3">
        <v>69.864984629287</v>
      </c>
      <c r="BK13" s="3">
        <v>128.54418592007</v>
      </c>
      <c r="BL13" s="5"/>
    </row>
    <row r="14" spans="1:64">
      <c r="A14" s="3">
        <v>70626.877231138</v>
      </c>
      <c r="B14" s="4">
        <v>1.6963516887287e-6</v>
      </c>
      <c r="C14" s="4">
        <f t="shared" si="0"/>
        <v>2.69418887713668e-11</v>
      </c>
      <c r="D14" s="4">
        <v>1.5334917773354e-12</v>
      </c>
      <c r="E14" s="4">
        <v>1.8689670854462e-12</v>
      </c>
      <c r="F14" s="4">
        <v>1.8689463416729e-12</v>
      </c>
      <c r="G14" s="4">
        <v>1.8688940226452e-12</v>
      </c>
      <c r="H14" s="4">
        <v>1.5334177647507e-12</v>
      </c>
      <c r="I14" s="4">
        <v>1.5334387797906e-12</v>
      </c>
      <c r="J14" s="4">
        <v>1.5334249880151e-12</v>
      </c>
      <c r="K14" s="4">
        <v>1.6165312263872e-12</v>
      </c>
      <c r="L14" s="4">
        <v>1.6165842033816e-12</v>
      </c>
      <c r="M14" s="4">
        <v>1.6165170520476e-12</v>
      </c>
      <c r="N14" s="4">
        <v>1.6988998580799e-12</v>
      </c>
      <c r="O14" s="4">
        <v>1.5334188006833e-12</v>
      </c>
      <c r="P14" s="4">
        <v>1.6988737139462e-12</v>
      </c>
      <c r="Q14" s="4">
        <v>1.6990907260186e-12</v>
      </c>
      <c r="R14" s="4">
        <v>1.8688953091e-12</v>
      </c>
      <c r="S14" s="4">
        <v>1.8688756012444e-12</v>
      </c>
      <c r="T14" s="4">
        <v>1.8688927555853e-12</v>
      </c>
      <c r="U14" s="4">
        <v>1.5334251888556e-12</v>
      </c>
      <c r="V14" s="4">
        <v>1.6165606033706e-12</v>
      </c>
      <c r="W14" s="4">
        <v>1.6166123318432e-12</v>
      </c>
      <c r="X14" s="4">
        <v>1.6165491858821e-12</v>
      </c>
      <c r="Y14" s="4">
        <v>1.6988957040503e-12</v>
      </c>
      <c r="Z14" s="4">
        <v>1.6991023412753e-12</v>
      </c>
      <c r="AA14" s="4">
        <v>1.6991582725999e-12</v>
      </c>
      <c r="AB14" s="3">
        <v>0.9992768746817</v>
      </c>
      <c r="AC14" s="3">
        <v>0.87141554503703</v>
      </c>
      <c r="AD14" s="3">
        <v>0.00057355784758627</v>
      </c>
      <c r="AE14" s="4">
        <v>-7.7954261752599e-14</v>
      </c>
      <c r="AF14" s="4">
        <v>4.1976401963429e-13</v>
      </c>
      <c r="AG14" s="4">
        <v>2.794760330285e-13</v>
      </c>
      <c r="AH14" s="4">
        <v>1.0553743394874e-14</v>
      </c>
      <c r="AI14" s="4">
        <v>-8.8657709275158e-15</v>
      </c>
      <c r="AJ14" s="4">
        <v>7.6369119016367e-14</v>
      </c>
      <c r="AK14" s="4">
        <v>1.1562255145912e-15</v>
      </c>
      <c r="AL14" s="4">
        <v>5.836504264441e-14</v>
      </c>
      <c r="AM14" s="4">
        <v>2.8756526108361e-14</v>
      </c>
      <c r="AN14" s="4">
        <v>-1.7729494736405e-14</v>
      </c>
      <c r="AO14" s="4">
        <v>8.4388104874415e-14</v>
      </c>
      <c r="AP14" s="4">
        <v>1.0734598197751e-15</v>
      </c>
      <c r="AQ14" s="4">
        <v>2.9555643635524e-14</v>
      </c>
      <c r="AR14" s="4">
        <v>-5.5314622644399e-13</v>
      </c>
      <c r="AS14" s="4">
        <v>-4.9337379306442e-14</v>
      </c>
      <c r="AT14" s="4">
        <v>2.0011468367121e-14</v>
      </c>
      <c r="AU14" s="4">
        <v>-7.6233210171674e-14</v>
      </c>
      <c r="AV14" s="4">
        <v>-5.5107518076435e-14</v>
      </c>
      <c r="AW14" s="4">
        <v>-3.9231537818668e-14</v>
      </c>
      <c r="AX14" s="4">
        <v>2.9933472041859e-13</v>
      </c>
      <c r="AY14" s="4">
        <v>5.9070625611669e-14</v>
      </c>
      <c r="AZ14" s="4">
        <v>-1.7510540531346e-13</v>
      </c>
      <c r="BA14" s="4">
        <v>4.12126495256e-13</v>
      </c>
      <c r="BB14" s="4">
        <v>-1.1213032811653e-12</v>
      </c>
      <c r="BC14" s="3">
        <v>15999281.742657</v>
      </c>
      <c r="BD14" s="3">
        <v>3999936.0401995</v>
      </c>
      <c r="BE14" s="3">
        <v>-0.0002796631492708</v>
      </c>
      <c r="BF14" s="3">
        <v>0.00058691565737168</v>
      </c>
      <c r="BG14" s="3">
        <v>0.00016771043077136</v>
      </c>
      <c r="BH14" s="3">
        <v>-0.00098065930753406</v>
      </c>
      <c r="BI14" s="3">
        <v>139.71341780797</v>
      </c>
      <c r="BJ14" s="3">
        <v>69.864985335765</v>
      </c>
      <c r="BK14" s="3">
        <v>128.54222963986</v>
      </c>
      <c r="BL14" s="5"/>
    </row>
    <row r="15" spans="1:64">
      <c r="A15" s="3">
        <v>79244.659623056</v>
      </c>
      <c r="B15" s="4">
        <v>1.902849520638e-6</v>
      </c>
      <c r="C15" s="4">
        <f t="shared" si="0"/>
        <v>2.69257871210056e-11</v>
      </c>
      <c r="D15" s="4">
        <v>1.5334944833659e-12</v>
      </c>
      <c r="E15" s="4">
        <v>1.8689237461825e-12</v>
      </c>
      <c r="F15" s="4">
        <v>1.8689005869611e-12</v>
      </c>
      <c r="G15" s="4">
        <v>1.8688419248235e-12</v>
      </c>
      <c r="H15" s="4">
        <v>1.5334114689259e-12</v>
      </c>
      <c r="I15" s="4">
        <v>1.5334350372095e-12</v>
      </c>
      <c r="J15" s="4">
        <v>1.5334195723406e-12</v>
      </c>
      <c r="K15" s="4">
        <v>1.616509888018e-12</v>
      </c>
      <c r="L15" s="4">
        <v>1.6165692961619e-12</v>
      </c>
      <c r="M15" s="4">
        <v>1.6164939843401e-12</v>
      </c>
      <c r="N15" s="4">
        <v>1.6988714177922e-12</v>
      </c>
      <c r="O15" s="4">
        <v>1.5334126307414e-12</v>
      </c>
      <c r="P15" s="4">
        <v>1.6988421386239e-12</v>
      </c>
      <c r="Q15" s="4">
        <v>1.6990844283373e-12</v>
      </c>
      <c r="R15" s="4">
        <v>1.868843340602e-12</v>
      </c>
      <c r="S15" s="4">
        <v>1.8688212526385e-12</v>
      </c>
      <c r="T15" s="4">
        <v>1.8688404962725e-12</v>
      </c>
      <c r="U15" s="4">
        <v>1.5334198021712e-12</v>
      </c>
      <c r="V15" s="4">
        <v>1.6165427977201e-12</v>
      </c>
      <c r="W15" s="4">
        <v>1.6166008007901e-12</v>
      </c>
      <c r="X15" s="4">
        <v>1.6165300519882e-12</v>
      </c>
      <c r="Y15" s="4">
        <v>1.6988668006885e-12</v>
      </c>
      <c r="Z15" s="4">
        <v>1.6990980897615e-12</v>
      </c>
      <c r="AA15" s="4">
        <v>1.6991601040538e-12</v>
      </c>
      <c r="AB15" s="3">
        <v>0.99935470851197</v>
      </c>
      <c r="AC15" s="3">
        <v>0.87146489687675</v>
      </c>
      <c r="AD15" s="3">
        <v>0.00057374742343997</v>
      </c>
      <c r="AE15" s="4">
        <v>-7.7827162719303e-14</v>
      </c>
      <c r="AF15" s="4">
        <v>4.1842869579375e-13</v>
      </c>
      <c r="AG15" s="4">
        <v>2.7912026967526e-13</v>
      </c>
      <c r="AH15" s="4">
        <v>1.0644914105633e-14</v>
      </c>
      <c r="AI15" s="4">
        <v>-8.8673766710331e-15</v>
      </c>
      <c r="AJ15" s="4">
        <v>7.6264065678183e-14</v>
      </c>
      <c r="AK15" s="4">
        <v>1.1452770342709e-15</v>
      </c>
      <c r="AL15" s="4">
        <v>5.828365291419e-14</v>
      </c>
      <c r="AM15" s="4">
        <v>2.8840334893513e-14</v>
      </c>
      <c r="AN15" s="4">
        <v>-1.7693921545482e-14</v>
      </c>
      <c r="AO15" s="4">
        <v>8.400426767515e-14</v>
      </c>
      <c r="AP15" s="4">
        <v>1.0716131639386e-15</v>
      </c>
      <c r="AQ15" s="4">
        <v>2.9369073091764e-14</v>
      </c>
      <c r="AR15" s="4">
        <v>-5.4542375708129e-13</v>
      </c>
      <c r="AS15" s="4">
        <v>-4.9100571298659e-14</v>
      </c>
      <c r="AT15" s="4">
        <v>1.9942917285049e-14</v>
      </c>
      <c r="AU15" s="4">
        <v>-7.611507016759e-14</v>
      </c>
      <c r="AV15" s="4">
        <v>-5.5113140253684e-14</v>
      </c>
      <c r="AW15" s="4">
        <v>-3.9125527140032e-14</v>
      </c>
      <c r="AX15" s="4">
        <v>2.9853396174188e-13</v>
      </c>
      <c r="AY15" s="4">
        <v>5.8998111975231e-14</v>
      </c>
      <c r="AZ15" s="4">
        <v>-1.7476754073173e-13</v>
      </c>
      <c r="BA15" s="4">
        <v>4.0944434463651e-13</v>
      </c>
      <c r="BB15" s="4">
        <v>-1.1101992113688e-12</v>
      </c>
      <c r="BC15" s="3">
        <v>15999194.116698</v>
      </c>
      <c r="BD15" s="3">
        <v>3999927.7998215</v>
      </c>
      <c r="BE15" s="3">
        <v>-0.00027966012892086</v>
      </c>
      <c r="BF15" s="3">
        <v>0.00058714769794582</v>
      </c>
      <c r="BG15" s="3">
        <v>0.00016782253650934</v>
      </c>
      <c r="BH15" s="3">
        <v>-0.00098077430931467</v>
      </c>
      <c r="BI15" s="3">
        <v>139.71341587403</v>
      </c>
      <c r="BJ15" s="3">
        <v>69.864986126921</v>
      </c>
      <c r="BK15" s="3">
        <v>128.54003495657</v>
      </c>
      <c r="BL15" s="5"/>
    </row>
    <row r="16" spans="1:64">
      <c r="A16" s="3">
        <v>88913.970501947</v>
      </c>
      <c r="B16" s="4">
        <v>2.1343726879909e-6</v>
      </c>
      <c r="C16" s="4">
        <f t="shared" si="0"/>
        <v>2.69082537027592e-11</v>
      </c>
      <c r="D16" s="4">
        <v>1.5334973374422e-12</v>
      </c>
      <c r="E16" s="4">
        <v>1.8688752581298e-12</v>
      </c>
      <c r="F16" s="4">
        <v>1.8688494175405e-12</v>
      </c>
      <c r="G16" s="4">
        <v>1.868783652304e-12</v>
      </c>
      <c r="H16" s="4">
        <v>1.533404235181e-12</v>
      </c>
      <c r="I16" s="4">
        <v>1.5334306640367e-12</v>
      </c>
      <c r="J16" s="4">
        <v>1.5334133253354e-12</v>
      </c>
      <c r="K16" s="4">
        <v>1.6164859938594e-12</v>
      </c>
      <c r="L16" s="4">
        <v>1.6165526060396e-12</v>
      </c>
      <c r="M16" s="4">
        <v>1.6164681507832e-12</v>
      </c>
      <c r="N16" s="4">
        <v>1.6988393957634e-12</v>
      </c>
      <c r="O16" s="4">
        <v>1.5334055380275e-12</v>
      </c>
      <c r="P16" s="4">
        <v>1.6988066140619e-12</v>
      </c>
      <c r="Q16" s="4">
        <v>1.69907699625e-12</v>
      </c>
      <c r="R16" s="4">
        <v>1.8687852062704e-12</v>
      </c>
      <c r="S16" s="4">
        <v>1.8687604551075e-12</v>
      </c>
      <c r="T16" s="4">
        <v>1.8687820407878e-12</v>
      </c>
      <c r="U16" s="4">
        <v>1.5334135888094e-12</v>
      </c>
      <c r="V16" s="4">
        <v>1.6165228525418e-12</v>
      </c>
      <c r="W16" s="4">
        <v>1.6165878834178e-12</v>
      </c>
      <c r="X16" s="4">
        <v>1.6165086331905e-12</v>
      </c>
      <c r="Y16" s="4">
        <v>1.6988342694628e-12</v>
      </c>
      <c r="Z16" s="4">
        <v>1.6990930713968e-12</v>
      </c>
      <c r="AA16" s="4">
        <v>1.6991617651477e-12</v>
      </c>
      <c r="AB16" s="3">
        <v>0.99942469963079</v>
      </c>
      <c r="AC16" s="3">
        <v>0.87152039520606</v>
      </c>
      <c r="AD16" s="3">
        <v>0.00057395994916347</v>
      </c>
      <c r="AE16" s="4">
        <v>-7.7683990915354e-14</v>
      </c>
      <c r="AF16" s="4">
        <v>4.1694651761698e-13</v>
      </c>
      <c r="AG16" s="4">
        <v>2.7872160247495e-13</v>
      </c>
      <c r="AH16" s="4">
        <v>1.0746397833303e-14</v>
      </c>
      <c r="AI16" s="4">
        <v>-8.8691231486589e-15</v>
      </c>
      <c r="AJ16" s="4">
        <v>7.6146322031734e-14</v>
      </c>
      <c r="AK16" s="4">
        <v>1.1333265728316e-15</v>
      </c>
      <c r="AL16" s="4">
        <v>5.8193424355729e-14</v>
      </c>
      <c r="AM16" s="4">
        <v>2.8936166084586e-14</v>
      </c>
      <c r="AN16" s="4">
        <v>-1.7654078161232e-14</v>
      </c>
      <c r="AO16" s="4">
        <v>8.3579305202207e-14</v>
      </c>
      <c r="AP16" s="4">
        <v>1.069559483279e-15</v>
      </c>
      <c r="AQ16" s="4">
        <v>2.9165694088696e-14</v>
      </c>
      <c r="AR16" s="4">
        <v>-5.3716786559634e-13</v>
      </c>
      <c r="AS16" s="4">
        <v>-4.8837786226995e-14</v>
      </c>
      <c r="AT16" s="4">
        <v>1.9866767829203e-14</v>
      </c>
      <c r="AU16" s="4">
        <v>-7.5982827421747e-14</v>
      </c>
      <c r="AV16" s="4">
        <v>-5.5119270828025e-14</v>
      </c>
      <c r="AW16" s="4">
        <v>-3.9006912624486e-14</v>
      </c>
      <c r="AX16" s="4">
        <v>2.9764399033737e-13</v>
      </c>
      <c r="AY16" s="4">
        <v>5.8916866887912e-14</v>
      </c>
      <c r="AZ16" s="4">
        <v>-1.7439026691565e-13</v>
      </c>
      <c r="BA16" s="4">
        <v>4.0648809108265e-13</v>
      </c>
      <c r="BB16" s="4">
        <v>-1.0982480927179e-12</v>
      </c>
      <c r="BC16" s="3">
        <v>15999095.826794</v>
      </c>
      <c r="BD16" s="3">
        <v>3999918.4536829</v>
      </c>
      <c r="BE16" s="3">
        <v>-0.00027965658416622</v>
      </c>
      <c r="BF16" s="3">
        <v>0.00058740788221608</v>
      </c>
      <c r="BG16" s="3">
        <v>0.00016794832944146</v>
      </c>
      <c r="BH16" s="3">
        <v>-0.00098090082976851</v>
      </c>
      <c r="BI16" s="3">
        <v>139.71341372469</v>
      </c>
      <c r="BJ16" s="3">
        <v>69.864987012777</v>
      </c>
      <c r="BK16" s="3">
        <v>128.53757287307</v>
      </c>
      <c r="BL16" s="5"/>
    </row>
    <row r="17" spans="1:64">
      <c r="A17" s="3">
        <v>99763.115748445</v>
      </c>
      <c r="B17" s="4">
        <v>2.3939375027887e-6</v>
      </c>
      <c r="C17" s="4">
        <f t="shared" si="0"/>
        <v>2.68892066888098e-11</v>
      </c>
      <c r="D17" s="4">
        <v>1.5335003218553e-12</v>
      </c>
      <c r="E17" s="4">
        <v>1.8688210184035e-12</v>
      </c>
      <c r="F17" s="4">
        <v>1.8687922049077e-12</v>
      </c>
      <c r="G17" s="4">
        <v>1.8687184875003e-12</v>
      </c>
      <c r="H17" s="4">
        <v>1.533395916509e-12</v>
      </c>
      <c r="I17" s="4">
        <v>1.5334255496803e-12</v>
      </c>
      <c r="J17" s="4">
        <v>1.53340611279e-12</v>
      </c>
      <c r="K17" s="4">
        <v>1.6164592431181e-12</v>
      </c>
      <c r="L17" s="4">
        <v>1.6165339235066e-12</v>
      </c>
      <c r="M17" s="4">
        <v>1.6164392251751e-12</v>
      </c>
      <c r="N17" s="4">
        <v>1.6988033321936e-12</v>
      </c>
      <c r="O17" s="4">
        <v>1.5333973773265e-12</v>
      </c>
      <c r="P17" s="4">
        <v>1.6987666392646e-12</v>
      </c>
      <c r="Q17" s="4">
        <v>1.6990682173399e-12</v>
      </c>
      <c r="R17" s="4">
        <v>1.868720187859e-12</v>
      </c>
      <c r="S17" s="4">
        <v>1.8686924576729e-12</v>
      </c>
      <c r="T17" s="4">
        <v>1.8687166684209e-12</v>
      </c>
      <c r="U17" s="4">
        <v>1.5334064154156e-12</v>
      </c>
      <c r="V17" s="4">
        <v>1.6165005141126e-12</v>
      </c>
      <c r="W17" s="4">
        <v>1.6165734148827e-12</v>
      </c>
      <c r="X17" s="4">
        <v>1.6164846621858e-12</v>
      </c>
      <c r="Y17" s="4">
        <v>1.6987976472973e-12</v>
      </c>
      <c r="Z17" s="4">
        <v>1.6990871372879e-12</v>
      </c>
      <c r="AA17" s="4">
        <v>1.69916315549e-12</v>
      </c>
      <c r="AB17" s="3">
        <v>0.9994875617877</v>
      </c>
      <c r="AC17" s="3">
        <v>0.87158280378712</v>
      </c>
      <c r="AD17" s="3">
        <v>0.00057419818576487</v>
      </c>
      <c r="AE17" s="4">
        <v>-7.7522716401975e-14</v>
      </c>
      <c r="AF17" s="4">
        <v>4.1530332249577e-13</v>
      </c>
      <c r="AG17" s="4">
        <v>2.7827496790684e-13</v>
      </c>
      <c r="AH17" s="4">
        <v>1.0859265803348e-14</v>
      </c>
      <c r="AI17" s="4">
        <v>-8.8710157286542e-15</v>
      </c>
      <c r="AJ17" s="4">
        <v>7.6014397061349e-14</v>
      </c>
      <c r="AK17" s="4">
        <v>1.1203238961658e-15</v>
      </c>
      <c r="AL17" s="4">
        <v>5.8093533324609e-14</v>
      </c>
      <c r="AM17" s="4">
        <v>2.9045820730494e-14</v>
      </c>
      <c r="AN17" s="4">
        <v>-1.7609462562508e-14</v>
      </c>
      <c r="AO17" s="4">
        <v>8.3109506162778e-14</v>
      </c>
      <c r="AP17" s="4">
        <v>1.0672789625599e-15</v>
      </c>
      <c r="AQ17" s="4">
        <v>2.8944601542895e-14</v>
      </c>
      <c r="AR17" s="4">
        <v>-5.2837911950362e-13</v>
      </c>
      <c r="AS17" s="4">
        <v>-4.8546537265462e-14</v>
      </c>
      <c r="AT17" s="4">
        <v>1.9782271519567e-14</v>
      </c>
      <c r="AU17" s="4">
        <v>-7.5834844241523e-14</v>
      </c>
      <c r="AV17" s="4">
        <v>-5.5125934706367e-14</v>
      </c>
      <c r="AW17" s="4">
        <v>-3.8874274856652e-14</v>
      </c>
      <c r="AX17" s="4">
        <v>2.9665596892028e-13</v>
      </c>
      <c r="AY17" s="4">
        <v>5.882586474819e-14</v>
      </c>
      <c r="AZ17" s="4">
        <v>-1.7396924588841e-13</v>
      </c>
      <c r="BA17" s="4">
        <v>4.0323603163448e-13</v>
      </c>
      <c r="BB17" s="4">
        <v>-1.0854314167878e-12</v>
      </c>
      <c r="BC17" s="3">
        <v>15998985.578257</v>
      </c>
      <c r="BD17" s="3">
        <v>3999907.8448751</v>
      </c>
      <c r="BE17" s="3">
        <v>-0.00027965241660254</v>
      </c>
      <c r="BF17" s="3">
        <v>0.00058769960712501</v>
      </c>
      <c r="BG17" s="3">
        <v>0.00016808948092566</v>
      </c>
      <c r="BH17" s="3">
        <v>-0.00098103974398078</v>
      </c>
      <c r="BI17" s="3">
        <v>139.71341133778</v>
      </c>
      <c r="BJ17" s="3">
        <v>69.864988004522</v>
      </c>
      <c r="BK17" s="3">
        <v>128.53481088228</v>
      </c>
      <c r="BL17" s="5"/>
    </row>
    <row r="18" spans="1:64">
      <c r="A18" s="3">
        <v>111936.05692842</v>
      </c>
      <c r="B18" s="4">
        <v>2.6849208948241e-6</v>
      </c>
      <c r="C18" s="4">
        <f t="shared" si="0"/>
        <v>2.6868566248237e-11</v>
      </c>
      <c r="D18" s="4">
        <v>1.5335034108515e-12</v>
      </c>
      <c r="E18" s="4">
        <v>1.868760353991e-12</v>
      </c>
      <c r="F18" s="4">
        <v>1.8687282488361e-12</v>
      </c>
      <c r="G18" s="4">
        <v>1.8686456311849e-12</v>
      </c>
      <c r="H18" s="4">
        <v>1.533386342906e-12</v>
      </c>
      <c r="I18" s="4">
        <v>1.5334195647169e-12</v>
      </c>
      <c r="J18" s="4">
        <v>1.5333977790051e-12</v>
      </c>
      <c r="K18" s="4">
        <v>1.616429300677e-12</v>
      </c>
      <c r="L18" s="4">
        <v>1.616513015107e-12</v>
      </c>
      <c r="M18" s="4">
        <v>1.6164068439375e-12</v>
      </c>
      <c r="N18" s="4">
        <v>1.6987627071822e-12</v>
      </c>
      <c r="O18" s="4">
        <v>1.53338798063e-12</v>
      </c>
      <c r="P18" s="4">
        <v>1.6987216489523e-12</v>
      </c>
      <c r="Q18" s="4">
        <v>1.6990578403708e-12</v>
      </c>
      <c r="R18" s="4">
        <v>1.8686474849685e-12</v>
      </c>
      <c r="S18" s="4">
        <v>1.868616423645e-12</v>
      </c>
      <c r="T18" s="4">
        <v>1.8686435762922e-12</v>
      </c>
      <c r="U18" s="4">
        <v>1.5333981273238e-12</v>
      </c>
      <c r="V18" s="4">
        <v>1.6164754992077e-12</v>
      </c>
      <c r="W18" s="4">
        <v>1.6165572109745e-12</v>
      </c>
      <c r="X18" s="4">
        <v>1.616457841527e-12</v>
      </c>
      <c r="Y18" s="4">
        <v>1.6987564111012e-12</v>
      </c>
      <c r="Z18" s="4">
        <v>1.6990801089868e-12</v>
      </c>
      <c r="AA18" s="4">
        <v>1.6991641485684e-12</v>
      </c>
      <c r="AB18" s="3">
        <v>0.99954395646171</v>
      </c>
      <c r="AC18" s="3">
        <v>0.87165297758151</v>
      </c>
      <c r="AD18" s="3">
        <v>0.00057446522340898</v>
      </c>
      <c r="AE18" s="4">
        <v>-7.734106729227e-14</v>
      </c>
      <c r="AF18" s="4">
        <v>4.1348403846878e-13</v>
      </c>
      <c r="AG18" s="4">
        <v>2.7777474108418e-13</v>
      </c>
      <c r="AH18" s="4">
        <v>1.098467999226e-14</v>
      </c>
      <c r="AI18" s="4">
        <v>-8.8730581642877e-15</v>
      </c>
      <c r="AJ18" s="4">
        <v>7.5866639504053e-14</v>
      </c>
      <c r="AK18" s="4">
        <v>1.1062263067298e-15</v>
      </c>
      <c r="AL18" s="4">
        <v>5.7983110690803e-14</v>
      </c>
      <c r="AM18" s="4">
        <v>2.917136433487e-14</v>
      </c>
      <c r="AN18" s="4">
        <v>-1.7559516733544e-14</v>
      </c>
      <c r="AO18" s="4">
        <v>8.2590981835487e-14</v>
      </c>
      <c r="AP18" s="4">
        <v>1.0647509026395e-15</v>
      </c>
      <c r="AQ18" s="4">
        <v>2.8704961590507e-14</v>
      </c>
      <c r="AR18" s="4">
        <v>-5.1906476342553e-13</v>
      </c>
      <c r="AS18" s="4">
        <v>-4.8224183379109e-14</v>
      </c>
      <c r="AT18" s="4">
        <v>1.9688627425172e-14</v>
      </c>
      <c r="AU18" s="4">
        <v>-7.566930498869e-14</v>
      </c>
      <c r="AV18" s="4">
        <v>-5.5133152937204e-14</v>
      </c>
      <c r="AW18" s="4">
        <v>-3.8726060198658e-14</v>
      </c>
      <c r="AX18" s="4">
        <v>2.9556044903666e-13</v>
      </c>
      <c r="AY18" s="4">
        <v>5.8723967857214e-14</v>
      </c>
      <c r="AZ18" s="4">
        <v>-1.7349972903827e-13</v>
      </c>
      <c r="BA18" s="4">
        <v>3.9966615010416e-13</v>
      </c>
      <c r="BB18" s="4">
        <v>-1.0717381119528e-12</v>
      </c>
      <c r="BC18" s="3">
        <v>15998861.919862</v>
      </c>
      <c r="BD18" s="3">
        <v>3999895.792898</v>
      </c>
      <c r="BE18" s="3">
        <v>-0.00027964750877475</v>
      </c>
      <c r="BF18" s="3">
        <v>0.00058802667660154</v>
      </c>
      <c r="BG18" s="3">
        <v>0.00016824786634138</v>
      </c>
      <c r="BH18" s="3">
        <v>-0.00098119193407133</v>
      </c>
      <c r="BI18" s="3">
        <v>139.7134086891</v>
      </c>
      <c r="BJ18" s="3">
        <v>69.864989114658</v>
      </c>
      <c r="BK18" s="3">
        <v>128.53171254714</v>
      </c>
      <c r="BL18" s="5"/>
    </row>
    <row r="19" spans="1:64">
      <c r="A19" s="3">
        <v>125594.32157548</v>
      </c>
      <c r="B19" s="4">
        <v>3.0111031116135e-6</v>
      </c>
      <c r="C19" s="4">
        <f t="shared" si="0"/>
        <v>2.68462554325174e-11</v>
      </c>
      <c r="D19" s="4">
        <v>1.5335065689862e-12</v>
      </c>
      <c r="E19" s="4">
        <v>1.8686925133166e-12</v>
      </c>
      <c r="F19" s="4">
        <v>1.868656769056e-12</v>
      </c>
      <c r="G19" s="4">
        <v>1.8685641932071e-12</v>
      </c>
      <c r="H19" s="4">
        <v>1.5333753181088e-12</v>
      </c>
      <c r="I19" s="4">
        <v>1.5334125580689e-12</v>
      </c>
      <c r="J19" s="4">
        <v>1.5333881437003e-12</v>
      </c>
      <c r="K19" s="4">
        <v>1.6163957933561e-12</v>
      </c>
      <c r="L19" s="4">
        <v>1.6164896207766e-12</v>
      </c>
      <c r="M19" s="4">
        <v>1.6163706020135e-12</v>
      </c>
      <c r="N19" s="4">
        <v>1.6987169328856e-12</v>
      </c>
      <c r="O19" s="4">
        <v>1.533377153895e-12</v>
      </c>
      <c r="P19" s="4">
        <v>1.6986710053884e-12</v>
      </c>
      <c r="Q19" s="4">
        <v>1.6990455688568e-12</v>
      </c>
      <c r="R19" s="4">
        <v>1.8685662055982e-12</v>
      </c>
      <c r="S19" s="4">
        <v>1.8685314208394e-12</v>
      </c>
      <c r="T19" s="4">
        <v>1.8685618699629e-12</v>
      </c>
      <c r="U19" s="4">
        <v>1.5333885455044e-12</v>
      </c>
      <c r="V19" s="4">
        <v>1.6164474917282e-12</v>
      </c>
      <c r="W19" s="4">
        <v>1.6165390658257e-12</v>
      </c>
      <c r="X19" s="4">
        <v>1.6164278404101e-12</v>
      </c>
      <c r="Y19" s="4">
        <v>1.6987099700188e-12</v>
      </c>
      <c r="Z19" s="4">
        <v>1.6990717728302e-12</v>
      </c>
      <c r="AA19" s="4">
        <v>1.6991645867418e-12</v>
      </c>
      <c r="AB19" s="3">
        <v>0.99959449426614</v>
      </c>
      <c r="AC19" s="3">
        <v>0.87173187192312</v>
      </c>
      <c r="AD19" s="3">
        <v>0.00057476452026228</v>
      </c>
      <c r="AE19" s="4">
        <v>-7.7136507899117e-14</v>
      </c>
      <c r="AF19" s="4">
        <v>4.1147272991139e-13</v>
      </c>
      <c r="AG19" s="4">
        <v>2.7721468487776e-13</v>
      </c>
      <c r="AH19" s="4">
        <v>1.112389683109e-14</v>
      </c>
      <c r="AI19" s="4">
        <v>-8.875252028253e-15</v>
      </c>
      <c r="AJ19" s="4">
        <v>7.5701225427636e-14</v>
      </c>
      <c r="AK19" s="4">
        <v>1.0910015147785e-15</v>
      </c>
      <c r="AL19" s="4">
        <v>5.7861246432565e-14</v>
      </c>
      <c r="AM19" s="4">
        <v>2.931515874392e-14</v>
      </c>
      <c r="AN19" s="4">
        <v>-1.7503621324533e-14</v>
      </c>
      <c r="AO19" s="4">
        <v>8.2019693970924e-14</v>
      </c>
      <c r="AP19" s="4">
        <v>1.0619539994616e-15</v>
      </c>
      <c r="AQ19" s="4">
        <v>2.8446038623018e-14</v>
      </c>
      <c r="AR19" s="4">
        <v>-5.0923919976651e-13</v>
      </c>
      <c r="AS19" s="4">
        <v>-4.7867939172382e-14</v>
      </c>
      <c r="AT19" s="4">
        <v>1.9584983199265e-14</v>
      </c>
      <c r="AU19" s="4">
        <v>-7.5484199966916e-14</v>
      </c>
      <c r="AV19" s="4">
        <v>-5.5140941178603e-14</v>
      </c>
      <c r="AW19" s="4">
        <v>-3.8560575837638e-14</v>
      </c>
      <c r="AX19" s="4">
        <v>2.9434739224188e-13</v>
      </c>
      <c r="AY19" s="4">
        <v>5.8609916751037e-14</v>
      </c>
      <c r="AZ19" s="4">
        <v>-1.7297653520562e-13</v>
      </c>
      <c r="BA19" s="4">
        <v>3.95756454585e-13</v>
      </c>
      <c r="BB19" s="4">
        <v>-1.0571654409674e-12</v>
      </c>
      <c r="BC19" s="3">
        <v>15998723.225038</v>
      </c>
      <c r="BD19" s="3">
        <v>3999882.0899821</v>
      </c>
      <c r="BE19" s="3">
        <v>-0.00027964172055715</v>
      </c>
      <c r="BF19" s="3">
        <v>0.00058839334986302</v>
      </c>
      <c r="BG19" s="3">
        <v>0.00016842558995256</v>
      </c>
      <c r="BH19" s="3">
        <v>-0.00098135826894912</v>
      </c>
      <c r="BI19" s="3">
        <v>139.71340575226</v>
      </c>
      <c r="BJ19" s="3">
        <v>69.864990357134</v>
      </c>
      <c r="BK19" s="3">
        <v>128.52823703168</v>
      </c>
      <c r="BL19" s="5"/>
    </row>
    <row r="20" spans="1:64">
      <c r="A20" s="3">
        <v>140919.14656322</v>
      </c>
      <c r="B20" s="4">
        <v>3.3767154380551e-6</v>
      </c>
      <c r="C20" s="4">
        <f t="shared" si="0"/>
        <v>2.68222005079255e-11</v>
      </c>
      <c r="D20" s="4">
        <v>1.5335097492711e-12</v>
      </c>
      <c r="E20" s="4">
        <v>1.8686166566706e-12</v>
      </c>
      <c r="F20" s="4">
        <v>1.8685768958651e-12</v>
      </c>
      <c r="G20" s="4">
        <v>1.8684731820861e-12</v>
      </c>
      <c r="H20" s="4">
        <v>1.5333626159816e-12</v>
      </c>
      <c r="I20" s="4">
        <v>1.5334043538657e-12</v>
      </c>
      <c r="J20" s="4">
        <v>1.533376998588e-12</v>
      </c>
      <c r="K20" s="4">
        <v>1.6163583057814e-12</v>
      </c>
      <c r="L20" s="4">
        <v>1.6164634508769e-12</v>
      </c>
      <c r="M20" s="4">
        <v>1.6163300483289e-12</v>
      </c>
      <c r="N20" s="4">
        <v>1.6986653447039e-12</v>
      </c>
      <c r="O20" s="4">
        <v>1.5333646734529e-12</v>
      </c>
      <c r="P20" s="4">
        <v>1.6986139892265e-12</v>
      </c>
      <c r="Q20" s="4">
        <v>1.6990310537481e-12</v>
      </c>
      <c r="R20" s="4">
        <v>1.8684753555283e-12</v>
      </c>
      <c r="S20" s="4">
        <v>1.8684364106064e-12</v>
      </c>
      <c r="T20" s="4">
        <v>1.8684705528929e-12</v>
      </c>
      <c r="U20" s="4">
        <v>1.5333774631888e-12</v>
      </c>
      <c r="V20" s="4">
        <v>1.6164161389292e-12</v>
      </c>
      <c r="W20" s="4">
        <v>1.6165187493238e-12</v>
      </c>
      <c r="X20" s="4">
        <v>1.6163942911371e-12</v>
      </c>
      <c r="Y20" s="4">
        <v>1.6986576567268e-12</v>
      </c>
      <c r="Z20" s="4">
        <v>1.6990618732989e-12</v>
      </c>
      <c r="AA20" s="4">
        <v>1.6991642755155e-12</v>
      </c>
      <c r="AB20" s="3">
        <v>0.99963973689336</v>
      </c>
      <c r="AC20" s="3">
        <v>0.87182055202248</v>
      </c>
      <c r="AD20" s="3">
        <v>0.00057509994590037</v>
      </c>
      <c r="AE20" s="4">
        <v>-7.6906217425804e-14</v>
      </c>
      <c r="AF20" s="4">
        <v>4.0925267107317e-13</v>
      </c>
      <c r="AG20" s="4">
        <v>2.7658789786835e-13</v>
      </c>
      <c r="AH20" s="4">
        <v>1.1278270401385e-14</v>
      </c>
      <c r="AI20" s="4">
        <v>-8.8775960462814e-15</v>
      </c>
      <c r="AJ20" s="4">
        <v>7.5516146291836e-14</v>
      </c>
      <c r="AK20" s="4">
        <v>1.0746309212307e-15</v>
      </c>
      <c r="AL20" s="4">
        <v>5.7726995994513e-14</v>
      </c>
      <c r="AM20" s="4">
        <v>2.9479895062931e-14</v>
      </c>
      <c r="AN20" s="4">
        <v>-1.7441090090596e-14</v>
      </c>
      <c r="AO20" s="4">
        <v>8.1391492110489e-14</v>
      </c>
      <c r="AP20" s="4">
        <v>1.0588667336111e-15</v>
      </c>
      <c r="AQ20" s="4">
        <v>2.8167224816812e-14</v>
      </c>
      <c r="AR20" s="4">
        <v>-4.9892425940696e-13</v>
      </c>
      <c r="AS20" s="4">
        <v>-4.7474890043663e-14</v>
      </c>
      <c r="AT20" s="4">
        <v>1.9470437304084e-14</v>
      </c>
      <c r="AU20" s="4">
        <v>-7.5277308699695e-14</v>
      </c>
      <c r="AV20" s="4">
        <v>-5.5149307885126e-14</v>
      </c>
      <c r="AW20" s="4">
        <v>-3.8375987082491e-14</v>
      </c>
      <c r="AX20" s="4">
        <v>2.9300620919286e-13</v>
      </c>
      <c r="AY20" s="4">
        <v>5.8482320458877e-14</v>
      </c>
      <c r="AZ20" s="4">
        <v>-1.7239403204658e-13</v>
      </c>
      <c r="BA20" s="4">
        <v>3.9148538707714e-13</v>
      </c>
      <c r="BB20" s="4">
        <v>-1.0417197294619e-12</v>
      </c>
      <c r="BC20" s="3">
        <v>15998567.670833</v>
      </c>
      <c r="BD20" s="3">
        <v>3999866.4968387</v>
      </c>
      <c r="BE20" s="3">
        <v>-0.0002796348848876</v>
      </c>
      <c r="BF20" s="3">
        <v>0.00058880439539159</v>
      </c>
      <c r="BG20" s="3">
        <v>0.00016862501278464</v>
      </c>
      <c r="BH20" s="3">
        <v>-0.00098153959082894</v>
      </c>
      <c r="BI20" s="3">
        <v>139.71340249854</v>
      </c>
      <c r="BJ20" s="3">
        <v>69.864991747519</v>
      </c>
      <c r="BK20" s="3">
        <v>128.52433857768</v>
      </c>
      <c r="BL20" s="5"/>
    </row>
    <row r="21" spans="1:64">
      <c r="A21" s="3">
        <v>158113.88300842</v>
      </c>
      <c r="B21" s="4">
        <v>3.786493529783e-6</v>
      </c>
      <c r="C21" s="4">
        <f t="shared" si="0"/>
        <v>2.6796331698274e-11</v>
      </c>
      <c r="D21" s="4">
        <v>1.5335128910995e-12</v>
      </c>
      <c r="E21" s="4">
        <v>1.86853184534e-12</v>
      </c>
      <c r="F21" s="4">
        <v>1.8684876595179e-12</v>
      </c>
      <c r="G21" s="4">
        <v>1.8683714933385e-12</v>
      </c>
      <c r="H21" s="4">
        <v>1.5333479765287e-12</v>
      </c>
      <c r="I21" s="4">
        <v>1.533394747968e-12</v>
      </c>
      <c r="J21" s="4">
        <v>1.5333641035924e-12</v>
      </c>
      <c r="K21" s="4">
        <v>1.6163163758158e-12</v>
      </c>
      <c r="L21" s="4">
        <v>1.6164341828805e-12</v>
      </c>
      <c r="M21" s="4">
        <v>1.6162846807671e-12</v>
      </c>
      <c r="N21" s="4">
        <v>1.6986071913998e-12</v>
      </c>
      <c r="O21" s="4">
        <v>1.5333502820462e-12</v>
      </c>
      <c r="P21" s="4">
        <v>1.6985497892836e-12</v>
      </c>
      <c r="Q21" s="4">
        <v>1.6990138851507e-12</v>
      </c>
      <c r="R21" s="4">
        <v>1.868373826382e-12</v>
      </c>
      <c r="S21" s="4">
        <v>1.8683302355216e-12</v>
      </c>
      <c r="T21" s="4">
        <v>1.8683685146019e-12</v>
      </c>
      <c r="U21" s="4">
        <v>1.5333646421489e-12</v>
      </c>
      <c r="V21" s="4">
        <v>1.6163810471921e-12</v>
      </c>
      <c r="W21" s="4">
        <v>1.6164960041774e-12</v>
      </c>
      <c r="X21" s="4">
        <v>1.6163567852138e-12</v>
      </c>
      <c r="Y21" s="4">
        <v>1.6985987176823e-12</v>
      </c>
      <c r="Z21" s="4">
        <v>1.699050105261e-12</v>
      </c>
      <c r="AA21" s="4">
        <v>1.6991629770341e-12</v>
      </c>
      <c r="AB21" s="3">
        <v>0.99968019940528</v>
      </c>
      <c r="AC21" s="3">
        <v>0.87192020261945</v>
      </c>
      <c r="AD21" s="3">
        <v>0.0005754758298205</v>
      </c>
      <c r="AE21" s="4">
        <v>-7.6647070172127e-14</v>
      </c>
      <c r="AF21" s="4">
        <v>4.0680645129137e-13</v>
      </c>
      <c r="AG21" s="4">
        <v>2.7588676227143e-13</v>
      </c>
      <c r="AH21" s="4">
        <v>1.1449255085616e-14</v>
      </c>
      <c r="AI21" s="4">
        <v>-8.8800853045503e-15</v>
      </c>
      <c r="AJ21" s="4">
        <v>7.5309198014791e-14</v>
      </c>
      <c r="AK21" s="4">
        <v>1.0571132822119e-15</v>
      </c>
      <c r="AL21" s="4">
        <v>5.7579388539153e-14</v>
      </c>
      <c r="AM21" s="4">
        <v>2.9668626495478e-14</v>
      </c>
      <c r="AN21" s="4">
        <v>-1.737116420222e-14</v>
      </c>
      <c r="AO21" s="4">
        <v>8.0702161167883e-14</v>
      </c>
      <c r="AP21" s="4">
        <v>1.0554678903744e-15</v>
      </c>
      <c r="AQ21" s="4">
        <v>2.7868071661964e-14</v>
      </c>
      <c r="AR21" s="4">
        <v>-4.881492217873e-13</v>
      </c>
      <c r="AS21" s="4">
        <v>-4.7042013375021e-14</v>
      </c>
      <c r="AT21" s="4">
        <v>1.9344042597446e-14</v>
      </c>
      <c r="AU21" s="4">
        <v>-7.5046182810822e-14</v>
      </c>
      <c r="AV21" s="4">
        <v>-5.5158252159872e-14</v>
      </c>
      <c r="AW21" s="4">
        <v>-3.817031765743e-14</v>
      </c>
      <c r="AX21" s="4">
        <v>2.9152581986436e-13</v>
      </c>
      <c r="AY21" s="4">
        <v>5.8339646930314e-14</v>
      </c>
      <c r="AZ21" s="4">
        <v>-1.7174612201508e-13</v>
      </c>
      <c r="BA21" s="4">
        <v>3.868323066531e-13</v>
      </c>
      <c r="BB21" s="4">
        <v>-1.0254168763279e-12</v>
      </c>
      <c r="BC21" s="3">
        <v>15998393.214363</v>
      </c>
      <c r="BD21" s="3">
        <v>3999848.7377555</v>
      </c>
      <c r="BE21" s="3">
        <v>-0.00027962680274554</v>
      </c>
      <c r="BF21" s="3">
        <v>0.00058926515125284</v>
      </c>
      <c r="BG21" s="3">
        <v>0.00016884878388642</v>
      </c>
      <c r="BH21" s="3">
        <v>-0.00098173668260966</v>
      </c>
      <c r="BI21" s="3">
        <v>139.71339889672</v>
      </c>
      <c r="BJ21" s="3">
        <v>69.864993303213</v>
      </c>
      <c r="BK21" s="3">
        <v>128.51996592105</v>
      </c>
      <c r="BL21" s="5"/>
    </row>
    <row r="22" spans="1:64">
      <c r="A22" s="3">
        <v>177406.69461679</v>
      </c>
      <c r="B22" s="4">
        <v>4.2457370198985e-6</v>
      </c>
      <c r="C22" s="4">
        <f t="shared" si="0"/>
        <v>2.67685833782782e-11</v>
      </c>
      <c r="D22" s="4">
        <v>1.5335159179346e-12</v>
      </c>
      <c r="E22" s="4">
        <v>1.8684370292447e-12</v>
      </c>
      <c r="F22" s="4">
        <v>1.8683879782101e-12</v>
      </c>
      <c r="G22" s="4">
        <v>1.8682578963695e-12</v>
      </c>
      <c r="H22" s="4">
        <v>1.5333311015159e-12</v>
      </c>
      <c r="I22" s="4">
        <v>1.5333835041383e-12</v>
      </c>
      <c r="J22" s="4">
        <v>1.533349182697e-12</v>
      </c>
      <c r="K22" s="4">
        <v>1.6162694894973e-12</v>
      </c>
      <c r="L22" s="4">
        <v>1.6164014576515e-12</v>
      </c>
      <c r="M22" s="4">
        <v>1.6162339405959e-12</v>
      </c>
      <c r="N22" s="4">
        <v>1.6985416240357e-12</v>
      </c>
      <c r="O22" s="4">
        <v>1.5333336844756e-12</v>
      </c>
      <c r="P22" s="4">
        <v>1.6984774911295e-12</v>
      </c>
      <c r="Q22" s="4">
        <v>1.6989935829753e-12</v>
      </c>
      <c r="R22" s="4">
        <v>1.8682603821831e-12</v>
      </c>
      <c r="S22" s="4">
        <v>1.8682116055566e-12</v>
      </c>
      <c r="T22" s="4">
        <v>1.8682545173502e-12</v>
      </c>
      <c r="U22" s="4">
        <v>1.5333498086206e-12</v>
      </c>
      <c r="V22" s="4">
        <v>1.6163417772703e-12</v>
      </c>
      <c r="W22" s="4">
        <v>1.6164705425771e-12</v>
      </c>
      <c r="X22" s="4">
        <v>1.6163148690385e-12</v>
      </c>
      <c r="Y22" s="4">
        <v>1.6985323022067e-12</v>
      </c>
      <c r="Z22" s="4">
        <v>1.6990361049481e-12</v>
      </c>
      <c r="AA22" s="4">
        <v>1.699160402716e-12</v>
      </c>
      <c r="AB22" s="3">
        <v>0.9997163527979</v>
      </c>
      <c r="AC22" s="3">
        <v>0.87203213753275</v>
      </c>
      <c r="AD22" s="3">
        <v>0.00057589701566752</v>
      </c>
      <c r="AE22" s="4">
        <v>-7.6355618468412e-14</v>
      </c>
      <c r="AF22" s="4">
        <v>4.0411611521104e-13</v>
      </c>
      <c r="AG22" s="4">
        <v>2.7510289329967e-13</v>
      </c>
      <c r="AH22" s="4">
        <v>1.1638407663216e-14</v>
      </c>
      <c r="AI22" s="4">
        <v>-8.8827103295226e-15</v>
      </c>
      <c r="AJ22" s="4">
        <v>7.5077971665929e-14</v>
      </c>
      <c r="AK22" s="4">
        <v>1.0384686940027e-15</v>
      </c>
      <c r="AL22" s="4">
        <v>5.7417437082428e-14</v>
      </c>
      <c r="AM22" s="4">
        <v>2.9884799717136e-14</v>
      </c>
      <c r="AN22" s="4">
        <v>-1.7293006561497e-14</v>
      </c>
      <c r="AO22" s="4">
        <v>7.9947479883651e-14</v>
      </c>
      <c r="AP22" s="4">
        <v>1.0517372356759e-15</v>
      </c>
      <c r="AQ22" s="4">
        <v>2.7548322762701e-14</v>
      </c>
      <c r="AR22" s="4">
        <v>-4.7695055642999e-13</v>
      </c>
      <c r="AS22" s="4">
        <v>-4.6566206408777e-14</v>
      </c>
      <c r="AT22" s="4">
        <v>1.9204811425584e-14</v>
      </c>
      <c r="AU22" s="4">
        <v>-7.4788128801163e-14</v>
      </c>
      <c r="AV22" s="4">
        <v>-5.5167761243213e-14</v>
      </c>
      <c r="AW22" s="4">
        <v>-3.7941453881172e-14</v>
      </c>
      <c r="AX22" s="4">
        <v>2.8989473782482e-13</v>
      </c>
      <c r="AY22" s="4">
        <v>5.8180213978627e-14</v>
      </c>
      <c r="AZ22" s="4">
        <v>-1.7102623451065e-13</v>
      </c>
      <c r="BA22" s="4">
        <v>3.8177804354911e-13</v>
      </c>
      <c r="BB22" s="4">
        <v>-1.0082826059993e-12</v>
      </c>
      <c r="BC22" s="3">
        <v>15998197.566472</v>
      </c>
      <c r="BD22" s="3">
        <v>3999828.4949387</v>
      </c>
      <c r="BE22" s="3">
        <v>-0.00027961723725333</v>
      </c>
      <c r="BF22" s="3">
        <v>0.00058978159248898</v>
      </c>
      <c r="BG22" s="3">
        <v>0.00016909987538176</v>
      </c>
      <c r="BH22" s="3">
        <v>-0.00098195024438621</v>
      </c>
      <c r="BI22" s="3">
        <v>139.71339491281</v>
      </c>
      <c r="BJ22" s="3">
        <v>69.864995043627</v>
      </c>
      <c r="BK22" s="3">
        <v>128.51506164136</v>
      </c>
      <c r="BL22" s="5"/>
    </row>
    <row r="23" spans="1:64">
      <c r="A23" s="3">
        <v>199053.58527675</v>
      </c>
      <c r="B23" s="4">
        <v>4.7603761405792e-6</v>
      </c>
      <c r="C23" s="4">
        <f t="shared" si="0"/>
        <v>2.67388942949001e-11</v>
      </c>
      <c r="D23" s="4">
        <v>1.5335187347403e-12</v>
      </c>
      <c r="E23" s="4">
        <v>1.8683310328751e-12</v>
      </c>
      <c r="F23" s="4">
        <v>1.8682766444675e-12</v>
      </c>
      <c r="G23" s="4">
        <v>1.8681310197568e-12</v>
      </c>
      <c r="H23" s="4">
        <v>1.5333116496782e-12</v>
      </c>
      <c r="I23" s="4">
        <v>1.5333703498322e-12</v>
      </c>
      <c r="J23" s="4">
        <v>1.5333319193997e-12</v>
      </c>
      <c r="K23" s="4">
        <v>1.6162170754203e-12</v>
      </c>
      <c r="L23" s="4">
        <v>1.6163648752551e-12</v>
      </c>
      <c r="M23" s="4">
        <v>1.6161772062745e-12</v>
      </c>
      <c r="N23" s="4">
        <v>1.6984676836204e-12</v>
      </c>
      <c r="O23" s="4">
        <v>1.5333145428338e-12</v>
      </c>
      <c r="P23" s="4">
        <v>1.6983960643825e-12</v>
      </c>
      <c r="Q23" s="4">
        <v>1.6989695864161e-12</v>
      </c>
      <c r="R23" s="4">
        <v>1.8681336442238e-12</v>
      </c>
      <c r="S23" s="4">
        <v>1.8680790825483e-12</v>
      </c>
      <c r="T23" s="4">
        <v>1.86812718116e-12</v>
      </c>
      <c r="U23" s="4">
        <v>1.5333326488525e-12</v>
      </c>
      <c r="V23" s="4">
        <v>1.6162978389237e-12</v>
      </c>
      <c r="W23" s="4">
        <v>1.6164420423769e-12</v>
      </c>
      <c r="X23" s="4">
        <v>1.6162680391256e-12</v>
      </c>
      <c r="Y23" s="4">
        <v>1.6984574502897e-12</v>
      </c>
      <c r="Z23" s="4">
        <v>1.699019439508e-12</v>
      </c>
      <c r="AA23" s="4">
        <v>1.6991562049519e-12</v>
      </c>
      <c r="AB23" s="3">
        <v>0.99974862667868</v>
      </c>
      <c r="AC23" s="3">
        <v>0.87215780877265</v>
      </c>
      <c r="AD23" s="3">
        <v>0.00057636892185664</v>
      </c>
      <c r="AE23" s="4">
        <v>-7.602807993384e-14</v>
      </c>
      <c r="AF23" s="4">
        <v>4.0116334046174e-13</v>
      </c>
      <c r="AG23" s="4">
        <v>2.7422709197998e-13</v>
      </c>
      <c r="AH23" s="4">
        <v>1.1847388923227e-14</v>
      </c>
      <c r="AI23" s="4">
        <v>-8.885456026698e-15</v>
      </c>
      <c r="AJ23" s="4">
        <v>7.4819846584138e-14</v>
      </c>
      <c r="AK23" s="4">
        <v>1.0187427958708e-15</v>
      </c>
      <c r="AL23" s="4">
        <v>5.7240150387207e-14</v>
      </c>
      <c r="AM23" s="4">
        <v>3.0132282925251e-14</v>
      </c>
      <c r="AN23" s="4">
        <v>-1.7205696316877e-14</v>
      </c>
      <c r="AO23" s="4">
        <v>7.9123290307259e-14</v>
      </c>
      <c r="AP23" s="4">
        <v>1.0476563636303e-15</v>
      </c>
      <c r="AQ23" s="4">
        <v>2.7207946964046e-14</v>
      </c>
      <c r="AR23" s="4">
        <v>-4.6537137596415e-13</v>
      </c>
      <c r="AS23" s="4">
        <v>-4.6044321280675e-14</v>
      </c>
      <c r="AT23" s="4">
        <v>1.9051722334868e-14</v>
      </c>
      <c r="AU23" s="4">
        <v>-7.4500191114973e-14</v>
      </c>
      <c r="AV23" s="4">
        <v>-5.5177807605956e-14</v>
      </c>
      <c r="AW23" s="4">
        <v>-3.7687153732725e-14</v>
      </c>
      <c r="AX23" s="4">
        <v>2.8810118100351e-13</v>
      </c>
      <c r="AY23" s="4">
        <v>5.8002181127855e-14</v>
      </c>
      <c r="AZ23" s="4">
        <v>-1.7022732598234e-13</v>
      </c>
      <c r="BA23" s="4">
        <v>3.7630551686073e-13</v>
      </c>
      <c r="BB23" s="4">
        <v>-9.9035243693364e-13</v>
      </c>
      <c r="BC23" s="3">
        <v>15997978.162268</v>
      </c>
      <c r="BD23" s="3">
        <v>3999805.4019934</v>
      </c>
      <c r="BE23" s="3">
        <v>-0.00027960590675661</v>
      </c>
      <c r="BF23" s="3">
        <v>0.00059036040641015</v>
      </c>
      <c r="BG23" s="3">
        <v>0.00016938162177216</v>
      </c>
      <c r="BH23" s="3">
        <v>-0.00098218084927285</v>
      </c>
      <c r="BI23" s="3">
        <v>139.7133905099</v>
      </c>
      <c r="BJ23" s="3">
        <v>69.864996990439</v>
      </c>
      <c r="BK23" s="3">
        <v>128.50956143753</v>
      </c>
      <c r="BL23" s="5"/>
    </row>
    <row r="24" spans="1:64">
      <c r="A24" s="3">
        <v>223341.79607548</v>
      </c>
      <c r="B24" s="4">
        <v>5.3370461875409e-6</v>
      </c>
      <c r="C24" s="4">
        <f t="shared" si="0"/>
        <v>2.67072075006042e-11</v>
      </c>
      <c r="D24" s="4">
        <v>1.5335212251259e-12</v>
      </c>
      <c r="E24" s="4">
        <v>1.8682125392883e-12</v>
      </c>
      <c r="F24" s="4">
        <v>1.868152309706e-12</v>
      </c>
      <c r="G24" s="4">
        <v>1.8679893347219e-12</v>
      </c>
      <c r="H24" s="4">
        <v>1.5332892314872e-12</v>
      </c>
      <c r="I24" s="4">
        <v>1.5333549715822e-12</v>
      </c>
      <c r="J24" s="4">
        <v>1.5333119517499e-12</v>
      </c>
      <c r="K24" s="4">
        <v>1.6161584984843e-12</v>
      </c>
      <c r="L24" s="4">
        <v>1.6163239902192e-12</v>
      </c>
      <c r="M24" s="4">
        <v>1.6161137865569e-12</v>
      </c>
      <c r="N24" s="4">
        <v>1.6983842873365e-12</v>
      </c>
      <c r="O24" s="4">
        <v>1.5332924713007e-12</v>
      </c>
      <c r="P24" s="4">
        <v>1.6983043485883e-12</v>
      </c>
      <c r="Q24" s="4">
        <v>1.6989412421388e-12</v>
      </c>
      <c r="R24" s="4">
        <v>1.8679920740176e-12</v>
      </c>
      <c r="S24" s="4">
        <v>1.8679310627448e-12</v>
      </c>
      <c r="T24" s="4">
        <v>1.8679849669564e-12</v>
      </c>
      <c r="U24" s="4">
        <v>1.5333128042574e-12</v>
      </c>
      <c r="V24" s="4">
        <v>1.6162486848452e-12</v>
      </c>
      <c r="W24" s="4">
        <v>1.6164101427108e-12</v>
      </c>
      <c r="X24" s="4">
        <v>1.6162157367998e-12</v>
      </c>
      <c r="Y24" s="4">
        <v>1.6983730789828e-12</v>
      </c>
      <c r="Z24" s="4">
        <v>1.6989995949661e-12</v>
      </c>
      <c r="AA24" s="4">
        <v>1.6991499677743e-12</v>
      </c>
      <c r="AB24" s="3">
        <v>0.99977741202427</v>
      </c>
      <c r="AC24" s="3">
        <v>0.87229881479139</v>
      </c>
      <c r="AD24" s="3">
        <v>0.00057689760936182</v>
      </c>
      <c r="AE24" s="4">
        <v>-7.5660330917382e-14</v>
      </c>
      <c r="AF24" s="4">
        <v>3.9792965376748e-13</v>
      </c>
      <c r="AG24" s="4">
        <v>2.7324930382213e-13</v>
      </c>
      <c r="AH24" s="4">
        <v>1.2077964952395e-14</v>
      </c>
      <c r="AI24" s="4">
        <v>-8.8883004692149e-15</v>
      </c>
      <c r="AJ24" s="4">
        <v>7.4531986828789e-14</v>
      </c>
      <c r="AK24" s="4">
        <v>9.9801104534779e-16</v>
      </c>
      <c r="AL24" s="4">
        <v>5.7046546247567e-14</v>
      </c>
      <c r="AM24" s="4">
        <v>3.0415388241989e-14</v>
      </c>
      <c r="AN24" s="4">
        <v>-1.7108223830569e-14</v>
      </c>
      <c r="AO24" s="4">
        <v>7.8225577891112e-14</v>
      </c>
      <c r="AP24" s="4">
        <v>1.043209735315e-15</v>
      </c>
      <c r="AQ24" s="4">
        <v>2.6847170572779e-14</v>
      </c>
      <c r="AR24" s="4">
        <v>-4.5346061132339e-13</v>
      </c>
      <c r="AS24" s="4">
        <v>-4.5473207421169e-14</v>
      </c>
      <c r="AT24" s="4">
        <v>1.8883728440005e-14</v>
      </c>
      <c r="AU24" s="4">
        <v>-7.4179135972228e-14</v>
      </c>
      <c r="AV24" s="4">
        <v>-5.5188345604297e-14</v>
      </c>
      <c r="AW24" s="4">
        <v>-3.7405061845965e-14</v>
      </c>
      <c r="AX24" s="4">
        <v>2.8613321071288e-13</v>
      </c>
      <c r="AY24" s="4">
        <v>5.780354288012e-14</v>
      </c>
      <c r="AZ24" s="4">
        <v>-1.6934188990174e-13</v>
      </c>
      <c r="BA24" s="4">
        <v>3.7040040257959e-13</v>
      </c>
      <c r="BB24" s="4">
        <v>-9.7167135662149e-13</v>
      </c>
      <c r="BC24" s="3">
        <v>15997732.128164</v>
      </c>
      <c r="BD24" s="3">
        <v>3999779.0364153</v>
      </c>
      <c r="BE24" s="3">
        <v>-0.00027959247672074</v>
      </c>
      <c r="BF24" s="3">
        <v>0.00059100907669577</v>
      </c>
      <c r="BG24" s="3">
        <v>0.00016969776400559</v>
      </c>
      <c r="BH24" s="3">
        <v>-0.00098242888478431</v>
      </c>
      <c r="BI24" s="3">
        <v>139.71338564792</v>
      </c>
      <c r="BJ24" s="3">
        <v>69.864999167878</v>
      </c>
      <c r="BK24" s="3">
        <v>128.50339332192</v>
      </c>
      <c r="BL24" s="5"/>
    </row>
    <row r="25" spans="1:64">
      <c r="A25" s="3">
        <v>250593.61681364</v>
      </c>
      <c r="B25" s="4">
        <v>5.9831707551523e-6</v>
      </c>
      <c r="C25" s="4">
        <f t="shared" si="0"/>
        <v>2.66734701799957e-11</v>
      </c>
      <c r="D25" s="4">
        <v>1.5335232481652e-12</v>
      </c>
      <c r="E25" s="4">
        <v>1.8680800719151e-12</v>
      </c>
      <c r="F25" s="4">
        <v>1.8680134667245e-12</v>
      </c>
      <c r="G25" s="4">
        <v>1.8678311365849e-12</v>
      </c>
      <c r="H25" s="4">
        <v>1.5332634034465e-12</v>
      </c>
      <c r="I25" s="4">
        <v>1.533337009939e-12</v>
      </c>
      <c r="J25" s="4">
        <v>1.5332888669374e-12</v>
      </c>
      <c r="K25" s="4">
        <v>1.6160930529187e-12</v>
      </c>
      <c r="L25" s="4">
        <v>1.6162783061462e-12</v>
      </c>
      <c r="M25" s="4">
        <v>1.6160429127894e-12</v>
      </c>
      <c r="N25" s="4">
        <v>1.698290213224e-12</v>
      </c>
      <c r="O25" s="4">
        <v>1.5332670304673e-12</v>
      </c>
      <c r="P25" s="4">
        <v>1.6982010375528e-12</v>
      </c>
      <c r="Q25" s="4">
        <v>1.6989077910472e-12</v>
      </c>
      <c r="R25" s="4">
        <v>1.8678339541115e-12</v>
      </c>
      <c r="S25" s="4">
        <v>1.8677657572089e-12</v>
      </c>
      <c r="T25" s="4">
        <v>1.8678261576073e-12</v>
      </c>
      <c r="U25" s="4">
        <v>1.5332898661428e-12</v>
      </c>
      <c r="V25" s="4">
        <v>1.6161937037532e-12</v>
      </c>
      <c r="W25" s="4">
        <v>1.6163744389374e-12</v>
      </c>
      <c r="X25" s="4">
        <v>1.6161573422777e-12</v>
      </c>
      <c r="Y25" s="4">
        <v>1.698277967242e-12</v>
      </c>
      <c r="Z25" s="4">
        <v>1.6989759624232e-12</v>
      </c>
      <c r="AA25" s="4">
        <v>1.6991411964024e-12</v>
      </c>
      <c r="AB25" s="3">
        <v>0.99980306392976</v>
      </c>
      <c r="AC25" s="3">
        <v>0.8724569073307</v>
      </c>
      <c r="AD25" s="3">
        <v>0.00057748985753535</v>
      </c>
      <c r="AE25" s="4">
        <v>-7.524790836729e-14</v>
      </c>
      <c r="AF25" s="4">
        <v>3.9439668472706e-13</v>
      </c>
      <c r="AG25" s="4">
        <v>2.7215858650711e-13</v>
      </c>
      <c r="AH25" s="4">
        <v>1.2332008358173e-14</v>
      </c>
      <c r="AI25" s="4">
        <v>-8.8912135384452e-15</v>
      </c>
      <c r="AJ25" s="4">
        <v>7.4211342048552e-14</v>
      </c>
      <c r="AK25" s="4">
        <v>9.7638286731619e-16</v>
      </c>
      <c r="AL25" s="4">
        <v>5.6835665597957e-14</v>
      </c>
      <c r="AM25" s="4">
        <v>3.0738885704616e-14</v>
      </c>
      <c r="AN25" s="4">
        <v>-1.699948642741e-14</v>
      </c>
      <c r="AO25" s="4">
        <v>7.7250561107489e-14</v>
      </c>
      <c r="AP25" s="4">
        <v>1.0383859217343e-15</v>
      </c>
      <c r="AQ25" s="4">
        <v>2.6466507186731e-14</v>
      </c>
      <c r="AR25" s="4">
        <v>-4.4127194202502e-13</v>
      </c>
      <c r="AS25" s="4">
        <v>-4.4849761198532e-14</v>
      </c>
      <c r="AT25" s="4">
        <v>1.8699767410459e-14</v>
      </c>
      <c r="AU25" s="4">
        <v>-7.3821436599041e-14</v>
      </c>
      <c r="AV25" s="4">
        <v>-5.5199307685604e-14</v>
      </c>
      <c r="AW25" s="4">
        <v>-3.7092731570432e-14</v>
      </c>
      <c r="AX25" s="4">
        <v>2.8397889939686e-13</v>
      </c>
      <c r="AY25" s="4">
        <v>5.7582123992607e-14</v>
      </c>
      <c r="AZ25" s="4">
        <v>-1.6836197870259e-13</v>
      </c>
      <c r="BA25" s="4">
        <v>3.640518322754e-13</v>
      </c>
      <c r="BB25" s="4">
        <v>-9.5229321194437e-13</v>
      </c>
      <c r="BC25" s="3">
        <v>15997456.245018</v>
      </c>
      <c r="BD25" s="3">
        <v>3999748.9109544</v>
      </c>
      <c r="BE25" s="3">
        <v>-0.0002795765502551</v>
      </c>
      <c r="BF25" s="3">
        <v>0.00059173597732358</v>
      </c>
      <c r="BG25" s="3">
        <v>0.00017005249888989</v>
      </c>
      <c r="BH25" s="3">
        <v>-0.00098269453442136</v>
      </c>
      <c r="BI25" s="3">
        <v>139.71338028333</v>
      </c>
      <c r="BJ25" s="3">
        <v>69.865001602953</v>
      </c>
      <c r="BK25" s="3">
        <v>128.49647672443</v>
      </c>
      <c r="BL25" s="5"/>
    </row>
    <row r="26" spans="1:64">
      <c r="A26" s="3">
        <v>281170.66259518</v>
      </c>
      <c r="B26" s="4">
        <v>6.7070547821028e-6</v>
      </c>
      <c r="C26" s="4">
        <f t="shared" si="0"/>
        <v>2.66376333629241e-11</v>
      </c>
      <c r="D26" s="4">
        <v>1.5335246348373e-12</v>
      </c>
      <c r="E26" s="4">
        <v>1.8679319738961e-12</v>
      </c>
      <c r="F26" s="4">
        <v>1.8678584298528e-12</v>
      </c>
      <c r="G26" s="4">
        <v>1.867654523976e-12</v>
      </c>
      <c r="H26" s="4">
        <v>1.5332336618725e-12</v>
      </c>
      <c r="I26" s="4">
        <v>1.5333160539193e-12</v>
      </c>
      <c r="J26" s="4">
        <v>1.5332621953906e-12</v>
      </c>
      <c r="K26" s="4">
        <v>1.6160199544731e-12</v>
      </c>
      <c r="L26" s="4">
        <v>1.6162272695628e-12</v>
      </c>
      <c r="M26" s="4">
        <v>1.6159637302818e-12</v>
      </c>
      <c r="N26" s="4">
        <v>1.6981841692368e-12</v>
      </c>
      <c r="O26" s="4">
        <v>1.5332377211442e-12</v>
      </c>
      <c r="P26" s="4">
        <v>1.6980847480456e-12</v>
      </c>
      <c r="Q26" s="4">
        <v>1.6988684395693e-12</v>
      </c>
      <c r="R26" s="4">
        <v>1.8676573665032e-12</v>
      </c>
      <c r="S26" s="4">
        <v>1.8675811698308e-12</v>
      </c>
      <c r="T26" s="4">
        <v>1.867648836612e-12</v>
      </c>
      <c r="U26" s="4">
        <v>1.5332633699826e-12</v>
      </c>
      <c r="V26" s="4">
        <v>1.6161322125079e-12</v>
      </c>
      <c r="W26" s="4">
        <v>1.616334476789e-12</v>
      </c>
      <c r="X26" s="4">
        <v>1.6160921680419e-12</v>
      </c>
      <c r="Y26" s="4">
        <v>1.6981708251226e-12</v>
      </c>
      <c r="Z26" s="4">
        <v>1.6989479083711e-12</v>
      </c>
      <c r="AA26" s="4">
        <v>1.6991293916076e-12</v>
      </c>
      <c r="AB26" s="3">
        <v>0.99982590429336</v>
      </c>
      <c r="AC26" s="3">
        <v>0.87263399671959</v>
      </c>
      <c r="AD26" s="3">
        <v>0.0005781532489348</v>
      </c>
      <c r="AE26" s="4">
        <v>-7.4786022662198e-14</v>
      </c>
      <c r="AF26" s="4">
        <v>3.9054645418169e-13</v>
      </c>
      <c r="AG26" s="4">
        <v>2.7094309026926e-13</v>
      </c>
      <c r="AH26" s="4">
        <v>1.261149982201e-14</v>
      </c>
      <c r="AI26" s="4">
        <v>-8.8941554198325e-15</v>
      </c>
      <c r="AJ26" s="4">
        <v>7.3854653973906e-14</v>
      </c>
      <c r="AK26" s="4">
        <v>9.5400544317922e-16</v>
      </c>
      <c r="AL26" s="4">
        <v>5.6606586540286e-14</v>
      </c>
      <c r="AM26" s="4">
        <v>3.1108005678961e-14</v>
      </c>
      <c r="AN26" s="4">
        <v>-1.6878285356778e-14</v>
      </c>
      <c r="AO26" s="4">
        <v>7.6194788655272e-14</v>
      </c>
      <c r="AP26" s="4">
        <v>1.0331790549141e-15</v>
      </c>
      <c r="AQ26" s="4">
        <v>2.6066783373237e-14</v>
      </c>
      <c r="AR26" s="4">
        <v>-4.2886253481411e-13</v>
      </c>
      <c r="AS26" s="4">
        <v>-4.4170982225916e-14</v>
      </c>
      <c r="AT26" s="4">
        <v>1.8498772930274e-14</v>
      </c>
      <c r="AU26" s="4">
        <v>-7.342326059209e-14</v>
      </c>
      <c r="AV26" s="4">
        <v>-5.5210600131752e-14</v>
      </c>
      <c r="AW26" s="4">
        <v>-3.6747655177188e-14</v>
      </c>
      <c r="AX26" s="4">
        <v>2.8162652605746e-13</v>
      </c>
      <c r="AY26" s="4">
        <v>5.7335577473631e-14</v>
      </c>
      <c r="AZ26" s="4">
        <v>-1.6727923981903e-13</v>
      </c>
      <c r="BA26" s="4">
        <v>3.572530960978e-13</v>
      </c>
      <c r="BB26" s="4">
        <v>-9.3227984009794e-13</v>
      </c>
      <c r="BC26" s="3">
        <v>15997146.906917</v>
      </c>
      <c r="BD26" s="3">
        <v>3999714.4636878</v>
      </c>
      <c r="BE26" s="3">
        <v>-0.00027955765704813</v>
      </c>
      <c r="BF26" s="3">
        <v>0.00059255047745843</v>
      </c>
      <c r="BG26" s="3">
        <v>0.00017045053450083</v>
      </c>
      <c r="BH26" s="3">
        <v>-0.00098297765806807</v>
      </c>
      <c r="BI26" s="3">
        <v>139.71337436896</v>
      </c>
      <c r="BJ26" s="3">
        <v>69.865004325866</v>
      </c>
      <c r="BK26" s="3">
        <v>128.48872149791</v>
      </c>
      <c r="BL26" s="5"/>
    </row>
    <row r="27" spans="1:64">
      <c r="A27" s="3">
        <v>315478.6722401</v>
      </c>
      <c r="B27" s="4">
        <v>7.517988570389e-6</v>
      </c>
      <c r="C27" s="4">
        <f t="shared" si="0"/>
        <v>2.65996517036419e-11</v>
      </c>
      <c r="D27" s="4">
        <v>1.533525184169e-12</v>
      </c>
      <c r="E27" s="4">
        <v>1.8677663846083e-12</v>
      </c>
      <c r="F27" s="4">
        <v>1.8676853124179e-12</v>
      </c>
      <c r="G27" s="4">
        <v>1.8674573755232e-12</v>
      </c>
      <c r="H27" s="4">
        <v>1.5331994362621e-12</v>
      </c>
      <c r="I27" s="4">
        <v>1.533291635055e-12</v>
      </c>
      <c r="J27" s="4">
        <v>1.5332314044857e-12</v>
      </c>
      <c r="K27" s="4">
        <v>1.6159383317165e-12</v>
      </c>
      <c r="L27" s="4">
        <v>1.6161702629387e-12</v>
      </c>
      <c r="M27" s="4">
        <v>1.6158752886798e-12</v>
      </c>
      <c r="N27" s="4">
        <v>1.6980660092955e-12</v>
      </c>
      <c r="O27" s="4">
        <v>1.5332039777566e-12</v>
      </c>
      <c r="P27" s="4">
        <v>1.6979552354916e-12</v>
      </c>
      <c r="Q27" s="4">
        <v>1.6988235784467e-12</v>
      </c>
      <c r="R27" s="4">
        <v>1.8674601683522e-12</v>
      </c>
      <c r="S27" s="4">
        <v>1.867375072648e-12</v>
      </c>
      <c r="T27" s="4">
        <v>1.8674508641331e-12</v>
      </c>
      <c r="U27" s="4">
        <v>1.5332327893398e-12</v>
      </c>
      <c r="V27" s="4">
        <v>1.6160634471476e-12</v>
      </c>
      <c r="W27" s="4">
        <v>1.616289745648e-12</v>
      </c>
      <c r="X27" s="4">
        <v>1.6160194514591e-12</v>
      </c>
      <c r="Y27" s="4">
        <v>1.6980515099259e-12</v>
      </c>
      <c r="Z27" s="4">
        <v>1.6989159917649e-12</v>
      </c>
      <c r="AA27" s="4">
        <v>1.6991152715896e-12</v>
      </c>
      <c r="AB27" s="3">
        <v>0.99984622442061</v>
      </c>
      <c r="AC27" s="3">
        <v>0.87283216059422</v>
      </c>
      <c r="AD27" s="3">
        <v>0.00057889626420778</v>
      </c>
      <c r="AE27" s="4">
        <v>-7.426955826355e-14</v>
      </c>
      <c r="AF27" s="4">
        <v>3.8636169115407e-13</v>
      </c>
      <c r="AG27" s="4">
        <v>2.6959005461687e-13</v>
      </c>
      <c r="AH27" s="4">
        <v>1.291853045532e-14</v>
      </c>
      <c r="AI27" s="4">
        <v>-8.8970749963402e-15</v>
      </c>
      <c r="AJ27" s="4">
        <v>7.3458468869533e-14</v>
      </c>
      <c r="AK27" s="4">
        <v>9.3107305044262e-16</v>
      </c>
      <c r="AL27" s="4">
        <v>5.6358436673497e-14</v>
      </c>
      <c r="AM27" s="4">
        <v>3.1528425141963e-14</v>
      </c>
      <c r="AN27" s="4">
        <v>-1.6743324222287e-14</v>
      </c>
      <c r="AO27" s="4">
        <v>7.5055241170788e-14</v>
      </c>
      <c r="AP27" s="4">
        <v>1.0275904696568e-15</v>
      </c>
      <c r="AQ27" s="4">
        <v>2.564915769531e-14</v>
      </c>
      <c r="AR27" s="4">
        <v>-4.1629164678673e-13</v>
      </c>
      <c r="AS27" s="4">
        <v>-4.3434035355573e-14</v>
      </c>
      <c r="AT27" s="4">
        <v>1.8279687365538e-14</v>
      </c>
      <c r="AU27" s="4">
        <v>-7.2980459898327e-14</v>
      </c>
      <c r="AV27" s="4">
        <v>-5.5222098318077e-14</v>
      </c>
      <c r="AW27" s="4">
        <v>-3.6367299675574e-14</v>
      </c>
      <c r="AX27" s="4">
        <v>2.7906479644358e-13</v>
      </c>
      <c r="AY27" s="4">
        <v>5.7061386165834e-14</v>
      </c>
      <c r="AZ27" s="4">
        <v>-1.6608496757942e-13</v>
      </c>
      <c r="BA27" s="4">
        <v>3.5000231633125e-13</v>
      </c>
      <c r="BB27" s="4">
        <v>-9.11699959399e-13</v>
      </c>
      <c r="BC27" s="3">
        <v>15996800.075048</v>
      </c>
      <c r="BD27" s="3">
        <v>3999675.0466105</v>
      </c>
      <c r="BE27" s="3">
        <v>-0.00027953524027543</v>
      </c>
      <c r="BF27" s="3">
        <v>0.00059346305856563</v>
      </c>
      <c r="BG27" s="3">
        <v>0.00017089715230338</v>
      </c>
      <c r="BH27" s="3">
        <v>-0.0009832777320281</v>
      </c>
      <c r="BI27" s="3">
        <v>139.71336785365</v>
      </c>
      <c r="BJ27" s="3">
        <v>69.865007370331</v>
      </c>
      <c r="BK27" s="3">
        <v>128.48002681207</v>
      </c>
      <c r="BL27" s="5"/>
    </row>
    <row r="28" spans="1:64">
      <c r="A28" s="3">
        <v>353972.89219207</v>
      </c>
      <c r="B28" s="4">
        <v>8.4263640947461e-6</v>
      </c>
      <c r="C28" s="4">
        <f t="shared" si="0"/>
        <v>2.65594828045771e-11</v>
      </c>
      <c r="D28" s="4">
        <v>1.53352465861e-12</v>
      </c>
      <c r="E28" s="4">
        <v>1.8675812131786e-12</v>
      </c>
      <c r="F28" s="4">
        <v>1.8674920013152e-12</v>
      </c>
      <c r="G28" s="4">
        <v>1.8672373238833e-12</v>
      </c>
      <c r="H28" s="4">
        <v>1.5331600817951e-12</v>
      </c>
      <c r="I28" s="4">
        <v>1.5332632205804e-12</v>
      </c>
      <c r="J28" s="4">
        <v>1.5331958914194e-12</v>
      </c>
      <c r="K28" s="4">
        <v>1.6158472161042e-12</v>
      </c>
      <c r="L28" s="4">
        <v>1.6161065965253e-12</v>
      </c>
      <c r="M28" s="4">
        <v>1.6157765309824e-12</v>
      </c>
      <c r="N28" s="4">
        <v>1.697932645777e-12</v>
      </c>
      <c r="O28" s="4">
        <v>1.5331651608734e-12</v>
      </c>
      <c r="P28" s="4">
        <v>1.697809306081e-12</v>
      </c>
      <c r="Q28" s="4">
        <v>1.6987706963593e-12</v>
      </c>
      <c r="R28" s="4">
        <v>1.8672399648124e-12</v>
      </c>
      <c r="S28" s="4">
        <v>1.8671449783082e-12</v>
      </c>
      <c r="T28" s="4">
        <v>1.8672298502041e-12</v>
      </c>
      <c r="U28" s="4">
        <v>1.5331975289976e-12</v>
      </c>
      <c r="V28" s="4">
        <v>1.6159865524566e-12</v>
      </c>
      <c r="W28" s="4">
        <v>1.6162396705907e-12</v>
      </c>
      <c r="X28" s="4">
        <v>1.6159383463166e-12</v>
      </c>
      <c r="Y28" s="4">
        <v>1.697916938707e-12</v>
      </c>
      <c r="Z28" s="4">
        <v>1.6988778770043e-12</v>
      </c>
      <c r="AA28" s="4">
        <v>1.6990966905869e-12</v>
      </c>
      <c r="AB28" s="3">
        <v>0.99986428754814</v>
      </c>
      <c r="AC28" s="3">
        <v>0.87305361808881</v>
      </c>
      <c r="AD28" s="3">
        <v>0.00057972838843942</v>
      </c>
      <c r="AE28" s="4">
        <v>-7.3693133484466e-14</v>
      </c>
      <c r="AF28" s="4">
        <v>3.8182617094155e-13</v>
      </c>
      <c r="AG28" s="4">
        <v>2.6808582848299e-13</v>
      </c>
      <c r="AH28" s="4">
        <v>1.325530569468e-14</v>
      </c>
      <c r="AI28" s="4">
        <v>-8.8999081077724e-15</v>
      </c>
      <c r="AJ28" s="4">
        <v>7.3019160008566e-14</v>
      </c>
      <c r="AK28" s="4">
        <v>9.0782543232466e-16</v>
      </c>
      <c r="AL28" s="4">
        <v>5.6090403231274e-14</v>
      </c>
      <c r="AM28" s="4">
        <v>3.2006237195579e-14</v>
      </c>
      <c r="AN28" s="4">
        <v>-1.6593210240377e-14</v>
      </c>
      <c r="AO28" s="4">
        <v>7.3829434607385e-14</v>
      </c>
      <c r="AP28" s="4">
        <v>1.0216305535185e-15</v>
      </c>
      <c r="AQ28" s="4">
        <v>2.5215132376359e-14</v>
      </c>
      <c r="AR28" s="4">
        <v>-4.0361920820162e-13</v>
      </c>
      <c r="AS28" s="4">
        <v>-4.2636316491098e-14</v>
      </c>
      <c r="AT28" s="4">
        <v>1.804147525762e-14</v>
      </c>
      <c r="AU28" s="4">
        <v>-7.2488565540657e-14</v>
      </c>
      <c r="AV28" s="4">
        <v>-5.5233641644658e-14</v>
      </c>
      <c r="AW28" s="4">
        <v>-3.5949158184952e-14</v>
      </c>
      <c r="AX28" s="4">
        <v>2.7628308196786e-13</v>
      </c>
      <c r="AY28" s="4">
        <v>5.67568685641e-14</v>
      </c>
      <c r="AZ28" s="4">
        <v>-1.6477017395936e-13</v>
      </c>
      <c r="BA28" s="4">
        <v>3.423030570619e-13</v>
      </c>
      <c r="BB28" s="4">
        <v>-8.9062792040706e-13</v>
      </c>
      <c r="BC28" s="3">
        <v>15996411.226207</v>
      </c>
      <c r="BD28" s="3">
        <v>3999629.9125887</v>
      </c>
      <c r="BE28" s="3">
        <v>-0.00027950864177204</v>
      </c>
      <c r="BF28" s="3">
        <v>0.00059448544513852</v>
      </c>
      <c r="BG28" s="3">
        <v>0.00017139827683536</v>
      </c>
      <c r="BH28" s="3">
        <v>-0.00098359373449026</v>
      </c>
      <c r="BI28" s="3">
        <v>139.71336068207</v>
      </c>
      <c r="BJ28" s="3">
        <v>69.865010773992</v>
      </c>
      <c r="BK28" s="3">
        <v>128.47027993526</v>
      </c>
      <c r="BL28" s="5"/>
    </row>
    <row r="29" spans="1:64">
      <c r="A29" s="3">
        <v>397164.11736215</v>
      </c>
      <c r="B29" s="4">
        <v>9.4438048955812e-6</v>
      </c>
      <c r="C29" s="4">
        <f t="shared" si="0"/>
        <v>2.65170869964896e-11</v>
      </c>
      <c r="D29" s="4">
        <v>1.5335296430577e-12</v>
      </c>
      <c r="E29" s="4">
        <v>1.86737410921e-12</v>
      </c>
      <c r="F29" s="4">
        <v>1.8672761289011e-12</v>
      </c>
      <c r="G29" s="4">
        <v>1.8669917274248e-12</v>
      </c>
      <c r="H29" s="4">
        <v>1.5331217293444e-12</v>
      </c>
      <c r="I29" s="4">
        <v>1.5332370643407e-12</v>
      </c>
      <c r="J29" s="4">
        <v>1.5331618357287e-12</v>
      </c>
      <c r="K29" s="4">
        <v>1.6157455303316e-12</v>
      </c>
      <c r="L29" s="4">
        <v>1.6160354985247e-12</v>
      </c>
      <c r="M29" s="4">
        <v>1.615666280705e-12</v>
      </c>
      <c r="N29" s="4">
        <v>1.6977821233122e-12</v>
      </c>
      <c r="O29" s="4">
        <v>1.5331274072388e-12</v>
      </c>
      <c r="P29" s="4">
        <v>1.697644890149e-12</v>
      </c>
      <c r="Q29" s="4">
        <v>1.6987084573533e-12</v>
      </c>
      <c r="R29" s="4">
        <v>1.8669940792499e-12</v>
      </c>
      <c r="S29" s="4">
        <v>1.8668881099529e-12</v>
      </c>
      <c r="T29" s="4">
        <v>1.8669831253803e-12</v>
      </c>
      <c r="U29" s="4">
        <v>1.5331637756864e-12</v>
      </c>
      <c r="V29" s="4">
        <v>1.6159005695226e-12</v>
      </c>
      <c r="W29" s="4">
        <v>1.616183602699e-12</v>
      </c>
      <c r="X29" s="4">
        <v>1.6158479128111e-12</v>
      </c>
      <c r="Y29" s="4">
        <v>1.6977651619724e-12</v>
      </c>
      <c r="Z29" s="4">
        <v>1.6988324082072e-12</v>
      </c>
      <c r="AA29" s="4">
        <v>1.6990727195365e-12</v>
      </c>
      <c r="AB29" s="3">
        <v>0.99988033109204</v>
      </c>
      <c r="AC29" s="3">
        <v>0.87330079021466</v>
      </c>
      <c r="AD29" s="3">
        <v>0.00058066022975624</v>
      </c>
      <c r="AE29" s="4">
        <v>-7.3051187623175e-14</v>
      </c>
      <c r="AF29" s="4">
        <v>3.7692505924401e-13</v>
      </c>
      <c r="AG29" s="4">
        <v>2.6641591150757e-13</v>
      </c>
      <c r="AH29" s="4">
        <v>1.3624150957376e-14</v>
      </c>
      <c r="AI29" s="4">
        <v>-8.9025759512738e-15</v>
      </c>
      <c r="AJ29" s="4">
        <v>7.2532967752729e-14</v>
      </c>
      <c r="AK29" s="4">
        <v>8.845425083439e-16</v>
      </c>
      <c r="AL29" s="4">
        <v>5.5801739132266e-14</v>
      </c>
      <c r="AM29" s="4">
        <v>3.2547863844212e-14</v>
      </c>
      <c r="AN29" s="4">
        <v>-1.6426458489997e-14</v>
      </c>
      <c r="AO29" s="4">
        <v>7.2515523877109e-14</v>
      </c>
      <c r="AP29" s="4">
        <v>1.015325602521e-15</v>
      </c>
      <c r="AQ29" s="4">
        <v>2.4766593718644e-14</v>
      </c>
      <c r="AR29" s="4">
        <v>-3.9090449606608e-13</v>
      </c>
      <c r="AS29" s="4">
        <v>-4.1775520677884e-14</v>
      </c>
      <c r="AT29" s="4">
        <v>1.7783136747001e-14</v>
      </c>
      <c r="AU29" s="4">
        <v>-7.1942786635556e-14</v>
      </c>
      <c r="AV29" s="4">
        <v>-5.5245028390069e-14</v>
      </c>
      <c r="AW29" s="4">
        <v>-3.5490816288931e-14</v>
      </c>
      <c r="AX29" s="4">
        <v>2.7327170813939e-13</v>
      </c>
      <c r="AY29" s="4">
        <v>5.6419190631714e-14</v>
      </c>
      <c r="AZ29" s="4">
        <v>-1.6332567521563e-13</v>
      </c>
      <c r="BA29" s="4">
        <v>3.3416483282483e-13</v>
      </c>
      <c r="BB29" s="4">
        <v>-8.6914282117378e-13</v>
      </c>
      <c r="BC29" s="3">
        <v>15995975.295061</v>
      </c>
      <c r="BD29" s="3">
        <v>3999578.2003525</v>
      </c>
      <c r="BE29" s="3">
        <v>-0.00027947708388497</v>
      </c>
      <c r="BF29" s="3">
        <v>0.00059563075061384</v>
      </c>
      <c r="BG29" s="3">
        <v>0.00017196055383049</v>
      </c>
      <c r="BH29" s="3">
        <v>-0.00098392402689626</v>
      </c>
      <c r="BI29" s="3">
        <v>139.71335279437</v>
      </c>
      <c r="BJ29" s="3">
        <v>69.865014578816</v>
      </c>
      <c r="BK29" s="3">
        <v>128.45935492145</v>
      </c>
      <c r="BL29" s="5"/>
    </row>
    <row r="30" spans="1:64">
      <c r="A30" s="3">
        <v>445625.46906688</v>
      </c>
      <c r="B30" s="4">
        <v>1.0583311504003e-5</v>
      </c>
      <c r="C30" s="4">
        <f t="shared" si="0"/>
        <v>2.64724277357455e-11</v>
      </c>
      <c r="D30" s="4">
        <v>1.5335356379968e-12</v>
      </c>
      <c r="E30" s="4">
        <v>1.8671424298367e-12</v>
      </c>
      <c r="F30" s="4">
        <v>1.8670350412961e-12</v>
      </c>
      <c r="G30" s="4">
        <v>1.8667176387697e-12</v>
      </c>
      <c r="H30" s="4">
        <v>1.5330793899468e-12</v>
      </c>
      <c r="I30" s="4">
        <v>1.5332083113724e-12</v>
      </c>
      <c r="J30" s="4">
        <v>1.5331242992234e-12</v>
      </c>
      <c r="K30" s="4">
        <v>1.6156320751678e-12</v>
      </c>
      <c r="L30" s="4">
        <v>1.615956103783e-12</v>
      </c>
      <c r="M30" s="4">
        <v>1.6155432273588e-12</v>
      </c>
      <c r="N30" s="4">
        <v>1.6976122459912e-12</v>
      </c>
      <c r="O30" s="4">
        <v>1.5330857342628e-12</v>
      </c>
      <c r="P30" s="4">
        <v>1.69745966891e-12</v>
      </c>
      <c r="Q30" s="4">
        <v>1.6986353301834e-12</v>
      </c>
      <c r="R30" s="4">
        <v>1.8667195200006e-12</v>
      </c>
      <c r="S30" s="4">
        <v>1.8666013676877e-12</v>
      </c>
      <c r="T30" s="4">
        <v>1.8667077079939e-12</v>
      </c>
      <c r="U30" s="4">
        <v>1.5331266033436e-12</v>
      </c>
      <c r="V30" s="4">
        <v>1.6158044214055e-12</v>
      </c>
      <c r="W30" s="4">
        <v>1.6161208078266e-12</v>
      </c>
      <c r="X30" s="4">
        <v>1.6157471061994e-12</v>
      </c>
      <c r="Y30" s="4">
        <v>1.697593990615e-12</v>
      </c>
      <c r="Z30" s="4">
        <v>1.6987782363811e-12</v>
      </c>
      <c r="AA30" s="4">
        <v>1.6990422804928e-12</v>
      </c>
      <c r="AB30" s="3">
        <v>0.99989456912766</v>
      </c>
      <c r="AC30" s="3">
        <v>0.87357616815216</v>
      </c>
      <c r="AD30" s="3">
        <v>0.0005817036525713</v>
      </c>
      <c r="AE30" s="4">
        <v>-7.2338041929704e-14</v>
      </c>
      <c r="AF30" s="4">
        <v>3.7164525125269e-13</v>
      </c>
      <c r="AG30" s="4">
        <v>2.6456502635717e-13</v>
      </c>
      <c r="AH30" s="4">
        <v>1.4027520071609e-14</v>
      </c>
      <c r="AI30" s="4">
        <v>-8.9049836200954e-15</v>
      </c>
      <c r="AJ30" s="4">
        <v>7.199605137584e-14</v>
      </c>
      <c r="AK30" s="4">
        <v>8.6154902064789e-16</v>
      </c>
      <c r="AL30" s="4">
        <v>5.5491761786692e-14</v>
      </c>
      <c r="AM30" s="4">
        <v>3.3159935243399e-14</v>
      </c>
      <c r="AN30" s="4">
        <v>-1.6241499674843e-14</v>
      </c>
      <c r="AO30" s="4">
        <v>7.1112398927858e-14</v>
      </c>
      <c r="AP30" s="4">
        <v>1.0087261790093e-15</v>
      </c>
      <c r="AQ30" s="4">
        <v>2.4305839986687e-14</v>
      </c>
      <c r="AR30" s="4">
        <v>-3.7820489734908e-13</v>
      </c>
      <c r="AS30" s="4">
        <v>-4.0849709602141e-14</v>
      </c>
      <c r="AT30" s="4">
        <v>1.7503720632923e-14</v>
      </c>
      <c r="AU30" s="4">
        <v>-7.1338014974947e-14</v>
      </c>
      <c r="AV30" s="4">
        <v>-5.5256010457131e-14</v>
      </c>
      <c r="AW30" s="4">
        <v>-3.4990022632781e-14</v>
      </c>
      <c r="AX30" s="4">
        <v>2.7002225177324e-13</v>
      </c>
      <c r="AY30" s="4">
        <v>5.6045383646853e-14</v>
      </c>
      <c r="AZ30" s="4">
        <v>-1.6174219833031e-13</v>
      </c>
      <c r="BA30" s="4">
        <v>3.2560347003578e-13</v>
      </c>
      <c r="BB30" s="4">
        <v>-8.4732751537191e-13</v>
      </c>
      <c r="BC30" s="3">
        <v>15995486.609647</v>
      </c>
      <c r="BD30" s="3">
        <v>3999518.917393</v>
      </c>
      <c r="BE30" s="3">
        <v>-0.00027943964880658</v>
      </c>
      <c r="BF30" s="3">
        <v>0.00059691364024482</v>
      </c>
      <c r="BG30" s="3">
        <v>0.00017259143783611</v>
      </c>
      <c r="BH30" s="3">
        <v>-0.00098426616212808</v>
      </c>
      <c r="BI30" s="3">
        <v>139.71334412593</v>
      </c>
      <c r="BJ30" s="3">
        <v>69.865018831573</v>
      </c>
      <c r="BK30" s="3">
        <v>128.44711113533</v>
      </c>
      <c r="BL30" s="5"/>
    </row>
    <row r="31" spans="1:64">
      <c r="A31" s="3">
        <v>500000.00000001</v>
      </c>
      <c r="B31" s="4">
        <v>1.1859424637342e-5</v>
      </c>
      <c r="C31" s="4">
        <f t="shared" si="0"/>
        <v>2.64254708191803e-11</v>
      </c>
      <c r="D31" s="4">
        <v>1.5335403872788e-12</v>
      </c>
      <c r="E31" s="4">
        <v>1.866883199393e-12</v>
      </c>
      <c r="F31" s="4">
        <v>1.8667657593442e-12</v>
      </c>
      <c r="G31" s="4">
        <v>1.8664117665714e-12</v>
      </c>
      <c r="H31" s="4">
        <v>1.5330302703976e-12</v>
      </c>
      <c r="I31" s="4">
        <v>1.5331743144438e-12</v>
      </c>
      <c r="J31" s="4">
        <v>1.5330805452557e-12</v>
      </c>
      <c r="K31" s="4">
        <v>1.6155055165555e-12</v>
      </c>
      <c r="L31" s="4">
        <v>1.6158674428147e-12</v>
      </c>
      <c r="M31" s="4">
        <v>1.6154059120149e-12</v>
      </c>
      <c r="N31" s="4">
        <v>1.6974215140585e-12</v>
      </c>
      <c r="O31" s="4">
        <v>1.5330373556329e-12</v>
      </c>
      <c r="P31" s="4">
        <v>1.6972520106086e-12</v>
      </c>
      <c r="Q31" s="4">
        <v>1.6985505280981e-12</v>
      </c>
      <c r="R31" s="4">
        <v>1.8664129399842e-12</v>
      </c>
      <c r="S31" s="4">
        <v>1.8662812879712e-12</v>
      </c>
      <c r="T31" s="4">
        <v>1.8664002643297e-12</v>
      </c>
      <c r="U31" s="4">
        <v>1.5330832896304e-12</v>
      </c>
      <c r="V31" s="4">
        <v>1.6156968986353e-12</v>
      </c>
      <c r="W31" s="4">
        <v>1.6160504556044e-12</v>
      </c>
      <c r="X31" s="4">
        <v>1.6156347658942e-12</v>
      </c>
      <c r="Y31" s="4">
        <v>1.6974019320984e-12</v>
      </c>
      <c r="Z31" s="4">
        <v>1.6987147561955e-12</v>
      </c>
      <c r="AA31" s="4">
        <v>1.6990050914451e-12</v>
      </c>
      <c r="AB31" s="3">
        <v>0.99990719431179</v>
      </c>
      <c r="AC31" s="3">
        <v>0.87388237748709</v>
      </c>
      <c r="AD31" s="3">
        <v>0.0005828719285705</v>
      </c>
      <c r="AE31" s="4">
        <v>-7.1548024864516e-14</v>
      </c>
      <c r="AF31" s="4">
        <v>3.6597571249681e-13</v>
      </c>
      <c r="AG31" s="4">
        <v>2.6251726914947e-13</v>
      </c>
      <c r="AH31" s="4">
        <v>1.446801016462e-14</v>
      </c>
      <c r="AI31" s="4">
        <v>-8.9070177309579e-15</v>
      </c>
      <c r="AJ31" s="4">
        <v>7.1404514008376e-14</v>
      </c>
      <c r="AK31" s="4">
        <v>8.3921010633577e-16</v>
      </c>
      <c r="AL31" s="4">
        <v>5.5159841301463e-14</v>
      </c>
      <c r="AM31" s="4">
        <v>3.3849334097771e-14</v>
      </c>
      <c r="AN31" s="4">
        <v>-1.6036694282993e-14</v>
      </c>
      <c r="AO31" s="4">
        <v>6.9619749071921e-14</v>
      </c>
      <c r="AP31" s="4">
        <v>1.0018896934173e-15</v>
      </c>
      <c r="AQ31" s="4">
        <v>2.3835393327577e-14</v>
      </c>
      <c r="AR31" s="4">
        <v>-3.6557460996236e-13</v>
      </c>
      <c r="AS31" s="4">
        <v>-3.9857372391821e-14</v>
      </c>
      <c r="AT31" s="4">
        <v>1.7202338522436e-14</v>
      </c>
      <c r="AU31" s="4">
        <v>-7.066884394644e-14</v>
      </c>
      <c r="AV31" s="4">
        <v>-5.526628721571e-14</v>
      </c>
      <c r="AW31" s="4">
        <v>-3.44447582677e-14</v>
      </c>
      <c r="AX31" s="4">
        <v>2.6652761995098e-13</v>
      </c>
      <c r="AY31" s="4">
        <v>5.5632364792843e-14</v>
      </c>
      <c r="AZ31" s="4">
        <v>-1.600105322689e-13</v>
      </c>
      <c r="BA31" s="4">
        <v>3.1664126172251e-13</v>
      </c>
      <c r="BB31" s="4">
        <v>-8.2526512494936e-13</v>
      </c>
      <c r="BC31" s="3">
        <v>15994938.819797</v>
      </c>
      <c r="BD31" s="3">
        <v>3999450.9206476</v>
      </c>
      <c r="BE31" s="3">
        <v>-0.00027939525722225</v>
      </c>
      <c r="BF31" s="3">
        <v>0.0005983505128253</v>
      </c>
      <c r="BG31" s="3">
        <v>0.00017329929051304</v>
      </c>
      <c r="BH31" s="3">
        <v>-0.00098461677903745</v>
      </c>
      <c r="BI31" s="3">
        <v>139.71333460751</v>
      </c>
      <c r="BJ31" s="3">
        <v>69.865023584518</v>
      </c>
      <c r="BK31" s="3">
        <v>128.43339151633</v>
      </c>
      <c r="BL31" s="5"/>
    </row>
    <row r="32" spans="1:64">
      <c r="A32" s="3">
        <v>561009.22715099</v>
      </c>
      <c r="B32" s="4">
        <v>1.3288406996258e-5</v>
      </c>
      <c r="C32" s="4">
        <f t="shared" si="0"/>
        <v>2.63761839521042e-11</v>
      </c>
      <c r="D32" s="4">
        <v>1.5335434887641e-12</v>
      </c>
      <c r="E32" s="4">
        <v>1.8665930682079e-12</v>
      </c>
      <c r="F32" s="4">
        <v>1.8664649387157e-12</v>
      </c>
      <c r="G32" s="4">
        <v>1.866070437181e-12</v>
      </c>
      <c r="H32" s="4">
        <v>1.5329733806064e-12</v>
      </c>
      <c r="I32" s="4">
        <v>1.5331342419362e-12</v>
      </c>
      <c r="J32" s="4">
        <v>1.5330296467201e-12</v>
      </c>
      <c r="K32" s="4">
        <v>1.6153643684647e-12</v>
      </c>
      <c r="L32" s="4">
        <v>1.6157684266155e-12</v>
      </c>
      <c r="M32" s="4">
        <v>1.615252708402e-12</v>
      </c>
      <c r="N32" s="4">
        <v>1.6972065882243e-12</v>
      </c>
      <c r="O32" s="4">
        <v>1.53298128867e-12</v>
      </c>
      <c r="P32" s="4">
        <v>1.6970184341461e-12</v>
      </c>
      <c r="Q32" s="4">
        <v>1.6984514745585e-12</v>
      </c>
      <c r="R32" s="4">
        <v>1.8660705957498e-12</v>
      </c>
      <c r="S32" s="4">
        <v>1.865924002518e-12</v>
      </c>
      <c r="T32" s="4">
        <v>1.8660570683096e-12</v>
      </c>
      <c r="U32" s="4">
        <v>1.5330329243199e-12</v>
      </c>
      <c r="V32" s="4">
        <v>1.6155766399396e-12</v>
      </c>
      <c r="W32" s="4">
        <v>1.6159716041394e-12</v>
      </c>
      <c r="X32" s="4">
        <v>1.6155096005384e-12</v>
      </c>
      <c r="Y32" s="4">
        <v>1.697185653947e-12</v>
      </c>
      <c r="Z32" s="4">
        <v>1.6986395689535e-12</v>
      </c>
      <c r="AA32" s="4">
        <v>1.6989591390415e-12</v>
      </c>
      <c r="AB32" s="3">
        <v>0.99991837983459</v>
      </c>
      <c r="AC32" s="3">
        <v>0.87422213818642</v>
      </c>
      <c r="AD32" s="3">
        <v>0.00058417990390486</v>
      </c>
      <c r="AE32" s="4">
        <v>-7.0675600973453e-14</v>
      </c>
      <c r="AF32" s="4">
        <v>3.5990776492271e-13</v>
      </c>
      <c r="AG32" s="4">
        <v>2.6025626383955e-13</v>
      </c>
      <c r="AH32" s="4">
        <v>1.4948377945801e-14</v>
      </c>
      <c r="AI32" s="4">
        <v>-8.9085455455372e-15</v>
      </c>
      <c r="AJ32" s="4">
        <v>7.0754484208257e-14</v>
      </c>
      <c r="AK32" s="4">
        <v>8.1792698604118e-16</v>
      </c>
      <c r="AL32" s="4">
        <v>5.4805380202821e-14</v>
      </c>
      <c r="AM32" s="4">
        <v>3.4622999510416e-14</v>
      </c>
      <c r="AN32" s="4">
        <v>-1.5810351025485e-14</v>
      </c>
      <c r="AO32" s="4">
        <v>6.8038128278817e-14</v>
      </c>
      <c r="AP32" s="4">
        <v>9.9489180849222e-16</v>
      </c>
      <c r="AQ32" s="4">
        <v>2.3358039843023e-14</v>
      </c>
      <c r="AR32" s="4">
        <v>-3.5306385757687e-13</v>
      </c>
      <c r="AS32" s="4">
        <v>-3.8797482605496e-14</v>
      </c>
      <c r="AT32" s="4">
        <v>1.6878175072008e-14</v>
      </c>
      <c r="AU32" s="4">
        <v>-6.992958990958e-14</v>
      </c>
      <c r="AV32" s="4">
        <v>-5.5275501074361e-14</v>
      </c>
      <c r="AW32" s="4">
        <v>-3.3853333409771e-14</v>
      </c>
      <c r="AX32" s="4">
        <v>2.6278233510575e-13</v>
      </c>
      <c r="AY32" s="4">
        <v>5.5176970296281e-14</v>
      </c>
      <c r="AZ32" s="4">
        <v>-1.5812167531438e-13</v>
      </c>
      <c r="BA32" s="4">
        <v>3.0730693879038e-13</v>
      </c>
      <c r="BB32" s="4">
        <v>-8.0303856000143e-13</v>
      </c>
      <c r="BC32" s="3">
        <v>15994324.816431</v>
      </c>
      <c r="BD32" s="3">
        <v>3999372.8942184</v>
      </c>
      <c r="BE32" s="3">
        <v>-0.00027934263996224</v>
      </c>
      <c r="BF32" s="3">
        <v>0.00059995970342341</v>
      </c>
      <c r="BG32" s="3">
        <v>0.00017409349079754</v>
      </c>
      <c r="BH32" s="3">
        <v>-0.00098497133167784</v>
      </c>
      <c r="BI32" s="3">
        <v>139.71332416498</v>
      </c>
      <c r="BJ32" s="3">
        <v>69.865028895933</v>
      </c>
      <c r="BK32" s="3">
        <v>128.41802083408</v>
      </c>
      <c r="BL32" s="5"/>
    </row>
    <row r="33" spans="1:64">
      <c r="A33" s="3">
        <v>629462.7058971</v>
      </c>
      <c r="B33" s="4">
        <v>1.4888446954334e-5</v>
      </c>
      <c r="C33" s="4">
        <f t="shared" si="0"/>
        <v>2.63245367100118e-11</v>
      </c>
      <c r="D33" s="4">
        <v>1.5335444665268e-12</v>
      </c>
      <c r="E33" s="4">
        <v>1.8662682656976e-12</v>
      </c>
      <c r="F33" s="4">
        <v>1.8661288242692e-12</v>
      </c>
      <c r="G33" s="4">
        <v>1.8656895515057e-12</v>
      </c>
      <c r="H33" s="4">
        <v>1.5329076047314e-12</v>
      </c>
      <c r="I33" s="4">
        <v>1.5330871493226e-12</v>
      </c>
      <c r="J33" s="4">
        <v>1.5329705571537e-12</v>
      </c>
      <c r="K33" s="4">
        <v>1.6152069735969e-12</v>
      </c>
      <c r="L33" s="4">
        <v>1.6156578294315e-12</v>
      </c>
      <c r="M33" s="4">
        <v>1.6150818016139e-12</v>
      </c>
      <c r="N33" s="4">
        <v>1.6969640903653e-12</v>
      </c>
      <c r="O33" s="4">
        <v>1.5329164254549e-12</v>
      </c>
      <c r="P33" s="4">
        <v>1.6967554089128e-12</v>
      </c>
      <c r="Q33" s="4">
        <v>1.6983356073394e-12</v>
      </c>
      <c r="R33" s="4">
        <v>1.8656883011725e-12</v>
      </c>
      <c r="S33" s="4">
        <v>1.8655251919529e-12</v>
      </c>
      <c r="T33" s="4">
        <v>1.8656739559051e-12</v>
      </c>
      <c r="U33" s="4">
        <v>1.5329744816004e-12</v>
      </c>
      <c r="V33" s="4">
        <v>1.6154421102147e-12</v>
      </c>
      <c r="W33" s="4">
        <v>1.6158831825525e-12</v>
      </c>
      <c r="X33" s="4">
        <v>1.6153701711599e-12</v>
      </c>
      <c r="Y33" s="4">
        <v>1.6969417831919e-12</v>
      </c>
      <c r="Z33" s="4">
        <v>1.6985502831126e-12</v>
      </c>
      <c r="AA33" s="4">
        <v>1.6989024885544e-12</v>
      </c>
      <c r="AB33" s="3">
        <v>0.99992828125681</v>
      </c>
      <c r="AC33" s="3">
        <v>0.87459821907111</v>
      </c>
      <c r="AD33" s="3">
        <v>0.00058564418789737</v>
      </c>
      <c r="AE33" s="4">
        <v>-6.9715535767594e-14</v>
      </c>
      <c r="AF33" s="4">
        <v>3.5343533294673e-13</v>
      </c>
      <c r="AG33" s="4">
        <v>2.5776538442537e-13</v>
      </c>
      <c r="AH33" s="4">
        <v>1.5471561902596e-14</v>
      </c>
      <c r="AI33" s="4">
        <v>-8.9094142534189e-15</v>
      </c>
      <c r="AJ33" s="4">
        <v>7.0042199879084e-14</v>
      </c>
      <c r="AK33" s="4">
        <v>7.9813334559847e-16</v>
      </c>
      <c r="AL33" s="4">
        <v>5.442778197093e-14</v>
      </c>
      <c r="AM33" s="4">
        <v>3.5487775451537e-14</v>
      </c>
      <c r="AN33" s="4">
        <v>-1.5560754331477e-14</v>
      </c>
      <c r="AO33" s="4">
        <v>6.6368991532248e-14</v>
      </c>
      <c r="AP33" s="4">
        <v>9.8782927753455e-16</v>
      </c>
      <c r="AQ33" s="4">
        <v>2.2876781499472e-14</v>
      </c>
      <c r="AR33" s="4">
        <v>-3.4071828766344e-13</v>
      </c>
      <c r="AS33" s="4">
        <v>-3.7669543363216e-14</v>
      </c>
      <c r="AT33" s="4">
        <v>1.6530496679151e-14</v>
      </c>
      <c r="AU33" s="4">
        <v>-6.9114327591209e-14</v>
      </c>
      <c r="AV33" s="4">
        <v>-5.5283234341332e-14</v>
      </c>
      <c r="AW33" s="4">
        <v>-3.3214472888859e-14</v>
      </c>
      <c r="AX33" s="4">
        <v>2.5878270527949e-13</v>
      </c>
      <c r="AY33" s="4">
        <v>5.4675993931439e-14</v>
      </c>
      <c r="AZ33" s="4">
        <v>-1.5606701206822e-13</v>
      </c>
      <c r="BA33" s="4">
        <v>2.9763540453402e-13</v>
      </c>
      <c r="BB33" s="4">
        <v>-7.8072921744096e-13</v>
      </c>
      <c r="BC33" s="3">
        <v>15993636.641691</v>
      </c>
      <c r="BD33" s="3">
        <v>3999283.3242243</v>
      </c>
      <c r="BE33" s="3">
        <v>-0.00027928030714071</v>
      </c>
      <c r="BF33" s="3">
        <v>0.00060176170953759</v>
      </c>
      <c r="BG33" s="3">
        <v>0.00017498455850741</v>
      </c>
      <c r="BH33" s="3">
        <v>-0.00098532385778337</v>
      </c>
      <c r="BI33" s="3">
        <v>139.71331271948</v>
      </c>
      <c r="BJ33" s="3">
        <v>69.865034830737</v>
      </c>
      <c r="BK33" s="3">
        <v>128.40080374095</v>
      </c>
      <c r="BL33" s="5"/>
    </row>
    <row r="34" spans="1:64">
      <c r="A34" s="3">
        <v>706268.77231139</v>
      </c>
      <c r="B34" s="4">
        <v>1.6679886586827e-5</v>
      </c>
      <c r="C34" s="4">
        <f t="shared" si="0"/>
        <v>2.62705010223594e-11</v>
      </c>
      <c r="D34" s="4">
        <v>1.5335427596591e-12</v>
      </c>
      <c r="E34" s="4">
        <v>1.8659045478456e-12</v>
      </c>
      <c r="F34" s="4">
        <v>1.865753198715e-12</v>
      </c>
      <c r="G34" s="4">
        <v>1.8652645373127e-12</v>
      </c>
      <c r="H34" s="4">
        <v>1.5328316876718e-12</v>
      </c>
      <c r="I34" s="4">
        <v>1.5330319659135e-12</v>
      </c>
      <c r="J34" s="4">
        <v>1.5329020977468e-12</v>
      </c>
      <c r="K34" s="4">
        <v>1.6150314818049e-12</v>
      </c>
      <c r="L34" s="4">
        <v>1.6155342693952e-12</v>
      </c>
      <c r="M34" s="4">
        <v>1.6148911642545e-12</v>
      </c>
      <c r="N34" s="4">
        <v>1.6966905528994e-12</v>
      </c>
      <c r="O34" s="4">
        <v>1.5328415192965e-12</v>
      </c>
      <c r="P34" s="4">
        <v>1.6964593030485e-12</v>
      </c>
      <c r="Q34" s="4">
        <v>1.6982003307272e-12</v>
      </c>
      <c r="R34" s="4">
        <v>1.865261375955e-12</v>
      </c>
      <c r="S34" s="4">
        <v>1.8650800343937e-12</v>
      </c>
      <c r="T34" s="4">
        <v>1.8652462744437e-12</v>
      </c>
      <c r="U34" s="4">
        <v>1.5329068078954e-12</v>
      </c>
      <c r="V34" s="4">
        <v>1.6152915755013e-12</v>
      </c>
      <c r="W34" s="4">
        <v>1.615783971254e-12</v>
      </c>
      <c r="X34" s="4">
        <v>1.615214872299e-12</v>
      </c>
      <c r="Y34" s="4">
        <v>1.6966668539543e-12</v>
      </c>
      <c r="Z34" s="4">
        <v>1.6984444629158e-12</v>
      </c>
      <c r="AA34" s="4">
        <v>1.6988332433315e-12</v>
      </c>
      <c r="AB34" s="3">
        <v>0.99993703818207</v>
      </c>
      <c r="AC34" s="3">
        <v>0.87501338512299</v>
      </c>
      <c r="AD34" s="3">
        <v>0.0005872833649728</v>
      </c>
      <c r="AE34" s="4">
        <v>-6.8663084376576e-14</v>
      </c>
      <c r="AF34" s="4">
        <v>3.4655513391991e-13</v>
      </c>
      <c r="AG34" s="4">
        <v>2.5502803240572e-13</v>
      </c>
      <c r="AH34" s="4">
        <v>1.6040709301157e-14</v>
      </c>
      <c r="AI34" s="4">
        <v>-8.9094510385444e-15</v>
      </c>
      <c r="AJ34" s="4">
        <v>6.9264101076489e-14</v>
      </c>
      <c r="AK34" s="4">
        <v>7.8028591890499e-16</v>
      </c>
      <c r="AL34" s="4">
        <v>5.4026405633529e-14</v>
      </c>
      <c r="AM34" s="4">
        <v>3.6450247630207e-14</v>
      </c>
      <c r="AN34" s="4">
        <v>-1.528619838431e-14</v>
      </c>
      <c r="AO34" s="4">
        <v>6.461470203765e-14</v>
      </c>
      <c r="AP34" s="4">
        <v>9.8082165237572e-16</v>
      </c>
      <c r="AQ34" s="4">
        <v>2.2394768058089e-14</v>
      </c>
      <c r="AR34" s="4">
        <v>-3.2857858128129e-13</v>
      </c>
      <c r="AS34" s="4">
        <v>-3.6473620129703e-14</v>
      </c>
      <c r="AT34" s="4">
        <v>1.6158657680011e-14</v>
      </c>
      <c r="AU34" s="4">
        <v>-6.8216936673149e-14</v>
      </c>
      <c r="AV34" s="4">
        <v>-5.528900745017e-14</v>
      </c>
      <c r="AW34" s="4">
        <v>-3.2527417430806e-14</v>
      </c>
      <c r="AX34" s="4">
        <v>2.5452693124172e-13</v>
      </c>
      <c r="AY34" s="4">
        <v>5.4126232695529e-14</v>
      </c>
      <c r="AZ34" s="4">
        <v>-1.5383850902664e-13</v>
      </c>
      <c r="BA34" s="4">
        <v>2.8766723343343e-13</v>
      </c>
      <c r="BB34" s="4">
        <v>-7.584156537958e-13</v>
      </c>
      <c r="BC34" s="3">
        <v>15992865.388378</v>
      </c>
      <c r="BD34" s="3">
        <v>3999180.4702635</v>
      </c>
      <c r="BE34" s="3">
        <v>-0.00027920651196947</v>
      </c>
      <c r="BF34" s="3">
        <v>0.00060377944338385</v>
      </c>
      <c r="BG34" s="3">
        <v>0.0001759842928784</v>
      </c>
      <c r="BH34" s="3">
        <v>-0.00098566666170946</v>
      </c>
      <c r="BI34" s="3">
        <v>139.71330018753</v>
      </c>
      <c r="BJ34" s="3">
        <v>69.865041461229</v>
      </c>
      <c r="BK34" s="3">
        <v>128.38152263403</v>
      </c>
      <c r="BL34" s="5"/>
    </row>
    <row r="35" spans="1:64">
      <c r="A35" s="3">
        <v>792446.59623057</v>
      </c>
      <c r="B35" s="4">
        <v>1.8685476961673e-5</v>
      </c>
      <c r="C35" s="4">
        <f t="shared" si="0"/>
        <v>2.62140507792198e-11</v>
      </c>
      <c r="D35" s="4">
        <v>1.5335377088661e-12</v>
      </c>
      <c r="E35" s="4">
        <v>1.8654971388934e-12</v>
      </c>
      <c r="F35" s="4">
        <v>1.8653333253541e-12</v>
      </c>
      <c r="G35" s="4">
        <v>1.8647902969949e-12</v>
      </c>
      <c r="H35" s="4">
        <v>1.5327442197407e-12</v>
      </c>
      <c r="I35" s="4">
        <v>1.5329674795907e-12</v>
      </c>
      <c r="J35" s="4">
        <v>1.5328229425546e-12</v>
      </c>
      <c r="K35" s="4">
        <v>1.6148358253752e-12</v>
      </c>
      <c r="L35" s="4">
        <v>1.6153961862637e-12</v>
      </c>
      <c r="M35" s="4">
        <v>1.6146785291346e-12</v>
      </c>
      <c r="N35" s="4">
        <v>1.6963843418452e-12</v>
      </c>
      <c r="O35" s="4">
        <v>1.5327551693576e-12</v>
      </c>
      <c r="P35" s="4">
        <v>1.6961283050611e-12</v>
      </c>
      <c r="Q35" s="4">
        <v>1.6980449413948e-12</v>
      </c>
      <c r="R35" s="4">
        <v>1.8647845888312e-12</v>
      </c>
      <c r="S35" s="4">
        <v>1.8645831488864e-12</v>
      </c>
      <c r="T35" s="4">
        <v>1.8647688267197e-12</v>
      </c>
      <c r="U35" s="4">
        <v>1.532828608041e-12</v>
      </c>
      <c r="V35" s="4">
        <v>1.6151230740248e-12</v>
      </c>
      <c r="W35" s="4">
        <v>1.6156725791701e-12</v>
      </c>
      <c r="X35" s="4">
        <v>1.6150419102864e-12</v>
      </c>
      <c r="Y35" s="4">
        <v>1.696359228031e-12</v>
      </c>
      <c r="Z35" s="4">
        <v>1.6983215505881e-12</v>
      </c>
      <c r="AA35" s="4">
        <v>1.6987514789002e-12</v>
      </c>
      <c r="AB35" s="3">
        <v>0.9999447757794</v>
      </c>
      <c r="AC35" s="3">
        <v>0.87547033292278</v>
      </c>
      <c r="AD35" s="3">
        <v>0.00058911823298175</v>
      </c>
      <c r="AE35" s="4">
        <v>-6.7514202582941e-14</v>
      </c>
      <c r="AF35" s="4">
        <v>3.3926680402819e-13</v>
      </c>
      <c r="AG35" s="4">
        <v>2.5202797593044e-13</v>
      </c>
      <c r="AH35" s="4">
        <v>1.6659207485841e-14</v>
      </c>
      <c r="AI35" s="4">
        <v>-8.9084641740754e-15</v>
      </c>
      <c r="AJ35" s="4">
        <v>6.8416933960749e-14</v>
      </c>
      <c r="AK35" s="4">
        <v>7.6485472689863e-16</v>
      </c>
      <c r="AL35" s="4">
        <v>5.36005113826e-14</v>
      </c>
      <c r="AM35" s="4">
        <v>3.7516566873239e-14</v>
      </c>
      <c r="AN35" s="4">
        <v>-1.4985030746892e-14</v>
      </c>
      <c r="AO35" s="4">
        <v>6.2778507685805e-14</v>
      </c>
      <c r="AP35" s="4">
        <v>9.7401241544306e-16</v>
      </c>
      <c r="AQ35" s="4">
        <v>2.1915218497914e-14</v>
      </c>
      <c r="AR35" s="4">
        <v>-3.1668030983588e-13</v>
      </c>
      <c r="AS35" s="4">
        <v>-3.5210357183381e-14</v>
      </c>
      <c r="AT35" s="4">
        <v>1.5762103745655e-14</v>
      </c>
      <c r="AU35" s="4">
        <v>-6.7231162131674e-14</v>
      </c>
      <c r="AV35" s="4">
        <v>-5.5292279988808e-14</v>
      </c>
      <c r="AW35" s="4">
        <v>-3.1792019429178e-14</v>
      </c>
      <c r="AX35" s="4">
        <v>2.5001516013812e-13</v>
      </c>
      <c r="AY35" s="4">
        <v>5.3524538009415e-14</v>
      </c>
      <c r="AZ35" s="4">
        <v>-1.5142892473313e-13</v>
      </c>
      <c r="BA35" s="4">
        <v>2.7744794765738e-13</v>
      </c>
      <c r="BB35" s="4">
        <v>-7.3617240527793e-13</v>
      </c>
      <c r="BC35" s="3">
        <v>15992001.087471</v>
      </c>
      <c r="BD35" s="3">
        <v>3999062.3331511</v>
      </c>
      <c r="BE35" s="3">
        <v>-0.0002791192089366</v>
      </c>
      <c r="BF35" s="3">
        <v>0.00060603851323611</v>
      </c>
      <c r="BG35" s="3">
        <v>0.00017710592792977</v>
      </c>
      <c r="BH35" s="3">
        <v>-0.000985990002881</v>
      </c>
      <c r="BI35" s="3">
        <v>139.71328648146</v>
      </c>
      <c r="BJ35" s="3">
        <v>69.86504886804</v>
      </c>
      <c r="BK35" s="3">
        <v>128.35993533132</v>
      </c>
      <c r="BL35" s="5"/>
    </row>
    <row r="36" spans="1:64">
      <c r="A36" s="3">
        <v>889139.70501948</v>
      </c>
      <c r="B36" s="4">
        <v>2.0930663920611e-5</v>
      </c>
      <c r="C36" s="4">
        <f t="shared" si="0"/>
        <v>2.61551617527481e-11</v>
      </c>
      <c r="D36" s="4">
        <v>1.5335285406546e-12</v>
      </c>
      <c r="E36" s="4">
        <v>1.8650406667855e-12</v>
      </c>
      <c r="F36" s="4">
        <v>1.864863884406e-12</v>
      </c>
      <c r="G36" s="4">
        <v>1.8642611505718e-12</v>
      </c>
      <c r="H36" s="4">
        <v>1.5326436194344e-12</v>
      </c>
      <c r="I36" s="4">
        <v>1.5328923194005e-12</v>
      </c>
      <c r="J36" s="4">
        <v>1.5327316018248e-12</v>
      </c>
      <c r="K36" s="4">
        <v>1.6146176908128e-12</v>
      </c>
      <c r="L36" s="4">
        <v>1.6152418160219e-12</v>
      </c>
      <c r="M36" s="4">
        <v>1.6144413581261e-12</v>
      </c>
      <c r="N36" s="4">
        <v>1.6960401188209e-12</v>
      </c>
      <c r="O36" s="4">
        <v>1.5326558033504e-12</v>
      </c>
      <c r="P36" s="4">
        <v>1.6957568839167e-12</v>
      </c>
      <c r="Q36" s="4">
        <v>1.6978650936152e-12</v>
      </c>
      <c r="R36" s="4">
        <v>1.8642520951075e-12</v>
      </c>
      <c r="S36" s="4">
        <v>1.8640285333554e-12</v>
      </c>
      <c r="T36" s="4">
        <v>1.8642358095634e-12</v>
      </c>
      <c r="U36" s="4">
        <v>1.5327384297651e-12</v>
      </c>
      <c r="V36" s="4">
        <v>1.6149343828445e-12</v>
      </c>
      <c r="W36" s="4">
        <v>1.6155474176542e-12</v>
      </c>
      <c r="X36" s="4">
        <v>1.6148492783549e-12</v>
      </c>
      <c r="Y36" s="4">
        <v>1.6960135535553e-12</v>
      </c>
      <c r="Z36" s="4">
        <v>1.6981773276927e-12</v>
      </c>
      <c r="AA36" s="4">
        <v>1.6986537171428e-12</v>
      </c>
      <c r="AB36" s="3">
        <v>0.99995160623778</v>
      </c>
      <c r="AC36" s="3">
        <v>0.87597160709119</v>
      </c>
      <c r="AD36" s="3">
        <v>0.00059117207148784</v>
      </c>
      <c r="AE36" s="4">
        <v>-6.6265773534535e-14</v>
      </c>
      <c r="AF36" s="4">
        <v>3.3157295859269e-13</v>
      </c>
      <c r="AG36" s="4">
        <v>2.4874975019907e-13</v>
      </c>
      <c r="AH36" s="4">
        <v>1.7330718488764e-14</v>
      </c>
      <c r="AI36" s="4">
        <v>-8.9062455547284e-15</v>
      </c>
      <c r="AJ36" s="4">
        <v>6.7497861888966e-14</v>
      </c>
      <c r="AK36" s="4">
        <v>7.5231241368292e-16</v>
      </c>
      <c r="AL36" s="4">
        <v>5.3149198659817e-14</v>
      </c>
      <c r="AM36" s="4">
        <v>3.8692269967888e-14</v>
      </c>
      <c r="AN36" s="4">
        <v>-1.4655705664577e-14</v>
      </c>
      <c r="AO36" s="4">
        <v>6.0864485086794e-14</v>
      </c>
      <c r="AP36" s="4">
        <v>9.67569198136e-16</v>
      </c>
      <c r="AQ36" s="4">
        <v>2.1441334791963e-14</v>
      </c>
      <c r="AR36" s="4">
        <v>-3.0505400122641e-13</v>
      </c>
      <c r="AS36" s="4">
        <v>-3.388097657416e-14</v>
      </c>
      <c r="AT36" s="4">
        <v>1.534037258163e-14</v>
      </c>
      <c r="AU36" s="4">
        <v>-6.6150688412661e-14</v>
      </c>
      <c r="AV36" s="4">
        <v>-5.5292455552783e-14</v>
      </c>
      <c r="AW36" s="4">
        <v>-3.1008831738826e-14</v>
      </c>
      <c r="AX36" s="4">
        <v>2.4524947551157e-13</v>
      </c>
      <c r="AY36" s="4">
        <v>5.2867870141064e-14</v>
      </c>
      <c r="AZ36" s="4">
        <v>-1.4883202940579e-13</v>
      </c>
      <c r="BA36" s="4">
        <v>2.6702709512064e-13</v>
      </c>
      <c r="BB36" s="4">
        <v>-7.1406897505426e-13</v>
      </c>
      <c r="BC36" s="3">
        <v>15991032.582425</v>
      </c>
      <c r="BD36" s="3">
        <v>3998926.6185701</v>
      </c>
      <c r="BE36" s="3">
        <v>-0.00027901600587102</v>
      </c>
      <c r="BF36" s="3">
        <v>0.00060856753713686</v>
      </c>
      <c r="BG36" s="3">
        <v>0.00017836430662544</v>
      </c>
      <c r="BH36" s="3">
        <v>-0.00098628167100154</v>
      </c>
      <c r="BI36" s="3">
        <v>139.71327151013</v>
      </c>
      <c r="BJ36" s="3">
        <v>69.865057141275</v>
      </c>
      <c r="BK36" s="3">
        <v>128.33577257277</v>
      </c>
      <c r="BL36" s="5"/>
    </row>
    <row r="37" spans="1:64">
      <c r="A37" s="3">
        <v>997631.15748446</v>
      </c>
      <c r="B37" s="4">
        <v>2.3443907779267e-5</v>
      </c>
      <c r="C37" s="4">
        <f t="shared" ref="C37:C71" si="1">(BF37-BF36)/(A37-A36)</f>
        <v>2.6093811705985e-11</v>
      </c>
      <c r="D37" s="4">
        <v>1.5335143511947e-12</v>
      </c>
      <c r="E37" s="4">
        <v>1.8645290944264e-12</v>
      </c>
      <c r="F37" s="4">
        <v>1.8643389049353e-12</v>
      </c>
      <c r="G37" s="4">
        <v>1.8636707762215e-12</v>
      </c>
      <c r="H37" s="4">
        <v>1.5325281165021e-12</v>
      </c>
      <c r="I37" s="4">
        <v>1.5328049381484e-12</v>
      </c>
      <c r="J37" s="4">
        <v>1.5326264056413e-12</v>
      </c>
      <c r="K37" s="4">
        <v>1.6143744849166e-12</v>
      </c>
      <c r="L37" s="4">
        <v>1.6150691603493e-12</v>
      </c>
      <c r="M37" s="4">
        <v>1.6141768049293e-12</v>
      </c>
      <c r="N37" s="4">
        <v>1.6956541231938e-12</v>
      </c>
      <c r="O37" s="4">
        <v>1.5325416604934e-12</v>
      </c>
      <c r="P37" s="4">
        <v>1.6953410687111e-12</v>
      </c>
      <c r="Q37" s="4">
        <v>1.6976580849966e-12</v>
      </c>
      <c r="R37" s="4">
        <v>1.8636573706854e-12</v>
      </c>
      <c r="S37" s="4">
        <v>1.8634094992387e-12</v>
      </c>
      <c r="T37" s="4">
        <v>1.8636407490354e-12</v>
      </c>
      <c r="U37" s="4">
        <v>1.5326346486953e-12</v>
      </c>
      <c r="V37" s="4">
        <v>1.6147229778112e-12</v>
      </c>
      <c r="W37" s="4">
        <v>1.6154066690387e-12</v>
      </c>
      <c r="X37" s="4">
        <v>1.6146347264284e-12</v>
      </c>
      <c r="Y37" s="4">
        <v>1.6956260427521e-12</v>
      </c>
      <c r="Z37" s="4">
        <v>1.6980091968883e-12</v>
      </c>
      <c r="AA37" s="4">
        <v>1.6985382219436e-12</v>
      </c>
      <c r="AB37" s="3">
        <v>0.99995762978332</v>
      </c>
      <c r="AC37" s="3">
        <v>0.87651950359573</v>
      </c>
      <c r="AD37" s="3">
        <v>0.00059347094441749</v>
      </c>
      <c r="AE37" s="4">
        <v>-6.491583889971e-14</v>
      </c>
      <c r="AF37" s="4">
        <v>3.234791968984e-13</v>
      </c>
      <c r="AG37" s="4">
        <v>2.4517910680792e-13</v>
      </c>
      <c r="AH37" s="4">
        <v>1.8059217869235e-14</v>
      </c>
      <c r="AI37" s="4">
        <v>-8.9025760707749e-15</v>
      </c>
      <c r="AJ37" s="4">
        <v>6.6504576071143e-14</v>
      </c>
      <c r="AK37" s="4">
        <v>7.4312241832901e-16</v>
      </c>
      <c r="AL37" s="4">
        <v>5.2671320415974e-14</v>
      </c>
      <c r="AM37" s="4">
        <v>3.9982178640107e-14</v>
      </c>
      <c r="AN37" s="4">
        <v>-1.4296845288255e-14</v>
      </c>
      <c r="AO37" s="4">
        <v>5.8877453691405e-14</v>
      </c>
      <c r="AP37" s="4">
        <v>9.616827526837e-16</v>
      </c>
      <c r="AQ37" s="4">
        <v>2.0976212235731e-14</v>
      </c>
      <c r="AR37" s="4">
        <v>-2.9372537047285e-13</v>
      </c>
      <c r="AS37" s="4">
        <v>-3.2487266087545e-14</v>
      </c>
      <c r="AT37" s="4">
        <v>1.4893091925255e-14</v>
      </c>
      <c r="AU37" s="4">
        <v>-6.4969224126383e-14</v>
      </c>
      <c r="AV37" s="4">
        <v>-5.5288892732307e-14</v>
      </c>
      <c r="AW37" s="4">
        <v>-3.0179183582538e-14</v>
      </c>
      <c r="AX37" s="4">
        <v>2.4023365402704e-13</v>
      </c>
      <c r="AY37" s="4">
        <v>5.2153350444988e-14</v>
      </c>
      <c r="AZ37" s="4">
        <v>-1.4604283639711e-13</v>
      </c>
      <c r="BA37" s="4">
        <v>2.5645718669569e-13</v>
      </c>
      <c r="BB37" s="4">
        <v>-6.9216901105899e-13</v>
      </c>
      <c r="BC37" s="3">
        <v>15989947.389082</v>
      </c>
      <c r="BD37" s="3">
        <v>3998770.6963969</v>
      </c>
      <c r="BE37" s="3">
        <v>-0.00027889411090668</v>
      </c>
      <c r="BF37" s="3">
        <v>0.00061139849266919</v>
      </c>
      <c r="BG37" s="3">
        <v>0.00017977607601334</v>
      </c>
      <c r="BH37" s="3">
        <v>-0.00098652648662314</v>
      </c>
      <c r="BI37" s="3">
        <v>139.71325517969</v>
      </c>
      <c r="BJ37" s="3">
        <v>69.865066380372</v>
      </c>
      <c r="BK37" s="3">
        <v>128.30873542875</v>
      </c>
      <c r="BL37" s="5"/>
    </row>
    <row r="38" spans="1:64">
      <c r="A38" s="3">
        <v>1119360.5692842</v>
      </c>
      <c r="B38" s="4">
        <v>2.6257041811852e-5</v>
      </c>
      <c r="C38" s="4">
        <f t="shared" si="1"/>
        <v>2.60299775979594e-11</v>
      </c>
      <c r="D38" s="4">
        <v>1.5334940855233e-12</v>
      </c>
      <c r="E38" s="4">
        <v>1.8639556466641e-12</v>
      </c>
      <c r="F38" s="4">
        <v>1.8637516923275e-12</v>
      </c>
      <c r="G38" s="4">
        <v>1.8630121486036e-12</v>
      </c>
      <c r="H38" s="4">
        <v>1.5323957311136e-12</v>
      </c>
      <c r="I38" s="4">
        <v>1.5327035907345e-12</v>
      </c>
      <c r="J38" s="4">
        <v>1.5325054836824e-12</v>
      </c>
      <c r="K38" s="4">
        <v>1.6141032971644e-12</v>
      </c>
      <c r="L38" s="4">
        <v>1.6148759531785e-12</v>
      </c>
      <c r="M38" s="4">
        <v>1.6138816737267e-12</v>
      </c>
      <c r="N38" s="4">
        <v>1.6952226055638e-12</v>
      </c>
      <c r="O38" s="4">
        <v>1.5324107705159e-12</v>
      </c>
      <c r="P38" s="4">
        <v>1.6948768789252e-12</v>
      </c>
      <c r="Q38" s="4">
        <v>1.6974212940491e-12</v>
      </c>
      <c r="R38" s="4">
        <v>1.8629931426271e-12</v>
      </c>
      <c r="S38" s="4">
        <v>1.8627186029086e-12</v>
      </c>
      <c r="T38" s="4">
        <v>1.8629764323578e-12</v>
      </c>
      <c r="U38" s="4">
        <v>1.5325154497317e-12</v>
      </c>
      <c r="V38" s="4">
        <v>1.6144859887564e-12</v>
      </c>
      <c r="W38" s="4">
        <v>1.6152482520862e-12</v>
      </c>
      <c r="X38" s="4">
        <v>1.6143957276659e-12</v>
      </c>
      <c r="Y38" s="4">
        <v>1.6951928997411e-12</v>
      </c>
      <c r="Z38" s="4">
        <v>1.6978146153136e-12</v>
      </c>
      <c r="AA38" s="4">
        <v>1.6984034477707e-12</v>
      </c>
      <c r="AB38" s="3">
        <v>0.99996293624502</v>
      </c>
      <c r="AC38" s="3">
        <v>0.87711595677287</v>
      </c>
      <c r="AD38" s="3">
        <v>0.00059604403989626</v>
      </c>
      <c r="AE38" s="4">
        <v>-6.3463824716133e-14</v>
      </c>
      <c r="AF38" s="4">
        <v>3.1499400675483e-13</v>
      </c>
      <c r="AG38" s="4">
        <v>2.4130348850216e-13</v>
      </c>
      <c r="AH38" s="4">
        <v>1.8849033490871e-14</v>
      </c>
      <c r="AI38" s="4">
        <v>-8.8972326687119e-15</v>
      </c>
      <c r="AJ38" s="4">
        <v>6.5435397067255e-14</v>
      </c>
      <c r="AK38" s="4">
        <v>7.3772465984752e-16</v>
      </c>
      <c r="AL38" s="4">
        <v>5.2165418718458e-14</v>
      </c>
      <c r="AM38" s="4">
        <v>4.139026273288e-14</v>
      </c>
      <c r="AN38" s="4">
        <v>-1.3907306978126e-14</v>
      </c>
      <c r="AO38" s="4">
        <v>5.682287647059e-14</v>
      </c>
      <c r="AP38" s="4">
        <v>9.5656380882409e-16</v>
      </c>
      <c r="AQ38" s="4">
        <v>2.052275177552e-14</v>
      </c>
      <c r="AR38" s="4">
        <v>-2.8271573210509e-13</v>
      </c>
      <c r="AS38" s="4">
        <v>-3.1031541933898e-14</v>
      </c>
      <c r="AT38" s="4">
        <v>1.4419974656806e-14</v>
      </c>
      <c r="AU38" s="4">
        <v>-6.3680595853339e-14</v>
      </c>
      <c r="AV38" s="4">
        <v>-5.5280909729595e-14</v>
      </c>
      <c r="AW38" s="4">
        <v>-2.9305247832505e-14</v>
      </c>
      <c r="AX38" s="4">
        <v>2.349729936989e-13</v>
      </c>
      <c r="AY38" s="4">
        <v>5.1378297587609e-14</v>
      </c>
      <c r="AZ38" s="4">
        <v>-1.4305780986505e-13</v>
      </c>
      <c r="BA38" s="4">
        <v>2.457928744124e-13</v>
      </c>
      <c r="BB38" s="4">
        <v>-6.7052973021169e-13</v>
      </c>
      <c r="BC38" s="3">
        <v>15988731.538034</v>
      </c>
      <c r="BD38" s="3">
        <v>3998591.5547672</v>
      </c>
      <c r="BE38" s="3">
        <v>-0.00027875026734646</v>
      </c>
      <c r="BF38" s="3">
        <v>0.00061456710653135</v>
      </c>
      <c r="BG38" s="3">
        <v>0.00018135990642144</v>
      </c>
      <c r="BH38" s="3">
        <v>-0.00098670573759214</v>
      </c>
      <c r="BI38" s="3">
        <v>139.71323739595</v>
      </c>
      <c r="BJ38" s="3">
        <v>69.865076695219</v>
      </c>
      <c r="BK38" s="3">
        <v>128.2784925129</v>
      </c>
      <c r="BL38" s="5"/>
    </row>
    <row r="39" spans="1:64">
      <c r="A39" s="3">
        <v>1255943.2157548</v>
      </c>
      <c r="B39" s="4">
        <v>2.9405672601995e-5</v>
      </c>
      <c r="C39" s="4">
        <f t="shared" si="1"/>
        <v>2.5963640774989e-11</v>
      </c>
      <c r="D39" s="4">
        <v>1.5334665136772e-12</v>
      </c>
      <c r="E39" s="4">
        <v>1.8633127204728e-12</v>
      </c>
      <c r="F39" s="4">
        <v>1.8630947387917e-12</v>
      </c>
      <c r="G39" s="4">
        <v>1.8622774627736e-12</v>
      </c>
      <c r="H39" s="4">
        <v>1.5322442508399e-12</v>
      </c>
      <c r="I39" s="4">
        <v>1.5325863098715e-12</v>
      </c>
      <c r="J39" s="4">
        <v>1.5323667428068e-12</v>
      </c>
      <c r="K39" s="4">
        <v>1.613800856675e-12</v>
      </c>
      <c r="L39" s="4">
        <v>1.6146596229299e-12</v>
      </c>
      <c r="M39" s="4">
        <v>1.6135523719703e-12</v>
      </c>
      <c r="N39" s="4">
        <v>1.6947367528587e-12</v>
      </c>
      <c r="O39" s="4">
        <v>1.5322609304151e-12</v>
      </c>
      <c r="P39" s="4">
        <v>1.6943552452959e-12</v>
      </c>
      <c r="Q39" s="4">
        <v>1.6971471099943e-12</v>
      </c>
      <c r="R39" s="4">
        <v>1.8622513038565e-12</v>
      </c>
      <c r="S39" s="4">
        <v>1.8619475614998e-12</v>
      </c>
      <c r="T39" s="4">
        <v>1.8622348242229e-12</v>
      </c>
      <c r="U39" s="4">
        <v>1.5323788065233e-12</v>
      </c>
      <c r="V39" s="4">
        <v>1.6142201481053e-12</v>
      </c>
      <c r="W39" s="4">
        <v>1.6150697828799e-12</v>
      </c>
      <c r="X39" s="4">
        <v>1.6141294401336e-12</v>
      </c>
      <c r="Y39" s="4">
        <v>1.6947052383672e-12</v>
      </c>
      <c r="Z39" s="4">
        <v>1.697586020323e-12</v>
      </c>
      <c r="AA39" s="4">
        <v>1.6982429815336e-12</v>
      </c>
      <c r="AB39" s="3">
        <v>0.99996760644307</v>
      </c>
      <c r="AC39" s="3">
        <v>0.87776241079453</v>
      </c>
      <c r="AD39" s="3">
        <v>0.0005989240561375</v>
      </c>
      <c r="AE39" s="4">
        <v>-6.191075072223e-14</v>
      </c>
      <c r="AF39" s="4">
        <v>3.0612875011637e-13</v>
      </c>
      <c r="AG39" s="4">
        <v>2.3711262705754e-13</v>
      </c>
      <c r="AH39" s="4">
        <v>1.970487642995e-14</v>
      </c>
      <c r="AI39" s="4">
        <v>-8.8899994455186e-15</v>
      </c>
      <c r="AJ39" s="4">
        <v>6.4289379061687e-14</v>
      </c>
      <c r="AK39" s="4">
        <v>7.3653192799408e-16</v>
      </c>
      <c r="AL39" s="4">
        <v>5.1629648070084e-14</v>
      </c>
      <c r="AM39" s="4">
        <v>4.2919603400569e-14</v>
      </c>
      <c r="AN39" s="4">
        <v>-1.3486269725801e-14</v>
      </c>
      <c r="AO39" s="4">
        <v>5.4706682600445e-14</v>
      </c>
      <c r="AP39" s="4">
        <v>9.5243829392892e-16</v>
      </c>
      <c r="AQ39" s="4">
        <v>2.008357418008e-14</v>
      </c>
      <c r="AR39" s="4">
        <v>-2.7204235060827e-13</v>
      </c>
      <c r="AS39" s="4">
        <v>-2.9516605012598e-14</v>
      </c>
      <c r="AT39" s="4">
        <v>1.3920817511299e-14</v>
      </c>
      <c r="AU39" s="4">
        <v>-6.2278864162229e-14</v>
      </c>
      <c r="AV39" s="4">
        <v>-5.5267829460702e-14</v>
      </c>
      <c r="AW39" s="4">
        <v>-2.8390056682428e-14</v>
      </c>
      <c r="AX39" s="4">
        <v>2.2947397343345e-13</v>
      </c>
      <c r="AY39" s="4">
        <v>5.0540280997582e-14</v>
      </c>
      <c r="AZ39" s="4">
        <v>-1.398750946629e-13</v>
      </c>
      <c r="BA39" s="4">
        <v>2.3508906513926e-13</v>
      </c>
      <c r="BB39" s="4">
        <v>-6.4920159405331e-13</v>
      </c>
      <c r="BC39" s="3">
        <v>15987369.399945</v>
      </c>
      <c r="BD39" s="3">
        <v>3998385.7493933</v>
      </c>
      <c r="BE39" s="3">
        <v>-0.0002785806858014</v>
      </c>
      <c r="BF39" s="3">
        <v>0.00061811328930041</v>
      </c>
      <c r="BG39" s="3">
        <v>0.0001831367357367</v>
      </c>
      <c r="BH39" s="3">
        <v>-0.00098679659834221</v>
      </c>
      <c r="BI39" s="3">
        <v>139.71321806449</v>
      </c>
      <c r="BJ39" s="3">
        <v>69.865088207491</v>
      </c>
      <c r="BK39" s="3">
        <v>128.24467696443</v>
      </c>
      <c r="BL39" s="5"/>
    </row>
    <row r="40" spans="1:64">
      <c r="A40" s="3">
        <v>1409191.4656323</v>
      </c>
      <c r="B40" s="4">
        <v>3.2929629246112e-5</v>
      </c>
      <c r="C40" s="4">
        <f t="shared" si="1"/>
        <v>2.58947799077778e-11</v>
      </c>
      <c r="D40" s="4">
        <v>1.5334302049644e-12</v>
      </c>
      <c r="E40" s="4">
        <v>1.8625981824057e-12</v>
      </c>
      <c r="F40" s="4">
        <v>1.8623660211078e-12</v>
      </c>
      <c r="G40" s="4">
        <v>1.8614644481488e-12</v>
      </c>
      <c r="H40" s="4">
        <v>1.5320712067346e-12</v>
      </c>
      <c r="I40" s="4">
        <v>1.5324508804008e-12</v>
      </c>
      <c r="J40" s="4">
        <v>1.5322078437601e-12</v>
      </c>
      <c r="K40" s="4">
        <v>1.6134634855124e-12</v>
      </c>
      <c r="L40" s="4">
        <v>1.6144172526206e-12</v>
      </c>
      <c r="M40" s="4">
        <v>1.6131848590383e-12</v>
      </c>
      <c r="N40" s="4">
        <v>1.6941988660124e-12</v>
      </c>
      <c r="O40" s="4">
        <v>1.5320896802285e-12</v>
      </c>
      <c r="P40" s="4">
        <v>1.6937781819338e-12</v>
      </c>
      <c r="Q40" s="4">
        <v>1.6968391156807e-12</v>
      </c>
      <c r="R40" s="4">
        <v>1.8614292162074e-12</v>
      </c>
      <c r="S40" s="4">
        <v>1.8610935573795e-12</v>
      </c>
      <c r="T40" s="4">
        <v>1.8614133718245e-12</v>
      </c>
      <c r="U40" s="4">
        <v>1.5322224603962e-12</v>
      </c>
      <c r="V40" s="4">
        <v>1.6139217346453e-12</v>
      </c>
      <c r="W40" s="4">
        <v>1.6148685333573e-12</v>
      </c>
      <c r="X40" s="4">
        <v>1.6138326654924e-12</v>
      </c>
      <c r="Y40" s="4">
        <v>1.6941652506291e-12</v>
      </c>
      <c r="Z40" s="4">
        <v>1.697327008087e-12</v>
      </c>
      <c r="AA40" s="4">
        <v>1.6980617388948e-12</v>
      </c>
      <c r="AB40" s="3">
        <v>0.99997171223567</v>
      </c>
      <c r="AC40" s="3">
        <v>0.8784597645032</v>
      </c>
      <c r="AD40" s="3">
        <v>0.00060214763283231</v>
      </c>
      <c r="AE40" s="4">
        <v>-6.0259584029483e-14</v>
      </c>
      <c r="AF40" s="4">
        <v>2.9689754156449e-13</v>
      </c>
      <c r="AG40" s="4">
        <v>2.3259906675311e-13</v>
      </c>
      <c r="AH40" s="4">
        <v>2.0631868180789e-14</v>
      </c>
      <c r="AI40" s="4">
        <v>-8.8806833863093e-15</v>
      </c>
      <c r="AJ40" s="4">
        <v>6.3066383610223e-14</v>
      </c>
      <c r="AK40" s="4">
        <v>7.3988974119566e-16</v>
      </c>
      <c r="AL40" s="4">
        <v>5.1061658540451e-14</v>
      </c>
      <c r="AM40" s="4">
        <v>4.4572379421954e-14</v>
      </c>
      <c r="AN40" s="4">
        <v>-1.3033304261571e-14</v>
      </c>
      <c r="AO40" s="4">
        <v>5.2535096986872e-14</v>
      </c>
      <c r="AP40" s="4">
        <v>9.4954476237828e-16</v>
      </c>
      <c r="AQ40" s="4">
        <v>1.9660942139258e-14</v>
      </c>
      <c r="AR40" s="4">
        <v>-2.6171881715914e-13</v>
      </c>
      <c r="AS40" s="4">
        <v>-2.7945683506799e-14</v>
      </c>
      <c r="AT40" s="4">
        <v>1.339549704455e-14</v>
      </c>
      <c r="AU40" s="4">
        <v>-6.075842447576e-14</v>
      </c>
      <c r="AV40" s="4">
        <v>-5.5249015666539e-14</v>
      </c>
      <c r="AW40" s="4">
        <v>-2.7437651038713e-14</v>
      </c>
      <c r="AX40" s="4">
        <v>2.2374375733889e-13</v>
      </c>
      <c r="AY40" s="4">
        <v>4.9637266142151e-14</v>
      </c>
      <c r="AZ40" s="4">
        <v>-1.3649469849229e-13</v>
      </c>
      <c r="BA40" s="4">
        <v>2.2439972237022e-13</v>
      </c>
      <c r="BB40" s="4">
        <v>-6.2822809995569e-13</v>
      </c>
      <c r="BC40" s="3">
        <v>15985843.487642</v>
      </c>
      <c r="BD40" s="3">
        <v>3998149.3462015</v>
      </c>
      <c r="BE40" s="3">
        <v>-0.00027838095529989</v>
      </c>
      <c r="BF40" s="3">
        <v>0.00062208161900224</v>
      </c>
      <c r="BG40" s="3">
        <v>0.00018513004420589</v>
      </c>
      <c r="BH40" s="3">
        <v>-0.00098677157665453</v>
      </c>
      <c r="BI40" s="3">
        <v>139.71319709222</v>
      </c>
      <c r="BJ40" s="3">
        <v>69.865101051527</v>
      </c>
      <c r="BK40" s="3">
        <v>128.20688354482</v>
      </c>
      <c r="BL40" s="5"/>
    </row>
    <row r="41" spans="1:63">
      <c r="A41" s="3">
        <v>1581138.8300842</v>
      </c>
      <c r="B41" s="4">
        <v>3.6873465437382e-5</v>
      </c>
      <c r="C41" s="4">
        <f t="shared" si="1"/>
        <v>2.58233725680168e-11</v>
      </c>
      <c r="D41" s="4">
        <v>1.5333836077423e-12</v>
      </c>
      <c r="E41" s="4">
        <v>1.8618022425867e-12</v>
      </c>
      <c r="F41" s="4">
        <v>1.8615558747859e-12</v>
      </c>
      <c r="G41" s="4">
        <v>1.8605632623882e-12</v>
      </c>
      <c r="H41" s="4">
        <v>1.5318739562333e-12</v>
      </c>
      <c r="I41" s="4">
        <v>1.5322949197734e-12</v>
      </c>
      <c r="J41" s="4">
        <v>1.5320262846476e-12</v>
      </c>
      <c r="K41" s="4">
        <v>1.6130884140277e-12</v>
      </c>
      <c r="L41" s="4">
        <v>1.6141469027137e-12</v>
      </c>
      <c r="M41" s="4">
        <v>1.612775955185e-12</v>
      </c>
      <c r="N41" s="4">
        <v>1.6935980448088e-12</v>
      </c>
      <c r="O41" s="4">
        <v>1.5318943854901e-12</v>
      </c>
      <c r="P41" s="4">
        <v>1.6931344640565e-12</v>
      </c>
      <c r="Q41" s="4">
        <v>1.6964877785632e-12</v>
      </c>
      <c r="R41" s="4">
        <v>1.8605165912777e-12</v>
      </c>
      <c r="S41" s="4">
        <v>1.8601461207594e-12</v>
      </c>
      <c r="T41" s="4">
        <v>1.860501888159e-12</v>
      </c>
      <c r="U41" s="4">
        <v>1.5320440065912e-12</v>
      </c>
      <c r="V41" s="4">
        <v>1.6135878768582e-12</v>
      </c>
      <c r="W41" s="4">
        <v>1.614642752525e-12</v>
      </c>
      <c r="X41" s="4">
        <v>1.6135031697357e-12</v>
      </c>
      <c r="Y41" s="4">
        <v>1.6935618800135e-12</v>
      </c>
      <c r="Z41" s="4">
        <v>1.6970280198699e-12</v>
      </c>
      <c r="AA41" s="4">
        <v>1.6978516703726e-12</v>
      </c>
      <c r="AB41" s="3">
        <v>0.9999753178148</v>
      </c>
      <c r="AC41" s="3">
        <v>0.87920796453947</v>
      </c>
      <c r="AD41" s="3">
        <v>0.00060575584047647</v>
      </c>
      <c r="AE41" s="4">
        <v>-5.851536911696e-14</v>
      </c>
      <c r="AF41" s="4">
        <v>2.8731713022444e-13</v>
      </c>
      <c r="AG41" s="4">
        <v>2.2775870072999e-13</v>
      </c>
      <c r="AH41" s="4">
        <v>2.1635559175073e-14</v>
      </c>
      <c r="AI41" s="4">
        <v>-8.8691337463206e-15</v>
      </c>
      <c r="AJ41" s="4">
        <v>6.176711252802e-14</v>
      </c>
      <c r="AK41" s="4">
        <v>7.4807105453584e-16</v>
      </c>
      <c r="AL41" s="4">
        <v>5.0458516341027e-14</v>
      </c>
      <c r="AM41" s="4">
        <v>4.6349966890078e-14</v>
      </c>
      <c r="AN41" s="4">
        <v>-1.2548451559878e-14</v>
      </c>
      <c r="AO41" s="4">
        <v>5.0314456620756e-14</v>
      </c>
      <c r="AP41" s="4">
        <v>9.4812479444849e-16</v>
      </c>
      <c r="AQ41" s="4">
        <v>1.9256688594062e-14</v>
      </c>
      <c r="AR41" s="4">
        <v>-2.5175540269522e-13</v>
      </c>
      <c r="AS41" s="4">
        <v>-2.6322365339535e-14</v>
      </c>
      <c r="AT41" s="4">
        <v>1.2843967969733e-14</v>
      </c>
      <c r="AU41" s="4">
        <v>-5.9114113737955e-14</v>
      </c>
      <c r="AV41" s="4">
        <v>-5.522391772582e-14</v>
      </c>
      <c r="AW41" s="4">
        <v>-2.6453063740576e-14</v>
      </c>
      <c r="AX41" s="4">
        <v>2.1778963719443e-13</v>
      </c>
      <c r="AY41" s="4">
        <v>4.8667662763726e-14</v>
      </c>
      <c r="AZ41" s="4">
        <v>-1.3291865138174e-13</v>
      </c>
      <c r="BA41" s="4">
        <v>2.1377677660346e-13</v>
      </c>
      <c r="BB41" s="4">
        <v>-6.0764576338674e-13</v>
      </c>
      <c r="BC41" s="3">
        <v>15984134.236159</v>
      </c>
      <c r="BD41" s="3">
        <v>3997877.8583137</v>
      </c>
      <c r="BE41" s="3">
        <v>-0.00027814594798567</v>
      </c>
      <c r="BF41" s="3">
        <v>0.00062652187985657</v>
      </c>
      <c r="BG41" s="3">
        <v>0.00018736616184126</v>
      </c>
      <c r="BH41" s="3">
        <v>-0.00098659741044888</v>
      </c>
      <c r="BI41" s="3">
        <v>139.71317439113</v>
      </c>
      <c r="BJ41" s="3">
        <v>69.865115374857</v>
      </c>
      <c r="BK41" s="3">
        <v>128.16466558611</v>
      </c>
    </row>
    <row r="42" spans="1:63">
      <c r="A42" s="3">
        <v>1774066.9461679</v>
      </c>
      <c r="B42" s="4">
        <v>4.1287021146709e-5</v>
      </c>
      <c r="C42" s="4">
        <f t="shared" si="1"/>
        <v>2.57493932816656e-11</v>
      </c>
      <c r="D42" s="4">
        <v>1.5333322541333e-12</v>
      </c>
      <c r="E42" s="4">
        <v>1.8609134014574e-12</v>
      </c>
      <c r="F42" s="4">
        <v>1.860652941337e-12</v>
      </c>
      <c r="G42" s="4">
        <v>1.8595624615501e-12</v>
      </c>
      <c r="H42" s="4">
        <v>1.5316568944902e-12</v>
      </c>
      <c r="I42" s="4">
        <v>1.5321230840107e-12</v>
      </c>
      <c r="J42" s="4">
        <v>1.5318266112246e-12</v>
      </c>
      <c r="K42" s="4">
        <v>1.6126732250951e-12</v>
      </c>
      <c r="L42" s="4">
        <v>1.6138470663489e-12</v>
      </c>
      <c r="M42" s="4">
        <v>1.6123227798659e-12</v>
      </c>
      <c r="N42" s="4">
        <v>1.6929260878446e-12</v>
      </c>
      <c r="O42" s="4">
        <v>1.5316794457275e-12</v>
      </c>
      <c r="P42" s="4">
        <v>1.692415518419e-12</v>
      </c>
      <c r="Q42" s="4">
        <v>1.6960863572866e-12</v>
      </c>
      <c r="R42" s="4">
        <v>1.8595014454867e-12</v>
      </c>
      <c r="S42" s="4">
        <v>1.8590930868669e-12</v>
      </c>
      <c r="T42" s="4">
        <v>1.859488509724e-12</v>
      </c>
      <c r="U42" s="4">
        <v>1.5318481169155e-12</v>
      </c>
      <c r="V42" s="4">
        <v>1.6132159846775e-12</v>
      </c>
      <c r="W42" s="4">
        <v>1.6143911194127e-12</v>
      </c>
      <c r="X42" s="4">
        <v>1.6131391346079e-12</v>
      </c>
      <c r="Y42" s="4">
        <v>1.6928867067962e-12</v>
      </c>
      <c r="Z42" s="4">
        <v>1.696682243736e-12</v>
      </c>
      <c r="AA42" s="4">
        <v>1.6976076852799e-12</v>
      </c>
      <c r="AB42" s="3">
        <v>0.99997848053978</v>
      </c>
      <c r="AC42" s="3">
        <v>0.88000609317781</v>
      </c>
      <c r="AD42" s="3">
        <v>0.00060979473166131</v>
      </c>
      <c r="AE42" s="4">
        <v>-5.6684960484601e-14</v>
      </c>
      <c r="AF42" s="4">
        <v>2.7740686107876e-13</v>
      </c>
      <c r="AG42" s="4">
        <v>2.2259148202945e-13</v>
      </c>
      <c r="AH42" s="4">
        <v>2.272193047444e-14</v>
      </c>
      <c r="AI42" s="4">
        <v>-8.8552514859309e-15</v>
      </c>
      <c r="AJ42" s="4">
        <v>6.0393086338167e-14</v>
      </c>
      <c r="AK42" s="4">
        <v>7.613347698075e-16</v>
      </c>
      <c r="AL42" s="4">
        <v>4.9817018272165e-14</v>
      </c>
      <c r="AM42" s="4">
        <v>4.825305217213e-14</v>
      </c>
      <c r="AN42" s="4">
        <v>-1.2032297036019e-14</v>
      </c>
      <c r="AO42" s="4">
        <v>4.8051043996125e-14</v>
      </c>
      <c r="AP42" s="4">
        <v>9.483889548296e-16</v>
      </c>
      <c r="AQ42" s="4">
        <v>1.8872168773532e-14</v>
      </c>
      <c r="AR42" s="4">
        <v>-2.4215992836873e-13</v>
      </c>
      <c r="AS42" s="4">
        <v>-2.4650509455182e-14</v>
      </c>
      <c r="AT42" s="4">
        <v>1.2266272324553e-14</v>
      </c>
      <c r="AU42" s="4">
        <v>-5.7341356813938e-14</v>
      </c>
      <c r="AV42" s="4">
        <v>-5.5192101579711e-14</v>
      </c>
      <c r="AW42" s="4">
        <v>-2.5442016265428e-14</v>
      </c>
      <c r="AX42" s="4">
        <v>2.1161964315385e-13</v>
      </c>
      <c r="AY42" s="4">
        <v>4.7629963324766e-14</v>
      </c>
      <c r="AZ42" s="4">
        <v>-1.2915108802305e-13</v>
      </c>
      <c r="BA42" s="4">
        <v>2.0326929921908e-13</v>
      </c>
      <c r="BB42" s="4">
        <v>-5.8748488310067e-13</v>
      </c>
      <c r="BC42" s="3">
        <v>15982219.756573</v>
      </c>
      <c r="BD42" s="3">
        <v>3997566.1763898</v>
      </c>
      <c r="BE42" s="3">
        <v>-0.00027786970941864</v>
      </c>
      <c r="BF42" s="3">
        <v>0.0006314896617927</v>
      </c>
      <c r="BG42" s="3">
        <v>0.00018987461265559</v>
      </c>
      <c r="BH42" s="3">
        <v>-0.00098623436424721</v>
      </c>
      <c r="BI42" s="3">
        <v>139.71314988944</v>
      </c>
      <c r="BJ42" s="3">
        <v>69.865131337741</v>
      </c>
      <c r="BK42" s="3">
        <v>128.1175319897</v>
      </c>
    </row>
    <row r="43" spans="1:63">
      <c r="A43" s="3">
        <v>1990535.8527675</v>
      </c>
      <c r="B43" s="4">
        <v>4.6226048565481e-5</v>
      </c>
      <c r="C43" s="4">
        <f t="shared" si="1"/>
        <v>2.5672811135963e-11</v>
      </c>
      <c r="D43" s="4">
        <v>1.533279124107e-12</v>
      </c>
      <c r="E43" s="4">
        <v>1.8599165726306e-12</v>
      </c>
      <c r="F43" s="4">
        <v>1.8596422922291e-12</v>
      </c>
      <c r="G43" s="4">
        <v>1.8584471506828e-12</v>
      </c>
      <c r="H43" s="4">
        <v>1.5314218153483e-12</v>
      </c>
      <c r="I43" s="4">
        <v>1.531937430994e-12</v>
      </c>
      <c r="J43" s="4">
        <v>1.531610787723e-12</v>
      </c>
      <c r="K43" s="4">
        <v>1.6122096977882e-12</v>
      </c>
      <c r="L43" s="4">
        <v>1.6135105335534e-12</v>
      </c>
      <c r="M43" s="4">
        <v>1.6118165951627e-12</v>
      </c>
      <c r="N43" s="4">
        <v>1.6921750391783e-12</v>
      </c>
      <c r="O43" s="4">
        <v>1.5314466609388e-12</v>
      </c>
      <c r="P43" s="4">
        <v>1.6916129566245e-12</v>
      </c>
      <c r="Q43" s="4">
        <v>1.695628453851e-12</v>
      </c>
      <c r="R43" s="4">
        <v>1.8583682328022e-12</v>
      </c>
      <c r="S43" s="4">
        <v>1.8579187311368e-12</v>
      </c>
      <c r="T43" s="4">
        <v>1.8583578327284e-12</v>
      </c>
      <c r="U43" s="4">
        <v>1.5316368840581e-12</v>
      </c>
      <c r="V43" s="4">
        <v>1.612797585596e-12</v>
      </c>
      <c r="W43" s="4">
        <v>1.6141066053898e-12</v>
      </c>
      <c r="X43" s="4">
        <v>1.6127330142838e-12</v>
      </c>
      <c r="Y43" s="4">
        <v>1.692131475473e-12</v>
      </c>
      <c r="Z43" s="4">
        <v>1.6962831634529e-12</v>
      </c>
      <c r="AA43" s="4">
        <v>1.6973252228634e-12</v>
      </c>
      <c r="AB43" s="3">
        <v>0.99998125156447</v>
      </c>
      <c r="AC43" s="3">
        <v>0.88085208398158</v>
      </c>
      <c r="AD43" s="3">
        <v>0.00061431597035412</v>
      </c>
      <c r="AE43" s="4">
        <v>-5.4777072984439e-14</v>
      </c>
      <c r="AF43" s="4">
        <v>2.6718858185733e-13</v>
      </c>
      <c r="AG43" s="4">
        <v>2.171019804251e-13</v>
      </c>
      <c r="AH43" s="4">
        <v>2.3897370457384e-14</v>
      </c>
      <c r="AI43" s="4">
        <v>-8.8390529630862e-15</v>
      </c>
      <c r="AJ43" s="4">
        <v>5.8946624497506e-14</v>
      </c>
      <c r="AK43" s="4">
        <v>7.7991858097106e-16</v>
      </c>
      <c r="AL43" s="4">
        <v>4.9133473907313e-14</v>
      </c>
      <c r="AM43" s="4">
        <v>5.0281906058096e-14</v>
      </c>
      <c r="AN43" s="4">
        <v>-1.148609901679e-14</v>
      </c>
      <c r="AO43" s="4">
        <v>4.5750840663448e-14</v>
      </c>
      <c r="AP43" s="4">
        <v>9.5050431543942e-16</v>
      </c>
      <c r="AQ43" s="4">
        <v>1.8508232152411e-14</v>
      </c>
      <c r="AR43" s="4">
        <v>-2.3293796757696e-13</v>
      </c>
      <c r="AS43" s="4">
        <v>-2.2934147316441e-14</v>
      </c>
      <c r="AT43" s="4">
        <v>1.1662538305613e-14</v>
      </c>
      <c r="AU43" s="4">
        <v>-5.5436252239375e-14</v>
      </c>
      <c r="AV43" s="4">
        <v>-5.5153420179468e-14</v>
      </c>
      <c r="AW43" s="4">
        <v>-2.4410845516034e-14</v>
      </c>
      <c r="AX43" s="4">
        <v>2.0524133338474e-13</v>
      </c>
      <c r="AY43" s="4">
        <v>4.6522891378823e-14</v>
      </c>
      <c r="AZ43" s="4">
        <v>-1.2519832472836e-13</v>
      </c>
      <c r="BA43" s="4">
        <v>1.9292191834662e-13</v>
      </c>
      <c r="BB43" s="4">
        <v>-5.6777056476959e-13</v>
      </c>
      <c r="BC43" s="3">
        <v>15980075.563457</v>
      </c>
      <c r="BD43" s="3">
        <v>3997208.4932866</v>
      </c>
      <c r="BE43" s="3">
        <v>-0.00027754534723534</v>
      </c>
      <c r="BF43" s="3">
        <v>0.00063704702714864</v>
      </c>
      <c r="BG43" s="3">
        <v>0.00019268850051866</v>
      </c>
      <c r="BH43" s="3">
        <v>-0.00098563504539729</v>
      </c>
      <c r="BI43" s="3">
        <v>139.71312352825</v>
      </c>
      <c r="BJ43" s="3">
        <v>69.865149115344</v>
      </c>
      <c r="BK43" s="3">
        <v>128.06494416385</v>
      </c>
    </row>
    <row r="44" spans="1:63">
      <c r="A44" s="3">
        <v>2233417.9607549</v>
      </c>
      <c r="B44" s="4">
        <v>5.1752912856314e-5</v>
      </c>
      <c r="C44" s="4">
        <f t="shared" si="1"/>
        <v>2.5593584079987e-11</v>
      </c>
      <c r="D44" s="4">
        <v>1.5332235416518e-12</v>
      </c>
      <c r="E44" s="4">
        <v>1.8587987784058e-12</v>
      </c>
      <c r="F44" s="4">
        <v>1.8585111262933e-12</v>
      </c>
      <c r="G44" s="4">
        <v>1.8572047125306e-12</v>
      </c>
      <c r="H44" s="4">
        <v>1.5311668230894e-12</v>
      </c>
      <c r="I44" s="4">
        <v>1.5317363215705e-12</v>
      </c>
      <c r="J44" s="4">
        <v>1.5313770996115e-12</v>
      </c>
      <c r="K44" s="4">
        <v>1.6116920139802e-12</v>
      </c>
      <c r="L44" s="4">
        <v>1.6131326094016e-12</v>
      </c>
      <c r="M44" s="4">
        <v>1.6112509984988e-12</v>
      </c>
      <c r="N44" s="4">
        <v>1.6913324737152e-12</v>
      </c>
      <c r="O44" s="4">
        <v>1.5311941366248e-12</v>
      </c>
      <c r="P44" s="4">
        <v>1.6907138485771e-12</v>
      </c>
      <c r="Q44" s="4">
        <v>1.6951033081703e-12</v>
      </c>
      <c r="R44" s="4">
        <v>1.8571035519724e-12</v>
      </c>
      <c r="S44" s="4">
        <v>1.8566094792674e-12</v>
      </c>
      <c r="T44" s="4">
        <v>1.8570966254029e-12</v>
      </c>
      <c r="U44" s="4">
        <v>1.5314087571885e-12</v>
      </c>
      <c r="V44" s="4">
        <v>1.6123265089349e-12</v>
      </c>
      <c r="W44" s="4">
        <v>1.6137846917384e-12</v>
      </c>
      <c r="X44" s="4">
        <v>1.6122797467581e-12</v>
      </c>
      <c r="Y44" s="4">
        <v>1.6912833613856e-12</v>
      </c>
      <c r="Z44" s="4">
        <v>1.6958198475182e-12</v>
      </c>
      <c r="AA44" s="4">
        <v>1.6969955698034e-12</v>
      </c>
      <c r="AB44" s="3">
        <v>0.99998367647791</v>
      </c>
      <c r="AC44" s="3">
        <v>0.88174246741061</v>
      </c>
      <c r="AD44" s="3">
        <v>0.00061937752944071</v>
      </c>
      <c r="AE44" s="4">
        <v>-5.2801938729871e-14</v>
      </c>
      <c r="AF44" s="4">
        <v>2.5668655609669e-13</v>
      </c>
      <c r="AG44" s="4">
        <v>2.1129952674027e-13</v>
      </c>
      <c r="AH44" s="4">
        <v>2.5168658677994e-14</v>
      </c>
      <c r="AI44" s="4">
        <v>-8.8207082522097e-15</v>
      </c>
      <c r="AJ44" s="4">
        <v>5.7430610578675e-14</v>
      </c>
      <c r="AK44" s="4">
        <v>8.0404681241291e-16</v>
      </c>
      <c r="AL44" s="4">
        <v>4.8403575189014e-14</v>
      </c>
      <c r="AM44" s="4">
        <v>5.2436729762554e-14</v>
      </c>
      <c r="AN44" s="4">
        <v>-1.0911841366121e-14</v>
      </c>
      <c r="AO44" s="4">
        <v>4.3419265635942e-14</v>
      </c>
      <c r="AP44" s="4">
        <v>9.5457704446601e-16</v>
      </c>
      <c r="AQ44" s="4">
        <v>1.8165252666804e-14</v>
      </c>
      <c r="AR44" s="4">
        <v>-2.2409345410476e-13</v>
      </c>
      <c r="AS44" s="4">
        <v>-2.1177433365324e-14</v>
      </c>
      <c r="AT44" s="4">
        <v>1.1032984294075e-14</v>
      </c>
      <c r="AU44" s="4">
        <v>-5.3395576817539e-14</v>
      </c>
      <c r="AV44" s="4">
        <v>-5.5108151312389e-14</v>
      </c>
      <c r="AW44" s="4">
        <v>-2.3366406880691e-14</v>
      </c>
      <c r="AX44" s="4">
        <v>1.9866058613917e-13</v>
      </c>
      <c r="AY44" s="4">
        <v>4.5345065365534e-14</v>
      </c>
      <c r="AZ44" s="4">
        <v>-1.2106876056585e-13</v>
      </c>
      <c r="BA44" s="4">
        <v>1.8277390020446e-13</v>
      </c>
      <c r="BB44" s="4">
        <v>-5.4852560395535e-13</v>
      </c>
      <c r="BC44" s="3">
        <v>15977674.26388</v>
      </c>
      <c r="BD44" s="3">
        <v>3996798.2195731</v>
      </c>
      <c r="BE44" s="3">
        <v>-0.00027716487747169</v>
      </c>
      <c r="BF44" s="3">
        <v>0.00064326325080094</v>
      </c>
      <c r="BG44" s="3">
        <v>0.00019584494258519</v>
      </c>
      <c r="BH44" s="3">
        <v>-0.0009847438048068</v>
      </c>
      <c r="BI44" s="3">
        <v>139.71309527041</v>
      </c>
      <c r="BJ44" s="3">
        <v>69.865168896274</v>
      </c>
      <c r="BK44" s="3">
        <v>128.00631423266</v>
      </c>
    </row>
    <row r="45" spans="1:63">
      <c r="A45" s="3">
        <v>2505936.1681364</v>
      </c>
      <c r="B45" s="4">
        <v>5.793737712029e-5</v>
      </c>
      <c r="C45" s="4">
        <f t="shared" si="1"/>
        <v>2.55116807646445e-11</v>
      </c>
      <c r="D45" s="4">
        <v>1.5331652424308e-12</v>
      </c>
      <c r="E45" s="4">
        <v>1.8575455895582e-12</v>
      </c>
      <c r="F45" s="4">
        <v>1.8572452122247e-12</v>
      </c>
      <c r="G45" s="4">
        <v>1.8558212856121e-12</v>
      </c>
      <c r="H45" s="4">
        <v>1.5308904111845e-12</v>
      </c>
      <c r="I45" s="4">
        <v>1.5315184937681e-12</v>
      </c>
      <c r="J45" s="4">
        <v>1.5311242269599e-12</v>
      </c>
      <c r="K45" s="4">
        <v>1.6111135525312e-12</v>
      </c>
      <c r="L45" s="4">
        <v>1.6127079344374e-12</v>
      </c>
      <c r="M45" s="4">
        <v>1.6106187119768e-12</v>
      </c>
      <c r="N45" s="4">
        <v>1.6903882151544e-12</v>
      </c>
      <c r="O45" s="4">
        <v>1.5309203629715e-12</v>
      </c>
      <c r="P45" s="4">
        <v>1.689707415893e-12</v>
      </c>
      <c r="Q45" s="4">
        <v>1.6945025193728e-12</v>
      </c>
      <c r="R45" s="4">
        <v>1.8556925998295e-12</v>
      </c>
      <c r="S45" s="4">
        <v>1.855150363674e-12</v>
      </c>
      <c r="T45" s="4">
        <v>1.8556902869157e-12</v>
      </c>
      <c r="U45" s="4">
        <v>1.5311626201481e-12</v>
      </c>
      <c r="V45" s="4">
        <v>1.6117956663176e-12</v>
      </c>
      <c r="W45" s="4">
        <v>1.6134201886473e-12</v>
      </c>
      <c r="X45" s="4">
        <v>1.6117735621145e-12</v>
      </c>
      <c r="Y45" s="4">
        <v>1.6903316567845e-12</v>
      </c>
      <c r="Z45" s="4">
        <v>1.6952836668867e-12</v>
      </c>
      <c r="AA45" s="4">
        <v>1.6966126075653e-12</v>
      </c>
      <c r="AB45" s="3">
        <v>0.9999857958601</v>
      </c>
      <c r="AC45" s="3">
        <v>0.88267220638563</v>
      </c>
      <c r="AD45" s="3">
        <v>0.00062504450052909</v>
      </c>
      <c r="AE45" s="4">
        <v>-5.0771347265875e-14</v>
      </c>
      <c r="AF45" s="4">
        <v>2.4592762197444e-13</v>
      </c>
      <c r="AG45" s="4">
        <v>2.0519872204371e-13</v>
      </c>
      <c r="AH45" s="4">
        <v>2.6542942687625e-14</v>
      </c>
      <c r="AI45" s="4">
        <v>-8.8005686712713e-15</v>
      </c>
      <c r="AJ45" s="4">
        <v>5.5848438868374e-14</v>
      </c>
      <c r="AK45" s="4">
        <v>8.3398280434623e-16</v>
      </c>
      <c r="AL45" s="4">
        <v>4.7622731262578e-14</v>
      </c>
      <c r="AM45" s="4">
        <v>5.4718053333419e-14</v>
      </c>
      <c r="AN45" s="4">
        <v>-1.0312282745045e-14</v>
      </c>
      <c r="AO45" s="4">
        <v>4.1060951503568e-14</v>
      </c>
      <c r="AP45" s="4">
        <v>9.6059345092916e-16</v>
      </c>
      <c r="AQ45" s="4">
        <v>1.7843044666867e-14</v>
      </c>
      <c r="AR45" s="4">
        <v>-2.1562860360421e-13</v>
      </c>
      <c r="AS45" s="4">
        <v>-1.9384571941636e-14</v>
      </c>
      <c r="AT45" s="4">
        <v>1.0377939448187e-14</v>
      </c>
      <c r="AU45" s="4">
        <v>-5.1216877451167e-14</v>
      </c>
      <c r="AV45" s="4">
        <v>-5.5056996888553e-14</v>
      </c>
      <c r="AW45" s="4">
        <v>-2.2315910680387e-14</v>
      </c>
      <c r="AX45" s="4">
        <v>1.918815382362e-13</v>
      </c>
      <c r="AY45" s="4">
        <v>4.4094797391855e-14</v>
      </c>
      <c r="AZ45" s="4">
        <v>-1.1677299435885e-13</v>
      </c>
      <c r="BA45" s="4">
        <v>1.7285826305322e-13</v>
      </c>
      <c r="BB45" s="4">
        <v>-5.2976836166667e-13</v>
      </c>
      <c r="BC45" s="3">
        <v>15974985.219164</v>
      </c>
      <c r="BD45" s="3">
        <v>3996327.8953325</v>
      </c>
      <c r="BE45" s="3">
        <v>-0.00027671908772307</v>
      </c>
      <c r="BF45" s="3">
        <v>0.00065021564831021</v>
      </c>
      <c r="BG45" s="3">
        <v>0.00019938554441485</v>
      </c>
      <c r="BH45" s="3">
        <v>-0.00098349481770279</v>
      </c>
      <c r="BI45" s="3">
        <v>139.71306510408</v>
      </c>
      <c r="BJ45" s="3">
        <v>69.865190886007</v>
      </c>
      <c r="BK45" s="3">
        <v>127.94100188244</v>
      </c>
    </row>
    <row r="46" spans="1:63">
      <c r="A46" s="3">
        <v>2811706.6259518</v>
      </c>
      <c r="B46" s="4">
        <v>6.4857476784038e-5</v>
      </c>
      <c r="C46" s="4">
        <f t="shared" si="1"/>
        <v>2.54270484571269e-11</v>
      </c>
      <c r="D46" s="4">
        <v>1.5331046802073e-12</v>
      </c>
      <c r="E46" s="4">
        <v>1.8561410415993e-12</v>
      </c>
      <c r="F46" s="4">
        <v>1.855828809025e-12</v>
      </c>
      <c r="G46" s="4">
        <v>1.8542817250483e-12</v>
      </c>
      <c r="H46" s="4">
        <v>1.5305917722893e-12</v>
      </c>
      <c r="I46" s="4">
        <v>1.5312833652874e-12</v>
      </c>
      <c r="J46" s="4">
        <v>1.5308515675315e-12</v>
      </c>
      <c r="K46" s="4">
        <v>1.6104668153215e-12</v>
      </c>
      <c r="L46" s="4">
        <v>1.6122304407056e-12</v>
      </c>
      <c r="M46" s="4">
        <v>1.6099115001258e-12</v>
      </c>
      <c r="N46" s="4">
        <v>1.6893311755927e-12</v>
      </c>
      <c r="O46" s="4">
        <v>1.5306245231069e-12</v>
      </c>
      <c r="P46" s="4">
        <v>1.6885818455726e-12</v>
      </c>
      <c r="Q46" s="4">
        <v>1.6938168906114e-12</v>
      </c>
      <c r="R46" s="4">
        <v>1.8541191029693e-12</v>
      </c>
      <c r="S46" s="4">
        <v>1.853524958508e-12</v>
      </c>
      <c r="T46" s="4">
        <v>1.85412278641e-12</v>
      </c>
      <c r="U46" s="4">
        <v>1.5308981080783e-12</v>
      </c>
      <c r="V46" s="4">
        <v>1.6111969592994e-12</v>
      </c>
      <c r="W46" s="4">
        <v>1.6130071910351e-12</v>
      </c>
      <c r="X46" s="4">
        <v>1.6112079235299e-12</v>
      </c>
      <c r="Y46" s="4">
        <v>1.6892645763613e-12</v>
      </c>
      <c r="Z46" s="4">
        <v>1.694665134816e-12</v>
      </c>
      <c r="AA46" s="4">
        <v>1.6961696886518e-12</v>
      </c>
      <c r="AB46" s="3">
        <v>0.99998764588862</v>
      </c>
      <c r="AC46" s="3">
        <v>0.88363460310732</v>
      </c>
      <c r="AD46" s="3">
        <v>0.0006313899798148</v>
      </c>
      <c r="AE46" s="4">
        <v>-4.8698250677646e-14</v>
      </c>
      <c r="AF46" s="4">
        <v>2.3494085276787e-13</v>
      </c>
      <c r="AG46" s="4">
        <v>1.9881967647108e-13</v>
      </c>
      <c r="AH46" s="4">
        <v>2.8027897683489e-14</v>
      </c>
      <c r="AI46" s="4">
        <v>-8.7792258931967e-15</v>
      </c>
      <c r="AJ46" s="4">
        <v>5.420374003955e-14</v>
      </c>
      <c r="AK46" s="4">
        <v>8.7006927828453e-16</v>
      </c>
      <c r="AL46" s="4">
        <v>4.678604840738e-14</v>
      </c>
      <c r="AM46" s="4">
        <v>5.7127211774825e-14</v>
      </c>
      <c r="AN46" s="4">
        <v>-9.6909975298802e-15</v>
      </c>
      <c r="AO46" s="4">
        <v>3.8679402235069e-14</v>
      </c>
      <c r="AP46" s="4">
        <v>9.6837443918086e-16</v>
      </c>
      <c r="AQ46" s="4">
        <v>1.7540919488983e-14</v>
      </c>
      <c r="AR46" s="4">
        <v>-2.0754420438541e-13</v>
      </c>
      <c r="AS46" s="4">
        <v>-1.7559632287188e-14</v>
      </c>
      <c r="AT46" s="4">
        <v>9.6978361849911e-15</v>
      </c>
      <c r="AU46" s="4">
        <v>-4.8898333163499e-14</v>
      </c>
      <c r="AV46" s="4">
        <v>-5.5001246914547e-14</v>
      </c>
      <c r="AW46" s="4">
        <v>-2.126659582237e-14</v>
      </c>
      <c r="AX46" s="4">
        <v>1.8490695736413e-13</v>
      </c>
      <c r="AY46" s="4">
        <v>4.2769948280131e-14</v>
      </c>
      <c r="AZ46" s="4">
        <v>-1.1232347365252e-13</v>
      </c>
      <c r="BA46" s="4">
        <v>1.6320113947731e-13</v>
      </c>
      <c r="BB46" s="4">
        <v>-5.1151502029692e-13</v>
      </c>
      <c r="BC46" s="3">
        <v>15971974.152426</v>
      </c>
      <c r="BD46" s="3">
        <v>3995789.0901236</v>
      </c>
      <c r="BE46" s="3">
        <v>-0.00027619732436037</v>
      </c>
      <c r="BF46" s="3">
        <v>0.00065799048855784</v>
      </c>
      <c r="BG46" s="3">
        <v>0.00020335694343854</v>
      </c>
      <c r="BH46" s="3">
        <v>-0.00098181098843379</v>
      </c>
      <c r="BI46" s="3">
        <v>139.71303305036</v>
      </c>
      <c r="BJ46" s="3">
        <v>69.865215310227</v>
      </c>
      <c r="BK46" s="3">
        <v>127.86831421229</v>
      </c>
    </row>
    <row r="47" spans="1:63">
      <c r="A47" s="3">
        <v>3154786.7224011</v>
      </c>
      <c r="B47" s="4">
        <v>7.2600491201935e-5</v>
      </c>
      <c r="C47" s="4">
        <f t="shared" si="1"/>
        <v>2.53396345939139e-11</v>
      </c>
      <c r="D47" s="4">
        <v>1.5330246111048e-12</v>
      </c>
      <c r="E47" s="4">
        <v>1.8545674864994e-12</v>
      </c>
      <c r="F47" s="4">
        <v>1.8542445246175e-12</v>
      </c>
      <c r="G47" s="4">
        <v>1.8525695067751e-12</v>
      </c>
      <c r="H47" s="4">
        <v>1.5302523974119e-12</v>
      </c>
      <c r="I47" s="4">
        <v>1.5310126233612e-12</v>
      </c>
      <c r="J47" s="4">
        <v>1.5305408310684e-12</v>
      </c>
      <c r="K47" s="4">
        <v>1.6097433027929e-12</v>
      </c>
      <c r="L47" s="4">
        <v>1.6116932650869e-12</v>
      </c>
      <c r="M47" s="4">
        <v>1.6091200364253e-12</v>
      </c>
      <c r="N47" s="4">
        <v>1.6881493265122e-12</v>
      </c>
      <c r="O47" s="4">
        <v>1.5302880900134e-12</v>
      </c>
      <c r="P47" s="4">
        <v>1.6873242256445e-12</v>
      </c>
      <c r="Q47" s="4">
        <v>1.6930364006163e-12</v>
      </c>
      <c r="R47" s="4">
        <v>1.8523651876854e-12</v>
      </c>
      <c r="S47" s="4">
        <v>1.8517152532215e-12</v>
      </c>
      <c r="T47" s="4">
        <v>1.8523765424025e-12</v>
      </c>
      <c r="U47" s="4">
        <v>1.5305972136344e-12</v>
      </c>
      <c r="V47" s="4">
        <v>1.6105211347803e-12</v>
      </c>
      <c r="W47" s="4">
        <v>1.6125389947654e-12</v>
      </c>
      <c r="X47" s="4">
        <v>1.6105754209077e-12</v>
      </c>
      <c r="Y47" s="4">
        <v>1.6880691837303e-12</v>
      </c>
      <c r="Z47" s="4">
        <v>1.6939538749658e-12</v>
      </c>
      <c r="AA47" s="4">
        <v>1.6956596482384e-12</v>
      </c>
      <c r="AB47" s="3">
        <v>0.99998925870574</v>
      </c>
      <c r="AC47" s="3">
        <v>0.88462092567723</v>
      </c>
      <c r="AD47" s="3">
        <v>0.000638496098396</v>
      </c>
      <c r="AE47" s="4">
        <v>-4.6596193051519e-14</v>
      </c>
      <c r="AF47" s="4">
        <v>2.2375827029218e-13</v>
      </c>
      <c r="AG47" s="4">
        <v>1.9218797926976e-13</v>
      </c>
      <c r="AH47" s="4">
        <v>2.9631281531814e-14</v>
      </c>
      <c r="AI47" s="4">
        <v>-8.7576036382533e-15</v>
      </c>
      <c r="AJ47" s="4">
        <v>5.2500069344289e-14</v>
      </c>
      <c r="AK47" s="4">
        <v>9.1279338690952e-16</v>
      </c>
      <c r="AL47" s="4">
        <v>4.5888395908489e-14</v>
      </c>
      <c r="AM47" s="4">
        <v>5.9666768734435e-14</v>
      </c>
      <c r="AN47" s="4">
        <v>-9.052346777561e-15</v>
      </c>
      <c r="AO47" s="4">
        <v>3.6276781544702e-14</v>
      </c>
      <c r="AP47" s="4">
        <v>9.7751750204201e-16</v>
      </c>
      <c r="AQ47" s="4">
        <v>1.7257554952625e-14</v>
      </c>
      <c r="AR47" s="4">
        <v>-1.9983968139652e-13</v>
      </c>
      <c r="AS47" s="4">
        <v>-1.5706633533408e-14</v>
      </c>
      <c r="AT47" s="4">
        <v>8.9932786759887e-15</v>
      </c>
      <c r="AU47" s="4">
        <v>-4.6438845522375e-14</v>
      </c>
      <c r="AV47" s="4">
        <v>-5.4943024941873e-14</v>
      </c>
      <c r="AW47" s="4">
        <v>-2.0225785468961e-14</v>
      </c>
      <c r="AX47" s="4">
        <v>1.7773676601206e-13</v>
      </c>
      <c r="AY47" s="4">
        <v>4.1367685811149e-14</v>
      </c>
      <c r="AZ47" s="4">
        <v>-1.077344924247e-13</v>
      </c>
      <c r="BA47" s="4">
        <v>1.5382144424284e-13</v>
      </c>
      <c r="BB47" s="4">
        <v>-4.9377933142844e-13</v>
      </c>
      <c r="BC47" s="3">
        <v>15968602.728444</v>
      </c>
      <c r="BD47" s="3">
        <v>3995172.3033209</v>
      </c>
      <c r="BE47" s="3">
        <v>-0.0002755873336886</v>
      </c>
      <c r="BF47" s="3">
        <v>0.00066668401283831</v>
      </c>
      <c r="BG47" s="3">
        <v>0.00020781140661395</v>
      </c>
      <c r="BH47" s="3">
        <v>-0.00097960265202937</v>
      </c>
      <c r="BI47" s="3">
        <v>139.71299918113</v>
      </c>
      <c r="BJ47" s="3">
        <v>69.865242405081</v>
      </c>
      <c r="BK47" s="3">
        <v>127.78750363396</v>
      </c>
    </row>
    <row r="48" spans="1:63">
      <c r="A48" s="3">
        <v>3539728.9219208</v>
      </c>
      <c r="B48" s="4">
        <v>8.1264029946135e-5</v>
      </c>
      <c r="C48" s="4">
        <f t="shared" si="1"/>
        <v>2.52493745249476e-11</v>
      </c>
      <c r="D48" s="4">
        <v>1.5329211099501e-12</v>
      </c>
      <c r="E48" s="4">
        <v>1.852806450877e-12</v>
      </c>
      <c r="F48" s="4">
        <v>1.852474182023e-12</v>
      </c>
      <c r="G48" s="4">
        <v>1.8506676450427e-12</v>
      </c>
      <c r="H48" s="4">
        <v>1.5298671064577e-12</v>
      </c>
      <c r="I48" s="4">
        <v>1.5307012439598e-12</v>
      </c>
      <c r="J48" s="4">
        <v>1.5301870692916e-12</v>
      </c>
      <c r="K48" s="4">
        <v>1.6089333834168e-12</v>
      </c>
      <c r="L48" s="4">
        <v>1.6110886657625e-12</v>
      </c>
      <c r="M48" s="4">
        <v>1.6082337627785e-12</v>
      </c>
      <c r="N48" s="4">
        <v>1.6868352828918e-12</v>
      </c>
      <c r="O48" s="4">
        <v>1.5299058540861e-12</v>
      </c>
      <c r="P48" s="4">
        <v>1.6859260823753e-12</v>
      </c>
      <c r="Q48" s="4">
        <v>1.6921557826665e-12</v>
      </c>
      <c r="R48" s="4">
        <v>1.8504122574993e-12</v>
      </c>
      <c r="S48" s="4">
        <v>1.8497025335738e-12</v>
      </c>
      <c r="T48" s="4">
        <v>1.8504333121728e-12</v>
      </c>
      <c r="U48" s="4">
        <v>1.5302553258981e-12</v>
      </c>
      <c r="V48" s="4">
        <v>1.6097576323313e-12</v>
      </c>
      <c r="W48" s="4">
        <v>1.6120080180747e-12</v>
      </c>
      <c r="X48" s="4">
        <v>1.6098676624999e-12</v>
      </c>
      <c r="Y48" s="4">
        <v>1.6867369192532e-12</v>
      </c>
      <c r="Z48" s="4">
        <v>1.6931441985903e-12</v>
      </c>
      <c r="AA48" s="4">
        <v>1.6950804300149e-12</v>
      </c>
      <c r="AB48" s="3">
        <v>0.99999066288684</v>
      </c>
      <c r="AC48" s="3">
        <v>0.88562047070386</v>
      </c>
      <c r="AD48" s="3">
        <v>0.00064645515975736</v>
      </c>
      <c r="AE48" s="4">
        <v>-4.4478679819081e-14</v>
      </c>
      <c r="AF48" s="4">
        <v>2.1241490532864e-13</v>
      </c>
      <c r="AG48" s="4">
        <v>1.8533464722242e-13</v>
      </c>
      <c r="AH48" s="4">
        <v>3.1360882454781e-14</v>
      </c>
      <c r="AI48" s="4">
        <v>-8.7370392462373e-15</v>
      </c>
      <c r="AJ48" s="4">
        <v>5.0740542327728e-14</v>
      </c>
      <c r="AK48" s="4">
        <v>9.6288218321819e-16</v>
      </c>
      <c r="AL48" s="4">
        <v>4.4924538531168e-14</v>
      </c>
      <c r="AM48" s="4">
        <v>6.2341379125634e-14</v>
      </c>
      <c r="AN48" s="4">
        <v>-8.401482800758e-15</v>
      </c>
      <c r="AO48" s="4">
        <v>3.3853514477581e-14</v>
      </c>
      <c r="AP48" s="4">
        <v>9.8732538489679e-16</v>
      </c>
      <c r="AQ48" s="4">
        <v>1.6990977729509e-14</v>
      </c>
      <c r="AR48" s="4">
        <v>-1.925133009766e-13</v>
      </c>
      <c r="AS48" s="4">
        <v>-1.3829478792712e-14</v>
      </c>
      <c r="AT48" s="4">
        <v>8.265061834891e-15</v>
      </c>
      <c r="AU48" s="4">
        <v>-4.3837891201892e-14</v>
      </c>
      <c r="AV48" s="4">
        <v>-5.4885480785535e-14</v>
      </c>
      <c r="AW48" s="4">
        <v>-1.920013681939e-14</v>
      </c>
      <c r="AX48" s="4">
        <v>1.703677742547e-13</v>
      </c>
      <c r="AY48" s="4">
        <v>3.9884112132058e-14</v>
      </c>
      <c r="AZ48" s="4">
        <v>-1.0302190183543e-13</v>
      </c>
      <c r="BA48" s="4">
        <v>1.4473054747623e-13</v>
      </c>
      <c r="BB48" s="4">
        <v>-4.7657360942994e-13</v>
      </c>
      <c r="BC48" s="3">
        <v>15964828.068858</v>
      </c>
      <c r="BD48" s="3">
        <v>3994466.8536624</v>
      </c>
      <c r="BE48" s="3">
        <v>-0.00027487501536764</v>
      </c>
      <c r="BF48" s="3">
        <v>0.00067640356260444</v>
      </c>
      <c r="BG48" s="3">
        <v>0.00021280750230214</v>
      </c>
      <c r="BH48" s="3">
        <v>-0.00097676614747448</v>
      </c>
      <c r="BI48" s="3">
        <v>139.71296363094</v>
      </c>
      <c r="BJ48" s="3">
        <v>69.865272416538</v>
      </c>
      <c r="BK48" s="3">
        <v>127.6977692804</v>
      </c>
    </row>
    <row r="49" spans="1:63">
      <c r="A49" s="3">
        <v>3971641.1736215</v>
      </c>
      <c r="B49" s="4">
        <v>9.0957243034933e-5</v>
      </c>
      <c r="C49" s="4">
        <f t="shared" si="1"/>
        <v>2.51561937352247e-11</v>
      </c>
      <c r="D49" s="4">
        <v>1.5327896057304e-12</v>
      </c>
      <c r="E49" s="4">
        <v>1.850843181531e-12</v>
      </c>
      <c r="F49" s="4">
        <v>1.8505033756165e-12</v>
      </c>
      <c r="G49" s="4">
        <v>1.8485633058808e-12</v>
      </c>
      <c r="H49" s="4">
        <v>1.5294301002961e-12</v>
      </c>
      <c r="I49" s="4">
        <v>1.5303435301591e-12</v>
      </c>
      <c r="J49" s="4">
        <v>1.5297847265063e-12</v>
      </c>
      <c r="K49" s="4">
        <v>1.6080275772592e-12</v>
      </c>
      <c r="L49" s="4">
        <v>1.610409364242e-12</v>
      </c>
      <c r="M49" s="4">
        <v>1.6072421616723e-12</v>
      </c>
      <c r="N49" s="4">
        <v>1.6853721242758e-12</v>
      </c>
      <c r="O49" s="4">
        <v>1.5294719713087e-12</v>
      </c>
      <c r="P49" s="4">
        <v>1.6843691398018e-12</v>
      </c>
      <c r="Q49" s="4">
        <v>1.6911603316287e-12</v>
      </c>
      <c r="R49" s="4">
        <v>1.8482455600037e-12</v>
      </c>
      <c r="S49" s="4">
        <v>1.8474719516549e-12</v>
      </c>
      <c r="T49" s="4">
        <v>1.8482787737591e-12</v>
      </c>
      <c r="U49" s="4">
        <v>1.5298672921232e-12</v>
      </c>
      <c r="V49" s="4">
        <v>1.6088958437375e-12</v>
      </c>
      <c r="W49" s="4">
        <v>1.6114071531033e-12</v>
      </c>
      <c r="X49" s="4">
        <v>1.6090765855579e-12</v>
      </c>
      <c r="Y49" s="4">
        <v>1.685249349642e-12</v>
      </c>
      <c r="Z49" s="4">
        <v>1.6922209123507e-12</v>
      </c>
      <c r="AA49" s="4">
        <v>1.6944209521514e-12</v>
      </c>
      <c r="AB49" s="3">
        <v>0.99999188378962</v>
      </c>
      <c r="AC49" s="3">
        <v>0.88662022750915</v>
      </c>
      <c r="AD49" s="3">
        <v>0.00065537092039263</v>
      </c>
      <c r="AE49" s="4">
        <v>-4.2358476254879e-14</v>
      </c>
      <c r="AF49" s="4">
        <v>2.0094885724759e-13</v>
      </c>
      <c r="AG49" s="4">
        <v>1.7829590570368e-13</v>
      </c>
      <c r="AH49" s="4">
        <v>3.3224473861558e-14</v>
      </c>
      <c r="AI49" s="4">
        <v>-8.7194031321998e-15</v>
      </c>
      <c r="AJ49" s="4">
        <v>4.8927443979967e-14</v>
      </c>
      <c r="AK49" s="4">
        <v>1.0214272028671e-15</v>
      </c>
      <c r="AL49" s="4">
        <v>4.3889091919323e-14</v>
      </c>
      <c r="AM49" s="4">
        <v>6.5158946379807e-14</v>
      </c>
      <c r="AN49" s="4">
        <v>-7.7443281752128e-15</v>
      </c>
      <c r="AO49" s="4">
        <v>3.140775138356e-14</v>
      </c>
      <c r="AP49" s="4">
        <v>9.9672197143488e-16</v>
      </c>
      <c r="AQ49" s="4">
        <v>1.6738478881247e-14</v>
      </c>
      <c r="AR49" s="4">
        <v>-1.8556174826792e-13</v>
      </c>
      <c r="AS49" s="4">
        <v>-1.1931881857153e-14</v>
      </c>
      <c r="AT49" s="4">
        <v>7.5141907327134e-15</v>
      </c>
      <c r="AU49" s="4">
        <v>-4.1095294712088e-14</v>
      </c>
      <c r="AV49" s="4">
        <v>-5.4833048228827e-14</v>
      </c>
      <c r="AW49" s="4">
        <v>-1.8194776325295e-14</v>
      </c>
      <c r="AX49" s="4">
        <v>1.6279306395632e-13</v>
      </c>
      <c r="AY49" s="4">
        <v>3.8313984028499e-14</v>
      </c>
      <c r="AZ49" s="4">
        <v>-9.8202797570816e-14</v>
      </c>
      <c r="BA49" s="4">
        <v>1.3593200370032e-13</v>
      </c>
      <c r="BB49" s="4">
        <v>-4.599088989287e-13</v>
      </c>
      <c r="BC49" s="3">
        <v>15960602.209173</v>
      </c>
      <c r="BD49" s="3">
        <v>3993660.7643918</v>
      </c>
      <c r="BE49" s="3">
        <v>-0.00027404414140424</v>
      </c>
      <c r="BF49" s="3">
        <v>0.00068726883088484</v>
      </c>
      <c r="BG49" s="3">
        <v>0.0002184108491053</v>
      </c>
      <c r="BH49" s="3">
        <v>-0.00097318105195661</v>
      </c>
      <c r="BI49" s="3">
        <v>139.71292660784</v>
      </c>
      <c r="BJ49" s="3">
        <v>69.865305598418</v>
      </c>
      <c r="BK49" s="3">
        <v>127.59826002773</v>
      </c>
    </row>
    <row r="50" spans="1:63">
      <c r="A50" s="3">
        <v>4456254.6906689</v>
      </c>
      <c r="B50" s="3">
        <v>0.00010180216781493</v>
      </c>
      <c r="C50" s="4">
        <f t="shared" si="1"/>
        <v>2.50600037926968e-11</v>
      </c>
      <c r="D50" s="4">
        <v>1.5326247666471e-12</v>
      </c>
      <c r="E50" s="4">
        <v>1.8486479151106e-12</v>
      </c>
      <c r="F50" s="4">
        <v>1.8483027535172e-12</v>
      </c>
      <c r="G50" s="4">
        <v>1.8462291535463e-12</v>
      </c>
      <c r="H50" s="4">
        <v>1.5289348646871e-12</v>
      </c>
      <c r="I50" s="4">
        <v>1.5299329998832e-12</v>
      </c>
      <c r="J50" s="4">
        <v>1.529327540702e-12</v>
      </c>
      <c r="K50" s="4">
        <v>1.6070198408436e-12</v>
      </c>
      <c r="L50" s="4">
        <v>1.6096519273446e-12</v>
      </c>
      <c r="M50" s="4">
        <v>1.6061380266746e-12</v>
      </c>
      <c r="N50" s="4">
        <v>1.6837542583369e-12</v>
      </c>
      <c r="O50" s="4">
        <v>1.5289798622314e-12</v>
      </c>
      <c r="P50" s="4">
        <v>1.6826461023891e-12</v>
      </c>
      <c r="Q50" s="4">
        <v>1.6900467435476e-12</v>
      </c>
      <c r="R50" s="4">
        <v>1.8458354791931e-12</v>
      </c>
      <c r="S50" s="4">
        <v>1.8449938206996e-12</v>
      </c>
      <c r="T50" s="4">
        <v>1.8458838366897e-12</v>
      </c>
      <c r="U50" s="4">
        <v>1.5294273328367e-12</v>
      </c>
      <c r="V50" s="4">
        <v>1.6079283727617e-12</v>
      </c>
      <c r="W50" s="4">
        <v>1.6107331955154e-12</v>
      </c>
      <c r="X50" s="4">
        <v>1.6081977736234e-12</v>
      </c>
      <c r="Y50" s="4">
        <v>1.6835989401401e-12</v>
      </c>
      <c r="Z50" s="4">
        <v>1.6911801595876e-12</v>
      </c>
      <c r="AA50" s="4">
        <v>1.6936820241789e-12</v>
      </c>
      <c r="AB50" s="3">
        <v>0.99999294389632</v>
      </c>
      <c r="AC50" s="3">
        <v>0.88760473986856</v>
      </c>
      <c r="AD50" s="3">
        <v>0.000665360035829</v>
      </c>
      <c r="AE50" s="4">
        <v>-4.024673002995e-14</v>
      </c>
      <c r="AF50" s="4">
        <v>1.8940160105591e-13</v>
      </c>
      <c r="AG50" s="4">
        <v>1.7111290697351e-13</v>
      </c>
      <c r="AH50" s="4">
        <v>3.5229710471466e-14</v>
      </c>
      <c r="AI50" s="4">
        <v>-8.7071725538839e-15</v>
      </c>
      <c r="AJ50" s="4">
        <v>4.7061814267928e-14</v>
      </c>
      <c r="AK50" s="4">
        <v>1.0900581246116e-15</v>
      </c>
      <c r="AL50" s="4">
        <v>4.2776452579303e-14</v>
      </c>
      <c r="AM50" s="4">
        <v>6.8130147151759e-14</v>
      </c>
      <c r="AN50" s="4">
        <v>-7.087411958913e-15</v>
      </c>
      <c r="AO50" s="4">
        <v>2.89347402681e-14</v>
      </c>
      <c r="AP50" s="4">
        <v>1.0041528246602e-15</v>
      </c>
      <c r="AQ50" s="4">
        <v>1.6496568675983e-14</v>
      </c>
      <c r="AR50" s="4">
        <v>-1.7898104713041e-13</v>
      </c>
      <c r="AS50" s="4">
        <v>-1.0017374107284e-14</v>
      </c>
      <c r="AT50" s="4">
        <v>6.7419120608395e-15</v>
      </c>
      <c r="AU50" s="4">
        <v>-3.8211014528298e-14</v>
      </c>
      <c r="AV50" s="4">
        <v>-5.4791985206262e-14</v>
      </c>
      <c r="AW50" s="4">
        <v>-1.721544296616e-14</v>
      </c>
      <c r="AX50" s="4">
        <v>1.5500331118271e-13</v>
      </c>
      <c r="AY50" s="4">
        <v>3.6650490372372e-14</v>
      </c>
      <c r="AZ50" s="4">
        <v>-9.3295250469751e-14</v>
      </c>
      <c r="BA50" s="4">
        <v>1.2742142924957e-13</v>
      </c>
      <c r="BB50" s="4">
        <v>-4.4379633887441e-13</v>
      </c>
      <c r="BC50" s="3">
        <v>15955871.498808</v>
      </c>
      <c r="BD50" s="3">
        <v>3992740.6489622</v>
      </c>
      <c r="BE50" s="3">
        <v>-0.00027307607686634</v>
      </c>
      <c r="BF50" s="3">
        <v>0.00069941324746004</v>
      </c>
      <c r="BG50" s="3">
        <v>0.00022469495584426</v>
      </c>
      <c r="BH50" s="3">
        <v>-0.00096871131954597</v>
      </c>
      <c r="BI50" s="3">
        <v>139.7128884169</v>
      </c>
      <c r="BJ50" s="3">
        <v>69.865342206775</v>
      </c>
      <c r="BK50" s="3">
        <v>127.48807919655</v>
      </c>
    </row>
    <row r="51" spans="1:63">
      <c r="A51" s="3">
        <v>5000000.0000001</v>
      </c>
      <c r="B51" s="3">
        <v>0.00011393522850156</v>
      </c>
      <c r="C51" s="4">
        <f t="shared" si="1"/>
        <v>2.49607072569578e-11</v>
      </c>
      <c r="D51" s="4">
        <v>1.5324270448384e-12</v>
      </c>
      <c r="E51" s="4">
        <v>1.8462030607638e-12</v>
      </c>
      <c r="F51" s="4">
        <v>1.8458552152123e-12</v>
      </c>
      <c r="G51" s="4">
        <v>1.8436506214289e-12</v>
      </c>
      <c r="H51" s="4">
        <v>1.5283807368332e-12</v>
      </c>
      <c r="I51" s="4">
        <v>1.5294689335451e-12</v>
      </c>
      <c r="J51" s="4">
        <v>1.5288151057903e-12</v>
      </c>
      <c r="K51" s="4">
        <v>1.6059071084946e-12</v>
      </c>
      <c r="L51" s="4">
        <v>1.6088165860645e-12</v>
      </c>
      <c r="M51" s="4">
        <v>1.6049169762465e-12</v>
      </c>
      <c r="N51" s="4">
        <v>1.6819653989025e-12</v>
      </c>
      <c r="O51" s="4">
        <v>1.5284287727275e-12</v>
      </c>
      <c r="P51" s="4">
        <v>1.6807385258014e-12</v>
      </c>
      <c r="Q51" s="4">
        <v>1.6888010498302e-12</v>
      </c>
      <c r="R51" s="4">
        <v>1.843164741181e-12</v>
      </c>
      <c r="S51" s="4">
        <v>1.8422508222752e-12</v>
      </c>
      <c r="T51" s="4">
        <v>1.843231873661e-12</v>
      </c>
      <c r="U51" s="4">
        <v>1.5289356213495e-12</v>
      </c>
      <c r="V51" s="4">
        <v>1.6068505345586e-12</v>
      </c>
      <c r="W51" s="4">
        <v>1.6099869645256e-12</v>
      </c>
      <c r="X51" s="4">
        <v>1.6072300263223e-12</v>
      </c>
      <c r="Y51" s="4">
        <v>1.6817669147557e-12</v>
      </c>
      <c r="Z51" s="4">
        <v>1.6900073621983e-12</v>
      </c>
      <c r="AA51" s="4">
        <v>1.6928543771893e-12</v>
      </c>
      <c r="AB51" s="3">
        <v>0.99999386310838</v>
      </c>
      <c r="AC51" s="3">
        <v>0.88855620034416</v>
      </c>
      <c r="AD51" s="3">
        <v>0.00067655365284654</v>
      </c>
      <c r="AE51" s="4">
        <v>-3.8152071801115e-14</v>
      </c>
      <c r="AF51" s="4">
        <v>1.7781793702149e-13</v>
      </c>
      <c r="AG51" s="4">
        <v>1.6383076269028e-13</v>
      </c>
      <c r="AH51" s="4">
        <v>3.7383873856041e-14</v>
      </c>
      <c r="AI51" s="4">
        <v>-8.70277844666e-15</v>
      </c>
      <c r="AJ51" s="4">
        <v>4.5143024815513e-14</v>
      </c>
      <c r="AK51" s="4">
        <v>1.1713890301772e-15</v>
      </c>
      <c r="AL51" s="4">
        <v>4.1580882800468e-14</v>
      </c>
      <c r="AM51" s="4">
        <v>7.1268625750082e-14</v>
      </c>
      <c r="AN51" s="4">
        <v>-6.437844753744e-15</v>
      </c>
      <c r="AO51" s="4">
        <v>2.6426055529004e-14</v>
      </c>
      <c r="AP51" s="4">
        <v>1.0074740016281e-15</v>
      </c>
      <c r="AQ51" s="4">
        <v>1.6260862681128e-14</v>
      </c>
      <c r="AR51" s="4">
        <v>-1.7276730760775e-13</v>
      </c>
      <c r="AS51" s="4">
        <v>-8.0893099836488e-15</v>
      </c>
      <c r="AT51" s="4">
        <v>5.9497286019279e-15</v>
      </c>
      <c r="AU51" s="4">
        <v>-3.5184757102471e-14</v>
      </c>
      <c r="AV51" s="4">
        <v>-5.4771039066476e-14</v>
      </c>
      <c r="AW51" s="4">
        <v>-1.626683056389e-14</v>
      </c>
      <c r="AX51" s="4">
        <v>1.4698835642524e-13</v>
      </c>
      <c r="AY51" s="4">
        <v>3.4884790577401e-14</v>
      </c>
      <c r="AZ51" s="4">
        <v>-8.8317807342991e-14</v>
      </c>
      <c r="BA51" s="4">
        <v>1.1918615807501e-13</v>
      </c>
      <c r="BB51" s="4">
        <v>-4.2824721771009e-13</v>
      </c>
      <c r="BC51" s="3">
        <v>15950575.91459</v>
      </c>
      <c r="BD51" s="3">
        <v>3991691.5915674</v>
      </c>
      <c r="BE51" s="3">
        <v>-0.00027194939155355</v>
      </c>
      <c r="BF51" s="3">
        <v>0.0007129855149486</v>
      </c>
      <c r="BG51" s="3">
        <v>0.00023174215220838</v>
      </c>
      <c r="BH51" s="3">
        <v>-0.00096320116276617</v>
      </c>
      <c r="BI51" s="3">
        <v>139.71284947757</v>
      </c>
      <c r="BJ51" s="3">
        <v>69.865382492025</v>
      </c>
      <c r="BK51" s="3">
        <v>127.36629335943</v>
      </c>
    </row>
    <row r="52" spans="1:63">
      <c r="A52" s="3">
        <v>5610092.27151</v>
      </c>
      <c r="B52" s="3">
        <v>0.00012750890002035</v>
      </c>
      <c r="C52" s="4">
        <f t="shared" si="1"/>
        <v>2.48581660376334e-11</v>
      </c>
      <c r="D52" s="4">
        <v>1.5322295621915e-12</v>
      </c>
      <c r="E52" s="4">
        <v>1.843504610962e-12</v>
      </c>
      <c r="F52" s="4">
        <v>1.8431573420269e-12</v>
      </c>
      <c r="G52" s="4">
        <v>1.8408274245595e-12</v>
      </c>
      <c r="H52" s="4">
        <v>1.5277997643674e-12</v>
      </c>
      <c r="I52" s="4">
        <v>1.5289832117154e-12</v>
      </c>
      <c r="J52" s="4">
        <v>1.5282797604472e-12</v>
      </c>
      <c r="K52" s="4">
        <v>1.6046674341829e-12</v>
      </c>
      <c r="L52" s="4">
        <v>1.6078848928369e-12</v>
      </c>
      <c r="M52" s="4">
        <v>1.6035556180238e-12</v>
      </c>
      <c r="N52" s="4">
        <v>1.68001795987e-12</v>
      </c>
      <c r="O52" s="4">
        <v>1.5278506251076e-12</v>
      </c>
      <c r="P52" s="4">
        <v>1.6786560736407e-12</v>
      </c>
      <c r="Q52" s="4">
        <v>1.6874379514853e-12</v>
      </c>
      <c r="R52" s="4">
        <v>1.8402298504963e-12</v>
      </c>
      <c r="S52" s="4">
        <v>1.8392394427637e-12</v>
      </c>
      <c r="T52" s="4">
        <v>1.8403201900249e-12</v>
      </c>
      <c r="U52" s="4">
        <v>1.5284251595169e-12</v>
      </c>
      <c r="V52" s="4">
        <v>1.605638503518e-12</v>
      </c>
      <c r="W52" s="4">
        <v>1.6091500892258e-12</v>
      </c>
      <c r="X52" s="4">
        <v>1.6061535938091e-12</v>
      </c>
      <c r="Y52" s="4">
        <v>1.6797625027624e-12</v>
      </c>
      <c r="Z52" s="4">
        <v>1.6887165487711e-12</v>
      </c>
      <c r="AA52" s="4">
        <v>1.6919581229432e-12</v>
      </c>
      <c r="AB52" s="3">
        <v>0.99999465901768</v>
      </c>
      <c r="AC52" s="3">
        <v>0.88945448469165</v>
      </c>
      <c r="AD52" s="3">
        <v>0.00068909913133268</v>
      </c>
      <c r="AE52" s="4">
        <v>-3.6080129374956e-14</v>
      </c>
      <c r="AF52" s="4">
        <v>1.6624589374166e-13</v>
      </c>
      <c r="AG52" s="4">
        <v>1.564977166504e-13</v>
      </c>
      <c r="AH52" s="4">
        <v>3.9694799711764e-14</v>
      </c>
      <c r="AI52" s="4">
        <v>-8.7099919361194e-15</v>
      </c>
      <c r="AJ52" s="4">
        <v>4.3168593332419e-14</v>
      </c>
      <c r="AK52" s="4">
        <v>1.2683886978185e-15</v>
      </c>
      <c r="AL52" s="4">
        <v>4.0296175840957e-14</v>
      </c>
      <c r="AM52" s="4">
        <v>7.4592946963278e-14</v>
      </c>
      <c r="AN52" s="4">
        <v>-5.8032077913112e-15</v>
      </c>
      <c r="AO52" s="4">
        <v>2.3867945117762e-14</v>
      </c>
      <c r="AP52" s="4">
        <v>1.0040303024269e-15</v>
      </c>
      <c r="AQ52" s="4">
        <v>1.6026201639331e-14</v>
      </c>
      <c r="AR52" s="4">
        <v>-1.6691793149508e-13</v>
      </c>
      <c r="AS52" s="4">
        <v>-6.1508454319664e-15</v>
      </c>
      <c r="AT52" s="4">
        <v>5.1393834563141e-15</v>
      </c>
      <c r="AU52" s="4">
        <v>-3.201498448827e-14</v>
      </c>
      <c r="AV52" s="4">
        <v>-5.4783177127745e-14</v>
      </c>
      <c r="AW52" s="4">
        <v>-1.5352493200149e-14</v>
      </c>
      <c r="AX52" s="4">
        <v>1.3873691440339e-13</v>
      </c>
      <c r="AY52" s="4">
        <v>3.3005252739334e-14</v>
      </c>
      <c r="AZ52" s="4">
        <v>-8.3288876046734e-14</v>
      </c>
      <c r="BA52" s="4">
        <v>1.111955137819e-13</v>
      </c>
      <c r="BB52" s="4">
        <v>-4.1327626214702e-13</v>
      </c>
      <c r="BC52" s="3">
        <v>15944648.266622</v>
      </c>
      <c r="BD52" s="3">
        <v>3990497.0233546</v>
      </c>
      <c r="BE52" s="3">
        <v>-0.00027063932329968</v>
      </c>
      <c r="BF52" s="3">
        <v>0.00072815128993207</v>
      </c>
      <c r="BG52" s="3">
        <v>0.0002396446559577</v>
      </c>
      <c r="BH52" s="3">
        <v>-0.00095648173879852</v>
      </c>
      <c r="BI52" s="3">
        <v>139.71281031618</v>
      </c>
      <c r="BJ52" s="3">
        <v>69.865426685508</v>
      </c>
      <c r="BK52" s="3">
        <v>127.23194867356</v>
      </c>
    </row>
    <row r="53" spans="1:63">
      <c r="A53" s="3">
        <v>6294627.058971</v>
      </c>
      <c r="B53" s="3">
        <v>0.00014269355718787</v>
      </c>
      <c r="C53" s="4">
        <f t="shared" si="1"/>
        <v>2.47523104172195e-11</v>
      </c>
      <c r="D53" s="4">
        <v>1.5319955723853e-12</v>
      </c>
      <c r="E53" s="4">
        <v>1.8404975742038e-12</v>
      </c>
      <c r="F53" s="4">
        <v>1.840154851019e-12</v>
      </c>
      <c r="G53" s="4">
        <v>1.8377090774379e-12</v>
      </c>
      <c r="H53" s="4">
        <v>1.5271543102788e-12</v>
      </c>
      <c r="I53" s="4">
        <v>1.5284378911979e-12</v>
      </c>
      <c r="J53" s="4">
        <v>1.5276841026734e-12</v>
      </c>
      <c r="K53" s="4">
        <v>1.6032860162155e-12</v>
      </c>
      <c r="L53" s="4">
        <v>1.6068464473233e-12</v>
      </c>
      <c r="M53" s="4">
        <v>1.6020375131209e-12</v>
      </c>
      <c r="N53" s="4">
        <v>1.6778678878916e-12</v>
      </c>
      <c r="O53" s="4">
        <v>1.527207612635e-12</v>
      </c>
      <c r="P53" s="4">
        <v>1.6763511625116e-12</v>
      </c>
      <c r="Q53" s="4">
        <v>1.6859155217768e-12</v>
      </c>
      <c r="R53" s="4">
        <v>1.8369765484264e-12</v>
      </c>
      <c r="S53" s="4">
        <v>1.8359054287443e-12</v>
      </c>
      <c r="T53" s="4">
        <v>1.837095503149e-12</v>
      </c>
      <c r="U53" s="4">
        <v>1.5278594052537e-12</v>
      </c>
      <c r="V53" s="4">
        <v>1.6042752639838e-12</v>
      </c>
      <c r="W53" s="4">
        <v>1.6082126261885e-12</v>
      </c>
      <c r="X53" s="4">
        <v>1.6049562266614e-12</v>
      </c>
      <c r="Y53" s="4">
        <v>1.6775375722902e-12</v>
      </c>
      <c r="Z53" s="4">
        <v>1.6872651306899e-12</v>
      </c>
      <c r="AA53" s="4">
        <v>1.6909576044551e-12</v>
      </c>
      <c r="AB53" s="3">
        <v>0.99999534712962</v>
      </c>
      <c r="AC53" s="3">
        <v>0.89027492692204</v>
      </c>
      <c r="AD53" s="3">
        <v>0.00070316215255118</v>
      </c>
      <c r="AE53" s="4">
        <v>-3.4032219210498e-14</v>
      </c>
      <c r="AF53" s="4">
        <v>1.5473611553296e-13</v>
      </c>
      <c r="AG53" s="4">
        <v>1.4916500815112e-13</v>
      </c>
      <c r="AH53" s="4">
        <v>4.2169127385425e-14</v>
      </c>
      <c r="AI53" s="4">
        <v>-8.7346513920702e-15</v>
      </c>
      <c r="AJ53" s="4">
        <v>4.113446116066e-14</v>
      </c>
      <c r="AK53" s="4">
        <v>1.3849388462265e-15</v>
      </c>
      <c r="AL53" s="4">
        <v>3.8915415025442e-14</v>
      </c>
      <c r="AM53" s="4">
        <v>7.8129102552031e-14</v>
      </c>
      <c r="AN53" s="4">
        <v>-5.1913911344213e-15</v>
      </c>
      <c r="AO53" s="4">
        <v>2.1240720697921e-14</v>
      </c>
      <c r="AP53" s="4">
        <v>9.9094105425279e-16</v>
      </c>
      <c r="AQ53" s="4">
        <v>1.5786838170395e-14</v>
      </c>
      <c r="AR53" s="4">
        <v>-1.6143189852084e-13</v>
      </c>
      <c r="AS53" s="4">
        <v>-4.2047755750011e-15</v>
      </c>
      <c r="AT53" s="4">
        <v>4.3127813543416e-15</v>
      </c>
      <c r="AU53" s="4">
        <v>-2.8699600257364e-14</v>
      </c>
      <c r="AV53" s="4">
        <v>-5.4846904298011e-14</v>
      </c>
      <c r="AW53" s="4">
        <v>-1.4475126673398e-14</v>
      </c>
      <c r="AX53" s="4">
        <v>1.3023585653083e-13</v>
      </c>
      <c r="AY53" s="4">
        <v>3.0997798846183e-14</v>
      </c>
      <c r="AZ53" s="4">
        <v>-7.8226168159608e-14</v>
      </c>
      <c r="BA53" s="4">
        <v>1.0341493631549e-13</v>
      </c>
      <c r="BB53" s="4">
        <v>-3.9890889129832e-13</v>
      </c>
      <c r="BC53" s="3">
        <v>15938013.389914</v>
      </c>
      <c r="BD53" s="3">
        <v>3989138.640834</v>
      </c>
      <c r="BE53" s="3">
        <v>-0.00026911752316321</v>
      </c>
      <c r="BF53" s="3">
        <v>0.00074509510748269</v>
      </c>
      <c r="BG53" s="3">
        <v>0.00024850568408678</v>
      </c>
      <c r="BH53" s="3">
        <v>-0.00094836900963363</v>
      </c>
      <c r="BI53" s="3">
        <v>139.71277162781</v>
      </c>
      <c r="BJ53" s="3">
        <v>69.865474973359</v>
      </c>
      <c r="BK53" s="3">
        <v>127.08408320167</v>
      </c>
    </row>
    <row r="54" spans="1:63">
      <c r="A54" s="3">
        <v>7062687.723114</v>
      </c>
      <c r="B54" s="3">
        <v>0.00015967954015682</v>
      </c>
      <c r="C54" s="4">
        <f t="shared" si="1"/>
        <v>2.46430770170467e-11</v>
      </c>
      <c r="D54" s="4">
        <v>1.5317047471715e-12</v>
      </c>
      <c r="E54" s="4">
        <v>1.8371717820037e-12</v>
      </c>
      <c r="F54" s="4">
        <v>1.8368384298264e-12</v>
      </c>
      <c r="G54" s="4">
        <v>1.8342908475464e-12</v>
      </c>
      <c r="H54" s="4">
        <v>1.5264233210388e-12</v>
      </c>
      <c r="I54" s="4">
        <v>1.527811449315e-12</v>
      </c>
      <c r="J54" s="4">
        <v>1.5270072804874e-12</v>
      </c>
      <c r="K54" s="4">
        <v>1.6017441164534e-12</v>
      </c>
      <c r="L54" s="4">
        <v>1.6056878388883e-12</v>
      </c>
      <c r="M54" s="4">
        <v>1.6003420843145e-12</v>
      </c>
      <c r="N54" s="4">
        <v>1.6755239528641e-12</v>
      </c>
      <c r="O54" s="4">
        <v>1.5264784557871e-12</v>
      </c>
      <c r="P54" s="4">
        <v>1.6738280153022e-12</v>
      </c>
      <c r="Q54" s="4">
        <v>1.6842443538976e-12</v>
      </c>
      <c r="R54" s="4">
        <v>1.8333956458025e-12</v>
      </c>
      <c r="S54" s="4">
        <v>1.8322396146135e-12</v>
      </c>
      <c r="T54" s="4">
        <v>1.8335498422138e-12</v>
      </c>
      <c r="U54" s="4">
        <v>1.5272185713739e-12</v>
      </c>
      <c r="V54" s="4">
        <v>1.6027395060809e-12</v>
      </c>
      <c r="W54" s="4">
        <v>1.607161776685e-12</v>
      </c>
      <c r="X54" s="4">
        <v>1.6036221767252e-12</v>
      </c>
      <c r="Y54" s="4">
        <v>1.6750956692506e-12</v>
      </c>
      <c r="Z54" s="4">
        <v>1.6856631010169e-12</v>
      </c>
      <c r="AA54" s="4">
        <v>1.6898707655214e-12</v>
      </c>
      <c r="AB54" s="3">
        <v>0.99999594120051</v>
      </c>
      <c r="AC54" s="3">
        <v>0.89099081899647</v>
      </c>
      <c r="AD54" s="3">
        <v>0.00071892904293033</v>
      </c>
      <c r="AE54" s="4">
        <v>-3.2005235240335e-14</v>
      </c>
      <c r="AF54" s="4">
        <v>1.4334178233452e-13</v>
      </c>
      <c r="AG54" s="4">
        <v>1.4188701187077e-13</v>
      </c>
      <c r="AH54" s="4">
        <v>4.4812941189314e-14</v>
      </c>
      <c r="AI54" s="4">
        <v>-8.78304718845e-15</v>
      </c>
      <c r="AJ54" s="4">
        <v>3.9032708604719e-14</v>
      </c>
      <c r="AK54" s="4">
        <v>1.5256132807847e-15</v>
      </c>
      <c r="AL54" s="4">
        <v>3.742853053705e-14</v>
      </c>
      <c r="AM54" s="4">
        <v>8.1913529137463e-14</v>
      </c>
      <c r="AN54" s="4">
        <v>-4.6100635445003e-15</v>
      </c>
      <c r="AO54" s="4">
        <v>1.8516099288982e-14</v>
      </c>
      <c r="AP54" s="4">
        <v>9.6451783324116e-16</v>
      </c>
      <c r="AQ54" s="4">
        <v>1.5534593120234e-14</v>
      </c>
      <c r="AR54" s="4">
        <v>-1.5630906222898e-13</v>
      </c>
      <c r="AS54" s="4">
        <v>-2.2533592769159e-15</v>
      </c>
      <c r="AT54" s="4">
        <v>3.4719259502593e-15</v>
      </c>
      <c r="AU54" s="4">
        <v>-2.5235514619681e-14</v>
      </c>
      <c r="AV54" s="4">
        <v>-5.4979635964343e-14</v>
      </c>
      <c r="AW54" s="4">
        <v>-1.3636811556592e-14</v>
      </c>
      <c r="AX54" s="4">
        <v>1.2147155078846e-13</v>
      </c>
      <c r="AY54" s="4">
        <v>2.8853103206876e-14</v>
      </c>
      <c r="AZ54" s="4">
        <v>-7.3146838108132e-14</v>
      </c>
      <c r="BA54" s="4">
        <v>9.5810662677278e-14</v>
      </c>
      <c r="BB54" s="4">
        <v>-3.8516028157613e-13</v>
      </c>
      <c r="BC54" s="3">
        <v>15930587.222875</v>
      </c>
      <c r="BD54" s="3">
        <v>3987596.3345306</v>
      </c>
      <c r="BE54" s="3">
        <v>-0.00026735170699873</v>
      </c>
      <c r="BF54" s="3">
        <v>0.00076402248558293</v>
      </c>
      <c r="BG54" s="3">
        <v>0.00025844073516855</v>
      </c>
      <c r="BH54" s="3">
        <v>-0.00093865727124998</v>
      </c>
      <c r="BI54" s="3">
        <v>139.7127343961</v>
      </c>
      <c r="BJ54" s="3">
        <v>69.865527501167</v>
      </c>
      <c r="BK54" s="3">
        <v>126.92174385593</v>
      </c>
    </row>
    <row r="55" spans="1:63">
      <c r="A55" s="3">
        <v>7924465.9623058</v>
      </c>
      <c r="B55" s="3">
        <v>0.0001786794557032</v>
      </c>
      <c r="C55" s="4">
        <f t="shared" si="1"/>
        <v>2.45303704722289e-11</v>
      </c>
      <c r="D55" s="4">
        <v>1.531353146625e-12</v>
      </c>
      <c r="E55" s="4">
        <v>1.8334734268786e-12</v>
      </c>
      <c r="F55" s="4">
        <v>1.8331552994822e-12</v>
      </c>
      <c r="G55" s="4">
        <v>1.8305254120492e-12</v>
      </c>
      <c r="H55" s="4">
        <v>1.5256023209323e-12</v>
      </c>
      <c r="I55" s="4">
        <v>1.5270987478538e-12</v>
      </c>
      <c r="J55" s="4">
        <v>1.5262449691592e-12</v>
      </c>
      <c r="K55" s="4">
        <v>1.600020304558e-12</v>
      </c>
      <c r="L55" s="4">
        <v>1.6043940875516e-12</v>
      </c>
      <c r="M55" s="4">
        <v>1.5984458248968e-12</v>
      </c>
      <c r="N55" s="4">
        <v>1.6729633023692e-12</v>
      </c>
      <c r="O55" s="4">
        <v>1.5256583860183e-12</v>
      </c>
      <c r="P55" s="4">
        <v>1.6710579059172e-12</v>
      </c>
      <c r="Q55" s="4">
        <v>1.6824029078206e-12</v>
      </c>
      <c r="R55" s="4">
        <v>1.8294345812822e-12</v>
      </c>
      <c r="S55" s="4">
        <v>1.8281894694184e-12</v>
      </c>
      <c r="T55" s="4">
        <v>1.8296321595077e-12</v>
      </c>
      <c r="U55" s="4">
        <v>1.5264996489959e-12</v>
      </c>
      <c r="V55" s="4">
        <v>1.6010068238761e-12</v>
      </c>
      <c r="W55" s="4">
        <v>1.6059833758061e-12</v>
      </c>
      <c r="X55" s="4">
        <v>1.602133556145e-12</v>
      </c>
      <c r="Y55" s="4">
        <v>1.6724072514771e-12</v>
      </c>
      <c r="Z55" s="4">
        <v>1.6838884516317e-12</v>
      </c>
      <c r="AA55" s="4">
        <v>1.6886847587945e-12</v>
      </c>
      <c r="AB55" s="3">
        <v>0.99999645333475</v>
      </c>
      <c r="AC55" s="3">
        <v>0.89157229283253</v>
      </c>
      <c r="AD55" s="3">
        <v>0.00073660918134179</v>
      </c>
      <c r="AE55" s="4">
        <v>-2.9990183464679e-14</v>
      </c>
      <c r="AF55" s="4">
        <v>1.3211808221578e-13</v>
      </c>
      <c r="AG55" s="4">
        <v>1.3472019142508e-13</v>
      </c>
      <c r="AH55" s="4">
        <v>4.7631815595067e-14</v>
      </c>
      <c r="AI55" s="4">
        <v>-8.8627230674768e-15</v>
      </c>
      <c r="AJ55" s="4">
        <v>3.6851895176241e-14</v>
      </c>
      <c r="AK55" s="4">
        <v>1.6956193112232e-15</v>
      </c>
      <c r="AL55" s="4">
        <v>3.5823552376077e-14</v>
      </c>
      <c r="AM55" s="4">
        <v>8.599281281299e-14</v>
      </c>
      <c r="AN55" s="4">
        <v>-4.0665277485673e-15</v>
      </c>
      <c r="AO55" s="4">
        <v>1.5654579711621e-14</v>
      </c>
      <c r="AP55" s="4">
        <v>9.1983284988196e-16</v>
      </c>
      <c r="AQ55" s="4">
        <v>1.525923182714e-14</v>
      </c>
      <c r="AR55" s="4">
        <v>-1.5155135531505e-13</v>
      </c>
      <c r="AS55" s="4">
        <v>-2.9832964143166e-16</v>
      </c>
      <c r="AT55" s="4">
        <v>2.6187390551474e-15</v>
      </c>
      <c r="AU55" s="4">
        <v>-2.1618172325252e-14</v>
      </c>
      <c r="AV55" s="4">
        <v>-5.5201948409522e-14</v>
      </c>
      <c r="AW55" s="4">
        <v>-1.2840440981299e-14</v>
      </c>
      <c r="AX55" s="4">
        <v>1.1243545300444e-13</v>
      </c>
      <c r="AY55" s="4">
        <v>2.6559905040285e-14</v>
      </c>
      <c r="AZ55" s="4">
        <v>-6.8065956051262e-14</v>
      </c>
      <c r="BA55" s="4">
        <v>8.833739543006e-14</v>
      </c>
      <c r="BB55" s="4">
        <v>-3.7204675608875e-13</v>
      </c>
      <c r="BC55" s="3">
        <v>15922275.706468</v>
      </c>
      <c r="BD55" s="3">
        <v>3985848.1209823</v>
      </c>
      <c r="BE55" s="3">
        <v>-0.0002653049782016</v>
      </c>
      <c r="BF55" s="3">
        <v>0.00078516222505521</v>
      </c>
      <c r="BG55" s="3">
        <v>0.00026957905432135</v>
      </c>
      <c r="BH55" s="3">
        <v>-0.00092714200703397</v>
      </c>
      <c r="BI55" s="3">
        <v>139.71269993939</v>
      </c>
      <c r="BJ55" s="3">
        <v>69.865584315412</v>
      </c>
      <c r="BK55" s="3">
        <v>126.74402211414</v>
      </c>
    </row>
    <row r="56" spans="1:63">
      <c r="A56" s="3">
        <v>8891397.0501949</v>
      </c>
      <c r="B56" s="3">
        <v>0.00019993068480226</v>
      </c>
      <c r="C56" s="4">
        <f t="shared" si="1"/>
        <v>2.44141427803359e-11</v>
      </c>
      <c r="D56" s="4">
        <v>1.5309458345236e-12</v>
      </c>
      <c r="E56" s="4">
        <v>1.8293677793309e-12</v>
      </c>
      <c r="F56" s="4">
        <v>1.8290719626198e-12</v>
      </c>
      <c r="G56" s="4">
        <v>1.8263857150858e-12</v>
      </c>
      <c r="H56" s="4">
        <v>1.524696116929e-12</v>
      </c>
      <c r="I56" s="4">
        <v>1.526303704918e-12</v>
      </c>
      <c r="J56" s="4">
        <v>1.525402024149e-12</v>
      </c>
      <c r="K56" s="4">
        <v>1.5980794125492e-12</v>
      </c>
      <c r="L56" s="4">
        <v>1.6029378534005e-12</v>
      </c>
      <c r="M56" s="4">
        <v>1.5963112073681e-12</v>
      </c>
      <c r="N56" s="4">
        <v>1.6701564955916e-12</v>
      </c>
      <c r="O56" s="4">
        <v>1.5247518327502e-12</v>
      </c>
      <c r="P56" s="4">
        <v>1.668003780895e-12</v>
      </c>
      <c r="Q56" s="4">
        <v>1.6803622106506e-12</v>
      </c>
      <c r="R56" s="4">
        <v>1.8250601571195e-12</v>
      </c>
      <c r="S56" s="4">
        <v>1.8237218160404e-12</v>
      </c>
      <c r="T56" s="4">
        <v>1.825311140929e-12</v>
      </c>
      <c r="U56" s="4">
        <v>1.5257091545939e-12</v>
      </c>
      <c r="V56" s="4">
        <v>1.5990386017207e-12</v>
      </c>
      <c r="W56" s="4">
        <v>1.6046511477561e-12</v>
      </c>
      <c r="X56" s="4">
        <v>1.6004593979003e-12</v>
      </c>
      <c r="Y56" s="4">
        <v>1.6694342916951e-12</v>
      </c>
      <c r="Z56" s="4">
        <v>1.6819120241236e-12</v>
      </c>
      <c r="AA56" s="4">
        <v>1.6873809596923e-12</v>
      </c>
      <c r="AB56" s="3">
        <v>0.99999689412591</v>
      </c>
      <c r="AC56" s="3">
        <v>0.8919864515905</v>
      </c>
      <c r="AD56" s="3">
        <v>0.00075643784785944</v>
      </c>
      <c r="AE56" s="4">
        <v>-2.797397082238e-14</v>
      </c>
      <c r="AF56" s="4">
        <v>1.2112070641739e-13</v>
      </c>
      <c r="AG56" s="4">
        <v>1.277226991648e-13</v>
      </c>
      <c r="AH56" s="4">
        <v>5.0630784692941e-14</v>
      </c>
      <c r="AI56" s="4">
        <v>-8.9828424730809e-15</v>
      </c>
      <c r="AJ56" s="4">
        <v>3.4577361697369e-14</v>
      </c>
      <c r="AK56" s="4">
        <v>1.9003745081299e-15</v>
      </c>
      <c r="AL56" s="4">
        <v>3.4087036001207e-14</v>
      </c>
      <c r="AM56" s="4">
        <v>9.0424662392583e-14</v>
      </c>
      <c r="AN56" s="4">
        <v>-3.5682688115178e-15</v>
      </c>
      <c r="AO56" s="4">
        <v>1.2602357711722e-14</v>
      </c>
      <c r="AP56" s="4">
        <v>8.5025228479042e-16</v>
      </c>
      <c r="AQ56" s="4">
        <v>1.4947704470655e-14</v>
      </c>
      <c r="AR56" s="4">
        <v>-1.4716377342923e-13</v>
      </c>
      <c r="AS56" s="4">
        <v>1.6594512343352e-15</v>
      </c>
      <c r="AT56" s="4">
        <v>1.7549144985484e-15</v>
      </c>
      <c r="AU56" s="4">
        <v>-1.7840607073949e-14</v>
      </c>
      <c r="AV56" s="4">
        <v>-5.5537901963944e-14</v>
      </c>
      <c r="AW56" s="4">
        <v>-1.20854143294e-14</v>
      </c>
      <c r="AX56" s="4">
        <v>1.0313250323683e-13</v>
      </c>
      <c r="AY56" s="4">
        <v>2.410083149275e-14</v>
      </c>
      <c r="AZ56" s="4">
        <v>-6.2996348535327e-14</v>
      </c>
      <c r="BA56" s="4">
        <v>8.093889576729e-14</v>
      </c>
      <c r="BB56" s="4">
        <v>-3.59582964893e-13</v>
      </c>
      <c r="BC56" s="3">
        <v>15912973.649319</v>
      </c>
      <c r="BD56" s="3">
        <v>3983870.1488917</v>
      </c>
      <c r="BE56" s="3">
        <v>-0.00026293550696904</v>
      </c>
      <c r="BF56" s="3">
        <v>0.00080876901869368</v>
      </c>
      <c r="BG56" s="3">
        <v>0.00028206519947582</v>
      </c>
      <c r="BH56" s="3">
        <v>-0.00091358722637772</v>
      </c>
      <c r="BI56" s="3">
        <v>139.71266972918</v>
      </c>
      <c r="BJ56" s="3">
        <v>69.865645420734</v>
      </c>
      <c r="BK56" s="3">
        <v>126.55009360696</v>
      </c>
    </row>
    <row r="57" spans="1:63">
      <c r="A57" s="3">
        <v>9976311.5748447</v>
      </c>
      <c r="B57" s="3">
        <v>0.00022369822215608</v>
      </c>
      <c r="C57" s="4">
        <f t="shared" si="1"/>
        <v>2.42943852235436e-11</v>
      </c>
      <c r="D57" s="4">
        <v>1.5304724010447e-12</v>
      </c>
      <c r="E57" s="4">
        <v>1.8248257453392e-12</v>
      </c>
      <c r="F57" s="4">
        <v>1.8245608212956e-12</v>
      </c>
      <c r="G57" s="4">
        <v>1.8218517015569e-12</v>
      </c>
      <c r="H57" s="4">
        <v>1.5236943962881e-12</v>
      </c>
      <c r="I57" s="4">
        <v>1.5254148717787e-12</v>
      </c>
      <c r="J57" s="4">
        <v>1.5244680222871e-12</v>
      </c>
      <c r="K57" s="4">
        <v>1.5959012036859e-12</v>
      </c>
      <c r="L57" s="4">
        <v>1.6013084278669e-12</v>
      </c>
      <c r="M57" s="4">
        <v>1.593915311267e-12</v>
      </c>
      <c r="N57" s="4">
        <v>1.6670848663313e-12</v>
      </c>
      <c r="O57" s="4">
        <v>1.5237480003363e-12</v>
      </c>
      <c r="P57" s="4">
        <v>1.6646371216324e-12</v>
      </c>
      <c r="Q57" s="4">
        <v>1.678102803044e-12</v>
      </c>
      <c r="R57" s="4">
        <v>1.820245126287e-12</v>
      </c>
      <c r="S57" s="4">
        <v>1.8188093999281e-12</v>
      </c>
      <c r="T57" s="4">
        <v>1.8205619011256e-12</v>
      </c>
      <c r="U57" s="4">
        <v>1.5248387853757e-12</v>
      </c>
      <c r="V57" s="4">
        <v>1.5968106353417e-12</v>
      </c>
      <c r="W57" s="4">
        <v>1.6031557580039e-12</v>
      </c>
      <c r="X57" s="4">
        <v>1.5985844494282e-12</v>
      </c>
      <c r="Y57" s="4">
        <v>1.6661471133022e-12</v>
      </c>
      <c r="Z57" s="4">
        <v>1.6797146269576e-12</v>
      </c>
      <c r="AA57" s="4">
        <v>1.6859523462925e-12</v>
      </c>
      <c r="AB57" s="3">
        <v>0.99999727295326</v>
      </c>
      <c r="AC57" s="3">
        <v>0.89219710573716</v>
      </c>
      <c r="AD57" s="3">
        <v>0.00077867926742294</v>
      </c>
      <c r="AE57" s="4">
        <v>-2.5938713255345e-14</v>
      </c>
      <c r="AF57" s="4">
        <v>1.1040868671037e-13</v>
      </c>
      <c r="AG57" s="4">
        <v>1.2095432133288e-13</v>
      </c>
      <c r="AH57" s="4">
        <v>5.3814324034822e-14</v>
      </c>
      <c r="AI57" s="4">
        <v>-9.1548760292475e-15</v>
      </c>
      <c r="AJ57" s="4">
        <v>3.2189377287683e-14</v>
      </c>
      <c r="AK57" s="4">
        <v>2.1445349251717e-15</v>
      </c>
      <c r="AL57" s="4">
        <v>3.2201745918082e-14</v>
      </c>
      <c r="AM57" s="4">
        <v>9.5278533146679e-14</v>
      </c>
      <c r="AN57" s="4">
        <v>-3.1220495359299e-15</v>
      </c>
      <c r="AO57" s="4">
        <v>9.2895972665167e-15</v>
      </c>
      <c r="AP57" s="4">
        <v>7.4787738500206e-16</v>
      </c>
      <c r="AQ57" s="4">
        <v>1.4583327524972e-14</v>
      </c>
      <c r="AR57" s="4">
        <v>-1.4315626709732e-13</v>
      </c>
      <c r="AS57" s="4">
        <v>3.6191235294615e-15</v>
      </c>
      <c r="AT57" s="4">
        <v>8.818669964707e-16</v>
      </c>
      <c r="AU57" s="4">
        <v>-1.3893485611116e-14</v>
      </c>
      <c r="AV57" s="4">
        <v>-5.6015368122714e-14</v>
      </c>
      <c r="AW57" s="4">
        <v>-1.1370445473007e-14</v>
      </c>
      <c r="AX57" s="4">
        <v>9.3575818617981e-14</v>
      </c>
      <c r="AY57" s="4">
        <v>2.1458663931891e-14</v>
      </c>
      <c r="AZ57" s="4">
        <v>-5.7950240844919e-14</v>
      </c>
      <c r="BA57" s="4">
        <v>7.3549434777528e-14</v>
      </c>
      <c r="BB57" s="4">
        <v>-3.47783505982e-13</v>
      </c>
      <c r="BC57" s="3">
        <v>15902563.377138</v>
      </c>
      <c r="BD57" s="3">
        <v>3981636.7383572</v>
      </c>
      <c r="BE57" s="3">
        <v>-0.00026019582016818</v>
      </c>
      <c r="BF57" s="3">
        <v>0.00083512635009014</v>
      </c>
      <c r="BG57" s="3">
        <v>0.00029606075207464</v>
      </c>
      <c r="BH57" s="3">
        <v>-0.00089775645081526</v>
      </c>
      <c r="BI57" s="3">
        <v>139.71264558474</v>
      </c>
      <c r="BJ57" s="3">
        <v>69.86571067819</v>
      </c>
      <c r="BK57" s="3">
        <v>126.33926016617</v>
      </c>
    </row>
    <row r="58" spans="1:63">
      <c r="A58" s="3">
        <v>11193605.692842</v>
      </c>
      <c r="B58" s="3">
        <v>0.00025027782678935</v>
      </c>
      <c r="C58" s="4">
        <f t="shared" si="1"/>
        <v>2.41711134096807e-11</v>
      </c>
      <c r="D58" s="4">
        <v>1.5299364283607e-12</v>
      </c>
      <c r="E58" s="4">
        <v>1.819811809396e-12</v>
      </c>
      <c r="F58" s="4">
        <v>1.8195881683539e-12</v>
      </c>
      <c r="G58" s="4">
        <v>1.8168984331515e-12</v>
      </c>
      <c r="H58" s="4">
        <v>1.5226012855161e-12</v>
      </c>
      <c r="I58" s="4">
        <v>1.5244349832582e-12</v>
      </c>
      <c r="J58" s="4">
        <v>1.5234467423594e-12</v>
      </c>
      <c r="K58" s="4">
        <v>1.5934563080355e-12</v>
      </c>
      <c r="L58" s="4">
        <v>1.5994880142555e-12</v>
      </c>
      <c r="M58" s="4">
        <v>1.5912256887615e-12</v>
      </c>
      <c r="N58" s="4">
        <v>1.6637606925687e-12</v>
      </c>
      <c r="O58" s="4">
        <v>1.5226504033501e-12</v>
      </c>
      <c r="P58" s="4">
        <v>1.6609574467739e-12</v>
      </c>
      <c r="Q58" s="4">
        <v>1.6756344646093e-12</v>
      </c>
      <c r="R58" s="4">
        <v>1.8149561430947e-12</v>
      </c>
      <c r="S58" s="4">
        <v>1.8134188139417e-12</v>
      </c>
      <c r="T58" s="4">
        <v>1.815354066276e-12</v>
      </c>
      <c r="U58" s="4">
        <v>1.5238950563418e-12</v>
      </c>
      <c r="V58" s="4">
        <v>1.5942889900186e-12</v>
      </c>
      <c r="W58" s="4">
        <v>1.6014811199063e-12</v>
      </c>
      <c r="X58" s="4">
        <v>1.5964852589959e-12</v>
      </c>
      <c r="Y58" s="4">
        <v>1.6625438585458e-12</v>
      </c>
      <c r="Z58" s="4">
        <v>1.6773069012322e-12</v>
      </c>
      <c r="AA58" s="4">
        <v>1.6844239233114e-12</v>
      </c>
      <c r="AB58" s="3">
        <v>0.99999759814681</v>
      </c>
      <c r="AC58" s="3">
        <v>0.89216508679815</v>
      </c>
      <c r="AD58" s="3">
        <v>0.00080362995764847</v>
      </c>
      <c r="AE58" s="4">
        <v>-2.3861026923273e-14</v>
      </c>
      <c r="AF58" s="4">
        <v>1.0004349448739e-13</v>
      </c>
      <c r="AG58" s="4">
        <v>1.1447443000051e-13</v>
      </c>
      <c r="AH58" s="4">
        <v>5.7186529692231e-14</v>
      </c>
      <c r="AI58" s="4">
        <v>-9.3932062352318e-15</v>
      </c>
      <c r="AJ58" s="4">
        <v>2.9660798366257e-14</v>
      </c>
      <c r="AK58" s="4">
        <v>2.4311633113794e-15</v>
      </c>
      <c r="AL58" s="4">
        <v>3.0147112144084e-14</v>
      </c>
      <c r="AM58" s="4">
        <v>1.0063496887396e-13</v>
      </c>
      <c r="AN58" s="4">
        <v>-2.7335995450558e-15</v>
      </c>
      <c r="AO58" s="4">
        <v>5.6290967793357e-15</v>
      </c>
      <c r="AP58" s="4">
        <v>6.0327279630396e-16</v>
      </c>
      <c r="AQ58" s="4">
        <v>1.414501947349e-14</v>
      </c>
      <c r="AR58" s="4">
        <v>-1.3954619908109e-13</v>
      </c>
      <c r="AS58" s="4">
        <v>5.5795617253073e-15</v>
      </c>
      <c r="AT58" s="4">
        <v>4.035801927152e-19</v>
      </c>
      <c r="AU58" s="4">
        <v>-9.7648134072833e-15</v>
      </c>
      <c r="AV58" s="4">
        <v>-5.6665901788424e-14</v>
      </c>
      <c r="AW58" s="4">
        <v>-1.0694511741207e-14</v>
      </c>
      <c r="AX58" s="4">
        <v>8.3791959764417e-14</v>
      </c>
      <c r="AY58" s="4">
        <v>1.8616399972092e-14</v>
      </c>
      <c r="AZ58" s="4">
        <v>-5.2938860235041e-14</v>
      </c>
      <c r="BA58" s="4">
        <v>6.6092368740393e-14</v>
      </c>
      <c r="BB58" s="4">
        <v>-3.3666635852089e-13</v>
      </c>
      <c r="BC58" s="3">
        <v>15890913.209182</v>
      </c>
      <c r="BD58" s="3">
        <v>3979120.4929779</v>
      </c>
      <c r="BE58" s="3">
        <v>-0.0002570319977959</v>
      </c>
      <c r="BF58" s="3">
        <v>0.00086454970426919</v>
      </c>
      <c r="BG58" s="3">
        <v>0.00031174624193515</v>
      </c>
      <c r="BH58" s="3">
        <v>-0.00087937045208526</v>
      </c>
      <c r="BI58" s="3">
        <v>139.71262967393</v>
      </c>
      <c r="BJ58" s="3">
        <v>69.865779768938</v>
      </c>
      <c r="BK58" s="3">
        <v>126.11100810597</v>
      </c>
    </row>
    <row r="59" spans="1:63">
      <c r="A59" s="3">
        <v>12559432.157548</v>
      </c>
      <c r="B59" s="3">
        <v>0.00027999953449994</v>
      </c>
      <c r="C59" s="4">
        <f t="shared" si="1"/>
        <v>2.404431332998e-11</v>
      </c>
      <c r="D59" s="4">
        <v>1.5293709025504e-12</v>
      </c>
      <c r="E59" s="4">
        <v>1.8142880365114e-12</v>
      </c>
      <c r="F59" s="4">
        <v>1.8141182039459e-12</v>
      </c>
      <c r="G59" s="4">
        <v>1.8115002745344e-12</v>
      </c>
      <c r="H59" s="4">
        <v>1.5214508930713e-12</v>
      </c>
      <c r="I59" s="4">
        <v>1.5233965029366e-12</v>
      </c>
      <c r="J59" s="4">
        <v>1.5223716005333e-12</v>
      </c>
      <c r="K59" s="4">
        <v>1.590699971219e-12</v>
      </c>
      <c r="L59" s="4">
        <v>1.5974458571441e-12</v>
      </c>
      <c r="M59" s="4">
        <v>1.5881940151709e-12</v>
      </c>
      <c r="N59" s="4">
        <v>1.6601667860653e-12</v>
      </c>
      <c r="O59" s="4">
        <v>1.521492375614e-12</v>
      </c>
      <c r="P59" s="4">
        <v>1.6569310402634e-12</v>
      </c>
      <c r="Q59" s="4">
        <v>1.6729347756321e-12</v>
      </c>
      <c r="R59" s="4">
        <v>1.8091577573077e-12</v>
      </c>
      <c r="S59" s="4">
        <v>1.8075144632512e-12</v>
      </c>
      <c r="T59" s="4">
        <v>1.8096559305099e-12</v>
      </c>
      <c r="U59" s="4">
        <v>1.522914967149e-12</v>
      </c>
      <c r="V59" s="4">
        <v>1.5914236521638e-12</v>
      </c>
      <c r="W59" s="4">
        <v>1.5995985372732e-12</v>
      </c>
      <c r="X59" s="4">
        <v>1.5941240927521e-12</v>
      </c>
      <c r="Y59" s="4">
        <v>1.6585891872547e-12</v>
      </c>
      <c r="Z59" s="4">
        <v>1.6746685435349e-12</v>
      </c>
      <c r="AA59" s="4">
        <v>1.6827916684537e-12</v>
      </c>
      <c r="AB59" s="3">
        <v>0.99999787711809</v>
      </c>
      <c r="AC59" s="3">
        <v>0.89184788990703</v>
      </c>
      <c r="AD59" s="3">
        <v>0.00083162221946281</v>
      </c>
      <c r="AE59" s="4">
        <v>-2.1710122921422e-14</v>
      </c>
      <c r="AF59" s="4">
        <v>9.0086424234913e-14</v>
      </c>
      <c r="AG59" s="4">
        <v>1.0833987776545e-13</v>
      </c>
      <c r="AH59" s="4">
        <v>6.0752586956283e-14</v>
      </c>
      <c r="AI59" s="4">
        <v>-9.715524661911e-15</v>
      </c>
      <c r="AJ59" s="4">
        <v>2.6953558224631e-14</v>
      </c>
      <c r="AK59" s="4">
        <v>2.761851636301e-15</v>
      </c>
      <c r="AL59" s="4">
        <v>2.7890359927993e-14</v>
      </c>
      <c r="AM59" s="4">
        <v>1.06583226555e-13</v>
      </c>
      <c r="AN59" s="4">
        <v>-2.4068763897409e-15</v>
      </c>
      <c r="AO59" s="4">
        <v>1.5174576378347e-15</v>
      </c>
      <c r="AP59" s="4">
        <v>4.0541768711863e-16</v>
      </c>
      <c r="AQ59" s="4">
        <v>1.3608877096778e-14</v>
      </c>
      <c r="AR59" s="4">
        <v>-1.3635699115456e-13</v>
      </c>
      <c r="AS59" s="4">
        <v>7.5403128845776e-15</v>
      </c>
      <c r="AT59" s="4">
        <v>-8.895167400942e-16</v>
      </c>
      <c r="AU59" s="4">
        <v>-5.4390835628177e-15</v>
      </c>
      <c r="AV59" s="4">
        <v>-5.7519494435704e-14</v>
      </c>
      <c r="AW59" s="4">
        <v>-1.0058417990507e-14</v>
      </c>
      <c r="AX59" s="4">
        <v>7.3827094207811e-14</v>
      </c>
      <c r="AY59" s="4">
        <v>1.5567824572652e-14</v>
      </c>
      <c r="AZ59" s="4">
        <v>-4.7971708908469e-14</v>
      </c>
      <c r="BA59" s="4">
        <v>5.8460021882057e-14</v>
      </c>
      <c r="BB59" s="4">
        <v>-3.2629938564042e-13</v>
      </c>
      <c r="BC59" s="3">
        <v>15877875.682246</v>
      </c>
      <c r="BD59" s="3">
        <v>3976292.4920182</v>
      </c>
      <c r="BE59" s="3">
        <v>-0.00025338254630153</v>
      </c>
      <c r="BF59" s="3">
        <v>0.00089739006374096</v>
      </c>
      <c r="BG59" s="3">
        <v>0.00032932337810924</v>
      </c>
      <c r="BH59" s="3">
        <v>-0.0008583404132564</v>
      </c>
      <c r="BI59" s="3">
        <v>139.71262500448</v>
      </c>
      <c r="BJ59" s="3">
        <v>69.865851950565</v>
      </c>
      <c r="BK59" s="3">
        <v>125.86508272459</v>
      </c>
    </row>
    <row r="60" spans="1:63">
      <c r="A60" s="3">
        <v>14091914.656323</v>
      </c>
      <c r="B60" s="3">
        <v>0.00031323151917342</v>
      </c>
      <c r="C60" s="4">
        <f t="shared" si="1"/>
        <v>2.3914226788283e-11</v>
      </c>
      <c r="D60" s="4">
        <v>1.5286657574975e-12</v>
      </c>
      <c r="E60" s="4">
        <v>1.8082202061423e-12</v>
      </c>
      <c r="F60" s="4">
        <v>1.8081192362051e-12</v>
      </c>
      <c r="G60" s="4">
        <v>1.805637237991e-12</v>
      </c>
      <c r="H60" s="4">
        <v>1.5201350752234e-12</v>
      </c>
      <c r="I60" s="4">
        <v>1.5221894238946e-12</v>
      </c>
      <c r="J60" s="4">
        <v>1.5211332819972e-12</v>
      </c>
      <c r="K60" s="4">
        <v>1.5875928162506e-12</v>
      </c>
      <c r="L60" s="4">
        <v>1.5951594204968e-12</v>
      </c>
      <c r="M60" s="4">
        <v>1.5847767699549e-12</v>
      </c>
      <c r="N60" s="4">
        <v>1.6562761943188e-12</v>
      </c>
      <c r="O60" s="4">
        <v>1.5201648091541e-12</v>
      </c>
      <c r="P60" s="4">
        <v>1.6525095947169e-12</v>
      </c>
      <c r="Q60" s="4">
        <v>1.6699676106815e-12</v>
      </c>
      <c r="R60" s="4">
        <v>1.8028185428626e-12</v>
      </c>
      <c r="S60" s="4">
        <v>1.8010646568876e-12</v>
      </c>
      <c r="T60" s="4">
        <v>1.8034408003383e-12</v>
      </c>
      <c r="U60" s="4">
        <v>1.5217938595635e-12</v>
      </c>
      <c r="V60" s="4">
        <v>1.5881692010759e-12</v>
      </c>
      <c r="W60" s="4">
        <v>1.5974877882679e-12</v>
      </c>
      <c r="X60" s="4">
        <v>1.5914698802672e-12</v>
      </c>
      <c r="Y60" s="4">
        <v>1.6542328471547e-12</v>
      </c>
      <c r="Z60" s="4">
        <v>1.6717673397312e-12</v>
      </c>
      <c r="AA60" s="4">
        <v>1.6810419258709e-12</v>
      </c>
      <c r="AB60" s="3">
        <v>0.99999811572009</v>
      </c>
      <c r="AC60" s="3">
        <v>0.89119844074899</v>
      </c>
      <c r="AD60" s="3">
        <v>0.00086302893784396</v>
      </c>
      <c r="AE60" s="4">
        <v>-1.945598540455e-14</v>
      </c>
      <c r="AF60" s="4">
        <v>8.0600862440362e-14</v>
      </c>
      <c r="AG60" s="4">
        <v>1.0260926999098e-13</v>
      </c>
      <c r="AH60" s="4">
        <v>6.4516549144354e-14</v>
      </c>
      <c r="AI60" s="4">
        <v>-1.0144500191468e-14</v>
      </c>
      <c r="AJ60" s="4">
        <v>2.401610791405e-14</v>
      </c>
      <c r="AK60" s="4">
        <v>3.1304481929596e-15</v>
      </c>
      <c r="AL60" s="4">
        <v>2.5389045521285e-14</v>
      </c>
      <c r="AM60" s="4">
        <v>1.132207254791e-13</v>
      </c>
      <c r="AN60" s="4">
        <v>-2.1438107225457e-15</v>
      </c>
      <c r="AO60" s="4">
        <v>-3.1507865879348e-15</v>
      </c>
      <c r="AP60" s="4">
        <v>1.4146359316417e-16</v>
      </c>
      <c r="AQ60" s="4">
        <v>1.2942893171296e-14</v>
      </c>
      <c r="AR60" s="4">
        <v>-1.3362924715785e-13</v>
      </c>
      <c r="AS60" s="4">
        <v>9.5013418067716e-15</v>
      </c>
      <c r="AT60" s="4">
        <v>-1.7886043888145e-15</v>
      </c>
      <c r="AU60" s="4">
        <v>-8.9798834462888e-16</v>
      </c>
      <c r="AV60" s="4">
        <v>-5.8612089167045e-14</v>
      </c>
      <c r="AW60" s="4">
        <v>-9.4666367886752e-15</v>
      </c>
      <c r="AX60" s="4">
        <v>6.3752728955638e-14</v>
      </c>
      <c r="AY60" s="4">
        <v>1.2317024025559e-14</v>
      </c>
      <c r="AZ60" s="4">
        <v>-4.3058174143809e-14</v>
      </c>
      <c r="BA60" s="4">
        <v>5.0543407848261e-14</v>
      </c>
      <c r="BB60" s="4">
        <v>-3.1674440640257e-13</v>
      </c>
      <c r="BC60" s="3">
        <v>15863285.966154</v>
      </c>
      <c r="BD60" s="3">
        <v>3973122.772255</v>
      </c>
      <c r="BE60" s="3">
        <v>-0.00024917901561621</v>
      </c>
      <c r="BF60" s="3">
        <v>0.00093403819776574</v>
      </c>
      <c r="BG60" s="3">
        <v>0.00034901717993375</v>
      </c>
      <c r="BH60" s="3">
        <v>-0.00083446489392919</v>
      </c>
      <c r="BI60" s="3">
        <v>139.71263487412</v>
      </c>
      <c r="BJ60" s="3">
        <v>69.865926307471</v>
      </c>
      <c r="BK60" s="3">
        <v>125.60155421828</v>
      </c>
    </row>
    <row r="61" spans="1:63">
      <c r="A61" s="3">
        <v>15811388.300842</v>
      </c>
      <c r="B61" s="3">
        <v>0.00035038445666935</v>
      </c>
      <c r="C61" s="4">
        <f t="shared" si="1"/>
        <v>2.3781145117446e-11</v>
      </c>
      <c r="D61" s="4">
        <v>1.5277932518178e-12</v>
      </c>
      <c r="E61" s="4">
        <v>1.8015690617999e-12</v>
      </c>
      <c r="F61" s="4">
        <v>1.8015549880238e-12</v>
      </c>
      <c r="G61" s="4">
        <v>1.7992864393625e-12</v>
      </c>
      <c r="H61" s="4">
        <v>1.5186290457628e-12</v>
      </c>
      <c r="I61" s="4">
        <v>1.5207869808261e-12</v>
      </c>
      <c r="J61" s="4">
        <v>1.5197051844272e-12</v>
      </c>
      <c r="K61" s="4">
        <v>1.5841035621444e-12</v>
      </c>
      <c r="L61" s="4">
        <v>1.5926175050702e-12</v>
      </c>
      <c r="M61" s="4">
        <v>1.5809378178414e-12</v>
      </c>
      <c r="N61" s="4">
        <v>1.6520882220751e-12</v>
      </c>
      <c r="O61" s="4">
        <v>1.5186417201958e-12</v>
      </c>
      <c r="P61" s="4">
        <v>1.6476648745096e-12</v>
      </c>
      <c r="Q61" s="4">
        <v>1.6667178712466e-12</v>
      </c>
      <c r="R61" s="4">
        <v>1.7959023139367e-12</v>
      </c>
      <c r="S61" s="4">
        <v>1.7940327740615e-12</v>
      </c>
      <c r="T61" s="4">
        <v>1.7966784720386e-12</v>
      </c>
      <c r="U61" s="4">
        <v>1.5205112238628e-12</v>
      </c>
      <c r="V61" s="4">
        <v>1.5844873926676e-12</v>
      </c>
      <c r="W61" s="4">
        <v>1.595140090688e-12</v>
      </c>
      <c r="X61" s="4">
        <v>1.5885011169698e-12</v>
      </c>
      <c r="Y61" s="4">
        <v>1.6494442341508e-12</v>
      </c>
      <c r="Z61" s="4">
        <v>1.6685944731798e-12</v>
      </c>
      <c r="AA61" s="4">
        <v>1.6791873431943e-12</v>
      </c>
      <c r="AB61" s="3">
        <v>0.99999831943866</v>
      </c>
      <c r="AC61" s="3">
        <v>0.89016710593306</v>
      </c>
      <c r="AD61" s="3">
        <v>0.00089826813940689</v>
      </c>
      <c r="AE61" s="4">
        <v>-1.7069984406464e-14</v>
      </c>
      <c r="AF61" s="4">
        <v>7.1652515257533e-14</v>
      </c>
      <c r="AG61" s="4">
        <v>9.7342994440794e-14</v>
      </c>
      <c r="AH61" s="4">
        <v>6.8479840582413e-14</v>
      </c>
      <c r="AI61" s="4">
        <v>-1.0709884811069e-14</v>
      </c>
      <c r="AJ61" s="4">
        <v>2.0775090231088e-14</v>
      </c>
      <c r="AK61" s="4">
        <v>3.5203022499203e-15</v>
      </c>
      <c r="AL61" s="4">
        <v>2.2587031247721e-14</v>
      </c>
      <c r="AM61" s="4">
        <v>1.206454905762e-13</v>
      </c>
      <c r="AN61" s="4">
        <v>-1.943697482847e-15</v>
      </c>
      <c r="AO61" s="4">
        <v>-8.4671103252837e-15</v>
      </c>
      <c r="AP61" s="4">
        <v>-2.0324389228704e-16</v>
      </c>
      <c r="AQ61" s="4">
        <v>1.2104835265207e-14</v>
      </c>
      <c r="AR61" s="4">
        <v>-1.3142645228209e-13</v>
      </c>
      <c r="AS61" s="4">
        <v>1.1463527323009e-14</v>
      </c>
      <c r="AT61" s="4">
        <v>-2.6982660430016e-15</v>
      </c>
      <c r="AU61" s="4">
        <v>3.8785788336981e-15</v>
      </c>
      <c r="AV61" s="4">
        <v>-5.9986063275726e-14</v>
      </c>
      <c r="AW61" s="4">
        <v>-8.9299687075976e-15</v>
      </c>
      <c r="AX61" s="4">
        <v>5.3668611731523e-14</v>
      </c>
      <c r="AY61" s="4">
        <v>8.8856122186079e-15</v>
      </c>
      <c r="AZ61" s="4">
        <v>-3.820789690373e-14</v>
      </c>
      <c r="BA61" s="4">
        <v>4.2237709313919e-14</v>
      </c>
      <c r="BB61" s="4">
        <v>-3.0806561157163e-13</v>
      </c>
      <c r="BC61" s="3">
        <v>15846959.744958</v>
      </c>
      <c r="BD61" s="3">
        <v>3969580.8961467</v>
      </c>
      <c r="BE61" s="3">
        <v>-0.00024434528440549</v>
      </c>
      <c r="BF61" s="3">
        <v>0.00097492925003167</v>
      </c>
      <c r="BG61" s="3">
        <v>0.00037107851821946</v>
      </c>
      <c r="BH61" s="3">
        <v>-0.00080762491314171</v>
      </c>
      <c r="BI61" s="3">
        <v>139.71266303662</v>
      </c>
      <c r="BJ61" s="3">
        <v>69.866001609921</v>
      </c>
      <c r="BK61" s="3">
        <v>125.32091315562</v>
      </c>
    </row>
    <row r="62" spans="1:63">
      <c r="A62" s="3">
        <v>17740669.461679</v>
      </c>
      <c r="B62" s="3">
        <v>0.00039191654039173</v>
      </c>
      <c r="C62" s="4">
        <f t="shared" si="1"/>
        <v>2.36453727895414e-11</v>
      </c>
      <c r="D62" s="4">
        <v>1.5267556236178e-12</v>
      </c>
      <c r="E62" s="4">
        <v>1.7943446927255e-12</v>
      </c>
      <c r="F62" s="4">
        <v>1.79443905451e-12</v>
      </c>
      <c r="G62" s="4">
        <v>1.7924766881902e-12</v>
      </c>
      <c r="H62" s="4">
        <v>1.5169393605158e-12</v>
      </c>
      <c r="I62" s="4">
        <v>1.5191938162779e-12</v>
      </c>
      <c r="J62" s="4">
        <v>1.5180911886317e-12</v>
      </c>
      <c r="K62" s="4">
        <v>1.5802122092797e-12</v>
      </c>
      <c r="L62" s="4">
        <v>1.5898237533829e-12</v>
      </c>
      <c r="M62" s="4">
        <v>1.5766513965431e-12</v>
      </c>
      <c r="N62" s="4">
        <v>1.6476255400594e-12</v>
      </c>
      <c r="O62" s="4">
        <v>1.5169281612598e-12</v>
      </c>
      <c r="P62" s="4">
        <v>1.6423841473622e-12</v>
      </c>
      <c r="Q62" s="4">
        <v>1.663186604993e-12</v>
      </c>
      <c r="R62" s="4">
        <v>1.7884224599594e-12</v>
      </c>
      <c r="S62" s="4">
        <v>1.7864315410467e-12</v>
      </c>
      <c r="T62" s="4">
        <v>1.7893898821929e-12</v>
      </c>
      <c r="U62" s="4">
        <v>1.5190789631217e-12</v>
      </c>
      <c r="V62" s="4">
        <v>1.5803501816991e-12</v>
      </c>
      <c r="W62" s="4">
        <v>1.5925613300005e-12</v>
      </c>
      <c r="X62" s="4">
        <v>1.585209138739e-12</v>
      </c>
      <c r="Y62" s="4">
        <v>1.6442076928964e-12</v>
      </c>
      <c r="Z62" s="4">
        <v>1.6651606312199e-12</v>
      </c>
      <c r="AA62" s="4">
        <v>1.6772630899408e-12</v>
      </c>
      <c r="AB62" s="3">
        <v>0.9999984930188</v>
      </c>
      <c r="AC62" s="3">
        <v>0.8887010844989</v>
      </c>
      <c r="AD62" s="3">
        <v>0.00093780786447262</v>
      </c>
      <c r="AE62" s="4">
        <v>-1.452346620739e-14</v>
      </c>
      <c r="AF62" s="4">
        <v>6.3311029232068e-14</v>
      </c>
      <c r="AG62" s="4">
        <v>9.260208928524e-14</v>
      </c>
      <c r="AH62" s="4">
        <v>7.2637084850751e-14</v>
      </c>
      <c r="AI62" s="4">
        <v>-1.1450499880803e-14</v>
      </c>
      <c r="AJ62" s="4">
        <v>1.7123559376738e-14</v>
      </c>
      <c r="AK62" s="4">
        <v>3.8994954554104e-15</v>
      </c>
      <c r="AL62" s="4">
        <v>1.9406595418912e-14</v>
      </c>
      <c r="AM62" s="4">
        <v>1.2894136810784e-13</v>
      </c>
      <c r="AN62" s="4">
        <v>-1.8034148303518e-15</v>
      </c>
      <c r="AO62" s="4">
        <v>-1.4488169328965e-14</v>
      </c>
      <c r="AP62" s="4">
        <v>-6.4550351998809e-16</v>
      </c>
      <c r="AQ62" s="4">
        <v>1.1039618890811e-14</v>
      </c>
      <c r="AR62" s="4">
        <v>-1.2984231546495e-13</v>
      </c>
      <c r="AS62" s="4">
        <v>1.3427766580937e-14</v>
      </c>
      <c r="AT62" s="4">
        <v>-3.6204857555786e-15</v>
      </c>
      <c r="AU62" s="4">
        <v>8.9114950354469e-15</v>
      </c>
      <c r="AV62" s="4">
        <v>-6.1685612359361e-14</v>
      </c>
      <c r="AW62" s="4">
        <v>-8.4685228676432e-15</v>
      </c>
      <c r="AX62" s="4">
        <v>4.3709999294918e-14</v>
      </c>
      <c r="AY62" s="4">
        <v>5.3315512506097e-15</v>
      </c>
      <c r="AZ62" s="4">
        <v>-3.3429311240655e-14</v>
      </c>
      <c r="BA62" s="4">
        <v>3.3453496588443e-14</v>
      </c>
      <c r="BB62" s="4">
        <v>-3.0035385119927e-13</v>
      </c>
      <c r="BC62" s="3">
        <v>15828690.600369</v>
      </c>
      <c r="BD62" s="3">
        <v>3965636.6770828</v>
      </c>
      <c r="BE62" s="3">
        <v>-0.00023879582300177</v>
      </c>
      <c r="BF62" s="3">
        <v>0.0010205478222955</v>
      </c>
      <c r="BG62" s="3">
        <v>0.00039578703300674</v>
      </c>
      <c r="BH62" s="3">
        <v>-0.00077772859152602</v>
      </c>
      <c r="BI62" s="3">
        <v>139.71271349507</v>
      </c>
      <c r="BJ62" s="3">
        <v>69.866076297206</v>
      </c>
      <c r="BK62" s="3">
        <v>125.02417498998</v>
      </c>
    </row>
    <row r="63" spans="1:63">
      <c r="A63" s="3">
        <v>19905358.527676</v>
      </c>
      <c r="B63" s="3">
        <v>0.00043833899265111</v>
      </c>
      <c r="C63" s="4">
        <f t="shared" si="1"/>
        <v>2.35073916357419e-11</v>
      </c>
      <c r="D63" s="4">
        <v>1.5255320247033e-12</v>
      </c>
      <c r="E63" s="4">
        <v>1.7864987897173e-12</v>
      </c>
      <c r="F63" s="4">
        <v>1.7867271743434e-12</v>
      </c>
      <c r="G63" s="4">
        <v>1.7851809340883e-12</v>
      </c>
      <c r="H63" s="4">
        <v>1.5150512860539e-12</v>
      </c>
      <c r="I63" s="4">
        <v>1.5173936755414e-12</v>
      </c>
      <c r="J63" s="4">
        <v>1.5162727765516e-12</v>
      </c>
      <c r="K63" s="4">
        <v>1.57583259197e-12</v>
      </c>
      <c r="L63" s="4">
        <v>1.5867193858904e-12</v>
      </c>
      <c r="M63" s="4">
        <v>1.5718243964086e-12</v>
      </c>
      <c r="N63" s="4">
        <v>1.6429228382538e-12</v>
      </c>
      <c r="O63" s="4">
        <v>1.5150074738563e-12</v>
      </c>
      <c r="P63" s="4">
        <v>1.6366569299228e-12</v>
      </c>
      <c r="Q63" s="4">
        <v>1.6593773104261e-12</v>
      </c>
      <c r="R63" s="4">
        <v>1.7803340730595e-12</v>
      </c>
      <c r="S63" s="4">
        <v>1.7782150988988e-12</v>
      </c>
      <c r="T63" s="4">
        <v>1.7815396441214e-12</v>
      </c>
      <c r="U63" s="4">
        <v>1.517489126136e-12</v>
      </c>
      <c r="V63" s="4">
        <v>1.5756621013553e-12</v>
      </c>
      <c r="W63" s="4">
        <v>1.5896943078066e-12</v>
      </c>
      <c r="X63" s="4">
        <v>1.5815207560377e-12</v>
      </c>
      <c r="Y63" s="4">
        <v>1.6385090709741e-12</v>
      </c>
      <c r="Z63" s="4">
        <v>1.6614834296605e-12</v>
      </c>
      <c r="AA63" s="4">
        <v>1.6753145398805e-12</v>
      </c>
      <c r="AB63" s="3">
        <v>0.99999864060998</v>
      </c>
      <c r="AC63" s="3">
        <v>0.88674210738487</v>
      </c>
      <c r="AD63" s="3">
        <v>0.00098217205390367</v>
      </c>
      <c r="AE63" s="4">
        <v>-1.1782515382759e-14</v>
      </c>
      <c r="AF63" s="4">
        <v>5.564981690363e-14</v>
      </c>
      <c r="AG63" s="4">
        <v>8.8450151697138e-14</v>
      </c>
      <c r="AH63" s="4">
        <v>7.6979292695336e-14</v>
      </c>
      <c r="AI63" s="4">
        <v>-1.2420736281072e-14</v>
      </c>
      <c r="AJ63" s="4">
        <v>1.2903825232841e-14</v>
      </c>
      <c r="AK63" s="4">
        <v>4.2147517963356e-15</v>
      </c>
      <c r="AL63" s="4">
        <v>1.5743174057298e-14</v>
      </c>
      <c r="AM63" s="4">
        <v>1.3815662888495e-13</v>
      </c>
      <c r="AN63" s="4">
        <v>-1.7154988326167e-15</v>
      </c>
      <c r="AO63" s="4">
        <v>-2.1220899163751e-14</v>
      </c>
      <c r="AP63" s="4">
        <v>-1.2016250690849e-15</v>
      </c>
      <c r="AQ63" s="4">
        <v>9.6782512811363e-15</v>
      </c>
      <c r="AR63" s="4">
        <v>-1.2900193082629e-13</v>
      </c>
      <c r="AS63" s="4">
        <v>1.5395191389445e-14</v>
      </c>
      <c r="AT63" s="4">
        <v>-4.5589529218173e-15</v>
      </c>
      <c r="AU63" s="4">
        <v>1.4222325289045e-14</v>
      </c>
      <c r="AV63" s="4">
        <v>-6.3756228017009e-14</v>
      </c>
      <c r="AW63" s="4">
        <v>-8.1140273455616e-15</v>
      </c>
      <c r="AX63" s="4">
        <v>3.4071795829972e-14</v>
      </c>
      <c r="AY63" s="4">
        <v>1.7498847577477e-15</v>
      </c>
      <c r="AZ63" s="4">
        <v>-2.872525062589e-14</v>
      </c>
      <c r="BA63" s="4">
        <v>2.4129541635948e-14</v>
      </c>
      <c r="BB63" s="4">
        <v>-2.9374300209212e-13</v>
      </c>
      <c r="BC63" s="3">
        <v>15808247.397853</v>
      </c>
      <c r="BD63" s="3">
        <v>3961261.3237112</v>
      </c>
      <c r="BE63" s="3">
        <v>-0.00023243532717643</v>
      </c>
      <c r="BF63" s="3">
        <v>0.0010714340159395</v>
      </c>
      <c r="BG63" s="3">
        <v>0.00042345401988686</v>
      </c>
      <c r="BH63" s="3">
        <v>-0.00074491003751575</v>
      </c>
      <c r="BI63" s="3">
        <v>139.71279075327</v>
      </c>
      <c r="BJ63" s="3">
        <v>69.866148479723</v>
      </c>
      <c r="BK63" s="3">
        <v>124.71300419961</v>
      </c>
    </row>
    <row r="64" spans="1:63">
      <c r="A64" s="3">
        <v>22334179.607549</v>
      </c>
      <c r="B64" s="3">
        <v>0.00049022228926751</v>
      </c>
      <c r="C64" s="4">
        <f t="shared" si="1"/>
        <v>2.33678841525321e-11</v>
      </c>
      <c r="D64" s="4">
        <v>1.5241376482632e-12</v>
      </c>
      <c r="E64" s="4">
        <v>1.7780559951124e-12</v>
      </c>
      <c r="F64" s="4">
        <v>1.7784486663346e-12</v>
      </c>
      <c r="G64" s="4">
        <v>1.7774477896829e-12</v>
      </c>
      <c r="H64" s="4">
        <v>1.5129884755343e-12</v>
      </c>
      <c r="I64" s="4">
        <v>1.5154096123792e-12</v>
      </c>
      <c r="J64" s="4">
        <v>1.5142684485874e-12</v>
      </c>
      <c r="K64" s="4">
        <v>1.5709140644055e-12</v>
      </c>
      <c r="L64" s="4">
        <v>1.5832846841298e-12</v>
      </c>
      <c r="M64" s="4">
        <v>1.566397723737e-12</v>
      </c>
      <c r="N64" s="4">
        <v>1.6380056744566e-12</v>
      </c>
      <c r="O64" s="4">
        <v>1.5129007514147e-12</v>
      </c>
      <c r="P64" s="4">
        <v>1.6304518994235e-12</v>
      </c>
      <c r="Q64" s="4">
        <v>1.6552722029544e-12</v>
      </c>
      <c r="R64" s="4">
        <v>1.7716651256274e-12</v>
      </c>
      <c r="S64" s="4">
        <v>1.7694101126551e-12</v>
      </c>
      <c r="T64" s="4">
        <v>1.7731676886798e-12</v>
      </c>
      <c r="U64" s="4">
        <v>1.5157741053981e-12</v>
      </c>
      <c r="V64" s="4">
        <v>1.5703615772644e-12</v>
      </c>
      <c r="W64" s="4">
        <v>1.5865198984828e-12</v>
      </c>
      <c r="X64" s="4">
        <v>1.5773998823592e-12</v>
      </c>
      <c r="Y64" s="4">
        <v>1.6323123178951e-12</v>
      </c>
      <c r="Z64" s="4">
        <v>1.6575648022535e-12</v>
      </c>
      <c r="AA64" s="4">
        <v>1.6733748457459e-12</v>
      </c>
      <c r="AB64" s="3">
        <v>0.99999876581295</v>
      </c>
      <c r="AC64" s="3">
        <v>0.88422360673329</v>
      </c>
      <c r="AD64" s="3">
        <v>0.0010319472276653</v>
      </c>
      <c r="AE64" s="4">
        <v>-8.8036528130572e-15</v>
      </c>
      <c r="AF64" s="4">
        <v>4.8746852316081e-14</v>
      </c>
      <c r="AG64" s="4">
        <v>8.4958896512213e-14</v>
      </c>
      <c r="AH64" s="4">
        <v>8.1478131653455e-14</v>
      </c>
      <c r="AI64" s="4">
        <v>-1.3696676938853e-14</v>
      </c>
      <c r="AJ64" s="4">
        <v>7.8869278477098e-15</v>
      </c>
      <c r="AK64" s="4">
        <v>4.3830954074679e-15</v>
      </c>
      <c r="AL64" s="4">
        <v>1.1460102982388e-14</v>
      </c>
      <c r="AM64" s="4">
        <v>1.482932110111e-13</v>
      </c>
      <c r="AN64" s="4">
        <v>-1.6686776688021e-15</v>
      </c>
      <c r="AO64" s="4">
        <v>-2.8623369908445e-14</v>
      </c>
      <c r="AP64" s="4">
        <v>-1.8845162174562e-15</v>
      </c>
      <c r="AQ64" s="4">
        <v>7.9379052792285e-15</v>
      </c>
      <c r="AR64" s="4">
        <v>-1.2908555672281e-13</v>
      </c>
      <c r="AS64" s="4">
        <v>1.7371270921628e-14</v>
      </c>
      <c r="AT64" s="4">
        <v>-5.5225984944333e-15</v>
      </c>
      <c r="AU64" s="4">
        <v>1.9822448513171e-14</v>
      </c>
      <c r="AV64" s="4">
        <v>-6.6240746789389e-14</v>
      </c>
      <c r="AW64" s="4">
        <v>-7.9351086754382e-15</v>
      </c>
      <c r="AX64" s="4">
        <v>2.4954149082171e-14</v>
      </c>
      <c r="AY64" s="4">
        <v>-1.7427558944558e-15</v>
      </c>
      <c r="AZ64" s="4">
        <v>-2.4088544211275e-14</v>
      </c>
      <c r="BA64" s="4">
        <v>1.4274893119668e-14</v>
      </c>
      <c r="BB64" s="4">
        <v>-2.8848664390583e-13</v>
      </c>
      <c r="BC64" s="3">
        <v>15785371.260557</v>
      </c>
      <c r="BD64" s="3">
        <v>3956428.9959262</v>
      </c>
      <c r="BE64" s="3">
        <v>-0.00022515826507361</v>
      </c>
      <c r="BF64" s="3">
        <v>0.0011281904255612</v>
      </c>
      <c r="BG64" s="3">
        <v>0.0004544255370462</v>
      </c>
      <c r="BH64" s="3">
        <v>-0.00070933118441929</v>
      </c>
      <c r="BI64" s="3">
        <v>139.71290007794</v>
      </c>
      <c r="BJ64" s="3">
        <v>69.86621599185</v>
      </c>
      <c r="BK64" s="3">
        <v>124.38981848103</v>
      </c>
    </row>
    <row r="65" spans="1:63">
      <c r="A65" s="3">
        <v>25059361.681365</v>
      </c>
      <c r="B65" s="3">
        <v>0.00054820324230306</v>
      </c>
      <c r="C65" s="4">
        <f t="shared" si="1"/>
        <v>2.32277355561285e-11</v>
      </c>
      <c r="D65" s="4">
        <v>1.5224277028646e-12</v>
      </c>
      <c r="E65" s="4">
        <v>1.7690007500174e-12</v>
      </c>
      <c r="F65" s="4">
        <v>1.7695934167657e-12</v>
      </c>
      <c r="G65" s="4">
        <v>1.7692884218398e-12</v>
      </c>
      <c r="H65" s="4">
        <v>1.5106177878866e-12</v>
      </c>
      <c r="I65" s="4">
        <v>1.5131096033911e-12</v>
      </c>
      <c r="J65" s="4">
        <v>1.5119382335414e-12</v>
      </c>
      <c r="K65" s="4">
        <v>1.5654085336853e-12</v>
      </c>
      <c r="L65" s="4">
        <v>1.5795054843129e-12</v>
      </c>
      <c r="M65" s="4">
        <v>1.5603128897462e-12</v>
      </c>
      <c r="N65" s="4">
        <v>1.6329394057076e-12</v>
      </c>
      <c r="O65" s="4">
        <v>1.5104712237797e-12</v>
      </c>
      <c r="P65" s="4">
        <v>1.6237645159602e-12</v>
      </c>
      <c r="Q65" s="4">
        <v>1.6508788953956e-12</v>
      </c>
      <c r="R65" s="4">
        <v>1.7624031164764e-12</v>
      </c>
      <c r="S65" s="4">
        <v>1.7600023970239e-12</v>
      </c>
      <c r="T65" s="4">
        <v>1.7642763207968e-12</v>
      </c>
      <c r="U65" s="4">
        <v>1.5138121652433e-12</v>
      </c>
      <c r="V65" s="4">
        <v>1.5643877335691e-12</v>
      </c>
      <c r="W65" s="4">
        <v>1.5830231084282e-12</v>
      </c>
      <c r="X65" s="4">
        <v>1.5728145730526e-12</v>
      </c>
      <c r="Y65" s="4">
        <v>1.6256065495963e-12</v>
      </c>
      <c r="Z65" s="4">
        <v>1.6534384316687e-12</v>
      </c>
      <c r="AA65" s="4">
        <v>1.6715138244404e-12</v>
      </c>
      <c r="AB65" s="3">
        <v>0.99999887171412</v>
      </c>
      <c r="AC65" s="3">
        <v>0.88106261166799</v>
      </c>
      <c r="AD65" s="3">
        <v>0.0010877901520401</v>
      </c>
      <c r="AE65" s="4">
        <v>-5.53352553359e-15</v>
      </c>
      <c r="AF65" s="4">
        <v>4.2695213316064e-14</v>
      </c>
      <c r="AG65" s="4">
        <v>8.2213189888929e-14</v>
      </c>
      <c r="AH65" s="4">
        <v>8.6084733827001e-14</v>
      </c>
      <c r="AI65" s="4">
        <v>-1.5385365057675e-14</v>
      </c>
      <c r="AJ65" s="4">
        <v>1.7501371740983e-15</v>
      </c>
      <c r="AK65" s="4">
        <v>4.2803980543848e-15</v>
      </c>
      <c r="AL65" s="4">
        <v>6.3899531266667e-15</v>
      </c>
      <c r="AM65" s="4">
        <v>1.592831806683e-13</v>
      </c>
      <c r="AN65" s="4">
        <v>-1.652424030029e-15</v>
      </c>
      <c r="AO65" s="4">
        <v>-3.6624467449438e-14</v>
      </c>
      <c r="AP65" s="4">
        <v>-2.6970211972475e-15</v>
      </c>
      <c r="AQ65" s="4">
        <v>5.7123065839586e-15</v>
      </c>
      <c r="AR65" s="4">
        <v>-1.3033638767748e-13</v>
      </c>
      <c r="AS65" s="4">
        <v>1.936743827421e-14</v>
      </c>
      <c r="AT65" s="4">
        <v>-6.5326970385124e-15</v>
      </c>
      <c r="AU65" s="4">
        <v>2.5708084929659e-14</v>
      </c>
      <c r="AV65" s="4">
        <v>-6.9168525940374e-14</v>
      </c>
      <c r="AW65" s="4">
        <v>-8.0449051562443e-15</v>
      </c>
      <c r="AX65" s="4">
        <v>1.6588109961584e-14</v>
      </c>
      <c r="AY65" s="4">
        <v>-5.0585741924251e-15</v>
      </c>
      <c r="AZ65" s="4">
        <v>-1.9489253129595e-14</v>
      </c>
      <c r="BA65" s="4">
        <v>4.006295122707e-15</v>
      </c>
      <c r="BB65" s="4">
        <v>-2.8493479070862e-13</v>
      </c>
      <c r="BC65" s="3">
        <v>15759772.182012</v>
      </c>
      <c r="BD65" s="3">
        <v>3951118.9967194</v>
      </c>
      <c r="BE65" s="3">
        <v>-0.00021684914727992</v>
      </c>
      <c r="BF65" s="3">
        <v>0.0011914902341141</v>
      </c>
      <c r="BG65" s="3">
        <v>0.00048908591610804</v>
      </c>
      <c r="BH65" s="3">
        <v>-0.00067143749919954</v>
      </c>
      <c r="BI65" s="3">
        <v>139.71304770429</v>
      </c>
      <c r="BJ65" s="3">
        <v>69.866276261701</v>
      </c>
      <c r="BK65" s="3">
        <v>124.05786484785</v>
      </c>
    </row>
    <row r="66" spans="1:63">
      <c r="A66" s="3">
        <v>28117066.259519</v>
      </c>
      <c r="B66" s="3">
        <v>0.0006129932970303</v>
      </c>
      <c r="C66" s="4">
        <f t="shared" si="1"/>
        <v>2.30881004418094e-11</v>
      </c>
      <c r="D66" s="4">
        <v>1.5204348865281e-12</v>
      </c>
      <c r="E66" s="4">
        <v>1.7592584506516e-12</v>
      </c>
      <c r="F66" s="4">
        <v>1.7600931690909e-12</v>
      </c>
      <c r="G66" s="4">
        <v>1.7606577333289e-12</v>
      </c>
      <c r="H66" s="4">
        <v>1.5079875001079e-12</v>
      </c>
      <c r="I66" s="4">
        <v>1.5105459491725e-12</v>
      </c>
      <c r="J66" s="4">
        <v>1.5093217648856e-12</v>
      </c>
      <c r="K66" s="4">
        <v>1.5592887452801e-12</v>
      </c>
      <c r="L66" s="4">
        <v>1.5753904150541e-12</v>
      </c>
      <c r="M66" s="4">
        <v>1.553529760814e-12</v>
      </c>
      <c r="N66" s="4">
        <v>1.6279170976112e-12</v>
      </c>
      <c r="O66" s="4">
        <v>1.5077617342967e-12</v>
      </c>
      <c r="P66" s="4">
        <v>1.6167046791672e-12</v>
      </c>
      <c r="Q66" s="4">
        <v>1.6463170672557e-12</v>
      </c>
      <c r="R66" s="4">
        <v>1.752475926867e-12</v>
      </c>
      <c r="S66" s="4">
        <v>1.7499178640413e-12</v>
      </c>
      <c r="T66" s="4">
        <v>1.7548114675004e-12</v>
      </c>
      <c r="U66" s="4">
        <v>1.5116666258225e-12</v>
      </c>
      <c r="V66" s="4">
        <v>1.5576983776537e-12</v>
      </c>
      <c r="W66" s="4">
        <v>1.5792097551521e-12</v>
      </c>
      <c r="X66" s="4">
        <v>1.5677562880019e-12</v>
      </c>
      <c r="Y66" s="4">
        <v>1.6184928754674e-12</v>
      </c>
      <c r="Z66" s="4">
        <v>1.6492570259775e-12</v>
      </c>
      <c r="AA66" s="4">
        <v>1.6699265387595e-12</v>
      </c>
      <c r="AB66" s="3">
        <v>0.99999896085119</v>
      </c>
      <c r="AC66" s="3">
        <v>0.87715719788982</v>
      </c>
      <c r="AD66" s="3">
        <v>0.0011504363183173</v>
      </c>
      <c r="AE66" s="4">
        <v>-1.8777443941264e-15</v>
      </c>
      <c r="AF66" s="4">
        <v>3.7607064800726e-14</v>
      </c>
      <c r="AG66" s="4">
        <v>8.0330587456934e-14</v>
      </c>
      <c r="AH66" s="4">
        <v>9.0758482862344e-14</v>
      </c>
      <c r="AI66" s="4">
        <v>-1.7629757654614e-14</v>
      </c>
      <c r="AJ66" s="4">
        <v>-5.9348982570478e-15</v>
      </c>
      <c r="AK66" s="4">
        <v>3.7342577453208e-15</v>
      </c>
      <c r="AL66" s="4">
        <v>3.2880231188793e-16</v>
      </c>
      <c r="AM66" s="4">
        <v>1.7097558874589e-13</v>
      </c>
      <c r="AN66" s="4">
        <v>-1.6650966496107e-15</v>
      </c>
      <c r="AO66" s="4">
        <v>-4.5196935445499e-14</v>
      </c>
      <c r="AP66" s="4">
        <v>-3.6167187585918e-15</v>
      </c>
      <c r="AQ66" s="4">
        <v>2.861599305922e-15</v>
      </c>
      <c r="AR66" s="4">
        <v>-1.3306425154505e-13</v>
      </c>
      <c r="AS66" s="4">
        <v>2.1411784556857e-14</v>
      </c>
      <c r="AT66" s="4">
        <v>-7.6362692592701e-15</v>
      </c>
      <c r="AU66" s="4">
        <v>3.1867364621947e-14</v>
      </c>
      <c r="AV66" s="4">
        <v>-7.2540601846199e-14</v>
      </c>
      <c r="AW66" s="4">
        <v>-8.6113281166645e-15</v>
      </c>
      <c r="AX66" s="4">
        <v>9.2621034894615e-15</v>
      </c>
      <c r="AY66" s="4">
        <v>-8.2138328974957e-15</v>
      </c>
      <c r="AZ66" s="4">
        <v>-1.4860429329333e-14</v>
      </c>
      <c r="BA66" s="4">
        <v>-6.3527770804326e-15</v>
      </c>
      <c r="BB66" s="4">
        <v>-2.8347305991169e-13</v>
      </c>
      <c r="BC66" s="3">
        <v>15731124.879584</v>
      </c>
      <c r="BD66" s="3">
        <v>3945318.7946325</v>
      </c>
      <c r="BE66" s="3">
        <v>-0.00020738226041581</v>
      </c>
      <c r="BF66" s="3">
        <v>0.0012620868245359</v>
      </c>
      <c r="BG66" s="3">
        <v>0.00052786125441919</v>
      </c>
      <c r="BH66" s="3">
        <v>-0.00063160564612379</v>
      </c>
      <c r="BI66" s="3">
        <v>139.71324091315</v>
      </c>
      <c r="BJ66" s="3">
        <v>69.866326582773</v>
      </c>
      <c r="BK66" s="3">
        <v>123.72127093403</v>
      </c>
    </row>
    <row r="67" spans="1:63">
      <c r="A67" s="3">
        <v>31547867.224011</v>
      </c>
      <c r="B67" s="3">
        <v>0.0006853887441735</v>
      </c>
      <c r="C67" s="4">
        <f t="shared" si="1"/>
        <v>2.29503498459167e-11</v>
      </c>
      <c r="D67" s="4">
        <v>1.5180879111159e-12</v>
      </c>
      <c r="E67" s="4">
        <v>1.7488718398429e-12</v>
      </c>
      <c r="F67" s="4">
        <v>1.7499983468548e-12</v>
      </c>
      <c r="G67" s="4">
        <v>1.7516307861284e-12</v>
      </c>
      <c r="H67" s="4">
        <v>1.5050471411474e-12</v>
      </c>
      <c r="I67" s="4">
        <v>1.5076763462746e-12</v>
      </c>
      <c r="J67" s="4">
        <v>1.5063579123577e-12</v>
      </c>
      <c r="K67" s="4">
        <v>1.5525756693107e-12</v>
      </c>
      <c r="L67" s="4">
        <v>1.5709962827126e-12</v>
      </c>
      <c r="M67" s="4">
        <v>1.5460531246058e-12</v>
      </c>
      <c r="N67" s="4">
        <v>1.6231819291541e-12</v>
      </c>
      <c r="O67" s="4">
        <v>1.5047130284069e-12</v>
      </c>
      <c r="P67" s="4">
        <v>1.6094213160029e-12</v>
      </c>
      <c r="Q67" s="4">
        <v>1.6417420086036e-12</v>
      </c>
      <c r="R67" s="4">
        <v>1.7419278524202e-12</v>
      </c>
      <c r="S67" s="4">
        <v>1.7391987880548e-12</v>
      </c>
      <c r="T67" s="4">
        <v>1.7448390464348e-12</v>
      </c>
      <c r="U67" s="4">
        <v>1.5093069315967e-12</v>
      </c>
      <c r="V67" s="4">
        <v>1.5502967646733e-12</v>
      </c>
      <c r="W67" s="4">
        <v>1.5751337437248e-12</v>
      </c>
      <c r="X67" s="4">
        <v>1.5622698617231e-12</v>
      </c>
      <c r="Y67" s="4">
        <v>1.6111078564651e-12</v>
      </c>
      <c r="Z67" s="4">
        <v>1.6452162795545e-12</v>
      </c>
      <c r="AA67" s="4">
        <v>1.6688585068712e-12</v>
      </c>
      <c r="AB67" s="3">
        <v>0.99999903526097</v>
      </c>
      <c r="AC67" s="3">
        <v>0.87238270917659</v>
      </c>
      <c r="AD67" s="3">
        <v>0.0012207089829825</v>
      </c>
      <c r="AE67" s="4">
        <v>2.2961242756119e-15</v>
      </c>
      <c r="AF67" s="4">
        <v>3.3622795765414e-14</v>
      </c>
      <c r="AG67" s="4">
        <v>7.9475860947892e-14</v>
      </c>
      <c r="AH67" s="4">
        <v>9.550241131899e-14</v>
      </c>
      <c r="AI67" s="4">
        <v>-2.0619327501669e-14</v>
      </c>
      <c r="AJ67" s="4">
        <v>-1.5673384285593e-14</v>
      </c>
      <c r="AK67" s="4">
        <v>2.5164719108591e-15</v>
      </c>
      <c r="AL67" s="4">
        <v>-6.9709985233128e-15</v>
      </c>
      <c r="AM67" s="4">
        <v>1.8316911617423e-13</v>
      </c>
      <c r="AN67" s="4">
        <v>-1.7125855841286e-15</v>
      </c>
      <c r="AO67" s="4">
        <v>-5.4423448780134e-14</v>
      </c>
      <c r="AP67" s="4">
        <v>-4.5708503463166e-15</v>
      </c>
      <c r="AQ67" s="4">
        <v>-7.7986820169393e-16</v>
      </c>
      <c r="AR67" s="4">
        <v>-1.3764453393635e-13</v>
      </c>
      <c r="AS67" s="4">
        <v>2.3548697486857e-14</v>
      </c>
      <c r="AT67" s="4">
        <v>-8.9168984288741e-15</v>
      </c>
      <c r="AU67" s="4">
        <v>3.8301824833537e-14</v>
      </c>
      <c r="AV67" s="4">
        <v>-7.6313307851738e-14</v>
      </c>
      <c r="AW67" s="4">
        <v>-9.8619072211699e-15</v>
      </c>
      <c r="AX67" s="4">
        <v>3.250722330308e-15</v>
      </c>
      <c r="AY67" s="4">
        <v>-1.1382225668818e-14</v>
      </c>
      <c r="AZ67" s="4">
        <v>-1.0094179070756e-14</v>
      </c>
      <c r="BA67" s="4">
        <v>-1.6216088008159e-14</v>
      </c>
      <c r="BB67" s="4">
        <v>-2.8454515877871e-13</v>
      </c>
      <c r="BC67" s="3">
        <v>15699062.580791</v>
      </c>
      <c r="BD67" s="3">
        <v>3939027.905392</v>
      </c>
      <c r="BE67" s="3">
        <v>-0.00019661623708287</v>
      </c>
      <c r="BF67" s="3">
        <v>0.0013408249069227</v>
      </c>
      <c r="BG67" s="3">
        <v>0.00057122358074351</v>
      </c>
      <c r="BH67" s="3">
        <v>-0.00059094269358656</v>
      </c>
      <c r="BI67" s="3">
        <v>139.71348624223</v>
      </c>
      <c r="BJ67" s="3">
        <v>69.866363276878</v>
      </c>
      <c r="BK67" s="3">
        <v>123.3851216748</v>
      </c>
    </row>
    <row r="68" spans="1:63">
      <c r="A68" s="3">
        <v>35397289.219208</v>
      </c>
      <c r="B68" s="3">
        <v>0.00076628189827946</v>
      </c>
      <c r="C68" s="4">
        <f t="shared" si="1"/>
        <v>2.28169753121092e-11</v>
      </c>
      <c r="D68" s="4">
        <v>1.5152819703383e-12</v>
      </c>
      <c r="E68" s="4">
        <v>1.7377970166947e-12</v>
      </c>
      <c r="F68" s="4">
        <v>1.7392748876819e-12</v>
      </c>
      <c r="G68" s="4">
        <v>1.7421998051266e-12</v>
      </c>
      <c r="H68" s="4">
        <v>1.5017197317563e-12</v>
      </c>
      <c r="I68" s="4">
        <v>1.5044367781944e-12</v>
      </c>
      <c r="J68" s="4">
        <v>1.502956778052e-12</v>
      </c>
      <c r="K68" s="4">
        <v>1.5452870496878e-12</v>
      </c>
      <c r="L68" s="4">
        <v>1.5663742547204e-12</v>
      </c>
      <c r="M68" s="4">
        <v>1.5378812342255e-12</v>
      </c>
      <c r="N68" s="4">
        <v>1.6186700622411e-12</v>
      </c>
      <c r="O68" s="4">
        <v>1.5012332799808e-12</v>
      </c>
      <c r="P68" s="4">
        <v>1.6017501424125e-12</v>
      </c>
      <c r="Q68" s="4">
        <v>1.6369912940839e-12</v>
      </c>
      <c r="R68" s="4">
        <v>1.7307150341984e-12</v>
      </c>
      <c r="S68" s="4">
        <v>1.7277997843696e-12</v>
      </c>
      <c r="T68" s="4">
        <v>1.734341121088e-12</v>
      </c>
      <c r="U68" s="4">
        <v>1.5066822444343e-12</v>
      </c>
      <c r="V68" s="4">
        <v>1.5421803799129e-12</v>
      </c>
      <c r="W68" s="4">
        <v>1.5708472840583e-12</v>
      </c>
      <c r="X68" s="4">
        <v>1.5564063742848e-12</v>
      </c>
      <c r="Y68" s="4">
        <v>1.6032689372413e-12</v>
      </c>
      <c r="Z68" s="4">
        <v>1.6412005692328e-12</v>
      </c>
      <c r="AA68" s="4">
        <v>1.6682565195623e-12</v>
      </c>
      <c r="AB68" s="3">
        <v>0.99999909657399</v>
      </c>
      <c r="AC68" s="3">
        <v>0.86659830582649</v>
      </c>
      <c r="AD68" s="3">
        <v>0.0012995344365187</v>
      </c>
      <c r="AE68" s="4">
        <v>7.152389321631e-15</v>
      </c>
      <c r="AF68" s="4">
        <v>3.0935385238797e-14</v>
      </c>
      <c r="AG68" s="4">
        <v>7.9885946657971e-14</v>
      </c>
      <c r="AH68" s="4">
        <v>1.0030376705923e-13</v>
      </c>
      <c r="AI68" s="4">
        <v>-2.4592718968367e-14</v>
      </c>
      <c r="AJ68" s="4">
        <v>-2.7917386454586e-14</v>
      </c>
      <c r="AK68" s="4">
        <v>3.3552417330955e-16</v>
      </c>
      <c r="AL68" s="4">
        <v>-1.5773025586894e-14</v>
      </c>
      <c r="AM68" s="4">
        <v>1.9574657098849e-13</v>
      </c>
      <c r="AN68" s="4">
        <v>-1.8118826815818e-15</v>
      </c>
      <c r="AO68" s="4">
        <v>-6.4459429669586e-14</v>
      </c>
      <c r="AP68" s="4">
        <v>-5.3768930616709e-15</v>
      </c>
      <c r="AQ68" s="4">
        <v>-5.3908986645969e-15</v>
      </c>
      <c r="AR68" s="4">
        <v>-1.4443798454748e-13</v>
      </c>
      <c r="AS68" s="4">
        <v>2.5834449105251e-14</v>
      </c>
      <c r="AT68" s="4">
        <v>-1.0491212122552e-14</v>
      </c>
      <c r="AU68" s="4">
        <v>4.4988392857615e-14</v>
      </c>
      <c r="AV68" s="4">
        <v>-8.0369971570533e-14</v>
      </c>
      <c r="AW68" s="4">
        <v>-1.2083713617849e-14</v>
      </c>
      <c r="AX68" s="4">
        <v>-1.4240772719542e-15</v>
      </c>
      <c r="AY68" s="4">
        <v>-1.5005875563598e-14</v>
      </c>
      <c r="AZ68" s="4">
        <v>-5.0848626033114e-15</v>
      </c>
      <c r="BA68" s="4">
        <v>-2.4777463572131e-14</v>
      </c>
      <c r="BB68" s="4">
        <v>-2.8842997003359e-13</v>
      </c>
      <c r="BC68" s="3">
        <v>15663172.456037</v>
      </c>
      <c r="BD68" s="3">
        <v>3932264.773713</v>
      </c>
      <c r="BE68" s="3">
        <v>-0.00018440292824748</v>
      </c>
      <c r="BF68" s="3">
        <v>0.001428657073553</v>
      </c>
      <c r="BG68" s="3">
        <v>0.00061969364636814</v>
      </c>
      <c r="BH68" s="3">
        <v>-0.00055086586724982</v>
      </c>
      <c r="BI68" s="3">
        <v>139.71379088968</v>
      </c>
      <c r="BJ68" s="3">
        <v>69.866382648489</v>
      </c>
      <c r="BK68" s="3">
        <v>123.05541734513</v>
      </c>
    </row>
    <row r="69" spans="1:63">
      <c r="A69" s="3">
        <v>39716411.736216</v>
      </c>
      <c r="B69" s="3">
        <v>0.00085667565052091</v>
      </c>
      <c r="C69" s="4">
        <f t="shared" si="1"/>
        <v>2.26910618140306e-11</v>
      </c>
      <c r="D69" s="4">
        <v>1.5119244796708e-12</v>
      </c>
      <c r="E69" s="4">
        <v>1.7260302816125e-12</v>
      </c>
      <c r="F69" s="4">
        <v>1.7279321463555e-12</v>
      </c>
      <c r="G69" s="4">
        <v>1.7324001308407e-12</v>
      </c>
      <c r="H69" s="4">
        <v>1.4979488784601e-12</v>
      </c>
      <c r="I69" s="4">
        <v>1.5007878259843e-12</v>
      </c>
      <c r="J69" s="4">
        <v>1.4990470645273e-12</v>
      </c>
      <c r="K69" s="4">
        <v>1.5373516253492e-12</v>
      </c>
      <c r="L69" s="4">
        <v>1.5614829441109e-12</v>
      </c>
      <c r="M69" s="4">
        <v>1.5289197832812e-12</v>
      </c>
      <c r="N69" s="4">
        <v>1.614367951636e-12</v>
      </c>
      <c r="O69" s="4">
        <v>1.4972413740282e-12</v>
      </c>
      <c r="P69" s="4">
        <v>1.5935760099623e-12</v>
      </c>
      <c r="Q69" s="4">
        <v>1.6319479376935e-12</v>
      </c>
      <c r="R69" s="4">
        <v>1.7188312491794e-12</v>
      </c>
      <c r="S69" s="4">
        <v>1.7157138374928e-12</v>
      </c>
      <c r="T69" s="4">
        <v>1.7233417129779e-12</v>
      </c>
      <c r="U69" s="4">
        <v>1.5037698780631e-12</v>
      </c>
      <c r="V69" s="4">
        <v>1.5332553757326e-12</v>
      </c>
      <c r="W69" s="4">
        <v>1.5663212282977e-12</v>
      </c>
      <c r="X69" s="4">
        <v>1.5501408138398e-12</v>
      </c>
      <c r="Y69" s="4">
        <v>1.5948353486085e-12</v>
      </c>
      <c r="Z69" s="4">
        <v>1.6371473823934e-12</v>
      </c>
      <c r="AA69" s="4">
        <v>1.6681350630339e-12</v>
      </c>
      <c r="AB69" s="3">
        <v>0.99999914611107</v>
      </c>
      <c r="AC69" s="3">
        <v>0.85968572239905</v>
      </c>
      <c r="AD69" s="3">
        <v>0.0013879588379592</v>
      </c>
      <c r="AE69" s="4">
        <v>1.2872433114927e-14</v>
      </c>
      <c r="AF69" s="4">
        <v>2.9780920067551e-14</v>
      </c>
      <c r="AG69" s="4">
        <v>8.1922993006815e-14</v>
      </c>
      <c r="AH69" s="4">
        <v>1.050738685624e-13</v>
      </c>
      <c r="AI69" s="4">
        <v>-2.9806781741414e-14</v>
      </c>
      <c r="AJ69" s="4">
        <v>-4.2833739498687e-14</v>
      </c>
      <c r="AK69" s="4">
        <v>-3.1283667274242e-15</v>
      </c>
      <c r="AL69" s="4">
        <v>-2.6353589483474e-14</v>
      </c>
      <c r="AM69" s="4">
        <v>2.0840501776222e-13</v>
      </c>
      <c r="AN69" s="4">
        <v>-1.9023192066532e-15</v>
      </c>
      <c r="AO69" s="4">
        <v>-7.5306771056021e-14</v>
      </c>
      <c r="AP69" s="4">
        <v>-5.7042502832369e-15</v>
      </c>
      <c r="AQ69" s="4">
        <v>-1.1091030016465e-14</v>
      </c>
      <c r="AR69" s="4">
        <v>-1.5381104354562e-13</v>
      </c>
      <c r="AS69" s="4">
        <v>2.8350213611236e-14</v>
      </c>
      <c r="AT69" s="4">
        <v>-1.2468769254801e-14</v>
      </c>
      <c r="AU69" s="4">
        <v>5.1842372486805e-14</v>
      </c>
      <c r="AV69" s="4">
        <v>-8.454766403854e-14</v>
      </c>
      <c r="AW69" s="4">
        <v>-1.5593913079818e-14</v>
      </c>
      <c r="AX69" s="4">
        <v>-5.0457151838262e-15</v>
      </c>
      <c r="AY69" s="4">
        <v>-1.9384636947431e-14</v>
      </c>
      <c r="AZ69" s="4">
        <v>2.1543668951156e-16</v>
      </c>
      <c r="BA69" s="4">
        <v>-3.0868625994124e-14</v>
      </c>
      <c r="BB69" s="4">
        <v>-2.9534115096166e-13</v>
      </c>
      <c r="BC69" s="3">
        <v>15622989.899638</v>
      </c>
      <c r="BD69" s="3">
        <v>3925075.7456011</v>
      </c>
      <c r="BE69" s="3">
        <v>-0.00017059811919932</v>
      </c>
      <c r="BF69" s="3">
        <v>0.0015266625495688</v>
      </c>
      <c r="BG69" s="3">
        <v>0.00067384664194429</v>
      </c>
      <c r="BH69" s="3">
        <v>-0.00051234641945224</v>
      </c>
      <c r="BI69" s="3">
        <v>139.71416323441</v>
      </c>
      <c r="BJ69" s="3">
        <v>69.866382248578</v>
      </c>
      <c r="BK69" s="3">
        <v>122.73887803185</v>
      </c>
    </row>
    <row r="70" spans="1:63">
      <c r="A70" s="3">
        <v>44562546.906689</v>
      </c>
      <c r="B70" s="3">
        <v>0.0009577013277136</v>
      </c>
      <c r="C70" s="4">
        <f t="shared" si="1"/>
        <v>2.25755910824133e-11</v>
      </c>
      <c r="D70" s="4">
        <v>1.5079719770633e-12</v>
      </c>
      <c r="E70" s="4">
        <v>1.7135980222972e-12</v>
      </c>
      <c r="F70" s="4">
        <v>1.7160155532478e-12</v>
      </c>
      <c r="G70" s="4">
        <v>1.7222974214113e-12</v>
      </c>
      <c r="H70" s="4">
        <v>1.4937364033328e-12</v>
      </c>
      <c r="I70" s="4">
        <v>1.4967463480458e-12</v>
      </c>
      <c r="J70" s="4">
        <v>1.4946141749484e-12</v>
      </c>
      <c r="K70" s="4">
        <v>1.528794393205e-12</v>
      </c>
      <c r="L70" s="4">
        <v>1.5563694129075e-12</v>
      </c>
      <c r="M70" s="4">
        <v>1.5191664906668e-12</v>
      </c>
      <c r="N70" s="4">
        <v>1.6104575722964e-12</v>
      </c>
      <c r="O70" s="4">
        <v>1.4926997350037e-12</v>
      </c>
      <c r="P70" s="4">
        <v>1.5849830337972e-12</v>
      </c>
      <c r="Q70" s="4">
        <v>1.6266942554301e-12</v>
      </c>
      <c r="R70" s="4">
        <v>1.7062968448801e-12</v>
      </c>
      <c r="S70" s="4">
        <v>1.7029603292947e-12</v>
      </c>
      <c r="T70" s="4">
        <v>1.711895843913e-12</v>
      </c>
      <c r="U70" s="4">
        <v>1.5006142729209e-12</v>
      </c>
      <c r="V70" s="4">
        <v>1.5235225328548e-12</v>
      </c>
      <c r="W70" s="4">
        <v>1.561642393759e-12</v>
      </c>
      <c r="X70" s="4">
        <v>1.5435518454471e-12</v>
      </c>
      <c r="Y70" s="4">
        <v>1.5858577527221e-12</v>
      </c>
      <c r="Z70" s="4">
        <v>1.6332039278919e-12</v>
      </c>
      <c r="AA70" s="4">
        <v>1.6687335662562e-12</v>
      </c>
      <c r="AB70" s="3">
        <v>0.99999918564143</v>
      </c>
      <c r="AC70" s="3">
        <v>0.85160968451657</v>
      </c>
      <c r="AD70" s="3">
        <v>0.0014871639329322</v>
      </c>
      <c r="AE70" s="4">
        <v>1.9603822489331e-14</v>
      </c>
      <c r="AF70" s="4">
        <v>3.0386131080058e-14</v>
      </c>
      <c r="AG70" s="4">
        <v>8.608728872733e-14</v>
      </c>
      <c r="AH70" s="4">
        <v>1.0964261809846e-13</v>
      </c>
      <c r="AI70" s="4">
        <v>-3.6455766814646e-14</v>
      </c>
      <c r="AJ70" s="4">
        <v>-5.997190097355e-14</v>
      </c>
      <c r="AK70" s="4">
        <v>-8.1344700650701e-15</v>
      </c>
      <c r="AL70" s="4">
        <v>-3.8955327644456e-14</v>
      </c>
      <c r="AM70" s="4">
        <v>2.2052107661444e-13</v>
      </c>
      <c r="AN70" s="4">
        <v>-1.6714298095899e-15</v>
      </c>
      <c r="AO70" s="4">
        <v>-8.671167279558e-14</v>
      </c>
      <c r="AP70" s="4">
        <v>-5.0557526307454e-15</v>
      </c>
      <c r="AQ70" s="4">
        <v>-1.7787161834952e-14</v>
      </c>
      <c r="AR70" s="4">
        <v>-1.6604609182484e-13</v>
      </c>
      <c r="AS70" s="4">
        <v>3.1192905971439e-14</v>
      </c>
      <c r="AT70" s="4">
        <v>-1.4871937445127e-14</v>
      </c>
      <c r="AU70" s="4">
        <v>5.8735958205461e-14</v>
      </c>
      <c r="AV70" s="4">
        <v>-8.8681821774974e-14</v>
      </c>
      <c r="AW70" s="4">
        <v>-2.0655486054011e-14</v>
      </c>
      <c r="AX70" s="4">
        <v>-8.3206805797284e-15</v>
      </c>
      <c r="AY70" s="4">
        <v>-2.3919141977353e-14</v>
      </c>
      <c r="AZ70" s="4">
        <v>5.787950721897e-15</v>
      </c>
      <c r="BA70" s="4">
        <v>-3.2896239777494e-14</v>
      </c>
      <c r="BB70" s="4">
        <v>-3.0544543369483e-13</v>
      </c>
      <c r="BC70" s="3">
        <v>15577991.317788</v>
      </c>
      <c r="BD70" s="3">
        <v>3917542.5065534</v>
      </c>
      <c r="BE70" s="3">
        <v>-0.00015506115255312</v>
      </c>
      <c r="BF70" s="3">
        <v>0.0016360669155075</v>
      </c>
      <c r="BG70" s="3">
        <v>0.00073431815024102</v>
      </c>
      <c r="BH70" s="3">
        <v>-0.0004766877338278</v>
      </c>
      <c r="BI70" s="3">
        <v>139.71461194464</v>
      </c>
      <c r="BJ70" s="3">
        <v>69.866360586409</v>
      </c>
      <c r="BK70" s="3">
        <v>122.44286701191</v>
      </c>
    </row>
    <row r="71" spans="1:63">
      <c r="A71" s="3">
        <v>50000000</v>
      </c>
      <c r="B71" s="3">
        <v>0.0010706382094093</v>
      </c>
      <c r="C71" s="4">
        <f t="shared" si="1"/>
        <v>2.24727019822056e-11</v>
      </c>
      <c r="D71" s="4">
        <v>1.5033877443891e-12</v>
      </c>
      <c r="E71" s="4">
        <v>1.700420431135e-12</v>
      </c>
      <c r="F71" s="4">
        <v>1.7034741062528e-12</v>
      </c>
      <c r="G71" s="4">
        <v>1.7118474505276e-12</v>
      </c>
      <c r="H71" s="4">
        <v>1.4890982069853e-12</v>
      </c>
      <c r="I71" s="4">
        <v>1.4923300384072e-12</v>
      </c>
      <c r="J71" s="4">
        <v>1.4896568249209e-12</v>
      </c>
      <c r="K71" s="4">
        <v>1.5197450771743e-12</v>
      </c>
      <c r="L71" s="4">
        <v>1.5511720930888e-12</v>
      </c>
      <c r="M71" s="4">
        <v>1.5087175125368e-12</v>
      </c>
      <c r="N71" s="4">
        <v>1.6071363507819e-12</v>
      </c>
      <c r="O71" s="4">
        <v>1.4875672422746e-12</v>
      </c>
      <c r="P71" s="4">
        <v>1.576077268296e-12</v>
      </c>
      <c r="Q71" s="4">
        <v>1.6213426096813e-12</v>
      </c>
      <c r="R71" s="4">
        <v>1.6930211742493e-12</v>
      </c>
      <c r="S71" s="4">
        <v>1.6894449173097e-12</v>
      </c>
      <c r="T71" s="4">
        <v>1.6999537590354e-12</v>
      </c>
      <c r="U71" s="4">
        <v>1.4972835611429e-12</v>
      </c>
      <c r="V71" s="4">
        <v>1.5130876392574e-12</v>
      </c>
      <c r="W71" s="4">
        <v>1.5570375615552e-12</v>
      </c>
      <c r="X71" s="4">
        <v>1.5368063656402e-12</v>
      </c>
      <c r="Y71" s="4">
        <v>1.5764049576405e-12</v>
      </c>
      <c r="Z71" s="4">
        <v>1.629561447554e-12</v>
      </c>
      <c r="AA71" s="4">
        <v>1.6703471798221e-12</v>
      </c>
      <c r="AB71" s="3">
        <v>0.99999921743569</v>
      </c>
      <c r="AC71" s="3">
        <v>0.84243335510712</v>
      </c>
      <c r="AD71" s="3">
        <v>0.0015984837037083</v>
      </c>
      <c r="AE71" s="4">
        <v>2.7439598931565e-14</v>
      </c>
      <c r="AF71" s="4">
        <v>3.2894433636127e-14</v>
      </c>
      <c r="AG71" s="4">
        <v>9.2928022362409e-14</v>
      </c>
      <c r="AH71" s="4">
        <v>1.1373047803927e-13</v>
      </c>
      <c r="AI71" s="4">
        <v>-4.4561367024169e-14</v>
      </c>
      <c r="AJ71" s="4">
        <v>-7.8202187734795e-14</v>
      </c>
      <c r="AK71" s="4">
        <v>-1.4708013079187e-14</v>
      </c>
      <c r="AL71" s="4">
        <v>-5.3689580001777e-14</v>
      </c>
      <c r="AM71" s="4">
        <v>2.3163829474564e-13</v>
      </c>
      <c r="AN71" s="4">
        <v>-4.7408408315957e-16</v>
      </c>
      <c r="AO71" s="4">
        <v>-9.8203141108268e-14</v>
      </c>
      <c r="AP71" s="4">
        <v>-2.9442051424621e-15</v>
      </c>
      <c r="AQ71" s="4">
        <v>-2.4971983059083e-14</v>
      </c>
      <c r="AR71" s="4">
        <v>-1.8121741250493e-13</v>
      </c>
      <c r="AS71" s="4">
        <v>3.4437789745996e-14</v>
      </c>
      <c r="AT71" s="4">
        <v>-1.758384183187e-14</v>
      </c>
      <c r="AU71" s="4">
        <v>6.5479171381991e-14</v>
      </c>
      <c r="AV71" s="4">
        <v>-9.2680199115838e-14</v>
      </c>
      <c r="AW71" s="4">
        <v>-2.73625853125e-14</v>
      </c>
      <c r="AX71" s="4">
        <v>-1.2281105445126e-14</v>
      </c>
      <c r="AY71" s="4">
        <v>-2.7034157874622e-14</v>
      </c>
      <c r="AZ71" s="4">
        <v>1.1605117121767e-14</v>
      </c>
      <c r="BA71" s="4">
        <v>-2.9296341394007e-14</v>
      </c>
      <c r="BB71" s="4">
        <v>-3.1891626557288e-13</v>
      </c>
      <c r="BC71" s="3">
        <v>15527589.163205</v>
      </c>
      <c r="BD71" s="3">
        <v>3909786.2915991</v>
      </c>
      <c r="BE71" s="3">
        <v>-0.00013765494961494</v>
      </c>
      <c r="BF71" s="3">
        <v>0.0017582611784157</v>
      </c>
      <c r="BG71" s="3">
        <v>0.00080181267242368</v>
      </c>
      <c r="BH71" s="3">
        <v>-0.00044624783299389</v>
      </c>
      <c r="BI71" s="3">
        <v>139.7151455729</v>
      </c>
      <c r="BJ71" s="3">
        <v>69.866317559572</v>
      </c>
      <c r="BK71" s="3">
        <v>122.17523317223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I10" sqref="I10:J11"/>
    </sheetView>
  </sheetViews>
  <sheetFormatPr defaultColWidth="9" defaultRowHeight="15"/>
  <cols>
    <col min="1" max="2" width="26.5407407407407" customWidth="1"/>
    <col min="3" max="3" width="13.362962962963" customWidth="1"/>
  </cols>
  <sheetData>
    <row r="1" spans="1:4">
      <c r="A1" t="s">
        <v>67</v>
      </c>
      <c r="B1" t="s">
        <v>68</v>
      </c>
      <c r="C1" t="s">
        <v>69</v>
      </c>
      <c r="D1" s="2" t="s">
        <v>70</v>
      </c>
    </row>
    <row r="2" spans="1:4">
      <c r="A2" s="1">
        <v>883.3378968</v>
      </c>
      <c r="B2" s="1">
        <f t="shared" ref="B2:B6" si="0">A2*3600</f>
        <v>3180016.42848</v>
      </c>
      <c r="C2" s="1">
        <v>0.006841656</v>
      </c>
      <c r="D2" s="1">
        <f t="shared" ref="D2:D6" si="1">0.0069*0.000000005*EXP(B2*0.000000005)</f>
        <v>3.50529370571542e-11</v>
      </c>
    </row>
    <row r="3" spans="1:4">
      <c r="A3" s="1">
        <v>7645.906611</v>
      </c>
      <c r="B3" s="1">
        <f t="shared" si="0"/>
        <v>27525263.7996</v>
      </c>
      <c r="C3" s="1">
        <v>0.008317993</v>
      </c>
      <c r="D3" s="1">
        <f t="shared" si="1"/>
        <v>3.95903595547376e-11</v>
      </c>
    </row>
    <row r="4" spans="1:4">
      <c r="A4" s="1">
        <v>10516.22823</v>
      </c>
      <c r="B4" s="1">
        <f t="shared" si="0"/>
        <v>37858421.628</v>
      </c>
      <c r="C4" s="1">
        <v>0.008089998</v>
      </c>
      <c r="D4" s="1">
        <f t="shared" si="1"/>
        <v>4.16895889504917e-11</v>
      </c>
    </row>
    <row r="5" spans="1:4">
      <c r="A5" s="1">
        <v>14008.71964</v>
      </c>
      <c r="B5" s="1">
        <f t="shared" si="0"/>
        <v>50431390.704</v>
      </c>
      <c r="C5" s="1">
        <v>0.008376861</v>
      </c>
      <c r="D5" s="1">
        <f t="shared" si="1"/>
        <v>4.43945306173883e-11</v>
      </c>
    </row>
    <row r="6" spans="1:4">
      <c r="A6" s="1">
        <v>17141.89431</v>
      </c>
      <c r="B6" s="1">
        <f t="shared" si="0"/>
        <v>61710819.516</v>
      </c>
      <c r="C6" s="1">
        <v>0.009354873</v>
      </c>
      <c r="D6" s="1">
        <f t="shared" si="1"/>
        <v>4.69702029849765e-11</v>
      </c>
    </row>
    <row r="10" spans="9:10">
      <c r="I10" s="1">
        <f>B6-B2</f>
        <v>58530803.08752</v>
      </c>
      <c r="J10" s="1">
        <f>C6-C2</f>
        <v>0.002513217</v>
      </c>
    </row>
    <row r="11" spans="10:10">
      <c r="J11" s="1">
        <f>J10/I10</f>
        <v>4.29383652269735e-11</v>
      </c>
    </row>
  </sheetData>
  <pageMargins left="0.7" right="0.7" top="0.75" bottom="0.75" header="0.3" footer="0.3"/>
  <pageSetup paperSize="1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B40" sqref="B40"/>
    </sheetView>
  </sheetViews>
  <sheetFormatPr defaultColWidth="9" defaultRowHeight="15" outlineLevelCol="6"/>
  <cols>
    <col min="1" max="2" width="26.5407407407407" customWidth="1"/>
    <col min="3" max="3" width="13.362962962963" customWidth="1"/>
  </cols>
  <sheetData>
    <row r="1" spans="1:4">
      <c r="A1" t="s">
        <v>67</v>
      </c>
      <c r="B1" t="s">
        <v>68</v>
      </c>
      <c r="C1" t="s">
        <v>69</v>
      </c>
      <c r="D1" s="2" t="s">
        <v>70</v>
      </c>
    </row>
    <row r="2" spans="1:4">
      <c r="A2" s="1">
        <v>740.537922</v>
      </c>
      <c r="B2" s="1">
        <f t="shared" ref="B2:B6" si="0">A2*3600</f>
        <v>2665936.5192</v>
      </c>
      <c r="C2" s="1">
        <v>0.002051855</v>
      </c>
      <c r="D2" s="1">
        <f>0.002*0.000000007*EXP(0.000000007*B2)</f>
        <v>1.42637147897328e-11</v>
      </c>
    </row>
    <row r="3" spans="1:4">
      <c r="A3" s="1">
        <v>7171.591651</v>
      </c>
      <c r="B3" s="1">
        <f t="shared" si="0"/>
        <v>25817729.9436</v>
      </c>
      <c r="C3" s="1">
        <v>0.002231513</v>
      </c>
      <c r="D3" s="1">
        <f t="shared" ref="D3:D6" si="1">0.002*0.000000007*EXP(0.000000007*B3)</f>
        <v>1.67731843112547e-11</v>
      </c>
    </row>
    <row r="4" spans="1:4">
      <c r="A4" s="1">
        <v>10242.42297</v>
      </c>
      <c r="B4" s="1">
        <f t="shared" si="0"/>
        <v>36872722.692</v>
      </c>
      <c r="C4" s="1">
        <v>0.002667074</v>
      </c>
      <c r="D4" s="1">
        <f t="shared" si="1"/>
        <v>1.812271979584e-11</v>
      </c>
    </row>
    <row r="5" spans="1:4">
      <c r="A5" s="1">
        <v>14368.45763</v>
      </c>
      <c r="B5" s="1">
        <f t="shared" si="0"/>
        <v>51726447.468</v>
      </c>
      <c r="C5" s="1">
        <v>0.002655595</v>
      </c>
      <c r="D5" s="1">
        <f t="shared" si="1"/>
        <v>2.01084969966951e-11</v>
      </c>
    </row>
    <row r="6" spans="1:4">
      <c r="A6" s="1">
        <v>17158.74387</v>
      </c>
      <c r="B6" s="1">
        <f t="shared" si="0"/>
        <v>61771477.932</v>
      </c>
      <c r="C6" s="1">
        <v>0.00315013</v>
      </c>
      <c r="D6" s="1">
        <f t="shared" si="1"/>
        <v>2.15733266684069e-11</v>
      </c>
    </row>
    <row r="11" spans="6:7">
      <c r="F11" s="1"/>
      <c r="G11" s="1"/>
    </row>
    <row r="12" spans="7:7">
      <c r="G12" s="1"/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T17" sqref="T17:U21"/>
    </sheetView>
  </sheetViews>
  <sheetFormatPr defaultColWidth="9" defaultRowHeight="15" outlineLevelCol="6"/>
  <sheetData>
    <row r="1" spans="1:4">
      <c r="A1" t="s">
        <v>67</v>
      </c>
      <c r="B1" t="s">
        <v>68</v>
      </c>
      <c r="C1" t="s">
        <v>69</v>
      </c>
      <c r="D1" s="2" t="s">
        <v>70</v>
      </c>
    </row>
    <row r="2" spans="1:4">
      <c r="A2">
        <v>1028.665305</v>
      </c>
      <c r="B2" s="1">
        <f t="shared" ref="B2:B6" si="0">A2*3600</f>
        <v>3703195.098</v>
      </c>
      <c r="C2">
        <v>0.001450747</v>
      </c>
      <c r="D2" s="1">
        <f>0.0014*0.000000007*EXP(0.000000007*B2)</f>
        <v>1.005736046845e-11</v>
      </c>
    </row>
    <row r="3" spans="1:4">
      <c r="A3">
        <v>7392.320816</v>
      </c>
      <c r="B3" s="1">
        <f t="shared" si="0"/>
        <v>26612354.9376</v>
      </c>
      <c r="C3">
        <v>0.001449378</v>
      </c>
      <c r="D3" s="1">
        <f t="shared" ref="D3:D6" si="1">0.0014*0.000000007*EXP(0.000000007*B3)</f>
        <v>1.18067201102918e-11</v>
      </c>
    </row>
    <row r="4" spans="1:4">
      <c r="A4">
        <v>10531.81407</v>
      </c>
      <c r="B4" s="1">
        <f t="shared" si="0"/>
        <v>37914530.652</v>
      </c>
      <c r="C4">
        <v>0.00197561</v>
      </c>
      <c r="D4" s="1">
        <f t="shared" si="1"/>
        <v>1.27787559440553e-11</v>
      </c>
    </row>
    <row r="5" spans="1:4">
      <c r="A5">
        <v>14380.25232</v>
      </c>
      <c r="B5" s="1">
        <f t="shared" si="0"/>
        <v>51768908.352</v>
      </c>
      <c r="C5">
        <v>0.001812275</v>
      </c>
      <c r="D5" s="1">
        <f t="shared" si="1"/>
        <v>1.40801322598429e-11</v>
      </c>
    </row>
    <row r="6" spans="1:4">
      <c r="A6">
        <v>16963.28903</v>
      </c>
      <c r="B6" s="1">
        <f t="shared" si="0"/>
        <v>61067840.508</v>
      </c>
      <c r="C6">
        <v>0.00212515</v>
      </c>
      <c r="D6" s="1">
        <f t="shared" si="1"/>
        <v>1.5027130527928e-11</v>
      </c>
    </row>
    <row r="11" spans="5:7">
      <c r="E11" s="1">
        <f>B6-B2</f>
        <v>57364645.41</v>
      </c>
      <c r="F11" s="1">
        <f>C6-C2</f>
        <v>0.000674403</v>
      </c>
      <c r="G11" s="1">
        <f>F11/E11</f>
        <v>1.17564223604952e-11</v>
      </c>
    </row>
    <row r="12" spans="7:7">
      <c r="G12" s="1"/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7" sqref="$A7:$XFD1048576"/>
    </sheetView>
  </sheetViews>
  <sheetFormatPr defaultColWidth="9" defaultRowHeight="15" outlineLevelCol="6"/>
  <sheetData>
    <row r="1" spans="1:4">
      <c r="A1" t="s">
        <v>67</v>
      </c>
      <c r="B1" t="s">
        <v>68</v>
      </c>
      <c r="C1" t="s">
        <v>69</v>
      </c>
      <c r="D1" s="2" t="s">
        <v>70</v>
      </c>
    </row>
    <row r="2" spans="1:4">
      <c r="A2">
        <v>511.8052191</v>
      </c>
      <c r="B2" s="1">
        <f>A2*3600</f>
        <v>1842498.78876</v>
      </c>
      <c r="C2">
        <v>0.003406243</v>
      </c>
      <c r="D2" s="1">
        <f>0.0033*0.000000008*EXP(0.000000008*B2)</f>
        <v>2.67920178158941e-11</v>
      </c>
    </row>
    <row r="3" spans="1:4">
      <c r="A3">
        <v>7011.520883</v>
      </c>
      <c r="B3" s="1">
        <f>A3*3600</f>
        <v>25241475.1788</v>
      </c>
      <c r="C3">
        <v>0.003676573</v>
      </c>
      <c r="D3" s="1">
        <f t="shared" ref="D3:D6" si="0">0.0033*0.000000008*EXP(0.000000008*B3)</f>
        <v>3.23073840216288e-11</v>
      </c>
    </row>
    <row r="4" spans="1:4">
      <c r="A4">
        <v>10351.52383</v>
      </c>
      <c r="B4" s="1">
        <f>A4*3600</f>
        <v>37265485.788</v>
      </c>
      <c r="C4">
        <v>0.004866362</v>
      </c>
      <c r="D4" s="1">
        <f t="shared" si="0"/>
        <v>3.55694774981771e-11</v>
      </c>
    </row>
    <row r="5" spans="1:4">
      <c r="A5">
        <v>14126.66653</v>
      </c>
      <c r="B5" s="1">
        <f>A5*3600</f>
        <v>50855999.508</v>
      </c>
      <c r="C5">
        <v>0.004943659</v>
      </c>
      <c r="D5" s="1">
        <f t="shared" si="0"/>
        <v>3.96548002456177e-11</v>
      </c>
    </row>
    <row r="6" spans="1:4">
      <c r="A6">
        <v>16849.55454</v>
      </c>
      <c r="B6" s="1">
        <f>A6*3600</f>
        <v>60658396.344</v>
      </c>
      <c r="C6">
        <v>0.005257166</v>
      </c>
      <c r="D6" s="1">
        <f t="shared" si="0"/>
        <v>4.28896775702964e-11</v>
      </c>
    </row>
    <row r="11" spans="5:7">
      <c r="E11" s="1"/>
      <c r="F11" s="1"/>
      <c r="G11" s="1"/>
    </row>
    <row r="12" spans="7:7">
      <c r="G12" s="1"/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"/>
  <sheetViews>
    <sheetView workbookViewId="0">
      <selection activeCell="A1" sqref="A1:A48"/>
    </sheetView>
  </sheetViews>
  <sheetFormatPr defaultColWidth="8.8" defaultRowHeight="15"/>
  <sheetData>
    <row r="1" spans="1:1">
      <c r="A1" s="1">
        <v>265000</v>
      </c>
    </row>
    <row r="2" spans="1:1">
      <c r="A2" s="1">
        <v>104</v>
      </c>
    </row>
    <row r="3" spans="1:1">
      <c r="A3" s="1">
        <v>136000</v>
      </c>
    </row>
    <row r="4" spans="1:1">
      <c r="A4" s="1">
        <v>10.3</v>
      </c>
    </row>
    <row r="5" spans="1:1">
      <c r="A5" s="1">
        <v>125000</v>
      </c>
    </row>
    <row r="6" spans="1:1">
      <c r="A6" s="1">
        <v>13.5</v>
      </c>
    </row>
    <row r="7" spans="1:1">
      <c r="A7" s="1">
        <v>95300</v>
      </c>
    </row>
    <row r="8" spans="1:1">
      <c r="A8" s="1">
        <v>41.3</v>
      </c>
    </row>
    <row r="9" spans="1:1">
      <c r="A9" s="1">
        <v>2.48e-7</v>
      </c>
    </row>
    <row r="10" spans="1:1">
      <c r="A10" s="1">
        <v>100000</v>
      </c>
    </row>
    <row r="11" spans="1:1">
      <c r="A11">
        <v>0.8</v>
      </c>
    </row>
    <row r="12" spans="1:1">
      <c r="A12">
        <v>0.5</v>
      </c>
    </row>
    <row r="13" spans="1:1">
      <c r="A13">
        <v>1.62</v>
      </c>
    </row>
    <row r="14" spans="1:1">
      <c r="A14">
        <v>380</v>
      </c>
    </row>
    <row r="15" spans="1:1">
      <c r="A15">
        <v>0</v>
      </c>
    </row>
    <row r="16" spans="1:1">
      <c r="A16">
        <v>55</v>
      </c>
    </row>
    <row r="17" spans="1:1">
      <c r="A17">
        <v>386</v>
      </c>
    </row>
    <row r="18" spans="1:1">
      <c r="A18">
        <v>1</v>
      </c>
    </row>
    <row r="19" spans="1:1">
      <c r="A19">
        <v>0.3</v>
      </c>
    </row>
    <row r="20" spans="1:1">
      <c r="A20">
        <v>0.015</v>
      </c>
    </row>
    <row r="21" spans="1:1">
      <c r="A21">
        <v>1</v>
      </c>
    </row>
    <row r="22" spans="1:1">
      <c r="A22" s="1">
        <v>4000000</v>
      </c>
    </row>
    <row r="23" spans="1:1">
      <c r="A23" s="1">
        <v>16000000</v>
      </c>
    </row>
    <row r="24" spans="1:1">
      <c r="A24" s="1">
        <v>5e-5</v>
      </c>
    </row>
    <row r="25" spans="1:1">
      <c r="A25">
        <v>0.1</v>
      </c>
    </row>
    <row r="26" spans="1:1">
      <c r="A26" s="1">
        <v>1.49e-6</v>
      </c>
    </row>
    <row r="27" spans="1:1">
      <c r="A27">
        <v>2</v>
      </c>
    </row>
    <row r="28" spans="1:1">
      <c r="A28">
        <v>20</v>
      </c>
    </row>
    <row r="29" spans="1:1">
      <c r="A29">
        <v>0</v>
      </c>
    </row>
    <row r="30" spans="1:1">
      <c r="A30">
        <v>0</v>
      </c>
    </row>
    <row r="31" spans="1:1">
      <c r="A31">
        <v>0.0534</v>
      </c>
    </row>
    <row r="32" spans="1:1">
      <c r="A32">
        <v>0.787</v>
      </c>
    </row>
    <row r="33" spans="1:1">
      <c r="A33" s="1">
        <v>2.4e-17</v>
      </c>
    </row>
    <row r="34" spans="1:1">
      <c r="A34" s="1">
        <v>9.6e-17</v>
      </c>
    </row>
    <row r="35" spans="1:1">
      <c r="A35" s="1">
        <v>2.543e-16</v>
      </c>
    </row>
    <row r="36" spans="1:1">
      <c r="A36" s="1">
        <v>0.0012</v>
      </c>
    </row>
    <row r="37" spans="1:1">
      <c r="A37" s="1">
        <v>0.001</v>
      </c>
    </row>
    <row r="38" spans="1:1">
      <c r="A38">
        <v>0.3</v>
      </c>
    </row>
    <row r="39" spans="1:1">
      <c r="A39">
        <v>0</v>
      </c>
    </row>
    <row r="40" spans="1:1">
      <c r="A40">
        <v>0</v>
      </c>
    </row>
    <row r="41" spans="1:1">
      <c r="A41" s="1">
        <v>1.53e-20</v>
      </c>
    </row>
    <row r="42" spans="1:1">
      <c r="A42" s="1">
        <v>1.24e-6</v>
      </c>
    </row>
    <row r="43" spans="1:1">
      <c r="A43" s="1">
        <v>8.6e+19</v>
      </c>
    </row>
    <row r="44" spans="1:1">
      <c r="A44" s="1">
        <v>0.001</v>
      </c>
    </row>
    <row r="45" spans="1:1">
      <c r="A45">
        <v>10</v>
      </c>
    </row>
    <row r="46" spans="1:1">
      <c r="A46" s="1">
        <v>0.001</v>
      </c>
    </row>
    <row r="47" spans="1:1">
      <c r="A47">
        <v>5</v>
      </c>
    </row>
    <row r="48" spans="1:1">
      <c r="A48">
        <v>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Compiled</vt:lpstr>
      <vt:lpstr>773K_173MPa_64g</vt:lpstr>
      <vt:lpstr>773K_52MPa_64g</vt:lpstr>
      <vt:lpstr>773K_87MPa_64g</vt:lpstr>
      <vt:lpstr>773K_121MPa_64g</vt:lpstr>
      <vt:lpstr>Exp_773K_173MPa</vt:lpstr>
      <vt:lpstr>Exp_773K_87MPa</vt:lpstr>
      <vt:lpstr>Exp_773K_52MPa</vt:lpstr>
      <vt:lpstr>Exp_773K_121MPa</vt:lpstr>
      <vt:lpstr>props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vikramroy</dc:creator>
  <cp:lastModifiedBy>vikramr</cp:lastModifiedBy>
  <dcterms:created xsi:type="dcterms:W3CDTF">2025-01-29T20:43:00Z</dcterms:created>
  <dcterms:modified xsi:type="dcterms:W3CDTF">2025-05-27T18:59:21Z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