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6"/>
  </bookViews>
  <sheets>
    <sheet name="973K_80MPa_64g" sheetId="1" r:id="rId1"/>
    <sheet name="973K_100MPa_64g" sheetId="2" r:id="rId2"/>
    <sheet name="973K_150MPa_512g" sheetId="3" r:id="rId3"/>
    <sheet name="973K_35MPa_64g" sheetId="4" r:id="rId4"/>
    <sheet name="973K_50MPa_64g" sheetId="5" r:id="rId5"/>
    <sheet name="973K_65MPa_64g" sheetId="6" r:id="rId6"/>
    <sheet name="Compiled" sheetId="7" r:id="rId7"/>
    <sheet name="Compiled_Sim" sheetId="8" r:id="rId8"/>
  </sheets>
  <calcPr calcId="144525"/>
</workbook>
</file>

<file path=xl/sharedStrings.xml><?xml version="1.0" encoding="utf-8"?>
<sst xmlns="http://schemas.openxmlformats.org/spreadsheetml/2006/main" count="403" uniqueCount="71">
  <si>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</si>
  <si>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</si>
  <si>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</si>
  <si>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</si>
  <si>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</si>
  <si>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</si>
  <si>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</si>
  <si>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</si>
  <si>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</si>
  <si>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</si>
  <si>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</si>
  <si>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</si>
  <si>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</si>
  <si>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</si>
  <si>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</si>
  <si>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</si>
  <si>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</si>
  <si>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</si>
  <si>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</si>
  <si>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</si>
  <si>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</si>
  <si>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</si>
  <si>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</si>
  <si>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</si>
  <si>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</si>
  <si>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</si>
  <si>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</si>
  <si>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</si>
  <si>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</si>
  <si>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</si>
  <si>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</si>
  <si>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</si>
  <si>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</si>
  <si>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</si>
  <si>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</si>
  <si>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</si>
  <si>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</si>
  <si>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</si>
  <si>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</si>
  <si>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</si>
  <si>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</si>
  <si>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</si>
  <si>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</si>
  <si>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</si>
  <si>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</si>
  <si>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</si>
  <si>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</si>
  <si>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</si>
  <si>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</si>
  <si>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</si>
  <si>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</si>
  <si>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</si>
  <si>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</si>
  <si>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</si>
  <si>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</si>
  <si>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</si>
  <si>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</si>
  <si>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</si>
  <si>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</si>
  <si>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</si>
  <si>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</si>
  <si>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</si>
  <si>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</si>
  <si>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700C</t>
  </si>
  <si>
    <t>Stress</t>
  </si>
  <si>
    <t>Ref</t>
  </si>
  <si>
    <t>2012 Shresta</t>
  </si>
  <si>
    <t>2012 Basirat</t>
  </si>
  <si>
    <t>Sim_Rolled</t>
  </si>
  <si>
    <t>10.1016/j.jnucmat.2012.01.005</t>
  </si>
  <si>
    <t>10.1016/j.ijplas.2012.04.004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</si>
</sst>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0" fillId="34" borderId="8" applyNumberFormat="0" applyFont="0" applyAlignment="0" applyProtection="0">
      <alignment vertical="center"/>
    </xf>
    <xf numFmtId="0" fontId="12" fillId="11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4" borderId="5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1" fontId="0" fillId="2" borderId="0" xfId="0" applyNumberFormat="1" applyFill="1" applyAlignment="1"/>
    <xf numFmtId="11" fontId="1" fillId="2" borderId="0" xfId="0" applyNumberFormat="1" applyFont="1" applyFill="1" applyAlignment="1">
      <alignment horizontal="right"/>
    </xf>
    <xf numFmtId="11" fontId="0" fillId="2" borderId="0" xfId="0" applyNumberFormat="1" applyFill="1">
      <alignment vertical="center"/>
    </xf>
    <xf numFmtId="2" fontId="0" fillId="0" borderId="0" xfId="0" applyNumberFormat="1">
      <alignment vertic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2" fillId="0" borderId="0" xfId="48" applyAlignment="1"/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nucmat.2012.01.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85"/>
  <sheetViews>
    <sheetView workbookViewId="0">
      <selection activeCell="C3" sqref="C3:C28"/>
    </sheetView>
  </sheetViews>
  <sheetFormatPr defaultColWidth="8.81333333333333" defaultRowHeight="15"/>
  <cols>
    <col min="1" max="1" width="8.81333333333333" style="10"/>
    <col min="65" max="65" width="12.4533333333333"/>
  </cols>
  <sheetData>
    <row r="1" spans="1:6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7"/>
    </row>
    <row r="2" spans="1:64">
      <c r="A2" s="11">
        <v>0</v>
      </c>
      <c r="B2" s="11">
        <v>0</v>
      </c>
      <c r="C2" s="11"/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7"/>
    </row>
    <row r="3" spans="1:64">
      <c r="A3" s="11">
        <v>0.14091914656322</v>
      </c>
      <c r="B3" s="12">
        <v>1.1332019217238e-12</v>
      </c>
      <c r="C3" s="12">
        <f>(B3-B2)/(A3-A2)</f>
        <v>8.0415042906566e-12</v>
      </c>
      <c r="D3" s="12">
        <v>1.2668065431377e-12</v>
      </c>
      <c r="E3" s="12">
        <v>1.2512478134392e-12</v>
      </c>
      <c r="F3" s="12">
        <v>1.2512478134392e-12</v>
      </c>
      <c r="G3" s="12">
        <v>1.2512478134392e-12</v>
      </c>
      <c r="H3" s="12">
        <v>1.2668065431377e-12</v>
      </c>
      <c r="I3" s="12">
        <v>1.2668065431377e-12</v>
      </c>
      <c r="J3" s="12">
        <v>1.2668065431377e-12</v>
      </c>
      <c r="K3" s="12">
        <v>1.2899104863159e-12</v>
      </c>
      <c r="L3" s="12">
        <v>1.2899104863159e-12</v>
      </c>
      <c r="M3" s="12">
        <v>1.2899104863159e-12</v>
      </c>
      <c r="N3" s="12">
        <v>8.6984663361509e-13</v>
      </c>
      <c r="O3" s="12">
        <v>1.2668065431377e-12</v>
      </c>
      <c r="P3" s="12">
        <v>8.6984663361509e-13</v>
      </c>
      <c r="Q3" s="12">
        <v>8.6984663361509e-13</v>
      </c>
      <c r="R3" s="12">
        <v>1.2512478134392e-12</v>
      </c>
      <c r="S3" s="12">
        <v>1.2512478134392e-12</v>
      </c>
      <c r="T3" s="12">
        <v>1.2512478134392e-12</v>
      </c>
      <c r="U3" s="12">
        <v>1.2668065431377e-12</v>
      </c>
      <c r="V3" s="12">
        <v>1.2899104863159e-12</v>
      </c>
      <c r="W3" s="12">
        <v>1.2899104863159e-12</v>
      </c>
      <c r="X3" s="12">
        <v>1.2899104863159e-12</v>
      </c>
      <c r="Y3" s="12">
        <v>8.6984663361509e-13</v>
      </c>
      <c r="Z3" s="12">
        <v>8.6984663361509e-13</v>
      </c>
      <c r="AA3" s="12">
        <v>8.6984663361509e-13</v>
      </c>
      <c r="AB3" s="11">
        <v>0.99999998424194</v>
      </c>
      <c r="AC3" s="11">
        <v>0.99999194360331</v>
      </c>
      <c r="AD3" s="12">
        <v>3.531995491456e-7</v>
      </c>
      <c r="AE3" s="12">
        <v>2.5326808110786e-18</v>
      </c>
      <c r="AF3" s="12">
        <v>-1.0096315574804e-18</v>
      </c>
      <c r="AG3" s="12">
        <v>-7.4134224403875e-18</v>
      </c>
      <c r="AH3" s="12">
        <v>3.2279907488121e-18</v>
      </c>
      <c r="AI3" s="12">
        <v>1.2290363637741e-18</v>
      </c>
      <c r="AJ3" s="12">
        <v>1.1414668255518e-18</v>
      </c>
      <c r="AK3" s="12">
        <v>9.4463653220571e-18</v>
      </c>
      <c r="AL3" s="12">
        <v>-2.9825592007269e-18</v>
      </c>
      <c r="AM3" s="12">
        <v>9.4819945801009e-18</v>
      </c>
      <c r="AN3" s="12">
        <v>2.4989011425119e-18</v>
      </c>
      <c r="AO3" s="12">
        <v>3.2372624031075e-18</v>
      </c>
      <c r="AP3" s="12">
        <v>-1.2575046631192e-18</v>
      </c>
      <c r="AQ3" s="12">
        <v>5.6706069242325e-18</v>
      </c>
      <c r="AR3" s="12">
        <v>2.2855710319988e-18</v>
      </c>
      <c r="AS3" s="12">
        <v>1.8005422471156e-18</v>
      </c>
      <c r="AT3" s="12">
        <v>2.4240569540781e-18</v>
      </c>
      <c r="AU3" s="12">
        <v>1.0289033552411e-17</v>
      </c>
      <c r="AV3" s="12">
        <v>-5.5283599894703e-18</v>
      </c>
      <c r="AW3" s="12">
        <v>4.4433750547648e-18</v>
      </c>
      <c r="AX3" s="12">
        <v>-6.6937358700721e-18</v>
      </c>
      <c r="AY3" s="12">
        <v>2.9118625405912e-18</v>
      </c>
      <c r="AZ3" s="12">
        <v>-7.2076948377664e-19</v>
      </c>
      <c r="BA3" s="12">
        <v>4.3619826576833e-19</v>
      </c>
      <c r="BB3" s="12">
        <v>1.0358136437639e-20</v>
      </c>
      <c r="BC3" s="11">
        <v>15999999.99954</v>
      </c>
      <c r="BD3" s="11">
        <v>3999999.9998477</v>
      </c>
      <c r="BE3" s="12">
        <v>-1.0630965285511e-7</v>
      </c>
      <c r="BF3" s="12">
        <v>-9.4826548782019e-8</v>
      </c>
      <c r="BG3" s="12">
        <v>3.819053084582e-7</v>
      </c>
      <c r="BH3" s="12">
        <v>-4.4416114655833e-10</v>
      </c>
      <c r="BI3" s="12">
        <v>-4.8598367340296e-10</v>
      </c>
      <c r="BJ3" s="11">
        <v>0.075156878328097</v>
      </c>
      <c r="BK3" s="11">
        <v>0.081906170018883</v>
      </c>
      <c r="BL3" s="7"/>
    </row>
    <row r="4" spans="1:65">
      <c r="A4" s="11">
        <v>0.44562546906687</v>
      </c>
      <c r="B4" s="12">
        <v>1.280156399466e-11</v>
      </c>
      <c r="C4" s="12">
        <f>(B4-B3)/(A4-A3)</f>
        <v>3.82937970471434e-11</v>
      </c>
      <c r="D4" s="12">
        <v>4.006253405286e-12</v>
      </c>
      <c r="E4" s="12">
        <v>3.9570573045451e-12</v>
      </c>
      <c r="F4" s="12">
        <v>3.9570573045451e-12</v>
      </c>
      <c r="G4" s="12">
        <v>3.9570573045451e-12</v>
      </c>
      <c r="H4" s="12">
        <v>4.006253405286e-12</v>
      </c>
      <c r="I4" s="12">
        <v>4.006253405286e-12</v>
      </c>
      <c r="J4" s="12">
        <v>4.006253405286e-12</v>
      </c>
      <c r="K4" s="12">
        <v>4.0793508997692e-12</v>
      </c>
      <c r="L4" s="12">
        <v>4.0793508997692e-12</v>
      </c>
      <c r="M4" s="12">
        <v>4.0793508997692e-12</v>
      </c>
      <c r="N4" s="12">
        <v>2.7508662810511e-12</v>
      </c>
      <c r="O4" s="12">
        <v>4.006253405286e-12</v>
      </c>
      <c r="P4" s="12">
        <v>2.7508662810511e-12</v>
      </c>
      <c r="Q4" s="12">
        <v>2.7508662810511e-12</v>
      </c>
      <c r="R4" s="12">
        <v>3.9570573045451e-12</v>
      </c>
      <c r="S4" s="12">
        <v>3.9570573045451e-12</v>
      </c>
      <c r="T4" s="12">
        <v>3.9570573045451e-12</v>
      </c>
      <c r="U4" s="12">
        <v>4.006253405286e-12</v>
      </c>
      <c r="V4" s="12">
        <v>4.0793508997692e-12</v>
      </c>
      <c r="W4" s="12">
        <v>4.0793508997692e-12</v>
      </c>
      <c r="X4" s="12">
        <v>4.0793508997692e-12</v>
      </c>
      <c r="Y4" s="12">
        <v>2.7508662810511e-12</v>
      </c>
      <c r="Z4" s="12">
        <v>2.7508662810511e-12</v>
      </c>
      <c r="AA4" s="12">
        <v>2.7508662810511e-12</v>
      </c>
      <c r="AB4" s="11">
        <v>0.99999999310343</v>
      </c>
      <c r="AC4" s="11">
        <v>0.99999639730119</v>
      </c>
      <c r="AD4" s="12">
        <v>1.1169187835957e-6</v>
      </c>
      <c r="AE4" s="12">
        <v>4.5525590843921e-18</v>
      </c>
      <c r="AF4" s="12">
        <v>-8.2555465089029e-19</v>
      </c>
      <c r="AG4" s="12">
        <v>-9.6525071349545e-18</v>
      </c>
      <c r="AH4" s="12">
        <v>4.8252253708402e-18</v>
      </c>
      <c r="AI4" s="12">
        <v>-1.6714631207993e-19</v>
      </c>
      <c r="AJ4" s="12">
        <v>4.2947256023568e-19</v>
      </c>
      <c r="AK4" s="12">
        <v>1.2602337028881e-17</v>
      </c>
      <c r="AL4" s="12">
        <v>-4.9244223310737e-18</v>
      </c>
      <c r="AM4" s="12">
        <v>1.2526936753076e-17</v>
      </c>
      <c r="AN4" s="12">
        <v>2.2044053034422e-18</v>
      </c>
      <c r="AO4" s="12">
        <v>3.6807294039974e-18</v>
      </c>
      <c r="AP4" s="12">
        <v>-9.6784796617415e-19</v>
      </c>
      <c r="AQ4" s="12">
        <v>6.3005979583294e-18</v>
      </c>
      <c r="AR4" s="12">
        <v>2.2400662140199e-18</v>
      </c>
      <c r="AS4" s="12">
        <v>8.9690775185844e-19</v>
      </c>
      <c r="AT4" s="12">
        <v>2.0568950271807e-18</v>
      </c>
      <c r="AU4" s="12">
        <v>1.2898400612841e-17</v>
      </c>
      <c r="AV4" s="12">
        <v>-8.1902003363209e-18</v>
      </c>
      <c r="AW4" s="12">
        <v>6.4009482767536e-18</v>
      </c>
      <c r="AX4" s="12">
        <v>-9.5019945541317e-18</v>
      </c>
      <c r="AY4" s="12">
        <v>3.8408109987437e-18</v>
      </c>
      <c r="AZ4" s="12">
        <v>-7.9566063551252e-19</v>
      </c>
      <c r="BA4" s="12">
        <v>7.1545801237883e-19</v>
      </c>
      <c r="BB4" s="12">
        <v>-1.9467219219935e-19</v>
      </c>
      <c r="BC4" s="11">
        <v>15999999.995763</v>
      </c>
      <c r="BD4" s="11">
        <v>3999999.9982792</v>
      </c>
      <c r="BE4" s="12">
        <v>-3.3617865683584e-7</v>
      </c>
      <c r="BF4" s="12">
        <v>-2.9986564509219e-7</v>
      </c>
      <c r="BG4" s="12">
        <v>1.2076961012828e-6</v>
      </c>
      <c r="BH4" s="12">
        <v>-4.4449970643203e-9</v>
      </c>
      <c r="BI4" s="12">
        <v>-4.8739686056753e-9</v>
      </c>
      <c r="BJ4" s="11">
        <v>0.23766691843732</v>
      </c>
      <c r="BK4" s="11">
        <v>0.25900979451239</v>
      </c>
      <c r="BL4" s="7"/>
      <c r="BM4">
        <f>(B4-B3)/(A4-A3)</f>
        <v>3.82937970471434e-11</v>
      </c>
    </row>
    <row r="5" spans="1:65">
      <c r="A5" s="11">
        <v>1.4091914656322</v>
      </c>
      <c r="B5" s="12">
        <v>1.2950597536159e-10</v>
      </c>
      <c r="C5" s="12">
        <f>(B5-B4)/(A5-A4)</f>
        <v>1.21117195690723e-10</v>
      </c>
      <c r="D5" s="12">
        <v>1.2671484355055e-11</v>
      </c>
      <c r="E5" s="12">
        <v>1.2515962792886e-11</v>
      </c>
      <c r="F5" s="12">
        <v>1.2515962792886e-11</v>
      </c>
      <c r="G5" s="12">
        <v>1.2515962792886e-11</v>
      </c>
      <c r="H5" s="12">
        <v>1.2671484355055e-11</v>
      </c>
      <c r="I5" s="12">
        <v>1.2671484355055e-11</v>
      </c>
      <c r="J5" s="12">
        <v>1.2671484355055e-11</v>
      </c>
      <c r="K5" s="12">
        <v>1.290300530318e-11</v>
      </c>
      <c r="L5" s="12">
        <v>1.290300530318e-11</v>
      </c>
      <c r="M5" s="12">
        <v>1.290300530318e-11</v>
      </c>
      <c r="N5" s="12">
        <v>8.7007070112858e-12</v>
      </c>
      <c r="O5" s="12">
        <v>1.2671484355055e-11</v>
      </c>
      <c r="P5" s="12">
        <v>8.7007070112858e-12</v>
      </c>
      <c r="Q5" s="12">
        <v>8.7007070112858e-12</v>
      </c>
      <c r="R5" s="12">
        <v>1.2515962792886e-11</v>
      </c>
      <c r="S5" s="12">
        <v>1.2515962792886e-11</v>
      </c>
      <c r="T5" s="12">
        <v>1.2515962792886e-11</v>
      </c>
      <c r="U5" s="12">
        <v>1.2671484355055e-11</v>
      </c>
      <c r="V5" s="12">
        <v>1.290300530318e-11</v>
      </c>
      <c r="W5" s="12">
        <v>1.290300530318e-11</v>
      </c>
      <c r="X5" s="12">
        <v>1.290300530318e-11</v>
      </c>
      <c r="Y5" s="12">
        <v>8.7007070112857e-12</v>
      </c>
      <c r="Z5" s="12">
        <v>8.7007070112858e-12</v>
      </c>
      <c r="AA5" s="12">
        <v>8.7007070112858e-12</v>
      </c>
      <c r="AB5" s="11">
        <v>0.99999999601017</v>
      </c>
      <c r="AC5" s="11">
        <v>0.99999781021878</v>
      </c>
      <c r="AD5" s="12">
        <v>3.5320417927975e-6</v>
      </c>
      <c r="AE5" s="12">
        <v>1.1753302460533e-17</v>
      </c>
      <c r="AF5" s="12">
        <v>5.8974931727037e-19</v>
      </c>
      <c r="AG5" s="12">
        <v>-1.5944678522041e-17</v>
      </c>
      <c r="AH5" s="12">
        <v>9.7425043785145e-18</v>
      </c>
      <c r="AI5" s="12">
        <v>-7.6615501149692e-18</v>
      </c>
      <c r="AJ5" s="12">
        <v>-3.7717952117348e-18</v>
      </c>
      <c r="AK5" s="12">
        <v>2.0893508307238e-17</v>
      </c>
      <c r="AL5" s="12">
        <v>-1.1904711232228e-17</v>
      </c>
      <c r="AM5" s="12">
        <v>2.015744521301e-17</v>
      </c>
      <c r="AN5" s="12">
        <v>-2.3458626569536e-19</v>
      </c>
      <c r="AO5" s="12">
        <v>3.4356706256282e-18</v>
      </c>
      <c r="AP5" s="12">
        <v>9.9808459258947e-19</v>
      </c>
      <c r="AQ5" s="12">
        <v>6.1137876575247e-18</v>
      </c>
      <c r="AR5" s="12">
        <v>4.0188037106768e-19</v>
      </c>
      <c r="AS5" s="12">
        <v>-4.3449594214803e-18</v>
      </c>
      <c r="AT5" s="12">
        <v>-8.7873248581744e-19</v>
      </c>
      <c r="AU5" s="12">
        <v>1.8404037436636e-17</v>
      </c>
      <c r="AV5" s="12">
        <v>-1.7267600664272e-17</v>
      </c>
      <c r="AW5" s="12">
        <v>1.2123389485415e-17</v>
      </c>
      <c r="AX5" s="12">
        <v>-1.7979522679346e-17</v>
      </c>
      <c r="AY5" s="12">
        <v>6.3428806067402e-18</v>
      </c>
      <c r="AZ5" s="12">
        <v>-9.5294506921056e-19</v>
      </c>
      <c r="BA5" s="12">
        <v>1.6015116514607e-18</v>
      </c>
      <c r="BB5" s="12">
        <v>-9.7981488644846e-19</v>
      </c>
      <c r="BC5" s="11">
        <v>15999999.965754</v>
      </c>
      <c r="BD5" s="11">
        <v>3999999.9825917</v>
      </c>
      <c r="BE5" s="12">
        <v>-1.0630708840873e-6</v>
      </c>
      <c r="BF5" s="12">
        <v>-9.482366747886e-7</v>
      </c>
      <c r="BG5" s="12">
        <v>3.8191210848894e-6</v>
      </c>
      <c r="BH5" s="12">
        <v>-4.445003873237e-8</v>
      </c>
      <c r="BI5" s="12">
        <v>-4.8741034238438e-8</v>
      </c>
      <c r="BJ5" s="11">
        <v>0.75156879769547</v>
      </c>
      <c r="BK5" s="11">
        <v>0.81905835686622</v>
      </c>
      <c r="BL5" s="7"/>
      <c r="BM5">
        <f t="shared" ref="BM5:BM20" si="0">(B5-B4)/(A5-A4)</f>
        <v>1.21117195690723e-10</v>
      </c>
    </row>
    <row r="6" spans="1:65">
      <c r="A6" s="11">
        <v>4.4562546906687</v>
      </c>
      <c r="B6" s="12">
        <v>1.2972139056366e-9</v>
      </c>
      <c r="C6" s="12">
        <f>(B6-B5)/(A6-A5)</f>
        <v>3.83224056750914e-10</v>
      </c>
      <c r="D6" s="12">
        <v>4.0096759361515e-11</v>
      </c>
      <c r="E6" s="12">
        <v>3.9605460400213e-11</v>
      </c>
      <c r="F6" s="12">
        <v>3.9605460400214e-11</v>
      </c>
      <c r="G6" s="12">
        <v>3.9605460400211e-11</v>
      </c>
      <c r="H6" s="12">
        <v>4.0096759361524e-11</v>
      </c>
      <c r="I6" s="12">
        <v>4.0096759361521e-11</v>
      </c>
      <c r="J6" s="12">
        <v>4.0096759361515e-11</v>
      </c>
      <c r="K6" s="12">
        <v>4.0832562514745e-11</v>
      </c>
      <c r="L6" s="12">
        <v>4.0832562514737e-11</v>
      </c>
      <c r="M6" s="12">
        <v>4.0832562514741e-11</v>
      </c>
      <c r="N6" s="12">
        <v>2.7531108779337e-11</v>
      </c>
      <c r="O6" s="12">
        <v>4.0096759361525e-11</v>
      </c>
      <c r="P6" s="12">
        <v>2.7531108779336e-11</v>
      </c>
      <c r="Q6" s="12">
        <v>2.7531108779339e-11</v>
      </c>
      <c r="R6" s="12">
        <v>3.9605460400215e-11</v>
      </c>
      <c r="S6" s="12">
        <v>3.9605460400212e-11</v>
      </c>
      <c r="T6" s="12">
        <v>3.9605460400213e-11</v>
      </c>
      <c r="U6" s="12">
        <v>4.0096759361518e-11</v>
      </c>
      <c r="V6" s="12">
        <v>4.0832562514737e-11</v>
      </c>
      <c r="W6" s="12">
        <v>4.0832562514741e-11</v>
      </c>
      <c r="X6" s="12">
        <v>4.0832562514745e-11</v>
      </c>
      <c r="Y6" s="12">
        <v>2.7531108779335e-11</v>
      </c>
      <c r="Z6" s="12">
        <v>2.7531108779338e-11</v>
      </c>
      <c r="AA6" s="12">
        <v>2.7531108779338e-11</v>
      </c>
      <c r="AB6" s="11">
        <v>0.99999999603724</v>
      </c>
      <c r="AC6" s="11">
        <v>0.99999757167796</v>
      </c>
      <c r="AD6" s="12">
        <v>1.1169639365273e-5</v>
      </c>
      <c r="AE6" s="12">
        <v>5.5304290999682e-17</v>
      </c>
      <c r="AF6" s="12">
        <v>1.5355151632744e-17</v>
      </c>
      <c r="AG6" s="12">
        <v>-4.3512409914825e-17</v>
      </c>
      <c r="AH6" s="12">
        <v>3.2956257829164e-17</v>
      </c>
      <c r="AI6" s="12">
        <v>-7.5586500049663e-17</v>
      </c>
      <c r="AJ6" s="12">
        <v>-4.4037600566156e-17</v>
      </c>
      <c r="AK6" s="12">
        <v>4.9307033890593e-17</v>
      </c>
      <c r="AL6" s="12">
        <v>-5.5836163098556e-17</v>
      </c>
      <c r="AM6" s="12">
        <v>4.1754632186916e-17</v>
      </c>
      <c r="AN6" s="12">
        <v>-2.4616156532474e-17</v>
      </c>
      <c r="AO6" s="12">
        <v>-1.2980764563853e-17</v>
      </c>
      <c r="AP6" s="12">
        <v>2.0202626625608e-17</v>
      </c>
      <c r="AQ6" s="12">
        <v>-1.1891318520489e-17</v>
      </c>
      <c r="AR6" s="12">
        <v>-2.431456143868e-17</v>
      </c>
      <c r="AS6" s="12">
        <v>-5.2605377203324e-17</v>
      </c>
      <c r="AT6" s="12">
        <v>-2.9990053492333e-17</v>
      </c>
      <c r="AU6" s="12">
        <v>2.3698196525175e-17</v>
      </c>
      <c r="AV6" s="12">
        <v>-7.0690785872384e-17</v>
      </c>
      <c r="AW6" s="12">
        <v>3.6718688220894e-17</v>
      </c>
      <c r="AX6" s="12">
        <v>-5.7847062087554e-17</v>
      </c>
      <c r="AY6" s="12">
        <v>1.6048428633599e-17</v>
      </c>
      <c r="AZ6" s="12">
        <v>-1.3631262120798e-18</v>
      </c>
      <c r="BA6" s="12">
        <v>6.042730740919e-18</v>
      </c>
      <c r="BB6" s="12">
        <v>-5.7812537297943e-18</v>
      </c>
      <c r="BC6" s="11">
        <v>15999999.727295</v>
      </c>
      <c r="BD6" s="11">
        <v>3999999.8256363</v>
      </c>
      <c r="BE6" s="12">
        <v>-3.361532046401e-6</v>
      </c>
      <c r="BF6" s="12">
        <v>-2.9983706350415e-6</v>
      </c>
      <c r="BG6" s="12">
        <v>1.2077624912398e-5</v>
      </c>
      <c r="BH6" s="12">
        <v>-4.4424204574084e-7</v>
      </c>
      <c r="BI6" s="12">
        <v>-4.871361190659e-7</v>
      </c>
      <c r="BJ6" s="11">
        <v>2.3766693291039</v>
      </c>
      <c r="BK6" s="11">
        <v>2.5900646805531</v>
      </c>
      <c r="BL6" s="7"/>
      <c r="BM6">
        <f t="shared" si="0"/>
        <v>3.83224056750914e-10</v>
      </c>
    </row>
    <row r="7" spans="1:65">
      <c r="A7" s="11">
        <v>14.091914656322</v>
      </c>
      <c r="B7" s="12">
        <v>1.2995344594781e-8</v>
      </c>
      <c r="C7" s="12">
        <f t="shared" ref="C7:C28" si="1">(B7-B6)/(A7-A6)</f>
        <v>1.21404561087075e-9</v>
      </c>
      <c r="D7" s="12">
        <v>1.2705766877881e-10</v>
      </c>
      <c r="E7" s="12">
        <v>1.2550910532253e-10</v>
      </c>
      <c r="F7" s="12">
        <v>1.2550910532267e-10</v>
      </c>
      <c r="G7" s="12">
        <v>1.255091053223e-10</v>
      </c>
      <c r="H7" s="12">
        <v>1.2705766877955e-10</v>
      </c>
      <c r="I7" s="12">
        <v>1.2705766877937e-10</v>
      </c>
      <c r="J7" s="12">
        <v>1.270576687786e-10</v>
      </c>
      <c r="K7" s="12">
        <v>1.2942129957436e-10</v>
      </c>
      <c r="L7" s="12">
        <v>1.2942129957384e-10</v>
      </c>
      <c r="M7" s="12">
        <v>1.2942129957405e-10</v>
      </c>
      <c r="N7" s="12">
        <v>8.7231921987429e-11</v>
      </c>
      <c r="O7" s="12">
        <v>1.2705766877969e-10</v>
      </c>
      <c r="P7" s="12">
        <v>8.7231921987351e-11</v>
      </c>
      <c r="Q7" s="12">
        <v>8.7231921987697e-11</v>
      </c>
      <c r="R7" s="12">
        <v>1.2550910532274e-10</v>
      </c>
      <c r="S7" s="12">
        <v>1.2550910532232e-10</v>
      </c>
      <c r="T7" s="12">
        <v>1.2550910532249e-10</v>
      </c>
      <c r="U7" s="12">
        <v>1.2705766877896e-10</v>
      </c>
      <c r="V7" s="12">
        <v>1.294212995738e-10</v>
      </c>
      <c r="W7" s="12">
        <v>1.2942129957411e-10</v>
      </c>
      <c r="X7" s="12">
        <v>1.2942129957433e-10</v>
      </c>
      <c r="Y7" s="12">
        <v>8.7231921987295e-11</v>
      </c>
      <c r="Z7" s="12">
        <v>8.7231921987634e-11</v>
      </c>
      <c r="AA7" s="12">
        <v>8.7231921987522e-11</v>
      </c>
      <c r="AB7" s="11">
        <v>0.99999998875243</v>
      </c>
      <c r="AC7" s="11">
        <v>0.99999153050991</v>
      </c>
      <c r="AD7" s="12">
        <v>3.5324945437285e-5</v>
      </c>
      <c r="AE7" s="12">
        <v>7.4233956900309e-16</v>
      </c>
      <c r="AF7" s="12">
        <v>3.6944615799628e-16</v>
      </c>
      <c r="AG7" s="12">
        <v>-3.5929582774875e-16</v>
      </c>
      <c r="AH7" s="12">
        <v>2.6854234456611e-16</v>
      </c>
      <c r="AI7" s="12">
        <v>-1.6728128111537e-15</v>
      </c>
      <c r="AJ7" s="12">
        <v>-1.0178466802331e-15</v>
      </c>
      <c r="AK7" s="12">
        <v>1.5634060028889e-16</v>
      </c>
      <c r="AL7" s="12">
        <v>-8.1956204848267e-16</v>
      </c>
      <c r="AM7" s="12">
        <v>-4.4734954461261e-17</v>
      </c>
      <c r="AN7" s="12">
        <v>-5.3892584997704e-16</v>
      </c>
      <c r="AO7" s="12">
        <v>-5.5836290783183e-16</v>
      </c>
      <c r="AP7" s="12">
        <v>4.5852960601653e-16</v>
      </c>
      <c r="AQ7" s="12">
        <v>-5.3184449033096e-16</v>
      </c>
      <c r="AR7" s="12">
        <v>-6.7147538945654e-16</v>
      </c>
      <c r="AS7" s="12">
        <v>-1.144546618303e-15</v>
      </c>
      <c r="AT7" s="12">
        <v>-6.390679751466e-16</v>
      </c>
      <c r="AU7" s="12">
        <v>-3.420250358257e-16</v>
      </c>
      <c r="AV7" s="12">
        <v>-9.2785803502384e-16</v>
      </c>
      <c r="AW7" s="12">
        <v>2.3814495937702e-16</v>
      </c>
      <c r="AX7" s="12">
        <v>-4.9346999818052e-16</v>
      </c>
      <c r="AY7" s="12">
        <v>1.0057945610631e-16</v>
      </c>
      <c r="AZ7" s="12">
        <v>-6.4833302716038e-18</v>
      </c>
      <c r="BA7" s="12">
        <v>6.2140242704319e-17</v>
      </c>
      <c r="BB7" s="12">
        <v>-7.2085414801572e-17</v>
      </c>
      <c r="BC7" s="11">
        <v>15999997.83082</v>
      </c>
      <c r="BD7" s="11">
        <v>3999998.2535933</v>
      </c>
      <c r="BE7" s="12">
        <v>-1.0628165487832e-5</v>
      </c>
      <c r="BF7" s="12">
        <v>-9.4795100622037e-6</v>
      </c>
      <c r="BG7" s="12">
        <v>3.8197863992734e-5</v>
      </c>
      <c r="BH7" s="12">
        <v>-4.4340682729384e-6</v>
      </c>
      <c r="BI7" s="12">
        <v>-4.8630407977309e-6</v>
      </c>
      <c r="BJ7" s="11">
        <v>7.5156894392992</v>
      </c>
      <c r="BK7" s="11">
        <v>8.1902509352448</v>
      </c>
      <c r="BL7" s="7"/>
      <c r="BM7">
        <f t="shared" si="0"/>
        <v>1.21404561087075e-9</v>
      </c>
    </row>
    <row r="8" spans="1:65">
      <c r="A8" s="11">
        <v>44.562546906687</v>
      </c>
      <c r="B8" s="12">
        <v>1.3065074967603e-7</v>
      </c>
      <c r="C8" s="12">
        <f t="shared" si="1"/>
        <v>3.86127219529026e-9</v>
      </c>
      <c r="D8" s="12">
        <v>4.0441353136602e-10</v>
      </c>
      <c r="E8" s="12">
        <v>3.9956786812188e-10</v>
      </c>
      <c r="F8" s="12">
        <v>3.995678681788e-10</v>
      </c>
      <c r="G8" s="12">
        <v>3.9956786797645e-10</v>
      </c>
      <c r="H8" s="12">
        <v>4.0441353177932e-10</v>
      </c>
      <c r="I8" s="12">
        <v>4.0441353168778e-10</v>
      </c>
      <c r="J8" s="12">
        <v>4.0441353116809e-10</v>
      </c>
      <c r="K8" s="12">
        <v>4.1225984023713e-10</v>
      </c>
      <c r="L8" s="12">
        <v>4.1225984008819e-10</v>
      </c>
      <c r="M8" s="12">
        <v>4.1225984010664e-10</v>
      </c>
      <c r="N8" s="12">
        <v>2.7757141182212e-10</v>
      </c>
      <c r="O8" s="12">
        <v>4.0441353178778e-10</v>
      </c>
      <c r="P8" s="12">
        <v>2.7757141180223e-10</v>
      </c>
      <c r="Q8" s="12">
        <v>2.7757141200166e-10</v>
      </c>
      <c r="R8" s="12">
        <v>3.9956786829065e-10</v>
      </c>
      <c r="S8" s="12">
        <v>3.9956786795753e-10</v>
      </c>
      <c r="T8" s="12">
        <v>3.9956786808661e-10</v>
      </c>
      <c r="U8" s="12">
        <v>4.0441353139244e-10</v>
      </c>
      <c r="V8" s="12">
        <v>4.1225984003946e-10</v>
      </c>
      <c r="W8" s="12">
        <v>4.1225984017778e-10</v>
      </c>
      <c r="X8" s="12">
        <v>4.1225984018481e-10</v>
      </c>
      <c r="Y8" s="12">
        <v>2.775714117814e-10</v>
      </c>
      <c r="Z8" s="12">
        <v>2.7757141196256e-10</v>
      </c>
      <c r="AA8" s="12">
        <v>2.7757141184869e-10</v>
      </c>
      <c r="AB8" s="11">
        <v>0.99999977326782</v>
      </c>
      <c r="AC8" s="11">
        <v>0.99977834672178</v>
      </c>
      <c r="AD8" s="11">
        <v>0.00011174244437407</v>
      </c>
      <c r="AE8" s="12">
        <v>6.3192646393794e-14</v>
      </c>
      <c r="AF8" s="12">
        <v>4.5220878917226e-14</v>
      </c>
      <c r="AG8" s="12">
        <v>-2.548067406378e-14</v>
      </c>
      <c r="AH8" s="12">
        <v>9.5585078553517e-15</v>
      </c>
      <c r="AI8" s="12">
        <v>-2.2426648958656e-13</v>
      </c>
      <c r="AJ8" s="12">
        <v>-1.363095971652e-13</v>
      </c>
      <c r="AK8" s="12">
        <v>-1.1797367948361e-14</v>
      </c>
      <c r="AL8" s="12">
        <v>-8.4466368073094e-14</v>
      </c>
      <c r="AM8" s="12">
        <v>-4.5450848766681e-14</v>
      </c>
      <c r="AN8" s="12">
        <v>-5.237786130331e-14</v>
      </c>
      <c r="AO8" s="12">
        <v>-7.7576864323648e-14</v>
      </c>
      <c r="AP8" s="12">
        <v>5.3302229186542e-14</v>
      </c>
      <c r="AQ8" s="12">
        <v>-6.0172697210759e-14</v>
      </c>
      <c r="AR8" s="12">
        <v>-8.49844882438e-14</v>
      </c>
      <c r="AS8" s="12">
        <v>-1.4043939052179e-13</v>
      </c>
      <c r="AT8" s="12">
        <v>-6.0288355407227e-14</v>
      </c>
      <c r="AU8" s="12">
        <v>-6.5324125224812e-14</v>
      </c>
      <c r="AV8" s="12">
        <v>-8.4891798836167e-14</v>
      </c>
      <c r="AW8" s="12">
        <v>1.2963375449878e-15</v>
      </c>
      <c r="AX8" s="12">
        <v>-2.3980053716143e-14</v>
      </c>
      <c r="AY8" s="12">
        <v>5.47191355502e-15</v>
      </c>
      <c r="AZ8" s="12">
        <v>-1.4962203909609e-15</v>
      </c>
      <c r="BA8" s="12">
        <v>5.7696098539971e-15</v>
      </c>
      <c r="BB8" s="12">
        <v>-3.9936191048429e-15</v>
      </c>
      <c r="BC8" s="11">
        <v>15999982.707536</v>
      </c>
      <c r="BD8" s="11">
        <v>3999982.4617807</v>
      </c>
      <c r="BE8" s="12">
        <v>-3.3589891975148e-5</v>
      </c>
      <c r="BF8" s="12">
        <v>-2.995511876952e-5</v>
      </c>
      <c r="BG8" s="11">
        <v>0.00012084376592944</v>
      </c>
      <c r="BH8" s="12">
        <v>-4.4068598284484e-5</v>
      </c>
      <c r="BI8" s="12">
        <v>-4.8359142303702e-5</v>
      </c>
      <c r="BJ8" s="11">
        <v>23.766708408948</v>
      </c>
      <c r="BK8" s="11">
        <v>25.897315556133</v>
      </c>
      <c r="BL8" s="7"/>
      <c r="BM8">
        <f t="shared" si="0"/>
        <v>3.86127219529026e-9</v>
      </c>
    </row>
    <row r="9" spans="1:65">
      <c r="A9" s="11">
        <v>140.91914656322</v>
      </c>
      <c r="B9" s="12">
        <v>1.3406267827497e-6</v>
      </c>
      <c r="C9" s="12">
        <f t="shared" si="1"/>
        <v>1.25572720227434e-8</v>
      </c>
      <c r="D9" s="12">
        <v>1.2600297084758e-9</v>
      </c>
      <c r="E9" s="12">
        <v>1.2518158792585e-9</v>
      </c>
      <c r="F9" s="12">
        <v>1.2518159814118e-9</v>
      </c>
      <c r="G9" s="12">
        <v>1.2518165647525e-9</v>
      </c>
      <c r="H9" s="12">
        <v>1.2600274889422e-9</v>
      </c>
      <c r="I9" s="12">
        <v>1.2600278858033e-9</v>
      </c>
      <c r="J9" s="12">
        <v>1.2600300030501e-9</v>
      </c>
      <c r="K9" s="12">
        <v>1.2916459168459e-9</v>
      </c>
      <c r="L9" s="12">
        <v>1.2916456778896e-9</v>
      </c>
      <c r="M9" s="12">
        <v>1.2916467846044e-9</v>
      </c>
      <c r="N9" s="12">
        <v>8.7196996072616e-10</v>
      </c>
      <c r="O9" s="12">
        <v>1.2600287358214e-9</v>
      </c>
      <c r="P9" s="12">
        <v>8.7197041481779e-10</v>
      </c>
      <c r="Q9" s="12">
        <v>8.7196992496273e-10</v>
      </c>
      <c r="R9" s="12">
        <v>1.2518140833487e-9</v>
      </c>
      <c r="S9" s="12">
        <v>1.2518164629743e-9</v>
      </c>
      <c r="T9" s="12">
        <v>1.2518168767478e-9</v>
      </c>
      <c r="U9" s="12">
        <v>1.260029518527e-9</v>
      </c>
      <c r="V9" s="12">
        <v>1.2916463005538e-9</v>
      </c>
      <c r="W9" s="12">
        <v>1.2916461386135e-9</v>
      </c>
      <c r="X9" s="12">
        <v>1.2916465802928e-9</v>
      </c>
      <c r="Y9" s="12">
        <v>8.7197040909457e-10</v>
      </c>
      <c r="Z9" s="12">
        <v>8.7197014663618e-10</v>
      </c>
      <c r="AA9" s="12">
        <v>8.7197034007591e-10</v>
      </c>
      <c r="AB9" s="11">
        <v>0.99996633903334</v>
      </c>
      <c r="AC9" s="11">
        <v>0.96268533177295</v>
      </c>
      <c r="AD9" s="11">
        <v>0.00035376580808772</v>
      </c>
      <c r="AE9" s="12">
        <v>3.1866052509078e-11</v>
      </c>
      <c r="AF9" s="12">
        <v>9.5975400962084e-12</v>
      </c>
      <c r="AG9" s="12">
        <v>1.0219016214678e-12</v>
      </c>
      <c r="AH9" s="12">
        <v>-2.0142571912021e-12</v>
      </c>
      <c r="AI9" s="12">
        <v>-1.1081743192076e-10</v>
      </c>
      <c r="AJ9" s="12">
        <v>-6.6691490238185e-11</v>
      </c>
      <c r="AK9" s="12">
        <v>-1.1542766668889e-11</v>
      </c>
      <c r="AL9" s="12">
        <v>-4.1976718789435e-11</v>
      </c>
      <c r="AM9" s="12">
        <v>-3.3327767653176e-11</v>
      </c>
      <c r="AN9" s="12">
        <v>-4.2438882698715e-11</v>
      </c>
      <c r="AO9" s="12">
        <v>-4.4342670113013e-11</v>
      </c>
      <c r="AP9" s="12">
        <v>3.1112109951328e-11</v>
      </c>
      <c r="AQ9" s="12">
        <v>-3.4800686000703e-11</v>
      </c>
      <c r="AR9" s="12">
        <v>-5.295975371151e-11</v>
      </c>
      <c r="AS9" s="12">
        <v>-6.0282621090184e-11</v>
      </c>
      <c r="AT9" s="12">
        <v>-4.5983357019758e-11</v>
      </c>
      <c r="AU9" s="12">
        <v>-6.3396195793982e-11</v>
      </c>
      <c r="AV9" s="12">
        <v>-3.3771582919742e-11</v>
      </c>
      <c r="AW9" s="12">
        <v>-2.8205643209391e-12</v>
      </c>
      <c r="AX9" s="12">
        <v>-7.1023463770586e-12</v>
      </c>
      <c r="AY9" s="12">
        <v>-6.6437016777755e-12</v>
      </c>
      <c r="AZ9" s="12">
        <v>-2.7855248922187e-12</v>
      </c>
      <c r="BA9" s="12">
        <v>8.616880968607e-12</v>
      </c>
      <c r="BB9" s="12">
        <v>-2.4749889756162e-12</v>
      </c>
      <c r="BC9" s="11">
        <v>15999861.569214</v>
      </c>
      <c r="BD9" s="11">
        <v>3999849.8502984</v>
      </c>
      <c r="BE9" s="11">
        <v>-0.00010604644813898</v>
      </c>
      <c r="BF9" s="12">
        <v>-9.4526335773223e-5</v>
      </c>
      <c r="BG9" s="11">
        <v>0.00038271297207082</v>
      </c>
      <c r="BH9" s="11">
        <v>-0.00043108889482819</v>
      </c>
      <c r="BI9" s="11">
        <v>-0.00047438920645557</v>
      </c>
      <c r="BJ9" s="11">
        <v>75.157069639463</v>
      </c>
      <c r="BK9" s="11">
        <v>81.869303585122</v>
      </c>
      <c r="BL9" s="7"/>
      <c r="BM9">
        <f t="shared" si="0"/>
        <v>1.25572720227434e-8</v>
      </c>
    </row>
    <row r="10" spans="1:65">
      <c r="A10" s="11">
        <v>445.62546906687</v>
      </c>
      <c r="B10" s="12">
        <v>1.0007303517911e-5</v>
      </c>
      <c r="C10" s="12">
        <f t="shared" si="1"/>
        <v>2.84427204002552e-8</v>
      </c>
      <c r="D10" s="12">
        <v>1.5677177789672e-9</v>
      </c>
      <c r="E10" s="12">
        <v>1.5504535349238e-9</v>
      </c>
      <c r="F10" s="12">
        <v>1.5504754934522e-9</v>
      </c>
      <c r="G10" s="12">
        <v>1.5501269421686e-9</v>
      </c>
      <c r="H10" s="12">
        <v>1.5691299772976e-9</v>
      </c>
      <c r="I10" s="12">
        <v>1.5687800588442e-9</v>
      </c>
      <c r="J10" s="12">
        <v>1.5673848572373e-9</v>
      </c>
      <c r="K10" s="12">
        <v>1.602351382044e-9</v>
      </c>
      <c r="L10" s="12">
        <v>1.6022650384013e-9</v>
      </c>
      <c r="M10" s="12">
        <v>1.6020591960922e-9</v>
      </c>
      <c r="N10" s="12">
        <v>1.0753709972023e-9</v>
      </c>
      <c r="O10" s="12">
        <v>1.5684791303441e-9</v>
      </c>
      <c r="P10" s="12">
        <v>1.0753207615699e-9</v>
      </c>
      <c r="Q10" s="12">
        <v>1.0757890496167e-9</v>
      </c>
      <c r="R10" s="12">
        <v>1.5512190503932e-9</v>
      </c>
      <c r="S10" s="12">
        <v>1.550177821372e-9</v>
      </c>
      <c r="T10" s="12">
        <v>1.5504029509828e-9</v>
      </c>
      <c r="U10" s="12">
        <v>1.5677702894775e-9</v>
      </c>
      <c r="V10" s="12">
        <v>1.6019913190136e-9</v>
      </c>
      <c r="W10" s="12">
        <v>1.602183886909e-9</v>
      </c>
      <c r="X10" s="12">
        <v>1.6020792621144e-9</v>
      </c>
      <c r="Y10" s="12">
        <v>1.0752109525196e-9</v>
      </c>
      <c r="Z10" s="12">
        <v>1.0755616867171e-9</v>
      </c>
      <c r="AA10" s="12">
        <v>1.075269779216e-9</v>
      </c>
      <c r="AB10" s="11">
        <v>0.98940536520979</v>
      </c>
      <c r="AC10" s="11">
        <v>0.70981692742053</v>
      </c>
      <c r="AD10" s="11">
        <v>0.00038578434277755</v>
      </c>
      <c r="AE10" s="12">
        <v>5.0684434063725e-10</v>
      </c>
      <c r="AF10" s="12">
        <v>5.0048878067963e-10</v>
      </c>
      <c r="AG10" s="12">
        <v>-2.0626276841823e-10</v>
      </c>
      <c r="AH10" s="12">
        <v>6.8927211150373e-12</v>
      </c>
      <c r="AI10" s="12">
        <v>-3.3031486820268e-9</v>
      </c>
      <c r="AJ10" s="12">
        <v>-1.9375979362164e-9</v>
      </c>
      <c r="AK10" s="12">
        <v>-1.6902144117146e-10</v>
      </c>
      <c r="AL10" s="12">
        <v>-1.0086541078198e-9</v>
      </c>
      <c r="AM10" s="12">
        <v>-7.3515794657927e-10</v>
      </c>
      <c r="AN10" s="12">
        <v>-4.2929880496601e-10</v>
      </c>
      <c r="AO10" s="12">
        <v>-8.7562084264942e-10</v>
      </c>
      <c r="AP10" s="12">
        <v>5.3349454001916e-10</v>
      </c>
      <c r="AQ10" s="12">
        <v>-5.5323548696613e-10</v>
      </c>
      <c r="AR10" s="12">
        <v>-1.0185683834799e-9</v>
      </c>
      <c r="AS10" s="12">
        <v>-1.8497829444386e-9</v>
      </c>
      <c r="AT10" s="12">
        <v>-4.557840797915e-10</v>
      </c>
      <c r="AU10" s="12">
        <v>-7.2987985022647e-10</v>
      </c>
      <c r="AV10" s="12">
        <v>-7.8600158500578e-10</v>
      </c>
      <c r="AW10" s="12">
        <v>-1.2951158043832e-10</v>
      </c>
      <c r="AX10" s="12">
        <v>-7.7354093016234e-11</v>
      </c>
      <c r="AY10" s="12">
        <v>3.5215163915193e-11</v>
      </c>
      <c r="AZ10" s="12">
        <v>-3.2919296519756e-11</v>
      </c>
      <c r="BA10" s="12">
        <v>1.2317500402212e-10</v>
      </c>
      <c r="BB10" s="12">
        <v>-3.5429799051662e-12</v>
      </c>
      <c r="BC10" s="11">
        <v>15999319.352464</v>
      </c>
      <c r="BD10" s="11">
        <v>4001164.7809924</v>
      </c>
      <c r="BE10" s="11">
        <v>-0.00011355715501876</v>
      </c>
      <c r="BF10" s="11">
        <v>-0.0001009929632032</v>
      </c>
      <c r="BG10" s="11">
        <v>0.00041872846083963</v>
      </c>
      <c r="BH10" s="11">
        <v>-0.0005106482359506</v>
      </c>
      <c r="BI10" s="11">
        <v>-0.00055899967417488</v>
      </c>
      <c r="BJ10" s="11">
        <v>80.000253410999</v>
      </c>
      <c r="BK10" s="11">
        <v>87.085128035284</v>
      </c>
      <c r="BL10" s="7"/>
      <c r="BM10">
        <f t="shared" si="0"/>
        <v>2.84427204002552e-8</v>
      </c>
    </row>
    <row r="11" spans="1:65">
      <c r="A11" s="11">
        <v>1409.1914656322</v>
      </c>
      <c r="B11" s="12">
        <v>3.6830764790791e-5</v>
      </c>
      <c r="C11" s="12">
        <f t="shared" si="1"/>
        <v>2.78377001352199e-8</v>
      </c>
      <c r="D11" s="12">
        <v>1.5656619148166e-9</v>
      </c>
      <c r="E11" s="12">
        <v>1.5489117189745e-9</v>
      </c>
      <c r="F11" s="12">
        <v>1.5490464627439e-9</v>
      </c>
      <c r="G11" s="12">
        <v>1.5475800515256e-9</v>
      </c>
      <c r="H11" s="12">
        <v>1.571116504861e-9</v>
      </c>
      <c r="I11" s="12">
        <v>1.5698504447927e-9</v>
      </c>
      <c r="J11" s="12">
        <v>1.5643119477165e-9</v>
      </c>
      <c r="K11" s="12">
        <v>1.5982304967011e-9</v>
      </c>
      <c r="L11" s="12">
        <v>1.5977442875986e-9</v>
      </c>
      <c r="M11" s="12">
        <v>1.5970533893892e-9</v>
      </c>
      <c r="N11" s="12">
        <v>1.0756845610785e-9</v>
      </c>
      <c r="O11" s="12">
        <v>1.5686457902411e-9</v>
      </c>
      <c r="P11" s="12">
        <v>1.0755694251183e-9</v>
      </c>
      <c r="Q11" s="12">
        <v>1.0775300254407e-9</v>
      </c>
      <c r="R11" s="12">
        <v>1.5520315832786e-9</v>
      </c>
      <c r="S11" s="12">
        <v>1.5477976142852e-9</v>
      </c>
      <c r="T11" s="12">
        <v>1.5488282206429e-9</v>
      </c>
      <c r="U11" s="12">
        <v>1.565788901049e-9</v>
      </c>
      <c r="V11" s="12">
        <v>1.5967155354435e-9</v>
      </c>
      <c r="W11" s="12">
        <v>1.5974908452902e-9</v>
      </c>
      <c r="X11" s="12">
        <v>1.597133816607e-9</v>
      </c>
      <c r="Y11" s="12">
        <v>1.0750840709886e-9</v>
      </c>
      <c r="Z11" s="12">
        <v>1.0765215638306e-9</v>
      </c>
      <c r="AA11" s="12">
        <v>1.0753473555505e-9</v>
      </c>
      <c r="AB11" s="11">
        <v>0.99652943781754</v>
      </c>
      <c r="AC11" s="11">
        <v>0.7131937138651</v>
      </c>
      <c r="AD11" s="11">
        <v>0.00041456674743355</v>
      </c>
      <c r="AE11" s="12">
        <v>4.5881191644721e-10</v>
      </c>
      <c r="AF11" s="12">
        <v>4.1592568587779e-10</v>
      </c>
      <c r="AG11" s="12">
        <v>-1.4879350586823e-10</v>
      </c>
      <c r="AH11" s="12">
        <v>-3.6478385684669e-12</v>
      </c>
      <c r="AI11" s="12">
        <v>-2.7118266188358e-9</v>
      </c>
      <c r="AJ11" s="12">
        <v>-1.6242609108473e-9</v>
      </c>
      <c r="AK11" s="12">
        <v>-1.5653006422787e-10</v>
      </c>
      <c r="AL11" s="12">
        <v>-8.6724583223232e-10</v>
      </c>
      <c r="AM11" s="12">
        <v>-5.9988763956479e-10</v>
      </c>
      <c r="AN11" s="12">
        <v>-4.0248644832903e-10</v>
      </c>
      <c r="AO11" s="12">
        <v>-7.4929421628761e-10</v>
      </c>
      <c r="AP11" s="12">
        <v>4.9251971771031e-10</v>
      </c>
      <c r="AQ11" s="12">
        <v>-5.0755192401255e-10</v>
      </c>
      <c r="AR11" s="12">
        <v>-9.2172397942546e-10</v>
      </c>
      <c r="AS11" s="12">
        <v>-1.5876771439021e-9</v>
      </c>
      <c r="AT11" s="12">
        <v>-4.2798334444312e-10</v>
      </c>
      <c r="AU11" s="12">
        <v>-7.0964931536202e-10</v>
      </c>
      <c r="AV11" s="12">
        <v>-6.2628426050362e-10</v>
      </c>
      <c r="AW11" s="12">
        <v>-1.0463282501428e-10</v>
      </c>
      <c r="AX11" s="12">
        <v>-9.4941981032749e-11</v>
      </c>
      <c r="AY11" s="12">
        <v>1.0835320840781e-11</v>
      </c>
      <c r="AZ11" s="12">
        <v>-3.4315484913222e-11</v>
      </c>
      <c r="BA11" s="12">
        <v>1.1964313910421e-10</v>
      </c>
      <c r="BB11" s="12">
        <v>-6.9089384340933e-12</v>
      </c>
      <c r="BC11" s="11">
        <v>15997563.573851</v>
      </c>
      <c r="BD11" s="11">
        <v>4004753.5539422</v>
      </c>
      <c r="BE11" s="11">
        <v>-0.00011516294013904</v>
      </c>
      <c r="BF11" s="11">
        <v>-0.00010166319859598</v>
      </c>
      <c r="BG11" s="11">
        <v>0.00045447091039542</v>
      </c>
      <c r="BH11" s="11">
        <v>-0.0005392083812564</v>
      </c>
      <c r="BI11" s="11">
        <v>-0.00058624531327231</v>
      </c>
      <c r="BJ11" s="11">
        <v>80.000421913761</v>
      </c>
      <c r="BK11" s="11">
        <v>86.889820723716</v>
      </c>
      <c r="BL11" s="7"/>
      <c r="BM11">
        <f t="shared" si="0"/>
        <v>2.78377001352199e-8</v>
      </c>
    </row>
    <row r="12" spans="1:65">
      <c r="A12" s="11">
        <v>4456.2546906687</v>
      </c>
      <c r="B12" s="11">
        <v>0.00011711428391649</v>
      </c>
      <c r="C12" s="12">
        <f t="shared" si="1"/>
        <v>2.63478350124282e-8</v>
      </c>
      <c r="D12" s="12">
        <v>1.5562084190124e-9</v>
      </c>
      <c r="E12" s="12">
        <v>1.5412517640952e-9</v>
      </c>
      <c r="F12" s="12">
        <v>1.5419836693045e-9</v>
      </c>
      <c r="G12" s="12">
        <v>1.5373587063369e-9</v>
      </c>
      <c r="H12" s="12">
        <v>1.5717369829086e-9</v>
      </c>
      <c r="I12" s="12">
        <v>1.5678928604146e-9</v>
      </c>
      <c r="J12" s="12">
        <v>1.5522568960145e-9</v>
      </c>
      <c r="K12" s="12">
        <v>1.5868937762405e-9</v>
      </c>
      <c r="L12" s="12">
        <v>1.5847415653108e-9</v>
      </c>
      <c r="M12" s="12">
        <v>1.5834979647247e-9</v>
      </c>
      <c r="N12" s="12">
        <v>1.0733605550327e-9</v>
      </c>
      <c r="O12" s="12">
        <v>1.564827225686e-9</v>
      </c>
      <c r="P12" s="12">
        <v>1.073400811078e-9</v>
      </c>
      <c r="Q12" s="12">
        <v>1.0794976787376e-9</v>
      </c>
      <c r="R12" s="12">
        <v>1.5503377533574e-9</v>
      </c>
      <c r="S12" s="12">
        <v>1.5380259129547e-9</v>
      </c>
      <c r="T12" s="12">
        <v>1.541890615534e-9</v>
      </c>
      <c r="U12" s="12">
        <v>1.5563701779039e-9</v>
      </c>
      <c r="V12" s="12">
        <v>1.5820820903922e-9</v>
      </c>
      <c r="W12" s="12">
        <v>1.5845167762709e-9</v>
      </c>
      <c r="X12" s="12">
        <v>1.5837359691891e-9</v>
      </c>
      <c r="Y12" s="12">
        <v>1.0717591831707e-9</v>
      </c>
      <c r="Z12" s="12">
        <v>1.076183161506e-9</v>
      </c>
      <c r="AA12" s="12">
        <v>1.0726783713358e-9</v>
      </c>
      <c r="AB12" s="11">
        <v>0.99899062996587</v>
      </c>
      <c r="AC12" s="11">
        <v>0.72000447696239</v>
      </c>
      <c r="AD12" s="11">
        <v>0.00049978970437339</v>
      </c>
      <c r="AE12" s="12">
        <v>3.9201509549087e-10</v>
      </c>
      <c r="AF12" s="12">
        <v>2.9674385345882e-10</v>
      </c>
      <c r="AG12" s="12">
        <v>-6.3002805006486e-11</v>
      </c>
      <c r="AH12" s="12">
        <v>-1.0028245008722e-11</v>
      </c>
      <c r="AI12" s="12">
        <v>-2.1078592732771e-9</v>
      </c>
      <c r="AJ12" s="12">
        <v>-1.2394089134065e-9</v>
      </c>
      <c r="AK12" s="12">
        <v>-1.4015227261076e-10</v>
      </c>
      <c r="AL12" s="12">
        <v>-6.8786930819112e-10</v>
      </c>
      <c r="AM12" s="12">
        <v>-4.3689900635024e-10</v>
      </c>
      <c r="AN12" s="12">
        <v>-3.7089099391822e-10</v>
      </c>
      <c r="AO12" s="12">
        <v>-5.8578080406721e-10</v>
      </c>
      <c r="AP12" s="12">
        <v>4.6867573360739e-10</v>
      </c>
      <c r="AQ12" s="12">
        <v>-4.2708488599919e-10</v>
      </c>
      <c r="AR12" s="12">
        <v>-7.9830999311935e-10</v>
      </c>
      <c r="AS12" s="12">
        <v>-1.2492215011558e-9</v>
      </c>
      <c r="AT12" s="12">
        <v>-3.8729553229935e-10</v>
      </c>
      <c r="AU12" s="12">
        <v>-6.8292797942774e-10</v>
      </c>
      <c r="AV12" s="12">
        <v>-4.5550873121288e-10</v>
      </c>
      <c r="AW12" s="12">
        <v>-7.176462318338e-11</v>
      </c>
      <c r="AX12" s="12">
        <v>-1.2791525780232e-10</v>
      </c>
      <c r="AY12" s="12">
        <v>-3.0704897002736e-11</v>
      </c>
      <c r="AZ12" s="12">
        <v>-3.3096702643235e-11</v>
      </c>
      <c r="BA12" s="12">
        <v>1.2068252041314e-10</v>
      </c>
      <c r="BB12" s="12">
        <v>-1.5306338791006e-11</v>
      </c>
      <c r="BC12" s="11">
        <v>15991860.195095</v>
      </c>
      <c r="BD12" s="11">
        <v>4012943.3085807</v>
      </c>
      <c r="BE12" s="11">
        <v>-0.00011718901382381</v>
      </c>
      <c r="BF12" s="11">
        <v>-0.00010097598882057</v>
      </c>
      <c r="BG12" s="11">
        <v>0.00056131194893139</v>
      </c>
      <c r="BH12" s="11">
        <v>-0.00074164059310174</v>
      </c>
      <c r="BI12" s="11">
        <v>-0.00081070720567186</v>
      </c>
      <c r="BJ12" s="11">
        <v>80.000685550067</v>
      </c>
      <c r="BK12" s="11">
        <v>86.241359055567</v>
      </c>
      <c r="BL12" s="7"/>
      <c r="BM12">
        <f t="shared" si="0"/>
        <v>2.63478350124282e-8</v>
      </c>
    </row>
    <row r="13" spans="1:65">
      <c r="A13" s="11">
        <v>5610.0922715098</v>
      </c>
      <c r="B13" s="11">
        <v>0.00014652845686024</v>
      </c>
      <c r="C13" s="12">
        <f t="shared" si="1"/>
        <v>2.54924726254004e-8</v>
      </c>
      <c r="D13" s="12">
        <v>1.5506122173655e-9</v>
      </c>
      <c r="E13" s="12">
        <v>1.5361471026554e-9</v>
      </c>
      <c r="F13" s="12">
        <v>1.5373032759579e-9</v>
      </c>
      <c r="G13" s="12">
        <v>1.5310790071743e-9</v>
      </c>
      <c r="H13" s="12">
        <v>1.5711061240856e-9</v>
      </c>
      <c r="I13" s="12">
        <v>1.5656903967003e-9</v>
      </c>
      <c r="J13" s="12">
        <v>1.5454307855984e-9</v>
      </c>
      <c r="K13" s="12">
        <v>1.5808861732699e-9</v>
      </c>
      <c r="L13" s="12">
        <v>1.5777368454707e-9</v>
      </c>
      <c r="M13" s="12">
        <v>1.576460920506e-9</v>
      </c>
      <c r="N13" s="12">
        <v>1.0706776138091e-9</v>
      </c>
      <c r="O13" s="12">
        <v>1.5620330908949e-9</v>
      </c>
      <c r="P13" s="12">
        <v>1.0709049428427e-9</v>
      </c>
      <c r="Q13" s="12">
        <v>1.0791043099303e-9</v>
      </c>
      <c r="R13" s="12">
        <v>1.5479948030344e-9</v>
      </c>
      <c r="S13" s="12">
        <v>1.5319580861037e-9</v>
      </c>
      <c r="T13" s="12">
        <v>1.5374920388854e-9</v>
      </c>
      <c r="U13" s="12">
        <v>1.5508033259197e-9</v>
      </c>
      <c r="V13" s="12">
        <v>1.5743574272263e-9</v>
      </c>
      <c r="W13" s="12">
        <v>1.5777345911616e-9</v>
      </c>
      <c r="X13" s="12">
        <v>1.576780457572e-9</v>
      </c>
      <c r="Y13" s="12">
        <v>1.0686458948102e-9</v>
      </c>
      <c r="Z13" s="12">
        <v>1.0746116034319e-9</v>
      </c>
      <c r="AA13" s="12">
        <v>1.0699281690157e-9</v>
      </c>
      <c r="AB13" s="11">
        <v>0.99652118696146</v>
      </c>
      <c r="AC13" s="11">
        <v>0.72163938321932</v>
      </c>
      <c r="AD13" s="11">
        <v>0.00053078325464648</v>
      </c>
      <c r="AE13" s="12">
        <v>3.7336734157704e-10</v>
      </c>
      <c r="AF13" s="12">
        <v>2.6355369844284e-10</v>
      </c>
      <c r="AG13" s="12">
        <v>-3.746523521442e-11</v>
      </c>
      <c r="AH13" s="12">
        <v>-7.7982929430536e-12</v>
      </c>
      <c r="AI13" s="12">
        <v>-1.9698728980884e-9</v>
      </c>
      <c r="AJ13" s="12">
        <v>-1.1418863487702e-9</v>
      </c>
      <c r="AK13" s="12">
        <v>-1.365730175004e-10</v>
      </c>
      <c r="AL13" s="12">
        <v>-6.4192205774113e-10</v>
      </c>
      <c r="AM13" s="12">
        <v>-3.9793800661091e-10</v>
      </c>
      <c r="AN13" s="12">
        <v>-3.6554390319132e-10</v>
      </c>
      <c r="AO13" s="12">
        <v>-5.3590647991222e-10</v>
      </c>
      <c r="AP13" s="12">
        <v>4.6558744095882e-10</v>
      </c>
      <c r="AQ13" s="12">
        <v>-4.0390855225105e-10</v>
      </c>
      <c r="AR13" s="12">
        <v>-7.6826156667432e-10</v>
      </c>
      <c r="AS13" s="12">
        <v>-1.1622329303463e-9</v>
      </c>
      <c r="AT13" s="12">
        <v>-3.7644882212221e-10</v>
      </c>
      <c r="AU13" s="12">
        <v>-6.747238618679e-10</v>
      </c>
      <c r="AV13" s="12">
        <v>-4.1502176242108e-10</v>
      </c>
      <c r="AW13" s="12">
        <v>-6.4225645339051e-11</v>
      </c>
      <c r="AX13" s="12">
        <v>-1.4354637551417e-10</v>
      </c>
      <c r="AY13" s="12">
        <v>-4.6950702888276e-11</v>
      </c>
      <c r="AZ13" s="12">
        <v>-3.4375752354932e-11</v>
      </c>
      <c r="BA13" s="12">
        <v>1.2871094180704e-10</v>
      </c>
      <c r="BB13" s="12">
        <v>-1.6843997797143e-11</v>
      </c>
      <c r="BC13" s="11">
        <v>15989678.094331</v>
      </c>
      <c r="BD13" s="11">
        <v>4015422.4042374</v>
      </c>
      <c r="BE13" s="11">
        <v>-0.00011727627978933</v>
      </c>
      <c r="BF13" s="11">
        <v>-0.00010010241501657</v>
      </c>
      <c r="BG13" s="11">
        <v>0.00060030182082357</v>
      </c>
      <c r="BH13" s="11">
        <v>-0.00056852709573929</v>
      </c>
      <c r="BI13" s="11">
        <v>-0.00062395231703924</v>
      </c>
      <c r="BJ13" s="11">
        <v>80.001079824159</v>
      </c>
      <c r="BK13" s="11">
        <v>85.99856675787</v>
      </c>
      <c r="BL13" s="7"/>
      <c r="BM13">
        <f t="shared" si="0"/>
        <v>2.54924726254004e-8</v>
      </c>
    </row>
    <row r="14" spans="1:65">
      <c r="A14" s="11">
        <v>7062.6877231137</v>
      </c>
      <c r="B14" s="11">
        <v>0.0001831296857224</v>
      </c>
      <c r="C14" s="12">
        <f t="shared" si="1"/>
        <v>2.5197124789112e-8</v>
      </c>
      <c r="D14" s="12">
        <v>1.5452045969775e-9</v>
      </c>
      <c r="E14" s="12">
        <v>1.5312648853005e-9</v>
      </c>
      <c r="F14" s="12">
        <v>1.5328605356255e-9</v>
      </c>
      <c r="G14" s="12">
        <v>1.5252051447852e-9</v>
      </c>
      <c r="H14" s="12">
        <v>1.5701879510878e-9</v>
      </c>
      <c r="I14" s="12">
        <v>1.5631966537037e-9</v>
      </c>
      <c r="J14" s="12">
        <v>1.5389459579781e-9</v>
      </c>
      <c r="K14" s="12">
        <v>1.5753464608785e-9</v>
      </c>
      <c r="L14" s="12">
        <v>1.5712628329338e-9</v>
      </c>
      <c r="M14" s="12">
        <v>1.5700299671262e-9</v>
      </c>
      <c r="N14" s="12">
        <v>1.0676459344496e-9</v>
      </c>
      <c r="O14" s="12">
        <v>1.5591750885481e-9</v>
      </c>
      <c r="P14" s="12">
        <v>1.0680810404658e-9</v>
      </c>
      <c r="Q14" s="12">
        <v>1.0781803090806e-9</v>
      </c>
      <c r="R14" s="12">
        <v>1.5454967400605e-9</v>
      </c>
      <c r="S14" s="12">
        <v>1.5262635111645e-9</v>
      </c>
      <c r="T14" s="12">
        <v>1.5333813801123e-9</v>
      </c>
      <c r="U14" s="12">
        <v>1.5454423124649e-9</v>
      </c>
      <c r="V14" s="12">
        <v>1.5672436025342e-9</v>
      </c>
      <c r="W14" s="12">
        <v>1.571551959791e-9</v>
      </c>
      <c r="X14" s="12">
        <v>1.5704302577463e-9</v>
      </c>
      <c r="Y14" s="12">
        <v>1.0652542554951e-9</v>
      </c>
      <c r="Z14" s="12">
        <v>1.0726423785699e-9</v>
      </c>
      <c r="AA14" s="12">
        <v>1.0668749632354e-9</v>
      </c>
      <c r="AB14" s="11">
        <v>0.99724225283263</v>
      </c>
      <c r="AC14" s="11">
        <v>0.72227352853901</v>
      </c>
      <c r="AD14" s="11">
        <v>0.00056926764814811</v>
      </c>
      <c r="AE14" s="12">
        <v>3.6058669323293e-10</v>
      </c>
      <c r="AF14" s="12">
        <v>2.4084656951813e-10</v>
      </c>
      <c r="AG14" s="12">
        <v>-1.9431402626198e-11</v>
      </c>
      <c r="AH14" s="12">
        <v>-4.4185649339638e-12</v>
      </c>
      <c r="AI14" s="12">
        <v>-1.8814566874782e-9</v>
      </c>
      <c r="AJ14" s="12">
        <v>-1.0771479942645e-9</v>
      </c>
      <c r="AK14" s="12">
        <v>-1.3456965226908e-10</v>
      </c>
      <c r="AL14" s="12">
        <v>-6.1167741950473e-10</v>
      </c>
      <c r="AM14" s="12">
        <v>-3.7319091439532e-10</v>
      </c>
      <c r="AN14" s="12">
        <v>-3.6343322091921e-10</v>
      </c>
      <c r="AO14" s="12">
        <v>-4.995865876199e-10</v>
      </c>
      <c r="AP14" s="12">
        <v>4.6487814493247e-10</v>
      </c>
      <c r="AQ14" s="12">
        <v>-3.8945744482277e-10</v>
      </c>
      <c r="AR14" s="12">
        <v>-7.4795984463274e-10</v>
      </c>
      <c r="AS14" s="12">
        <v>-1.1047761727373e-9</v>
      </c>
      <c r="AT14" s="12">
        <v>-3.690924332825e-10</v>
      </c>
      <c r="AU14" s="12">
        <v>-6.683837846491e-10</v>
      </c>
      <c r="AV14" s="12">
        <v>-3.8852571305579e-10</v>
      </c>
      <c r="AW14" s="12">
        <v>-6.0029338797175e-11</v>
      </c>
      <c r="AX14" s="12">
        <v>-1.5811421672449e-10</v>
      </c>
      <c r="AY14" s="12">
        <v>-6.0612262425424e-11</v>
      </c>
      <c r="AZ14" s="12">
        <v>-3.6464086096913e-11</v>
      </c>
      <c r="BA14" s="12">
        <v>1.3721486427426e-10</v>
      </c>
      <c r="BB14" s="12">
        <v>-1.64823539881e-11</v>
      </c>
      <c r="BC14" s="11">
        <v>15986926.186053</v>
      </c>
      <c r="BD14" s="11">
        <v>4018316.8722044</v>
      </c>
      <c r="BE14" s="11">
        <v>-0.00011709074088609</v>
      </c>
      <c r="BF14" s="12">
        <v>-9.8745386070025e-5</v>
      </c>
      <c r="BG14" s="11">
        <v>0.00064870091248638</v>
      </c>
      <c r="BH14" s="11">
        <v>-0.00057010399329876</v>
      </c>
      <c r="BI14" s="11">
        <v>-0.00062749076544912</v>
      </c>
      <c r="BJ14" s="11">
        <v>80.001251019858</v>
      </c>
      <c r="BK14" s="11">
        <v>85.701542441037</v>
      </c>
      <c r="BL14" s="7"/>
      <c r="BM14">
        <f t="shared" si="0"/>
        <v>2.5197124789112e-8</v>
      </c>
    </row>
    <row r="15" spans="1:65">
      <c r="A15" s="11">
        <v>8891.3970501945</v>
      </c>
      <c r="B15" s="11">
        <v>0.00022867376792808</v>
      </c>
      <c r="C15" s="12">
        <f t="shared" si="1"/>
        <v>2.49050417861557e-8</v>
      </c>
      <c r="D15" s="12">
        <v>1.5385360142918e-9</v>
      </c>
      <c r="E15" s="12">
        <v>1.5252003257878e-9</v>
      </c>
      <c r="F15" s="12">
        <v>1.527393402695e-9</v>
      </c>
      <c r="G15" s="12">
        <v>1.5180126363515e-9</v>
      </c>
      <c r="H15" s="12">
        <v>1.5690991673365e-9</v>
      </c>
      <c r="I15" s="12">
        <v>1.5599423516082e-9</v>
      </c>
      <c r="J15" s="12">
        <v>1.5309914722275e-9</v>
      </c>
      <c r="K15" s="12">
        <v>1.5688164481878e-9</v>
      </c>
      <c r="L15" s="12">
        <v>1.5635812973113e-9</v>
      </c>
      <c r="M15" s="12">
        <v>1.5624596395289e-9</v>
      </c>
      <c r="N15" s="12">
        <v>1.0635387184089e-9</v>
      </c>
      <c r="O15" s="12">
        <v>1.5556731236019e-9</v>
      </c>
      <c r="P15" s="12">
        <v>1.0642617866369e-9</v>
      </c>
      <c r="Q15" s="12">
        <v>1.0766689741877e-9</v>
      </c>
      <c r="R15" s="12">
        <v>1.5422364825829e-9</v>
      </c>
      <c r="S15" s="12">
        <v>1.5192727298456e-9</v>
      </c>
      <c r="T15" s="12">
        <v>1.5283810323246e-9</v>
      </c>
      <c r="U15" s="12">
        <v>1.5388811171645e-9</v>
      </c>
      <c r="V15" s="12">
        <v>1.5587706470659e-9</v>
      </c>
      <c r="W15" s="12">
        <v>1.564323337951e-9</v>
      </c>
      <c r="X15" s="12">
        <v>1.5629660973334e-9</v>
      </c>
      <c r="Y15" s="12">
        <v>1.0607324699687e-9</v>
      </c>
      <c r="Z15" s="12">
        <v>1.0698970349888e-9</v>
      </c>
      <c r="AA15" s="12">
        <v>1.0627732753434e-9</v>
      </c>
      <c r="AB15" s="11">
        <v>0.99781002311493</v>
      </c>
      <c r="AC15" s="11">
        <v>0.72215501372777</v>
      </c>
      <c r="AD15" s="11">
        <v>0.0006170581941362</v>
      </c>
      <c r="AE15" s="12">
        <v>3.4843040417689e-10</v>
      </c>
      <c r="AF15" s="12">
        <v>2.1918100470713e-10</v>
      </c>
      <c r="AG15" s="12">
        <v>-1.6646620099127e-12</v>
      </c>
      <c r="AH15" s="12">
        <v>7.5537631568648e-13</v>
      </c>
      <c r="AI15" s="12">
        <v>-1.8005198882608e-9</v>
      </c>
      <c r="AJ15" s="12">
        <v>-1.0164636539482e-9</v>
      </c>
      <c r="AK15" s="12">
        <v>-1.3302189090289e-10</v>
      </c>
      <c r="AL15" s="12">
        <v>-5.8400280325496e-10</v>
      </c>
      <c r="AM15" s="12">
        <v>-3.5077149697511e-10</v>
      </c>
      <c r="AN15" s="12">
        <v>-3.6285345552532e-10</v>
      </c>
      <c r="AO15" s="12">
        <v>-4.6271201546159e-10</v>
      </c>
      <c r="AP15" s="12">
        <v>4.65861638812e-10</v>
      </c>
      <c r="AQ15" s="12">
        <v>-3.7763061592443e-10</v>
      </c>
      <c r="AR15" s="12">
        <v>-7.2775574752722e-10</v>
      </c>
      <c r="AS15" s="12">
        <v>-1.051512143901e-9</v>
      </c>
      <c r="AT15" s="12">
        <v>-3.6180061001794e-10</v>
      </c>
      <c r="AU15" s="12">
        <v>-6.6140457174747e-10</v>
      </c>
      <c r="AV15" s="12">
        <v>-3.6375982297404e-10</v>
      </c>
      <c r="AW15" s="12">
        <v>-5.706819711693e-11</v>
      </c>
      <c r="AX15" s="12">
        <v>-1.768228010481e-10</v>
      </c>
      <c r="AY15" s="12">
        <v>-7.6505478278e-11</v>
      </c>
      <c r="AZ15" s="12">
        <v>-3.9798355971917e-11</v>
      </c>
      <c r="BA15" s="12">
        <v>1.4801995184804e-10</v>
      </c>
      <c r="BB15" s="12">
        <v>-1.412619246507e-11</v>
      </c>
      <c r="BC15" s="11">
        <v>15983459.395397</v>
      </c>
      <c r="BD15" s="11">
        <v>4021721.1358626</v>
      </c>
      <c r="BE15" s="11">
        <v>-0.00011649918881672</v>
      </c>
      <c r="BF15" s="12">
        <v>-9.6733689703357e-5</v>
      </c>
      <c r="BG15" s="11">
        <v>0.00070875343513527</v>
      </c>
      <c r="BH15" s="11">
        <v>-0.00056898653200192</v>
      </c>
      <c r="BI15" s="11">
        <v>-0.00062887568486449</v>
      </c>
      <c r="BJ15" s="11">
        <v>80.001447838784</v>
      </c>
      <c r="BK15" s="11">
        <v>85.343449756802</v>
      </c>
      <c r="BL15" s="7"/>
      <c r="BM15">
        <f t="shared" si="0"/>
        <v>2.49050417861557e-8</v>
      </c>
    </row>
    <row r="16" spans="1:65">
      <c r="A16" s="11">
        <v>11193.605692842</v>
      </c>
      <c r="B16" s="11">
        <v>0.00028534875698774</v>
      </c>
      <c r="C16" s="12">
        <f t="shared" si="1"/>
        <v>2.46176597593191e-8</v>
      </c>
      <c r="D16" s="12">
        <v>1.5307472178393e-9</v>
      </c>
      <c r="E16" s="12">
        <v>1.5181064026365e-9</v>
      </c>
      <c r="F16" s="12">
        <v>1.5211103870666e-9</v>
      </c>
      <c r="G16" s="12">
        <v>1.5096533077237e-9</v>
      </c>
      <c r="H16" s="12">
        <v>1.5682188738743e-9</v>
      </c>
      <c r="I16" s="12">
        <v>1.5561672734444e-9</v>
      </c>
      <c r="J16" s="12">
        <v>1.5216562256955e-9</v>
      </c>
      <c r="K16" s="12">
        <v>1.5610755888707e-9</v>
      </c>
      <c r="L16" s="12">
        <v>1.5544636059363e-9</v>
      </c>
      <c r="M16" s="12">
        <v>1.5535036355759e-9</v>
      </c>
      <c r="N16" s="12">
        <v>1.0586057423223e-9</v>
      </c>
      <c r="O16" s="12">
        <v>1.5518344315339e-9</v>
      </c>
      <c r="P16" s="12">
        <v>1.0597046447764e-9</v>
      </c>
      <c r="Q16" s="12">
        <v>1.0749138107649e-9</v>
      </c>
      <c r="R16" s="12">
        <v>1.538457202256e-9</v>
      </c>
      <c r="S16" s="12">
        <v>1.5111301550161e-9</v>
      </c>
      <c r="T16" s="12">
        <v>1.5227144018892e-9</v>
      </c>
      <c r="U16" s="12">
        <v>1.5312641580003e-9</v>
      </c>
      <c r="V16" s="12">
        <v>1.548634185286e-9</v>
      </c>
      <c r="W16" s="12">
        <v>1.5558787566634e-9</v>
      </c>
      <c r="X16" s="12">
        <v>1.554168520936e-9</v>
      </c>
      <c r="Y16" s="12">
        <v>1.0553085035172e-9</v>
      </c>
      <c r="Z16" s="12">
        <v>1.0667143766254e-9</v>
      </c>
      <c r="AA16" s="12">
        <v>1.0578677952575e-9</v>
      </c>
      <c r="AB16" s="11">
        <v>0.99825387989892</v>
      </c>
      <c r="AC16" s="11">
        <v>0.72090433865039</v>
      </c>
      <c r="AD16" s="11">
        <v>0.00067641052206072</v>
      </c>
      <c r="AE16" s="12">
        <v>3.3724678741335e-10</v>
      </c>
      <c r="AF16" s="12">
        <v>1.990451034042e-10</v>
      </c>
      <c r="AG16" s="12">
        <v>1.5461700408681e-11</v>
      </c>
      <c r="AH16" s="12">
        <v>8.0474365301801e-12</v>
      </c>
      <c r="AI16" s="12">
        <v>-1.7266238747988e-9</v>
      </c>
      <c r="AJ16" s="12">
        <v>-9.6025688805216e-10</v>
      </c>
      <c r="AK16" s="12">
        <v>-1.3165379146051e-10</v>
      </c>
      <c r="AL16" s="12">
        <v>-5.5949884446409e-10</v>
      </c>
      <c r="AM16" s="12">
        <v>-3.3041729948292e-10</v>
      </c>
      <c r="AN16" s="12">
        <v>-3.6372433046569e-10</v>
      </c>
      <c r="AO16" s="12">
        <v>-4.2568265562962e-10</v>
      </c>
      <c r="AP16" s="12">
        <v>4.68927697914e-10</v>
      </c>
      <c r="AQ16" s="12">
        <v>-3.6937517408062e-10</v>
      </c>
      <c r="AR16" s="12">
        <v>-7.0690817257683e-10</v>
      </c>
      <c r="AS16" s="12">
        <v>-1.0031242618512e-9</v>
      </c>
      <c r="AT16" s="12">
        <v>-3.5404234225201e-10</v>
      </c>
      <c r="AU16" s="12">
        <v>-6.5333155979714e-10</v>
      </c>
      <c r="AV16" s="12">
        <v>-3.4085462700937e-10</v>
      </c>
      <c r="AW16" s="12">
        <v>-5.5695623754991e-11</v>
      </c>
      <c r="AX16" s="12">
        <v>-2.0092631434757e-10</v>
      </c>
      <c r="AY16" s="12">
        <v>-9.5123001814181e-11</v>
      </c>
      <c r="AZ16" s="12">
        <v>-4.4467105158332e-11</v>
      </c>
      <c r="BA16" s="12">
        <v>1.6102103004417e-10</v>
      </c>
      <c r="BB16" s="12">
        <v>-8.7924333275105e-12</v>
      </c>
      <c r="BC16" s="11">
        <v>15979096.478188</v>
      </c>
      <c r="BD16" s="11">
        <v>4025776.5067681</v>
      </c>
      <c r="BE16" s="11">
        <v>-0.00011531834377751</v>
      </c>
      <c r="BF16" s="12">
        <v>-9.3846037707985e-5</v>
      </c>
      <c r="BG16" s="11">
        <v>0.00078323927785685</v>
      </c>
      <c r="BH16" s="11">
        <v>-0.00056604470031368</v>
      </c>
      <c r="BI16" s="11">
        <v>-0.00062857485751984</v>
      </c>
      <c r="BJ16" s="11">
        <v>80.001668679988</v>
      </c>
      <c r="BK16" s="11">
        <v>84.919662276325</v>
      </c>
      <c r="BL16" s="7"/>
      <c r="BM16">
        <f t="shared" si="0"/>
        <v>2.46176597593191e-8</v>
      </c>
    </row>
    <row r="17" spans="1:65">
      <c r="A17" s="11">
        <v>14091.914656322</v>
      </c>
      <c r="B17" s="11">
        <v>0.0003558879898514</v>
      </c>
      <c r="C17" s="12">
        <f t="shared" si="1"/>
        <v>2.43380653175649e-8</v>
      </c>
      <c r="D17" s="12">
        <v>1.5212601032372e-9</v>
      </c>
      <c r="E17" s="12">
        <v>1.5098307881549e-9</v>
      </c>
      <c r="F17" s="12">
        <v>1.5139429800026e-9</v>
      </c>
      <c r="G17" s="12">
        <v>1.4999909513297e-9</v>
      </c>
      <c r="H17" s="12">
        <v>1.5672190554389e-9</v>
      </c>
      <c r="I17" s="12">
        <v>1.55143543653e-9</v>
      </c>
      <c r="J17" s="12">
        <v>1.5102587864773e-9</v>
      </c>
      <c r="K17" s="12">
        <v>1.5518670996518e-9</v>
      </c>
      <c r="L17" s="12">
        <v>1.5436858524104e-9</v>
      </c>
      <c r="M17" s="12">
        <v>1.5428886181023e-9</v>
      </c>
      <c r="N17" s="12">
        <v>1.0525924215985e-9</v>
      </c>
      <c r="O17" s="12">
        <v>1.5472804778928e-9</v>
      </c>
      <c r="P17" s="12">
        <v>1.0541560820326e-9</v>
      </c>
      <c r="Q17" s="12">
        <v>1.0726911627979e-9</v>
      </c>
      <c r="R17" s="12">
        <v>1.5341254242688e-9</v>
      </c>
      <c r="S17" s="12">
        <v>1.5016845319204e-9</v>
      </c>
      <c r="T17" s="12">
        <v>1.5163105421498e-9</v>
      </c>
      <c r="U17" s="12">
        <v>1.521981864154e-9</v>
      </c>
      <c r="V17" s="12">
        <v>1.5364881058462e-9</v>
      </c>
      <c r="W17" s="12">
        <v>1.5460615611543e-9</v>
      </c>
      <c r="X17" s="12">
        <v>1.5438080389484e-9</v>
      </c>
      <c r="Y17" s="12">
        <v>1.0486911377965e-9</v>
      </c>
      <c r="Z17" s="12">
        <v>1.0629221468592e-9</v>
      </c>
      <c r="AA17" s="12">
        <v>1.0518773693601e-9</v>
      </c>
      <c r="AB17" s="11">
        <v>0.99859854065645</v>
      </c>
      <c r="AC17" s="11">
        <v>0.71799187060006</v>
      </c>
      <c r="AD17" s="11">
        <v>0.00075014031087947</v>
      </c>
      <c r="AE17" s="12">
        <v>3.2762208913664e-10</v>
      </c>
      <c r="AF17" s="12">
        <v>1.81171104906e-10</v>
      </c>
      <c r="AG17" s="12">
        <v>3.1321013608996e-11</v>
      </c>
      <c r="AH17" s="12">
        <v>1.7804164739237e-11</v>
      </c>
      <c r="AI17" s="12">
        <v>-1.659067408807e-9</v>
      </c>
      <c r="AJ17" s="12">
        <v>-9.0857261016097e-10</v>
      </c>
      <c r="AK17" s="12">
        <v>-1.2984321303232e-10</v>
      </c>
      <c r="AL17" s="12">
        <v>-5.3860979755834e-10</v>
      </c>
      <c r="AM17" s="12">
        <v>-3.1110235790161e-10</v>
      </c>
      <c r="AN17" s="12">
        <v>-3.655623884943e-10</v>
      </c>
      <c r="AO17" s="12">
        <v>-3.8891893419393e-10</v>
      </c>
      <c r="AP17" s="12">
        <v>4.7475609481181e-10</v>
      </c>
      <c r="AQ17" s="12">
        <v>-3.6542180683439e-10</v>
      </c>
      <c r="AR17" s="12">
        <v>-6.8469532036341e-10</v>
      </c>
      <c r="AS17" s="12">
        <v>-9.6013791573718e-10</v>
      </c>
      <c r="AT17" s="12">
        <v>-3.4479403380729e-10</v>
      </c>
      <c r="AU17" s="12">
        <v>-6.4353940215259e-10</v>
      </c>
      <c r="AV17" s="12">
        <v>-3.2007178324254e-10</v>
      </c>
      <c r="AW17" s="12">
        <v>-5.6388027358991e-11</v>
      </c>
      <c r="AX17" s="12">
        <v>-2.3202778824747e-10</v>
      </c>
      <c r="AY17" s="12">
        <v>-1.1697609257424e-10</v>
      </c>
      <c r="AZ17" s="12">
        <v>-5.0367811265114e-11</v>
      </c>
      <c r="BA17" s="12">
        <v>1.7619575965207e-10</v>
      </c>
      <c r="BB17" s="12">
        <v>7.7779163509858e-13</v>
      </c>
      <c r="BC17" s="11">
        <v>15973612.125475</v>
      </c>
      <c r="BD17" s="11">
        <v>4030706.9607511</v>
      </c>
      <c r="BE17" s="11">
        <v>-0.00011331375239497</v>
      </c>
      <c r="BF17" s="12">
        <v>-8.9809937294194e-5</v>
      </c>
      <c r="BG17" s="11">
        <v>0.00087561096857311</v>
      </c>
      <c r="BH17" s="11">
        <v>-0.00056469780355852</v>
      </c>
      <c r="BI17" s="11">
        <v>-0.00063267546847247</v>
      </c>
      <c r="BJ17" s="11">
        <v>80.001910411627</v>
      </c>
      <c r="BK17" s="11">
        <v>84.429769342197</v>
      </c>
      <c r="BL17" s="7"/>
      <c r="BM17">
        <f t="shared" si="0"/>
        <v>2.43380653175649e-8</v>
      </c>
    </row>
    <row r="18" spans="1:65">
      <c r="A18" s="11">
        <v>17740.669461679</v>
      </c>
      <c r="B18" s="11">
        <v>0.00044372661527715</v>
      </c>
      <c r="C18" s="12">
        <f t="shared" si="1"/>
        <v>2.40735895151924e-8</v>
      </c>
      <c r="D18" s="12">
        <v>1.5103654654956e-9</v>
      </c>
      <c r="E18" s="12">
        <v>1.4998599318628e-9</v>
      </c>
      <c r="F18" s="12">
        <v>1.5054897148001e-9</v>
      </c>
      <c r="G18" s="12">
        <v>1.4885317703296e-9</v>
      </c>
      <c r="H18" s="12">
        <v>1.5667860934203e-9</v>
      </c>
      <c r="I18" s="12">
        <v>1.5462499634311e-9</v>
      </c>
      <c r="J18" s="12">
        <v>1.4969069603894e-9</v>
      </c>
      <c r="K18" s="12">
        <v>1.5412894556179e-9</v>
      </c>
      <c r="L18" s="12">
        <v>1.5314431239892e-9</v>
      </c>
      <c r="M18" s="12">
        <v>1.5307073854398e-9</v>
      </c>
      <c r="N18" s="12">
        <v>1.0454282387436e-9</v>
      </c>
      <c r="O18" s="12">
        <v>1.542555410285e-9</v>
      </c>
      <c r="P18" s="12">
        <v>1.0475268684342e-9</v>
      </c>
      <c r="Q18" s="12">
        <v>1.0699324113185e-9</v>
      </c>
      <c r="R18" s="12">
        <v>1.5289054207614e-9</v>
      </c>
      <c r="S18" s="12">
        <v>1.4904098288614e-9</v>
      </c>
      <c r="T18" s="12">
        <v>1.5087292258457e-9</v>
      </c>
      <c r="U18" s="12">
        <v>1.5112997880355e-9</v>
      </c>
      <c r="V18" s="12">
        <v>1.522336114624e-9</v>
      </c>
      <c r="W18" s="12">
        <v>1.5351376981557e-9</v>
      </c>
      <c r="X18" s="12">
        <v>1.5320574730208e-9</v>
      </c>
      <c r="Y18" s="12">
        <v>1.0407537897169e-9</v>
      </c>
      <c r="Z18" s="12">
        <v>1.0585368294346e-9</v>
      </c>
      <c r="AA18" s="12">
        <v>1.0446919593694e-9</v>
      </c>
      <c r="AB18" s="11">
        <v>0.99886399657967</v>
      </c>
      <c r="AC18" s="11">
        <v>0.71276722100593</v>
      </c>
      <c r="AD18" s="11">
        <v>0.00084178299055369</v>
      </c>
      <c r="AE18" s="12">
        <v>3.205650503977e-10</v>
      </c>
      <c r="AF18" s="12">
        <v>1.666264747969e-10</v>
      </c>
      <c r="AG18" s="12">
        <v>4.519118805285e-11</v>
      </c>
      <c r="AH18" s="12">
        <v>3.0807539670619e-11</v>
      </c>
      <c r="AI18" s="12">
        <v>-1.5961183644503e-9</v>
      </c>
      <c r="AJ18" s="12">
        <v>-8.6108680619258e-10</v>
      </c>
      <c r="AK18" s="12">
        <v>-1.2605038668086e-10</v>
      </c>
      <c r="AL18" s="12">
        <v>-5.2123740050046e-10</v>
      </c>
      <c r="AM18" s="12">
        <v>-2.9076196435517e-10</v>
      </c>
      <c r="AN18" s="12">
        <v>-3.673679988073e-10</v>
      </c>
      <c r="AO18" s="12">
        <v>-3.5270774257465e-10</v>
      </c>
      <c r="AP18" s="12">
        <v>4.843334088433e-10</v>
      </c>
      <c r="AQ18" s="12">
        <v>-3.6571186945161e-10</v>
      </c>
      <c r="AR18" s="12">
        <v>-6.60881111743e-10</v>
      </c>
      <c r="AS18" s="12">
        <v>-9.2257410483423e-10</v>
      </c>
      <c r="AT18" s="12">
        <v>-3.3273855935733e-10</v>
      </c>
      <c r="AU18" s="12">
        <v>-6.3111711918715e-10</v>
      </c>
      <c r="AV18" s="12">
        <v>-3.0178302933134e-10</v>
      </c>
      <c r="AW18" s="12">
        <v>-5.9653466900397e-11</v>
      </c>
      <c r="AX18" s="12">
        <v>-2.7153751740304e-10</v>
      </c>
      <c r="AY18" s="12">
        <v>-1.4225627787405e-10</v>
      </c>
      <c r="AZ18" s="12">
        <v>-5.7269452336018e-11</v>
      </c>
      <c r="BA18" s="12">
        <v>1.9367448028574e-10</v>
      </c>
      <c r="BB18" s="12">
        <v>1.5730500556826e-11</v>
      </c>
      <c r="BC18" s="11">
        <v>15966727.261441</v>
      </c>
      <c r="BD18" s="11">
        <v>4036883.2497969</v>
      </c>
      <c r="BE18" s="11">
        <v>-0.00011019539271353</v>
      </c>
      <c r="BF18" s="12">
        <v>-8.4313074419652e-5</v>
      </c>
      <c r="BG18" s="11">
        <v>0.00099018073701642</v>
      </c>
      <c r="BH18" s="11">
        <v>-0.00057317111374781</v>
      </c>
      <c r="BI18" s="11">
        <v>-0.00064895679314733</v>
      </c>
      <c r="BJ18" s="11">
        <v>80.002160315623</v>
      </c>
      <c r="BK18" s="11">
        <v>83.880784372083</v>
      </c>
      <c r="BL18" s="7"/>
      <c r="BM18">
        <f t="shared" si="0"/>
        <v>2.40735895151924e-8</v>
      </c>
    </row>
    <row r="19" spans="1:65">
      <c r="A19" s="11">
        <v>22334.179607548</v>
      </c>
      <c r="B19" s="11">
        <v>0.00055322860483357</v>
      </c>
      <c r="C19" s="12">
        <f t="shared" si="1"/>
        <v>2.38384124730619e-8</v>
      </c>
      <c r="D19" s="12">
        <v>1.4973618946694e-9</v>
      </c>
      <c r="E19" s="12">
        <v>1.4882438389227e-9</v>
      </c>
      <c r="F19" s="12">
        <v>1.4959637139084e-9</v>
      </c>
      <c r="G19" s="12">
        <v>1.4753629050968e-9</v>
      </c>
      <c r="H19" s="12">
        <v>1.5664328362141e-9</v>
      </c>
      <c r="I19" s="12">
        <v>1.540224209835e-9</v>
      </c>
      <c r="J19" s="12">
        <v>1.4806947898802e-9</v>
      </c>
      <c r="K19" s="12">
        <v>1.5298039001667e-9</v>
      </c>
      <c r="L19" s="12">
        <v>1.5184196824269e-9</v>
      </c>
      <c r="M19" s="12">
        <v>1.5174187067777e-9</v>
      </c>
      <c r="N19" s="12">
        <v>1.0370744531202e-9</v>
      </c>
      <c r="O19" s="12">
        <v>1.5373143014141e-9</v>
      </c>
      <c r="P19" s="12">
        <v>1.0397726446382e-9</v>
      </c>
      <c r="Q19" s="12">
        <v>1.0665665196949e-9</v>
      </c>
      <c r="R19" s="12">
        <v>1.5231137085762e-9</v>
      </c>
      <c r="S19" s="12">
        <v>1.4773359473513e-9</v>
      </c>
      <c r="T19" s="12">
        <v>1.5000951257521e-9</v>
      </c>
      <c r="U19" s="12">
        <v>1.4983571090214e-9</v>
      </c>
      <c r="V19" s="12">
        <v>1.506532496898e-9</v>
      </c>
      <c r="W19" s="12">
        <v>1.5238299995101e-9</v>
      </c>
      <c r="X19" s="12">
        <v>1.5195224728192e-9</v>
      </c>
      <c r="Y19" s="12">
        <v>1.0313756580126e-9</v>
      </c>
      <c r="Z19" s="12">
        <v>1.0536531188053e-9</v>
      </c>
      <c r="AA19" s="12">
        <v>1.036255100778e-9</v>
      </c>
      <c r="AB19" s="11">
        <v>0.99906595960422</v>
      </c>
      <c r="AC19" s="11">
        <v>0.7045013389771</v>
      </c>
      <c r="AD19" s="11">
        <v>0.00095583167984367</v>
      </c>
      <c r="AE19" s="12">
        <v>3.1771081095217e-10</v>
      </c>
      <c r="AF19" s="12">
        <v>1.5667400772809e-10</v>
      </c>
      <c r="AG19" s="12">
        <v>5.6058127060478e-11</v>
      </c>
      <c r="AH19" s="12">
        <v>4.8322883729679e-11</v>
      </c>
      <c r="AI19" s="12">
        <v>-1.5357108184587e-9</v>
      </c>
      <c r="AJ19" s="12">
        <v>-8.1667206891166e-10</v>
      </c>
      <c r="AK19" s="12">
        <v>-1.1699067244598e-10</v>
      </c>
      <c r="AL19" s="12">
        <v>-5.0642572719377e-10</v>
      </c>
      <c r="AM19" s="12">
        <v>-2.6605992957538e-10</v>
      </c>
      <c r="AN19" s="12">
        <v>-3.6766864415987e-10</v>
      </c>
      <c r="AO19" s="12">
        <v>-3.1684340096461e-10</v>
      </c>
      <c r="AP19" s="12">
        <v>4.9921713932983e-10</v>
      </c>
      <c r="AQ19" s="12">
        <v>-3.6944317811536e-10</v>
      </c>
      <c r="AR19" s="12">
        <v>-6.3541111020135e-10</v>
      </c>
      <c r="AS19" s="12">
        <v>-8.8993012803965e-10</v>
      </c>
      <c r="AT19" s="12">
        <v>-3.164278530841e-10</v>
      </c>
      <c r="AU19" s="12">
        <v>-6.144979951666e-10</v>
      </c>
      <c r="AV19" s="12">
        <v>-2.870012655759e-10</v>
      </c>
      <c r="AW19" s="12">
        <v>-6.5642968607468e-11</v>
      </c>
      <c r="AX19" s="12">
        <v>-3.1969530860567e-10</v>
      </c>
      <c r="AY19" s="12">
        <v>-1.7054059528412e-10</v>
      </c>
      <c r="AZ19" s="12">
        <v>-6.4913550656869e-11</v>
      </c>
      <c r="BA19" s="12">
        <v>2.1369713631289e-10</v>
      </c>
      <c r="BB19" s="12">
        <v>3.717958747447e-11</v>
      </c>
      <c r="BC19" s="11">
        <v>15958097.802025</v>
      </c>
      <c r="BD19" s="11">
        <v>4044940.4792422</v>
      </c>
      <c r="BE19" s="11">
        <v>-0.00010564608195276</v>
      </c>
      <c r="BF19" s="12">
        <v>-7.7019548359011e-5</v>
      </c>
      <c r="BG19" s="11">
        <v>0.0011323913098965</v>
      </c>
      <c r="BH19" s="11">
        <v>-0.00059549716934529</v>
      </c>
      <c r="BI19" s="11">
        <v>-0.00068679363941299</v>
      </c>
      <c r="BJ19" s="11">
        <v>80.002406177933</v>
      </c>
      <c r="BK19" s="11">
        <v>83.290921767016</v>
      </c>
      <c r="BL19" s="7"/>
      <c r="BM19">
        <f t="shared" si="0"/>
        <v>2.38384124730619e-8</v>
      </c>
    </row>
    <row r="20" spans="1:65">
      <c r="A20" s="11">
        <v>28117.066259517</v>
      </c>
      <c r="B20" s="11">
        <v>0.00069004882391179</v>
      </c>
      <c r="C20" s="12">
        <f t="shared" si="1"/>
        <v>2.36595021331837e-8</v>
      </c>
      <c r="D20" s="12">
        <v>1.482848287615e-9</v>
      </c>
      <c r="E20" s="12">
        <v>1.4750654534144e-9</v>
      </c>
      <c r="F20" s="12">
        <v>1.4856818387715e-9</v>
      </c>
      <c r="G20" s="12">
        <v>1.4606469364268e-9</v>
      </c>
      <c r="H20" s="12">
        <v>1.566957874162e-9</v>
      </c>
      <c r="I20" s="12">
        <v>1.5344349720619e-9</v>
      </c>
      <c r="J20" s="12">
        <v>1.4618695904864e-9</v>
      </c>
      <c r="K20" s="12">
        <v>1.5183752439867e-9</v>
      </c>
      <c r="L20" s="12">
        <v>1.5059561964854e-9</v>
      </c>
      <c r="M20" s="12">
        <v>1.5040229899903e-9</v>
      </c>
      <c r="N20" s="12">
        <v>1.0285977816228e-9</v>
      </c>
      <c r="O20" s="12">
        <v>1.5325520096038e-9</v>
      </c>
      <c r="P20" s="12">
        <v>1.0318230395595e-9</v>
      </c>
      <c r="Q20" s="12">
        <v>1.0634835286161e-9</v>
      </c>
      <c r="R20" s="12">
        <v>1.5172184562851e-9</v>
      </c>
      <c r="S20" s="12">
        <v>1.4625184156479e-9</v>
      </c>
      <c r="T20" s="12">
        <v>1.4906163726554e-9</v>
      </c>
      <c r="U20" s="12">
        <v>1.4834838186644e-9</v>
      </c>
      <c r="V20" s="12">
        <v>1.4899470745308e-9</v>
      </c>
      <c r="W20" s="12">
        <v>1.5134446246177e-9</v>
      </c>
      <c r="X20" s="12">
        <v>1.5074179053518e-9</v>
      </c>
      <c r="Y20" s="12">
        <v>1.0214171401521e-9</v>
      </c>
      <c r="Z20" s="12">
        <v>1.0494182694126e-9</v>
      </c>
      <c r="AA20" s="12">
        <v>1.0275200615173e-9</v>
      </c>
      <c r="AB20" s="11">
        <v>0.99921742455494</v>
      </c>
      <c r="AC20" s="11">
        <v>0.69266674892872</v>
      </c>
      <c r="AD20" s="11">
        <v>0.0010980729797533</v>
      </c>
      <c r="AE20" s="12">
        <v>3.2130441990141e-10</v>
      </c>
      <c r="AF20" s="12">
        <v>1.513019771247e-10</v>
      </c>
      <c r="AG20" s="12">
        <v>6.3158510141953e-11</v>
      </c>
      <c r="AH20" s="12">
        <v>7.2154821223127e-11</v>
      </c>
      <c r="AI20" s="12">
        <v>-1.4774205938413e-9</v>
      </c>
      <c r="AJ20" s="12">
        <v>-7.7320860014208e-10</v>
      </c>
      <c r="AK20" s="12">
        <v>-9.6860145477633e-11</v>
      </c>
      <c r="AL20" s="12">
        <v>-4.925301689045e-10</v>
      </c>
      <c r="AM20" s="12">
        <v>-2.3323966539326e-10</v>
      </c>
      <c r="AN20" s="12">
        <v>-3.6505530091434e-10</v>
      </c>
      <c r="AO20" s="12">
        <v>-2.8036244186807e-10</v>
      </c>
      <c r="AP20" s="12">
        <v>5.2179428413969e-10</v>
      </c>
      <c r="AQ20" s="12">
        <v>-3.7486157866167e-10</v>
      </c>
      <c r="AR20" s="12">
        <v>-6.0834561324198e-10</v>
      </c>
      <c r="AS20" s="12">
        <v>-8.6015875931487e-10</v>
      </c>
      <c r="AT20" s="12">
        <v>-2.9587713290403e-10</v>
      </c>
      <c r="AU20" s="12">
        <v>-5.9192817393579e-10</v>
      </c>
      <c r="AV20" s="12">
        <v>-2.7787148972551e-10</v>
      </c>
      <c r="AW20" s="12">
        <v>-7.3794115568221e-11</v>
      </c>
      <c r="AX20" s="12">
        <v>-3.745678536692e-10</v>
      </c>
      <c r="AY20" s="12">
        <v>-2.0037711188601e-10</v>
      </c>
      <c r="AZ20" s="12">
        <v>-7.2613404027546e-11</v>
      </c>
      <c r="BA20" s="12">
        <v>2.3637161063151e-10</v>
      </c>
      <c r="BB20" s="12">
        <v>6.6036724980417e-11</v>
      </c>
      <c r="BC20" s="11">
        <v>15947299.787806</v>
      </c>
      <c r="BD20" s="11">
        <v>4055984.0142941</v>
      </c>
      <c r="BE20" s="12">
        <v>-9.9335490724516e-5</v>
      </c>
      <c r="BF20" s="12">
        <v>-6.7607070414632e-5</v>
      </c>
      <c r="BG20" s="11">
        <v>0.0013092164439693</v>
      </c>
      <c r="BH20" s="11">
        <v>-0.00063480790630003</v>
      </c>
      <c r="BI20" s="11">
        <v>-0.0007547956269319</v>
      </c>
      <c r="BJ20" s="11">
        <v>80.002640879318</v>
      </c>
      <c r="BK20" s="11">
        <v>82.69211553708</v>
      </c>
      <c r="BL20" s="7"/>
      <c r="BM20">
        <f t="shared" si="0"/>
        <v>2.36595021331837e-8</v>
      </c>
    </row>
    <row r="21" spans="1:64">
      <c r="A21" s="11">
        <v>35397.289219207</v>
      </c>
      <c r="B21" s="11">
        <v>0.00086173198365174</v>
      </c>
      <c r="C21" s="12">
        <f t="shared" si="1"/>
        <v>2.35821293785294e-8</v>
      </c>
      <c r="D21" s="12">
        <v>1.4672999944965e-9</v>
      </c>
      <c r="E21" s="12">
        <v>1.4624593513452e-9</v>
      </c>
      <c r="F21" s="12">
        <v>1.4771214390055e-9</v>
      </c>
      <c r="G21" s="12">
        <v>1.446703419447e-9</v>
      </c>
      <c r="H21" s="12">
        <v>1.5688348454896e-9</v>
      </c>
      <c r="I21" s="12">
        <v>1.5300485073376e-9</v>
      </c>
      <c r="J21" s="12">
        <v>1.4404242226612e-9</v>
      </c>
      <c r="K21" s="12">
        <v>1.5080841253933e-9</v>
      </c>
      <c r="L21" s="12">
        <v>1.4956241838928e-9</v>
      </c>
      <c r="M21" s="12">
        <v>1.4915425204345e-9</v>
      </c>
      <c r="N21" s="12">
        <v>1.0208468336425e-9</v>
      </c>
      <c r="O21" s="12">
        <v>1.5291110198488e-9</v>
      </c>
      <c r="P21" s="12">
        <v>1.0243554492328e-9</v>
      </c>
      <c r="Q21" s="12">
        <v>1.0614016564237e-9</v>
      </c>
      <c r="R21" s="12">
        <v>1.5139440750552e-9</v>
      </c>
      <c r="S21" s="12">
        <v>1.4480510416099e-9</v>
      </c>
      <c r="T21" s="12">
        <v>1.4826846436475e-9</v>
      </c>
      <c r="U21" s="12">
        <v>1.4667241471871e-9</v>
      </c>
      <c r="V21" s="12">
        <v>1.4734242451188e-9</v>
      </c>
      <c r="W21" s="12">
        <v>1.5054370368442e-9</v>
      </c>
      <c r="X21" s="12">
        <v>1.4971568310543e-9</v>
      </c>
      <c r="Y21" s="12">
        <v>1.0114776630672e-9</v>
      </c>
      <c r="Z21" s="12">
        <v>1.0467412233142e-9</v>
      </c>
      <c r="AA21" s="12">
        <v>1.0192829615603e-9</v>
      </c>
      <c r="AB21" s="11">
        <v>0.99933139148952</v>
      </c>
      <c r="AC21" s="11">
        <v>0.67744961196361</v>
      </c>
      <c r="AD21" s="11">
        <v>0.0012761012816718</v>
      </c>
      <c r="AE21" s="12">
        <v>3.3238603092382e-10</v>
      </c>
      <c r="AF21" s="12">
        <v>1.4726320344855e-10</v>
      </c>
      <c r="AG21" s="12">
        <v>6.7194344671327e-11</v>
      </c>
      <c r="AH21" s="12">
        <v>1.0423109678862e-10</v>
      </c>
      <c r="AI21" s="12">
        <v>-1.4266633283144e-9</v>
      </c>
      <c r="AJ21" s="12">
        <v>-7.3157216983235e-10</v>
      </c>
      <c r="AK21" s="12">
        <v>-6.1361929393522e-11</v>
      </c>
      <c r="AL21" s="12">
        <v>-4.7875402713891e-10</v>
      </c>
      <c r="AM21" s="12">
        <v>-1.9045747271161e-10</v>
      </c>
      <c r="AN21" s="12">
        <v>-3.6151686739095e-10</v>
      </c>
      <c r="AO21" s="12">
        <v>-2.4230335927614e-10</v>
      </c>
      <c r="AP21" s="12">
        <v>5.5364390570463e-10</v>
      </c>
      <c r="AQ21" s="12">
        <v>-3.7983725122042e-10</v>
      </c>
      <c r="AR21" s="12">
        <v>-5.8106663299666e-10</v>
      </c>
      <c r="AS21" s="12">
        <v>-8.3122192858625e-10</v>
      </c>
      <c r="AT21" s="12">
        <v>-2.7594049787552e-10</v>
      </c>
      <c r="AU21" s="12">
        <v>-5.6591612872965e-10</v>
      </c>
      <c r="AV21" s="12">
        <v>-2.7805844914779e-10</v>
      </c>
      <c r="AW21" s="12">
        <v>-8.2374068912668e-11</v>
      </c>
      <c r="AX21" s="12">
        <v>-4.3029443291556e-10</v>
      </c>
      <c r="AY21" s="12">
        <v>-2.3082725384327e-10</v>
      </c>
      <c r="AZ21" s="12">
        <v>-7.8500395632117e-11</v>
      </c>
      <c r="BA21" s="12">
        <v>2.6097580835188e-10</v>
      </c>
      <c r="BB21" s="12">
        <v>1.0258327055972e-10</v>
      </c>
      <c r="BC21" s="11">
        <v>15933813.640112</v>
      </c>
      <c r="BD21" s="11">
        <v>4071878.5859839</v>
      </c>
      <c r="BE21" s="12">
        <v>-9.0954426891064e-5</v>
      </c>
      <c r="BF21" s="12">
        <v>-5.583641824035e-5</v>
      </c>
      <c r="BG21" s="11">
        <v>0.0015297640049942</v>
      </c>
      <c r="BH21" s="11">
        <v>-0.0006624198246848</v>
      </c>
      <c r="BI21" s="11">
        <v>-0.00083944032989471</v>
      </c>
      <c r="BJ21" s="11">
        <v>80.002852011727</v>
      </c>
      <c r="BK21" s="11">
        <v>82.128590140574</v>
      </c>
      <c r="BL21" s="7"/>
    </row>
    <row r="22" spans="1:64">
      <c r="A22" s="11">
        <v>44562.546906687</v>
      </c>
      <c r="B22" s="11">
        <v>0.0010785319594766</v>
      </c>
      <c r="C22" s="12">
        <f t="shared" si="1"/>
        <v>2.3654542318108e-8</v>
      </c>
      <c r="D22" s="12">
        <v>1.45269743758e-9</v>
      </c>
      <c r="E22" s="12">
        <v>1.4516729606126e-9</v>
      </c>
      <c r="F22" s="12">
        <v>1.4719792804126e-9</v>
      </c>
      <c r="G22" s="12">
        <v>1.4350561792742e-9</v>
      </c>
      <c r="H22" s="12">
        <v>1.574084424264e-9</v>
      </c>
      <c r="I22" s="12">
        <v>1.5299996286398e-9</v>
      </c>
      <c r="J22" s="12">
        <v>1.4176401632502e-9</v>
      </c>
      <c r="K22" s="12">
        <v>1.4987924285776e-9</v>
      </c>
      <c r="L22" s="12">
        <v>1.4877830610929e-9</v>
      </c>
      <c r="M22" s="12">
        <v>1.4796119583939e-9</v>
      </c>
      <c r="N22" s="12">
        <v>1.0145104376552e-9</v>
      </c>
      <c r="O22" s="12">
        <v>1.5293046432318e-9</v>
      </c>
      <c r="P22" s="12">
        <v>1.0177951058344e-9</v>
      </c>
      <c r="Q22" s="12">
        <v>1.0611366185363e-9</v>
      </c>
      <c r="R22" s="12">
        <v>1.5154602839307e-9</v>
      </c>
      <c r="S22" s="12">
        <v>1.4348543744278e-9</v>
      </c>
      <c r="T22" s="12">
        <v>1.477886005069e-9</v>
      </c>
      <c r="U22" s="12">
        <v>1.4496213272105e-9</v>
      </c>
      <c r="V22" s="12">
        <v>1.4564154470532e-9</v>
      </c>
      <c r="W22" s="12">
        <v>1.4999554137168e-9</v>
      </c>
      <c r="X22" s="12">
        <v>1.4890036424022e-9</v>
      </c>
      <c r="Y22" s="12">
        <v>1.0018871906037e-9</v>
      </c>
      <c r="Z22" s="12">
        <v>1.046442491697e-9</v>
      </c>
      <c r="AA22" s="12">
        <v>1.0123068883728e-9</v>
      </c>
      <c r="AB22" s="11">
        <v>0.99942238542238</v>
      </c>
      <c r="AC22" s="11">
        <v>0.6598691730469</v>
      </c>
      <c r="AD22" s="11">
        <v>0.0014999835785305</v>
      </c>
      <c r="AE22" s="12">
        <v>3.4814800569395e-10</v>
      </c>
      <c r="AF22" s="12">
        <v>1.3881794973058e-10</v>
      </c>
      <c r="AG22" s="12">
        <v>7.085496657999e-11</v>
      </c>
      <c r="AH22" s="12">
        <v>1.4490112381587e-10</v>
      </c>
      <c r="AI22" s="12">
        <v>-1.3980976108589e-9</v>
      </c>
      <c r="AJ22" s="12">
        <v>-7.0160761000321e-10</v>
      </c>
      <c r="AK22" s="12">
        <v>-2.0461531995277e-11</v>
      </c>
      <c r="AL22" s="12">
        <v>-4.6936171844126e-10</v>
      </c>
      <c r="AM22" s="12">
        <v>-1.4019308150376e-10</v>
      </c>
      <c r="AN22" s="12">
        <v>-3.6305269228649e-10</v>
      </c>
      <c r="AO22" s="12">
        <v>-2.057248266333e-10</v>
      </c>
      <c r="AP22" s="12">
        <v>5.9050918599574e-10</v>
      </c>
      <c r="AQ22" s="12">
        <v>-3.8566432373356e-10</v>
      </c>
      <c r="AR22" s="12">
        <v>-5.5742633069288e-10</v>
      </c>
      <c r="AS22" s="12">
        <v>-8.0274186290759e-10</v>
      </c>
      <c r="AT22" s="12">
        <v>-2.6803622826873e-10</v>
      </c>
      <c r="AU22" s="12">
        <v>-5.4969834385881e-10</v>
      </c>
      <c r="AV22" s="12">
        <v>-2.907135304622e-10</v>
      </c>
      <c r="AW22" s="12">
        <v>-8.9402129099938e-11</v>
      </c>
      <c r="AX22" s="12">
        <v>-4.77808876548e-10</v>
      </c>
      <c r="AY22" s="12">
        <v>-2.6125895968585e-10</v>
      </c>
      <c r="AZ22" s="12">
        <v>-7.8561230969167e-11</v>
      </c>
      <c r="BA22" s="12">
        <v>2.8502084551066e-10</v>
      </c>
      <c r="BB22" s="12">
        <v>1.4749646649091e-10</v>
      </c>
      <c r="BC22" s="11">
        <v>15917004.234611</v>
      </c>
      <c r="BD22" s="11">
        <v>4095422.4404449</v>
      </c>
      <c r="BE22" s="12">
        <v>-8.0294507992655e-5</v>
      </c>
      <c r="BF22" s="12">
        <v>-4.1608203312811e-5</v>
      </c>
      <c r="BG22" s="11">
        <v>0.0018060599154585</v>
      </c>
      <c r="BH22" s="11">
        <v>-0.00065296257552815</v>
      </c>
      <c r="BI22" s="11">
        <v>-0.00093174406458381</v>
      </c>
      <c r="BJ22" s="11">
        <v>80.003066142444</v>
      </c>
      <c r="BK22" s="11">
        <v>81.64825616775</v>
      </c>
      <c r="BL22" s="7"/>
    </row>
    <row r="23" spans="1:64">
      <c r="A23" s="11">
        <v>56100.922715098</v>
      </c>
      <c r="B23" s="11">
        <v>0.0013540624765038</v>
      </c>
      <c r="C23" s="12">
        <f t="shared" si="1"/>
        <v>2.38794888988058e-8</v>
      </c>
      <c r="D23" s="12">
        <v>1.4409705809946e-9</v>
      </c>
      <c r="E23" s="12">
        <v>1.4431777461982e-9</v>
      </c>
      <c r="F23" s="12">
        <v>1.4713468600663e-9</v>
      </c>
      <c r="G23" s="12">
        <v>1.426759661157e-9</v>
      </c>
      <c r="H23" s="12">
        <v>1.585086071709e-9</v>
      </c>
      <c r="I23" s="12">
        <v>1.5372286545279e-9</v>
      </c>
      <c r="J23" s="12">
        <v>1.3943835727876e-9</v>
      </c>
      <c r="K23" s="12">
        <v>1.4920120857497e-9</v>
      </c>
      <c r="L23" s="12">
        <v>1.4844305046514e-9</v>
      </c>
      <c r="M23" s="12">
        <v>1.4692458979748e-9</v>
      </c>
      <c r="N23" s="12">
        <v>1.0115264084879e-9</v>
      </c>
      <c r="O23" s="12">
        <v>1.5352912268156e-9</v>
      </c>
      <c r="P23" s="12">
        <v>1.0134025511919e-9</v>
      </c>
      <c r="Q23" s="12">
        <v>1.0646196763414e-9</v>
      </c>
      <c r="R23" s="12">
        <v>1.5233788519424e-9</v>
      </c>
      <c r="S23" s="12">
        <v>1.4228313015252e-9</v>
      </c>
      <c r="T23" s="12">
        <v>1.4770032744334e-9</v>
      </c>
      <c r="U23" s="12">
        <v>1.4339723123928e-9</v>
      </c>
      <c r="V23" s="12">
        <v>1.4400267561915e-9</v>
      </c>
      <c r="W23" s="12">
        <v>1.4985426029413e-9</v>
      </c>
      <c r="X23" s="12">
        <v>1.4849243529213e-9</v>
      </c>
      <c r="Y23" s="12">
        <v>9.9387879900353e-10</v>
      </c>
      <c r="Z23" s="12">
        <v>1.0503668898704e-9</v>
      </c>
      <c r="AA23" s="12">
        <v>1.0084651395671e-9</v>
      </c>
      <c r="AB23" s="11">
        <v>0.99950166321525</v>
      </c>
      <c r="AC23" s="11">
        <v>0.64120781949516</v>
      </c>
      <c r="AD23" s="11">
        <v>0.0017829069715768</v>
      </c>
      <c r="AE23" s="12">
        <v>3.6539592716234e-10</v>
      </c>
      <c r="AF23" s="12">
        <v>1.2487219446481e-10</v>
      </c>
      <c r="AG23" s="12">
        <v>7.266528885956e-11</v>
      </c>
      <c r="AH23" s="12">
        <v>1.9010854958522e-10</v>
      </c>
      <c r="AI23" s="12">
        <v>-1.3996621039041e-9</v>
      </c>
      <c r="AJ23" s="12">
        <v>-6.9611004664227e-10</v>
      </c>
      <c r="AK23" s="12">
        <v>8.3223884231015e-12</v>
      </c>
      <c r="AL23" s="12">
        <v>-4.709722300773e-10</v>
      </c>
      <c r="AM23" s="12">
        <v>-8.9066644061597e-11</v>
      </c>
      <c r="AN23" s="12">
        <v>-3.7234246718648e-10</v>
      </c>
      <c r="AO23" s="12">
        <v>-1.77396058988e-10</v>
      </c>
      <c r="AP23" s="12">
        <v>6.2228830295708e-10</v>
      </c>
      <c r="AQ23" s="12">
        <v>-3.9664850863716e-10</v>
      </c>
      <c r="AR23" s="12">
        <v>-5.4700707421486e-10</v>
      </c>
      <c r="AS23" s="12">
        <v>-7.7965669448819e-10</v>
      </c>
      <c r="AT23" s="12">
        <v>-2.7776662503067e-10</v>
      </c>
      <c r="AU23" s="12">
        <v>-5.5800361338124e-10</v>
      </c>
      <c r="AV23" s="12">
        <v>-3.1741744048525e-10</v>
      </c>
      <c r="AW23" s="12">
        <v>-9.5379084207728e-11</v>
      </c>
      <c r="AX23" s="12">
        <v>-5.0765174683239e-10</v>
      </c>
      <c r="AY23" s="12">
        <v>-2.8940023635793e-10</v>
      </c>
      <c r="AZ23" s="12">
        <v>-6.8987767472015e-11</v>
      </c>
      <c r="BA23" s="12">
        <v>3.0681905851716e-10</v>
      </c>
      <c r="BB23" s="12">
        <v>1.9981913834989e-10</v>
      </c>
      <c r="BC23" s="11">
        <v>15896072.480293</v>
      </c>
      <c r="BD23" s="11">
        <v>4130160.5815723</v>
      </c>
      <c r="BE23" s="12">
        <v>-6.7227869331569e-5</v>
      </c>
      <c r="BF23" s="12">
        <v>-2.483844876603e-5</v>
      </c>
      <c r="BG23" s="11">
        <v>0.0021538217806889</v>
      </c>
      <c r="BH23" s="11">
        <v>-0.00046934198912578</v>
      </c>
      <c r="BI23" s="11">
        <v>-0.00087165129409255</v>
      </c>
      <c r="BJ23" s="11">
        <v>80.00329773755</v>
      </c>
      <c r="BK23" s="11">
        <v>81.286725305895</v>
      </c>
      <c r="BL23" s="7"/>
    </row>
    <row r="24" spans="1:64">
      <c r="A24" s="11">
        <v>70626.877231137</v>
      </c>
      <c r="B24" s="11">
        <v>0.0017057107089555</v>
      </c>
      <c r="C24" s="12">
        <f t="shared" si="1"/>
        <v>2.42082702423048e-8</v>
      </c>
      <c r="D24" s="12">
        <v>1.4336747854827e-9</v>
      </c>
      <c r="E24" s="12">
        <v>1.4373431520006e-9</v>
      </c>
      <c r="F24" s="12">
        <v>1.4765883921215e-9</v>
      </c>
      <c r="G24" s="12">
        <v>1.4232125916765e-9</v>
      </c>
      <c r="H24" s="12">
        <v>1.604457210797e-9</v>
      </c>
      <c r="I24" s="12">
        <v>1.5541756085159e-9</v>
      </c>
      <c r="J24" s="12">
        <v>1.3709878058706e-9</v>
      </c>
      <c r="K24" s="12">
        <v>1.4894441816106e-9</v>
      </c>
      <c r="L24" s="12">
        <v>1.4876931241629e-9</v>
      </c>
      <c r="M24" s="12">
        <v>1.4613628913578e-9</v>
      </c>
      <c r="N24" s="12">
        <v>1.0131006649342e-9</v>
      </c>
      <c r="O24" s="12">
        <v>1.5487954487697e-9</v>
      </c>
      <c r="P24" s="12">
        <v>1.0113739676817e-9</v>
      </c>
      <c r="Q24" s="12">
        <v>1.0727769742845e-9</v>
      </c>
      <c r="R24" s="12">
        <v>1.5389356681485e-9</v>
      </c>
      <c r="S24" s="12">
        <v>1.4118047778503e-9</v>
      </c>
      <c r="T24" s="12">
        <v>1.4809480012032e-9</v>
      </c>
      <c r="U24" s="12">
        <v>1.4217800824355e-9</v>
      </c>
      <c r="V24" s="12">
        <v>1.4255560419632e-9</v>
      </c>
      <c r="W24" s="12">
        <v>1.5024199939859e-9</v>
      </c>
      <c r="X24" s="12">
        <v>1.4870760522852e-9</v>
      </c>
      <c r="Y24" s="12">
        <v>9.8781190834414e-10</v>
      </c>
      <c r="Z24" s="12">
        <v>1.0593264453248e-9</v>
      </c>
      <c r="AA24" s="12">
        <v>1.0087413493178e-9</v>
      </c>
      <c r="AB24" s="11">
        <v>0.99957324868465</v>
      </c>
      <c r="AC24" s="11">
        <v>0.62277942776917</v>
      </c>
      <c r="AD24" s="11">
        <v>0.002141870382225</v>
      </c>
      <c r="AE24" s="12">
        <v>3.844524153108e-10</v>
      </c>
      <c r="AF24" s="12">
        <v>1.1015840948556e-10</v>
      </c>
      <c r="AG24" s="12">
        <v>6.5770541440641e-11</v>
      </c>
      <c r="AH24" s="12">
        <v>2.325436231761e-10</v>
      </c>
      <c r="AI24" s="12">
        <v>-1.4225954990849e-9</v>
      </c>
      <c r="AJ24" s="12">
        <v>-7.135839701748e-10</v>
      </c>
      <c r="AK24" s="12">
        <v>2.4584301784561e-11</v>
      </c>
      <c r="AL24" s="12">
        <v>-4.8327895911039e-10</v>
      </c>
      <c r="AM24" s="12">
        <v>-4.2339692856695e-11</v>
      </c>
      <c r="AN24" s="12">
        <v>-3.843152884817e-10</v>
      </c>
      <c r="AO24" s="12">
        <v>-1.6289636980108e-10</v>
      </c>
      <c r="AP24" s="12">
        <v>6.4243617961089e-10</v>
      </c>
      <c r="AQ24" s="12">
        <v>-4.1189863313054e-10</v>
      </c>
      <c r="AR24" s="12">
        <v>-5.5369514139357e-10</v>
      </c>
      <c r="AS24" s="12">
        <v>-7.6662900079811e-10</v>
      </c>
      <c r="AT24" s="12">
        <v>-2.9660679571252e-10</v>
      </c>
      <c r="AU24" s="12">
        <v>-5.865697483107e-10</v>
      </c>
      <c r="AV24" s="12">
        <v>-3.5895772042197e-10</v>
      </c>
      <c r="AW24" s="12">
        <v>-1.0270780132805e-10</v>
      </c>
      <c r="AX24" s="12">
        <v>-5.1451485193556e-10</v>
      </c>
      <c r="AY24" s="12">
        <v>-3.1039704402834e-10</v>
      </c>
      <c r="AZ24" s="12">
        <v>-4.7668151857089e-11</v>
      </c>
      <c r="BA24" s="12">
        <v>3.2554176860531e-10</v>
      </c>
      <c r="BB24" s="12">
        <v>2.5388258555618e-10</v>
      </c>
      <c r="BC24" s="11">
        <v>15869988.629337</v>
      </c>
      <c r="BD24" s="11">
        <v>4180203.3336444</v>
      </c>
      <c r="BE24" s="12">
        <v>-5.1479723229839e-5</v>
      </c>
      <c r="BF24" s="12">
        <v>-5.2417289343617e-6</v>
      </c>
      <c r="BG24" s="11">
        <v>0.0025932710328262</v>
      </c>
      <c r="BH24" s="11">
        <v>0.00026032693335097</v>
      </c>
      <c r="BI24" s="11">
        <v>-0.00030238670868985</v>
      </c>
      <c r="BJ24" s="11">
        <v>80.003539937694</v>
      </c>
      <c r="BK24" s="11">
        <v>81.0595105138</v>
      </c>
      <c r="BL24" s="7"/>
    </row>
    <row r="25" spans="1:64">
      <c r="A25" s="11">
        <v>88913.970501945</v>
      </c>
      <c r="B25" s="11">
        <v>0.0021554714489842</v>
      </c>
      <c r="C25" s="12">
        <f t="shared" si="1"/>
        <v>2.45944357240558e-8</v>
      </c>
      <c r="D25" s="12">
        <v>1.4323397896045e-9</v>
      </c>
      <c r="E25" s="12">
        <v>1.4345638837086e-9</v>
      </c>
      <c r="F25" s="12">
        <v>1.4897635628897e-9</v>
      </c>
      <c r="G25" s="12">
        <v>1.4262934799677e-9</v>
      </c>
      <c r="H25" s="12">
        <v>1.6352438523443e-9</v>
      </c>
      <c r="I25" s="12">
        <v>1.5831145036993e-9</v>
      </c>
      <c r="J25" s="12">
        <v>1.3480853850828e-9</v>
      </c>
      <c r="K25" s="12">
        <v>1.4918306235901e-9</v>
      </c>
      <c r="L25" s="12">
        <v>1.4985253580291e-9</v>
      </c>
      <c r="M25" s="12">
        <v>1.4558059638831e-9</v>
      </c>
      <c r="N25" s="12">
        <v>1.0213799703038e-9</v>
      </c>
      <c r="O25" s="12">
        <v>1.5715705862416e-9</v>
      </c>
      <c r="P25" s="12">
        <v>1.0128990482831e-9</v>
      </c>
      <c r="Q25" s="12">
        <v>1.0874394039767e-9</v>
      </c>
      <c r="R25" s="12">
        <v>1.5628948392233e-9</v>
      </c>
      <c r="S25" s="12">
        <v>1.4020091887018e-9</v>
      </c>
      <c r="T25" s="12">
        <v>1.4913245187168e-9</v>
      </c>
      <c r="U25" s="12">
        <v>1.4156300369004e-9</v>
      </c>
      <c r="V25" s="12">
        <v>1.4133030309118e-9</v>
      </c>
      <c r="W25" s="12">
        <v>1.5112108630165e-9</v>
      </c>
      <c r="X25" s="12">
        <v>1.4964743383388e-9</v>
      </c>
      <c r="Y25" s="12">
        <v>9.852046599859e-10</v>
      </c>
      <c r="Z25" s="12">
        <v>1.0750050616371e-9</v>
      </c>
      <c r="AA25" s="12">
        <v>1.0148964635173e-9</v>
      </c>
      <c r="AB25" s="11">
        <v>0.99963811157556</v>
      </c>
      <c r="AC25" s="11">
        <v>0.60616568935322</v>
      </c>
      <c r="AD25" s="11">
        <v>0.0025985811104356</v>
      </c>
      <c r="AE25" s="12">
        <v>4.0614452968079e-10</v>
      </c>
      <c r="AF25" s="12">
        <v>9.7525509365993e-11</v>
      </c>
      <c r="AG25" s="12">
        <v>4.892135535329e-11</v>
      </c>
      <c r="AH25" s="12">
        <v>2.6394934256436e-10</v>
      </c>
      <c r="AI25" s="12">
        <v>-1.4541994284801e-9</v>
      </c>
      <c r="AJ25" s="12">
        <v>-7.4330546382898e-10</v>
      </c>
      <c r="AK25" s="12">
        <v>3.5787966641948e-11</v>
      </c>
      <c r="AL25" s="12">
        <v>-4.9947759715157e-10</v>
      </c>
      <c r="AM25" s="12">
        <v>-2.1723446820542e-12</v>
      </c>
      <c r="AN25" s="12">
        <v>-3.9380079307289e-10</v>
      </c>
      <c r="AO25" s="12">
        <v>-1.6411683288413e-10</v>
      </c>
      <c r="AP25" s="12">
        <v>6.508778329218e-10</v>
      </c>
      <c r="AQ25" s="12">
        <v>-4.2734597680529e-10</v>
      </c>
      <c r="AR25" s="12">
        <v>-5.7179053041749e-10</v>
      </c>
      <c r="AS25" s="12">
        <v>-7.6205926797344e-10</v>
      </c>
      <c r="AT25" s="12">
        <v>-3.1409943379468e-10</v>
      </c>
      <c r="AU25" s="12">
        <v>-6.2291100853901e-10</v>
      </c>
      <c r="AV25" s="12">
        <v>-4.1415320400197e-10</v>
      </c>
      <c r="AW25" s="12">
        <v>-1.1251381525251e-10</v>
      </c>
      <c r="AX25" s="12">
        <v>-4.9935844244248e-10</v>
      </c>
      <c r="AY25" s="12">
        <v>-3.2029878109658e-10</v>
      </c>
      <c r="AZ25" s="12">
        <v>-1.5004081036726e-11</v>
      </c>
      <c r="BA25" s="12">
        <v>3.4113417437838e-10</v>
      </c>
      <c r="BB25" s="12">
        <v>3.0127819430976e-10</v>
      </c>
      <c r="BC25" s="11">
        <v>15837429.900282</v>
      </c>
      <c r="BD25" s="11">
        <v>4250195.7714339</v>
      </c>
      <c r="BE25" s="12">
        <v>-3.2248999505087e-5</v>
      </c>
      <c r="BF25" s="12">
        <v>1.7984268170966e-5</v>
      </c>
      <c r="BG25" s="11">
        <v>0.0031501419094608</v>
      </c>
      <c r="BH25" s="11">
        <v>0.0023173510715352</v>
      </c>
      <c r="BI25" s="11">
        <v>0.0013707953692014</v>
      </c>
      <c r="BJ25" s="11">
        <v>80.003682625762</v>
      </c>
      <c r="BK25" s="11">
        <v>80.964190119393</v>
      </c>
      <c r="BL25" s="7"/>
    </row>
    <row r="26" spans="1:64">
      <c r="A26" s="11">
        <v>111936.05692842</v>
      </c>
      <c r="B26" s="11">
        <v>0.0027311283836854</v>
      </c>
      <c r="C26" s="12">
        <f t="shared" si="1"/>
        <v>2.50045510227607e-8</v>
      </c>
      <c r="D26" s="12">
        <v>1.4359414798978e-9</v>
      </c>
      <c r="E26" s="12">
        <v>1.4348331013204e-9</v>
      </c>
      <c r="F26" s="12">
        <v>1.5130235349787e-9</v>
      </c>
      <c r="G26" s="12">
        <v>1.4375153747293e-9</v>
      </c>
      <c r="H26" s="12">
        <v>1.6783813290218e-9</v>
      </c>
      <c r="I26" s="12">
        <v>1.6230299451143e-9</v>
      </c>
      <c r="J26" s="12">
        <v>1.3244705817531e-9</v>
      </c>
      <c r="K26" s="12">
        <v>1.4987588791443e-9</v>
      </c>
      <c r="L26" s="12">
        <v>1.5163643405635e-9</v>
      </c>
      <c r="M26" s="12">
        <v>1.4515469123824e-9</v>
      </c>
      <c r="N26" s="12">
        <v>1.036517991738e-9</v>
      </c>
      <c r="O26" s="12">
        <v>1.6026426284791e-9</v>
      </c>
      <c r="P26" s="12">
        <v>1.0177691457444e-9</v>
      </c>
      <c r="Q26" s="12">
        <v>1.1088400409998e-9</v>
      </c>
      <c r="R26" s="12">
        <v>1.5949490257372e-9</v>
      </c>
      <c r="S26" s="12">
        <v>1.3936610249925e-9</v>
      </c>
      <c r="T26" s="12">
        <v>1.5098097219164e-9</v>
      </c>
      <c r="U26" s="12">
        <v>1.4163363707392e-9</v>
      </c>
      <c r="V26" s="12">
        <v>1.402337199641e-9</v>
      </c>
      <c r="W26" s="12">
        <v>1.5232620082756e-9</v>
      </c>
      <c r="X26" s="12">
        <v>1.5126392595346e-9</v>
      </c>
      <c r="Y26" s="12">
        <v>9.861910731571e-10</v>
      </c>
      <c r="Z26" s="12">
        <v>1.097392069539e-9</v>
      </c>
      <c r="AA26" s="12">
        <v>1.0267429945355e-9</v>
      </c>
      <c r="AB26" s="11">
        <v>0.9996964546092</v>
      </c>
      <c r="AC26" s="11">
        <v>0.59247061874888</v>
      </c>
      <c r="AD26" s="11">
        <v>0.0031805264168411</v>
      </c>
      <c r="AE26" s="12">
        <v>4.294311584385e-10</v>
      </c>
      <c r="AF26" s="12">
        <v>8.8685457059822e-11</v>
      </c>
      <c r="AG26" s="12">
        <v>2.4108326918619e-11</v>
      </c>
      <c r="AH26" s="12">
        <v>2.7627496994598e-10</v>
      </c>
      <c r="AI26" s="12">
        <v>-1.4898325198759e-9</v>
      </c>
      <c r="AJ26" s="12">
        <v>-7.7967759973075e-10</v>
      </c>
      <c r="AK26" s="12">
        <v>4.3357303113536e-11</v>
      </c>
      <c r="AL26" s="12">
        <v>-5.1586241026499e-10</v>
      </c>
      <c r="AM26" s="12">
        <v>2.8721110436888e-11</v>
      </c>
      <c r="AN26" s="12">
        <v>-4.0191329357517e-10</v>
      </c>
      <c r="AO26" s="12">
        <v>-1.7942606502643e-10</v>
      </c>
      <c r="AP26" s="12">
        <v>6.5062760263712e-10</v>
      </c>
      <c r="AQ26" s="12">
        <v>-4.4160303555352e-10</v>
      </c>
      <c r="AR26" s="12">
        <v>-5.9399839133178e-10</v>
      </c>
      <c r="AS26" s="12">
        <v>-7.6871027435533e-10</v>
      </c>
      <c r="AT26" s="12">
        <v>-3.2526884373532e-10</v>
      </c>
      <c r="AU26" s="12">
        <v>-6.6224904038202e-10</v>
      </c>
      <c r="AV26" s="12">
        <v>-4.7605906056805e-10</v>
      </c>
      <c r="AW26" s="12">
        <v>-1.2365016836553e-10</v>
      </c>
      <c r="AX26" s="12">
        <v>-4.7014552098101e-10</v>
      </c>
      <c r="AY26" s="12">
        <v>-3.1945113028942e-10</v>
      </c>
      <c r="AZ26" s="12">
        <v>2.5073426630083e-11</v>
      </c>
      <c r="BA26" s="12">
        <v>3.5535746369656e-10</v>
      </c>
      <c r="BB26" s="12">
        <v>3.3374646005739e-10</v>
      </c>
      <c r="BC26" s="11">
        <v>15796705.386818</v>
      </c>
      <c r="BD26" s="11">
        <v>4344849.4649807</v>
      </c>
      <c r="BE26" s="12">
        <v>-7.6356808376238e-6</v>
      </c>
      <c r="BF26" s="12">
        <v>4.6535261213267e-5</v>
      </c>
      <c r="BG26" s="11">
        <v>0.0038568251295145</v>
      </c>
      <c r="BH26" s="11">
        <v>-0.0026912981984761</v>
      </c>
      <c r="BI26" s="11">
        <v>-0.0027040066069658</v>
      </c>
      <c r="BJ26" s="11">
        <v>80.003436012761</v>
      </c>
      <c r="BK26" s="11">
        <v>80.996443834429</v>
      </c>
      <c r="BL26" s="7"/>
    </row>
    <row r="27" spans="1:64">
      <c r="A27" s="11">
        <v>137871.82073672</v>
      </c>
      <c r="B27" s="11">
        <v>0.0033894831581502</v>
      </c>
      <c r="C27" s="12">
        <f t="shared" si="1"/>
        <v>2.53840518957114e-8</v>
      </c>
      <c r="D27" s="12">
        <v>1.4437613765397e-9</v>
      </c>
      <c r="E27" s="12">
        <v>1.4377385876099e-9</v>
      </c>
      <c r="F27" s="12">
        <v>1.5479433887423e-9</v>
      </c>
      <c r="G27" s="12">
        <v>1.457178547809e-9</v>
      </c>
      <c r="H27" s="12">
        <v>1.7349467793172e-9</v>
      </c>
      <c r="I27" s="12">
        <v>1.6717444390068e-9</v>
      </c>
      <c r="J27" s="12">
        <v>1.2999879589259e-9</v>
      </c>
      <c r="K27" s="12">
        <v>1.5102625228139e-9</v>
      </c>
      <c r="L27" s="12">
        <v>1.5414307462812e-9</v>
      </c>
      <c r="M27" s="12">
        <v>1.4489622889331e-9</v>
      </c>
      <c r="N27" s="12">
        <v>1.0586583184351e-9</v>
      </c>
      <c r="O27" s="12">
        <v>1.6409901596305e-9</v>
      </c>
      <c r="P27" s="12">
        <v>1.0265465245449e-9</v>
      </c>
      <c r="Q27" s="12">
        <v>1.1371762052718e-9</v>
      </c>
      <c r="R27" s="12">
        <v>1.6343932574938e-9</v>
      </c>
      <c r="S27" s="12">
        <v>1.3868404744294e-9</v>
      </c>
      <c r="T27" s="12">
        <v>1.5372701463368e-9</v>
      </c>
      <c r="U27" s="12">
        <v>1.4253694853211e-9</v>
      </c>
      <c r="V27" s="12">
        <v>1.3927952844448e-9</v>
      </c>
      <c r="W27" s="12">
        <v>1.5379720514145e-9</v>
      </c>
      <c r="X27" s="12">
        <v>1.5354535472498e-9</v>
      </c>
      <c r="Y27" s="12">
        <v>9.9141851845099e-10</v>
      </c>
      <c r="Z27" s="12">
        <v>1.1267534945594e-9</v>
      </c>
      <c r="AA27" s="12">
        <v>1.0442277101713e-9</v>
      </c>
      <c r="AB27" s="11">
        <v>0.99534636505597</v>
      </c>
      <c r="AC27" s="11">
        <v>0.58268320883077</v>
      </c>
      <c r="AD27" s="11">
        <v>0.0038437250399348</v>
      </c>
      <c r="AE27" s="12">
        <v>4.5231118856896e-10</v>
      </c>
      <c r="AF27" s="12">
        <v>8.0199988089036e-11</v>
      </c>
      <c r="AG27" s="12">
        <v>-1.7891830505574e-12</v>
      </c>
      <c r="AH27" s="12">
        <v>2.7056703517994e-10</v>
      </c>
      <c r="AI27" s="12">
        <v>-1.526633754144e-9</v>
      </c>
      <c r="AJ27" s="12">
        <v>-8.1507906817867e-10</v>
      </c>
      <c r="AK27" s="12">
        <v>4.5071359131471e-11</v>
      </c>
      <c r="AL27" s="12">
        <v>-5.302368044006e-10</v>
      </c>
      <c r="AM27" s="12">
        <v>4.9100769078579e-11</v>
      </c>
      <c r="AN27" s="12">
        <v>-4.0980914632909e-10</v>
      </c>
      <c r="AO27" s="12">
        <v>-2.0872708284303e-10</v>
      </c>
      <c r="AP27" s="12">
        <v>6.4682882678665e-10</v>
      </c>
      <c r="AQ27" s="12">
        <v>-4.5386006005347e-10</v>
      </c>
      <c r="AR27" s="12">
        <v>-6.1587951863952e-10</v>
      </c>
      <c r="AS27" s="12">
        <v>-7.8124279841064e-10</v>
      </c>
      <c r="AT27" s="12">
        <v>-3.3376157381282e-10</v>
      </c>
      <c r="AU27" s="12">
        <v>-7.0221438086203e-10</v>
      </c>
      <c r="AV27" s="12">
        <v>-5.3251015797783e-10</v>
      </c>
      <c r="AW27" s="12">
        <v>-1.3142918254023e-10</v>
      </c>
      <c r="AX27" s="12">
        <v>-4.3399015652698e-10</v>
      </c>
      <c r="AY27" s="12">
        <v>-3.0630968613694e-10</v>
      </c>
      <c r="AZ27" s="12">
        <v>6.7802353802566e-11</v>
      </c>
      <c r="BA27" s="12">
        <v>3.6876551464969e-10</v>
      </c>
      <c r="BB27" s="12">
        <v>3.460504730897e-10</v>
      </c>
      <c r="BC27" s="11">
        <v>15751042.483382</v>
      </c>
      <c r="BD27" s="11">
        <v>4455049.3566727</v>
      </c>
      <c r="BE27" s="12">
        <v>2.209621472513e-5</v>
      </c>
      <c r="BF27" s="12">
        <v>7.9732952948084e-5</v>
      </c>
      <c r="BG27" s="11">
        <v>0.0046589007393366</v>
      </c>
      <c r="BH27" s="11">
        <v>0.0003689626898252</v>
      </c>
      <c r="BI27" s="11">
        <v>0.00025320087352518</v>
      </c>
      <c r="BJ27" s="11">
        <v>80.000449185562</v>
      </c>
      <c r="BK27" s="11">
        <v>81.110839734982</v>
      </c>
      <c r="BL27" s="7"/>
    </row>
    <row r="28" spans="1:64">
      <c r="A28" s="11">
        <v>163822.44846583</v>
      </c>
      <c r="B28" s="11">
        <v>0.0040560852359037</v>
      </c>
      <c r="C28" s="12">
        <f t="shared" si="1"/>
        <v>2.56873199643545e-8</v>
      </c>
      <c r="D28" s="12">
        <v>1.4501411508329e-9</v>
      </c>
      <c r="E28" s="12">
        <v>1.4389903908759e-9</v>
      </c>
      <c r="F28" s="12">
        <v>1.5753440327066e-9</v>
      </c>
      <c r="G28" s="12">
        <v>1.4725145060161e-9</v>
      </c>
      <c r="H28" s="12">
        <v>1.7780605203706e-9</v>
      </c>
      <c r="I28" s="12">
        <v>1.7058843834894e-9</v>
      </c>
      <c r="J28" s="12">
        <v>1.2830457152811e-9</v>
      </c>
      <c r="K28" s="12">
        <v>1.5186142508727e-9</v>
      </c>
      <c r="L28" s="12">
        <v>1.5602774535029e-9</v>
      </c>
      <c r="M28" s="12">
        <v>1.4472900343142e-9</v>
      </c>
      <c r="N28" s="12">
        <v>1.0764162227644e-9</v>
      </c>
      <c r="O28" s="12">
        <v>1.6684553164897e-9</v>
      </c>
      <c r="P28" s="12">
        <v>1.0339514704788e-9</v>
      </c>
      <c r="Q28" s="12">
        <v>1.1584069769528e-9</v>
      </c>
      <c r="R28" s="12">
        <v>1.6616774086636e-9</v>
      </c>
      <c r="S28" s="12">
        <v>1.3816308484697e-9</v>
      </c>
      <c r="T28" s="12">
        <v>1.558029353335e-9</v>
      </c>
      <c r="U28" s="12">
        <v>1.4354939639968e-9</v>
      </c>
      <c r="V28" s="12">
        <v>1.3863676622278e-9</v>
      </c>
      <c r="W28" s="12">
        <v>1.547323414855e-9</v>
      </c>
      <c r="X28" s="12">
        <v>1.552109201793e-9</v>
      </c>
      <c r="Y28" s="12">
        <v>9.9677248635585e-10</v>
      </c>
      <c r="Z28" s="12">
        <v>1.1489838278974e-9</v>
      </c>
      <c r="AA28" s="12">
        <v>1.0578194485415e-9</v>
      </c>
      <c r="AB28" s="11">
        <v>0.9997783486993</v>
      </c>
      <c r="AC28" s="11">
        <v>0.5778550048287</v>
      </c>
      <c r="AD28" s="11">
        <v>0.0045136954490258</v>
      </c>
      <c r="AE28" s="12">
        <v>4.6851349161003e-10</v>
      </c>
      <c r="AF28" s="12">
        <v>7.3389501759878e-11</v>
      </c>
      <c r="AG28" s="12">
        <v>-1.7777533258735e-11</v>
      </c>
      <c r="AH28" s="12">
        <v>2.580422185086e-10</v>
      </c>
      <c r="AI28" s="12">
        <v>-1.5541938576253e-9</v>
      </c>
      <c r="AJ28" s="12">
        <v>-8.374926155429e-10</v>
      </c>
      <c r="AK28" s="12">
        <v>4.2084410947989e-11</v>
      </c>
      <c r="AL28" s="12">
        <v>-5.3939901431518e-10</v>
      </c>
      <c r="AM28" s="12">
        <v>5.3816852630779e-11</v>
      </c>
      <c r="AN28" s="12">
        <v>-4.1987690727817e-10</v>
      </c>
      <c r="AO28" s="12">
        <v>-2.3636296521438e-10</v>
      </c>
      <c r="AP28" s="12">
        <v>6.4505554277218e-10</v>
      </c>
      <c r="AQ28" s="12">
        <v>-4.6166771442143e-10</v>
      </c>
      <c r="AR28" s="12">
        <v>-6.30872022236e-10</v>
      </c>
      <c r="AS28" s="12">
        <v>-7.9273946868775e-10</v>
      </c>
      <c r="AT28" s="12">
        <v>-3.4147151296241e-10</v>
      </c>
      <c r="AU28" s="12">
        <v>-7.2914994731224e-10</v>
      </c>
      <c r="AV28" s="12">
        <v>-5.6445993433069e-10</v>
      </c>
      <c r="AW28" s="12">
        <v>-1.3691952682741e-10</v>
      </c>
      <c r="AX28" s="12">
        <v>-4.1141519554592e-10</v>
      </c>
      <c r="AY28" s="12">
        <v>-2.9843240214243e-10</v>
      </c>
      <c r="AZ28" s="12">
        <v>9.5594715947794e-11</v>
      </c>
      <c r="BA28" s="12">
        <v>3.7581962752716e-10</v>
      </c>
      <c r="BB28" s="12">
        <v>3.4299092272566e-10</v>
      </c>
      <c r="BC28" s="11">
        <v>15705519.796356</v>
      </c>
      <c r="BD28" s="11">
        <v>4565157.025722</v>
      </c>
      <c r="BE28" s="12">
        <v>5.5061855750781e-5</v>
      </c>
      <c r="BF28" s="11">
        <v>0.00011507805223608</v>
      </c>
      <c r="BG28" s="11">
        <v>0.0054660130789709</v>
      </c>
      <c r="BH28" s="11">
        <v>-0.0067519100555686</v>
      </c>
      <c r="BI28" s="11">
        <v>-0.0066738738840068</v>
      </c>
      <c r="BJ28" s="11">
        <v>79.998930414348</v>
      </c>
      <c r="BK28" s="11">
        <v>81.282667369869</v>
      </c>
      <c r="BL28" s="7"/>
    </row>
    <row r="29" spans="1:64">
      <c r="A29" s="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7"/>
      <c r="AD29" s="7"/>
      <c r="AE29" s="7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7"/>
      <c r="BE29" s="7"/>
      <c r="BF29" s="7"/>
      <c r="BG29" s="7"/>
      <c r="BH29" s="7"/>
      <c r="BI29" s="13"/>
      <c r="BJ29" s="13"/>
      <c r="BK29" s="7"/>
      <c r="BL29" s="7"/>
    </row>
    <row r="30" spans="1:64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7"/>
      <c r="AD30" s="7"/>
      <c r="AE30" s="7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7"/>
      <c r="BE30" s="7"/>
      <c r="BF30" s="7"/>
      <c r="BG30" s="7"/>
      <c r="BH30" s="7"/>
      <c r="BI30" s="13"/>
      <c r="BJ30" s="13"/>
      <c r="BK30" s="7"/>
      <c r="BL30" s="7"/>
    </row>
    <row r="31" spans="1:64">
      <c r="A31" s="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7"/>
      <c r="AD31" s="7"/>
      <c r="AE31" s="7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7"/>
      <c r="BE31" s="7"/>
      <c r="BF31" s="7"/>
      <c r="BG31" s="7"/>
      <c r="BH31" s="7"/>
      <c r="BI31" s="13"/>
      <c r="BJ31" s="13"/>
      <c r="BK31" s="7"/>
      <c r="BL31" s="7"/>
    </row>
    <row r="32" spans="1:64">
      <c r="A32" s="7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7"/>
      <c r="AD32" s="7"/>
      <c r="AE32" s="7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7"/>
      <c r="BE32" s="7"/>
      <c r="BF32" s="7"/>
      <c r="BG32" s="7"/>
      <c r="BH32" s="7"/>
      <c r="BI32" s="13"/>
      <c r="BJ32" s="13"/>
      <c r="BK32" s="7"/>
      <c r="BL32" s="7"/>
    </row>
    <row r="33" spans="1:64">
      <c r="A33" s="7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7"/>
      <c r="AD33" s="7"/>
      <c r="AE33" s="7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7"/>
      <c r="BE33" s="7"/>
      <c r="BF33" s="7"/>
      <c r="BG33" s="7"/>
      <c r="BH33" s="7"/>
      <c r="BI33" s="13"/>
      <c r="BJ33" s="13"/>
      <c r="BK33" s="7"/>
      <c r="BL33" s="7"/>
    </row>
    <row r="34" spans="1:64">
      <c r="A34" s="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7"/>
      <c r="AD34" s="7"/>
      <c r="AE34" s="7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7"/>
      <c r="BE34" s="7"/>
      <c r="BF34" s="7"/>
      <c r="BG34" s="7"/>
      <c r="BH34" s="7"/>
      <c r="BI34" s="13"/>
      <c r="BJ34" s="13"/>
      <c r="BK34" s="7"/>
      <c r="BL34" s="7"/>
    </row>
    <row r="35" spans="1:64">
      <c r="A35" s="7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7"/>
      <c r="AD35" s="7"/>
      <c r="AE35" s="7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7"/>
      <c r="BE35" s="7"/>
      <c r="BF35" s="7"/>
      <c r="BG35" s="7"/>
      <c r="BH35" s="7"/>
      <c r="BI35" s="13"/>
      <c r="BJ35" s="13"/>
      <c r="BK35" s="7"/>
      <c r="BL35" s="7"/>
    </row>
    <row r="36" spans="1:64">
      <c r="A36" s="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7"/>
      <c r="AD36" s="7"/>
      <c r="AE36" s="7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7"/>
      <c r="BE36" s="7"/>
      <c r="BF36" s="7"/>
      <c r="BG36" s="7"/>
      <c r="BH36" s="7"/>
      <c r="BI36" s="13"/>
      <c r="BJ36" s="13"/>
      <c r="BK36" s="7"/>
      <c r="BL36" s="7"/>
    </row>
    <row r="37" spans="1:64">
      <c r="A37" s="7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7"/>
      <c r="AD37" s="7"/>
      <c r="AE37" s="7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7"/>
      <c r="BE37" s="7"/>
      <c r="BF37" s="7"/>
      <c r="BG37" s="7"/>
      <c r="BH37" s="7"/>
      <c r="BI37" s="13"/>
      <c r="BJ37" s="13"/>
      <c r="BK37" s="7"/>
      <c r="BL37" s="7"/>
    </row>
    <row r="38" spans="1:64">
      <c r="A38" s="7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"/>
      <c r="AD38" s="7"/>
      <c r="AE38" s="7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7"/>
      <c r="BE38" s="7"/>
      <c r="BF38" s="7"/>
      <c r="BG38" s="7"/>
      <c r="BH38" s="7"/>
      <c r="BI38" s="13"/>
      <c r="BJ38" s="13"/>
      <c r="BK38" s="7"/>
      <c r="BL38" s="7"/>
    </row>
    <row r="39" spans="1:64">
      <c r="A39" s="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7"/>
      <c r="AD39" s="7"/>
      <c r="AE39" s="7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7"/>
      <c r="BE39" s="7"/>
      <c r="BF39" s="7"/>
      <c r="BG39" s="7"/>
      <c r="BH39" s="7"/>
      <c r="BI39" s="13"/>
      <c r="BJ39" s="13"/>
      <c r="BK39" s="7"/>
      <c r="BL39" s="7"/>
    </row>
    <row r="40" spans="1:64">
      <c r="A40" s="7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7"/>
      <c r="AD40" s="7"/>
      <c r="AE40" s="7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7"/>
      <c r="BE40" s="7"/>
      <c r="BF40" s="7"/>
      <c r="BG40" s="7"/>
      <c r="BH40" s="7"/>
      <c r="BI40" s="13"/>
      <c r="BJ40" s="13"/>
      <c r="BK40" s="7"/>
      <c r="BL40" s="7"/>
    </row>
    <row r="41" spans="1:64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7"/>
      <c r="AD41" s="7"/>
      <c r="AE41" s="7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7"/>
      <c r="BE41" s="7"/>
      <c r="BF41" s="7"/>
      <c r="BG41" s="7"/>
      <c r="BH41" s="7"/>
      <c r="BI41" s="13"/>
      <c r="BJ41" s="13"/>
      <c r="BK41" s="7"/>
      <c r="BL41" s="7"/>
    </row>
    <row r="42" spans="1:64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7"/>
      <c r="AD42" s="7"/>
      <c r="AE42" s="7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7"/>
      <c r="BE42" s="7"/>
      <c r="BF42" s="7"/>
      <c r="BG42" s="7"/>
      <c r="BH42" s="7"/>
      <c r="BI42" s="13"/>
      <c r="BJ42" s="13"/>
      <c r="BK42" s="7"/>
      <c r="BL42" s="7"/>
    </row>
    <row r="43" spans="1:64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7"/>
      <c r="AD43" s="7"/>
      <c r="AE43" s="7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7"/>
      <c r="BE43" s="7"/>
      <c r="BF43" s="7"/>
      <c r="BG43" s="7"/>
      <c r="BH43" s="7"/>
      <c r="BI43" s="13"/>
      <c r="BJ43" s="13"/>
      <c r="BK43" s="7"/>
      <c r="BL43" s="7"/>
    </row>
    <row r="44" spans="1:64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7"/>
      <c r="AD44" s="7"/>
      <c r="AE44" s="7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7"/>
      <c r="BE44" s="7"/>
      <c r="BF44" s="7"/>
      <c r="BG44" s="7"/>
      <c r="BH44" s="7"/>
      <c r="BI44" s="13"/>
      <c r="BJ44" s="13"/>
      <c r="BK44" s="7"/>
      <c r="BL44" s="7"/>
    </row>
    <row r="45" spans="1:64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7"/>
      <c r="AD45" s="7"/>
      <c r="AE45" s="7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7"/>
      <c r="BE45" s="7"/>
      <c r="BF45" s="7"/>
      <c r="BG45" s="7"/>
      <c r="BH45" s="7"/>
      <c r="BI45" s="13"/>
      <c r="BJ45" s="13"/>
      <c r="BK45" s="7"/>
      <c r="BL45" s="7"/>
    </row>
    <row r="46" spans="1:64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7"/>
      <c r="AD46" s="7"/>
      <c r="AE46" s="7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7"/>
      <c r="BE46" s="7"/>
      <c r="BF46" s="7"/>
      <c r="BG46" s="7"/>
      <c r="BH46" s="7"/>
      <c r="BI46" s="13"/>
      <c r="BJ46" s="13"/>
      <c r="BK46" s="7"/>
      <c r="BL46" s="7"/>
    </row>
    <row r="47" spans="1:64">
      <c r="A47" s="7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7"/>
      <c r="AD47" s="7"/>
      <c r="AE47" s="7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7"/>
      <c r="BE47" s="7"/>
      <c r="BF47" s="7"/>
      <c r="BG47" s="7"/>
      <c r="BH47" s="7"/>
      <c r="BI47" s="13"/>
      <c r="BJ47" s="13"/>
      <c r="BK47" s="7"/>
      <c r="BL47" s="7"/>
    </row>
    <row r="48" spans="1:64">
      <c r="A48" s="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"/>
      <c r="AD48" s="7"/>
      <c r="AE48" s="7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7"/>
      <c r="BE48" s="7"/>
      <c r="BF48" s="7"/>
      <c r="BG48" s="7"/>
      <c r="BH48" s="7"/>
      <c r="BI48" s="13"/>
      <c r="BJ48" s="13"/>
      <c r="BK48" s="7"/>
      <c r="BL48" s="7"/>
    </row>
    <row r="49" spans="1:64">
      <c r="A49" s="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7"/>
      <c r="AD49" s="7"/>
      <c r="AE49" s="7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7"/>
      <c r="BE49" s="7"/>
      <c r="BF49" s="7"/>
      <c r="BG49" s="7"/>
      <c r="BH49" s="7"/>
      <c r="BI49" s="13"/>
      <c r="BJ49" s="13"/>
      <c r="BK49" s="7"/>
      <c r="BL49" s="7"/>
    </row>
    <row r="50" spans="1:64">
      <c r="A50" s="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7"/>
      <c r="AD50" s="7"/>
      <c r="AE50" s="7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7"/>
      <c r="BE50" s="7"/>
      <c r="BF50" s="7"/>
      <c r="BG50" s="7"/>
      <c r="BH50" s="7"/>
      <c r="BI50" s="13"/>
      <c r="BJ50" s="13"/>
      <c r="BK50" s="7"/>
      <c r="BL50" s="7"/>
    </row>
    <row r="51" spans="1:64">
      <c r="A51" s="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7"/>
      <c r="AD51" s="7"/>
      <c r="AE51" s="7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7"/>
      <c r="BE51" s="7"/>
      <c r="BF51" s="7"/>
      <c r="BG51" s="7"/>
      <c r="BH51" s="7"/>
      <c r="BI51" s="13"/>
      <c r="BJ51" s="13"/>
      <c r="BK51" s="7"/>
      <c r="BL51" s="7"/>
    </row>
    <row r="52" spans="1:64">
      <c r="A52" s="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7"/>
      <c r="AD52" s="7"/>
      <c r="AE52" s="7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7"/>
      <c r="BE52" s="7"/>
      <c r="BF52" s="7"/>
      <c r="BG52" s="7"/>
      <c r="BH52" s="7"/>
      <c r="BI52" s="13"/>
      <c r="BJ52" s="13"/>
      <c r="BK52" s="7"/>
      <c r="BL52" s="7"/>
    </row>
    <row r="53" spans="1:64">
      <c r="A53" s="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7"/>
      <c r="AD53" s="7"/>
      <c r="AE53" s="7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7"/>
      <c r="BE53" s="7"/>
      <c r="BF53" s="7"/>
      <c r="BG53" s="7"/>
      <c r="BH53" s="7"/>
      <c r="BI53" s="13"/>
      <c r="BJ53" s="13"/>
      <c r="BK53" s="7"/>
      <c r="BL53" s="7"/>
    </row>
    <row r="54" spans="1:64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7"/>
      <c r="AD54" s="7"/>
      <c r="AE54" s="7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7"/>
      <c r="BE54" s="7"/>
      <c r="BF54" s="7"/>
      <c r="BG54" s="7"/>
      <c r="BH54" s="7"/>
      <c r="BI54" s="13"/>
      <c r="BJ54" s="13"/>
      <c r="BK54" s="7"/>
      <c r="BL54" s="7"/>
    </row>
    <row r="55" spans="1:64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7"/>
      <c r="AD55" s="7"/>
      <c r="AE55" s="7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7"/>
      <c r="BE55" s="7"/>
      <c r="BF55" s="7"/>
      <c r="BG55" s="7"/>
      <c r="BH55" s="7"/>
      <c r="BI55" s="13"/>
      <c r="BJ55" s="13"/>
      <c r="BK55" s="7"/>
      <c r="BL55" s="7"/>
    </row>
    <row r="56" spans="1:64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7"/>
      <c r="AD56" s="7"/>
      <c r="AE56" s="7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7"/>
      <c r="BE56" s="7"/>
      <c r="BF56" s="7"/>
      <c r="BG56" s="7"/>
      <c r="BH56" s="7"/>
      <c r="BI56" s="13"/>
      <c r="BJ56" s="13"/>
      <c r="BK56" s="7"/>
      <c r="BL56" s="7"/>
    </row>
    <row r="57" spans="1:64">
      <c r="A57" s="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7"/>
      <c r="AD57" s="7"/>
      <c r="AE57" s="7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7"/>
      <c r="BE57" s="7"/>
      <c r="BF57" s="7"/>
      <c r="BG57" s="7"/>
      <c r="BH57" s="7"/>
      <c r="BI57" s="13"/>
      <c r="BJ57" s="13"/>
      <c r="BK57" s="7"/>
      <c r="BL57" s="7"/>
    </row>
    <row r="58" spans="1:64">
      <c r="A58" s="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7"/>
      <c r="AD58" s="7"/>
      <c r="AE58" s="7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7"/>
      <c r="BE58" s="7"/>
      <c r="BF58" s="7"/>
      <c r="BG58" s="7"/>
      <c r="BH58" s="7"/>
      <c r="BI58" s="13"/>
      <c r="BJ58" s="13"/>
      <c r="BK58" s="7"/>
      <c r="BL58" s="7"/>
    </row>
    <row r="59" spans="1:64">
      <c r="A59" s="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7"/>
      <c r="AD59" s="7"/>
      <c r="AE59" s="7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7"/>
      <c r="BE59" s="7"/>
      <c r="BF59" s="7"/>
      <c r="BG59" s="7"/>
      <c r="BH59" s="7"/>
      <c r="BI59" s="13"/>
      <c r="BJ59" s="13"/>
      <c r="BK59" s="7"/>
      <c r="BL59" s="7"/>
    </row>
    <row r="60" spans="1:64">
      <c r="A60" s="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7"/>
      <c r="AD60" s="7"/>
      <c r="AE60" s="7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7"/>
      <c r="BE60" s="7"/>
      <c r="BF60" s="7"/>
      <c r="BG60" s="7"/>
      <c r="BH60" s="7"/>
      <c r="BI60" s="13"/>
      <c r="BJ60" s="13"/>
      <c r="BK60" s="7"/>
      <c r="BL60" s="7"/>
    </row>
    <row r="61" spans="1:64">
      <c r="A61" s="7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7"/>
      <c r="AD61" s="7"/>
      <c r="AE61" s="7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7"/>
      <c r="BE61" s="7"/>
      <c r="BF61" s="7"/>
      <c r="BG61" s="7"/>
      <c r="BH61" s="7"/>
      <c r="BI61" s="13"/>
      <c r="BJ61" s="13"/>
      <c r="BK61" s="7"/>
      <c r="BL61" s="7"/>
    </row>
    <row r="62" spans="1:64">
      <c r="A62" s="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"/>
      <c r="AD62" s="7"/>
      <c r="AE62" s="7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7"/>
      <c r="BE62" s="7"/>
      <c r="BF62" s="7"/>
      <c r="BG62" s="7"/>
      <c r="BH62" s="7"/>
      <c r="BI62" s="13"/>
      <c r="BJ62" s="13"/>
      <c r="BK62" s="7"/>
      <c r="BL62" s="7"/>
    </row>
    <row r="63" spans="1:64">
      <c r="A63" s="7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7"/>
      <c r="AD63" s="7"/>
      <c r="AE63" s="7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7"/>
      <c r="BE63" s="7"/>
      <c r="BF63" s="7"/>
      <c r="BG63" s="7"/>
      <c r="BH63" s="7"/>
      <c r="BI63" s="13"/>
      <c r="BJ63" s="13"/>
      <c r="BK63" s="7"/>
      <c r="BL63" s="7"/>
    </row>
    <row r="64" spans="1:64">
      <c r="A64" s="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7"/>
      <c r="AD64" s="7"/>
      <c r="AE64" s="7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7"/>
      <c r="BE64" s="7"/>
      <c r="BF64" s="7"/>
      <c r="BG64" s="7"/>
      <c r="BH64" s="7"/>
      <c r="BI64" s="13"/>
      <c r="BJ64" s="13"/>
      <c r="BK64" s="7"/>
      <c r="BL64" s="7"/>
    </row>
    <row r="65" spans="1:64">
      <c r="A65" s="7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7"/>
      <c r="AD65" s="7"/>
      <c r="AE65" s="7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7"/>
      <c r="BE65" s="7"/>
      <c r="BF65" s="7"/>
      <c r="BG65" s="7"/>
      <c r="BH65" s="7"/>
      <c r="BI65" s="13"/>
      <c r="BJ65" s="13"/>
      <c r="BK65" s="7"/>
      <c r="BL65" s="7"/>
    </row>
    <row r="66" spans="1:64">
      <c r="A66" s="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7"/>
      <c r="AD66" s="7"/>
      <c r="AE66" s="7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7"/>
      <c r="BE66" s="7"/>
      <c r="BF66" s="7"/>
      <c r="BG66" s="7"/>
      <c r="BH66" s="7"/>
      <c r="BI66" s="13"/>
      <c r="BJ66" s="13"/>
      <c r="BK66" s="7"/>
      <c r="BL66" s="7"/>
    </row>
    <row r="67" spans="1:64">
      <c r="A67" s="7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7"/>
      <c r="AD67" s="7"/>
      <c r="AE67" s="7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7"/>
      <c r="BE67" s="7"/>
      <c r="BF67" s="7"/>
      <c r="BG67" s="7"/>
      <c r="BH67" s="7"/>
      <c r="BI67" s="13"/>
      <c r="BJ67" s="13"/>
      <c r="BK67" s="7"/>
      <c r="BL67" s="7"/>
    </row>
    <row r="68" spans="1:64">
      <c r="A68" s="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7"/>
      <c r="AD68" s="7"/>
      <c r="AE68" s="7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7"/>
      <c r="BE68" s="7"/>
      <c r="BF68" s="7"/>
      <c r="BG68" s="7"/>
      <c r="BH68" s="7"/>
      <c r="BI68" s="13"/>
      <c r="BJ68" s="13"/>
      <c r="BK68" s="7"/>
      <c r="BL68" s="7"/>
    </row>
    <row r="69" spans="1:64">
      <c r="A69" s="7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7"/>
      <c r="AD69" s="7"/>
      <c r="AE69" s="7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7"/>
      <c r="BE69" s="7"/>
      <c r="BF69" s="7"/>
      <c r="BG69" s="7"/>
      <c r="BH69" s="7"/>
      <c r="BI69" s="13"/>
      <c r="BJ69" s="13"/>
      <c r="BK69" s="7"/>
      <c r="BL69" s="7"/>
    </row>
    <row r="70" spans="1:64">
      <c r="A70" s="7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7"/>
      <c r="AD70" s="7"/>
      <c r="AE70" s="7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7"/>
      <c r="BE70" s="7"/>
      <c r="BF70" s="7"/>
      <c r="BG70" s="7"/>
      <c r="BH70" s="7"/>
      <c r="BI70" s="13"/>
      <c r="BJ70" s="13"/>
      <c r="BK70" s="7"/>
      <c r="BL70" s="7"/>
    </row>
    <row r="71" spans="1:64">
      <c r="A71" s="7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7"/>
      <c r="AD71" s="7"/>
      <c r="AE71" s="7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7"/>
      <c r="BE71" s="7"/>
      <c r="BF71" s="7"/>
      <c r="BG71" s="7"/>
      <c r="BH71" s="7"/>
      <c r="BI71" s="13"/>
      <c r="BJ71" s="13"/>
      <c r="BK71" s="7"/>
      <c r="BL71" s="7"/>
    </row>
    <row r="72" spans="1:64">
      <c r="A72" s="7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7"/>
      <c r="AD72" s="7"/>
      <c r="AE72" s="7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7"/>
      <c r="BE72" s="7"/>
      <c r="BF72" s="7"/>
      <c r="BG72" s="7"/>
      <c r="BH72" s="7"/>
      <c r="BI72" s="13"/>
      <c r="BJ72" s="13"/>
      <c r="BK72" s="7"/>
      <c r="BL72" s="7"/>
    </row>
    <row r="73" spans="1:64">
      <c r="A73" s="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7"/>
      <c r="AD73" s="7"/>
      <c r="AE73" s="7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7"/>
      <c r="BE73" s="7"/>
      <c r="BF73" s="7"/>
      <c r="BG73" s="7"/>
      <c r="BH73" s="7"/>
      <c r="BI73" s="13"/>
      <c r="BJ73" s="13"/>
      <c r="BK73" s="7"/>
      <c r="BL73" s="7"/>
    </row>
    <row r="74" spans="1:64">
      <c r="A74" s="7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7"/>
      <c r="AD74" s="7"/>
      <c r="AE74" s="7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7"/>
      <c r="BE74" s="7"/>
      <c r="BF74" s="7"/>
      <c r="BG74" s="7"/>
      <c r="BH74" s="7"/>
      <c r="BI74" s="13"/>
      <c r="BJ74" s="13"/>
      <c r="BK74" s="7"/>
      <c r="BL74" s="7"/>
    </row>
    <row r="75" spans="1:64">
      <c r="A75" s="7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7"/>
      <c r="AD75" s="7"/>
      <c r="AE75" s="7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7"/>
      <c r="BE75" s="7"/>
      <c r="BF75" s="7"/>
      <c r="BG75" s="7"/>
      <c r="BH75" s="7"/>
      <c r="BI75" s="13"/>
      <c r="BJ75" s="13"/>
      <c r="BK75" s="7"/>
      <c r="BL75" s="7"/>
    </row>
    <row r="76" spans="1:64">
      <c r="A76" s="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7"/>
      <c r="AD76" s="7"/>
      <c r="AE76" s="7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7"/>
      <c r="BE76" s="7"/>
      <c r="BF76" s="7"/>
      <c r="BG76" s="7"/>
      <c r="BH76" s="7"/>
      <c r="BI76" s="13"/>
      <c r="BJ76" s="13"/>
      <c r="BK76" s="7"/>
      <c r="BL76" s="7"/>
    </row>
    <row r="77" spans="1:64">
      <c r="A77" s="7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7"/>
      <c r="AD77" s="7"/>
      <c r="AE77" s="7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7"/>
      <c r="BE77" s="7"/>
      <c r="BF77" s="7"/>
      <c r="BG77" s="7"/>
      <c r="BH77" s="7"/>
      <c r="BI77" s="13"/>
      <c r="BJ77" s="13"/>
      <c r="BK77" s="7"/>
      <c r="BL77" s="7"/>
    </row>
    <row r="78" spans="1:64">
      <c r="A78" s="7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7"/>
      <c r="AD78" s="7"/>
      <c r="AE78" s="7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7"/>
      <c r="BE78" s="7"/>
      <c r="BF78" s="7"/>
      <c r="BG78" s="7"/>
      <c r="BH78" s="7"/>
      <c r="BI78" s="13"/>
      <c r="BJ78" s="13"/>
      <c r="BK78" s="7"/>
      <c r="BL78" s="7"/>
    </row>
    <row r="79" spans="1:64">
      <c r="A79" s="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7"/>
      <c r="AD79" s="7"/>
      <c r="AE79" s="7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7"/>
      <c r="BE79" s="7"/>
      <c r="BF79" s="7"/>
      <c r="BG79" s="7"/>
      <c r="BH79" s="7"/>
      <c r="BI79" s="13"/>
      <c r="BJ79" s="13"/>
      <c r="BK79" s="7"/>
      <c r="BL79" s="7"/>
    </row>
    <row r="80" spans="1:64">
      <c r="A80" s="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7"/>
      <c r="AD80" s="7"/>
      <c r="AE80" s="7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7"/>
      <c r="BE80" s="7"/>
      <c r="BF80" s="7"/>
      <c r="BG80" s="7"/>
      <c r="BH80" s="7"/>
      <c r="BI80" s="13"/>
      <c r="BJ80" s="13"/>
      <c r="BK80" s="7"/>
      <c r="BL80" s="7"/>
    </row>
    <row r="81" spans="1:64">
      <c r="A81" s="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7"/>
      <c r="AD81" s="7"/>
      <c r="AE81" s="7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7"/>
      <c r="BE81" s="7"/>
      <c r="BF81" s="7"/>
      <c r="BG81" s="7"/>
      <c r="BH81" s="7"/>
      <c r="BI81" s="13"/>
      <c r="BJ81" s="13"/>
      <c r="BK81" s="7"/>
      <c r="BL81" s="7"/>
    </row>
    <row r="82" spans="1:64">
      <c r="A82" s="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7"/>
      <c r="AD82" s="7"/>
      <c r="AE82" s="7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7"/>
      <c r="BE82" s="7"/>
      <c r="BF82" s="7"/>
      <c r="BG82" s="7"/>
      <c r="BH82" s="7"/>
      <c r="BI82" s="13"/>
      <c r="BJ82" s="13"/>
      <c r="BK82" s="7"/>
      <c r="BL82" s="7"/>
    </row>
    <row r="83" spans="1:64">
      <c r="A83" s="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7"/>
      <c r="AD83" s="7"/>
      <c r="AE83" s="7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7"/>
      <c r="BE83" s="7"/>
      <c r="BF83" s="7"/>
      <c r="BG83" s="7"/>
      <c r="BH83" s="7"/>
      <c r="BI83" s="13"/>
      <c r="BJ83" s="13"/>
      <c r="BK83" s="7"/>
      <c r="BL83" s="7"/>
    </row>
    <row r="84" spans="1:64">
      <c r="A84" s="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7"/>
      <c r="AD84" s="7"/>
      <c r="AE84" s="7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7"/>
      <c r="BE84" s="7"/>
      <c r="BF84" s="7"/>
      <c r="BG84" s="7"/>
      <c r="BH84" s="7"/>
      <c r="BI84" s="13"/>
      <c r="BJ84" s="13"/>
      <c r="BK84" s="7"/>
      <c r="BL84" s="7"/>
    </row>
    <row r="85" spans="1:64">
      <c r="A85" s="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7"/>
      <c r="AD85" s="7"/>
      <c r="AE85" s="7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7"/>
      <c r="BE85" s="7"/>
      <c r="BF85" s="7"/>
      <c r="BG85" s="7"/>
      <c r="BH85" s="7"/>
      <c r="BI85" s="13"/>
      <c r="BJ85" s="13"/>
      <c r="BK85" s="7"/>
      <c r="BL85" s="7"/>
    </row>
    <row r="86" spans="1:64">
      <c r="A86" s="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7"/>
      <c r="AD86" s="7"/>
      <c r="AE86" s="7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7"/>
      <c r="BE86" s="7"/>
      <c r="BF86" s="7"/>
      <c r="BG86" s="7"/>
      <c r="BH86" s="7"/>
      <c r="BI86" s="13"/>
      <c r="BJ86" s="13"/>
      <c r="BK86" s="7"/>
      <c r="BL86" s="7"/>
    </row>
    <row r="87" spans="1:64">
      <c r="A87" s="7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7"/>
      <c r="AD87" s="7"/>
      <c r="AE87" s="7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7"/>
      <c r="BE87" s="7"/>
      <c r="BF87" s="7"/>
      <c r="BG87" s="7"/>
      <c r="BH87" s="7"/>
      <c r="BI87" s="13"/>
      <c r="BJ87" s="13"/>
      <c r="BK87" s="7"/>
      <c r="BL87" s="7"/>
    </row>
    <row r="88" spans="1:64">
      <c r="A88" s="7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7"/>
      <c r="AD88" s="7"/>
      <c r="AE88" s="7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7"/>
      <c r="BE88" s="7"/>
      <c r="BF88" s="7"/>
      <c r="BG88" s="7"/>
      <c r="BH88" s="7"/>
      <c r="BI88" s="13"/>
      <c r="BJ88" s="13"/>
      <c r="BK88" s="7"/>
      <c r="BL88" s="7"/>
    </row>
    <row r="89" spans="1:64">
      <c r="A89" s="7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7"/>
      <c r="AD89" s="7"/>
      <c r="AE89" s="7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7"/>
      <c r="BE89" s="7"/>
      <c r="BF89" s="7"/>
      <c r="BG89" s="7"/>
      <c r="BH89" s="7"/>
      <c r="BI89" s="13"/>
      <c r="BJ89" s="13"/>
      <c r="BK89" s="7"/>
      <c r="BL89" s="7"/>
    </row>
    <row r="90" spans="1:64">
      <c r="A90" s="7"/>
      <c r="B90" s="7"/>
      <c r="C90" s="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7"/>
      <c r="AD90" s="7"/>
      <c r="AE90" s="7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7"/>
      <c r="BE90" s="7"/>
      <c r="BF90" s="7"/>
      <c r="BG90" s="7"/>
      <c r="BH90" s="7"/>
      <c r="BI90" s="13"/>
      <c r="BJ90" s="13"/>
      <c r="BK90" s="7"/>
      <c r="BL90" s="7"/>
    </row>
    <row r="91" spans="1:64">
      <c r="A91" s="7"/>
      <c r="B91" s="7"/>
      <c r="C91" s="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7"/>
      <c r="AD91" s="7"/>
      <c r="AE91" s="7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7"/>
      <c r="BE91" s="7"/>
      <c r="BF91" s="7"/>
      <c r="BG91" s="7"/>
      <c r="BH91" s="7"/>
      <c r="BI91" s="13"/>
      <c r="BJ91" s="13"/>
      <c r="BK91" s="7"/>
      <c r="BL91" s="7"/>
    </row>
    <row r="92" spans="1:64">
      <c r="A92" s="7"/>
      <c r="B92" s="7"/>
      <c r="C92" s="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7"/>
      <c r="AD92" s="7"/>
      <c r="AE92" s="7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7"/>
      <c r="BE92" s="7"/>
      <c r="BF92" s="7"/>
      <c r="BG92" s="7"/>
      <c r="BH92" s="7"/>
      <c r="BI92" s="13"/>
      <c r="BJ92" s="13"/>
      <c r="BK92" s="7"/>
      <c r="BL92" s="7"/>
    </row>
    <row r="93" spans="1:64">
      <c r="A93" s="7"/>
      <c r="B93" s="7"/>
      <c r="C93" s="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7"/>
      <c r="AD93" s="7"/>
      <c r="AE93" s="7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7"/>
      <c r="BE93" s="7"/>
      <c r="BF93" s="7"/>
      <c r="BG93" s="7"/>
      <c r="BH93" s="7"/>
      <c r="BI93" s="13"/>
      <c r="BJ93" s="13"/>
      <c r="BK93" s="7"/>
      <c r="BL93" s="7"/>
    </row>
    <row r="94" spans="1:64">
      <c r="A94" s="7"/>
      <c r="B94" s="7"/>
      <c r="C94" s="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7"/>
      <c r="AD94" s="7"/>
      <c r="AE94" s="7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7"/>
      <c r="BE94" s="7"/>
      <c r="BF94" s="7"/>
      <c r="BG94" s="7"/>
      <c r="BH94" s="7"/>
      <c r="BI94" s="13"/>
      <c r="BJ94" s="13"/>
      <c r="BK94" s="7"/>
      <c r="BL94" s="7"/>
    </row>
    <row r="95" spans="1:64">
      <c r="A95" s="7"/>
      <c r="B95" s="7"/>
      <c r="C95" s="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7"/>
      <c r="AD95" s="7"/>
      <c r="AE95" s="7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7"/>
      <c r="BE95" s="7"/>
      <c r="BF95" s="7"/>
      <c r="BG95" s="7"/>
      <c r="BH95" s="7"/>
      <c r="BI95" s="13"/>
      <c r="BJ95" s="13"/>
      <c r="BK95" s="7"/>
      <c r="BL95" s="7"/>
    </row>
    <row r="96" spans="1:64">
      <c r="A96" s="7"/>
      <c r="B96" s="7"/>
      <c r="C96" s="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7"/>
      <c r="AD96" s="7"/>
      <c r="AE96" s="7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7"/>
      <c r="BE96" s="7"/>
      <c r="BF96" s="7"/>
      <c r="BG96" s="7"/>
      <c r="BH96" s="7"/>
      <c r="BI96" s="13"/>
      <c r="BJ96" s="13"/>
      <c r="BK96" s="7"/>
      <c r="BL96" s="7"/>
    </row>
    <row r="97" spans="1:64">
      <c r="A97" s="7"/>
      <c r="B97" s="7"/>
      <c r="C97" s="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7"/>
      <c r="AD97" s="7"/>
      <c r="AE97" s="7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7"/>
      <c r="BE97" s="7"/>
      <c r="BF97" s="7"/>
      <c r="BG97" s="7"/>
      <c r="BH97" s="7"/>
      <c r="BI97" s="13"/>
      <c r="BJ97" s="13"/>
      <c r="BK97" s="7"/>
      <c r="BL97" s="7"/>
    </row>
    <row r="98" spans="1:64">
      <c r="A98" s="7"/>
      <c r="B98" s="7"/>
      <c r="C98" s="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7"/>
      <c r="AD98" s="7"/>
      <c r="AE98" s="7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7"/>
      <c r="BE98" s="7"/>
      <c r="BF98" s="7"/>
      <c r="BG98" s="7"/>
      <c r="BH98" s="7"/>
      <c r="BI98" s="13"/>
      <c r="BJ98" s="13"/>
      <c r="BK98" s="7"/>
      <c r="BL98" s="7"/>
    </row>
    <row r="99" spans="1:64">
      <c r="A99" s="7"/>
      <c r="B99" s="7"/>
      <c r="C99" s="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7"/>
      <c r="AD99" s="7"/>
      <c r="AE99" s="7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7"/>
      <c r="BE99" s="7"/>
      <c r="BF99" s="7"/>
      <c r="BG99" s="7"/>
      <c r="BH99" s="7"/>
      <c r="BI99" s="13"/>
      <c r="BJ99" s="13"/>
      <c r="BK99" s="7"/>
      <c r="BL99" s="7"/>
    </row>
    <row r="100" spans="1:64">
      <c r="A100" s="7"/>
      <c r="B100" s="7"/>
      <c r="C100" s="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7"/>
      <c r="AD100" s="7"/>
      <c r="AE100" s="7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7"/>
      <c r="BE100" s="7"/>
      <c r="BF100" s="7"/>
      <c r="BG100" s="7"/>
      <c r="BH100" s="7"/>
      <c r="BI100" s="13"/>
      <c r="BJ100" s="13"/>
      <c r="BK100" s="7"/>
      <c r="BL100" s="7"/>
    </row>
    <row r="101" spans="1:64">
      <c r="A101" s="7"/>
      <c r="B101" s="7"/>
      <c r="C101" s="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7"/>
      <c r="AD101" s="7"/>
      <c r="AE101" s="7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7"/>
      <c r="BE101" s="7"/>
      <c r="BF101" s="7"/>
      <c r="BG101" s="7"/>
      <c r="BH101" s="7"/>
      <c r="BI101" s="13"/>
      <c r="BJ101" s="13"/>
      <c r="BK101" s="7"/>
      <c r="BL101" s="7"/>
    </row>
    <row r="102" spans="1:64">
      <c r="A102" s="7"/>
      <c r="B102" s="7"/>
      <c r="C102" s="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7"/>
      <c r="AD102" s="7"/>
      <c r="AE102" s="7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7"/>
      <c r="BE102" s="7"/>
      <c r="BF102" s="7"/>
      <c r="BG102" s="7"/>
      <c r="BH102" s="7"/>
      <c r="BI102" s="13"/>
      <c r="BJ102" s="13"/>
      <c r="BK102" s="7"/>
      <c r="BL102" s="7"/>
    </row>
    <row r="103" spans="1:64">
      <c r="A103" s="7"/>
      <c r="B103" s="7"/>
      <c r="C103" s="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7"/>
      <c r="AD103" s="7"/>
      <c r="AE103" s="7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7"/>
      <c r="BE103" s="7"/>
      <c r="BF103" s="7"/>
      <c r="BG103" s="7"/>
      <c r="BH103" s="7"/>
      <c r="BI103" s="13"/>
      <c r="BJ103" s="13"/>
      <c r="BK103" s="7"/>
      <c r="BL103" s="7"/>
    </row>
    <row r="104" spans="1:64">
      <c r="A104" s="7"/>
      <c r="B104" s="7"/>
      <c r="C104" s="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7"/>
      <c r="AD104" s="7"/>
      <c r="AE104" s="7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7"/>
      <c r="BE104" s="7"/>
      <c r="BF104" s="7"/>
      <c r="BG104" s="7"/>
      <c r="BH104" s="7"/>
      <c r="BI104" s="13"/>
      <c r="BJ104" s="13"/>
      <c r="BK104" s="7"/>
      <c r="BL104" s="7"/>
    </row>
    <row r="105" spans="1:64">
      <c r="A105" s="7"/>
      <c r="B105" s="7"/>
      <c r="C105" s="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7"/>
      <c r="AD105" s="7"/>
      <c r="AE105" s="7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7"/>
      <c r="BE105" s="7"/>
      <c r="BF105" s="7"/>
      <c r="BG105" s="7"/>
      <c r="BH105" s="7"/>
      <c r="BI105" s="13"/>
      <c r="BJ105" s="13"/>
      <c r="BK105" s="7"/>
      <c r="BL105" s="7"/>
    </row>
    <row r="106" spans="1:64">
      <c r="A106" s="7"/>
      <c r="B106" s="7"/>
      <c r="C106" s="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7"/>
      <c r="AD106" s="7"/>
      <c r="AE106" s="7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7"/>
      <c r="BE106" s="7"/>
      <c r="BF106" s="7"/>
      <c r="BG106" s="7"/>
      <c r="BH106" s="7"/>
      <c r="BI106" s="13"/>
      <c r="BJ106" s="13"/>
      <c r="BK106" s="7"/>
      <c r="BL106" s="7"/>
    </row>
    <row r="107" spans="1:64">
      <c r="A107" s="7"/>
      <c r="B107" s="7"/>
      <c r="C107" s="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7"/>
      <c r="AD107" s="7"/>
      <c r="AE107" s="7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7"/>
      <c r="BE107" s="7"/>
      <c r="BF107" s="7"/>
      <c r="BG107" s="7"/>
      <c r="BH107" s="7"/>
      <c r="BI107" s="13"/>
      <c r="BJ107" s="13"/>
      <c r="BK107" s="7"/>
      <c r="BL107" s="7"/>
    </row>
    <row r="108" spans="1:64">
      <c r="A108" s="7"/>
      <c r="B108" s="7"/>
      <c r="C108" s="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7"/>
      <c r="AD108" s="7"/>
      <c r="AE108" s="7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7"/>
      <c r="BE108" s="7"/>
      <c r="BF108" s="7"/>
      <c r="BG108" s="7"/>
      <c r="BH108" s="7"/>
      <c r="BI108" s="13"/>
      <c r="BJ108" s="13"/>
      <c r="BK108" s="7"/>
      <c r="BL108" s="7"/>
    </row>
    <row r="109" spans="1:64">
      <c r="A109" s="7"/>
      <c r="B109" s="7"/>
      <c r="C109" s="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7"/>
      <c r="AD109" s="7"/>
      <c r="AE109" s="7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7"/>
      <c r="BE109" s="7"/>
      <c r="BF109" s="7"/>
      <c r="BG109" s="7"/>
      <c r="BH109" s="7"/>
      <c r="BI109" s="13"/>
      <c r="BJ109" s="13"/>
      <c r="BK109" s="7"/>
      <c r="BL109" s="7"/>
    </row>
    <row r="110" spans="1:64">
      <c r="A110" s="7"/>
      <c r="B110" s="7"/>
      <c r="C110" s="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7"/>
      <c r="AD110" s="7"/>
      <c r="AE110" s="7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7"/>
      <c r="BE110" s="7"/>
      <c r="BF110" s="7"/>
      <c r="BG110" s="7"/>
      <c r="BH110" s="7"/>
      <c r="BI110" s="13"/>
      <c r="BJ110" s="13"/>
      <c r="BK110" s="7"/>
      <c r="BL110" s="7"/>
    </row>
    <row r="111" spans="1:64">
      <c r="A111" s="7"/>
      <c r="B111" s="7"/>
      <c r="C111" s="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7"/>
      <c r="AD111" s="7"/>
      <c r="AE111" s="7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7"/>
      <c r="BE111" s="7"/>
      <c r="BF111" s="7"/>
      <c r="BG111" s="7"/>
      <c r="BH111" s="7"/>
      <c r="BI111" s="13"/>
      <c r="BJ111" s="7"/>
      <c r="BK111" s="7"/>
      <c r="BL111" s="7"/>
    </row>
    <row r="112" spans="1:64">
      <c r="A112" s="7"/>
      <c r="B112" s="7"/>
      <c r="C112" s="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7"/>
      <c r="AD112" s="7"/>
      <c r="AE112" s="7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7"/>
      <c r="BE112" s="7"/>
      <c r="BF112" s="7"/>
      <c r="BG112" s="7"/>
      <c r="BH112" s="7"/>
      <c r="BI112" s="13"/>
      <c r="BJ112" s="7"/>
      <c r="BK112" s="7"/>
      <c r="BL112" s="7"/>
    </row>
    <row r="113" spans="1:64">
      <c r="A113" s="7"/>
      <c r="B113" s="7"/>
      <c r="C113" s="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7"/>
      <c r="AD113" s="7"/>
      <c r="AE113" s="7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7"/>
      <c r="BE113" s="7"/>
      <c r="BF113" s="7"/>
      <c r="BG113" s="7"/>
      <c r="BH113" s="7"/>
      <c r="BI113" s="7"/>
      <c r="BJ113" s="7"/>
      <c r="BK113" s="7"/>
      <c r="BL113" s="7"/>
    </row>
    <row r="114" spans="1:64">
      <c r="A114" s="7"/>
      <c r="B114" s="7"/>
      <c r="C114" s="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7"/>
      <c r="AD114" s="7"/>
      <c r="AE114" s="7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7"/>
      <c r="BE114" s="7"/>
      <c r="BF114" s="7"/>
      <c r="BG114" s="7"/>
      <c r="BH114" s="7"/>
      <c r="BI114" s="7"/>
      <c r="BJ114" s="7"/>
      <c r="BK114" s="7"/>
      <c r="BL114" s="7"/>
    </row>
    <row r="115" spans="1:64">
      <c r="A115" s="7"/>
      <c r="B115" s="7"/>
      <c r="C115" s="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7"/>
      <c r="AD115" s="7"/>
      <c r="AE115" s="7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7"/>
      <c r="BE115" s="7"/>
      <c r="BF115" s="7"/>
      <c r="BG115" s="7"/>
      <c r="BH115" s="7"/>
      <c r="BI115" s="7"/>
      <c r="BJ115" s="7"/>
      <c r="BK115" s="7"/>
      <c r="BL115" s="7"/>
    </row>
    <row r="116" spans="1:64">
      <c r="A116" s="7"/>
      <c r="B116" s="7"/>
      <c r="C116" s="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7"/>
      <c r="AD116" s="7"/>
      <c r="AE116" s="7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7"/>
      <c r="BE116" s="7"/>
      <c r="BF116" s="7"/>
      <c r="BG116" s="7"/>
      <c r="BH116" s="7"/>
      <c r="BI116" s="7"/>
      <c r="BJ116" s="7"/>
      <c r="BK116" s="7"/>
      <c r="BL116" s="7"/>
    </row>
    <row r="117" spans="1:64">
      <c r="A117" s="7"/>
      <c r="B117" s="7"/>
      <c r="C117" s="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7"/>
      <c r="AD117" s="7"/>
      <c r="AE117" s="7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7"/>
      <c r="BE117" s="7"/>
      <c r="BF117" s="7"/>
      <c r="BG117" s="7"/>
      <c r="BH117" s="7"/>
      <c r="BI117" s="7"/>
      <c r="BJ117" s="7"/>
      <c r="BK117" s="7"/>
      <c r="BL117" s="7"/>
    </row>
    <row r="118" spans="1:64">
      <c r="A118" s="7"/>
      <c r="B118" s="7"/>
      <c r="C118" s="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7"/>
      <c r="AD118" s="7"/>
      <c r="AE118" s="7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1:64">
      <c r="A119" s="7"/>
      <c r="B119" s="7"/>
      <c r="C119" s="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7"/>
      <c r="AD119" s="7"/>
      <c r="AE119" s="7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1:64">
      <c r="A120" s="7"/>
      <c r="B120" s="7"/>
      <c r="C120" s="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7"/>
      <c r="AD120" s="7"/>
      <c r="AE120" s="7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1:64">
      <c r="A121" s="7"/>
      <c r="B121" s="7"/>
      <c r="C121" s="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7"/>
      <c r="AD121" s="7"/>
      <c r="AE121" s="7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1:64">
      <c r="A122" s="7"/>
      <c r="B122" s="7"/>
      <c r="C122" s="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7"/>
      <c r="AD122" s="7"/>
      <c r="AE122" s="7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1:64">
      <c r="A123" s="7"/>
      <c r="B123" s="7"/>
      <c r="C123" s="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7"/>
      <c r="AD123" s="7"/>
      <c r="AE123" s="7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1:64">
      <c r="A124" s="7"/>
      <c r="B124" s="7"/>
      <c r="C124" s="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7"/>
      <c r="AD124" s="7"/>
      <c r="AE124" s="7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1:64">
      <c r="A125" s="7"/>
      <c r="B125" s="7"/>
      <c r="C125" s="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7"/>
      <c r="AD125" s="7"/>
      <c r="AE125" s="7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7"/>
      <c r="BE125" s="7"/>
      <c r="BF125" s="7"/>
      <c r="BG125" s="7"/>
      <c r="BH125" s="7"/>
      <c r="BI125" s="7"/>
      <c r="BJ125" s="7"/>
      <c r="BK125" s="7"/>
      <c r="BL125" s="7"/>
    </row>
    <row r="126" spans="1:64">
      <c r="A126" s="7"/>
      <c r="B126" s="7"/>
      <c r="C126" s="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7"/>
      <c r="AD126" s="7"/>
      <c r="AE126" s="7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7"/>
      <c r="BE126" s="7"/>
      <c r="BF126" s="7"/>
      <c r="BG126" s="7"/>
      <c r="BH126" s="7"/>
      <c r="BI126" s="7"/>
      <c r="BJ126" s="7"/>
      <c r="BK126" s="7"/>
      <c r="BL126" s="7"/>
    </row>
    <row r="127" spans="1:64">
      <c r="A127" s="7"/>
      <c r="B127" s="7"/>
      <c r="C127" s="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7"/>
      <c r="AD127" s="7"/>
      <c r="AE127" s="7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7"/>
      <c r="BE127" s="7"/>
      <c r="BF127" s="7"/>
      <c r="BG127" s="7"/>
      <c r="BH127" s="7"/>
      <c r="BI127" s="7"/>
      <c r="BJ127" s="7"/>
      <c r="BK127" s="7"/>
      <c r="BL127" s="7"/>
    </row>
    <row r="128" spans="1:64">
      <c r="A128" s="7"/>
      <c r="B128" s="7"/>
      <c r="C128" s="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7"/>
      <c r="AD128" s="7"/>
      <c r="AE128" s="7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7"/>
      <c r="BE128" s="7"/>
      <c r="BF128" s="7"/>
      <c r="BG128" s="7"/>
      <c r="BH128" s="7"/>
      <c r="BI128" s="7"/>
      <c r="BJ128" s="7"/>
      <c r="BK128" s="7"/>
      <c r="BL128" s="7"/>
    </row>
    <row r="129" spans="1:64">
      <c r="A129" s="7"/>
      <c r="B129" s="7"/>
      <c r="C129" s="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7"/>
      <c r="AD129" s="7"/>
      <c r="AE129" s="7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7"/>
      <c r="BE129" s="7"/>
      <c r="BF129" s="7"/>
      <c r="BG129" s="7"/>
      <c r="BH129" s="7"/>
      <c r="BI129" s="7"/>
      <c r="BJ129" s="7"/>
      <c r="BK129" s="7"/>
      <c r="BL129" s="7"/>
    </row>
    <row r="130" spans="1:64">
      <c r="A130" s="7"/>
      <c r="B130" s="7"/>
      <c r="C130" s="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7"/>
      <c r="AD130" s="7"/>
      <c r="AE130" s="7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7"/>
      <c r="BE130" s="7"/>
      <c r="BF130" s="7"/>
      <c r="BG130" s="7"/>
      <c r="BH130" s="7"/>
      <c r="BI130" s="7"/>
      <c r="BJ130" s="7"/>
      <c r="BK130" s="7"/>
      <c r="BL130" s="7"/>
    </row>
    <row r="131" spans="1:64">
      <c r="A131" s="7"/>
      <c r="B131" s="7"/>
      <c r="C131" s="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7"/>
      <c r="AD131" s="7"/>
      <c r="AE131" s="7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7"/>
      <c r="BE131" s="7"/>
      <c r="BF131" s="7"/>
      <c r="BG131" s="7"/>
      <c r="BH131" s="7"/>
      <c r="BI131" s="7"/>
      <c r="BJ131" s="7"/>
      <c r="BK131" s="7"/>
      <c r="BL131" s="7"/>
    </row>
    <row r="132" spans="1:64">
      <c r="A132" s="7"/>
      <c r="B132" s="7"/>
      <c r="C132" s="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7"/>
      <c r="AD132" s="7"/>
      <c r="AE132" s="7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7"/>
      <c r="BE132" s="7"/>
      <c r="BF132" s="7"/>
      <c r="BG132" s="7"/>
      <c r="BH132" s="7"/>
      <c r="BI132" s="7"/>
      <c r="BJ132" s="7"/>
      <c r="BK132" s="7"/>
      <c r="BL132" s="7"/>
    </row>
    <row r="133" spans="1:64">
      <c r="A133" s="7"/>
      <c r="B133" s="7"/>
      <c r="C133" s="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7"/>
      <c r="AD133" s="7"/>
      <c r="AE133" s="7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7"/>
      <c r="BE133" s="7"/>
      <c r="BF133" s="7"/>
      <c r="BG133" s="7"/>
      <c r="BH133" s="7"/>
      <c r="BI133" s="7"/>
      <c r="BJ133" s="7"/>
      <c r="BK133" s="7"/>
      <c r="BL133" s="7"/>
    </row>
    <row r="134" spans="1:64">
      <c r="A134" s="7"/>
      <c r="B134" s="7"/>
      <c r="C134" s="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7"/>
      <c r="AD134" s="7"/>
      <c r="AE134" s="7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7"/>
      <c r="BE134" s="7"/>
      <c r="BF134" s="7"/>
      <c r="BG134" s="7"/>
      <c r="BH134" s="7"/>
      <c r="BI134" s="7"/>
      <c r="BJ134" s="7"/>
      <c r="BK134" s="7"/>
      <c r="BL134" s="7"/>
    </row>
    <row r="135" spans="1:64">
      <c r="A135" s="7"/>
      <c r="B135" s="7"/>
      <c r="C135" s="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7"/>
      <c r="AD135" s="7"/>
      <c r="AE135" s="7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7"/>
      <c r="BE135" s="7"/>
      <c r="BF135" s="7"/>
      <c r="BG135" s="7"/>
      <c r="BH135" s="7"/>
      <c r="BI135" s="7"/>
      <c r="BJ135" s="7"/>
      <c r="BK135" s="7"/>
      <c r="BL135" s="7"/>
    </row>
    <row r="136" spans="1:64">
      <c r="A136" s="7"/>
      <c r="B136" s="7"/>
      <c r="C136" s="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7"/>
      <c r="AD136" s="7"/>
      <c r="AE136" s="7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7"/>
      <c r="BE136" s="7"/>
      <c r="BF136" s="7"/>
      <c r="BG136" s="7"/>
      <c r="BH136" s="7"/>
      <c r="BI136" s="7"/>
      <c r="BJ136" s="7"/>
      <c r="BK136" s="7"/>
      <c r="BL136" s="7"/>
    </row>
    <row r="137" spans="1:64">
      <c r="A137" s="7"/>
      <c r="B137" s="7"/>
      <c r="C137" s="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7"/>
      <c r="AD137" s="7"/>
      <c r="AE137" s="7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7"/>
      <c r="BE137" s="7"/>
      <c r="BF137" s="7"/>
      <c r="BG137" s="7"/>
      <c r="BH137" s="7"/>
      <c r="BI137" s="7"/>
      <c r="BJ137" s="7"/>
      <c r="BK137" s="7"/>
      <c r="BL137" s="7"/>
    </row>
    <row r="138" spans="1:64">
      <c r="A138" s="7"/>
      <c r="B138" s="7"/>
      <c r="C138" s="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7"/>
      <c r="AD138" s="7"/>
      <c r="AE138" s="7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7"/>
      <c r="BE138" s="7"/>
      <c r="BF138" s="7"/>
      <c r="BG138" s="7"/>
      <c r="BH138" s="7"/>
      <c r="BI138" s="7"/>
      <c r="BJ138" s="7"/>
      <c r="BK138" s="7"/>
      <c r="BL138" s="7"/>
    </row>
    <row r="139" spans="1:64">
      <c r="A139" s="7"/>
      <c r="B139" s="7"/>
      <c r="C139" s="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7"/>
      <c r="AD139" s="7"/>
      <c r="AE139" s="7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7"/>
      <c r="BE139" s="7"/>
      <c r="BF139" s="7"/>
      <c r="BG139" s="7"/>
      <c r="BH139" s="7"/>
      <c r="BI139" s="7"/>
      <c r="BJ139" s="7"/>
      <c r="BK139" s="7"/>
      <c r="BL139" s="7"/>
    </row>
    <row r="140" spans="1:64">
      <c r="A140" s="7"/>
      <c r="B140" s="7"/>
      <c r="C140" s="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7"/>
      <c r="AD140" s="7"/>
      <c r="AE140" s="7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7"/>
      <c r="BE140" s="7"/>
      <c r="BF140" s="7"/>
      <c r="BG140" s="7"/>
      <c r="BH140" s="7"/>
      <c r="BI140" s="7"/>
      <c r="BJ140" s="7"/>
      <c r="BK140" s="7"/>
      <c r="BL140" s="7"/>
    </row>
    <row r="141" spans="1:64">
      <c r="A141" s="7"/>
      <c r="B141" s="7"/>
      <c r="C141" s="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7"/>
      <c r="AD141" s="7"/>
      <c r="AE141" s="7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7"/>
      <c r="BE141" s="7"/>
      <c r="BF141" s="7"/>
      <c r="BG141" s="7"/>
      <c r="BH141" s="7"/>
      <c r="BI141" s="7"/>
      <c r="BJ141" s="7"/>
      <c r="BK141" s="7"/>
      <c r="BL141" s="7"/>
    </row>
    <row r="142" spans="1:64">
      <c r="A142" s="7"/>
      <c r="B142" s="7"/>
      <c r="C142" s="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7"/>
      <c r="AD142" s="7"/>
      <c r="AE142" s="7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7"/>
      <c r="BE142" s="7"/>
      <c r="BF142" s="7"/>
      <c r="BG142" s="7"/>
      <c r="BH142" s="7"/>
      <c r="BI142" s="7"/>
      <c r="BJ142" s="7"/>
      <c r="BK142" s="7"/>
      <c r="BL142" s="7"/>
    </row>
    <row r="143" spans="1:64">
      <c r="A143" s="7"/>
      <c r="B143" s="7"/>
      <c r="C143" s="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7"/>
      <c r="AD143" s="7"/>
      <c r="AE143" s="7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7"/>
      <c r="BE143" s="7"/>
      <c r="BF143" s="7"/>
      <c r="BG143" s="7"/>
      <c r="BH143" s="7"/>
      <c r="BI143" s="7"/>
      <c r="BJ143" s="7"/>
      <c r="BK143" s="7"/>
      <c r="BL143" s="7"/>
    </row>
    <row r="144" spans="1:64">
      <c r="A144" s="7"/>
      <c r="B144" s="7"/>
      <c r="C144" s="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7"/>
      <c r="AD144" s="7"/>
      <c r="AE144" s="7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7"/>
      <c r="BE144" s="7"/>
      <c r="BF144" s="7"/>
      <c r="BG144" s="7"/>
      <c r="BH144" s="7"/>
      <c r="BI144" s="7"/>
      <c r="BJ144" s="7"/>
      <c r="BK144" s="7"/>
      <c r="BL144" s="7"/>
    </row>
    <row r="145" spans="1:64">
      <c r="A145" s="7"/>
      <c r="B145" s="7"/>
      <c r="C145" s="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7"/>
      <c r="AD145" s="7"/>
      <c r="AE145" s="7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7"/>
      <c r="BE145" s="7"/>
      <c r="BF145" s="7"/>
      <c r="BG145" s="7"/>
      <c r="BH145" s="7"/>
      <c r="BI145" s="7"/>
      <c r="BJ145" s="7"/>
      <c r="BK145" s="7"/>
      <c r="BL145" s="7"/>
    </row>
    <row r="146" spans="1:64">
      <c r="A146" s="7"/>
      <c r="B146" s="7"/>
      <c r="C146" s="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7"/>
      <c r="AD146" s="7"/>
      <c r="AE146" s="7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7"/>
      <c r="BE146" s="7"/>
      <c r="BF146" s="7"/>
      <c r="BG146" s="7"/>
      <c r="BH146" s="7"/>
      <c r="BI146" s="7"/>
      <c r="BJ146" s="7"/>
      <c r="BK146" s="7"/>
      <c r="BL146" s="7"/>
    </row>
    <row r="147" spans="1:64">
      <c r="A147" s="7"/>
      <c r="B147" s="7"/>
      <c r="C147" s="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7"/>
      <c r="AD147" s="7"/>
      <c r="AE147" s="7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7"/>
      <c r="BE147" s="7"/>
      <c r="BF147" s="7"/>
      <c r="BG147" s="7"/>
      <c r="BH147" s="7"/>
      <c r="BI147" s="7"/>
      <c r="BJ147" s="7"/>
      <c r="BK147" s="7"/>
      <c r="BL147" s="7"/>
    </row>
    <row r="148" spans="1:64">
      <c r="A148" s="7"/>
      <c r="B148" s="7"/>
      <c r="C148" s="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7"/>
      <c r="AD148" s="7"/>
      <c r="AE148" s="7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7"/>
      <c r="BE148" s="7"/>
      <c r="BF148" s="7"/>
      <c r="BG148" s="7"/>
      <c r="BH148" s="7"/>
      <c r="BI148" s="7"/>
      <c r="BJ148" s="7"/>
      <c r="BK148" s="7"/>
      <c r="BL148" s="7"/>
    </row>
    <row r="149" spans="1:64">
      <c r="A149" s="7"/>
      <c r="B149" s="7"/>
      <c r="C149" s="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7"/>
      <c r="AD149" s="7"/>
      <c r="AE149" s="7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7"/>
      <c r="BE149" s="7"/>
      <c r="BF149" s="7"/>
      <c r="BG149" s="7"/>
      <c r="BH149" s="7"/>
      <c r="BI149" s="7"/>
      <c r="BJ149" s="7"/>
      <c r="BK149" s="7"/>
      <c r="BL149" s="7"/>
    </row>
    <row r="150" spans="1:64">
      <c r="A150" s="7"/>
      <c r="B150" s="7"/>
      <c r="C150" s="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7"/>
      <c r="AD150" s="7"/>
      <c r="AE150" s="7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7"/>
      <c r="BE150" s="7"/>
      <c r="BF150" s="7"/>
      <c r="BG150" s="7"/>
      <c r="BH150" s="7"/>
      <c r="BI150" s="7"/>
      <c r="BJ150" s="7"/>
      <c r="BK150" s="7"/>
      <c r="BL150" s="7"/>
    </row>
    <row r="151" spans="1:64">
      <c r="A151" s="7"/>
      <c r="B151" s="7"/>
      <c r="C151" s="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7"/>
      <c r="AD151" s="7"/>
      <c r="AE151" s="7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7"/>
      <c r="BE151" s="7"/>
      <c r="BF151" s="7"/>
      <c r="BG151" s="7"/>
      <c r="BH151" s="7"/>
      <c r="BI151" s="7"/>
      <c r="BJ151" s="7"/>
      <c r="BK151" s="7"/>
      <c r="BL151" s="7"/>
    </row>
    <row r="152" spans="1:64">
      <c r="A152" s="7"/>
      <c r="B152" s="7"/>
      <c r="C152" s="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7"/>
      <c r="AD152" s="7"/>
      <c r="AE152" s="7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7"/>
      <c r="BE152" s="7"/>
      <c r="BF152" s="7"/>
      <c r="BG152" s="7"/>
      <c r="BH152" s="7"/>
      <c r="BI152" s="7"/>
      <c r="BJ152" s="7"/>
      <c r="BK152" s="7"/>
      <c r="BL152" s="7"/>
    </row>
    <row r="153" spans="1:64">
      <c r="A153" s="7"/>
      <c r="B153" s="7"/>
      <c r="C153" s="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7"/>
      <c r="AD153" s="7"/>
      <c r="AE153" s="7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7"/>
      <c r="BE153" s="7"/>
      <c r="BF153" s="7"/>
      <c r="BG153" s="7"/>
      <c r="BH153" s="7"/>
      <c r="BI153" s="7"/>
      <c r="BJ153" s="7"/>
      <c r="BK153" s="7"/>
      <c r="BL153" s="7"/>
    </row>
    <row r="154" spans="1:64">
      <c r="A154" s="7"/>
      <c r="B154" s="7"/>
      <c r="C154" s="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7"/>
      <c r="AD154" s="7"/>
      <c r="AE154" s="7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7"/>
      <c r="BE154" s="7"/>
      <c r="BF154" s="7"/>
      <c r="BG154" s="7"/>
      <c r="BH154" s="7"/>
      <c r="BI154" s="7"/>
      <c r="BJ154" s="7"/>
      <c r="BK154" s="7"/>
      <c r="BL154" s="7"/>
    </row>
    <row r="155" spans="1:64">
      <c r="A155" s="7"/>
      <c r="B155" s="7"/>
      <c r="C155" s="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7"/>
      <c r="AD155" s="7"/>
      <c r="AE155" s="7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7"/>
      <c r="BE155" s="7"/>
      <c r="BF155" s="7"/>
      <c r="BG155" s="7"/>
      <c r="BH155" s="7"/>
      <c r="BI155" s="7"/>
      <c r="BJ155" s="7"/>
      <c r="BK155" s="7"/>
      <c r="BL155" s="7"/>
    </row>
    <row r="156" spans="1:64">
      <c r="A156" s="7"/>
      <c r="B156" s="7"/>
      <c r="C156" s="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7"/>
      <c r="AD156" s="7"/>
      <c r="AE156" s="7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7"/>
      <c r="BE156" s="7"/>
      <c r="BF156" s="7"/>
      <c r="BG156" s="7"/>
      <c r="BH156" s="7"/>
      <c r="BI156" s="7"/>
      <c r="BJ156" s="7"/>
      <c r="BK156" s="7"/>
      <c r="BL156" s="7"/>
    </row>
    <row r="157" spans="1:64">
      <c r="A157" s="7"/>
      <c r="B157" s="7"/>
      <c r="C157" s="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7"/>
      <c r="AD157" s="7"/>
      <c r="AE157" s="7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7"/>
      <c r="BE157" s="7"/>
      <c r="BF157" s="7"/>
      <c r="BG157" s="7"/>
      <c r="BH157" s="7"/>
      <c r="BI157" s="7"/>
      <c r="BJ157" s="7"/>
      <c r="BK157" s="7"/>
      <c r="BL157" s="7"/>
    </row>
    <row r="158" spans="1:64">
      <c r="A158" s="7"/>
      <c r="B158" s="7"/>
      <c r="C158" s="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7"/>
      <c r="AD158" s="7"/>
      <c r="AE158" s="7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7"/>
      <c r="BE158" s="7"/>
      <c r="BF158" s="7"/>
      <c r="BG158" s="7"/>
      <c r="BH158" s="7"/>
      <c r="BI158" s="7"/>
      <c r="BJ158" s="7"/>
      <c r="BK158" s="7"/>
      <c r="BL158" s="7"/>
    </row>
    <row r="159" spans="1:64">
      <c r="A159" s="7"/>
      <c r="B159" s="7"/>
      <c r="C159" s="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7"/>
      <c r="AD159" s="7"/>
      <c r="AE159" s="7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7"/>
      <c r="BE159" s="7"/>
      <c r="BF159" s="7"/>
      <c r="BG159" s="7"/>
      <c r="BH159" s="7"/>
      <c r="BI159" s="7"/>
      <c r="BJ159" s="7"/>
      <c r="BK159" s="7"/>
      <c r="BL159" s="7"/>
    </row>
    <row r="160" spans="1:64">
      <c r="A160" s="7"/>
      <c r="B160" s="7"/>
      <c r="C160" s="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7"/>
      <c r="AD160" s="7"/>
      <c r="AE160" s="7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7"/>
      <c r="BE160" s="7"/>
      <c r="BF160" s="7"/>
      <c r="BG160" s="7"/>
      <c r="BH160" s="7"/>
      <c r="BI160" s="7"/>
      <c r="BJ160" s="7"/>
      <c r="BK160" s="7"/>
      <c r="BL160" s="7"/>
    </row>
    <row r="161" spans="1:64">
      <c r="A161" s="7"/>
      <c r="B161" s="7"/>
      <c r="C161" s="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7"/>
      <c r="AD161" s="7"/>
      <c r="AE161" s="7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7"/>
      <c r="BE161" s="7"/>
      <c r="BF161" s="7"/>
      <c r="BG161" s="7"/>
      <c r="BH161" s="7"/>
      <c r="BI161" s="7"/>
      <c r="BJ161" s="7"/>
      <c r="BK161" s="7"/>
      <c r="BL161" s="7"/>
    </row>
    <row r="162" spans="1:64">
      <c r="A162" s="7"/>
      <c r="B162" s="7"/>
      <c r="C162" s="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7"/>
      <c r="AD162" s="7"/>
      <c r="AE162" s="7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7"/>
      <c r="BE162" s="7"/>
      <c r="BF162" s="7"/>
      <c r="BG162" s="7"/>
      <c r="BH162" s="7"/>
      <c r="BI162" s="7"/>
      <c r="BJ162" s="7"/>
      <c r="BK162" s="7"/>
      <c r="BL162" s="7"/>
    </row>
    <row r="163" spans="1:64">
      <c r="A163" s="7"/>
      <c r="B163" s="7"/>
      <c r="C163" s="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7"/>
      <c r="AD163" s="7"/>
      <c r="AE163" s="7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7"/>
      <c r="BE163" s="7"/>
      <c r="BF163" s="7"/>
      <c r="BG163" s="7"/>
      <c r="BH163" s="7"/>
      <c r="BI163" s="7"/>
      <c r="BJ163" s="7"/>
      <c r="BK163" s="7"/>
      <c r="BL163" s="7"/>
    </row>
    <row r="164" spans="1:64">
      <c r="A164" s="7"/>
      <c r="B164" s="7"/>
      <c r="C164" s="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7"/>
      <c r="AD164" s="7"/>
      <c r="AE164" s="7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7"/>
      <c r="BE164" s="7"/>
      <c r="BF164" s="7"/>
      <c r="BG164" s="7"/>
      <c r="BH164" s="7"/>
      <c r="BI164" s="7"/>
      <c r="BJ164" s="7"/>
      <c r="BK164" s="7"/>
      <c r="BL164" s="7"/>
    </row>
    <row r="165" spans="1:64">
      <c r="A165" s="7"/>
      <c r="B165" s="7"/>
      <c r="C165" s="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7"/>
      <c r="AD165" s="7"/>
      <c r="AE165" s="7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7"/>
      <c r="BE165" s="7"/>
      <c r="BF165" s="7"/>
      <c r="BG165" s="7"/>
      <c r="BH165" s="7"/>
      <c r="BI165" s="7"/>
      <c r="BJ165" s="7"/>
      <c r="BK165" s="7"/>
      <c r="BL165" s="7"/>
    </row>
    <row r="166" spans="1:64">
      <c r="A166" s="7"/>
      <c r="B166" s="7"/>
      <c r="C166" s="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7"/>
      <c r="AD166" s="7"/>
      <c r="AE166" s="7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7"/>
      <c r="BE166" s="7"/>
      <c r="BF166" s="7"/>
      <c r="BG166" s="7"/>
      <c r="BH166" s="7"/>
      <c r="BI166" s="7"/>
      <c r="BJ166" s="7"/>
      <c r="BK166" s="7"/>
      <c r="BL166" s="7"/>
    </row>
    <row r="167" spans="1:64">
      <c r="A167" s="7"/>
      <c r="B167" s="7"/>
      <c r="C167" s="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7"/>
      <c r="AD167" s="7"/>
      <c r="AE167" s="7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7"/>
      <c r="BE167" s="7"/>
      <c r="BF167" s="7"/>
      <c r="BG167" s="7"/>
      <c r="BH167" s="7"/>
      <c r="BI167" s="7"/>
      <c r="BJ167" s="7"/>
      <c r="BK167" s="7"/>
      <c r="BL167" s="7"/>
    </row>
    <row r="168" spans="1:64">
      <c r="A168" s="7"/>
      <c r="B168" s="7"/>
      <c r="C168" s="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7"/>
      <c r="AD168" s="7"/>
      <c r="AE168" s="7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1:64">
      <c r="A169" s="7"/>
      <c r="B169" s="7"/>
      <c r="C169" s="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7"/>
      <c r="AD169" s="7"/>
      <c r="AE169" s="7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7"/>
      <c r="BE169" s="7"/>
      <c r="BF169" s="7"/>
      <c r="BG169" s="7"/>
      <c r="BH169" s="7"/>
      <c r="BI169" s="7"/>
      <c r="BJ169" s="7"/>
      <c r="BK169" s="7"/>
      <c r="BL169" s="7"/>
    </row>
    <row r="170" spans="1:64">
      <c r="A170" s="7"/>
      <c r="B170" s="7"/>
      <c r="C170" s="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7"/>
      <c r="AD170" s="7"/>
      <c r="AE170" s="7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1:64">
      <c r="A171" s="7"/>
      <c r="B171" s="7"/>
      <c r="C171" s="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7"/>
      <c r="AD171" s="7"/>
      <c r="AE171" s="7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1:64">
      <c r="A172" s="7"/>
      <c r="B172" s="7"/>
      <c r="C172" s="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7"/>
      <c r="AD172" s="7"/>
      <c r="AE172" s="7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>
      <c r="A173" s="7"/>
      <c r="B173" s="7"/>
      <c r="C173" s="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7"/>
      <c r="AD173" s="7"/>
      <c r="AE173" s="7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7"/>
      <c r="BE173" s="7"/>
      <c r="BF173" s="7"/>
      <c r="BG173" s="7"/>
      <c r="BH173" s="7"/>
      <c r="BI173" s="7"/>
      <c r="BJ173" s="7"/>
      <c r="BK173" s="7"/>
      <c r="BL173" s="7"/>
    </row>
    <row r="174" spans="1:64">
      <c r="A174" s="7"/>
      <c r="B174" s="7"/>
      <c r="C174" s="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7"/>
      <c r="AD174" s="7"/>
      <c r="AE174" s="7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7"/>
      <c r="BE174" s="7"/>
      <c r="BF174" s="7"/>
      <c r="BG174" s="7"/>
      <c r="BH174" s="7"/>
      <c r="BI174" s="7"/>
      <c r="BJ174" s="7"/>
      <c r="BK174" s="7"/>
      <c r="BL174" s="7"/>
    </row>
    <row r="175" spans="1:64">
      <c r="A175" s="7"/>
      <c r="B175" s="7"/>
      <c r="C175" s="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7"/>
      <c r="AD175" s="7"/>
      <c r="AE175" s="7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7"/>
      <c r="BE175" s="7"/>
      <c r="BF175" s="7"/>
      <c r="BG175" s="7"/>
      <c r="BH175" s="7"/>
      <c r="BI175" s="7"/>
      <c r="BJ175" s="7"/>
      <c r="BK175" s="7"/>
      <c r="BL175" s="7"/>
    </row>
    <row r="176" spans="1:64">
      <c r="A176" s="7"/>
      <c r="B176" s="7"/>
      <c r="C176" s="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7"/>
      <c r="AD176" s="7"/>
      <c r="AE176" s="7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7"/>
      <c r="BE176" s="7"/>
      <c r="BF176" s="7"/>
      <c r="BG176" s="7"/>
      <c r="BH176" s="7"/>
      <c r="BI176" s="7"/>
      <c r="BJ176" s="7"/>
      <c r="BK176" s="7"/>
      <c r="BL176" s="7"/>
    </row>
    <row r="177" spans="1:64">
      <c r="A177" s="7"/>
      <c r="B177" s="7"/>
      <c r="C177" s="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7"/>
      <c r="AD177" s="7"/>
      <c r="AE177" s="7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7"/>
      <c r="BE177" s="7"/>
      <c r="BF177" s="7"/>
      <c r="BG177" s="7"/>
      <c r="BH177" s="7"/>
      <c r="BI177" s="7"/>
      <c r="BJ177" s="7"/>
      <c r="BK177" s="7"/>
      <c r="BL177" s="7"/>
    </row>
    <row r="178" spans="1:64">
      <c r="A178" s="7"/>
      <c r="B178" s="7"/>
      <c r="C178" s="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7"/>
      <c r="AD178" s="7"/>
      <c r="AE178" s="7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7"/>
      <c r="BE178" s="7"/>
      <c r="BF178" s="7"/>
      <c r="BG178" s="7"/>
      <c r="BH178" s="7"/>
      <c r="BI178" s="7"/>
      <c r="BJ178" s="7"/>
      <c r="BK178" s="7"/>
      <c r="BL178" s="7"/>
    </row>
    <row r="179" spans="1:64">
      <c r="A179" s="7"/>
      <c r="B179" s="7"/>
      <c r="C179" s="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7"/>
      <c r="AD179" s="7"/>
      <c r="AE179" s="7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1:64">
      <c r="A180" s="7"/>
      <c r="B180" s="7"/>
      <c r="C180" s="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7"/>
      <c r="AD180" s="7"/>
      <c r="AE180" s="7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7"/>
      <c r="BE180" s="7"/>
      <c r="BF180" s="7"/>
      <c r="BG180" s="7"/>
      <c r="BH180" s="7"/>
      <c r="BI180" s="7"/>
      <c r="BJ180" s="7"/>
      <c r="BK180" s="7"/>
      <c r="BL180" s="7"/>
    </row>
    <row r="181" spans="1:64">
      <c r="A181" s="7"/>
      <c r="B181" s="7"/>
      <c r="C181" s="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7"/>
      <c r="AD181" s="7"/>
      <c r="AE181" s="7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7"/>
      <c r="BE181" s="7"/>
      <c r="BF181" s="7"/>
      <c r="BG181" s="7"/>
      <c r="BH181" s="7"/>
      <c r="BI181" s="7"/>
      <c r="BJ181" s="7"/>
      <c r="BK181" s="7"/>
      <c r="BL181" s="7"/>
    </row>
    <row r="182" spans="1:64">
      <c r="A182" s="7"/>
      <c r="B182" s="7"/>
      <c r="C182" s="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7"/>
      <c r="AD182" s="7"/>
      <c r="AE182" s="7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7"/>
      <c r="BE182" s="7"/>
      <c r="BF182" s="7"/>
      <c r="BG182" s="7"/>
      <c r="BH182" s="7"/>
      <c r="BI182" s="7"/>
      <c r="BJ182" s="7"/>
      <c r="BK182" s="7"/>
      <c r="BL182" s="7"/>
    </row>
    <row r="183" spans="1:64">
      <c r="A183" s="7"/>
      <c r="B183" s="7"/>
      <c r="C183" s="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7"/>
      <c r="AD183" s="7"/>
      <c r="AE183" s="7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7"/>
      <c r="BE183" s="7"/>
      <c r="BF183" s="7"/>
      <c r="BG183" s="7"/>
      <c r="BH183" s="7"/>
      <c r="BI183" s="7"/>
      <c r="BJ183" s="7"/>
      <c r="BK183" s="7"/>
      <c r="BL183" s="7"/>
    </row>
    <row r="184" spans="1:64">
      <c r="A184" s="7"/>
      <c r="B184" s="7"/>
      <c r="C184" s="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7"/>
      <c r="AD184" s="7"/>
      <c r="AE184" s="7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7"/>
      <c r="BE184" s="7"/>
      <c r="BF184" s="7"/>
      <c r="BG184" s="7"/>
      <c r="BH184" s="7"/>
      <c r="BI184" s="7"/>
      <c r="BJ184" s="7"/>
      <c r="BK184" s="7"/>
      <c r="BL184" s="7"/>
    </row>
    <row r="185" spans="1:64">
      <c r="A185" s="7"/>
      <c r="B185" s="7"/>
      <c r="C185" s="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7"/>
      <c r="AD185" s="7"/>
      <c r="AE185" s="7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7"/>
      <c r="BE185" s="7"/>
      <c r="BF185" s="7"/>
      <c r="BG185" s="7"/>
      <c r="BH185" s="7"/>
      <c r="BI185" s="7"/>
      <c r="BJ185" s="7"/>
      <c r="BK185" s="7"/>
      <c r="BL185" s="7"/>
    </row>
    <row r="186" spans="1:64">
      <c r="A186" s="7"/>
      <c r="B186" s="7"/>
      <c r="C186" s="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7"/>
      <c r="AD186" s="7"/>
      <c r="AE186" s="7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7"/>
      <c r="BE186" s="7"/>
      <c r="BF186" s="7"/>
      <c r="BG186" s="7"/>
      <c r="BH186" s="7"/>
      <c r="BI186" s="7"/>
      <c r="BJ186" s="7"/>
      <c r="BK186" s="7"/>
      <c r="BL186" s="7"/>
    </row>
    <row r="187" spans="1:64">
      <c r="A187" s="7"/>
      <c r="B187" s="7"/>
      <c r="C187" s="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7"/>
      <c r="AD187" s="7"/>
      <c r="AE187" s="7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7"/>
      <c r="BE187" s="7"/>
      <c r="BF187" s="7"/>
      <c r="BG187" s="7"/>
      <c r="BH187" s="7"/>
      <c r="BI187" s="7"/>
      <c r="BJ187" s="7"/>
      <c r="BK187" s="7"/>
      <c r="BL187" s="7"/>
    </row>
    <row r="188" spans="1:64">
      <c r="A188" s="7"/>
      <c r="B188" s="7"/>
      <c r="C188" s="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7"/>
      <c r="AD188" s="7"/>
      <c r="AE188" s="7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7"/>
      <c r="BE188" s="7"/>
      <c r="BF188" s="7"/>
      <c r="BG188" s="7"/>
      <c r="BH188" s="7"/>
      <c r="BI188" s="7"/>
      <c r="BJ188" s="7"/>
      <c r="BK188" s="7"/>
      <c r="BL188" s="7"/>
    </row>
    <row r="189" spans="1:64">
      <c r="A189" s="7"/>
      <c r="B189" s="7"/>
      <c r="C189" s="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7"/>
      <c r="AD189" s="7"/>
      <c r="AE189" s="7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7"/>
      <c r="BE189" s="7"/>
      <c r="BF189" s="7"/>
      <c r="BG189" s="7"/>
      <c r="BH189" s="7"/>
      <c r="BI189" s="7"/>
      <c r="BJ189" s="7"/>
      <c r="BK189" s="7"/>
      <c r="BL189" s="7"/>
    </row>
    <row r="190" spans="1:64">
      <c r="A190" s="7"/>
      <c r="B190" s="7"/>
      <c r="C190" s="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7"/>
      <c r="AD190" s="7"/>
      <c r="AE190" s="7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7"/>
      <c r="BE190" s="7"/>
      <c r="BF190" s="7"/>
      <c r="BG190" s="7"/>
      <c r="BH190" s="7"/>
      <c r="BI190" s="7"/>
      <c r="BJ190" s="7"/>
      <c r="BK190" s="7"/>
      <c r="BL190" s="7"/>
    </row>
    <row r="191" spans="1:64">
      <c r="A191" s="7"/>
      <c r="B191" s="7"/>
      <c r="C191" s="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7"/>
      <c r="AD191" s="7"/>
      <c r="AE191" s="7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7"/>
      <c r="BE191" s="7"/>
      <c r="BF191" s="7"/>
      <c r="BG191" s="7"/>
      <c r="BH191" s="7"/>
      <c r="BI191" s="7"/>
      <c r="BJ191" s="7"/>
      <c r="BK191" s="7"/>
      <c r="BL191" s="7"/>
    </row>
    <row r="192" spans="1:64">
      <c r="A192" s="7"/>
      <c r="B192" s="7"/>
      <c r="C192" s="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7"/>
      <c r="AD192" s="7"/>
      <c r="AE192" s="7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1:64">
      <c r="A193" s="7"/>
      <c r="B193" s="7"/>
      <c r="C193" s="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7"/>
      <c r="AD193" s="7"/>
      <c r="AE193" s="7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1:64">
      <c r="A194" s="7"/>
      <c r="B194" s="7"/>
      <c r="C194" s="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7"/>
      <c r="AD194" s="7"/>
      <c r="AE194" s="7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1:64">
      <c r="A195" s="7"/>
      <c r="B195" s="7"/>
      <c r="C195" s="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7"/>
      <c r="AD195" s="7"/>
      <c r="AE195" s="7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7"/>
      <c r="BE195" s="7"/>
      <c r="BF195" s="7"/>
      <c r="BG195" s="7"/>
      <c r="BH195" s="7"/>
      <c r="BI195" s="7"/>
      <c r="BJ195" s="7"/>
      <c r="BK195" s="7"/>
      <c r="BL195" s="7"/>
    </row>
    <row r="196" spans="1:64">
      <c r="A196" s="7"/>
      <c r="B196" s="7"/>
      <c r="C196" s="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7"/>
      <c r="AD196" s="7"/>
      <c r="AE196" s="7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7"/>
      <c r="BE196" s="7"/>
      <c r="BF196" s="7"/>
      <c r="BG196" s="7"/>
      <c r="BH196" s="7"/>
      <c r="BI196" s="7"/>
      <c r="BJ196" s="7"/>
      <c r="BK196" s="7"/>
      <c r="BL196" s="7"/>
    </row>
    <row r="197" spans="1:64">
      <c r="A197" s="7"/>
      <c r="B197" s="7"/>
      <c r="C197" s="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7"/>
      <c r="AD197" s="7"/>
      <c r="AE197" s="7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7"/>
      <c r="BE197" s="7"/>
      <c r="BF197" s="7"/>
      <c r="BG197" s="7"/>
      <c r="BH197" s="7"/>
      <c r="BI197" s="7"/>
      <c r="BJ197" s="7"/>
      <c r="BK197" s="7"/>
      <c r="BL197" s="7"/>
    </row>
    <row r="198" spans="1:64">
      <c r="A198" s="7"/>
      <c r="B198" s="7"/>
      <c r="C198" s="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7"/>
      <c r="AD198" s="7"/>
      <c r="AE198" s="7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7"/>
      <c r="BE198" s="7"/>
      <c r="BF198" s="7"/>
      <c r="BG198" s="7"/>
      <c r="BH198" s="7"/>
      <c r="BI198" s="7"/>
      <c r="BJ198" s="7"/>
      <c r="BK198" s="7"/>
      <c r="BL198" s="7"/>
    </row>
    <row r="199" spans="1:64">
      <c r="A199" s="7"/>
      <c r="B199" s="7"/>
      <c r="C199" s="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7"/>
      <c r="AD199" s="7"/>
      <c r="AE199" s="7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7"/>
      <c r="BE199" s="7"/>
      <c r="BF199" s="7"/>
      <c r="BG199" s="7"/>
      <c r="BH199" s="7"/>
      <c r="BI199" s="7"/>
      <c r="BJ199" s="7"/>
      <c r="BK199" s="7"/>
      <c r="BL199" s="7"/>
    </row>
    <row r="200" spans="1:64">
      <c r="A200" s="7"/>
      <c r="B200" s="7"/>
      <c r="C200" s="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7"/>
      <c r="AD200" s="7"/>
      <c r="AE200" s="7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7"/>
      <c r="BE200" s="7"/>
      <c r="BF200" s="7"/>
      <c r="BG200" s="7"/>
      <c r="BH200" s="7"/>
      <c r="BI200" s="7"/>
      <c r="BJ200" s="7"/>
      <c r="BK200" s="7"/>
      <c r="BL200" s="7"/>
    </row>
    <row r="201" spans="1:64">
      <c r="A201" s="7"/>
      <c r="B201" s="7"/>
      <c r="C201" s="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7"/>
      <c r="AD201" s="7"/>
      <c r="AE201" s="7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7"/>
      <c r="BE201" s="7"/>
      <c r="BF201" s="7"/>
      <c r="BG201" s="7"/>
      <c r="BH201" s="7"/>
      <c r="BI201" s="7"/>
      <c r="BJ201" s="7"/>
      <c r="BK201" s="7"/>
      <c r="BL201" s="7"/>
    </row>
    <row r="202" spans="1:64">
      <c r="A202" s="7"/>
      <c r="B202" s="7"/>
      <c r="C202" s="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7"/>
      <c r="AD202" s="7"/>
      <c r="AE202" s="7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7"/>
      <c r="BE202" s="7"/>
      <c r="BF202" s="7"/>
      <c r="BG202" s="7"/>
      <c r="BH202" s="7"/>
      <c r="BI202" s="7"/>
      <c r="BJ202" s="7"/>
      <c r="BK202" s="7"/>
      <c r="BL202" s="7"/>
    </row>
    <row r="203" spans="1:64">
      <c r="A203" s="7"/>
      <c r="B203" s="7"/>
      <c r="C203" s="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7"/>
      <c r="AD203" s="7"/>
      <c r="AE203" s="7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7"/>
      <c r="BE203" s="7"/>
      <c r="BF203" s="7"/>
      <c r="BG203" s="7"/>
      <c r="BH203" s="7"/>
      <c r="BI203" s="7"/>
      <c r="BJ203" s="7"/>
      <c r="BK203" s="7"/>
      <c r="BL203" s="7"/>
    </row>
    <row r="204" spans="1:64">
      <c r="A204" s="7"/>
      <c r="B204" s="7"/>
      <c r="C204" s="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7"/>
      <c r="AD204" s="7"/>
      <c r="AE204" s="7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7"/>
      <c r="BE204" s="7"/>
      <c r="BF204" s="7"/>
      <c r="BG204" s="7"/>
      <c r="BH204" s="7"/>
      <c r="BI204" s="7"/>
      <c r="BJ204" s="7"/>
      <c r="BK204" s="7"/>
      <c r="BL204" s="7"/>
    </row>
    <row r="205" spans="1:64">
      <c r="A205" s="7"/>
      <c r="B205" s="7"/>
      <c r="C205" s="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7"/>
      <c r="AD205" s="7"/>
      <c r="AE205" s="7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7"/>
      <c r="BE205" s="7"/>
      <c r="BF205" s="7"/>
      <c r="BG205" s="7"/>
      <c r="BH205" s="7"/>
      <c r="BI205" s="7"/>
      <c r="BJ205" s="7"/>
      <c r="BK205" s="7"/>
      <c r="BL205" s="7"/>
    </row>
    <row r="206" spans="1:64">
      <c r="A206" s="7"/>
      <c r="B206" s="7"/>
      <c r="C206" s="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7"/>
      <c r="AD206" s="7"/>
      <c r="AE206" s="7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7"/>
      <c r="BE206" s="7"/>
      <c r="BF206" s="7"/>
      <c r="BG206" s="7"/>
      <c r="BH206" s="7"/>
      <c r="BI206" s="7"/>
      <c r="BJ206" s="7"/>
      <c r="BK206" s="7"/>
      <c r="BL206" s="7"/>
    </row>
    <row r="207" spans="1:64">
      <c r="A207" s="7"/>
      <c r="B207" s="7"/>
      <c r="C207" s="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7"/>
      <c r="AD207" s="7"/>
      <c r="AE207" s="7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7"/>
      <c r="BE207" s="7"/>
      <c r="BF207" s="7"/>
      <c r="BG207" s="7"/>
      <c r="BH207" s="7"/>
      <c r="BI207" s="7"/>
      <c r="BJ207" s="7"/>
      <c r="BK207" s="7"/>
      <c r="BL207" s="7"/>
    </row>
    <row r="208" spans="1:64">
      <c r="A208" s="7"/>
      <c r="B208" s="7"/>
      <c r="C208" s="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7"/>
      <c r="AD208" s="7"/>
      <c r="AE208" s="7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7"/>
      <c r="BE208" s="7"/>
      <c r="BF208" s="7"/>
      <c r="BG208" s="7"/>
      <c r="BH208" s="7"/>
      <c r="BI208" s="7"/>
      <c r="BJ208" s="7"/>
      <c r="BK208" s="7"/>
      <c r="BL208" s="7"/>
    </row>
    <row r="209" spans="1:64">
      <c r="A209" s="7"/>
      <c r="B209" s="7"/>
      <c r="C209" s="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7"/>
      <c r="AD209" s="7"/>
      <c r="AE209" s="7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7"/>
      <c r="BE209" s="7"/>
      <c r="BF209" s="7"/>
      <c r="BG209" s="7"/>
      <c r="BH209" s="7"/>
      <c r="BI209" s="7"/>
      <c r="BJ209" s="7"/>
      <c r="BK209" s="7"/>
      <c r="BL209" s="7"/>
    </row>
    <row r="210" spans="1:64">
      <c r="A210" s="7"/>
      <c r="B210" s="7"/>
      <c r="C210" s="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7"/>
      <c r="AD210" s="7"/>
      <c r="AE210" s="7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7"/>
      <c r="BE210" s="7"/>
      <c r="BF210" s="7"/>
      <c r="BG210" s="7"/>
      <c r="BH210" s="7"/>
      <c r="BI210" s="7"/>
      <c r="BJ210" s="7"/>
      <c r="BK210" s="7"/>
      <c r="BL210" s="7"/>
    </row>
    <row r="211" spans="1:64">
      <c r="A211" s="7"/>
      <c r="B211" s="7"/>
      <c r="C211" s="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7"/>
      <c r="AD211" s="7"/>
      <c r="AE211" s="7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7"/>
      <c r="BE211" s="7"/>
      <c r="BF211" s="7"/>
      <c r="BG211" s="7"/>
      <c r="BH211" s="7"/>
      <c r="BI211" s="7"/>
      <c r="BJ211" s="7"/>
      <c r="BK211" s="7"/>
      <c r="BL211" s="7"/>
    </row>
    <row r="212" spans="1:64">
      <c r="A212" s="7"/>
      <c r="B212" s="7"/>
      <c r="C212" s="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7"/>
      <c r="AD212" s="7"/>
      <c r="AE212" s="7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7"/>
      <c r="BE212" s="7"/>
      <c r="BF212" s="7"/>
      <c r="BG212" s="7"/>
      <c r="BH212" s="7"/>
      <c r="BI212" s="7"/>
      <c r="BJ212" s="7"/>
      <c r="BK212" s="7"/>
      <c r="BL212" s="7"/>
    </row>
    <row r="213" spans="1:64">
      <c r="A213" s="7"/>
      <c r="B213" s="7"/>
      <c r="C213" s="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7"/>
      <c r="AD213" s="7"/>
      <c r="AE213" s="7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7"/>
      <c r="BE213" s="7"/>
      <c r="BF213" s="7"/>
      <c r="BG213" s="7"/>
      <c r="BH213" s="7"/>
      <c r="BI213" s="7"/>
      <c r="BJ213" s="7"/>
      <c r="BK213" s="7"/>
      <c r="BL213" s="7"/>
    </row>
    <row r="214" spans="1:64">
      <c r="A214" s="7"/>
      <c r="B214" s="7"/>
      <c r="C214" s="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7"/>
      <c r="AD214" s="7"/>
      <c r="AE214" s="7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7"/>
      <c r="BE214" s="7"/>
      <c r="BF214" s="7"/>
      <c r="BG214" s="7"/>
      <c r="BH214" s="7"/>
      <c r="BI214" s="7"/>
      <c r="BJ214" s="7"/>
      <c r="BK214" s="7"/>
      <c r="BL214" s="7"/>
    </row>
    <row r="215" spans="1:64">
      <c r="A215" s="7"/>
      <c r="B215" s="7"/>
      <c r="C215" s="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7"/>
      <c r="AD215" s="7"/>
      <c r="AE215" s="7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7"/>
      <c r="BE215" s="7"/>
      <c r="BF215" s="7"/>
      <c r="BG215" s="7"/>
      <c r="BH215" s="7"/>
      <c r="BI215" s="7"/>
      <c r="BJ215" s="7"/>
      <c r="BK215" s="7"/>
      <c r="BL215" s="7"/>
    </row>
    <row r="216" spans="1:64">
      <c r="A216" s="7"/>
      <c r="B216" s="7"/>
      <c r="C216" s="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7"/>
      <c r="AD216" s="7"/>
      <c r="AE216" s="7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7"/>
      <c r="BE216" s="7"/>
      <c r="BF216" s="7"/>
      <c r="BG216" s="7"/>
      <c r="BH216" s="7"/>
      <c r="BI216" s="7"/>
      <c r="BJ216" s="7"/>
      <c r="BK216" s="7"/>
      <c r="BL216" s="7"/>
    </row>
    <row r="217" spans="1:64">
      <c r="A217" s="7"/>
      <c r="B217" s="7"/>
      <c r="C217" s="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7"/>
      <c r="AD217" s="7"/>
      <c r="AE217" s="7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1:64">
      <c r="A218" s="7"/>
      <c r="B218" s="7"/>
      <c r="C218" s="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7"/>
      <c r="AD218" s="7"/>
      <c r="AE218" s="7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1:64">
      <c r="A219" s="7"/>
      <c r="B219" s="7"/>
      <c r="C219" s="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7"/>
      <c r="AD219" s="7"/>
      <c r="AE219" s="7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1:64">
      <c r="A220" s="7"/>
      <c r="B220" s="7"/>
      <c r="C220" s="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7"/>
      <c r="AD220" s="7"/>
      <c r="AE220" s="7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1:64">
      <c r="A221" s="7"/>
      <c r="B221" s="7"/>
      <c r="C221" s="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7"/>
      <c r="AD221" s="7"/>
      <c r="AE221" s="7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1:64">
      <c r="A222" s="7"/>
      <c r="B222" s="7"/>
      <c r="C222" s="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7"/>
      <c r="AD222" s="7"/>
      <c r="AE222" s="7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7"/>
      <c r="BE222" s="7"/>
      <c r="BF222" s="7"/>
      <c r="BG222" s="7"/>
      <c r="BH222" s="7"/>
      <c r="BI222" s="7"/>
      <c r="BJ222" s="7"/>
      <c r="BK222" s="7"/>
      <c r="BL222" s="7"/>
    </row>
    <row r="223" spans="1:64">
      <c r="A223" s="7"/>
      <c r="B223" s="7"/>
      <c r="C223" s="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7"/>
      <c r="AD223" s="7"/>
      <c r="AE223" s="7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7"/>
      <c r="BE223" s="7"/>
      <c r="BF223" s="7"/>
      <c r="BG223" s="7"/>
      <c r="BH223" s="7"/>
      <c r="BI223" s="7"/>
      <c r="BJ223" s="7"/>
      <c r="BK223" s="7"/>
      <c r="BL223" s="7"/>
    </row>
    <row r="224" spans="1:64">
      <c r="A224" s="7"/>
      <c r="B224" s="7"/>
      <c r="C224" s="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7"/>
      <c r="AD224" s="7"/>
      <c r="AE224" s="7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7"/>
      <c r="BE224" s="7"/>
      <c r="BF224" s="7"/>
      <c r="BG224" s="7"/>
      <c r="BH224" s="7"/>
      <c r="BI224" s="7"/>
      <c r="BJ224" s="7"/>
      <c r="BK224" s="7"/>
      <c r="BL224" s="7"/>
    </row>
    <row r="225" spans="1:64">
      <c r="A225" s="7"/>
      <c r="B225" s="7"/>
      <c r="C225" s="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7"/>
      <c r="AD225" s="7"/>
      <c r="AE225" s="7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7"/>
      <c r="BE225" s="7"/>
      <c r="BF225" s="7"/>
      <c r="BG225" s="7"/>
      <c r="BH225" s="7"/>
      <c r="BI225" s="7"/>
      <c r="BJ225" s="7"/>
      <c r="BK225" s="7"/>
      <c r="BL225" s="7"/>
    </row>
    <row r="226" spans="1:64">
      <c r="A226" s="7"/>
      <c r="B226" s="7"/>
      <c r="C226" s="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7"/>
      <c r="AD226" s="7"/>
      <c r="AE226" s="7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7"/>
      <c r="BE226" s="7"/>
      <c r="BF226" s="7"/>
      <c r="BG226" s="7"/>
      <c r="BH226" s="7"/>
      <c r="BI226" s="7"/>
      <c r="BJ226" s="7"/>
      <c r="BK226" s="7"/>
      <c r="BL226" s="7"/>
    </row>
    <row r="227" spans="1:64">
      <c r="A227" s="7"/>
      <c r="B227" s="7"/>
      <c r="C227" s="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7"/>
      <c r="AD227" s="7"/>
      <c r="AE227" s="7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7"/>
      <c r="BE227" s="7"/>
      <c r="BF227" s="7"/>
      <c r="BG227" s="7"/>
      <c r="BH227" s="7"/>
      <c r="BI227" s="7"/>
      <c r="BJ227" s="7"/>
      <c r="BK227" s="7"/>
      <c r="BL227" s="7"/>
    </row>
    <row r="228" spans="1:64">
      <c r="A228" s="7"/>
      <c r="B228" s="7"/>
      <c r="C228" s="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7"/>
      <c r="AD228" s="7"/>
      <c r="AE228" s="7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7"/>
      <c r="BE228" s="7"/>
      <c r="BF228" s="7"/>
      <c r="BG228" s="7"/>
      <c r="BH228" s="7"/>
      <c r="BI228" s="7"/>
      <c r="BJ228" s="7"/>
      <c r="BK228" s="7"/>
      <c r="BL228" s="7"/>
    </row>
    <row r="229" spans="1:64">
      <c r="A229" s="7"/>
      <c r="B229" s="7"/>
      <c r="C229" s="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7"/>
      <c r="AD229" s="7"/>
      <c r="AE229" s="7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7"/>
      <c r="BE229" s="7"/>
      <c r="BF229" s="7"/>
      <c r="BG229" s="7"/>
      <c r="BH229" s="7"/>
      <c r="BI229" s="7"/>
      <c r="BJ229" s="7"/>
      <c r="BK229" s="7"/>
      <c r="BL229" s="7"/>
    </row>
    <row r="230" spans="1:64">
      <c r="A230" s="7"/>
      <c r="B230" s="7"/>
      <c r="C230" s="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7"/>
      <c r="AD230" s="7"/>
      <c r="AE230" s="7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7"/>
      <c r="BE230" s="7"/>
      <c r="BF230" s="7"/>
      <c r="BG230" s="7"/>
      <c r="BH230" s="7"/>
      <c r="BI230" s="7"/>
      <c r="BJ230" s="7"/>
      <c r="BK230" s="7"/>
      <c r="BL230" s="7"/>
    </row>
    <row r="231" spans="1:64">
      <c r="A231" s="7"/>
      <c r="B231" s="7"/>
      <c r="C231" s="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7"/>
      <c r="AD231" s="7"/>
      <c r="AE231" s="7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7"/>
      <c r="BE231" s="7"/>
      <c r="BF231" s="7"/>
      <c r="BG231" s="7"/>
      <c r="BH231" s="7"/>
      <c r="BI231" s="7"/>
      <c r="BJ231" s="7"/>
      <c r="BK231" s="7"/>
      <c r="BL231" s="7"/>
    </row>
    <row r="232" spans="1:64">
      <c r="A232" s="7"/>
      <c r="B232" s="7"/>
      <c r="C232" s="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7"/>
      <c r="AD232" s="7"/>
      <c r="AE232" s="7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7"/>
      <c r="BE232" s="7"/>
      <c r="BF232" s="7"/>
      <c r="BG232" s="7"/>
      <c r="BH232" s="7"/>
      <c r="BI232" s="7"/>
      <c r="BJ232" s="7"/>
      <c r="BK232" s="7"/>
      <c r="BL232" s="7"/>
    </row>
    <row r="233" spans="1:64">
      <c r="A233" s="7"/>
      <c r="B233" s="7"/>
      <c r="C233" s="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7"/>
      <c r="AD233" s="7"/>
      <c r="AE233" s="7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7"/>
      <c r="BE233" s="7"/>
      <c r="BF233" s="7"/>
      <c r="BG233" s="7"/>
      <c r="BH233" s="7"/>
      <c r="BI233" s="7"/>
      <c r="BJ233" s="7"/>
      <c r="BK233" s="7"/>
      <c r="BL233" s="7"/>
    </row>
    <row r="234" spans="1:64">
      <c r="A234" s="7"/>
      <c r="B234" s="7"/>
      <c r="C234" s="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7"/>
      <c r="AD234" s="7"/>
      <c r="AE234" s="7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1:64">
      <c r="A235" s="7"/>
      <c r="B235" s="7"/>
      <c r="C235" s="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7"/>
      <c r="AD235" s="7"/>
      <c r="AE235" s="7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7"/>
      <c r="BE235" s="7"/>
      <c r="BF235" s="7"/>
      <c r="BG235" s="7"/>
      <c r="BH235" s="7"/>
      <c r="BI235" s="7"/>
      <c r="BJ235" s="7"/>
      <c r="BK235" s="7"/>
      <c r="BL235" s="7"/>
    </row>
    <row r="236" spans="1:64">
      <c r="A236" s="7"/>
      <c r="B236" s="7"/>
      <c r="C236" s="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7"/>
      <c r="AD236" s="7"/>
      <c r="AE236" s="7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7"/>
      <c r="BE236" s="7"/>
      <c r="BF236" s="7"/>
      <c r="BG236" s="7"/>
      <c r="BH236" s="7"/>
      <c r="BI236" s="7"/>
      <c r="BJ236" s="7"/>
      <c r="BK236" s="7"/>
      <c r="BL236" s="7"/>
    </row>
    <row r="237" spans="1:64">
      <c r="A237" s="7"/>
      <c r="B237" s="7"/>
      <c r="C237" s="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7"/>
      <c r="AD237" s="7"/>
      <c r="AE237" s="7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7"/>
      <c r="BE237" s="7"/>
      <c r="BF237" s="7"/>
      <c r="BG237" s="7"/>
      <c r="BH237" s="7"/>
      <c r="BI237" s="7"/>
      <c r="BJ237" s="7"/>
      <c r="BK237" s="7"/>
      <c r="BL237" s="7"/>
    </row>
    <row r="238" spans="1:64">
      <c r="A238" s="7"/>
      <c r="B238" s="7"/>
      <c r="C238" s="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7"/>
      <c r="AD238" s="7"/>
      <c r="AE238" s="7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7"/>
      <c r="BE238" s="7"/>
      <c r="BF238" s="7"/>
      <c r="BG238" s="7"/>
      <c r="BH238" s="7"/>
      <c r="BI238" s="7"/>
      <c r="BJ238" s="7"/>
      <c r="BK238" s="7"/>
      <c r="BL238" s="7"/>
    </row>
    <row r="239" spans="1:64">
      <c r="A239" s="7"/>
      <c r="B239" s="7"/>
      <c r="C239" s="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7"/>
      <c r="AD239" s="7"/>
      <c r="AE239" s="7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7"/>
      <c r="BE239" s="7"/>
      <c r="BF239" s="7"/>
      <c r="BG239" s="7"/>
      <c r="BH239" s="7"/>
      <c r="BI239" s="7"/>
      <c r="BJ239" s="7"/>
      <c r="BK239" s="7"/>
      <c r="BL239" s="7"/>
    </row>
    <row r="240" spans="1:64">
      <c r="A240" s="7"/>
      <c r="B240" s="7"/>
      <c r="C240" s="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7"/>
      <c r="AD240" s="7"/>
      <c r="AE240" s="7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7"/>
      <c r="BE240" s="7"/>
      <c r="BF240" s="7"/>
      <c r="BG240" s="7"/>
      <c r="BH240" s="7"/>
      <c r="BI240" s="7"/>
      <c r="BJ240" s="7"/>
      <c r="BK240" s="7"/>
      <c r="BL240" s="7"/>
    </row>
    <row r="241" spans="1:64">
      <c r="A241" s="7"/>
      <c r="B241" s="7"/>
      <c r="C241" s="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7"/>
      <c r="AD241" s="7"/>
      <c r="AE241" s="7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7"/>
      <c r="BE241" s="7"/>
      <c r="BF241" s="7"/>
      <c r="BG241" s="7"/>
      <c r="BH241" s="7"/>
      <c r="BI241" s="7"/>
      <c r="BJ241" s="7"/>
      <c r="BK241" s="7"/>
      <c r="BL241" s="7"/>
    </row>
    <row r="242" spans="1:64">
      <c r="A242" s="7"/>
      <c r="B242" s="7"/>
      <c r="C242" s="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7"/>
      <c r="AD242" s="7"/>
      <c r="AE242" s="7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7"/>
      <c r="BE242" s="7"/>
      <c r="BF242" s="7"/>
      <c r="BG242" s="7"/>
      <c r="BH242" s="7"/>
      <c r="BI242" s="7"/>
      <c r="BJ242" s="7"/>
      <c r="BK242" s="7"/>
      <c r="BL242" s="7"/>
    </row>
    <row r="243" spans="1:64">
      <c r="A243" s="7"/>
      <c r="B243" s="7"/>
      <c r="C243" s="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7"/>
      <c r="AD243" s="7"/>
      <c r="AE243" s="7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7"/>
      <c r="BE243" s="7"/>
      <c r="BF243" s="7"/>
      <c r="BG243" s="7"/>
      <c r="BH243" s="7"/>
      <c r="BI243" s="7"/>
      <c r="BJ243" s="7"/>
      <c r="BK243" s="7"/>
      <c r="BL243" s="7"/>
    </row>
    <row r="244" spans="1:64">
      <c r="A244" s="7"/>
      <c r="B244" s="7"/>
      <c r="C244" s="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7"/>
      <c r="AD244" s="7"/>
      <c r="AE244" s="7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7"/>
      <c r="BE244" s="7"/>
      <c r="BF244" s="7"/>
      <c r="BG244" s="7"/>
      <c r="BH244" s="7"/>
      <c r="BI244" s="7"/>
      <c r="BJ244" s="7"/>
      <c r="BK244" s="7"/>
      <c r="BL244" s="7"/>
    </row>
    <row r="245" spans="1:64">
      <c r="A245" s="7"/>
      <c r="B245" s="7"/>
      <c r="C245" s="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7"/>
      <c r="AD245" s="7"/>
      <c r="AE245" s="7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7"/>
      <c r="BE245" s="7"/>
      <c r="BF245" s="7"/>
      <c r="BG245" s="7"/>
      <c r="BH245" s="7"/>
      <c r="BI245" s="7"/>
      <c r="BJ245" s="7"/>
      <c r="BK245" s="7"/>
      <c r="BL245" s="7"/>
    </row>
    <row r="246" spans="1:64">
      <c r="A246" s="7"/>
      <c r="B246" s="7"/>
      <c r="C246" s="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7"/>
      <c r="AD246" s="7"/>
      <c r="AE246" s="7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7"/>
      <c r="BE246" s="7"/>
      <c r="BF246" s="7"/>
      <c r="BG246" s="7"/>
      <c r="BH246" s="7"/>
      <c r="BI246" s="7"/>
      <c r="BJ246" s="7"/>
      <c r="BK246" s="7"/>
      <c r="BL246" s="7"/>
    </row>
    <row r="247" spans="1:64">
      <c r="A247" s="7"/>
      <c r="B247" s="7"/>
      <c r="C247" s="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7"/>
      <c r="AD247" s="7"/>
      <c r="AE247" s="7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7"/>
      <c r="BE247" s="7"/>
      <c r="BF247" s="7"/>
      <c r="BG247" s="7"/>
      <c r="BH247" s="7"/>
      <c r="BI247" s="7"/>
      <c r="BJ247" s="7"/>
      <c r="BK247" s="7"/>
      <c r="BL247" s="7"/>
    </row>
    <row r="248" spans="1:64">
      <c r="A248" s="7"/>
      <c r="B248" s="7"/>
      <c r="C248" s="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7"/>
      <c r="AD248" s="7"/>
      <c r="AE248" s="7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7"/>
      <c r="BE248" s="7"/>
      <c r="BF248" s="7"/>
      <c r="BG248" s="7"/>
      <c r="BH248" s="7"/>
      <c r="BI248" s="7"/>
      <c r="BJ248" s="7"/>
      <c r="BK248" s="7"/>
      <c r="BL248" s="7"/>
    </row>
    <row r="249" spans="1:64">
      <c r="A249" s="7"/>
      <c r="B249" s="7"/>
      <c r="C249" s="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7"/>
      <c r="AD249" s="7"/>
      <c r="AE249" s="7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7"/>
      <c r="BE249" s="7"/>
      <c r="BF249" s="7"/>
      <c r="BG249" s="7"/>
      <c r="BH249" s="7"/>
      <c r="BI249" s="7"/>
      <c r="BJ249" s="7"/>
      <c r="BK249" s="7"/>
      <c r="BL249" s="7"/>
    </row>
    <row r="250" spans="1:64">
      <c r="A250" s="7"/>
      <c r="B250" s="7"/>
      <c r="C250" s="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7"/>
      <c r="AD250" s="7"/>
      <c r="AE250" s="7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7"/>
      <c r="BE250" s="7"/>
      <c r="BF250" s="7"/>
      <c r="BG250" s="7"/>
      <c r="BH250" s="7"/>
      <c r="BI250" s="7"/>
      <c r="BJ250" s="7"/>
      <c r="BK250" s="7"/>
      <c r="BL250" s="7"/>
    </row>
    <row r="251" spans="1:64">
      <c r="A251" s="7"/>
      <c r="B251" s="7"/>
      <c r="C251" s="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7"/>
      <c r="AD251" s="7"/>
      <c r="AE251" s="7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7"/>
      <c r="BE251" s="7"/>
      <c r="BF251" s="7"/>
      <c r="BG251" s="7"/>
      <c r="BH251" s="7"/>
      <c r="BI251" s="7"/>
      <c r="BJ251" s="7"/>
      <c r="BK251" s="7"/>
      <c r="BL251" s="7"/>
    </row>
    <row r="252" spans="1:64">
      <c r="A252" s="7"/>
      <c r="B252" s="7"/>
      <c r="C252" s="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7"/>
      <c r="AD252" s="7"/>
      <c r="AE252" s="7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7"/>
      <c r="BE252" s="7"/>
      <c r="BF252" s="7"/>
      <c r="BG252" s="7"/>
      <c r="BH252" s="7"/>
      <c r="BI252" s="7"/>
      <c r="BJ252" s="7"/>
      <c r="BK252" s="7"/>
      <c r="BL252" s="7"/>
    </row>
    <row r="253" spans="1:64">
      <c r="A253" s="7"/>
      <c r="B253" s="7"/>
      <c r="C253" s="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7"/>
      <c r="AD253" s="7"/>
      <c r="AE253" s="7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7"/>
      <c r="BE253" s="7"/>
      <c r="BF253" s="7"/>
      <c r="BG253" s="7"/>
      <c r="BH253" s="7"/>
      <c r="BI253" s="7"/>
      <c r="BJ253" s="7"/>
      <c r="BK253" s="7"/>
      <c r="BL253" s="7"/>
    </row>
    <row r="254" spans="1:64">
      <c r="A254" s="7"/>
      <c r="B254" s="7"/>
      <c r="C254" s="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7"/>
      <c r="AD254" s="7"/>
      <c r="AE254" s="7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7"/>
      <c r="BE254" s="7"/>
      <c r="BF254" s="7"/>
      <c r="BG254" s="7"/>
      <c r="BH254" s="7"/>
      <c r="BI254" s="7"/>
      <c r="BJ254" s="7"/>
      <c r="BK254" s="7"/>
      <c r="BL254" s="7"/>
    </row>
    <row r="255" spans="1:64">
      <c r="A255" s="7"/>
      <c r="B255" s="7"/>
      <c r="C255" s="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7"/>
      <c r="AD255" s="7"/>
      <c r="AE255" s="7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7"/>
      <c r="BE255" s="7"/>
      <c r="BF255" s="7"/>
      <c r="BG255" s="7"/>
      <c r="BH255" s="7"/>
      <c r="BI255" s="7"/>
      <c r="BJ255" s="7"/>
      <c r="BK255" s="7"/>
      <c r="BL255" s="7"/>
    </row>
    <row r="256" spans="1:64">
      <c r="A256" s="7"/>
      <c r="B256" s="7"/>
      <c r="C256" s="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7"/>
      <c r="AD256" s="7"/>
      <c r="AE256" s="7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7"/>
      <c r="BE256" s="7"/>
      <c r="BF256" s="7"/>
      <c r="BG256" s="7"/>
      <c r="BH256" s="7"/>
      <c r="BI256" s="7"/>
      <c r="BJ256" s="7"/>
      <c r="BK256" s="7"/>
      <c r="BL256" s="7"/>
    </row>
    <row r="257" spans="1:64">
      <c r="A257" s="7"/>
      <c r="B257" s="7"/>
      <c r="C257" s="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7"/>
      <c r="AD257" s="7"/>
      <c r="AE257" s="7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7"/>
      <c r="BE257" s="7"/>
      <c r="BF257" s="7"/>
      <c r="BG257" s="7"/>
      <c r="BH257" s="7"/>
      <c r="BI257" s="7"/>
      <c r="BJ257" s="7"/>
      <c r="BK257" s="7"/>
      <c r="BL257" s="7"/>
    </row>
    <row r="258" spans="1:64">
      <c r="A258" s="7"/>
      <c r="B258" s="7"/>
      <c r="C258" s="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7"/>
      <c r="AD258" s="7"/>
      <c r="AE258" s="7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7"/>
      <c r="BE258" s="7"/>
      <c r="BF258" s="7"/>
      <c r="BG258" s="7"/>
      <c r="BH258" s="7"/>
      <c r="BI258" s="7"/>
      <c r="BJ258" s="7"/>
      <c r="BK258" s="7"/>
      <c r="BL258" s="7"/>
    </row>
    <row r="259" spans="1:64">
      <c r="A259" s="7"/>
      <c r="B259" s="7"/>
      <c r="C259" s="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7"/>
      <c r="AD259" s="7"/>
      <c r="AE259" s="7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7"/>
      <c r="BE259" s="7"/>
      <c r="BF259" s="7"/>
      <c r="BG259" s="7"/>
      <c r="BH259" s="7"/>
      <c r="BI259" s="7"/>
      <c r="BJ259" s="7"/>
      <c r="BK259" s="7"/>
      <c r="BL259" s="7"/>
    </row>
    <row r="260" spans="1:64">
      <c r="A260" s="7"/>
      <c r="B260" s="7"/>
      <c r="C260" s="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7"/>
      <c r="AD260" s="7"/>
      <c r="AE260" s="7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7"/>
      <c r="BE260" s="7"/>
      <c r="BF260" s="7"/>
      <c r="BG260" s="7"/>
      <c r="BH260" s="7"/>
      <c r="BI260" s="7"/>
      <c r="BJ260" s="7"/>
      <c r="BK260" s="7"/>
      <c r="BL260" s="7"/>
    </row>
    <row r="261" spans="1:64">
      <c r="A261" s="7"/>
      <c r="B261" s="7"/>
      <c r="C261" s="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7"/>
      <c r="AD261" s="7"/>
      <c r="AE261" s="7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7"/>
      <c r="BE261" s="7"/>
      <c r="BF261" s="7"/>
      <c r="BG261" s="7"/>
      <c r="BH261" s="7"/>
      <c r="BI261" s="7"/>
      <c r="BJ261" s="7"/>
      <c r="BK261" s="7"/>
      <c r="BL261" s="7"/>
    </row>
    <row r="262" spans="1:64">
      <c r="A262" s="7"/>
      <c r="B262" s="7"/>
      <c r="C262" s="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7"/>
      <c r="AD262" s="7"/>
      <c r="AE262" s="7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7"/>
      <c r="BE262" s="7"/>
      <c r="BF262" s="7"/>
      <c r="BG262" s="7"/>
      <c r="BH262" s="7"/>
      <c r="BI262" s="7"/>
      <c r="BJ262" s="7"/>
      <c r="BK262" s="7"/>
      <c r="BL262" s="7"/>
    </row>
    <row r="263" spans="1:64">
      <c r="A263" s="7"/>
      <c r="B263" s="7"/>
      <c r="C263" s="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7"/>
      <c r="AD263" s="7"/>
      <c r="AE263" s="7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7"/>
      <c r="BE263" s="7"/>
      <c r="BF263" s="7"/>
      <c r="BG263" s="7"/>
      <c r="BH263" s="7"/>
      <c r="BI263" s="7"/>
      <c r="BJ263" s="7"/>
      <c r="BK263" s="7"/>
      <c r="BL263" s="7"/>
    </row>
    <row r="264" spans="1:64">
      <c r="A264" s="7"/>
      <c r="B264" s="7"/>
      <c r="C264" s="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7"/>
      <c r="AD264" s="7"/>
      <c r="AE264" s="7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7"/>
      <c r="BE264" s="7"/>
      <c r="BF264" s="7"/>
      <c r="BG264" s="7"/>
      <c r="BH264" s="7"/>
      <c r="BI264" s="7"/>
      <c r="BJ264" s="7"/>
      <c r="BK264" s="7"/>
      <c r="BL264" s="7"/>
    </row>
    <row r="265" spans="1:64">
      <c r="A265" s="7"/>
      <c r="B265" s="7"/>
      <c r="C265" s="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7"/>
      <c r="AD265" s="7"/>
      <c r="AE265" s="7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7"/>
      <c r="BE265" s="7"/>
      <c r="BF265" s="7"/>
      <c r="BG265" s="7"/>
      <c r="BH265" s="7"/>
      <c r="BI265" s="7"/>
      <c r="BJ265" s="7"/>
      <c r="BK265" s="7"/>
      <c r="BL265" s="7"/>
    </row>
    <row r="266" spans="1:64">
      <c r="A266" s="7"/>
      <c r="B266" s="7"/>
      <c r="C266" s="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7"/>
      <c r="AD266" s="7"/>
      <c r="AE266" s="7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7"/>
      <c r="BE266" s="7"/>
      <c r="BF266" s="7"/>
      <c r="BG266" s="7"/>
      <c r="BH266" s="7"/>
      <c r="BI266" s="7"/>
      <c r="BJ266" s="7"/>
      <c r="BK266" s="7"/>
      <c r="BL266" s="7"/>
    </row>
    <row r="267" spans="1:64">
      <c r="A267" s="7"/>
      <c r="B267" s="7"/>
      <c r="C267" s="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7"/>
      <c r="AD267" s="7"/>
      <c r="AE267" s="7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7"/>
      <c r="BE267" s="7"/>
      <c r="BF267" s="7"/>
      <c r="BG267" s="7"/>
      <c r="BH267" s="7"/>
      <c r="BI267" s="7"/>
      <c r="BJ267" s="7"/>
      <c r="BK267" s="7"/>
      <c r="BL267" s="7"/>
    </row>
    <row r="268" spans="1:64">
      <c r="A268" s="7"/>
      <c r="B268" s="7"/>
      <c r="C268" s="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7"/>
      <c r="AD268" s="7"/>
      <c r="AE268" s="7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7"/>
      <c r="BE268" s="7"/>
      <c r="BF268" s="7"/>
      <c r="BG268" s="7"/>
      <c r="BH268" s="7"/>
      <c r="BI268" s="7"/>
      <c r="BJ268" s="7"/>
      <c r="BK268" s="7"/>
      <c r="BL268" s="7"/>
    </row>
    <row r="269" spans="1:64">
      <c r="A269" s="7"/>
      <c r="B269" s="7"/>
      <c r="C269" s="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7"/>
      <c r="AD269" s="7"/>
      <c r="AE269" s="7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7"/>
      <c r="BE269" s="7"/>
      <c r="BF269" s="7"/>
      <c r="BG269" s="7"/>
      <c r="BH269" s="7"/>
      <c r="BI269" s="7"/>
      <c r="BJ269" s="7"/>
      <c r="BK269" s="7"/>
      <c r="BL269" s="7"/>
    </row>
    <row r="270" spans="1:64">
      <c r="A270" s="7"/>
      <c r="B270" s="7"/>
      <c r="C270" s="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7"/>
      <c r="AD270" s="7"/>
      <c r="AE270" s="7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7"/>
      <c r="BE270" s="7"/>
      <c r="BF270" s="7"/>
      <c r="BG270" s="7"/>
      <c r="BH270" s="7"/>
      <c r="BI270" s="7"/>
      <c r="BJ270" s="7"/>
      <c r="BK270" s="7"/>
      <c r="BL270" s="7"/>
    </row>
    <row r="271" spans="1:64">
      <c r="A271" s="7"/>
      <c r="B271" s="7"/>
      <c r="C271" s="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7"/>
      <c r="AD271" s="7"/>
      <c r="AE271" s="7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7"/>
      <c r="BE271" s="7"/>
      <c r="BF271" s="7"/>
      <c r="BG271" s="7"/>
      <c r="BH271" s="7"/>
      <c r="BI271" s="7"/>
      <c r="BJ271" s="7"/>
      <c r="BK271" s="7"/>
      <c r="BL271" s="7"/>
    </row>
    <row r="272" spans="1:64">
      <c r="A272" s="7"/>
      <c r="B272" s="7"/>
      <c r="C272" s="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7"/>
      <c r="AD272" s="7"/>
      <c r="AE272" s="7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7"/>
      <c r="BE272" s="7"/>
      <c r="BF272" s="7"/>
      <c r="BG272" s="7"/>
      <c r="BH272" s="7"/>
      <c r="BI272" s="7"/>
      <c r="BJ272" s="7"/>
      <c r="BK272" s="7"/>
      <c r="BL272" s="7"/>
    </row>
    <row r="273" spans="1:64">
      <c r="A273" s="7"/>
      <c r="B273" s="7"/>
      <c r="C273" s="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7"/>
      <c r="AD273" s="7"/>
      <c r="AE273" s="7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7"/>
      <c r="BE273" s="7"/>
      <c r="BF273" s="7"/>
      <c r="BG273" s="7"/>
      <c r="BH273" s="7"/>
      <c r="BI273" s="7"/>
      <c r="BJ273" s="7"/>
      <c r="BK273" s="7"/>
      <c r="BL273" s="7"/>
    </row>
    <row r="274" spans="1:64">
      <c r="A274" s="7"/>
      <c r="B274" s="7"/>
      <c r="C274" s="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7"/>
      <c r="AD274" s="7"/>
      <c r="AE274" s="7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7"/>
      <c r="BE274" s="7"/>
      <c r="BF274" s="7"/>
      <c r="BG274" s="7"/>
      <c r="BH274" s="7"/>
      <c r="BI274" s="7"/>
      <c r="BJ274" s="7"/>
      <c r="BK274" s="7"/>
      <c r="BL274" s="7"/>
    </row>
    <row r="275" spans="1:64">
      <c r="A275" s="7"/>
      <c r="B275" s="7"/>
      <c r="C275" s="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7"/>
      <c r="AD275" s="7"/>
      <c r="AE275" s="7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7"/>
      <c r="BE275" s="7"/>
      <c r="BF275" s="7"/>
      <c r="BG275" s="7"/>
      <c r="BH275" s="7"/>
      <c r="BI275" s="7"/>
      <c r="BJ275" s="7"/>
      <c r="BK275" s="7"/>
      <c r="BL275" s="7"/>
    </row>
    <row r="276" spans="1:64">
      <c r="A276" s="7"/>
      <c r="B276" s="7"/>
      <c r="C276" s="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7"/>
      <c r="AD276" s="7"/>
      <c r="AE276" s="7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7"/>
      <c r="BE276" s="7"/>
      <c r="BF276" s="7"/>
      <c r="BG276" s="7"/>
      <c r="BH276" s="7"/>
      <c r="BI276" s="7"/>
      <c r="BJ276" s="7"/>
      <c r="BK276" s="7"/>
      <c r="BL276" s="7"/>
    </row>
    <row r="277" spans="1:64">
      <c r="A277" s="7"/>
      <c r="B277" s="7"/>
      <c r="C277" s="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7"/>
      <c r="AD277" s="7"/>
      <c r="AE277" s="7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7"/>
      <c r="BE277" s="7"/>
      <c r="BF277" s="7"/>
      <c r="BG277" s="7"/>
      <c r="BH277" s="7"/>
      <c r="BI277" s="7"/>
      <c r="BJ277" s="7"/>
      <c r="BK277" s="7"/>
      <c r="BL277" s="7"/>
    </row>
    <row r="278" spans="1:64">
      <c r="A278" s="7"/>
      <c r="B278" s="7"/>
      <c r="C278" s="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7"/>
      <c r="AD278" s="7"/>
      <c r="AE278" s="7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7"/>
      <c r="BE278" s="7"/>
      <c r="BF278" s="7"/>
      <c r="BG278" s="7"/>
      <c r="BH278" s="7"/>
      <c r="BI278" s="7"/>
      <c r="BJ278" s="7"/>
      <c r="BK278" s="7"/>
      <c r="BL278" s="7"/>
    </row>
    <row r="284" spans="2:4">
      <c r="B284" s="10"/>
      <c r="C284" s="10"/>
      <c r="D284" s="10"/>
    </row>
    <row r="285" spans="2:4">
      <c r="B285" s="10"/>
      <c r="C285" s="10"/>
      <c r="D285" s="10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97"/>
  <sheetViews>
    <sheetView workbookViewId="0">
      <selection activeCell="C1" sqref="C1:C5"/>
    </sheetView>
  </sheetViews>
  <sheetFormatPr defaultColWidth="8.81333333333333" defaultRowHeight="15"/>
  <cols>
    <col min="1" max="3" width="12.4533333333333"/>
    <col min="65" max="65" width="12.4533333333333"/>
  </cols>
  <sheetData>
    <row r="1" spans="1:6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7"/>
    </row>
    <row r="2" spans="1:64">
      <c r="A2" s="11">
        <v>0</v>
      </c>
      <c r="B2" s="11">
        <v>0</v>
      </c>
      <c r="C2" s="11"/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7"/>
    </row>
    <row r="3" spans="1:64">
      <c r="A3" s="11">
        <v>0.14091914656322</v>
      </c>
      <c r="B3" s="12">
        <v>1.4165230732138e-12</v>
      </c>
      <c r="C3" s="12">
        <f>(B3-B2)/(A3-A2)</f>
        <v>1.00520270506912e-11</v>
      </c>
      <c r="D3" s="12">
        <v>1.5835200561548e-12</v>
      </c>
      <c r="E3" s="12">
        <v>1.5640718626733e-12</v>
      </c>
      <c r="F3" s="12">
        <v>1.5640718626733e-12</v>
      </c>
      <c r="G3" s="12">
        <v>1.5640718626733e-12</v>
      </c>
      <c r="H3" s="12">
        <v>1.5835200561548e-12</v>
      </c>
      <c r="I3" s="12">
        <v>1.5835200561548e-12</v>
      </c>
      <c r="J3" s="12">
        <v>1.5835200561548e-12</v>
      </c>
      <c r="K3" s="12">
        <v>1.6124016262933e-12</v>
      </c>
      <c r="L3" s="12">
        <v>1.6124016262933e-12</v>
      </c>
      <c r="M3" s="12">
        <v>1.6124016262933e-12</v>
      </c>
      <c r="N3" s="12">
        <v>1.0873160574765e-12</v>
      </c>
      <c r="O3" s="12">
        <v>1.5835200561548e-12</v>
      </c>
      <c r="P3" s="12">
        <v>1.0873160574765e-12</v>
      </c>
      <c r="Q3" s="12">
        <v>1.0873160574765e-12</v>
      </c>
      <c r="R3" s="12">
        <v>1.5640718626733e-12</v>
      </c>
      <c r="S3" s="12">
        <v>1.5640718626733e-12</v>
      </c>
      <c r="T3" s="12">
        <v>1.5640718626733e-12</v>
      </c>
      <c r="U3" s="12">
        <v>1.5835200561548e-12</v>
      </c>
      <c r="V3" s="12">
        <v>1.6124016262933e-12</v>
      </c>
      <c r="W3" s="12">
        <v>1.6124016262933e-12</v>
      </c>
      <c r="X3" s="12">
        <v>1.6124016262933e-12</v>
      </c>
      <c r="Y3" s="12">
        <v>1.0873160574765e-12</v>
      </c>
      <c r="Z3" s="12">
        <v>1.0873160574765e-12</v>
      </c>
      <c r="AA3" s="12">
        <v>1.0873160574765e-12</v>
      </c>
      <c r="AB3" s="11">
        <v>0.99999998676625</v>
      </c>
      <c r="AC3" s="11">
        <v>0.99999321431153</v>
      </c>
      <c r="AD3" s="12">
        <v>4.4149921681618e-7</v>
      </c>
      <c r="AE3" s="12">
        <v>2.7784585886869e-18</v>
      </c>
      <c r="AF3" s="12">
        <v>-9.9690450226235e-19</v>
      </c>
      <c r="AG3" s="12">
        <v>-7.7100059434071e-18</v>
      </c>
      <c r="AH3" s="12">
        <v>3.4321233836849e-18</v>
      </c>
      <c r="AI3" s="12">
        <v>1.0899233700256e-18</v>
      </c>
      <c r="AJ3" s="12">
        <v>1.0751873415446e-18</v>
      </c>
      <c r="AK3" s="12">
        <v>9.8697893102777e-18</v>
      </c>
      <c r="AL3" s="12">
        <v>-3.2190483134371e-18</v>
      </c>
      <c r="AM3" s="12">
        <v>9.8949357460178e-18</v>
      </c>
      <c r="AN3" s="12">
        <v>2.4819233126049e-18</v>
      </c>
      <c r="AO3" s="12">
        <v>3.3144364664415e-18</v>
      </c>
      <c r="AP3" s="12">
        <v>-1.2344137085718e-18</v>
      </c>
      <c r="AQ3" s="12">
        <v>5.7803792320891e-18</v>
      </c>
      <c r="AR3" s="12">
        <v>2.301380233796e-18</v>
      </c>
      <c r="AS3" s="12">
        <v>1.7163036009983e-18</v>
      </c>
      <c r="AT3" s="12">
        <v>2.4013214150798e-18</v>
      </c>
      <c r="AU3" s="12">
        <v>1.0657045766081e-17</v>
      </c>
      <c r="AV3" s="12">
        <v>-5.8590742309772e-18</v>
      </c>
      <c r="AW3" s="12">
        <v>4.6977591538125e-18</v>
      </c>
      <c r="AX3" s="12">
        <v>-7.0558933440049e-18</v>
      </c>
      <c r="AY3" s="12">
        <v>3.0360424101899e-18</v>
      </c>
      <c r="AZ3" s="12">
        <v>-7.3157300872789e-19</v>
      </c>
      <c r="BA3" s="12">
        <v>4.7151503674208e-19</v>
      </c>
      <c r="BB3" s="12">
        <v>-1.3602019121266e-20</v>
      </c>
      <c r="BC3" s="11">
        <v>15999999.99945</v>
      </c>
      <c r="BD3" s="11">
        <v>3999999.9998096</v>
      </c>
      <c r="BE3" s="12">
        <v>-1.3288703618271e-7</v>
      </c>
      <c r="BF3" s="12">
        <v>-1.1853315800902e-7</v>
      </c>
      <c r="BG3" s="12">
        <v>4.7738134122699e-7</v>
      </c>
      <c r="BH3" s="12">
        <v>-6.9420240760473e-10</v>
      </c>
      <c r="BI3" s="12">
        <v>-7.6203335743931e-10</v>
      </c>
      <c r="BJ3" s="11">
        <v>0.093946097958588</v>
      </c>
      <c r="BK3" s="11">
        <v>0.10238270630555</v>
      </c>
      <c r="BL3" s="7"/>
    </row>
    <row r="4" spans="1:64">
      <c r="A4" s="11">
        <v>0.44562546906687</v>
      </c>
      <c r="B4" s="12">
        <v>1.6002272933094e-11</v>
      </c>
      <c r="C4" s="12">
        <f t="shared" ref="C4:C21" si="0">(B4-B3)/(A4-A3)</f>
        <v>4.78682218998113e-11</v>
      </c>
      <c r="D4" s="12">
        <v>5.0079360004839e-12</v>
      </c>
      <c r="E4" s="12">
        <v>4.9464431665178e-12</v>
      </c>
      <c r="F4" s="12">
        <v>4.9464431665178e-12</v>
      </c>
      <c r="G4" s="12">
        <v>4.9464431665178e-12</v>
      </c>
      <c r="H4" s="12">
        <v>5.0079360004839e-12</v>
      </c>
      <c r="I4" s="12">
        <v>5.0079360004839e-12</v>
      </c>
      <c r="J4" s="12">
        <v>5.0079360004839e-12</v>
      </c>
      <c r="K4" s="12">
        <v>5.0993245357424e-12</v>
      </c>
      <c r="L4" s="12">
        <v>5.0993245357424e-12</v>
      </c>
      <c r="M4" s="12">
        <v>5.0993245357424e-12</v>
      </c>
      <c r="N4" s="12">
        <v>3.4386612211384e-12</v>
      </c>
      <c r="O4" s="12">
        <v>5.0079360004839e-12</v>
      </c>
      <c r="P4" s="12">
        <v>3.4386612211384e-12</v>
      </c>
      <c r="Q4" s="12">
        <v>3.4386612211384e-12</v>
      </c>
      <c r="R4" s="12">
        <v>4.9464431665178e-12</v>
      </c>
      <c r="S4" s="12">
        <v>4.9464431665178e-12</v>
      </c>
      <c r="T4" s="12">
        <v>4.9464431665178e-12</v>
      </c>
      <c r="U4" s="12">
        <v>5.0079360004839e-12</v>
      </c>
      <c r="V4" s="12">
        <v>5.0993245357424e-12</v>
      </c>
      <c r="W4" s="12">
        <v>5.0993245357424e-12</v>
      </c>
      <c r="X4" s="12">
        <v>5.0993245357424e-12</v>
      </c>
      <c r="Y4" s="12">
        <v>3.4386612211384e-12</v>
      </c>
      <c r="Z4" s="12">
        <v>3.4386612211384e-12</v>
      </c>
      <c r="AA4" s="12">
        <v>3.4386612211384e-12</v>
      </c>
      <c r="AB4" s="11">
        <v>0.99999999396602</v>
      </c>
      <c r="AC4" s="11">
        <v>0.99999682690013</v>
      </c>
      <c r="AD4" s="12">
        <v>1.39614628343e-6</v>
      </c>
      <c r="AE4" s="12">
        <v>5.2896969535849e-18</v>
      </c>
      <c r="AF4" s="12">
        <v>-7.2376100234575e-19</v>
      </c>
      <c r="AG4" s="12">
        <v>-1.0387310639519e-17</v>
      </c>
      <c r="AH4" s="12">
        <v>5.3729477629154e-18</v>
      </c>
      <c r="AI4" s="12">
        <v>-7.8874338137581e-19</v>
      </c>
      <c r="AJ4" s="12">
        <v>9.5530443813303e-20</v>
      </c>
      <c r="AK4" s="12">
        <v>1.3615593069396e-17</v>
      </c>
      <c r="AL4" s="12">
        <v>-5.633806563598e-18</v>
      </c>
      <c r="AM4" s="12">
        <v>1.3488358147383e-17</v>
      </c>
      <c r="AN4" s="12">
        <v>2.0311670049365e-18</v>
      </c>
      <c r="AO4" s="12">
        <v>3.7593881068064e-18</v>
      </c>
      <c r="AP4" s="12">
        <v>-8.1905316653448e-19</v>
      </c>
      <c r="AQ4" s="12">
        <v>6.4151876100868e-18</v>
      </c>
      <c r="AR4" s="12">
        <v>2.1470128564088e-18</v>
      </c>
      <c r="AS4" s="12">
        <v>4.7504062175757e-19</v>
      </c>
      <c r="AT4" s="12">
        <v>1.8461442180132e-18</v>
      </c>
      <c r="AU4" s="12">
        <v>1.3673128673086e-17</v>
      </c>
      <c r="AV4" s="12">
        <v>-9.1396835358317e-18</v>
      </c>
      <c r="AW4" s="12">
        <v>7.0576868092623e-18</v>
      </c>
      <c r="AX4" s="12">
        <v>-1.04550713149e-17</v>
      </c>
      <c r="AY4" s="12">
        <v>4.1411793697484e-18</v>
      </c>
      <c r="AZ4" s="12">
        <v>-8.1740390939924e-19</v>
      </c>
      <c r="BA4" s="12">
        <v>8.1248177134398e-19</v>
      </c>
      <c r="BB4" s="12">
        <v>-2.7257233329487e-19</v>
      </c>
      <c r="BC4" s="11">
        <v>15999999.994935</v>
      </c>
      <c r="BD4" s="11">
        <v>3999999.997849</v>
      </c>
      <c r="BE4" s="12">
        <v>-4.202230230005e-7</v>
      </c>
      <c r="BF4" s="12">
        <v>-3.7483177765493e-7</v>
      </c>
      <c r="BG4" s="12">
        <v>1.509617183573e-6</v>
      </c>
      <c r="BH4" s="12">
        <v>-6.9464582943732e-9</v>
      </c>
      <c r="BI4" s="12">
        <v>-7.6174654882229e-9</v>
      </c>
      <c r="BJ4" s="11">
        <v>0.29708364854672</v>
      </c>
      <c r="BK4" s="11">
        <v>0.32376218096604</v>
      </c>
      <c r="BL4" s="7"/>
    </row>
    <row r="5" spans="1:65">
      <c r="A5" s="11">
        <v>1.4091914656322</v>
      </c>
      <c r="B5" s="12">
        <v>1.618924287573e-10</v>
      </c>
      <c r="C5" s="12">
        <f t="shared" si="0"/>
        <v>1.51406500794172e-10</v>
      </c>
      <c r="D5" s="12">
        <v>1.5840548761984e-11</v>
      </c>
      <c r="E5" s="12">
        <v>1.5646169855481e-11</v>
      </c>
      <c r="F5" s="12">
        <v>1.5646169855481e-11</v>
      </c>
      <c r="G5" s="12">
        <v>1.5646169855481e-11</v>
      </c>
      <c r="H5" s="12">
        <v>1.5840548761984e-11</v>
      </c>
      <c r="I5" s="12">
        <v>1.5840548761984e-11</v>
      </c>
      <c r="J5" s="12">
        <v>1.5840548761984e-11</v>
      </c>
      <c r="K5" s="12">
        <v>1.6130116968829e-11</v>
      </c>
      <c r="L5" s="12">
        <v>1.6130116968828e-11</v>
      </c>
      <c r="M5" s="12">
        <v>1.6130116968829e-11</v>
      </c>
      <c r="N5" s="12">
        <v>1.0876668451017e-11</v>
      </c>
      <c r="O5" s="12">
        <v>1.5840548761984e-11</v>
      </c>
      <c r="P5" s="12">
        <v>1.0876668451017e-11</v>
      </c>
      <c r="Q5" s="12">
        <v>1.0876668451017e-11</v>
      </c>
      <c r="R5" s="12">
        <v>1.5646169855481e-11</v>
      </c>
      <c r="S5" s="12">
        <v>1.5646169855481e-11</v>
      </c>
      <c r="T5" s="12">
        <v>1.5646169855481e-11</v>
      </c>
      <c r="U5" s="12">
        <v>1.5840548761984e-11</v>
      </c>
      <c r="V5" s="12">
        <v>1.6130116968828e-11</v>
      </c>
      <c r="W5" s="12">
        <v>1.6130116968828e-11</v>
      </c>
      <c r="X5" s="12">
        <v>1.6130116968829e-11</v>
      </c>
      <c r="Y5" s="12">
        <v>1.0876668451017e-11</v>
      </c>
      <c r="Z5" s="12">
        <v>1.0876668451017e-11</v>
      </c>
      <c r="AA5" s="12">
        <v>1.0876668451017e-11</v>
      </c>
      <c r="AB5" s="11">
        <v>0.99999999622354</v>
      </c>
      <c r="AC5" s="11">
        <v>0.99999789548248</v>
      </c>
      <c r="AD5" s="12">
        <v>4.4150302885816e-6</v>
      </c>
      <c r="AE5" s="12">
        <v>1.498838178638e-17</v>
      </c>
      <c r="AF5" s="12">
        <v>1.4221200553046e-18</v>
      </c>
      <c r="AG5" s="12">
        <v>-1.8394401287116e-17</v>
      </c>
      <c r="AH5" s="12">
        <v>1.1747559466621e-17</v>
      </c>
      <c r="AI5" s="12">
        <v>-1.1713408978892e-17</v>
      </c>
      <c r="AJ5" s="12">
        <v>-6.1109316292752e-18</v>
      </c>
      <c r="AK5" s="12">
        <v>2.3894341496733e-17</v>
      </c>
      <c r="AL5" s="12">
        <v>-1.5077760556656e-17</v>
      </c>
      <c r="AM5" s="12">
        <v>2.2782877250587e-17</v>
      </c>
      <c r="AN5" s="12">
        <v>-1.6607753509159e-18</v>
      </c>
      <c r="AO5" s="12">
        <v>2.8521307449402e-18</v>
      </c>
      <c r="AP5" s="12">
        <v>2.1170438876222e-18</v>
      </c>
      <c r="AQ5" s="12">
        <v>5.4521929731745e-18</v>
      </c>
      <c r="AR5" s="12">
        <v>-8.5690993729885e-19</v>
      </c>
      <c r="AS5" s="12">
        <v>-7.2235418025901e-18</v>
      </c>
      <c r="AT5" s="12">
        <v>-2.5868361291479e-18</v>
      </c>
      <c r="AU5" s="12">
        <v>1.9947046676333e-17</v>
      </c>
      <c r="AV5" s="12">
        <v>-2.1274427816861e-17</v>
      </c>
      <c r="AW5" s="12">
        <v>1.4373504290915e-17</v>
      </c>
      <c r="AX5" s="12">
        <v>-2.1411861364316e-17</v>
      </c>
      <c r="AY5" s="12">
        <v>7.2779158663922e-18</v>
      </c>
      <c r="AZ5" s="12">
        <v>-1.0017644383577e-18</v>
      </c>
      <c r="BA5" s="12">
        <v>1.9703148663109e-18</v>
      </c>
      <c r="BB5" s="12">
        <v>-1.3395768114775e-18</v>
      </c>
      <c r="BC5" s="11">
        <v>15999999.959059</v>
      </c>
      <c r="BD5" s="11">
        <v>3999999.9782384</v>
      </c>
      <c r="BE5" s="12">
        <v>-1.3288356259269e-6</v>
      </c>
      <c r="BF5" s="12">
        <v>-1.1852930577765e-6</v>
      </c>
      <c r="BG5" s="12">
        <v>4.7738719363439e-6</v>
      </c>
      <c r="BH5" s="12">
        <v>-6.9457907973436e-8</v>
      </c>
      <c r="BI5" s="12">
        <v>-7.6160891099973e-8</v>
      </c>
      <c r="BJ5" s="11">
        <v>0.93946100212066</v>
      </c>
      <c r="BK5" s="11">
        <v>1.0238223242916</v>
      </c>
      <c r="BL5" s="7"/>
      <c r="BM5">
        <f t="shared" ref="BM5:BM15" si="1">(B5-B4)/(A5-A4)</f>
        <v>1.51406500794172e-10</v>
      </c>
    </row>
    <row r="6" spans="1:65">
      <c r="A6" s="11">
        <v>4.4562546906687</v>
      </c>
      <c r="B6" s="12">
        <v>1.6218327077809e-9</v>
      </c>
      <c r="C6" s="12">
        <f t="shared" si="0"/>
        <v>4.79130287493825e-10</v>
      </c>
      <c r="D6" s="12">
        <v>5.01328962027e-11</v>
      </c>
      <c r="E6" s="12">
        <v>4.9519003725078e-11</v>
      </c>
      <c r="F6" s="12">
        <v>4.9519003725081e-11</v>
      </c>
      <c r="G6" s="12">
        <v>4.9519003725074e-11</v>
      </c>
      <c r="H6" s="12">
        <v>5.0132896202715e-11</v>
      </c>
      <c r="I6" s="12">
        <v>5.0132896202711e-11</v>
      </c>
      <c r="J6" s="12">
        <v>5.0132896202699e-11</v>
      </c>
      <c r="K6" s="12">
        <v>5.1054323667078e-11</v>
      </c>
      <c r="L6" s="12">
        <v>5.1054323667065e-11</v>
      </c>
      <c r="M6" s="12">
        <v>5.1054323667071e-11</v>
      </c>
      <c r="N6" s="12">
        <v>3.4421742382231e-11</v>
      </c>
      <c r="O6" s="12">
        <v>5.0132896202718e-11</v>
      </c>
      <c r="P6" s="12">
        <v>3.4421742382229e-11</v>
      </c>
      <c r="Q6" s="12">
        <v>3.4421742382235e-11</v>
      </c>
      <c r="R6" s="12">
        <v>4.9519003725082e-11</v>
      </c>
      <c r="S6" s="12">
        <v>4.9519003725076e-11</v>
      </c>
      <c r="T6" s="12">
        <v>4.9519003725078e-11</v>
      </c>
      <c r="U6" s="12">
        <v>5.0132896202705e-11</v>
      </c>
      <c r="V6" s="12">
        <v>5.1054323667065e-11</v>
      </c>
      <c r="W6" s="12">
        <v>5.1054323667071e-11</v>
      </c>
      <c r="X6" s="12">
        <v>5.1054323667078e-11</v>
      </c>
      <c r="Y6" s="12">
        <v>3.4421742382227e-11</v>
      </c>
      <c r="Z6" s="12">
        <v>3.4421742382233e-11</v>
      </c>
      <c r="AA6" s="12">
        <v>3.4421742382233e-11</v>
      </c>
      <c r="AB6" s="11">
        <v>0.99999999562723</v>
      </c>
      <c r="AC6" s="11">
        <v>0.99999723341615</v>
      </c>
      <c r="AD6" s="12">
        <v>1.3961829942869e-5</v>
      </c>
      <c r="AE6" s="12">
        <v>8.2699936048975e-17</v>
      </c>
      <c r="AF6" s="12">
        <v>2.6530407458769e-17</v>
      </c>
      <c r="AG6" s="12">
        <v>-5.8463337085687e-17</v>
      </c>
      <c r="AH6" s="12">
        <v>4.5531577994662e-17</v>
      </c>
      <c r="AI6" s="12">
        <v>-1.2582194071207e-16</v>
      </c>
      <c r="AJ6" s="12">
        <v>-7.4264427716863e-17</v>
      </c>
      <c r="AK6" s="12">
        <v>6.1263144294267e-17</v>
      </c>
      <c r="AL6" s="12">
        <v>-8.4311523097677e-17</v>
      </c>
      <c r="AM6" s="12">
        <v>4.833432376605e-17</v>
      </c>
      <c r="AN6" s="12">
        <v>-4.2390322642199e-17</v>
      </c>
      <c r="AO6" s="12">
        <v>-2.7827168308186e-17</v>
      </c>
      <c r="AP6" s="12">
        <v>3.4437288194528e-17</v>
      </c>
      <c r="AQ6" s="12">
        <v>-2.7535410713305e-17</v>
      </c>
      <c r="AR6" s="12">
        <v>-4.3940283921989e-17</v>
      </c>
      <c r="AS6" s="12">
        <v>-8.802853270139e-17</v>
      </c>
      <c r="AT6" s="12">
        <v>-5.1168101621915e-17</v>
      </c>
      <c r="AU6" s="12">
        <v>1.9341576717805e-17</v>
      </c>
      <c r="AV6" s="12">
        <v>-1.0426546398649e-16</v>
      </c>
      <c r="AW6" s="12">
        <v>4.921541839349e-17</v>
      </c>
      <c r="AX6" s="12">
        <v>-7.9724424114771e-17</v>
      </c>
      <c r="AY6" s="12">
        <v>2.08275915865e-17</v>
      </c>
      <c r="AZ6" s="12">
        <v>-1.5400561718928e-18</v>
      </c>
      <c r="BA6" s="12">
        <v>8.5726870691153e-18</v>
      </c>
      <c r="BB6" s="12">
        <v>-8.7209521795484e-18</v>
      </c>
      <c r="BC6" s="11">
        <v>15999999.673955</v>
      </c>
      <c r="BD6" s="11">
        <v>3999999.7820077</v>
      </c>
      <c r="BE6" s="12">
        <v>-4.2018852694123e-6</v>
      </c>
      <c r="BF6" s="12">
        <v>-3.7479354316981e-6</v>
      </c>
      <c r="BG6" s="12">
        <v>1.5096737282926e-5</v>
      </c>
      <c r="BH6" s="12">
        <v>-6.9425937842412e-7</v>
      </c>
      <c r="BI6" s="12">
        <v>-7.6127967457693e-7</v>
      </c>
      <c r="BJ6" s="11">
        <v>2.9708367112826</v>
      </c>
      <c r="BK6" s="11">
        <v>3.2375746315279</v>
      </c>
      <c r="BL6" s="7"/>
      <c r="BM6">
        <f t="shared" si="1"/>
        <v>4.79130287493825e-10</v>
      </c>
    </row>
    <row r="7" spans="1:65">
      <c r="A7" s="11">
        <v>14.091914656322</v>
      </c>
      <c r="B7" s="12">
        <v>1.6254198218913e-8</v>
      </c>
      <c r="C7" s="12">
        <f t="shared" si="0"/>
        <v>1.51856391397058e-9</v>
      </c>
      <c r="D7" s="12">
        <v>1.5894198009599e-10</v>
      </c>
      <c r="E7" s="12">
        <v>1.5700860894143e-10</v>
      </c>
      <c r="F7" s="12">
        <v>1.5700860894175e-10</v>
      </c>
      <c r="G7" s="12">
        <v>1.570086089409e-10</v>
      </c>
      <c r="H7" s="12">
        <v>1.5894198009765e-10</v>
      </c>
      <c r="I7" s="12">
        <v>1.5894198009726e-10</v>
      </c>
      <c r="J7" s="12">
        <v>1.5894198009541e-10</v>
      </c>
      <c r="K7" s="12">
        <v>1.6191335090787e-10</v>
      </c>
      <c r="L7" s="12">
        <v>1.6191335090679e-10</v>
      </c>
      <c r="M7" s="12">
        <v>1.619133509072e-10</v>
      </c>
      <c r="N7" s="12">
        <v>1.0911874724173e-10</v>
      </c>
      <c r="O7" s="12">
        <v>1.5894198009796e-10</v>
      </c>
      <c r="P7" s="12">
        <v>1.0911874724157e-10</v>
      </c>
      <c r="Q7" s="12">
        <v>1.0911874724237e-10</v>
      </c>
      <c r="R7" s="12">
        <v>1.5700860894193e-10</v>
      </c>
      <c r="S7" s="12">
        <v>1.570086089409e-10</v>
      </c>
      <c r="T7" s="12">
        <v>1.5700860894132e-10</v>
      </c>
      <c r="U7" s="12">
        <v>1.5894198009628e-10</v>
      </c>
      <c r="V7" s="12">
        <v>1.6191335090669e-10</v>
      </c>
      <c r="W7" s="12">
        <v>1.6191335090738e-10</v>
      </c>
      <c r="X7" s="12">
        <v>1.6191335090777e-10</v>
      </c>
      <c r="Y7" s="12">
        <v>1.0911874724146e-10</v>
      </c>
      <c r="Z7" s="12">
        <v>1.0911874724223e-10</v>
      </c>
      <c r="AA7" s="12">
        <v>1.0911874724193e-10</v>
      </c>
      <c r="AB7" s="11">
        <v>0.99999998334314</v>
      </c>
      <c r="AC7" s="11">
        <v>0.99998682115373</v>
      </c>
      <c r="AD7" s="12">
        <v>4.4153997458196e-5</v>
      </c>
      <c r="AE7" s="12">
        <v>1.4725262399139e-15</v>
      </c>
      <c r="AF7" s="12">
        <v>7.9468480911214e-16</v>
      </c>
      <c r="AG7" s="12">
        <v>-6.6902045953198e-16</v>
      </c>
      <c r="AH7" s="12">
        <v>4.673101375567e-16</v>
      </c>
      <c r="AI7" s="12">
        <v>-3.6209294138737e-15</v>
      </c>
      <c r="AJ7" s="12">
        <v>-2.2099081167162e-15</v>
      </c>
      <c r="AK7" s="12">
        <v>1.6161139482757e-16</v>
      </c>
      <c r="AL7" s="12">
        <v>-1.6727623579915e-15</v>
      </c>
      <c r="AM7" s="12">
        <v>-2.931777623379e-16</v>
      </c>
      <c r="AN7" s="12">
        <v>-1.1185458901683e-15</v>
      </c>
      <c r="AO7" s="12">
        <v>-1.2497114467964e-15</v>
      </c>
      <c r="AP7" s="12">
        <v>9.7690534121643e-16</v>
      </c>
      <c r="AQ7" s="12">
        <v>-1.1508554486866e-15</v>
      </c>
      <c r="AR7" s="12">
        <v>-1.4596076928085e-15</v>
      </c>
      <c r="AS7" s="12">
        <v>-2.4454866350167e-15</v>
      </c>
      <c r="AT7" s="12">
        <v>-1.3215606754291e-15</v>
      </c>
      <c r="AU7" s="12">
        <v>-8.7940353736417e-16</v>
      </c>
      <c r="AV7" s="12">
        <v>-1.8550951558659e-15</v>
      </c>
      <c r="AW7" s="12">
        <v>3.8073179833073e-16</v>
      </c>
      <c r="AX7" s="12">
        <v>-8.8702222625268e-16</v>
      </c>
      <c r="AY7" s="12">
        <v>1.7429124860951e-16</v>
      </c>
      <c r="AZ7" s="12">
        <v>-1.4085729998364e-17</v>
      </c>
      <c r="BA7" s="12">
        <v>1.192741261537e-16</v>
      </c>
      <c r="BB7" s="12">
        <v>-1.3592307353744e-16</v>
      </c>
      <c r="BC7" s="11">
        <v>15999997.405809</v>
      </c>
      <c r="BD7" s="11">
        <v>3999997.8158252</v>
      </c>
      <c r="BE7" s="12">
        <v>-1.3284909057724e-5</v>
      </c>
      <c r="BF7" s="12">
        <v>-1.1849108772696e-5</v>
      </c>
      <c r="BG7" s="12">
        <v>4.7744402249107e-5</v>
      </c>
      <c r="BH7" s="12">
        <v>-6.9322899524856e-6</v>
      </c>
      <c r="BI7" s="12">
        <v>-7.6024482204083e-6</v>
      </c>
      <c r="BJ7" s="11">
        <v>9.3946122959301</v>
      </c>
      <c r="BK7" s="11">
        <v>10.237751438619</v>
      </c>
      <c r="BL7" s="7"/>
      <c r="BM7">
        <f t="shared" si="1"/>
        <v>1.51856391397058e-9</v>
      </c>
    </row>
    <row r="8" spans="1:65">
      <c r="A8" s="11">
        <v>44.562546906687</v>
      </c>
      <c r="B8" s="12">
        <v>1.6364269497922e-7</v>
      </c>
      <c r="C8" s="12">
        <f t="shared" si="0"/>
        <v>4.83706723081013e-9</v>
      </c>
      <c r="D8" s="12">
        <v>5.0672942817748e-10</v>
      </c>
      <c r="E8" s="12">
        <v>5.0069628443379e-10</v>
      </c>
      <c r="F8" s="12">
        <v>5.0069628462034e-10</v>
      </c>
      <c r="G8" s="12">
        <v>5.0069628388006e-10</v>
      </c>
      <c r="H8" s="12">
        <v>5.0672942977893e-10</v>
      </c>
      <c r="I8" s="12">
        <v>5.0672942942279e-10</v>
      </c>
      <c r="J8" s="12">
        <v>5.0672942743098e-10</v>
      </c>
      <c r="K8" s="12">
        <v>5.1670866638836e-10</v>
      </c>
      <c r="L8" s="12">
        <v>5.1670866592303e-10</v>
      </c>
      <c r="M8" s="12">
        <v>5.1670866592014e-10</v>
      </c>
      <c r="N8" s="12">
        <v>3.4776164799933e-10</v>
      </c>
      <c r="O8" s="12">
        <v>5.0672942969792e-10</v>
      </c>
      <c r="P8" s="12">
        <v>3.477616479356e-10</v>
      </c>
      <c r="Q8" s="12">
        <v>3.4776164867688e-10</v>
      </c>
      <c r="R8" s="12">
        <v>5.006962851341e-10</v>
      </c>
      <c r="S8" s="12">
        <v>5.0069628381982e-10</v>
      </c>
      <c r="T8" s="12">
        <v>5.0069628430134e-10</v>
      </c>
      <c r="U8" s="12">
        <v>5.0672942825449e-10</v>
      </c>
      <c r="V8" s="12">
        <v>5.1670866570781e-10</v>
      </c>
      <c r="W8" s="12">
        <v>5.1670866619267e-10</v>
      </c>
      <c r="X8" s="12">
        <v>5.1670866616242e-10</v>
      </c>
      <c r="Y8" s="12">
        <v>3.4776164784958e-10</v>
      </c>
      <c r="Z8" s="12">
        <v>3.4776164851093e-10</v>
      </c>
      <c r="AA8" s="12">
        <v>3.4776164806503e-10</v>
      </c>
      <c r="AB8" s="11">
        <v>0.99999943139579</v>
      </c>
      <c r="AC8" s="11">
        <v>0.99941847552163</v>
      </c>
      <c r="AD8" s="11">
        <v>0.00013965649712339</v>
      </c>
      <c r="AE8" s="12">
        <v>2.039595733264e-13</v>
      </c>
      <c r="AF8" s="12">
        <v>1.5495687644081e-13</v>
      </c>
      <c r="AG8" s="12">
        <v>-8.2269801307174e-14</v>
      </c>
      <c r="AH8" s="12">
        <v>2.4288467471702e-14</v>
      </c>
      <c r="AI8" s="12">
        <v>-7.9630128559271e-13</v>
      </c>
      <c r="AJ8" s="12">
        <v>-4.8143041518771e-13</v>
      </c>
      <c r="AK8" s="12">
        <v>-4.6848526464663e-14</v>
      </c>
      <c r="AL8" s="12">
        <v>-2.873014027597e-13</v>
      </c>
      <c r="AM8" s="12">
        <v>-1.7069580270467e-13</v>
      </c>
      <c r="AN8" s="12">
        <v>-1.6975643640806e-13</v>
      </c>
      <c r="AO8" s="12">
        <v>-2.6819433778569e-13</v>
      </c>
      <c r="AP8" s="12">
        <v>1.8040362886052e-13</v>
      </c>
      <c r="AQ8" s="12">
        <v>-1.9902367936127e-13</v>
      </c>
      <c r="AR8" s="12">
        <v>-2.9238675155841e-13</v>
      </c>
      <c r="AS8" s="12">
        <v>-4.8769052001212e-13</v>
      </c>
      <c r="AT8" s="12">
        <v>-1.9344387997847e-13</v>
      </c>
      <c r="AU8" s="12">
        <v>-2.2647772284449e-13</v>
      </c>
      <c r="AV8" s="12">
        <v>-2.8047745843776e-13</v>
      </c>
      <c r="AW8" s="12">
        <v>-6.3877634746997e-15</v>
      </c>
      <c r="AX8" s="12">
        <v>-6.8053297932588e-14</v>
      </c>
      <c r="AY8" s="12">
        <v>1.7513890144184e-14</v>
      </c>
      <c r="AZ8" s="12">
        <v>-5.9290462750008e-15</v>
      </c>
      <c r="BA8" s="12">
        <v>2.0676480139357e-14</v>
      </c>
      <c r="BB8" s="12">
        <v>-1.1087227822242e-14</v>
      </c>
      <c r="BC8" s="11">
        <v>15999979.300444</v>
      </c>
      <c r="BD8" s="11">
        <v>3999978.054851</v>
      </c>
      <c r="BE8" s="12">
        <v>-4.1984399302527e-5</v>
      </c>
      <c r="BF8" s="12">
        <v>-3.7441113733611e-5</v>
      </c>
      <c r="BG8" s="11">
        <v>0.00015102579511592</v>
      </c>
      <c r="BH8" s="12">
        <v>-6.8985154443361e-5</v>
      </c>
      <c r="BI8" s="12">
        <v>-7.5685723627174e-5</v>
      </c>
      <c r="BJ8" s="11">
        <v>29.708390417976</v>
      </c>
      <c r="BK8" s="11">
        <v>32.371020980661</v>
      </c>
      <c r="BL8" s="7"/>
      <c r="BM8">
        <f t="shared" si="1"/>
        <v>4.83706723081013e-9</v>
      </c>
    </row>
    <row r="9" spans="1:65">
      <c r="A9" s="11">
        <v>140.91914656322</v>
      </c>
      <c r="B9" s="12">
        <v>1.799757095443e-6</v>
      </c>
      <c r="C9" s="12">
        <f t="shared" si="0"/>
        <v>1.69797855704308e-8</v>
      </c>
      <c r="D9" s="12">
        <v>1.5650634903873e-9</v>
      </c>
      <c r="E9" s="12">
        <v>1.5478171961907e-9</v>
      </c>
      <c r="F9" s="12">
        <v>1.5478141066998e-9</v>
      </c>
      <c r="G9" s="12">
        <v>1.5478173124122e-9</v>
      </c>
      <c r="H9" s="12">
        <v>1.5650579294402e-9</v>
      </c>
      <c r="I9" s="12">
        <v>1.565055072256e-9</v>
      </c>
      <c r="J9" s="12">
        <v>1.5650661697651e-9</v>
      </c>
      <c r="K9" s="12">
        <v>1.5982301979932e-9</v>
      </c>
      <c r="L9" s="12">
        <v>1.5982373261286e-9</v>
      </c>
      <c r="M9" s="12">
        <v>1.5982336162773e-9</v>
      </c>
      <c r="N9" s="12">
        <v>1.0715396771566e-9</v>
      </c>
      <c r="O9" s="12">
        <v>1.5650620275829e-9</v>
      </c>
      <c r="P9" s="12">
        <v>1.0715364399813e-9</v>
      </c>
      <c r="Q9" s="12">
        <v>1.0715349925093e-9</v>
      </c>
      <c r="R9" s="12">
        <v>1.5478133455189e-9</v>
      </c>
      <c r="S9" s="12">
        <v>1.547818052089e-9</v>
      </c>
      <c r="T9" s="12">
        <v>1.5478080676724e-9</v>
      </c>
      <c r="U9" s="12">
        <v>1.5650683541256e-9</v>
      </c>
      <c r="V9" s="12">
        <v>1.5982359476332e-9</v>
      </c>
      <c r="W9" s="12">
        <v>1.5982406116842e-9</v>
      </c>
      <c r="X9" s="12">
        <v>1.5982345471599e-9</v>
      </c>
      <c r="Y9" s="12">
        <v>1.0715406704122e-9</v>
      </c>
      <c r="Z9" s="12">
        <v>1.0715394591032e-9</v>
      </c>
      <c r="AA9" s="12">
        <v>1.0715397780547e-9</v>
      </c>
      <c r="AB9" s="11">
        <v>0.9997042244654</v>
      </c>
      <c r="AC9" s="11">
        <v>0.90403448242073</v>
      </c>
      <c r="AD9" s="11">
        <v>0.0004422048867158</v>
      </c>
      <c r="AE9" s="12">
        <v>3.0745643776161e-10</v>
      </c>
      <c r="AF9" s="12">
        <v>3.6669673210462e-10</v>
      </c>
      <c r="AG9" s="12">
        <v>-3.6312446242183e-10</v>
      </c>
      <c r="AH9" s="12">
        <v>1.0363051153627e-10</v>
      </c>
      <c r="AI9" s="12">
        <v>-2.7393048895913e-9</v>
      </c>
      <c r="AJ9" s="12">
        <v>-1.431909497063e-9</v>
      </c>
      <c r="AK9" s="12">
        <v>-3.0811475471794e-11</v>
      </c>
      <c r="AL9" s="12">
        <v>-4.9843866685366e-10</v>
      </c>
      <c r="AM9" s="12">
        <v>-4.5678931599623e-10</v>
      </c>
      <c r="AN9" s="12">
        <v>-9.6089857908054e-11</v>
      </c>
      <c r="AO9" s="12">
        <v>-5.1616500435305e-10</v>
      </c>
      <c r="AP9" s="12">
        <v>2.3374792393325e-10</v>
      </c>
      <c r="AQ9" s="12">
        <v>-1.0513037635429e-10</v>
      </c>
      <c r="AR9" s="12">
        <v>-6.4349092544372e-10</v>
      </c>
      <c r="AS9" s="12">
        <v>-1.4240751990649e-9</v>
      </c>
      <c r="AT9" s="12">
        <v>-2.512821449465e-10</v>
      </c>
      <c r="AU9" s="12">
        <v>-4.4499530044147e-11</v>
      </c>
      <c r="AV9" s="12">
        <v>-8.0199797213884e-10</v>
      </c>
      <c r="AW9" s="12">
        <v>-6.2834231846237e-12</v>
      </c>
      <c r="AX9" s="12">
        <v>-7.5761781912084e-12</v>
      </c>
      <c r="AY9" s="12">
        <v>6.7039099067204e-11</v>
      </c>
      <c r="AZ9" s="12">
        <v>3.026787988264e-11</v>
      </c>
      <c r="BA9" s="12">
        <v>1.7471425007802e-10</v>
      </c>
      <c r="BB9" s="12">
        <v>-5.3212179271074e-11</v>
      </c>
      <c r="BC9" s="11">
        <v>15999839.407316</v>
      </c>
      <c r="BD9" s="11">
        <v>3999954.7362586</v>
      </c>
      <c r="BE9" s="11">
        <v>-0.00013263388810468</v>
      </c>
      <c r="BF9" s="11">
        <v>-0.00011822887226894</v>
      </c>
      <c r="BG9" s="11">
        <v>0.00047829885662565</v>
      </c>
      <c r="BH9" s="11">
        <v>-0.00045304107770773</v>
      </c>
      <c r="BI9" s="11">
        <v>-0.00035681633689356</v>
      </c>
      <c r="BJ9" s="11">
        <v>93.945823237111</v>
      </c>
      <c r="BK9" s="11">
        <v>102.33163422394</v>
      </c>
      <c r="BL9" s="7"/>
      <c r="BM9">
        <f t="shared" si="1"/>
        <v>1.69797855704308e-8</v>
      </c>
    </row>
    <row r="10" spans="1:65">
      <c r="A10" s="11">
        <v>445.62546906687</v>
      </c>
      <c r="B10" s="12">
        <v>2.9643649646231e-5</v>
      </c>
      <c r="C10" s="12">
        <f t="shared" si="0"/>
        <v>9.13794381488571e-8</v>
      </c>
      <c r="D10" s="12">
        <v>1.9848794992622e-9</v>
      </c>
      <c r="E10" s="12">
        <v>1.9650222374951e-9</v>
      </c>
      <c r="F10" s="12">
        <v>1.9651837350626e-9</v>
      </c>
      <c r="G10" s="12">
        <v>1.962003449132e-9</v>
      </c>
      <c r="H10" s="12">
        <v>1.9979934349486e-9</v>
      </c>
      <c r="I10" s="12">
        <v>1.995201108318e-9</v>
      </c>
      <c r="J10" s="12">
        <v>1.9819648798753e-9</v>
      </c>
      <c r="K10" s="12">
        <v>2.0269821315344e-9</v>
      </c>
      <c r="L10" s="12">
        <v>2.0258589721565e-9</v>
      </c>
      <c r="M10" s="12">
        <v>2.024188287035e-9</v>
      </c>
      <c r="N10" s="12">
        <v>1.3669419694729e-9</v>
      </c>
      <c r="O10" s="12">
        <v>1.9914284642774e-9</v>
      </c>
      <c r="P10" s="12">
        <v>1.3666034868677e-9</v>
      </c>
      <c r="Q10" s="12">
        <v>1.3712568140534e-9</v>
      </c>
      <c r="R10" s="12">
        <v>1.9727217320573e-9</v>
      </c>
      <c r="S10" s="12">
        <v>1.9626847656406e-9</v>
      </c>
      <c r="T10" s="12">
        <v>1.9649603345633e-9</v>
      </c>
      <c r="U10" s="12">
        <v>1.9850602747815e-9</v>
      </c>
      <c r="V10" s="12">
        <v>2.023371412352e-9</v>
      </c>
      <c r="W10" s="12">
        <v>2.024954005247e-9</v>
      </c>
      <c r="X10" s="12">
        <v>2.0241952487431e-9</v>
      </c>
      <c r="Y10" s="12">
        <v>1.3653902951216e-9</v>
      </c>
      <c r="Z10" s="12">
        <v>1.3686630844036e-9</v>
      </c>
      <c r="AA10" s="12">
        <v>1.3658866771698e-9</v>
      </c>
      <c r="AB10" s="11">
        <v>0.9709486085995</v>
      </c>
      <c r="AC10" s="11">
        <v>0.38038584544383</v>
      </c>
      <c r="AD10" s="11">
        <v>0.00050142365978478</v>
      </c>
      <c r="AE10" s="12">
        <v>3.3350451553922e-9</v>
      </c>
      <c r="AF10" s="12">
        <v>2.9895233152789e-9</v>
      </c>
      <c r="AG10" s="12">
        <v>-1.0046915266868e-9</v>
      </c>
      <c r="AH10" s="12">
        <v>-5.3826033441118e-11</v>
      </c>
      <c r="AI10" s="12">
        <v>-2.0896080112318e-8</v>
      </c>
      <c r="AJ10" s="12">
        <v>-1.2748917628715e-8</v>
      </c>
      <c r="AK10" s="12">
        <v>-1.2329067556141e-9</v>
      </c>
      <c r="AL10" s="12">
        <v>-6.8961397636739e-9</v>
      </c>
      <c r="AM10" s="12">
        <v>-4.612863468623e-9</v>
      </c>
      <c r="AN10" s="12">
        <v>-3.1068906226293e-9</v>
      </c>
      <c r="AO10" s="12">
        <v>-5.966728617925e-9</v>
      </c>
      <c r="AP10" s="12">
        <v>3.6926266215585e-9</v>
      </c>
      <c r="AQ10" s="12">
        <v>-4.006841774966e-9</v>
      </c>
      <c r="AR10" s="12">
        <v>-7.0807683924516e-9</v>
      </c>
      <c r="AS10" s="12">
        <v>-1.2265318388889e-8</v>
      </c>
      <c r="AT10" s="12">
        <v>-3.3606804027188e-9</v>
      </c>
      <c r="AU10" s="12">
        <v>-5.5761853154985e-9</v>
      </c>
      <c r="AV10" s="12">
        <v>-4.2954126820997e-9</v>
      </c>
      <c r="AW10" s="12">
        <v>-8.2936141156794e-10</v>
      </c>
      <c r="AX10" s="12">
        <v>-6.6983230575184e-10</v>
      </c>
      <c r="AY10" s="12">
        <v>3.9271981728029e-11</v>
      </c>
      <c r="AZ10" s="12">
        <v>-3.0910129207722e-10</v>
      </c>
      <c r="BA10" s="12">
        <v>8.5245392747326e-10</v>
      </c>
      <c r="BB10" s="12">
        <v>3.1515398606646e-11</v>
      </c>
      <c r="BC10" s="11">
        <v>16000040.002487</v>
      </c>
      <c r="BD10" s="11">
        <v>4014476.0999864</v>
      </c>
      <c r="BE10" s="11">
        <v>-0.00015136371450042</v>
      </c>
      <c r="BF10" s="11">
        <v>-0.00013506418453969</v>
      </c>
      <c r="BG10" s="11">
        <v>0.00054150454149472</v>
      </c>
      <c r="BH10" s="11">
        <v>-0.00091507837228695</v>
      </c>
      <c r="BI10" s="11">
        <v>-0.00096867384000263</v>
      </c>
      <c r="BJ10" s="11">
        <v>100.0005259135</v>
      </c>
      <c r="BK10" s="11">
        <v>109.00859831301</v>
      </c>
      <c r="BL10" s="7"/>
      <c r="BM10">
        <f t="shared" si="1"/>
        <v>9.13794381488571e-8</v>
      </c>
    </row>
    <row r="11" spans="1:65">
      <c r="A11" s="11">
        <v>1409.1914656322</v>
      </c>
      <c r="B11" s="11">
        <v>0.0001000392604869</v>
      </c>
      <c r="C11" s="12">
        <f t="shared" si="0"/>
        <v>7.30573838134565e-8</v>
      </c>
      <c r="D11" s="12">
        <v>1.9956566752171e-9</v>
      </c>
      <c r="E11" s="12">
        <v>1.9804036158231e-9</v>
      </c>
      <c r="F11" s="12">
        <v>1.9814551609912e-9</v>
      </c>
      <c r="G11" s="12">
        <v>1.9700443753408e-9</v>
      </c>
      <c r="H11" s="12">
        <v>2.0378812642925e-9</v>
      </c>
      <c r="I11" s="12">
        <v>2.0282362884497e-9</v>
      </c>
      <c r="J11" s="12">
        <v>1.9856424567614e-9</v>
      </c>
      <c r="K11" s="12">
        <v>2.034730896363e-9</v>
      </c>
      <c r="L11" s="12">
        <v>2.0283434457342e-9</v>
      </c>
      <c r="M11" s="12">
        <v>2.0259514453567e-9</v>
      </c>
      <c r="N11" s="12">
        <v>1.3877038795001e-9</v>
      </c>
      <c r="O11" s="12">
        <v>2.0169579984568e-9</v>
      </c>
      <c r="P11" s="12">
        <v>1.3876086756506e-9</v>
      </c>
      <c r="Q11" s="12">
        <v>1.4041359543534e-9</v>
      </c>
      <c r="R11" s="12">
        <v>2.0047810313416e-9</v>
      </c>
      <c r="S11" s="12">
        <v>1.9729237061766e-9</v>
      </c>
      <c r="T11" s="12">
        <v>1.9831981477619e-9</v>
      </c>
      <c r="U11" s="12">
        <v>1.9951021502478e-9</v>
      </c>
      <c r="V11" s="12">
        <v>2.0214752741307e-9</v>
      </c>
      <c r="W11" s="12">
        <v>2.0271413376437e-9</v>
      </c>
      <c r="X11" s="12">
        <v>2.0256009117687e-9</v>
      </c>
      <c r="Y11" s="12">
        <v>1.3829739229763e-9</v>
      </c>
      <c r="Z11" s="12">
        <v>1.3944906694458e-9</v>
      </c>
      <c r="AA11" s="12">
        <v>1.3844281143767e-9</v>
      </c>
      <c r="AB11" s="11">
        <v>0.99094947945424</v>
      </c>
      <c r="AC11" s="11">
        <v>0.372846161834</v>
      </c>
      <c r="AD11" s="11">
        <v>0.00057786161228668</v>
      </c>
      <c r="AE11" s="12">
        <v>2.4883016141501e-9</v>
      </c>
      <c r="AF11" s="12">
        <v>1.6907084359182e-9</v>
      </c>
      <c r="AG11" s="12">
        <v>-3.5583922253364e-10</v>
      </c>
      <c r="AH11" s="12">
        <v>-8.3786560076244e-12</v>
      </c>
      <c r="AI11" s="12">
        <v>-1.4101331040972e-8</v>
      </c>
      <c r="AJ11" s="12">
        <v>-8.3106842148411e-9</v>
      </c>
      <c r="AK11" s="12">
        <v>-1.0517091251545e-9</v>
      </c>
      <c r="AL11" s="12">
        <v>-4.857795175168e-9</v>
      </c>
      <c r="AM11" s="12">
        <v>-2.8794119798368e-9</v>
      </c>
      <c r="AN11" s="12">
        <v>-2.6902057716575e-9</v>
      </c>
      <c r="AO11" s="12">
        <v>-4.4748438138036e-9</v>
      </c>
      <c r="AP11" s="12">
        <v>3.1614483137064e-9</v>
      </c>
      <c r="AQ11" s="12">
        <v>-3.1285385877164e-9</v>
      </c>
      <c r="AR11" s="12">
        <v>-5.3642527638137e-9</v>
      </c>
      <c r="AS11" s="12">
        <v>-8.255461385988e-9</v>
      </c>
      <c r="AT11" s="12">
        <v>-3.0915187188259e-9</v>
      </c>
      <c r="AU11" s="12">
        <v>-4.8232413675196e-9</v>
      </c>
      <c r="AV11" s="12">
        <v>-2.617375874593e-9</v>
      </c>
      <c r="AW11" s="12">
        <v>-4.2164658497828e-10</v>
      </c>
      <c r="AX11" s="12">
        <v>-8.7494284786135e-10</v>
      </c>
      <c r="AY11" s="12">
        <v>-2.6752036722805e-10</v>
      </c>
      <c r="AZ11" s="12">
        <v>-3.118766304267e-10</v>
      </c>
      <c r="BA11" s="12">
        <v>5.9263396976568e-10</v>
      </c>
      <c r="BB11" s="12">
        <v>-7.6557696605279e-12</v>
      </c>
      <c r="BC11" s="11">
        <v>15999565.003577</v>
      </c>
      <c r="BD11" s="11">
        <v>4048222.2461079</v>
      </c>
      <c r="BE11" s="11">
        <v>-0.00017318943533548</v>
      </c>
      <c r="BF11" s="11">
        <v>-0.00015472682255678</v>
      </c>
      <c r="BG11" s="11">
        <v>0.00062562299307569</v>
      </c>
      <c r="BH11" s="11">
        <v>-0.0010589687883044</v>
      </c>
      <c r="BI11" s="11">
        <v>-0.0011296465482706</v>
      </c>
      <c r="BJ11" s="11">
        <v>100.00070394258</v>
      </c>
      <c r="BK11" s="11">
        <v>108.98178630285</v>
      </c>
      <c r="BL11" s="7"/>
      <c r="BM11">
        <f t="shared" si="1"/>
        <v>7.30573838134565e-8</v>
      </c>
    </row>
    <row r="12" spans="1:65">
      <c r="A12" s="11">
        <v>4456.2546906687</v>
      </c>
      <c r="B12" s="11">
        <v>0.00028188827325522</v>
      </c>
      <c r="C12" s="12">
        <f t="shared" si="0"/>
        <v>5.96800917270568e-8</v>
      </c>
      <c r="D12" s="12">
        <v>2.0122880389891e-9</v>
      </c>
      <c r="E12" s="12">
        <v>2.006691012717e-9</v>
      </c>
      <c r="F12" s="12">
        <v>2.0105998110663e-9</v>
      </c>
      <c r="G12" s="12">
        <v>1.9813668791075e-9</v>
      </c>
      <c r="H12" s="12">
        <v>2.1217264268861e-9</v>
      </c>
      <c r="I12" s="12">
        <v>2.0873354184861e-9</v>
      </c>
      <c r="J12" s="12">
        <v>1.9868334944859e-9</v>
      </c>
      <c r="K12" s="12">
        <v>2.0484068847148e-9</v>
      </c>
      <c r="L12" s="12">
        <v>2.0273974275945e-9</v>
      </c>
      <c r="M12" s="12">
        <v>2.0286335583065e-9</v>
      </c>
      <c r="N12" s="12">
        <v>1.4109956328885e-9</v>
      </c>
      <c r="O12" s="12">
        <v>2.0671740464944e-9</v>
      </c>
      <c r="P12" s="12">
        <v>1.4140345612919e-9</v>
      </c>
      <c r="Q12" s="12">
        <v>1.4578111236926e-9</v>
      </c>
      <c r="R12" s="12">
        <v>2.0601749281428e-9</v>
      </c>
      <c r="S12" s="12">
        <v>1.9916259742593e-9</v>
      </c>
      <c r="T12" s="12">
        <v>2.0226741874085e-9</v>
      </c>
      <c r="U12" s="12">
        <v>2.0097267162218e-9</v>
      </c>
      <c r="V12" s="12">
        <v>2.0116353882448e-9</v>
      </c>
      <c r="W12" s="12">
        <v>2.0304351567685e-9</v>
      </c>
      <c r="X12" s="12">
        <v>2.0272854081444e-9</v>
      </c>
      <c r="Y12" s="12">
        <v>1.401294544758e-9</v>
      </c>
      <c r="Z12" s="12">
        <v>1.4328416653578e-9</v>
      </c>
      <c r="AA12" s="12">
        <v>1.4029800381486e-9</v>
      </c>
      <c r="AB12" s="11">
        <v>0.99732485540538</v>
      </c>
      <c r="AC12" s="11">
        <v>0.38297090877142</v>
      </c>
      <c r="AD12" s="11">
        <v>0.00077244977200961</v>
      </c>
      <c r="AE12" s="12">
        <v>1.7863479588677e-9</v>
      </c>
      <c r="AF12" s="12">
        <v>9.2875657514397e-10</v>
      </c>
      <c r="AG12" s="12">
        <v>7.2418285398412e-11</v>
      </c>
      <c r="AH12" s="12">
        <v>1.9892217677453e-10</v>
      </c>
      <c r="AI12" s="12">
        <v>-9.975005488953e-9</v>
      </c>
      <c r="AJ12" s="12">
        <v>-5.5028851230513e-9</v>
      </c>
      <c r="AK12" s="12">
        <v>-9.7352408921111e-10</v>
      </c>
      <c r="AL12" s="12">
        <v>-3.4771036731528e-9</v>
      </c>
      <c r="AM12" s="12">
        <v>-1.9958567609497e-9</v>
      </c>
      <c r="AN12" s="12">
        <v>-2.3392249481614e-9</v>
      </c>
      <c r="AO12" s="12">
        <v>-3.1097085469058e-9</v>
      </c>
      <c r="AP12" s="12">
        <v>2.5947422972365e-9</v>
      </c>
      <c r="AQ12" s="12">
        <v>-2.5117378115484e-9</v>
      </c>
      <c r="AR12" s="12">
        <v>-4.057043038523e-9</v>
      </c>
      <c r="AS12" s="12">
        <v>-5.6465631533069e-9</v>
      </c>
      <c r="AT12" s="12">
        <v>-2.7061016878522e-9</v>
      </c>
      <c r="AU12" s="12">
        <v>-3.9230565114589e-9</v>
      </c>
      <c r="AV12" s="12">
        <v>-1.6637418904651e-9</v>
      </c>
      <c r="AW12" s="12">
        <v>-2.5264465148606e-10</v>
      </c>
      <c r="AX12" s="12">
        <v>-1.1537176120576e-9</v>
      </c>
      <c r="AY12" s="12">
        <v>-6.1218503854501e-10</v>
      </c>
      <c r="AZ12" s="12">
        <v>-4.4149770364736e-10</v>
      </c>
      <c r="BA12" s="12">
        <v>6.4679912697594e-10</v>
      </c>
      <c r="BB12" s="12">
        <v>8.7495601562438e-11</v>
      </c>
      <c r="BC12" s="11">
        <v>15995924.829526</v>
      </c>
      <c r="BD12" s="11">
        <v>4127527.428959</v>
      </c>
      <c r="BE12" s="11">
        <v>-0.00021932143333133</v>
      </c>
      <c r="BF12" s="11">
        <v>-0.00019518056748166</v>
      </c>
      <c r="BG12" s="11">
        <v>0.00084859869238848</v>
      </c>
      <c r="BH12" s="11">
        <v>-0.0015900147054417</v>
      </c>
      <c r="BI12" s="11">
        <v>-0.0018280191790393</v>
      </c>
      <c r="BJ12" s="11">
        <v>100.00204116467</v>
      </c>
      <c r="BK12" s="11">
        <v>108.40164125345</v>
      </c>
      <c r="BL12" s="7"/>
      <c r="BM12">
        <f t="shared" si="1"/>
        <v>5.96800917270568e-8</v>
      </c>
    </row>
    <row r="13" spans="1:65">
      <c r="A13" s="11">
        <v>9705.0829436819</v>
      </c>
      <c r="B13" s="11">
        <v>0.00056169105840842</v>
      </c>
      <c r="C13" s="12">
        <f t="shared" si="0"/>
        <v>5.33076663334475e-8</v>
      </c>
      <c r="D13" s="12">
        <v>2.0297969349676e-9</v>
      </c>
      <c r="E13" s="12">
        <v>2.0373816584966e-9</v>
      </c>
      <c r="F13" s="12">
        <v>2.0505502419661e-9</v>
      </c>
      <c r="G13" s="12">
        <v>1.9949590989581e-9</v>
      </c>
      <c r="H13" s="12">
        <v>2.2406599723033e-9</v>
      </c>
      <c r="I13" s="12">
        <v>2.16268702974e-9</v>
      </c>
      <c r="J13" s="12">
        <v>1.9786004708602e-9</v>
      </c>
      <c r="K13" s="12">
        <v>2.0748721086325e-9</v>
      </c>
      <c r="L13" s="12">
        <v>2.0342811855454e-9</v>
      </c>
      <c r="M13" s="12">
        <v>2.0391630957835e-9</v>
      </c>
      <c r="N13" s="12">
        <v>1.4280660897565e-9</v>
      </c>
      <c r="O13" s="12">
        <v>2.1378388421043e-9</v>
      </c>
      <c r="P13" s="12">
        <v>1.4368057146271e-9</v>
      </c>
      <c r="Q13" s="12">
        <v>1.5122532631451e-9</v>
      </c>
      <c r="R13" s="12">
        <v>2.1307515459105e-9</v>
      </c>
      <c r="S13" s="12">
        <v>2.0167710884684e-9</v>
      </c>
      <c r="T13" s="12">
        <v>2.0768875669917e-9</v>
      </c>
      <c r="U13" s="12">
        <v>2.0208358785996e-9</v>
      </c>
      <c r="V13" s="12">
        <v>1.9994788655639e-9</v>
      </c>
      <c r="W13" s="12">
        <v>2.0496104640748e-9</v>
      </c>
      <c r="X13" s="12">
        <v>2.0402238583219e-9</v>
      </c>
      <c r="Y13" s="12">
        <v>1.4116165564655e-9</v>
      </c>
      <c r="Z13" s="12">
        <v>1.474905431697e-9</v>
      </c>
      <c r="AA13" s="12">
        <v>1.4094602332397e-9</v>
      </c>
      <c r="AB13" s="11">
        <v>0.99715867501792</v>
      </c>
      <c r="AC13" s="11">
        <v>0.39828867204477</v>
      </c>
      <c r="AD13" s="11">
        <v>0.0010684662666951</v>
      </c>
      <c r="AE13" s="12">
        <v>1.4976747315806e-9</v>
      </c>
      <c r="AF13" s="12">
        <v>8.025485033643e-10</v>
      </c>
      <c r="AG13" s="12">
        <v>1.9242417759233e-10</v>
      </c>
      <c r="AH13" s="12">
        <v>4.0454538962739e-10</v>
      </c>
      <c r="AI13" s="12">
        <v>-7.7715387657801e-9</v>
      </c>
      <c r="AJ13" s="12">
        <v>-4.2660527477899e-9</v>
      </c>
      <c r="AK13" s="12">
        <v>-8.2071891672166e-10</v>
      </c>
      <c r="AL13" s="12">
        <v>-2.8029341828836e-9</v>
      </c>
      <c r="AM13" s="12">
        <v>-1.5605307308338e-9</v>
      </c>
      <c r="AN13" s="12">
        <v>-2.0080199580792e-9</v>
      </c>
      <c r="AO13" s="12">
        <v>-2.3467105008051e-9</v>
      </c>
      <c r="AP13" s="12">
        <v>2.2558024569136e-9</v>
      </c>
      <c r="AQ13" s="12">
        <v>-2.2531647570231e-9</v>
      </c>
      <c r="AR13" s="12">
        <v>-3.2178673666036e-9</v>
      </c>
      <c r="AS13" s="12">
        <v>-4.6191139458726e-9</v>
      </c>
      <c r="AT13" s="12">
        <v>-2.1278125686321e-9</v>
      </c>
      <c r="AU13" s="12">
        <v>-3.1641315506014e-9</v>
      </c>
      <c r="AV13" s="12">
        <v>-1.2240826756251e-9</v>
      </c>
      <c r="AW13" s="12">
        <v>-2.3930857727552e-10</v>
      </c>
      <c r="AX13" s="12">
        <v>-1.4356661670268e-9</v>
      </c>
      <c r="AY13" s="12">
        <v>-8.8013424599577e-10</v>
      </c>
      <c r="AZ13" s="12">
        <v>-5.2577815205099e-10</v>
      </c>
      <c r="BA13" s="12">
        <v>7.5848286744639e-10</v>
      </c>
      <c r="BB13" s="12">
        <v>2.6214316399075e-10</v>
      </c>
      <c r="BC13" s="11">
        <v>15987995.072608</v>
      </c>
      <c r="BD13" s="11">
        <v>4241008.2041652</v>
      </c>
      <c r="BE13" s="11">
        <v>-0.00027860962111074</v>
      </c>
      <c r="BF13" s="11">
        <v>-0.00024452494116695</v>
      </c>
      <c r="BG13" s="11">
        <v>0.0011955562083268</v>
      </c>
      <c r="BH13" s="11">
        <v>-0.00092409859885458</v>
      </c>
      <c r="BI13" s="11">
        <v>-0.001140673517236</v>
      </c>
      <c r="BJ13" s="11">
        <v>100.00071425627</v>
      </c>
      <c r="BK13" s="11">
        <v>107.31509858176</v>
      </c>
      <c r="BL13" s="7"/>
      <c r="BM13">
        <f t="shared" si="1"/>
        <v>5.33076663334475e-8</v>
      </c>
    </row>
    <row r="14" spans="1:65">
      <c r="A14" s="11">
        <v>5610.0922715098</v>
      </c>
      <c r="B14" s="11">
        <v>0.00034504282380975</v>
      </c>
      <c r="C14" s="12">
        <f t="shared" si="0"/>
        <v>5.2905672306148e-8</v>
      </c>
      <c r="D14" s="12">
        <v>2.0180548708535e-9</v>
      </c>
      <c r="E14" s="12">
        <v>2.0170196843462e-9</v>
      </c>
      <c r="F14" s="12">
        <v>2.023125463867e-9</v>
      </c>
      <c r="G14" s="12">
        <v>1.9857843846814e-9</v>
      </c>
      <c r="H14" s="12">
        <v>2.1589667194609e-9</v>
      </c>
      <c r="I14" s="12">
        <v>2.110971256965e-9</v>
      </c>
      <c r="J14" s="12">
        <v>1.9852641227558e-9</v>
      </c>
      <c r="K14" s="12">
        <v>2.0554167063147e-9</v>
      </c>
      <c r="L14" s="12">
        <v>2.0278118780424e-9</v>
      </c>
      <c r="M14" s="12">
        <v>2.0307766853644e-9</v>
      </c>
      <c r="N14" s="12">
        <v>1.4165632756966e-9</v>
      </c>
      <c r="O14" s="12">
        <v>2.0889081635674e-9</v>
      </c>
      <c r="P14" s="12">
        <v>1.4215337377438e-9</v>
      </c>
      <c r="Q14" s="12">
        <v>1.4764309963023e-9</v>
      </c>
      <c r="R14" s="12">
        <v>2.0824916786828e-9</v>
      </c>
      <c r="S14" s="12">
        <v>1.9998500015333e-9</v>
      </c>
      <c r="T14" s="12">
        <v>2.0401483478012e-9</v>
      </c>
      <c r="U14" s="12">
        <v>2.0141393763645e-9</v>
      </c>
      <c r="V14" s="12">
        <v>2.007065878923e-9</v>
      </c>
      <c r="W14" s="12">
        <v>2.0342807643714e-9</v>
      </c>
      <c r="X14" s="12">
        <v>2.0296136220475e-9</v>
      </c>
      <c r="Y14" s="12">
        <v>1.4050065162e-9</v>
      </c>
      <c r="Z14" s="12">
        <v>1.4461835717378e-9</v>
      </c>
      <c r="AA14" s="12">
        <v>1.4058699514812e-9</v>
      </c>
      <c r="AB14" s="11">
        <v>0.99055712859087</v>
      </c>
      <c r="AC14" s="11">
        <v>0.38862961077325</v>
      </c>
      <c r="AD14" s="11">
        <v>0.00083949713957519</v>
      </c>
      <c r="AE14" s="12">
        <v>1.6463562439456e-9</v>
      </c>
      <c r="AF14" s="12">
        <v>8.512511096852e-10</v>
      </c>
      <c r="AG14" s="12">
        <v>1.3783937580555e-10</v>
      </c>
      <c r="AH14" s="12">
        <v>2.6913154729503e-10</v>
      </c>
      <c r="AI14" s="12">
        <v>-9.0922784093033e-9</v>
      </c>
      <c r="AJ14" s="12">
        <v>-4.9836640217417e-9</v>
      </c>
      <c r="AK14" s="12">
        <v>-9.3917402536483e-10</v>
      </c>
      <c r="AL14" s="12">
        <v>-3.211115028899e-9</v>
      </c>
      <c r="AM14" s="12">
        <v>-1.8447060970994e-9</v>
      </c>
      <c r="AN14" s="12">
        <v>-2.2312779620262e-9</v>
      </c>
      <c r="AO14" s="12">
        <v>-2.7931902145867e-9</v>
      </c>
      <c r="AP14" s="12">
        <v>2.4427842676598e-9</v>
      </c>
      <c r="AQ14" s="12">
        <v>-2.4033784991628e-9</v>
      </c>
      <c r="AR14" s="12">
        <v>-3.7184627857873e-9</v>
      </c>
      <c r="AS14" s="12">
        <v>-5.1911370639003e-9</v>
      </c>
      <c r="AT14" s="12">
        <v>-2.5083280370868e-9</v>
      </c>
      <c r="AU14" s="12">
        <v>-3.6462904478389e-9</v>
      </c>
      <c r="AV14" s="12">
        <v>-1.4770863531453e-9</v>
      </c>
      <c r="AW14" s="12">
        <v>-2.4262195441037e-10</v>
      </c>
      <c r="AX14" s="12">
        <v>-1.2550923849956e-9</v>
      </c>
      <c r="AY14" s="12">
        <v>-7.1434588051537e-10</v>
      </c>
      <c r="AZ14" s="12">
        <v>-4.8082946722627e-10</v>
      </c>
      <c r="BA14" s="12">
        <v>6.8231261694254e-10</v>
      </c>
      <c r="BB14" s="12">
        <v>1.4690705947048e-10</v>
      </c>
      <c r="BC14" s="11">
        <v>15994264.75523</v>
      </c>
      <c r="BD14" s="11">
        <v>4153650.1737662</v>
      </c>
      <c r="BE14" s="11">
        <v>-0.00023346091211283</v>
      </c>
      <c r="BF14" s="11">
        <v>-0.00020716663366493</v>
      </c>
      <c r="BG14" s="11">
        <v>0.00092682235141026</v>
      </c>
      <c r="BH14" s="11">
        <v>-0.001301193509994</v>
      </c>
      <c r="BI14" s="11">
        <v>-0.0014017126136252</v>
      </c>
      <c r="BJ14" s="11">
        <v>100.00124912793</v>
      </c>
      <c r="BK14" s="11">
        <v>108.14555813273</v>
      </c>
      <c r="BL14" s="7"/>
      <c r="BM14">
        <f t="shared" si="1"/>
        <v>5.2905672306148e-8</v>
      </c>
    </row>
    <row r="15" spans="1:65">
      <c r="A15" s="11">
        <v>7062.6877231137</v>
      </c>
      <c r="B15" s="11">
        <v>0.00042272782945676</v>
      </c>
      <c r="C15" s="12">
        <f t="shared" si="0"/>
        <v>5.34801383008829e-8</v>
      </c>
      <c r="D15" s="12">
        <v>2.0226171724608e-9</v>
      </c>
      <c r="E15" s="12">
        <v>2.0251941152117e-9</v>
      </c>
      <c r="F15" s="12">
        <v>2.0337729576092e-9</v>
      </c>
      <c r="G15" s="12">
        <v>1.9893418219611e-9</v>
      </c>
      <c r="H15" s="12">
        <v>2.1906717514361e-9</v>
      </c>
      <c r="I15" s="12">
        <v>2.1309600951097e-9</v>
      </c>
      <c r="J15" s="12">
        <v>1.9829948443696e-9</v>
      </c>
      <c r="K15" s="12">
        <v>2.0621973990437e-9</v>
      </c>
      <c r="L15" s="12">
        <v>2.0292943067873e-9</v>
      </c>
      <c r="M15" s="12">
        <v>2.0332791233286e-9</v>
      </c>
      <c r="N15" s="12">
        <v>1.4207711101027e-9</v>
      </c>
      <c r="O15" s="12">
        <v>2.1076365960524e-9</v>
      </c>
      <c r="P15" s="12">
        <v>1.4273396104987e-9</v>
      </c>
      <c r="Q15" s="12">
        <v>1.4908288045369e-9</v>
      </c>
      <c r="R15" s="12">
        <v>2.1012816001542e-9</v>
      </c>
      <c r="S15" s="12">
        <v>2.0065273684583e-9</v>
      </c>
      <c r="T15" s="12">
        <v>2.0546373239243e-9</v>
      </c>
      <c r="U15" s="12">
        <v>2.0170357186688e-9</v>
      </c>
      <c r="V15" s="12">
        <v>2.0034997492704e-9</v>
      </c>
      <c r="W15" s="12">
        <v>2.0391118617171e-9</v>
      </c>
      <c r="X15" s="12">
        <v>2.0327493051111e-9</v>
      </c>
      <c r="Y15" s="12">
        <v>1.4074799161728e-9</v>
      </c>
      <c r="Z15" s="12">
        <v>1.4571890867953e-9</v>
      </c>
      <c r="AA15" s="12">
        <v>1.4073125568375e-9</v>
      </c>
      <c r="AB15" s="11">
        <v>0.99250242429617</v>
      </c>
      <c r="AC15" s="11">
        <v>0.39282825949973</v>
      </c>
      <c r="AD15" s="11">
        <v>0.00092176192777587</v>
      </c>
      <c r="AE15" s="12">
        <v>1.5696439769562e-9</v>
      </c>
      <c r="AF15" s="12">
        <v>8.2240403679874e-10</v>
      </c>
      <c r="AG15" s="12">
        <v>1.6938306206145e-10</v>
      </c>
      <c r="AH15" s="12">
        <v>3.2307077204608e-10</v>
      </c>
      <c r="AI15" s="12">
        <v>-8.5088933556934e-9</v>
      </c>
      <c r="AJ15" s="12">
        <v>-4.6611773582834e-9</v>
      </c>
      <c r="AK15" s="12">
        <v>-8.982208907005e-10</v>
      </c>
      <c r="AL15" s="12">
        <v>-3.0359278413304e-9</v>
      </c>
      <c r="AM15" s="12">
        <v>-1.7332003509964e-9</v>
      </c>
      <c r="AN15" s="12">
        <v>-2.1433666519066e-9</v>
      </c>
      <c r="AO15" s="12">
        <v>-2.5928658640029e-9</v>
      </c>
      <c r="AP15" s="12">
        <v>2.350129413818e-9</v>
      </c>
      <c r="AQ15" s="12">
        <v>-2.3365491982872e-9</v>
      </c>
      <c r="AR15" s="12">
        <v>-3.4938881655024e-9</v>
      </c>
      <c r="AS15" s="12">
        <v>-4.9241621566242e-9</v>
      </c>
      <c r="AT15" s="12">
        <v>-2.3494039567737e-9</v>
      </c>
      <c r="AU15" s="12">
        <v>-3.4437784823746e-9</v>
      </c>
      <c r="AV15" s="12">
        <v>-1.3608656513258e-9</v>
      </c>
      <c r="AW15" s="12">
        <v>-2.395670356954e-10</v>
      </c>
      <c r="AX15" s="12">
        <v>-1.3293857903204e-9</v>
      </c>
      <c r="AY15" s="12">
        <v>-7.858496879069e-10</v>
      </c>
      <c r="AZ15" s="12">
        <v>-5.0326448613992e-10</v>
      </c>
      <c r="BA15" s="12">
        <v>7.1159047601926e-10</v>
      </c>
      <c r="BB15" s="12">
        <v>1.9368188528101e-10</v>
      </c>
      <c r="BC15" s="11">
        <v>15992084.535227</v>
      </c>
      <c r="BD15" s="11">
        <v>4185245.9540712</v>
      </c>
      <c r="BE15" s="11">
        <v>-0.00025009548978194</v>
      </c>
      <c r="BF15" s="11">
        <v>-0.00022106144179176</v>
      </c>
      <c r="BG15" s="11">
        <v>0.0010232128803739</v>
      </c>
      <c r="BH15" s="11">
        <v>-0.001319460043665</v>
      </c>
      <c r="BI15" s="11">
        <v>-0.0014427090472941</v>
      </c>
      <c r="BJ15" s="11">
        <v>100.00124531021</v>
      </c>
      <c r="BK15" s="11">
        <v>107.8347371785</v>
      </c>
      <c r="BL15" s="7"/>
      <c r="BM15">
        <f t="shared" si="1"/>
        <v>5.34801383008829e-8</v>
      </c>
    </row>
    <row r="16" spans="1:64">
      <c r="A16" s="11">
        <v>8891.3970501945</v>
      </c>
      <c r="B16" s="11">
        <v>0.00051864315106479</v>
      </c>
      <c r="C16" s="12">
        <f t="shared" si="0"/>
        <v>5.24497360994714e-8</v>
      </c>
      <c r="D16" s="12">
        <v>2.0278592905734e-9</v>
      </c>
      <c r="E16" s="12">
        <v>2.0341037832346e-9</v>
      </c>
      <c r="F16" s="12">
        <v>2.0461971912033e-9</v>
      </c>
      <c r="G16" s="12">
        <v>1.9933672505027e-9</v>
      </c>
      <c r="H16" s="12">
        <v>2.2277469372276e-9</v>
      </c>
      <c r="I16" s="12">
        <v>2.1546014060183e-9</v>
      </c>
      <c r="J16" s="12">
        <v>1.9795165159299e-9</v>
      </c>
      <c r="K16" s="12">
        <v>2.07153811061e-9</v>
      </c>
      <c r="L16" s="12">
        <v>2.0330461255009e-9</v>
      </c>
      <c r="M16" s="12">
        <v>2.0375936514073e-9</v>
      </c>
      <c r="N16" s="12">
        <v>1.4260329900914e-9</v>
      </c>
      <c r="O16" s="12">
        <v>2.1301126691648e-9</v>
      </c>
      <c r="P16" s="12">
        <v>1.4342085467087e-9</v>
      </c>
      <c r="Q16" s="12">
        <v>1.5066253082871e-9</v>
      </c>
      <c r="R16" s="12">
        <v>2.1231869597404e-9</v>
      </c>
      <c r="S16" s="12">
        <v>2.0138933188304e-9</v>
      </c>
      <c r="T16" s="12">
        <v>2.0710361180088e-9</v>
      </c>
      <c r="U16" s="12">
        <v>2.0196935785198e-9</v>
      </c>
      <c r="V16" s="12">
        <v>2.0004079966459e-9</v>
      </c>
      <c r="W16" s="12">
        <v>2.0469800596546e-9</v>
      </c>
      <c r="X16" s="12">
        <v>2.0383168050702e-9</v>
      </c>
      <c r="Y16" s="12">
        <v>1.4103376172364e-9</v>
      </c>
      <c r="Z16" s="12">
        <v>1.4703330333882e-9</v>
      </c>
      <c r="AA16" s="12">
        <v>1.4087350684785e-9</v>
      </c>
      <c r="AB16" s="11">
        <v>0.99403838703314</v>
      </c>
      <c r="AC16" s="11">
        <v>0.39690154398415</v>
      </c>
      <c r="AD16" s="11">
        <v>0.0010230348835181</v>
      </c>
      <c r="AE16" s="12">
        <v>1.5165374428445e-9</v>
      </c>
      <c r="AF16" s="12">
        <v>8.0509848452148e-10</v>
      </c>
      <c r="AG16" s="12">
        <v>1.8918823985622e-10</v>
      </c>
      <c r="AH16" s="12">
        <v>3.821457418547e-10</v>
      </c>
      <c r="AI16" s="12">
        <v>-7.9646101981421e-9</v>
      </c>
      <c r="AJ16" s="12">
        <v>-4.37200366751e-9</v>
      </c>
      <c r="AK16" s="12">
        <v>-8.4222064200558e-10</v>
      </c>
      <c r="AL16" s="12">
        <v>-2.8634532597463e-9</v>
      </c>
      <c r="AM16" s="12">
        <v>-1.6095497367516e-9</v>
      </c>
      <c r="AN16" s="12">
        <v>-2.0446247945634e-9</v>
      </c>
      <c r="AO16" s="12">
        <v>-2.4126380138897e-9</v>
      </c>
      <c r="AP16" s="12">
        <v>2.2794188674908e-9</v>
      </c>
      <c r="AQ16" s="12">
        <v>-2.2743556564583e-9</v>
      </c>
      <c r="AR16" s="12">
        <v>-3.2888183825334e-9</v>
      </c>
      <c r="AS16" s="12">
        <v>-4.6984580140652e-9</v>
      </c>
      <c r="AT16" s="12">
        <v>-2.1868562967277e-9</v>
      </c>
      <c r="AU16" s="12">
        <v>-3.2399626006875e-9</v>
      </c>
      <c r="AV16" s="12">
        <v>-1.2589071275466e-9</v>
      </c>
      <c r="AW16" s="12">
        <v>-2.3967068008211e-10</v>
      </c>
      <c r="AX16" s="12">
        <v>-1.4042834110897e-9</v>
      </c>
      <c r="AY16" s="12">
        <v>-8.5473085538732e-10</v>
      </c>
      <c r="AZ16" s="12">
        <v>-5.1735881955612e-10</v>
      </c>
      <c r="BA16" s="12">
        <v>7.4635316399184e-10</v>
      </c>
      <c r="BB16" s="12">
        <v>2.4400935799824e-10</v>
      </c>
      <c r="BC16" s="11">
        <v>15989244.323688</v>
      </c>
      <c r="BD16" s="11">
        <v>4223669.7175371</v>
      </c>
      <c r="BE16" s="11">
        <v>-0.00026972166649095</v>
      </c>
      <c r="BF16" s="11">
        <v>-0.00023720299102602</v>
      </c>
      <c r="BG16" s="11">
        <v>0.0011422903839656</v>
      </c>
      <c r="BH16" s="11">
        <v>-0.0013148808377903</v>
      </c>
      <c r="BI16" s="11">
        <v>-0.0014704297690074</v>
      </c>
      <c r="BJ16" s="11">
        <v>100.00119246743</v>
      </c>
      <c r="BK16" s="11">
        <v>107.46846310291</v>
      </c>
      <c r="BL16" s="7"/>
    </row>
    <row r="17" spans="1:64">
      <c r="A17" s="11">
        <v>11193.605692842</v>
      </c>
      <c r="B17" s="11">
        <v>0.00063765413192534</v>
      </c>
      <c r="C17" s="12">
        <f t="shared" si="0"/>
        <v>5.16942637847495e-8</v>
      </c>
      <c r="D17" s="12">
        <v>2.0339138693802e-9</v>
      </c>
      <c r="E17" s="12">
        <v>2.0445130967255e-9</v>
      </c>
      <c r="F17" s="12">
        <v>2.0614336152873e-9</v>
      </c>
      <c r="G17" s="12">
        <v>1.9986985172984e-9</v>
      </c>
      <c r="H17" s="12">
        <v>2.2709167499927e-9</v>
      </c>
      <c r="I17" s="12">
        <v>2.1827734796058e-9</v>
      </c>
      <c r="J17" s="12">
        <v>1.9743538786658e-9</v>
      </c>
      <c r="K17" s="12">
        <v>2.0840025552653e-9</v>
      </c>
      <c r="L17" s="12">
        <v>2.0400863001374e-9</v>
      </c>
      <c r="M17" s="12">
        <v>2.044205889101e-9</v>
      </c>
      <c r="N17" s="12">
        <v>1.433751598221e-9</v>
      </c>
      <c r="O17" s="12">
        <v>2.1572127144603e-9</v>
      </c>
      <c r="P17" s="12">
        <v>1.4431860353906e-9</v>
      </c>
      <c r="Q17" s="12">
        <v>1.5246151341928e-9</v>
      </c>
      <c r="R17" s="12">
        <v>2.1496607913493e-9</v>
      </c>
      <c r="S17" s="12">
        <v>2.0226310650793e-9</v>
      </c>
      <c r="T17" s="12">
        <v>2.0902786494121e-9</v>
      </c>
      <c r="U17" s="12">
        <v>2.0218742472229e-9</v>
      </c>
      <c r="V17" s="12">
        <v>1.9980219683054e-9</v>
      </c>
      <c r="W17" s="12">
        <v>2.0587591304453e-9</v>
      </c>
      <c r="X17" s="12">
        <v>2.0471221943488e-9</v>
      </c>
      <c r="Y17" s="12">
        <v>1.414444463424e-9</v>
      </c>
      <c r="Z17" s="12">
        <v>1.4869714051396e-9</v>
      </c>
      <c r="AA17" s="12">
        <v>1.4110423890176e-9</v>
      </c>
      <c r="AB17" s="11">
        <v>0.99524520327137</v>
      </c>
      <c r="AC17" s="11">
        <v>0.40064452817578</v>
      </c>
      <c r="AD17" s="11">
        <v>0.001148221477348</v>
      </c>
      <c r="AE17" s="12">
        <v>1.4929068437725e-9</v>
      </c>
      <c r="AF17" s="12">
        <v>7.9002133097085e-10</v>
      </c>
      <c r="AG17" s="12">
        <v>1.9997337752868e-10</v>
      </c>
      <c r="AH17" s="12">
        <v>4.4673490542352e-10</v>
      </c>
      <c r="AI17" s="12">
        <v>-7.474865990679e-9</v>
      </c>
      <c r="AJ17" s="12">
        <v>-4.1181672695117e-9</v>
      </c>
      <c r="AK17" s="12">
        <v>-7.6797169554904e-10</v>
      </c>
      <c r="AL17" s="12">
        <v>-2.6901584663013e-9</v>
      </c>
      <c r="AM17" s="12">
        <v>-1.4749315559851e-9</v>
      </c>
      <c r="AN17" s="12">
        <v>-1.9377640636217e-9</v>
      </c>
      <c r="AO17" s="12">
        <v>-2.2557835587797e-9</v>
      </c>
      <c r="AP17" s="12">
        <v>2.2405759818509e-9</v>
      </c>
      <c r="AQ17" s="12">
        <v>-2.2138286639896e-9</v>
      </c>
      <c r="AR17" s="12">
        <v>-3.1102097756281e-9</v>
      </c>
      <c r="AS17" s="12">
        <v>-4.5108904856402e-9</v>
      </c>
      <c r="AT17" s="12">
        <v>-2.03204427505e-9</v>
      </c>
      <c r="AU17" s="12">
        <v>-3.0386940301572e-9</v>
      </c>
      <c r="AV17" s="12">
        <v>-1.1750552447512e-9</v>
      </c>
      <c r="AW17" s="12">
        <v>-2.4380694499856e-10</v>
      </c>
      <c r="AX17" s="12">
        <v>-1.4774159432652e-9</v>
      </c>
      <c r="AY17" s="12">
        <v>-9.1742106063003e-10</v>
      </c>
      <c r="AZ17" s="12">
        <v>-5.1775213837749e-10</v>
      </c>
      <c r="BA17" s="12">
        <v>7.8719311086545e-10</v>
      </c>
      <c r="BB17" s="12">
        <v>2.9784706660837e-10</v>
      </c>
      <c r="BC17" s="11">
        <v>15985574.461026</v>
      </c>
      <c r="BD17" s="11">
        <v>4270743.8260537</v>
      </c>
      <c r="BE17" s="11">
        <v>-0.00029298043646821</v>
      </c>
      <c r="BF17" s="11">
        <v>-0.00025604435663266</v>
      </c>
      <c r="BG17" s="11">
        <v>0.0012898832241209</v>
      </c>
      <c r="BH17" s="11">
        <v>-0.0012685674902052</v>
      </c>
      <c r="BI17" s="11">
        <v>-0.0014688759110423</v>
      </c>
      <c r="BJ17" s="11">
        <v>100.00106377879</v>
      </c>
      <c r="BK17" s="11">
        <v>107.05549137612</v>
      </c>
      <c r="BL17" s="7"/>
    </row>
    <row r="18" spans="1:64">
      <c r="A18" s="11">
        <v>14091.914656322</v>
      </c>
      <c r="B18" s="11">
        <v>0.00078625161028326</v>
      </c>
      <c r="C18" s="12">
        <f t="shared" si="0"/>
        <v>5.12704063749984e-8</v>
      </c>
      <c r="D18" s="12">
        <v>2.0420905465686e-9</v>
      </c>
      <c r="E18" s="12">
        <v>2.0568505564116e-9</v>
      </c>
      <c r="F18" s="12">
        <v>2.0801553317622e-9</v>
      </c>
      <c r="G18" s="12">
        <v>2.005842694509e-9</v>
      </c>
      <c r="H18" s="12">
        <v>2.3223560899003e-9</v>
      </c>
      <c r="I18" s="12">
        <v>2.2175845692641e-9</v>
      </c>
      <c r="J18" s="12">
        <v>1.9681367509444e-9</v>
      </c>
      <c r="K18" s="12">
        <v>2.1007466281511e-9</v>
      </c>
      <c r="L18" s="12">
        <v>2.0521901148378e-9</v>
      </c>
      <c r="M18" s="12">
        <v>2.0542262478441e-9</v>
      </c>
      <c r="N18" s="12">
        <v>1.4454508028059e-9</v>
      </c>
      <c r="O18" s="12">
        <v>2.1911703280621e-9</v>
      </c>
      <c r="P18" s="12">
        <v>1.4553149671844e-9</v>
      </c>
      <c r="Q18" s="12">
        <v>1.545911123894e-9</v>
      </c>
      <c r="R18" s="12">
        <v>2.1819427401717e-9</v>
      </c>
      <c r="S18" s="12">
        <v>2.0330288481123e-9</v>
      </c>
      <c r="T18" s="12">
        <v>2.1130312385639e-9</v>
      </c>
      <c r="U18" s="12">
        <v>2.0245404488951e-9</v>
      </c>
      <c r="V18" s="12">
        <v>1.997102269535e-9</v>
      </c>
      <c r="W18" s="12">
        <v>2.0760130812363e-9</v>
      </c>
      <c r="X18" s="12">
        <v>2.0606505715028e-9</v>
      </c>
      <c r="Y18" s="12">
        <v>1.4205344707308e-9</v>
      </c>
      <c r="Z18" s="12">
        <v>1.5087631607818e-9</v>
      </c>
      <c r="AA18" s="12">
        <v>1.4152707966678e-9</v>
      </c>
      <c r="AB18" s="11">
        <v>0.99619189285929</v>
      </c>
      <c r="AC18" s="11">
        <v>0.40365930306576</v>
      </c>
      <c r="AD18" s="11">
        <v>0.0013037232088636</v>
      </c>
      <c r="AE18" s="12">
        <v>1.4990250324803e-9</v>
      </c>
      <c r="AF18" s="12">
        <v>7.6716643912794e-10</v>
      </c>
      <c r="AG18" s="12">
        <v>2.0878112444721e-10</v>
      </c>
      <c r="AH18" s="12">
        <v>5.1514302433167e-10</v>
      </c>
      <c r="AI18" s="12">
        <v>-7.0609321072859e-9</v>
      </c>
      <c r="AJ18" s="12">
        <v>-3.9010665403023e-9</v>
      </c>
      <c r="AK18" s="12">
        <v>-6.7363175130939e-10</v>
      </c>
      <c r="AL18" s="12">
        <v>-2.5180917232638e-9</v>
      </c>
      <c r="AM18" s="12">
        <v>-1.3374008495566e-9</v>
      </c>
      <c r="AN18" s="12">
        <v>-1.8335601025857e-9</v>
      </c>
      <c r="AO18" s="12">
        <v>-2.126290793563e-9</v>
      </c>
      <c r="AP18" s="12">
        <v>2.241247287261e-9</v>
      </c>
      <c r="AQ18" s="12">
        <v>-2.1531453362242e-9</v>
      </c>
      <c r="AR18" s="12">
        <v>-2.9639878688342e-9</v>
      </c>
      <c r="AS18" s="12">
        <v>-4.3577650177486e-9</v>
      </c>
      <c r="AT18" s="12">
        <v>-1.8978399377688e-9</v>
      </c>
      <c r="AU18" s="12">
        <v>-2.8496367628548e-9</v>
      </c>
      <c r="AV18" s="12">
        <v>-1.1142476045624e-9</v>
      </c>
      <c r="AW18" s="12">
        <v>-2.5051948943439e-10</v>
      </c>
      <c r="AX18" s="12">
        <v>-1.5443761969624e-9</v>
      </c>
      <c r="AY18" s="12">
        <v>-9.7103144191518e-10</v>
      </c>
      <c r="AZ18" s="12">
        <v>-5.0066973732275e-10</v>
      </c>
      <c r="BA18" s="12">
        <v>8.3234946207213e-10</v>
      </c>
      <c r="BB18" s="12">
        <v>3.5451075530853e-10</v>
      </c>
      <c r="BC18" s="11">
        <v>15980871.783502</v>
      </c>
      <c r="BD18" s="11">
        <v>4328956.2580012</v>
      </c>
      <c r="BE18" s="11">
        <v>-0.00032071608443707</v>
      </c>
      <c r="BF18" s="11">
        <v>-0.00027821650588442</v>
      </c>
      <c r="BG18" s="11">
        <v>0.0014735836699467</v>
      </c>
      <c r="BH18" s="11">
        <v>-0.0011337996580156</v>
      </c>
      <c r="BI18" s="11">
        <v>-0.0014072019817382</v>
      </c>
      <c r="BJ18" s="11">
        <v>100.00081354336</v>
      </c>
      <c r="BK18" s="11">
        <v>106.61467706025</v>
      </c>
      <c r="BL18" s="7"/>
    </row>
    <row r="19" spans="1:64">
      <c r="A19" s="11">
        <v>17740.669461679</v>
      </c>
      <c r="B19" s="11">
        <v>0.00097312662805668</v>
      </c>
      <c r="C19" s="12">
        <f t="shared" si="0"/>
        <v>5.1216107341347e-8</v>
      </c>
      <c r="D19" s="12">
        <v>2.0548794749138e-9</v>
      </c>
      <c r="E19" s="12">
        <v>2.0724249301751e-9</v>
      </c>
      <c r="F19" s="12">
        <v>2.1039756959406e-9</v>
      </c>
      <c r="G19" s="12">
        <v>2.0163084575755e-9</v>
      </c>
      <c r="H19" s="12">
        <v>2.3858783777848e-9</v>
      </c>
      <c r="I19" s="12">
        <v>2.2624258843839e-9</v>
      </c>
      <c r="J19" s="12">
        <v>1.9623455720053e-9</v>
      </c>
      <c r="K19" s="12">
        <v>2.1226568385888e-9</v>
      </c>
      <c r="L19" s="12">
        <v>2.070917421598e-9</v>
      </c>
      <c r="M19" s="12">
        <v>2.0683430473634e-9</v>
      </c>
      <c r="N19" s="12">
        <v>1.4625648012711e-9</v>
      </c>
      <c r="O19" s="12">
        <v>2.2353667786424e-9</v>
      </c>
      <c r="P19" s="12">
        <v>1.4713357404639e-9</v>
      </c>
      <c r="Q19" s="12">
        <v>1.5719183289996e-9</v>
      </c>
      <c r="R19" s="12">
        <v>2.22245351567e-9</v>
      </c>
      <c r="S19" s="12">
        <v>2.0461017154245e-9</v>
      </c>
      <c r="T19" s="12">
        <v>2.1410947475081e-9</v>
      </c>
      <c r="U19" s="12">
        <v>2.0298003809614e-9</v>
      </c>
      <c r="V19" s="12">
        <v>1.997986041214e-9</v>
      </c>
      <c r="W19" s="12">
        <v>2.0999675580801e-9</v>
      </c>
      <c r="X19" s="12">
        <v>2.0801415905141e-9</v>
      </c>
      <c r="Y19" s="12">
        <v>1.4289999308563e-9</v>
      </c>
      <c r="Z19" s="12">
        <v>1.5374537664849e-9</v>
      </c>
      <c r="AA19" s="12">
        <v>1.4224125061937e-9</v>
      </c>
      <c r="AB19" s="11">
        <v>0.99693774301803</v>
      </c>
      <c r="AC19" s="11">
        <v>0.40554066344235</v>
      </c>
      <c r="AD19" s="11">
        <v>0.0014979596202713</v>
      </c>
      <c r="AE19" s="12">
        <v>1.5266577057144e-9</v>
      </c>
      <c r="AF19" s="12">
        <v>7.2965842770987e-10</v>
      </c>
      <c r="AG19" s="12">
        <v>2.23455695787e-10</v>
      </c>
      <c r="AH19" s="12">
        <v>5.8333858951696e-10</v>
      </c>
      <c r="AI19" s="12">
        <v>-6.7401606443498e-9</v>
      </c>
      <c r="AJ19" s="12">
        <v>-3.7275365887305e-9</v>
      </c>
      <c r="AK19" s="12">
        <v>-5.7069206504106e-10</v>
      </c>
      <c r="AL19" s="12">
        <v>-2.3577097777853e-9</v>
      </c>
      <c r="AM19" s="12">
        <v>-1.2061123328533e-9</v>
      </c>
      <c r="AN19" s="12">
        <v>-1.7489741028862e-9</v>
      </c>
      <c r="AO19" s="12">
        <v>-2.0274874594636e-9</v>
      </c>
      <c r="AP19" s="12">
        <v>2.27891148114e-9</v>
      </c>
      <c r="AQ19" s="12">
        <v>-2.0955936245433e-9</v>
      </c>
      <c r="AR19" s="12">
        <v>-2.855021315778e-9</v>
      </c>
      <c r="AS19" s="12">
        <v>-4.2393925863752e-9</v>
      </c>
      <c r="AT19" s="12">
        <v>-1.799219250977e-9</v>
      </c>
      <c r="AU19" s="12">
        <v>-2.6954375919296e-9</v>
      </c>
      <c r="AV19" s="12">
        <v>-1.0793153112719e-9</v>
      </c>
      <c r="AW19" s="12">
        <v>-2.5418255359264e-10</v>
      </c>
      <c r="AX19" s="12">
        <v>-1.5986215533267e-9</v>
      </c>
      <c r="AY19" s="12">
        <v>-1.0141499382878e-9</v>
      </c>
      <c r="AZ19" s="12">
        <v>-4.6775114941273e-10</v>
      </c>
      <c r="BA19" s="12">
        <v>8.7765452951364e-10</v>
      </c>
      <c r="BB19" s="12">
        <v>4.1268791206823e-10</v>
      </c>
      <c r="BC19" s="11">
        <v>15974892.596541</v>
      </c>
      <c r="BD19" s="11">
        <v>4401676.627139</v>
      </c>
      <c r="BE19" s="11">
        <v>-0.00035405156699561</v>
      </c>
      <c r="BF19" s="11">
        <v>-0.00030459846349219</v>
      </c>
      <c r="BG19" s="11">
        <v>0.0017033694084698</v>
      </c>
      <c r="BH19" s="11">
        <v>-0.00081529551407646</v>
      </c>
      <c r="BI19" s="11">
        <v>-0.0012189267825282</v>
      </c>
      <c r="BJ19" s="11">
        <v>100.00036342794</v>
      </c>
      <c r="BK19" s="11">
        <v>106.17159974771</v>
      </c>
      <c r="BL19" s="7"/>
    </row>
    <row r="20" spans="1:64">
      <c r="A20" s="11">
        <v>22334.179607548</v>
      </c>
      <c r="B20" s="11">
        <v>0.0012097414650456</v>
      </c>
      <c r="C20" s="12">
        <f t="shared" si="0"/>
        <v>5.15106812601058e-8</v>
      </c>
      <c r="D20" s="12">
        <v>2.074204976886e-9</v>
      </c>
      <c r="E20" s="12">
        <v>2.0927358051477e-9</v>
      </c>
      <c r="F20" s="12">
        <v>2.1347192525112e-9</v>
      </c>
      <c r="G20" s="12">
        <v>2.0318493478506e-9</v>
      </c>
      <c r="H20" s="12">
        <v>2.4656176330986e-9</v>
      </c>
      <c r="I20" s="12">
        <v>2.3203305854915e-9</v>
      </c>
      <c r="J20" s="12">
        <v>1.9576557952333e-9</v>
      </c>
      <c r="K20" s="12">
        <v>2.1499618016047e-9</v>
      </c>
      <c r="L20" s="12">
        <v>2.0973276955828e-9</v>
      </c>
      <c r="M20" s="12">
        <v>2.0862356384037e-9</v>
      </c>
      <c r="N20" s="12">
        <v>1.4865248453844e-9</v>
      </c>
      <c r="O20" s="12">
        <v>2.2929094925741e-9</v>
      </c>
      <c r="P20" s="12">
        <v>1.4915835744617e-9</v>
      </c>
      <c r="Q20" s="12">
        <v>1.6036257320229e-9</v>
      </c>
      <c r="R20" s="12">
        <v>2.2743503134972e-9</v>
      </c>
      <c r="S20" s="12">
        <v>2.0627227347913e-9</v>
      </c>
      <c r="T20" s="12">
        <v>2.176237187511e-9</v>
      </c>
      <c r="U20" s="12">
        <v>2.0395372345485e-9</v>
      </c>
      <c r="V20" s="12">
        <v>2.0002389842909e-9</v>
      </c>
      <c r="W20" s="12">
        <v>2.1311652546131e-9</v>
      </c>
      <c r="X20" s="12">
        <v>2.1061544228103e-9</v>
      </c>
      <c r="Y20" s="12">
        <v>1.4398804255482e-9</v>
      </c>
      <c r="Z20" s="12">
        <v>1.5746090963435e-9</v>
      </c>
      <c r="AA20" s="12">
        <v>1.4332440666035e-9</v>
      </c>
      <c r="AB20" s="11">
        <v>0.99753153613145</v>
      </c>
      <c r="AC20" s="11">
        <v>0.40620051910693</v>
      </c>
      <c r="AD20" s="11">
        <v>0.0017420069528659</v>
      </c>
      <c r="AE20" s="12">
        <v>1.5633026182871e-9</v>
      </c>
      <c r="AF20" s="12">
        <v>6.7755775805973e-10</v>
      </c>
      <c r="AG20" s="12">
        <v>2.4607692502098e-10</v>
      </c>
      <c r="AH20" s="12">
        <v>6.4711342325364e-10</v>
      </c>
      <c r="AI20" s="12">
        <v>-6.5172107229166e-9</v>
      </c>
      <c r="AJ20" s="12">
        <v>-3.6102811555086e-9</v>
      </c>
      <c r="AK20" s="12">
        <v>-4.8783774574653e-10</v>
      </c>
      <c r="AL20" s="12">
        <v>-2.2271162602367e-9</v>
      </c>
      <c r="AM20" s="12">
        <v>-1.0859966169159e-9</v>
      </c>
      <c r="AN20" s="12">
        <v>-1.6976776146409e-9</v>
      </c>
      <c r="AO20" s="12">
        <v>-1.9638667085453e-9</v>
      </c>
      <c r="AP20" s="12">
        <v>2.335847736856e-9</v>
      </c>
      <c r="AQ20" s="12">
        <v>-2.052953390561e-9</v>
      </c>
      <c r="AR20" s="12">
        <v>-2.7850940761155e-9</v>
      </c>
      <c r="AS20" s="12">
        <v>-4.1605887274279e-9</v>
      </c>
      <c r="AT20" s="12">
        <v>-1.746992813507e-9</v>
      </c>
      <c r="AU20" s="12">
        <v>-2.6036894841127e-9</v>
      </c>
      <c r="AV20" s="12">
        <v>-1.0662846789615e-9</v>
      </c>
      <c r="AW20" s="12">
        <v>-2.5051585006214e-10</v>
      </c>
      <c r="AX20" s="12">
        <v>-1.6378951888175e-9</v>
      </c>
      <c r="AY20" s="12">
        <v>-1.048027539914e-9</v>
      </c>
      <c r="AZ20" s="12">
        <v>-4.252887364114e-10</v>
      </c>
      <c r="BA20" s="12">
        <v>9.1822990605088e-10</v>
      </c>
      <c r="BB20" s="12">
        <v>4.7443243339307e-10</v>
      </c>
      <c r="BC20" s="11">
        <v>15967335.033363</v>
      </c>
      <c r="BD20" s="11">
        <v>4493271.6828577</v>
      </c>
      <c r="BE20" s="11">
        <v>-0.00039444058631063</v>
      </c>
      <c r="BF20" s="11">
        <v>-0.00033637791882026</v>
      </c>
      <c r="BG20" s="11">
        <v>0.0019923596985679</v>
      </c>
      <c r="BH20" s="11">
        <v>-0.0001619309254082</v>
      </c>
      <c r="BI20" s="11">
        <v>-0.00077656001926086</v>
      </c>
      <c r="BJ20" s="11">
        <v>99.999577390075</v>
      </c>
      <c r="BK20" s="11">
        <v>105.75090555997</v>
      </c>
      <c r="BL20" s="7"/>
    </row>
    <row r="21" spans="1:64">
      <c r="A21" s="11">
        <v>28117.066259517</v>
      </c>
      <c r="B21" s="11">
        <v>0.001510901939617</v>
      </c>
      <c r="C21" s="12">
        <f t="shared" si="0"/>
        <v>5.20778795601776e-8</v>
      </c>
      <c r="D21" s="12">
        <v>2.1024753348417e-9</v>
      </c>
      <c r="E21" s="12">
        <v>2.1195131767987e-9</v>
      </c>
      <c r="F21" s="12">
        <v>2.1747213264759e-9</v>
      </c>
      <c r="G21" s="12">
        <v>2.0547668847263e-9</v>
      </c>
      <c r="H21" s="12">
        <v>2.5651472005377e-9</v>
      </c>
      <c r="I21" s="12">
        <v>2.3948988168534e-9</v>
      </c>
      <c r="J21" s="12">
        <v>1.9549243787033e-9</v>
      </c>
      <c r="K21" s="12">
        <v>2.1835842708955e-9</v>
      </c>
      <c r="L21" s="12">
        <v>2.1339375679135e-9</v>
      </c>
      <c r="M21" s="12">
        <v>2.1079851205256e-9</v>
      </c>
      <c r="N21" s="12">
        <v>1.5196403886294e-9</v>
      </c>
      <c r="O21" s="12">
        <v>2.3672236595708e-9</v>
      </c>
      <c r="P21" s="12">
        <v>1.5164516362539e-9</v>
      </c>
      <c r="Q21" s="12">
        <v>1.6424799674301e-9</v>
      </c>
      <c r="R21" s="12">
        <v>2.3416195263775e-9</v>
      </c>
      <c r="S21" s="12">
        <v>2.0838208284998e-9</v>
      </c>
      <c r="T21" s="12">
        <v>2.2202999729883e-9</v>
      </c>
      <c r="U21" s="12">
        <v>2.0557667227485e-9</v>
      </c>
      <c r="V21" s="12">
        <v>2.0043147693157e-9</v>
      </c>
      <c r="W21" s="12">
        <v>2.1710780833516e-9</v>
      </c>
      <c r="X21" s="12">
        <v>2.1399230054449e-9</v>
      </c>
      <c r="Y21" s="12">
        <v>1.4534449255249e-9</v>
      </c>
      <c r="Z21" s="12">
        <v>1.6221383052362e-9</v>
      </c>
      <c r="AA21" s="12">
        <v>1.4488949037393e-9</v>
      </c>
      <c r="AB21" s="11">
        <v>0.99800850780467</v>
      </c>
      <c r="AC21" s="11">
        <v>0.40595594949324</v>
      </c>
      <c r="AD21" s="11">
        <v>0.0020503658854358</v>
      </c>
      <c r="AE21" s="12">
        <v>1.6008607824456e-9</v>
      </c>
      <c r="AF21" s="12">
        <v>6.1601897588364e-10</v>
      </c>
      <c r="AG21" s="12">
        <v>2.6813952842085e-10</v>
      </c>
      <c r="AH21" s="12">
        <v>7.0347351954664e-10</v>
      </c>
      <c r="AI21" s="12">
        <v>-6.3808651588917e-9</v>
      </c>
      <c r="AJ21" s="12">
        <v>-3.5551252934039e-9</v>
      </c>
      <c r="AK21" s="12">
        <v>-4.4310079712624e-10</v>
      </c>
      <c r="AL21" s="12">
        <v>-2.1380277907796e-9</v>
      </c>
      <c r="AM21" s="12">
        <v>-9.8189203323762e-10</v>
      </c>
      <c r="AN21" s="12">
        <v>-1.6765810504343e-9</v>
      </c>
      <c r="AO21" s="12">
        <v>-1.9388566318938e-9</v>
      </c>
      <c r="AP21" s="12">
        <v>2.3858309563151e-9</v>
      </c>
      <c r="AQ21" s="12">
        <v>-2.0330685543547e-9</v>
      </c>
      <c r="AR21" s="12">
        <v>-2.7553249508449e-9</v>
      </c>
      <c r="AS21" s="12">
        <v>-4.1210729825097e-9</v>
      </c>
      <c r="AT21" s="12">
        <v>-1.7341314933911e-9</v>
      </c>
      <c r="AU21" s="12">
        <v>-2.5771628118829e-9</v>
      </c>
      <c r="AV21" s="12">
        <v>-1.0718841597877e-9</v>
      </c>
      <c r="AW21" s="12">
        <v>-2.4037079239898e-10</v>
      </c>
      <c r="AX21" s="12">
        <v>-1.6607732393771e-9</v>
      </c>
      <c r="AY21" s="12">
        <v>-1.0742783851675e-9</v>
      </c>
      <c r="AZ21" s="12">
        <v>-3.7801221394826e-10</v>
      </c>
      <c r="BA21" s="12">
        <v>9.5262684666651e-10</v>
      </c>
      <c r="BB21" s="12">
        <v>5.4134922333997e-10</v>
      </c>
      <c r="BC21" s="11">
        <v>15957812.020984</v>
      </c>
      <c r="BD21" s="11">
        <v>4609127.6885848</v>
      </c>
      <c r="BE21" s="11">
        <v>-0.00044372228771474</v>
      </c>
      <c r="BF21" s="11">
        <v>-0.00037500812315464</v>
      </c>
      <c r="BG21" s="11">
        <v>0.0023576962566986</v>
      </c>
      <c r="BH21" s="11">
        <v>0.0012002345895589</v>
      </c>
      <c r="BI21" s="11">
        <v>0.00023719233924256</v>
      </c>
      <c r="BJ21" s="11">
        <v>99.9981450266</v>
      </c>
      <c r="BK21" s="11">
        <v>105.37163195462</v>
      </c>
      <c r="BL21" s="7"/>
    </row>
    <row r="22" spans="1:64">
      <c r="A22" s="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7"/>
      <c r="AD22" s="7"/>
      <c r="AE22" s="7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7"/>
      <c r="BE22" s="7"/>
      <c r="BF22" s="7"/>
      <c r="BG22" s="7"/>
      <c r="BH22" s="7"/>
      <c r="BI22" s="13"/>
      <c r="BJ22" s="13"/>
      <c r="BK22" s="7"/>
      <c r="BL22" s="7"/>
    </row>
    <row r="23" spans="1:64">
      <c r="A23" s="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7"/>
      <c r="AD23" s="7"/>
      <c r="AE23" s="7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7"/>
      <c r="BE23" s="7"/>
      <c r="BF23" s="7"/>
      <c r="BG23" s="7"/>
      <c r="BH23" s="7"/>
      <c r="BI23" s="13"/>
      <c r="BJ23" s="13"/>
      <c r="BK23" s="7"/>
      <c r="BL23" s="7"/>
    </row>
    <row r="24" spans="1:64">
      <c r="A24" s="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7"/>
      <c r="AD24" s="7"/>
      <c r="AE24" s="7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7"/>
      <c r="BE24" s="7"/>
      <c r="BF24" s="7"/>
      <c r="BG24" s="7"/>
      <c r="BH24" s="7"/>
      <c r="BI24" s="13"/>
      <c r="BJ24" s="13"/>
      <c r="BK24" s="7"/>
      <c r="BL24" s="7"/>
    </row>
    <row r="25" spans="1:64">
      <c r="A25" s="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7"/>
      <c r="AD25" s="7"/>
      <c r="AE25" s="7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7"/>
      <c r="BE25" s="7"/>
      <c r="BF25" s="7"/>
      <c r="BG25" s="7"/>
      <c r="BH25" s="7"/>
      <c r="BI25" s="13"/>
      <c r="BJ25" s="13"/>
      <c r="BK25" s="7"/>
      <c r="BL25" s="7"/>
    </row>
    <row r="26" spans="1:64">
      <c r="A26" s="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7"/>
      <c r="AD26" s="7"/>
      <c r="AE26" s="7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7"/>
      <c r="BE26" s="7"/>
      <c r="BF26" s="7"/>
      <c r="BG26" s="7"/>
      <c r="BH26" s="7"/>
      <c r="BI26" s="13"/>
      <c r="BJ26" s="13"/>
      <c r="BK26" s="7"/>
      <c r="BL26" s="7"/>
    </row>
    <row r="27" spans="1:64">
      <c r="A27" s="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7"/>
      <c r="AD27" s="7"/>
      <c r="AE27" s="7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7"/>
      <c r="BE27" s="7"/>
      <c r="BF27" s="7"/>
      <c r="BG27" s="7"/>
      <c r="BH27" s="7"/>
      <c r="BI27" s="13"/>
      <c r="BJ27" s="13"/>
      <c r="BK27" s="7"/>
      <c r="BL27" s="7"/>
    </row>
    <row r="28" spans="1:64">
      <c r="A28" s="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7"/>
      <c r="AD28" s="7"/>
      <c r="AE28" s="7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7"/>
      <c r="BE28" s="7"/>
      <c r="BF28" s="7"/>
      <c r="BG28" s="7"/>
      <c r="BH28" s="7"/>
      <c r="BI28" s="13"/>
      <c r="BJ28" s="13"/>
      <c r="BK28" s="7"/>
      <c r="BL28" s="7"/>
    </row>
    <row r="29" spans="1:64">
      <c r="A29" s="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7"/>
      <c r="AD29" s="7"/>
      <c r="AE29" s="7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7"/>
      <c r="BE29" s="7"/>
      <c r="BF29" s="7"/>
      <c r="BG29" s="7"/>
      <c r="BH29" s="7"/>
      <c r="BI29" s="13"/>
      <c r="BJ29" s="13"/>
      <c r="BK29" s="7"/>
      <c r="BL29" s="7"/>
    </row>
    <row r="30" spans="1:64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7"/>
      <c r="AD30" s="7"/>
      <c r="AE30" s="7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7"/>
      <c r="BE30" s="7"/>
      <c r="BF30" s="7"/>
      <c r="BG30" s="7"/>
      <c r="BH30" s="7"/>
      <c r="BI30" s="13"/>
      <c r="BJ30" s="13"/>
      <c r="BK30" s="7"/>
      <c r="BL30" s="7"/>
    </row>
    <row r="31" spans="1:64">
      <c r="A31" s="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7"/>
      <c r="AD31" s="7"/>
      <c r="AE31" s="7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7"/>
      <c r="BE31" s="7"/>
      <c r="BF31" s="7"/>
      <c r="BG31" s="7"/>
      <c r="BH31" s="7"/>
      <c r="BI31" s="13"/>
      <c r="BJ31" s="13"/>
      <c r="BK31" s="7"/>
      <c r="BL31" s="7"/>
    </row>
    <row r="32" spans="1:64">
      <c r="A32" s="7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7"/>
      <c r="AD32" s="7"/>
      <c r="AE32" s="7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7"/>
      <c r="BE32" s="7"/>
      <c r="BF32" s="7"/>
      <c r="BG32" s="7"/>
      <c r="BH32" s="7"/>
      <c r="BI32" s="13"/>
      <c r="BJ32" s="13"/>
      <c r="BK32" s="7"/>
      <c r="BL32" s="7"/>
    </row>
    <row r="33" spans="1:64">
      <c r="A33" s="7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7"/>
      <c r="AD33" s="7"/>
      <c r="AE33" s="7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7"/>
      <c r="BE33" s="7"/>
      <c r="BF33" s="7"/>
      <c r="BG33" s="7"/>
      <c r="BH33" s="7"/>
      <c r="BI33" s="13"/>
      <c r="BJ33" s="13"/>
      <c r="BK33" s="7"/>
      <c r="BL33" s="7"/>
    </row>
    <row r="34" spans="1:64">
      <c r="A34" s="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7"/>
      <c r="AD34" s="7"/>
      <c r="AE34" s="7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7"/>
      <c r="BE34" s="7"/>
      <c r="BF34" s="7"/>
      <c r="BG34" s="7"/>
      <c r="BH34" s="7"/>
      <c r="BI34" s="13"/>
      <c r="BJ34" s="13"/>
      <c r="BK34" s="7"/>
      <c r="BL34" s="7"/>
    </row>
    <row r="35" spans="1:64">
      <c r="A35" s="7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7"/>
      <c r="AD35" s="7"/>
      <c r="AE35" s="7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7"/>
      <c r="BE35" s="7"/>
      <c r="BF35" s="7"/>
      <c r="BG35" s="7"/>
      <c r="BH35" s="7"/>
      <c r="BI35" s="13"/>
      <c r="BJ35" s="13"/>
      <c r="BK35" s="7"/>
      <c r="BL35" s="7"/>
    </row>
    <row r="36" spans="1:64">
      <c r="A36" s="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7"/>
      <c r="AD36" s="7"/>
      <c r="AE36" s="7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7"/>
      <c r="BE36" s="7"/>
      <c r="BF36" s="7"/>
      <c r="BG36" s="7"/>
      <c r="BH36" s="7"/>
      <c r="BI36" s="13"/>
      <c r="BJ36" s="13"/>
      <c r="BK36" s="7"/>
      <c r="BL36" s="7"/>
    </row>
    <row r="37" spans="1:64">
      <c r="A37" s="7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7"/>
      <c r="AD37" s="7"/>
      <c r="AE37" s="7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7"/>
      <c r="BE37" s="7"/>
      <c r="BF37" s="7"/>
      <c r="BG37" s="7"/>
      <c r="BH37" s="7"/>
      <c r="BI37" s="13"/>
      <c r="BJ37" s="13"/>
      <c r="BK37" s="7"/>
      <c r="BL37" s="7"/>
    </row>
    <row r="38" spans="1:64">
      <c r="A38" s="7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"/>
      <c r="AD38" s="7"/>
      <c r="AE38" s="7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7"/>
      <c r="BE38" s="7"/>
      <c r="BF38" s="7"/>
      <c r="BG38" s="7"/>
      <c r="BH38" s="7"/>
      <c r="BI38" s="13"/>
      <c r="BJ38" s="13"/>
      <c r="BK38" s="7"/>
      <c r="BL38" s="7"/>
    </row>
    <row r="39" spans="1:64">
      <c r="A39" s="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7"/>
      <c r="AD39" s="7"/>
      <c r="AE39" s="7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7"/>
      <c r="BE39" s="7"/>
      <c r="BF39" s="7"/>
      <c r="BG39" s="7"/>
      <c r="BH39" s="7"/>
      <c r="BI39" s="13"/>
      <c r="BJ39" s="13"/>
      <c r="BK39" s="7"/>
      <c r="BL39" s="7"/>
    </row>
    <row r="40" spans="1:64">
      <c r="A40" s="7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7"/>
      <c r="AD40" s="7"/>
      <c r="AE40" s="7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7"/>
      <c r="BE40" s="7"/>
      <c r="BF40" s="7"/>
      <c r="BG40" s="7"/>
      <c r="BH40" s="7"/>
      <c r="BI40" s="13"/>
      <c r="BJ40" s="13"/>
      <c r="BK40" s="7"/>
      <c r="BL40" s="7"/>
    </row>
    <row r="41" spans="1:64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7"/>
      <c r="AD41" s="7"/>
      <c r="AE41" s="7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7"/>
      <c r="BE41" s="7"/>
      <c r="BF41" s="7"/>
      <c r="BG41" s="7"/>
      <c r="BH41" s="7"/>
      <c r="BI41" s="13"/>
      <c r="BJ41" s="13"/>
      <c r="BK41" s="7"/>
      <c r="BL41" s="7"/>
    </row>
    <row r="42" spans="1:64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7"/>
      <c r="AD42" s="7"/>
      <c r="AE42" s="7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7"/>
      <c r="BE42" s="7"/>
      <c r="BF42" s="7"/>
      <c r="BG42" s="7"/>
      <c r="BH42" s="7"/>
      <c r="BI42" s="13"/>
      <c r="BJ42" s="13"/>
      <c r="BK42" s="7"/>
      <c r="BL42" s="7"/>
    </row>
    <row r="43" spans="1:64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7"/>
      <c r="AD43" s="7"/>
      <c r="AE43" s="7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7"/>
      <c r="BE43" s="7"/>
      <c r="BF43" s="7"/>
      <c r="BG43" s="7"/>
      <c r="BH43" s="7"/>
      <c r="BI43" s="13"/>
      <c r="BJ43" s="13"/>
      <c r="BK43" s="7"/>
      <c r="BL43" s="7"/>
    </row>
    <row r="44" spans="1:64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7"/>
      <c r="AD44" s="7"/>
      <c r="AE44" s="7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7"/>
      <c r="BE44" s="7"/>
      <c r="BF44" s="7"/>
      <c r="BG44" s="7"/>
      <c r="BH44" s="7"/>
      <c r="BI44" s="13"/>
      <c r="BJ44" s="13"/>
      <c r="BK44" s="7"/>
      <c r="BL44" s="7"/>
    </row>
    <row r="45" spans="1:64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7"/>
      <c r="AD45" s="7"/>
      <c r="AE45" s="7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7"/>
      <c r="BE45" s="7"/>
      <c r="BF45" s="7"/>
      <c r="BG45" s="7"/>
      <c r="BH45" s="7"/>
      <c r="BI45" s="13"/>
      <c r="BJ45" s="13"/>
      <c r="BK45" s="7"/>
      <c r="BL45" s="7"/>
    </row>
    <row r="46" spans="1:64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7"/>
      <c r="AD46" s="7"/>
      <c r="AE46" s="7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7"/>
      <c r="BE46" s="7"/>
      <c r="BF46" s="7"/>
      <c r="BG46" s="7"/>
      <c r="BH46" s="7"/>
      <c r="BI46" s="13"/>
      <c r="BJ46" s="13"/>
      <c r="BK46" s="7"/>
      <c r="BL46" s="7"/>
    </row>
    <row r="47" spans="1:64">
      <c r="A47" s="7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7"/>
      <c r="AD47" s="7"/>
      <c r="AE47" s="7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7"/>
      <c r="BE47" s="7"/>
      <c r="BF47" s="7"/>
      <c r="BG47" s="7"/>
      <c r="BH47" s="7"/>
      <c r="BI47" s="13"/>
      <c r="BJ47" s="13"/>
      <c r="BK47" s="7"/>
      <c r="BL47" s="7"/>
    </row>
    <row r="48" spans="1:64">
      <c r="A48" s="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"/>
      <c r="AD48" s="7"/>
      <c r="AE48" s="7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7"/>
      <c r="BE48" s="7"/>
      <c r="BF48" s="7"/>
      <c r="BG48" s="7"/>
      <c r="BH48" s="7"/>
      <c r="BI48" s="13"/>
      <c r="BJ48" s="13"/>
      <c r="BK48" s="7"/>
      <c r="BL48" s="7"/>
    </row>
    <row r="49" spans="1:64">
      <c r="A49" s="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7"/>
      <c r="AD49" s="7"/>
      <c r="AE49" s="7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7"/>
      <c r="BE49" s="7"/>
      <c r="BF49" s="7"/>
      <c r="BG49" s="7"/>
      <c r="BH49" s="7"/>
      <c r="BI49" s="13"/>
      <c r="BJ49" s="13"/>
      <c r="BK49" s="7"/>
      <c r="BL49" s="7"/>
    </row>
    <row r="50" spans="1:64">
      <c r="A50" s="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7"/>
      <c r="AD50" s="7"/>
      <c r="AE50" s="7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7"/>
      <c r="BE50" s="7"/>
      <c r="BF50" s="7"/>
      <c r="BG50" s="7"/>
      <c r="BH50" s="7"/>
      <c r="BI50" s="13"/>
      <c r="BJ50" s="13"/>
      <c r="BK50" s="7"/>
      <c r="BL50" s="7"/>
    </row>
    <row r="51" spans="1:64">
      <c r="A51" s="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7"/>
      <c r="AD51" s="7"/>
      <c r="AE51" s="7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7"/>
      <c r="BE51" s="7"/>
      <c r="BF51" s="7"/>
      <c r="BG51" s="7"/>
      <c r="BH51" s="7"/>
      <c r="BI51" s="13"/>
      <c r="BJ51" s="13"/>
      <c r="BK51" s="7"/>
      <c r="BL51" s="7"/>
    </row>
    <row r="52" spans="1:64">
      <c r="A52" s="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7"/>
      <c r="AD52" s="7"/>
      <c r="AE52" s="7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7"/>
      <c r="BE52" s="7"/>
      <c r="BF52" s="7"/>
      <c r="BG52" s="7"/>
      <c r="BH52" s="7"/>
      <c r="BI52" s="13"/>
      <c r="BJ52" s="13"/>
      <c r="BK52" s="7"/>
      <c r="BL52" s="7"/>
    </row>
    <row r="53" spans="1:64">
      <c r="A53" s="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7"/>
      <c r="AD53" s="7"/>
      <c r="AE53" s="7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7"/>
      <c r="BE53" s="7"/>
      <c r="BF53" s="7"/>
      <c r="BG53" s="7"/>
      <c r="BH53" s="7"/>
      <c r="BI53" s="13"/>
      <c r="BJ53" s="13"/>
      <c r="BK53" s="7"/>
      <c r="BL53" s="7"/>
    </row>
    <row r="54" spans="1:64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7"/>
      <c r="AD54" s="7"/>
      <c r="AE54" s="7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7"/>
      <c r="BE54" s="7"/>
      <c r="BF54" s="7"/>
      <c r="BG54" s="7"/>
      <c r="BH54" s="7"/>
      <c r="BI54" s="13"/>
      <c r="BJ54" s="13"/>
      <c r="BK54" s="7"/>
      <c r="BL54" s="7"/>
    </row>
    <row r="55" spans="1:64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7"/>
      <c r="AD55" s="7"/>
      <c r="AE55" s="7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7"/>
      <c r="BE55" s="7"/>
      <c r="BF55" s="7"/>
      <c r="BG55" s="7"/>
      <c r="BH55" s="7"/>
      <c r="BI55" s="13"/>
      <c r="BJ55" s="13"/>
      <c r="BK55" s="7"/>
      <c r="BL55" s="7"/>
    </row>
    <row r="56" spans="1:64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7"/>
      <c r="AD56" s="7"/>
      <c r="AE56" s="7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7"/>
      <c r="BE56" s="7"/>
      <c r="BF56" s="7"/>
      <c r="BG56" s="7"/>
      <c r="BH56" s="7"/>
      <c r="BI56" s="13"/>
      <c r="BJ56" s="13"/>
      <c r="BK56" s="7"/>
      <c r="BL56" s="7"/>
    </row>
    <row r="57" spans="1:64">
      <c r="A57" s="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7"/>
      <c r="AD57" s="7"/>
      <c r="AE57" s="7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7"/>
      <c r="BE57" s="7"/>
      <c r="BF57" s="7"/>
      <c r="BG57" s="7"/>
      <c r="BH57" s="7"/>
      <c r="BI57" s="13"/>
      <c r="BJ57" s="13"/>
      <c r="BK57" s="7"/>
      <c r="BL57" s="7"/>
    </row>
    <row r="58" spans="1:64">
      <c r="A58" s="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7"/>
      <c r="AD58" s="7"/>
      <c r="AE58" s="7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7"/>
      <c r="BE58" s="7"/>
      <c r="BF58" s="7"/>
      <c r="BG58" s="7"/>
      <c r="BH58" s="7"/>
      <c r="BI58" s="13"/>
      <c r="BJ58" s="13"/>
      <c r="BK58" s="7"/>
      <c r="BL58" s="7"/>
    </row>
    <row r="59" spans="1:64">
      <c r="A59" s="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7"/>
      <c r="AD59" s="7"/>
      <c r="AE59" s="7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7"/>
      <c r="BE59" s="7"/>
      <c r="BF59" s="7"/>
      <c r="BG59" s="7"/>
      <c r="BH59" s="7"/>
      <c r="BI59" s="13"/>
      <c r="BJ59" s="13"/>
      <c r="BK59" s="7"/>
      <c r="BL59" s="7"/>
    </row>
    <row r="60" spans="1:64">
      <c r="A60" s="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7"/>
      <c r="AD60" s="7"/>
      <c r="AE60" s="7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7"/>
      <c r="BE60" s="7"/>
      <c r="BF60" s="7"/>
      <c r="BG60" s="7"/>
      <c r="BH60" s="7"/>
      <c r="BI60" s="13"/>
      <c r="BJ60" s="13"/>
      <c r="BK60" s="7"/>
      <c r="BL60" s="7"/>
    </row>
    <row r="61" spans="1:64">
      <c r="A61" s="7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7"/>
      <c r="AD61" s="7"/>
      <c r="AE61" s="7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7"/>
      <c r="BE61" s="7"/>
      <c r="BF61" s="7"/>
      <c r="BG61" s="7"/>
      <c r="BH61" s="7"/>
      <c r="BI61" s="13"/>
      <c r="BJ61" s="13"/>
      <c r="BK61" s="7"/>
      <c r="BL61" s="7"/>
    </row>
    <row r="62" spans="1:64">
      <c r="A62" s="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"/>
      <c r="AD62" s="7"/>
      <c r="AE62" s="7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7"/>
      <c r="BE62" s="7"/>
      <c r="BF62" s="7"/>
      <c r="BG62" s="7"/>
      <c r="BH62" s="7"/>
      <c r="BI62" s="13"/>
      <c r="BJ62" s="13"/>
      <c r="BK62" s="7"/>
      <c r="BL62" s="7"/>
    </row>
    <row r="63" spans="1:64">
      <c r="A63" s="7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7"/>
      <c r="AD63" s="7"/>
      <c r="AE63" s="7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7"/>
      <c r="BE63" s="7"/>
      <c r="BF63" s="7"/>
      <c r="BG63" s="7"/>
      <c r="BH63" s="7"/>
      <c r="BI63" s="13"/>
      <c r="BJ63" s="13"/>
      <c r="BK63" s="7"/>
      <c r="BL63" s="7"/>
    </row>
    <row r="64" spans="1:64">
      <c r="A64" s="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7"/>
      <c r="AD64" s="7"/>
      <c r="AE64" s="7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7"/>
      <c r="BE64" s="7"/>
      <c r="BF64" s="7"/>
      <c r="BG64" s="7"/>
      <c r="BH64" s="7"/>
      <c r="BI64" s="13"/>
      <c r="BJ64" s="13"/>
      <c r="BK64" s="7"/>
      <c r="BL64" s="7"/>
    </row>
    <row r="65" spans="1:64">
      <c r="A65" s="7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7"/>
      <c r="AD65" s="7"/>
      <c r="AE65" s="7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7"/>
      <c r="BE65" s="7"/>
      <c r="BF65" s="7"/>
      <c r="BG65" s="7"/>
      <c r="BH65" s="7"/>
      <c r="BI65" s="13"/>
      <c r="BJ65" s="13"/>
      <c r="BK65" s="7"/>
      <c r="BL65" s="7"/>
    </row>
    <row r="66" spans="1:64">
      <c r="A66" s="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7"/>
      <c r="AD66" s="7"/>
      <c r="AE66" s="7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7"/>
      <c r="BE66" s="7"/>
      <c r="BF66" s="7"/>
      <c r="BG66" s="7"/>
      <c r="BH66" s="7"/>
      <c r="BI66" s="13"/>
      <c r="BJ66" s="13"/>
      <c r="BK66" s="7"/>
      <c r="BL66" s="7"/>
    </row>
    <row r="67" spans="1:64">
      <c r="A67" s="7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7"/>
      <c r="AD67" s="7"/>
      <c r="AE67" s="7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7"/>
      <c r="BE67" s="7"/>
      <c r="BF67" s="7"/>
      <c r="BG67" s="7"/>
      <c r="BH67" s="7"/>
      <c r="BI67" s="13"/>
      <c r="BJ67" s="13"/>
      <c r="BK67" s="7"/>
      <c r="BL67" s="7"/>
    </row>
    <row r="68" spans="1:64">
      <c r="A68" s="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7"/>
      <c r="AD68" s="7"/>
      <c r="AE68" s="7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7"/>
      <c r="BE68" s="7"/>
      <c r="BF68" s="7"/>
      <c r="BG68" s="7"/>
      <c r="BH68" s="7"/>
      <c r="BI68" s="13"/>
      <c r="BJ68" s="13"/>
      <c r="BK68" s="7"/>
      <c r="BL68" s="7"/>
    </row>
    <row r="69" spans="1:64">
      <c r="A69" s="7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7"/>
      <c r="AD69" s="7"/>
      <c r="AE69" s="7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7"/>
      <c r="BE69" s="7"/>
      <c r="BF69" s="7"/>
      <c r="BG69" s="7"/>
      <c r="BH69" s="7"/>
      <c r="BI69" s="13"/>
      <c r="BJ69" s="13"/>
      <c r="BK69" s="7"/>
      <c r="BL69" s="7"/>
    </row>
    <row r="70" spans="1:64">
      <c r="A70" s="7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7"/>
      <c r="AD70" s="7"/>
      <c r="AE70" s="7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7"/>
      <c r="BE70" s="7"/>
      <c r="BF70" s="7"/>
      <c r="BG70" s="7"/>
      <c r="BH70" s="7"/>
      <c r="BI70" s="13"/>
      <c r="BJ70" s="13"/>
      <c r="BK70" s="7"/>
      <c r="BL70" s="7"/>
    </row>
    <row r="71" spans="1:64">
      <c r="A71" s="7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7"/>
      <c r="AD71" s="7"/>
      <c r="AE71" s="7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7"/>
      <c r="BE71" s="7"/>
      <c r="BF71" s="7"/>
      <c r="BG71" s="7"/>
      <c r="BH71" s="7"/>
      <c r="BI71" s="13"/>
      <c r="BJ71" s="13"/>
      <c r="BK71" s="7"/>
      <c r="BL71" s="7"/>
    </row>
    <row r="72" spans="1:64">
      <c r="A72" s="7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7"/>
      <c r="AD72" s="7"/>
      <c r="AE72" s="7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7"/>
      <c r="BE72" s="7"/>
      <c r="BF72" s="7"/>
      <c r="BG72" s="7"/>
      <c r="BH72" s="7"/>
      <c r="BI72" s="13"/>
      <c r="BJ72" s="13"/>
      <c r="BK72" s="7"/>
      <c r="BL72" s="7"/>
    </row>
    <row r="73" spans="1:64">
      <c r="A73" s="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7"/>
      <c r="AD73" s="7"/>
      <c r="AE73" s="7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7"/>
      <c r="BE73" s="7"/>
      <c r="BF73" s="7"/>
      <c r="BG73" s="7"/>
      <c r="BH73" s="7"/>
      <c r="BI73" s="13"/>
      <c r="BJ73" s="13"/>
      <c r="BK73" s="7"/>
      <c r="BL73" s="7"/>
    </row>
    <row r="74" spans="1:64">
      <c r="A74" s="7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7"/>
      <c r="AD74" s="7"/>
      <c r="AE74" s="7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7"/>
      <c r="BE74" s="7"/>
      <c r="BF74" s="7"/>
      <c r="BG74" s="7"/>
      <c r="BH74" s="7"/>
      <c r="BI74" s="13"/>
      <c r="BJ74" s="13"/>
      <c r="BK74" s="7"/>
      <c r="BL74" s="7"/>
    </row>
    <row r="75" spans="1:64">
      <c r="A75" s="7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7"/>
      <c r="AD75" s="7"/>
      <c r="AE75" s="7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7"/>
      <c r="BE75" s="7"/>
      <c r="BF75" s="7"/>
      <c r="BG75" s="7"/>
      <c r="BH75" s="7"/>
      <c r="BI75" s="13"/>
      <c r="BJ75" s="13"/>
      <c r="BK75" s="7"/>
      <c r="BL75" s="7"/>
    </row>
    <row r="76" spans="1:64">
      <c r="A76" s="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7"/>
      <c r="AD76" s="7"/>
      <c r="AE76" s="7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7"/>
      <c r="BE76" s="7"/>
      <c r="BF76" s="7"/>
      <c r="BG76" s="7"/>
      <c r="BH76" s="7"/>
      <c r="BI76" s="13"/>
      <c r="BJ76" s="13"/>
      <c r="BK76" s="7"/>
      <c r="BL76" s="7"/>
    </row>
    <row r="77" spans="1:64">
      <c r="A77" s="7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7"/>
      <c r="AD77" s="7"/>
      <c r="AE77" s="7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7"/>
      <c r="BE77" s="7"/>
      <c r="BF77" s="7"/>
      <c r="BG77" s="7"/>
      <c r="BH77" s="7"/>
      <c r="BI77" s="13"/>
      <c r="BJ77" s="13"/>
      <c r="BK77" s="7"/>
      <c r="BL77" s="7"/>
    </row>
    <row r="78" spans="1:64">
      <c r="A78" s="7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7"/>
      <c r="AD78" s="7"/>
      <c r="AE78" s="7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7"/>
      <c r="BE78" s="7"/>
      <c r="BF78" s="7"/>
      <c r="BG78" s="7"/>
      <c r="BH78" s="7"/>
      <c r="BI78" s="13"/>
      <c r="BJ78" s="13"/>
      <c r="BK78" s="7"/>
      <c r="BL78" s="7"/>
    </row>
    <row r="79" spans="1:64">
      <c r="A79" s="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7"/>
      <c r="AD79" s="7"/>
      <c r="AE79" s="7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7"/>
      <c r="BE79" s="7"/>
      <c r="BF79" s="7"/>
      <c r="BG79" s="7"/>
      <c r="BH79" s="7"/>
      <c r="BI79" s="13"/>
      <c r="BJ79" s="13"/>
      <c r="BK79" s="7"/>
      <c r="BL79" s="7"/>
    </row>
    <row r="80" spans="1:64">
      <c r="A80" s="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7"/>
      <c r="AD80" s="7"/>
      <c r="AE80" s="7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7"/>
      <c r="BE80" s="7"/>
      <c r="BF80" s="7"/>
      <c r="BG80" s="7"/>
      <c r="BH80" s="7"/>
      <c r="BI80" s="13"/>
      <c r="BJ80" s="13"/>
      <c r="BK80" s="7"/>
      <c r="BL80" s="7"/>
    </row>
    <row r="81" spans="1:64">
      <c r="A81" s="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7"/>
      <c r="AD81" s="7"/>
      <c r="AE81" s="7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7"/>
      <c r="BE81" s="7"/>
      <c r="BF81" s="7"/>
      <c r="BG81" s="7"/>
      <c r="BH81" s="7"/>
      <c r="BI81" s="13"/>
      <c r="BJ81" s="13"/>
      <c r="BK81" s="7"/>
      <c r="BL81" s="7"/>
    </row>
    <row r="82" spans="1:64">
      <c r="A82" s="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7"/>
      <c r="AD82" s="7"/>
      <c r="AE82" s="7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7"/>
      <c r="BE82" s="7"/>
      <c r="BF82" s="7"/>
      <c r="BG82" s="7"/>
      <c r="BH82" s="7"/>
      <c r="BI82" s="13"/>
      <c r="BJ82" s="13"/>
      <c r="BK82" s="7"/>
      <c r="BL82" s="7"/>
    </row>
    <row r="83" spans="1:64">
      <c r="A83" s="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7"/>
      <c r="AD83" s="7"/>
      <c r="AE83" s="7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7"/>
      <c r="BE83" s="7"/>
      <c r="BF83" s="7"/>
      <c r="BG83" s="7"/>
      <c r="BH83" s="7"/>
      <c r="BI83" s="13"/>
      <c r="BJ83" s="13"/>
      <c r="BK83" s="7"/>
      <c r="BL83" s="7"/>
    </row>
    <row r="84" spans="1:64">
      <c r="A84" s="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7"/>
      <c r="AD84" s="7"/>
      <c r="AE84" s="7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7"/>
      <c r="BE84" s="7"/>
      <c r="BF84" s="7"/>
      <c r="BG84" s="7"/>
      <c r="BH84" s="7"/>
      <c r="BI84" s="13"/>
      <c r="BJ84" s="13"/>
      <c r="BK84" s="7"/>
      <c r="BL84" s="7"/>
    </row>
    <row r="85" spans="1:64">
      <c r="A85" s="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7"/>
      <c r="AD85" s="7"/>
      <c r="AE85" s="7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7"/>
      <c r="BE85" s="7"/>
      <c r="BF85" s="7"/>
      <c r="BG85" s="7"/>
      <c r="BH85" s="7"/>
      <c r="BI85" s="13"/>
      <c r="BJ85" s="13"/>
      <c r="BK85" s="7"/>
      <c r="BL85" s="7"/>
    </row>
    <row r="86" spans="1:64">
      <c r="A86" s="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7"/>
      <c r="AD86" s="7"/>
      <c r="AE86" s="7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7"/>
      <c r="BE86" s="7"/>
      <c r="BF86" s="7"/>
      <c r="BG86" s="7"/>
      <c r="BH86" s="7"/>
      <c r="BI86" s="13"/>
      <c r="BJ86" s="13"/>
      <c r="BK86" s="7"/>
      <c r="BL86" s="7"/>
    </row>
    <row r="87" spans="1:64">
      <c r="A87" s="7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7"/>
      <c r="AD87" s="7"/>
      <c r="AE87" s="7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7"/>
      <c r="BE87" s="7"/>
      <c r="BF87" s="7"/>
      <c r="BG87" s="7"/>
      <c r="BH87" s="7"/>
      <c r="BI87" s="13"/>
      <c r="BJ87" s="13"/>
      <c r="BK87" s="7"/>
      <c r="BL87" s="7"/>
    </row>
    <row r="88" spans="1:64">
      <c r="A88" s="7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7"/>
      <c r="AD88" s="7"/>
      <c r="AE88" s="7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7"/>
      <c r="BE88" s="7"/>
      <c r="BF88" s="7"/>
      <c r="BG88" s="7"/>
      <c r="BH88" s="7"/>
      <c r="BI88" s="13"/>
      <c r="BJ88" s="13"/>
      <c r="BK88" s="7"/>
      <c r="BL88" s="7"/>
    </row>
    <row r="89" spans="1:64">
      <c r="A89" s="7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7"/>
      <c r="AD89" s="7"/>
      <c r="AE89" s="7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7"/>
      <c r="BE89" s="7"/>
      <c r="BF89" s="7"/>
      <c r="BG89" s="7"/>
      <c r="BH89" s="7"/>
      <c r="BI89" s="13"/>
      <c r="BJ89" s="13"/>
      <c r="BK89" s="7"/>
      <c r="BL89" s="7"/>
    </row>
    <row r="90" spans="1:64">
      <c r="A90" s="7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7"/>
      <c r="AD90" s="7"/>
      <c r="AE90" s="7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7"/>
      <c r="BE90" s="7"/>
      <c r="BF90" s="7"/>
      <c r="BG90" s="7"/>
      <c r="BH90" s="7"/>
      <c r="BI90" s="13"/>
      <c r="BJ90" s="13"/>
      <c r="BK90" s="7"/>
      <c r="BL90" s="7"/>
    </row>
    <row r="91" spans="1:64">
      <c r="A91" s="7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7"/>
      <c r="AD91" s="7"/>
      <c r="AE91" s="7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7"/>
      <c r="BE91" s="7"/>
      <c r="BF91" s="7"/>
      <c r="BG91" s="7"/>
      <c r="BH91" s="7"/>
      <c r="BI91" s="13"/>
      <c r="BJ91" s="13"/>
      <c r="BK91" s="7"/>
      <c r="BL91" s="7"/>
    </row>
    <row r="92" spans="1:64">
      <c r="A92" s="7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7"/>
      <c r="AD92" s="7"/>
      <c r="AE92" s="7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7"/>
      <c r="BE92" s="7"/>
      <c r="BF92" s="7"/>
      <c r="BG92" s="7"/>
      <c r="BH92" s="7"/>
      <c r="BI92" s="13"/>
      <c r="BJ92" s="13"/>
      <c r="BK92" s="7"/>
      <c r="BL92" s="7"/>
    </row>
    <row r="93" spans="1:64">
      <c r="A93" s="7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7"/>
      <c r="AD93" s="7"/>
      <c r="AE93" s="7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7"/>
      <c r="BE93" s="7"/>
      <c r="BF93" s="7"/>
      <c r="BG93" s="7"/>
      <c r="BH93" s="7"/>
      <c r="BI93" s="13"/>
      <c r="BJ93" s="13"/>
      <c r="BK93" s="7"/>
      <c r="BL93" s="7"/>
    </row>
    <row r="94" spans="1:64">
      <c r="A94" s="7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7"/>
      <c r="AD94" s="7"/>
      <c r="AE94" s="7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7"/>
      <c r="BE94" s="7"/>
      <c r="BF94" s="7"/>
      <c r="BG94" s="7"/>
      <c r="BH94" s="7"/>
      <c r="BI94" s="13"/>
      <c r="BJ94" s="13"/>
      <c r="BK94" s="7"/>
      <c r="BL94" s="7"/>
    </row>
    <row r="95" spans="1:64">
      <c r="A95" s="7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7"/>
      <c r="AD95" s="7"/>
      <c r="AE95" s="7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7"/>
      <c r="BE95" s="7"/>
      <c r="BF95" s="7"/>
      <c r="BG95" s="7"/>
      <c r="BH95" s="7"/>
      <c r="BI95" s="13"/>
      <c r="BJ95" s="13"/>
      <c r="BK95" s="7"/>
      <c r="BL95" s="7"/>
    </row>
    <row r="96" spans="1:64">
      <c r="A96" s="7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7"/>
      <c r="AD96" s="7"/>
      <c r="AE96" s="7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7"/>
      <c r="BE96" s="7"/>
      <c r="BF96" s="7"/>
      <c r="BG96" s="7"/>
      <c r="BH96" s="7"/>
      <c r="BI96" s="13"/>
      <c r="BJ96" s="13"/>
      <c r="BK96" s="7"/>
      <c r="BL96" s="7"/>
    </row>
    <row r="97" spans="1:64">
      <c r="A97" s="7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7"/>
      <c r="AD97" s="7"/>
      <c r="AE97" s="7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7"/>
      <c r="BE97" s="7"/>
      <c r="BF97" s="7"/>
      <c r="BG97" s="7"/>
      <c r="BH97" s="7"/>
      <c r="BI97" s="13"/>
      <c r="BJ97" s="13"/>
      <c r="BK97" s="7"/>
      <c r="BL97" s="7"/>
    </row>
    <row r="98" spans="1:64">
      <c r="A98" s="7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7"/>
      <c r="AD98" s="7"/>
      <c r="AE98" s="7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7"/>
      <c r="BE98" s="7"/>
      <c r="BF98" s="7"/>
      <c r="BG98" s="7"/>
      <c r="BH98" s="7"/>
      <c r="BI98" s="13"/>
      <c r="BJ98" s="13"/>
      <c r="BK98" s="7"/>
      <c r="BL98" s="7"/>
    </row>
    <row r="99" spans="1:64">
      <c r="A99" s="7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7"/>
      <c r="AD99" s="7"/>
      <c r="AE99" s="7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7"/>
      <c r="BE99" s="7"/>
      <c r="BF99" s="7"/>
      <c r="BG99" s="7"/>
      <c r="BH99" s="7"/>
      <c r="BI99" s="13"/>
      <c r="BJ99" s="13"/>
      <c r="BK99" s="7"/>
      <c r="BL99" s="7"/>
    </row>
    <row r="100" spans="1:64">
      <c r="A100" s="7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7"/>
      <c r="AD100" s="7"/>
      <c r="AE100" s="7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7"/>
      <c r="BE100" s="7"/>
      <c r="BF100" s="7"/>
      <c r="BG100" s="7"/>
      <c r="BH100" s="7"/>
      <c r="BI100" s="13"/>
      <c r="BJ100" s="13"/>
      <c r="BK100" s="7"/>
      <c r="BL100" s="7"/>
    </row>
    <row r="101" spans="1:64">
      <c r="A101" s="7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7"/>
      <c r="AD101" s="7"/>
      <c r="AE101" s="7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7"/>
      <c r="BE101" s="7"/>
      <c r="BF101" s="7"/>
      <c r="BG101" s="7"/>
      <c r="BH101" s="7"/>
      <c r="BI101" s="13"/>
      <c r="BJ101" s="13"/>
      <c r="BK101" s="7"/>
      <c r="BL101" s="7"/>
    </row>
    <row r="102" spans="1:64">
      <c r="A102" s="7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7"/>
      <c r="AD102" s="7"/>
      <c r="AE102" s="7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7"/>
      <c r="BE102" s="7"/>
      <c r="BF102" s="7"/>
      <c r="BG102" s="7"/>
      <c r="BH102" s="7"/>
      <c r="BI102" s="13"/>
      <c r="BJ102" s="13"/>
      <c r="BK102" s="7"/>
      <c r="BL102" s="7"/>
    </row>
    <row r="103" spans="1:64">
      <c r="A103" s="7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7"/>
      <c r="AD103" s="7"/>
      <c r="AE103" s="7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7"/>
      <c r="BE103" s="7"/>
      <c r="BF103" s="7"/>
      <c r="BG103" s="7"/>
      <c r="BH103" s="7"/>
      <c r="BI103" s="13"/>
      <c r="BJ103" s="13"/>
      <c r="BK103" s="7"/>
      <c r="BL103" s="7"/>
    </row>
    <row r="104" spans="1:64">
      <c r="A104" s="7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7"/>
      <c r="AD104" s="7"/>
      <c r="AE104" s="7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7"/>
      <c r="BE104" s="7"/>
      <c r="BF104" s="7"/>
      <c r="BG104" s="7"/>
      <c r="BH104" s="7"/>
      <c r="BI104" s="13"/>
      <c r="BJ104" s="13"/>
      <c r="BK104" s="7"/>
      <c r="BL104" s="7"/>
    </row>
    <row r="105" spans="1:64">
      <c r="A105" s="7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7"/>
      <c r="AD105" s="7"/>
      <c r="AE105" s="7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7"/>
      <c r="BE105" s="7"/>
      <c r="BF105" s="7"/>
      <c r="BG105" s="7"/>
      <c r="BH105" s="7"/>
      <c r="BI105" s="13"/>
      <c r="BJ105" s="13"/>
      <c r="BK105" s="7"/>
      <c r="BL105" s="7"/>
    </row>
    <row r="106" spans="1:64">
      <c r="A106" s="7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7"/>
      <c r="AD106" s="7"/>
      <c r="AE106" s="7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7"/>
      <c r="BE106" s="7"/>
      <c r="BF106" s="7"/>
      <c r="BG106" s="7"/>
      <c r="BH106" s="7"/>
      <c r="BI106" s="13"/>
      <c r="BJ106" s="13"/>
      <c r="BK106" s="7"/>
      <c r="BL106" s="7"/>
    </row>
    <row r="107" spans="1:64">
      <c r="A107" s="7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7"/>
      <c r="AD107" s="7"/>
      <c r="AE107" s="7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7"/>
      <c r="BE107" s="7"/>
      <c r="BF107" s="7"/>
      <c r="BG107" s="7"/>
      <c r="BH107" s="7"/>
      <c r="BI107" s="13"/>
      <c r="BJ107" s="13"/>
      <c r="BK107" s="7"/>
      <c r="BL107" s="7"/>
    </row>
    <row r="108" spans="1:64">
      <c r="A108" s="7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7"/>
      <c r="AD108" s="7"/>
      <c r="AE108" s="7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7"/>
      <c r="BE108" s="7"/>
      <c r="BF108" s="7"/>
      <c r="BG108" s="7"/>
      <c r="BH108" s="7"/>
      <c r="BI108" s="13"/>
      <c r="BJ108" s="13"/>
      <c r="BK108" s="7"/>
      <c r="BL108" s="7"/>
    </row>
    <row r="109" spans="1:64">
      <c r="A109" s="7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7"/>
      <c r="AD109" s="7"/>
      <c r="AE109" s="7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7"/>
      <c r="BE109" s="7"/>
      <c r="BF109" s="7"/>
      <c r="BG109" s="7"/>
      <c r="BH109" s="7"/>
      <c r="BI109" s="13"/>
      <c r="BJ109" s="13"/>
      <c r="BK109" s="7"/>
      <c r="BL109" s="7"/>
    </row>
    <row r="110" spans="1:64">
      <c r="A110" s="7"/>
      <c r="B110" s="7"/>
      <c r="C110" s="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7"/>
      <c r="AD110" s="7"/>
      <c r="AE110" s="7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7"/>
      <c r="BE110" s="7"/>
      <c r="BF110" s="7"/>
      <c r="BG110" s="7"/>
      <c r="BH110" s="7"/>
      <c r="BI110" s="13"/>
      <c r="BJ110" s="13"/>
      <c r="BK110" s="7"/>
      <c r="BL110" s="7"/>
    </row>
    <row r="111" spans="1:64">
      <c r="A111" s="7"/>
      <c r="B111" s="7"/>
      <c r="C111" s="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7"/>
      <c r="AD111" s="7"/>
      <c r="AE111" s="7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7"/>
      <c r="BE111" s="7"/>
      <c r="BF111" s="7"/>
      <c r="BG111" s="7"/>
      <c r="BH111" s="7"/>
      <c r="BI111" s="13"/>
      <c r="BJ111" s="7"/>
      <c r="BK111" s="7"/>
      <c r="BL111" s="7"/>
    </row>
    <row r="112" spans="1:64">
      <c r="A112" s="7"/>
      <c r="B112" s="7"/>
      <c r="C112" s="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7"/>
      <c r="AD112" s="7"/>
      <c r="AE112" s="7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7"/>
      <c r="BE112" s="7"/>
      <c r="BF112" s="7"/>
      <c r="BG112" s="7"/>
      <c r="BH112" s="7"/>
      <c r="BI112" s="13"/>
      <c r="BJ112" s="7"/>
      <c r="BK112" s="7"/>
      <c r="BL112" s="7"/>
    </row>
    <row r="113" spans="1:64">
      <c r="A113" s="7"/>
      <c r="B113" s="7"/>
      <c r="C113" s="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7"/>
      <c r="AD113" s="7"/>
      <c r="AE113" s="7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7"/>
      <c r="BE113" s="7"/>
      <c r="BF113" s="7"/>
      <c r="BG113" s="7"/>
      <c r="BH113" s="7"/>
      <c r="BI113" s="7"/>
      <c r="BJ113" s="7"/>
      <c r="BK113" s="7"/>
      <c r="BL113" s="7"/>
    </row>
    <row r="114" spans="1:64">
      <c r="A114" s="7"/>
      <c r="B114" s="7"/>
      <c r="C114" s="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7"/>
      <c r="AD114" s="7"/>
      <c r="AE114" s="7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7"/>
      <c r="BE114" s="7"/>
      <c r="BF114" s="7"/>
      <c r="BG114" s="7"/>
      <c r="BH114" s="7"/>
      <c r="BI114" s="7"/>
      <c r="BJ114" s="7"/>
      <c r="BK114" s="7"/>
      <c r="BL114" s="7"/>
    </row>
    <row r="115" spans="1:64">
      <c r="A115" s="7"/>
      <c r="B115" s="7"/>
      <c r="C115" s="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7"/>
      <c r="AD115" s="7"/>
      <c r="AE115" s="7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7"/>
      <c r="BE115" s="7"/>
      <c r="BF115" s="7"/>
      <c r="BG115" s="7"/>
      <c r="BH115" s="7"/>
      <c r="BI115" s="7"/>
      <c r="BJ115" s="7"/>
      <c r="BK115" s="7"/>
      <c r="BL115" s="7"/>
    </row>
    <row r="116" spans="1:64">
      <c r="A116" s="7"/>
      <c r="B116" s="7"/>
      <c r="C116" s="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7"/>
      <c r="AD116" s="7"/>
      <c r="AE116" s="7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7"/>
      <c r="BE116" s="7"/>
      <c r="BF116" s="7"/>
      <c r="BG116" s="7"/>
      <c r="BH116" s="7"/>
      <c r="BI116" s="7"/>
      <c r="BJ116" s="7"/>
      <c r="BK116" s="7"/>
      <c r="BL116" s="7"/>
    </row>
    <row r="117" spans="1:64">
      <c r="A117" s="7"/>
      <c r="B117" s="7"/>
      <c r="C117" s="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7"/>
      <c r="AD117" s="7"/>
      <c r="AE117" s="7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7"/>
      <c r="BE117" s="7"/>
      <c r="BF117" s="7"/>
      <c r="BG117" s="7"/>
      <c r="BH117" s="7"/>
      <c r="BI117" s="7"/>
      <c r="BJ117" s="7"/>
      <c r="BK117" s="7"/>
      <c r="BL117" s="7"/>
    </row>
    <row r="118" spans="1:64">
      <c r="A118" s="7"/>
      <c r="B118" s="7"/>
      <c r="C118" s="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7"/>
      <c r="AD118" s="7"/>
      <c r="AE118" s="7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1:64">
      <c r="A119" s="7"/>
      <c r="B119" s="7"/>
      <c r="C119" s="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7"/>
      <c r="AD119" s="7"/>
      <c r="AE119" s="7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1:64">
      <c r="A120" s="7"/>
      <c r="B120" s="7"/>
      <c r="C120" s="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7"/>
      <c r="AD120" s="7"/>
      <c r="AE120" s="7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1:64">
      <c r="A121" s="7"/>
      <c r="B121" s="7"/>
      <c r="C121" s="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7"/>
      <c r="AD121" s="7"/>
      <c r="AE121" s="7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1:64">
      <c r="A122" s="7"/>
      <c r="B122" s="7"/>
      <c r="C122" s="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7"/>
      <c r="AD122" s="7"/>
      <c r="AE122" s="7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1:64">
      <c r="A123" s="7"/>
      <c r="B123" s="7"/>
      <c r="C123" s="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7"/>
      <c r="AD123" s="7"/>
      <c r="AE123" s="7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1:64">
      <c r="A124" s="7"/>
      <c r="B124" s="7"/>
      <c r="C124" s="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7"/>
      <c r="AD124" s="7"/>
      <c r="AE124" s="7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1:64">
      <c r="A125" s="7"/>
      <c r="B125" s="7"/>
      <c r="C125" s="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7"/>
      <c r="AD125" s="7"/>
      <c r="AE125" s="7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7"/>
      <c r="BE125" s="7"/>
      <c r="BF125" s="7"/>
      <c r="BG125" s="7"/>
      <c r="BH125" s="7"/>
      <c r="BI125" s="7"/>
      <c r="BJ125" s="7"/>
      <c r="BK125" s="7"/>
      <c r="BL125" s="7"/>
    </row>
    <row r="126" spans="1:64">
      <c r="A126" s="7"/>
      <c r="B126" s="7"/>
      <c r="C126" s="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7"/>
      <c r="AD126" s="7"/>
      <c r="AE126" s="7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7"/>
      <c r="BE126" s="7"/>
      <c r="BF126" s="7"/>
      <c r="BG126" s="7"/>
      <c r="BH126" s="7"/>
      <c r="BI126" s="7"/>
      <c r="BJ126" s="7"/>
      <c r="BK126" s="7"/>
      <c r="BL126" s="7"/>
    </row>
    <row r="127" spans="1:64">
      <c r="A127" s="7"/>
      <c r="B127" s="7"/>
      <c r="C127" s="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7"/>
      <c r="AD127" s="7"/>
      <c r="AE127" s="7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7"/>
      <c r="BE127" s="7"/>
      <c r="BF127" s="7"/>
      <c r="BG127" s="7"/>
      <c r="BH127" s="7"/>
      <c r="BI127" s="7"/>
      <c r="BJ127" s="7"/>
      <c r="BK127" s="7"/>
      <c r="BL127" s="7"/>
    </row>
    <row r="128" spans="1:64">
      <c r="A128" s="7"/>
      <c r="B128" s="7"/>
      <c r="C128" s="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7"/>
      <c r="AD128" s="7"/>
      <c r="AE128" s="7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7"/>
      <c r="BE128" s="7"/>
      <c r="BF128" s="7"/>
      <c r="BG128" s="7"/>
      <c r="BH128" s="7"/>
      <c r="BI128" s="7"/>
      <c r="BJ128" s="7"/>
      <c r="BK128" s="7"/>
      <c r="BL128" s="7"/>
    </row>
    <row r="129" spans="1:64">
      <c r="A129" s="7"/>
      <c r="B129" s="7"/>
      <c r="C129" s="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7"/>
      <c r="AD129" s="7"/>
      <c r="AE129" s="7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7"/>
      <c r="BE129" s="7"/>
      <c r="BF129" s="7"/>
      <c r="BG129" s="7"/>
      <c r="BH129" s="7"/>
      <c r="BI129" s="7"/>
      <c r="BJ129" s="7"/>
      <c r="BK129" s="7"/>
      <c r="BL129" s="7"/>
    </row>
    <row r="130" spans="1:64">
      <c r="A130" s="7"/>
      <c r="B130" s="7"/>
      <c r="C130" s="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7"/>
      <c r="AD130" s="7"/>
      <c r="AE130" s="7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7"/>
      <c r="BE130" s="7"/>
      <c r="BF130" s="7"/>
      <c r="BG130" s="7"/>
      <c r="BH130" s="7"/>
      <c r="BI130" s="7"/>
      <c r="BJ130" s="7"/>
      <c r="BK130" s="7"/>
      <c r="BL130" s="7"/>
    </row>
    <row r="131" spans="1:64">
      <c r="A131" s="7"/>
      <c r="B131" s="7"/>
      <c r="C131" s="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7"/>
      <c r="AD131" s="7"/>
      <c r="AE131" s="7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7"/>
      <c r="BE131" s="7"/>
      <c r="BF131" s="7"/>
      <c r="BG131" s="7"/>
      <c r="BH131" s="7"/>
      <c r="BI131" s="7"/>
      <c r="BJ131" s="7"/>
      <c r="BK131" s="7"/>
      <c r="BL131" s="7"/>
    </row>
    <row r="132" spans="1:64">
      <c r="A132" s="7"/>
      <c r="B132" s="7"/>
      <c r="C132" s="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7"/>
      <c r="AD132" s="7"/>
      <c r="AE132" s="7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7"/>
      <c r="BE132" s="7"/>
      <c r="BF132" s="7"/>
      <c r="BG132" s="7"/>
      <c r="BH132" s="7"/>
      <c r="BI132" s="7"/>
      <c r="BJ132" s="7"/>
      <c r="BK132" s="7"/>
      <c r="BL132" s="7"/>
    </row>
    <row r="133" spans="1:64">
      <c r="A133" s="7"/>
      <c r="B133" s="7"/>
      <c r="C133" s="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7"/>
      <c r="AD133" s="7"/>
      <c r="AE133" s="7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7"/>
      <c r="BE133" s="7"/>
      <c r="BF133" s="7"/>
      <c r="BG133" s="7"/>
      <c r="BH133" s="7"/>
      <c r="BI133" s="7"/>
      <c r="BJ133" s="7"/>
      <c r="BK133" s="7"/>
      <c r="BL133" s="7"/>
    </row>
    <row r="134" spans="1:64">
      <c r="A134" s="7"/>
      <c r="B134" s="7"/>
      <c r="C134" s="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7"/>
      <c r="AD134" s="7"/>
      <c r="AE134" s="7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7"/>
      <c r="BE134" s="7"/>
      <c r="BF134" s="7"/>
      <c r="BG134" s="7"/>
      <c r="BH134" s="7"/>
      <c r="BI134" s="7"/>
      <c r="BJ134" s="7"/>
      <c r="BK134" s="7"/>
      <c r="BL134" s="7"/>
    </row>
    <row r="135" spans="1:64">
      <c r="A135" s="7"/>
      <c r="B135" s="7"/>
      <c r="C135" s="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7"/>
      <c r="AD135" s="7"/>
      <c r="AE135" s="7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7"/>
      <c r="BE135" s="7"/>
      <c r="BF135" s="7"/>
      <c r="BG135" s="7"/>
      <c r="BH135" s="7"/>
      <c r="BI135" s="7"/>
      <c r="BJ135" s="7"/>
      <c r="BK135" s="7"/>
      <c r="BL135" s="7"/>
    </row>
    <row r="136" spans="1:64">
      <c r="A136" s="7"/>
      <c r="B136" s="7"/>
      <c r="C136" s="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7"/>
      <c r="AD136" s="7"/>
      <c r="AE136" s="7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7"/>
      <c r="BE136" s="7"/>
      <c r="BF136" s="7"/>
      <c r="BG136" s="7"/>
      <c r="BH136" s="7"/>
      <c r="BI136" s="7"/>
      <c r="BJ136" s="7"/>
      <c r="BK136" s="7"/>
      <c r="BL136" s="7"/>
    </row>
    <row r="137" spans="1:64">
      <c r="A137" s="7"/>
      <c r="B137" s="7"/>
      <c r="C137" s="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7"/>
      <c r="AD137" s="7"/>
      <c r="AE137" s="7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7"/>
      <c r="BE137" s="7"/>
      <c r="BF137" s="7"/>
      <c r="BG137" s="7"/>
      <c r="BH137" s="7"/>
      <c r="BI137" s="7"/>
      <c r="BJ137" s="7"/>
      <c r="BK137" s="7"/>
      <c r="BL137" s="7"/>
    </row>
    <row r="138" spans="1:64">
      <c r="A138" s="7"/>
      <c r="B138" s="7"/>
      <c r="C138" s="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7"/>
      <c r="AD138" s="7"/>
      <c r="AE138" s="7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7"/>
      <c r="BE138" s="7"/>
      <c r="BF138" s="7"/>
      <c r="BG138" s="7"/>
      <c r="BH138" s="7"/>
      <c r="BI138" s="7"/>
      <c r="BJ138" s="7"/>
      <c r="BK138" s="7"/>
      <c r="BL138" s="7"/>
    </row>
    <row r="139" spans="1:64">
      <c r="A139" s="7"/>
      <c r="B139" s="7"/>
      <c r="C139" s="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7"/>
      <c r="AD139" s="7"/>
      <c r="AE139" s="7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7"/>
      <c r="BE139" s="7"/>
      <c r="BF139" s="7"/>
      <c r="BG139" s="7"/>
      <c r="BH139" s="7"/>
      <c r="BI139" s="7"/>
      <c r="BJ139" s="7"/>
      <c r="BK139" s="7"/>
      <c r="BL139" s="7"/>
    </row>
    <row r="140" spans="1:64">
      <c r="A140" s="7"/>
      <c r="B140" s="7"/>
      <c r="C140" s="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7"/>
      <c r="AD140" s="7"/>
      <c r="AE140" s="7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7"/>
      <c r="BE140" s="7"/>
      <c r="BF140" s="7"/>
      <c r="BG140" s="7"/>
      <c r="BH140" s="7"/>
      <c r="BI140" s="7"/>
      <c r="BJ140" s="7"/>
      <c r="BK140" s="7"/>
      <c r="BL140" s="7"/>
    </row>
    <row r="141" spans="1:64">
      <c r="A141" s="7"/>
      <c r="B141" s="7"/>
      <c r="C141" s="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7"/>
      <c r="AD141" s="7"/>
      <c r="AE141" s="7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7"/>
      <c r="BE141" s="7"/>
      <c r="BF141" s="7"/>
      <c r="BG141" s="7"/>
      <c r="BH141" s="7"/>
      <c r="BI141" s="7"/>
      <c r="BJ141" s="7"/>
      <c r="BK141" s="7"/>
      <c r="BL141" s="7"/>
    </row>
    <row r="142" spans="1:64">
      <c r="A142" s="7"/>
      <c r="B142" s="7"/>
      <c r="C142" s="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7"/>
      <c r="AD142" s="7"/>
      <c r="AE142" s="7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7"/>
      <c r="BE142" s="7"/>
      <c r="BF142" s="7"/>
      <c r="BG142" s="7"/>
      <c r="BH142" s="7"/>
      <c r="BI142" s="7"/>
      <c r="BJ142" s="7"/>
      <c r="BK142" s="7"/>
      <c r="BL142" s="7"/>
    </row>
    <row r="143" spans="1:64">
      <c r="A143" s="7"/>
      <c r="B143" s="7"/>
      <c r="C143" s="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7"/>
      <c r="AD143" s="7"/>
      <c r="AE143" s="7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7"/>
      <c r="BE143" s="7"/>
      <c r="BF143" s="7"/>
      <c r="BG143" s="7"/>
      <c r="BH143" s="7"/>
      <c r="BI143" s="7"/>
      <c r="BJ143" s="7"/>
      <c r="BK143" s="7"/>
      <c r="BL143" s="7"/>
    </row>
    <row r="144" spans="1:64">
      <c r="A144" s="7"/>
      <c r="B144" s="7"/>
      <c r="C144" s="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7"/>
      <c r="AD144" s="7"/>
      <c r="AE144" s="7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7"/>
      <c r="BE144" s="7"/>
      <c r="BF144" s="7"/>
      <c r="BG144" s="7"/>
      <c r="BH144" s="7"/>
      <c r="BI144" s="7"/>
      <c r="BJ144" s="7"/>
      <c r="BK144" s="7"/>
      <c r="BL144" s="7"/>
    </row>
    <row r="145" spans="1:64">
      <c r="A145" s="7"/>
      <c r="B145" s="7"/>
      <c r="C145" s="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7"/>
      <c r="AD145" s="7"/>
      <c r="AE145" s="7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7"/>
      <c r="BE145" s="7"/>
      <c r="BF145" s="7"/>
      <c r="BG145" s="7"/>
      <c r="BH145" s="7"/>
      <c r="BI145" s="7"/>
      <c r="BJ145" s="7"/>
      <c r="BK145" s="7"/>
      <c r="BL145" s="7"/>
    </row>
    <row r="146" spans="1:64">
      <c r="A146" s="7"/>
      <c r="B146" s="7"/>
      <c r="C146" s="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7"/>
      <c r="AD146" s="7"/>
      <c r="AE146" s="7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7"/>
      <c r="BE146" s="7"/>
      <c r="BF146" s="7"/>
      <c r="BG146" s="7"/>
      <c r="BH146" s="7"/>
      <c r="BI146" s="7"/>
      <c r="BJ146" s="7"/>
      <c r="BK146" s="7"/>
      <c r="BL146" s="7"/>
    </row>
    <row r="147" spans="1:64">
      <c r="A147" s="7"/>
      <c r="B147" s="7"/>
      <c r="C147" s="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7"/>
      <c r="AD147" s="7"/>
      <c r="AE147" s="7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7"/>
      <c r="BE147" s="7"/>
      <c r="BF147" s="7"/>
      <c r="BG147" s="7"/>
      <c r="BH147" s="7"/>
      <c r="BI147" s="7"/>
      <c r="BJ147" s="7"/>
      <c r="BK147" s="7"/>
      <c r="BL147" s="7"/>
    </row>
    <row r="148" spans="1:64">
      <c r="A148" s="7"/>
      <c r="B148" s="7"/>
      <c r="C148" s="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7"/>
      <c r="AD148" s="7"/>
      <c r="AE148" s="7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7"/>
      <c r="BE148" s="7"/>
      <c r="BF148" s="7"/>
      <c r="BG148" s="7"/>
      <c r="BH148" s="7"/>
      <c r="BI148" s="7"/>
      <c r="BJ148" s="7"/>
      <c r="BK148" s="7"/>
      <c r="BL148" s="7"/>
    </row>
    <row r="149" spans="1:64">
      <c r="A149" s="7"/>
      <c r="B149" s="7"/>
      <c r="C149" s="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7"/>
      <c r="AD149" s="7"/>
      <c r="AE149" s="7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7"/>
      <c r="BE149" s="7"/>
      <c r="BF149" s="7"/>
      <c r="BG149" s="7"/>
      <c r="BH149" s="7"/>
      <c r="BI149" s="7"/>
      <c r="BJ149" s="7"/>
      <c r="BK149" s="7"/>
      <c r="BL149" s="7"/>
    </row>
    <row r="150" spans="1:64">
      <c r="A150" s="7"/>
      <c r="B150" s="7"/>
      <c r="C150" s="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7"/>
      <c r="AD150" s="7"/>
      <c r="AE150" s="7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7"/>
      <c r="BE150" s="7"/>
      <c r="BF150" s="7"/>
      <c r="BG150" s="7"/>
      <c r="BH150" s="7"/>
      <c r="BI150" s="7"/>
      <c r="BJ150" s="7"/>
      <c r="BK150" s="7"/>
      <c r="BL150" s="7"/>
    </row>
    <row r="151" spans="1:64">
      <c r="A151" s="7"/>
      <c r="B151" s="7"/>
      <c r="C151" s="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7"/>
      <c r="AD151" s="7"/>
      <c r="AE151" s="7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7"/>
      <c r="BE151" s="7"/>
      <c r="BF151" s="7"/>
      <c r="BG151" s="7"/>
      <c r="BH151" s="7"/>
      <c r="BI151" s="7"/>
      <c r="BJ151" s="7"/>
      <c r="BK151" s="7"/>
      <c r="BL151" s="7"/>
    </row>
    <row r="152" spans="1:64">
      <c r="A152" s="7"/>
      <c r="B152" s="7"/>
      <c r="C152" s="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7"/>
      <c r="AD152" s="7"/>
      <c r="AE152" s="7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7"/>
      <c r="BE152" s="7"/>
      <c r="BF152" s="7"/>
      <c r="BG152" s="7"/>
      <c r="BH152" s="7"/>
      <c r="BI152" s="7"/>
      <c r="BJ152" s="7"/>
      <c r="BK152" s="7"/>
      <c r="BL152" s="7"/>
    </row>
    <row r="153" spans="1:64">
      <c r="A153" s="7"/>
      <c r="B153" s="7"/>
      <c r="C153" s="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7"/>
      <c r="AD153" s="7"/>
      <c r="AE153" s="7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7"/>
      <c r="BE153" s="7"/>
      <c r="BF153" s="7"/>
      <c r="BG153" s="7"/>
      <c r="BH153" s="7"/>
      <c r="BI153" s="7"/>
      <c r="BJ153" s="7"/>
      <c r="BK153" s="7"/>
      <c r="BL153" s="7"/>
    </row>
    <row r="154" spans="1:64">
      <c r="A154" s="7"/>
      <c r="B154" s="7"/>
      <c r="C154" s="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7"/>
      <c r="AD154" s="7"/>
      <c r="AE154" s="7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7"/>
      <c r="BE154" s="7"/>
      <c r="BF154" s="7"/>
      <c r="BG154" s="7"/>
      <c r="BH154" s="7"/>
      <c r="BI154" s="7"/>
      <c r="BJ154" s="7"/>
      <c r="BK154" s="7"/>
      <c r="BL154" s="7"/>
    </row>
    <row r="155" spans="1:64">
      <c r="A155" s="7"/>
      <c r="B155" s="7"/>
      <c r="C155" s="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7"/>
      <c r="AD155" s="7"/>
      <c r="AE155" s="7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7"/>
      <c r="BE155" s="7"/>
      <c r="BF155" s="7"/>
      <c r="BG155" s="7"/>
      <c r="BH155" s="7"/>
      <c r="BI155" s="7"/>
      <c r="BJ155" s="7"/>
      <c r="BK155" s="7"/>
      <c r="BL155" s="7"/>
    </row>
    <row r="156" spans="1:64">
      <c r="A156" s="7"/>
      <c r="B156" s="7"/>
      <c r="C156" s="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7"/>
      <c r="AD156" s="7"/>
      <c r="AE156" s="7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7"/>
      <c r="BE156" s="7"/>
      <c r="BF156" s="7"/>
      <c r="BG156" s="7"/>
      <c r="BH156" s="7"/>
      <c r="BI156" s="7"/>
      <c r="BJ156" s="7"/>
      <c r="BK156" s="7"/>
      <c r="BL156" s="7"/>
    </row>
    <row r="157" spans="1:64">
      <c r="A157" s="7"/>
      <c r="B157" s="7"/>
      <c r="C157" s="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7"/>
      <c r="AD157" s="7"/>
      <c r="AE157" s="7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7"/>
      <c r="BE157" s="7"/>
      <c r="BF157" s="7"/>
      <c r="BG157" s="7"/>
      <c r="BH157" s="7"/>
      <c r="BI157" s="7"/>
      <c r="BJ157" s="7"/>
      <c r="BK157" s="7"/>
      <c r="BL157" s="7"/>
    </row>
    <row r="158" spans="1:64">
      <c r="A158" s="7"/>
      <c r="B158" s="7"/>
      <c r="C158" s="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7"/>
      <c r="AD158" s="7"/>
      <c r="AE158" s="7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7"/>
      <c r="BE158" s="7"/>
      <c r="BF158" s="7"/>
      <c r="BG158" s="7"/>
      <c r="BH158" s="7"/>
      <c r="BI158" s="7"/>
      <c r="BJ158" s="7"/>
      <c r="BK158" s="7"/>
      <c r="BL158" s="7"/>
    </row>
    <row r="159" spans="1:64">
      <c r="A159" s="7"/>
      <c r="B159" s="7"/>
      <c r="C159" s="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7"/>
      <c r="AD159" s="7"/>
      <c r="AE159" s="7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7"/>
      <c r="BE159" s="7"/>
      <c r="BF159" s="7"/>
      <c r="BG159" s="7"/>
      <c r="BH159" s="7"/>
      <c r="BI159" s="7"/>
      <c r="BJ159" s="7"/>
      <c r="BK159" s="7"/>
      <c r="BL159" s="7"/>
    </row>
    <row r="160" spans="1:64">
      <c r="A160" s="7"/>
      <c r="B160" s="7"/>
      <c r="C160" s="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7"/>
      <c r="AD160" s="7"/>
      <c r="AE160" s="7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7"/>
      <c r="BE160" s="7"/>
      <c r="BF160" s="7"/>
      <c r="BG160" s="7"/>
      <c r="BH160" s="7"/>
      <c r="BI160" s="7"/>
      <c r="BJ160" s="7"/>
      <c r="BK160" s="7"/>
      <c r="BL160" s="7"/>
    </row>
    <row r="161" spans="1:64">
      <c r="A161" s="7"/>
      <c r="B161" s="7"/>
      <c r="C161" s="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7"/>
      <c r="AD161" s="7"/>
      <c r="AE161" s="7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7"/>
      <c r="BE161" s="7"/>
      <c r="BF161" s="7"/>
      <c r="BG161" s="7"/>
      <c r="BH161" s="7"/>
      <c r="BI161" s="7"/>
      <c r="BJ161" s="7"/>
      <c r="BK161" s="7"/>
      <c r="BL161" s="7"/>
    </row>
    <row r="162" spans="1:64">
      <c r="A162" s="7"/>
      <c r="B162" s="7"/>
      <c r="C162" s="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7"/>
      <c r="AD162" s="7"/>
      <c r="AE162" s="7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7"/>
      <c r="BE162" s="7"/>
      <c r="BF162" s="7"/>
      <c r="BG162" s="7"/>
      <c r="BH162" s="7"/>
      <c r="BI162" s="7"/>
      <c r="BJ162" s="7"/>
      <c r="BK162" s="7"/>
      <c r="BL162" s="7"/>
    </row>
    <row r="163" spans="1:64">
      <c r="A163" s="7"/>
      <c r="B163" s="7"/>
      <c r="C163" s="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7"/>
      <c r="AD163" s="7"/>
      <c r="AE163" s="7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7"/>
      <c r="BE163" s="7"/>
      <c r="BF163" s="7"/>
      <c r="BG163" s="7"/>
      <c r="BH163" s="7"/>
      <c r="BI163" s="7"/>
      <c r="BJ163" s="7"/>
      <c r="BK163" s="7"/>
      <c r="BL163" s="7"/>
    </row>
    <row r="164" spans="1:64">
      <c r="A164" s="7"/>
      <c r="B164" s="7"/>
      <c r="C164" s="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7"/>
      <c r="AD164" s="7"/>
      <c r="AE164" s="7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7"/>
      <c r="BE164" s="7"/>
      <c r="BF164" s="7"/>
      <c r="BG164" s="7"/>
      <c r="BH164" s="7"/>
      <c r="BI164" s="7"/>
      <c r="BJ164" s="7"/>
      <c r="BK164" s="7"/>
      <c r="BL164" s="7"/>
    </row>
    <row r="165" spans="1:64">
      <c r="A165" s="7"/>
      <c r="B165" s="7"/>
      <c r="C165" s="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7"/>
      <c r="AD165" s="7"/>
      <c r="AE165" s="7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7"/>
      <c r="BE165" s="7"/>
      <c r="BF165" s="7"/>
      <c r="BG165" s="7"/>
      <c r="BH165" s="7"/>
      <c r="BI165" s="7"/>
      <c r="BJ165" s="7"/>
      <c r="BK165" s="7"/>
      <c r="BL165" s="7"/>
    </row>
    <row r="166" spans="1:64">
      <c r="A166" s="7"/>
      <c r="B166" s="7"/>
      <c r="C166" s="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7"/>
      <c r="AD166" s="7"/>
      <c r="AE166" s="7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7"/>
      <c r="BE166" s="7"/>
      <c r="BF166" s="7"/>
      <c r="BG166" s="7"/>
      <c r="BH166" s="7"/>
      <c r="BI166" s="7"/>
      <c r="BJ166" s="7"/>
      <c r="BK166" s="7"/>
      <c r="BL166" s="7"/>
    </row>
    <row r="167" spans="1:64">
      <c r="A167" s="7"/>
      <c r="B167" s="7"/>
      <c r="C167" s="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7"/>
      <c r="AD167" s="7"/>
      <c r="AE167" s="7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7"/>
      <c r="BE167" s="7"/>
      <c r="BF167" s="7"/>
      <c r="BG167" s="7"/>
      <c r="BH167" s="7"/>
      <c r="BI167" s="7"/>
      <c r="BJ167" s="7"/>
      <c r="BK167" s="7"/>
      <c r="BL167" s="7"/>
    </row>
    <row r="168" spans="1:64">
      <c r="A168" s="7"/>
      <c r="B168" s="7"/>
      <c r="C168" s="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7"/>
      <c r="AD168" s="7"/>
      <c r="AE168" s="7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1:64">
      <c r="A169" s="7"/>
      <c r="B169" s="7"/>
      <c r="C169" s="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7"/>
      <c r="AD169" s="7"/>
      <c r="AE169" s="7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7"/>
      <c r="BE169" s="7"/>
      <c r="BF169" s="7"/>
      <c r="BG169" s="7"/>
      <c r="BH169" s="7"/>
      <c r="BI169" s="7"/>
      <c r="BJ169" s="7"/>
      <c r="BK169" s="7"/>
      <c r="BL169" s="7"/>
    </row>
    <row r="170" spans="1:64">
      <c r="A170" s="7"/>
      <c r="B170" s="7"/>
      <c r="C170" s="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7"/>
      <c r="AD170" s="7"/>
      <c r="AE170" s="7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1:64">
      <c r="A171" s="7"/>
      <c r="B171" s="7"/>
      <c r="C171" s="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7"/>
      <c r="AD171" s="7"/>
      <c r="AE171" s="7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1:64">
      <c r="A172" s="7"/>
      <c r="B172" s="7"/>
      <c r="C172" s="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7"/>
      <c r="AD172" s="7"/>
      <c r="AE172" s="7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>
      <c r="A173" s="7"/>
      <c r="B173" s="7"/>
      <c r="C173" s="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7"/>
      <c r="AD173" s="7"/>
      <c r="AE173" s="7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7"/>
      <c r="BE173" s="7"/>
      <c r="BF173" s="7"/>
      <c r="BG173" s="7"/>
      <c r="BH173" s="7"/>
      <c r="BI173" s="7"/>
      <c r="BJ173" s="7"/>
      <c r="BK173" s="7"/>
      <c r="BL173" s="7"/>
    </row>
    <row r="174" spans="1:64">
      <c r="A174" s="7"/>
      <c r="B174" s="7"/>
      <c r="C174" s="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7"/>
      <c r="AD174" s="7"/>
      <c r="AE174" s="7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7"/>
      <c r="BE174" s="7"/>
      <c r="BF174" s="7"/>
      <c r="BG174" s="7"/>
      <c r="BH174" s="7"/>
      <c r="BI174" s="7"/>
      <c r="BJ174" s="7"/>
      <c r="BK174" s="7"/>
      <c r="BL174" s="7"/>
    </row>
    <row r="175" spans="1:64">
      <c r="A175" s="7"/>
      <c r="B175" s="7"/>
      <c r="C175" s="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7"/>
      <c r="AD175" s="7"/>
      <c r="AE175" s="7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7"/>
      <c r="BE175" s="7"/>
      <c r="BF175" s="7"/>
      <c r="BG175" s="7"/>
      <c r="BH175" s="7"/>
      <c r="BI175" s="7"/>
      <c r="BJ175" s="7"/>
      <c r="BK175" s="7"/>
      <c r="BL175" s="7"/>
    </row>
    <row r="176" spans="1:64">
      <c r="A176" s="7"/>
      <c r="B176" s="7"/>
      <c r="C176" s="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7"/>
      <c r="AD176" s="7"/>
      <c r="AE176" s="7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7"/>
      <c r="BE176" s="7"/>
      <c r="BF176" s="7"/>
      <c r="BG176" s="7"/>
      <c r="BH176" s="7"/>
      <c r="BI176" s="7"/>
      <c r="BJ176" s="7"/>
      <c r="BK176" s="7"/>
      <c r="BL176" s="7"/>
    </row>
    <row r="177" spans="1:64">
      <c r="A177" s="7"/>
      <c r="B177" s="7"/>
      <c r="C177" s="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7"/>
      <c r="AD177" s="7"/>
      <c r="AE177" s="7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7"/>
      <c r="BE177" s="7"/>
      <c r="BF177" s="7"/>
      <c r="BG177" s="7"/>
      <c r="BH177" s="7"/>
      <c r="BI177" s="7"/>
      <c r="BJ177" s="7"/>
      <c r="BK177" s="7"/>
      <c r="BL177" s="7"/>
    </row>
    <row r="178" spans="1:64">
      <c r="A178" s="7"/>
      <c r="B178" s="7"/>
      <c r="C178" s="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7"/>
      <c r="AD178" s="7"/>
      <c r="AE178" s="7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7"/>
      <c r="BE178" s="7"/>
      <c r="BF178" s="7"/>
      <c r="BG178" s="7"/>
      <c r="BH178" s="7"/>
      <c r="BI178" s="7"/>
      <c r="BJ178" s="7"/>
      <c r="BK178" s="7"/>
      <c r="BL178" s="7"/>
    </row>
    <row r="179" spans="1:64">
      <c r="A179" s="7"/>
      <c r="B179" s="7"/>
      <c r="C179" s="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7"/>
      <c r="AD179" s="7"/>
      <c r="AE179" s="7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1:64">
      <c r="A180" s="7"/>
      <c r="B180" s="7"/>
      <c r="C180" s="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7"/>
      <c r="AD180" s="7"/>
      <c r="AE180" s="7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7"/>
      <c r="BE180" s="7"/>
      <c r="BF180" s="7"/>
      <c r="BG180" s="7"/>
      <c r="BH180" s="7"/>
      <c r="BI180" s="7"/>
      <c r="BJ180" s="7"/>
      <c r="BK180" s="7"/>
      <c r="BL180" s="7"/>
    </row>
    <row r="181" spans="1:64">
      <c r="A181" s="7"/>
      <c r="B181" s="7"/>
      <c r="C181" s="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7"/>
      <c r="AD181" s="7"/>
      <c r="AE181" s="7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7"/>
      <c r="BE181" s="7"/>
      <c r="BF181" s="7"/>
      <c r="BG181" s="7"/>
      <c r="BH181" s="7"/>
      <c r="BI181" s="7"/>
      <c r="BJ181" s="7"/>
      <c r="BK181" s="7"/>
      <c r="BL181" s="7"/>
    </row>
    <row r="182" spans="1:64">
      <c r="A182" s="7"/>
      <c r="B182" s="7"/>
      <c r="C182" s="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7"/>
      <c r="AD182" s="7"/>
      <c r="AE182" s="7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7"/>
      <c r="BE182" s="7"/>
      <c r="BF182" s="7"/>
      <c r="BG182" s="7"/>
      <c r="BH182" s="7"/>
      <c r="BI182" s="7"/>
      <c r="BJ182" s="7"/>
      <c r="BK182" s="7"/>
      <c r="BL182" s="7"/>
    </row>
    <row r="183" spans="1:64">
      <c r="A183" s="7"/>
      <c r="B183" s="7"/>
      <c r="C183" s="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7"/>
      <c r="AD183" s="7"/>
      <c r="AE183" s="7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7"/>
      <c r="BE183" s="7"/>
      <c r="BF183" s="7"/>
      <c r="BG183" s="7"/>
      <c r="BH183" s="7"/>
      <c r="BI183" s="7"/>
      <c r="BJ183" s="7"/>
      <c r="BK183" s="7"/>
      <c r="BL183" s="7"/>
    </row>
    <row r="184" spans="1:64">
      <c r="A184" s="7"/>
      <c r="B184" s="7"/>
      <c r="C184" s="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7"/>
      <c r="AD184" s="7"/>
      <c r="AE184" s="7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7"/>
      <c r="BE184" s="7"/>
      <c r="BF184" s="7"/>
      <c r="BG184" s="7"/>
      <c r="BH184" s="7"/>
      <c r="BI184" s="7"/>
      <c r="BJ184" s="7"/>
      <c r="BK184" s="7"/>
      <c r="BL184" s="7"/>
    </row>
    <row r="185" spans="1:64">
      <c r="A185" s="7"/>
      <c r="B185" s="7"/>
      <c r="C185" s="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7"/>
      <c r="AD185" s="7"/>
      <c r="AE185" s="7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7"/>
      <c r="BE185" s="7"/>
      <c r="BF185" s="7"/>
      <c r="BG185" s="7"/>
      <c r="BH185" s="7"/>
      <c r="BI185" s="7"/>
      <c r="BJ185" s="7"/>
      <c r="BK185" s="7"/>
      <c r="BL185" s="7"/>
    </row>
    <row r="186" spans="1:64">
      <c r="A186" s="7"/>
      <c r="B186" s="7"/>
      <c r="C186" s="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7"/>
      <c r="AD186" s="7"/>
      <c r="AE186" s="7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7"/>
      <c r="BE186" s="7"/>
      <c r="BF186" s="7"/>
      <c r="BG186" s="7"/>
      <c r="BH186" s="7"/>
      <c r="BI186" s="7"/>
      <c r="BJ186" s="7"/>
      <c r="BK186" s="7"/>
      <c r="BL186" s="7"/>
    </row>
    <row r="187" spans="1:64">
      <c r="A187" s="7"/>
      <c r="B187" s="7"/>
      <c r="C187" s="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7"/>
      <c r="AD187" s="7"/>
      <c r="AE187" s="7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7"/>
      <c r="BE187" s="7"/>
      <c r="BF187" s="7"/>
      <c r="BG187" s="7"/>
      <c r="BH187" s="7"/>
      <c r="BI187" s="7"/>
      <c r="BJ187" s="7"/>
      <c r="BK187" s="7"/>
      <c r="BL187" s="7"/>
    </row>
    <row r="188" spans="1:64">
      <c r="A188" s="7"/>
      <c r="B188" s="7"/>
      <c r="C188" s="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7"/>
      <c r="AD188" s="7"/>
      <c r="AE188" s="7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7"/>
      <c r="BE188" s="7"/>
      <c r="BF188" s="7"/>
      <c r="BG188" s="7"/>
      <c r="BH188" s="7"/>
      <c r="BI188" s="7"/>
      <c r="BJ188" s="7"/>
      <c r="BK188" s="7"/>
      <c r="BL188" s="7"/>
    </row>
    <row r="189" spans="1:64">
      <c r="A189" s="7"/>
      <c r="B189" s="7"/>
      <c r="C189" s="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7"/>
      <c r="AD189" s="7"/>
      <c r="AE189" s="7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7"/>
      <c r="BE189" s="7"/>
      <c r="BF189" s="7"/>
      <c r="BG189" s="7"/>
      <c r="BH189" s="7"/>
      <c r="BI189" s="7"/>
      <c r="BJ189" s="7"/>
      <c r="BK189" s="7"/>
      <c r="BL189" s="7"/>
    </row>
    <row r="190" spans="1:64">
      <c r="A190" s="7"/>
      <c r="B190" s="7"/>
      <c r="C190" s="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7"/>
      <c r="AD190" s="7"/>
      <c r="AE190" s="7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7"/>
      <c r="BE190" s="7"/>
      <c r="BF190" s="7"/>
      <c r="BG190" s="7"/>
      <c r="BH190" s="7"/>
      <c r="BI190" s="7"/>
      <c r="BJ190" s="7"/>
      <c r="BK190" s="7"/>
      <c r="BL190" s="7"/>
    </row>
    <row r="191" spans="1:64">
      <c r="A191" s="7"/>
      <c r="B191" s="7"/>
      <c r="C191" s="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7"/>
      <c r="AD191" s="7"/>
      <c r="AE191" s="7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7"/>
      <c r="BE191" s="7"/>
      <c r="BF191" s="7"/>
      <c r="BG191" s="7"/>
      <c r="BH191" s="7"/>
      <c r="BI191" s="7"/>
      <c r="BJ191" s="7"/>
      <c r="BK191" s="7"/>
      <c r="BL191" s="7"/>
    </row>
    <row r="192" spans="1:64">
      <c r="A192" s="7"/>
      <c r="B192" s="7"/>
      <c r="C192" s="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7"/>
      <c r="AD192" s="7"/>
      <c r="AE192" s="7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1:64">
      <c r="A193" s="7"/>
      <c r="B193" s="7"/>
      <c r="C193" s="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7"/>
      <c r="AD193" s="7"/>
      <c r="AE193" s="7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1:64">
      <c r="A194" s="7"/>
      <c r="B194" s="7"/>
      <c r="C194" s="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7"/>
      <c r="AD194" s="7"/>
      <c r="AE194" s="7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1:64">
      <c r="A195" s="7"/>
      <c r="B195" s="7"/>
      <c r="C195" s="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7"/>
      <c r="AD195" s="7"/>
      <c r="AE195" s="7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7"/>
      <c r="BE195" s="7"/>
      <c r="BF195" s="7"/>
      <c r="BG195" s="7"/>
      <c r="BH195" s="7"/>
      <c r="BI195" s="7"/>
      <c r="BJ195" s="7"/>
      <c r="BK195" s="7"/>
      <c r="BL195" s="7"/>
    </row>
    <row r="196" spans="1:64">
      <c r="A196" s="7"/>
      <c r="B196" s="7"/>
      <c r="C196" s="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7"/>
      <c r="AD196" s="7"/>
      <c r="AE196" s="7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7"/>
      <c r="BE196" s="7"/>
      <c r="BF196" s="7"/>
      <c r="BG196" s="7"/>
      <c r="BH196" s="7"/>
      <c r="BI196" s="7"/>
      <c r="BJ196" s="7"/>
      <c r="BK196" s="7"/>
      <c r="BL196" s="7"/>
    </row>
    <row r="197" spans="1:64">
      <c r="A197" s="7"/>
      <c r="B197" s="7"/>
      <c r="C197" s="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7"/>
      <c r="AD197" s="7"/>
      <c r="AE197" s="7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7"/>
      <c r="BE197" s="7"/>
      <c r="BF197" s="7"/>
      <c r="BG197" s="7"/>
      <c r="BH197" s="7"/>
      <c r="BI197" s="7"/>
      <c r="BJ197" s="7"/>
      <c r="BK197" s="7"/>
      <c r="BL197" s="7"/>
    </row>
    <row r="198" spans="1:64">
      <c r="A198" s="7"/>
      <c r="B198" s="7"/>
      <c r="C198" s="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7"/>
      <c r="AD198" s="7"/>
      <c r="AE198" s="7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7"/>
      <c r="BE198" s="7"/>
      <c r="BF198" s="7"/>
      <c r="BG198" s="7"/>
      <c r="BH198" s="7"/>
      <c r="BI198" s="7"/>
      <c r="BJ198" s="7"/>
      <c r="BK198" s="7"/>
      <c r="BL198" s="7"/>
    </row>
    <row r="199" spans="1:64">
      <c r="A199" s="7"/>
      <c r="B199" s="7"/>
      <c r="C199" s="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7"/>
      <c r="AD199" s="7"/>
      <c r="AE199" s="7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7"/>
      <c r="BE199" s="7"/>
      <c r="BF199" s="7"/>
      <c r="BG199" s="7"/>
      <c r="BH199" s="7"/>
      <c r="BI199" s="7"/>
      <c r="BJ199" s="7"/>
      <c r="BK199" s="7"/>
      <c r="BL199" s="7"/>
    </row>
    <row r="200" spans="1:64">
      <c r="A200" s="7"/>
      <c r="B200" s="7"/>
      <c r="C200" s="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7"/>
      <c r="AD200" s="7"/>
      <c r="AE200" s="7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7"/>
      <c r="BE200" s="7"/>
      <c r="BF200" s="7"/>
      <c r="BG200" s="7"/>
      <c r="BH200" s="7"/>
      <c r="BI200" s="7"/>
      <c r="BJ200" s="7"/>
      <c r="BK200" s="7"/>
      <c r="BL200" s="7"/>
    </row>
    <row r="201" spans="1:64">
      <c r="A201" s="7"/>
      <c r="B201" s="7"/>
      <c r="C201" s="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7"/>
      <c r="AD201" s="7"/>
      <c r="AE201" s="7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7"/>
      <c r="BE201" s="7"/>
      <c r="BF201" s="7"/>
      <c r="BG201" s="7"/>
      <c r="BH201" s="7"/>
      <c r="BI201" s="7"/>
      <c r="BJ201" s="7"/>
      <c r="BK201" s="7"/>
      <c r="BL201" s="7"/>
    </row>
    <row r="202" spans="1:64">
      <c r="A202" s="7"/>
      <c r="B202" s="7"/>
      <c r="C202" s="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7"/>
      <c r="AD202" s="7"/>
      <c r="AE202" s="7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7"/>
      <c r="BE202" s="7"/>
      <c r="BF202" s="7"/>
      <c r="BG202" s="7"/>
      <c r="BH202" s="7"/>
      <c r="BI202" s="7"/>
      <c r="BJ202" s="7"/>
      <c r="BK202" s="7"/>
      <c r="BL202" s="7"/>
    </row>
    <row r="203" spans="1:64">
      <c r="A203" s="7"/>
      <c r="B203" s="7"/>
      <c r="C203" s="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7"/>
      <c r="AD203" s="7"/>
      <c r="AE203" s="7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7"/>
      <c r="BE203" s="7"/>
      <c r="BF203" s="7"/>
      <c r="BG203" s="7"/>
      <c r="BH203" s="7"/>
      <c r="BI203" s="7"/>
      <c r="BJ203" s="7"/>
      <c r="BK203" s="7"/>
      <c r="BL203" s="7"/>
    </row>
    <row r="204" spans="1:64">
      <c r="A204" s="7"/>
      <c r="B204" s="7"/>
      <c r="C204" s="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7"/>
      <c r="AD204" s="7"/>
      <c r="AE204" s="7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7"/>
      <c r="BE204" s="7"/>
      <c r="BF204" s="7"/>
      <c r="BG204" s="7"/>
      <c r="BH204" s="7"/>
      <c r="BI204" s="7"/>
      <c r="BJ204" s="7"/>
      <c r="BK204" s="7"/>
      <c r="BL204" s="7"/>
    </row>
    <row r="205" spans="1:64">
      <c r="A205" s="7"/>
      <c r="B205" s="7"/>
      <c r="C205" s="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7"/>
      <c r="AD205" s="7"/>
      <c r="AE205" s="7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7"/>
      <c r="BE205" s="7"/>
      <c r="BF205" s="7"/>
      <c r="BG205" s="7"/>
      <c r="BH205" s="7"/>
      <c r="BI205" s="7"/>
      <c r="BJ205" s="7"/>
      <c r="BK205" s="7"/>
      <c r="BL205" s="7"/>
    </row>
    <row r="206" spans="1:64">
      <c r="A206" s="7"/>
      <c r="B206" s="7"/>
      <c r="C206" s="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7"/>
      <c r="AD206" s="7"/>
      <c r="AE206" s="7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7"/>
      <c r="BE206" s="7"/>
      <c r="BF206" s="7"/>
      <c r="BG206" s="7"/>
      <c r="BH206" s="7"/>
      <c r="BI206" s="7"/>
      <c r="BJ206" s="7"/>
      <c r="BK206" s="7"/>
      <c r="BL206" s="7"/>
    </row>
    <row r="207" spans="1:64">
      <c r="A207" s="7"/>
      <c r="B207" s="7"/>
      <c r="C207" s="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7"/>
      <c r="AD207" s="7"/>
      <c r="AE207" s="7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7"/>
      <c r="BE207" s="7"/>
      <c r="BF207" s="7"/>
      <c r="BG207" s="7"/>
      <c r="BH207" s="7"/>
      <c r="BI207" s="7"/>
      <c r="BJ207" s="7"/>
      <c r="BK207" s="7"/>
      <c r="BL207" s="7"/>
    </row>
    <row r="208" spans="1:64">
      <c r="A208" s="7"/>
      <c r="B208" s="7"/>
      <c r="C208" s="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7"/>
      <c r="AD208" s="7"/>
      <c r="AE208" s="7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7"/>
      <c r="BE208" s="7"/>
      <c r="BF208" s="7"/>
      <c r="BG208" s="7"/>
      <c r="BH208" s="7"/>
      <c r="BI208" s="7"/>
      <c r="BJ208" s="7"/>
      <c r="BK208" s="7"/>
      <c r="BL208" s="7"/>
    </row>
    <row r="209" spans="1:64">
      <c r="A209" s="7"/>
      <c r="B209" s="7"/>
      <c r="C209" s="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7"/>
      <c r="AD209" s="7"/>
      <c r="AE209" s="7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7"/>
      <c r="BE209" s="7"/>
      <c r="BF209" s="7"/>
      <c r="BG209" s="7"/>
      <c r="BH209" s="7"/>
      <c r="BI209" s="7"/>
      <c r="BJ209" s="7"/>
      <c r="BK209" s="7"/>
      <c r="BL209" s="7"/>
    </row>
    <row r="210" spans="1:64">
      <c r="A210" s="7"/>
      <c r="B210" s="7"/>
      <c r="C210" s="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7"/>
      <c r="AD210" s="7"/>
      <c r="AE210" s="7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7"/>
      <c r="BE210" s="7"/>
      <c r="BF210" s="7"/>
      <c r="BG210" s="7"/>
      <c r="BH210" s="7"/>
      <c r="BI210" s="7"/>
      <c r="BJ210" s="7"/>
      <c r="BK210" s="7"/>
      <c r="BL210" s="7"/>
    </row>
    <row r="211" spans="1:64">
      <c r="A211" s="7"/>
      <c r="B211" s="7"/>
      <c r="C211" s="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7"/>
      <c r="AD211" s="7"/>
      <c r="AE211" s="7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7"/>
      <c r="BE211" s="7"/>
      <c r="BF211" s="7"/>
      <c r="BG211" s="7"/>
      <c r="BH211" s="7"/>
      <c r="BI211" s="7"/>
      <c r="BJ211" s="7"/>
      <c r="BK211" s="7"/>
      <c r="BL211" s="7"/>
    </row>
    <row r="212" spans="1:64">
      <c r="A212" s="7"/>
      <c r="B212" s="7"/>
      <c r="C212" s="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7"/>
      <c r="AD212" s="7"/>
      <c r="AE212" s="7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7"/>
      <c r="BE212" s="7"/>
      <c r="BF212" s="7"/>
      <c r="BG212" s="7"/>
      <c r="BH212" s="7"/>
      <c r="BI212" s="7"/>
      <c r="BJ212" s="7"/>
      <c r="BK212" s="7"/>
      <c r="BL212" s="7"/>
    </row>
    <row r="213" spans="1:64">
      <c r="A213" s="7"/>
      <c r="B213" s="7"/>
      <c r="C213" s="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7"/>
      <c r="AD213" s="7"/>
      <c r="AE213" s="7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7"/>
      <c r="BE213" s="7"/>
      <c r="BF213" s="7"/>
      <c r="BG213" s="7"/>
      <c r="BH213" s="7"/>
      <c r="BI213" s="7"/>
      <c r="BJ213" s="7"/>
      <c r="BK213" s="7"/>
      <c r="BL213" s="7"/>
    </row>
    <row r="214" spans="1:64">
      <c r="A214" s="7"/>
      <c r="B214" s="7"/>
      <c r="C214" s="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7"/>
      <c r="AD214" s="7"/>
      <c r="AE214" s="7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7"/>
      <c r="BE214" s="7"/>
      <c r="BF214" s="7"/>
      <c r="BG214" s="7"/>
      <c r="BH214" s="7"/>
      <c r="BI214" s="7"/>
      <c r="BJ214" s="7"/>
      <c r="BK214" s="7"/>
      <c r="BL214" s="7"/>
    </row>
    <row r="215" spans="1:64">
      <c r="A215" s="7"/>
      <c r="B215" s="7"/>
      <c r="C215" s="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7"/>
      <c r="AD215" s="7"/>
      <c r="AE215" s="7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7"/>
      <c r="BE215" s="7"/>
      <c r="BF215" s="7"/>
      <c r="BG215" s="7"/>
      <c r="BH215" s="7"/>
      <c r="BI215" s="7"/>
      <c r="BJ215" s="7"/>
      <c r="BK215" s="7"/>
      <c r="BL215" s="7"/>
    </row>
    <row r="216" spans="1:64">
      <c r="A216" s="7"/>
      <c r="B216" s="7"/>
      <c r="C216" s="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7"/>
      <c r="AD216" s="7"/>
      <c r="AE216" s="7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7"/>
      <c r="BE216" s="7"/>
      <c r="BF216" s="7"/>
      <c r="BG216" s="7"/>
      <c r="BH216" s="7"/>
      <c r="BI216" s="7"/>
      <c r="BJ216" s="7"/>
      <c r="BK216" s="7"/>
      <c r="BL216" s="7"/>
    </row>
    <row r="217" spans="1:64">
      <c r="A217" s="7"/>
      <c r="B217" s="7"/>
      <c r="C217" s="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7"/>
      <c r="AD217" s="7"/>
      <c r="AE217" s="7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1:64">
      <c r="A218" s="7"/>
      <c r="B218" s="7"/>
      <c r="C218" s="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7"/>
      <c r="AD218" s="7"/>
      <c r="AE218" s="7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1:64">
      <c r="A219" s="7"/>
      <c r="B219" s="7"/>
      <c r="C219" s="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7"/>
      <c r="AD219" s="7"/>
      <c r="AE219" s="7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1:64">
      <c r="A220" s="7"/>
      <c r="B220" s="7"/>
      <c r="C220" s="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7"/>
      <c r="AD220" s="7"/>
      <c r="AE220" s="7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1:64">
      <c r="A221" s="7"/>
      <c r="B221" s="7"/>
      <c r="C221" s="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7"/>
      <c r="AD221" s="7"/>
      <c r="AE221" s="7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1:64">
      <c r="A222" s="7"/>
      <c r="B222" s="7"/>
      <c r="C222" s="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7"/>
      <c r="AD222" s="7"/>
      <c r="AE222" s="7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7"/>
      <c r="BE222" s="7"/>
      <c r="BF222" s="7"/>
      <c r="BG222" s="7"/>
      <c r="BH222" s="7"/>
      <c r="BI222" s="7"/>
      <c r="BJ222" s="7"/>
      <c r="BK222" s="7"/>
      <c r="BL222" s="7"/>
    </row>
    <row r="223" spans="1:64">
      <c r="A223" s="7"/>
      <c r="B223" s="7"/>
      <c r="C223" s="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7"/>
      <c r="AD223" s="7"/>
      <c r="AE223" s="7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7"/>
      <c r="BE223" s="7"/>
      <c r="BF223" s="7"/>
      <c r="BG223" s="7"/>
      <c r="BH223" s="7"/>
      <c r="BI223" s="7"/>
      <c r="BJ223" s="7"/>
      <c r="BK223" s="7"/>
      <c r="BL223" s="7"/>
    </row>
    <row r="224" spans="1:64">
      <c r="A224" s="7"/>
      <c r="B224" s="7"/>
      <c r="C224" s="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7"/>
      <c r="AD224" s="7"/>
      <c r="AE224" s="7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7"/>
      <c r="BE224" s="7"/>
      <c r="BF224" s="7"/>
      <c r="BG224" s="7"/>
      <c r="BH224" s="7"/>
      <c r="BI224" s="7"/>
      <c r="BJ224" s="7"/>
      <c r="BK224" s="7"/>
      <c r="BL224" s="7"/>
    </row>
    <row r="225" spans="1:64">
      <c r="A225" s="7"/>
      <c r="B225" s="7"/>
      <c r="C225" s="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7"/>
      <c r="AD225" s="7"/>
      <c r="AE225" s="7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7"/>
      <c r="BE225" s="7"/>
      <c r="BF225" s="7"/>
      <c r="BG225" s="7"/>
      <c r="BH225" s="7"/>
      <c r="BI225" s="7"/>
      <c r="BJ225" s="7"/>
      <c r="BK225" s="7"/>
      <c r="BL225" s="7"/>
    </row>
    <row r="226" spans="1:64">
      <c r="A226" s="7"/>
      <c r="B226" s="7"/>
      <c r="C226" s="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7"/>
      <c r="AD226" s="7"/>
      <c r="AE226" s="7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7"/>
      <c r="BE226" s="7"/>
      <c r="BF226" s="7"/>
      <c r="BG226" s="7"/>
      <c r="BH226" s="7"/>
      <c r="BI226" s="7"/>
      <c r="BJ226" s="7"/>
      <c r="BK226" s="7"/>
      <c r="BL226" s="7"/>
    </row>
    <row r="227" spans="1:64">
      <c r="A227" s="7"/>
      <c r="B227" s="7"/>
      <c r="C227" s="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7"/>
      <c r="AD227" s="7"/>
      <c r="AE227" s="7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7"/>
      <c r="BE227" s="7"/>
      <c r="BF227" s="7"/>
      <c r="BG227" s="7"/>
      <c r="BH227" s="7"/>
      <c r="BI227" s="7"/>
      <c r="BJ227" s="7"/>
      <c r="BK227" s="7"/>
      <c r="BL227" s="7"/>
    </row>
    <row r="228" spans="1:64">
      <c r="A228" s="7"/>
      <c r="B228" s="7"/>
      <c r="C228" s="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7"/>
      <c r="AD228" s="7"/>
      <c r="AE228" s="7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7"/>
      <c r="BE228" s="7"/>
      <c r="BF228" s="7"/>
      <c r="BG228" s="7"/>
      <c r="BH228" s="7"/>
      <c r="BI228" s="7"/>
      <c r="BJ228" s="7"/>
      <c r="BK228" s="7"/>
      <c r="BL228" s="7"/>
    </row>
    <row r="229" spans="1:64">
      <c r="A229" s="7"/>
      <c r="B229" s="7"/>
      <c r="C229" s="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7"/>
      <c r="AD229" s="7"/>
      <c r="AE229" s="7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7"/>
      <c r="BE229" s="7"/>
      <c r="BF229" s="7"/>
      <c r="BG229" s="7"/>
      <c r="BH229" s="7"/>
      <c r="BI229" s="7"/>
      <c r="BJ229" s="7"/>
      <c r="BK229" s="7"/>
      <c r="BL229" s="7"/>
    </row>
    <row r="230" spans="1:64">
      <c r="A230" s="7"/>
      <c r="B230" s="7"/>
      <c r="C230" s="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7"/>
      <c r="AD230" s="7"/>
      <c r="AE230" s="7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7"/>
      <c r="BE230" s="7"/>
      <c r="BF230" s="7"/>
      <c r="BG230" s="7"/>
      <c r="BH230" s="7"/>
      <c r="BI230" s="7"/>
      <c r="BJ230" s="7"/>
      <c r="BK230" s="7"/>
      <c r="BL230" s="7"/>
    </row>
    <row r="231" spans="1:64">
      <c r="A231" s="7"/>
      <c r="B231" s="7"/>
      <c r="C231" s="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7"/>
      <c r="AD231" s="7"/>
      <c r="AE231" s="7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7"/>
      <c r="BE231" s="7"/>
      <c r="BF231" s="7"/>
      <c r="BG231" s="7"/>
      <c r="BH231" s="7"/>
      <c r="BI231" s="7"/>
      <c r="BJ231" s="7"/>
      <c r="BK231" s="7"/>
      <c r="BL231" s="7"/>
    </row>
    <row r="232" spans="1:64">
      <c r="A232" s="7"/>
      <c r="B232" s="7"/>
      <c r="C232" s="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7"/>
      <c r="AD232" s="7"/>
      <c r="AE232" s="7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7"/>
      <c r="BE232" s="7"/>
      <c r="BF232" s="7"/>
      <c r="BG232" s="7"/>
      <c r="BH232" s="7"/>
      <c r="BI232" s="7"/>
      <c r="BJ232" s="7"/>
      <c r="BK232" s="7"/>
      <c r="BL232" s="7"/>
    </row>
    <row r="233" spans="1:64">
      <c r="A233" s="7"/>
      <c r="B233" s="7"/>
      <c r="C233" s="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7"/>
      <c r="AD233" s="7"/>
      <c r="AE233" s="7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7"/>
      <c r="BE233" s="7"/>
      <c r="BF233" s="7"/>
      <c r="BG233" s="7"/>
      <c r="BH233" s="7"/>
      <c r="BI233" s="7"/>
      <c r="BJ233" s="7"/>
      <c r="BK233" s="7"/>
      <c r="BL233" s="7"/>
    </row>
    <row r="234" spans="1:64">
      <c r="A234" s="7"/>
      <c r="B234" s="7"/>
      <c r="C234" s="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7"/>
      <c r="AD234" s="7"/>
      <c r="AE234" s="7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1:64">
      <c r="A235" s="7"/>
      <c r="B235" s="7"/>
      <c r="C235" s="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7"/>
      <c r="AD235" s="7"/>
      <c r="AE235" s="7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7"/>
      <c r="BE235" s="7"/>
      <c r="BF235" s="7"/>
      <c r="BG235" s="7"/>
      <c r="BH235" s="7"/>
      <c r="BI235" s="7"/>
      <c r="BJ235" s="7"/>
      <c r="BK235" s="7"/>
      <c r="BL235" s="7"/>
    </row>
    <row r="236" spans="1:64">
      <c r="A236" s="7"/>
      <c r="B236" s="7"/>
      <c r="C236" s="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7"/>
      <c r="AD236" s="7"/>
      <c r="AE236" s="7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7"/>
      <c r="BE236" s="7"/>
      <c r="BF236" s="7"/>
      <c r="BG236" s="7"/>
      <c r="BH236" s="7"/>
      <c r="BI236" s="7"/>
      <c r="BJ236" s="7"/>
      <c r="BK236" s="7"/>
      <c r="BL236" s="7"/>
    </row>
    <row r="237" spans="1:64">
      <c r="A237" s="7"/>
      <c r="B237" s="7"/>
      <c r="C237" s="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7"/>
      <c r="AD237" s="7"/>
      <c r="AE237" s="7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7"/>
      <c r="BE237" s="7"/>
      <c r="BF237" s="7"/>
      <c r="BG237" s="7"/>
      <c r="BH237" s="7"/>
      <c r="BI237" s="7"/>
      <c r="BJ237" s="7"/>
      <c r="BK237" s="7"/>
      <c r="BL237" s="7"/>
    </row>
    <row r="238" spans="1:64">
      <c r="A238" s="7"/>
      <c r="B238" s="7"/>
      <c r="C238" s="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7"/>
      <c r="AD238" s="7"/>
      <c r="AE238" s="7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7"/>
      <c r="BE238" s="7"/>
      <c r="BF238" s="7"/>
      <c r="BG238" s="7"/>
      <c r="BH238" s="7"/>
      <c r="BI238" s="7"/>
      <c r="BJ238" s="7"/>
      <c r="BK238" s="7"/>
      <c r="BL238" s="7"/>
    </row>
    <row r="239" spans="1:64">
      <c r="A239" s="7"/>
      <c r="B239" s="7"/>
      <c r="C239" s="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7"/>
      <c r="AD239" s="7"/>
      <c r="AE239" s="7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7"/>
      <c r="BE239" s="7"/>
      <c r="BF239" s="7"/>
      <c r="BG239" s="7"/>
      <c r="BH239" s="7"/>
      <c r="BI239" s="7"/>
      <c r="BJ239" s="7"/>
      <c r="BK239" s="7"/>
      <c r="BL239" s="7"/>
    </row>
    <row r="240" spans="1:64">
      <c r="A240" s="7"/>
      <c r="B240" s="7"/>
      <c r="C240" s="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7"/>
      <c r="AD240" s="7"/>
      <c r="AE240" s="7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7"/>
      <c r="BE240" s="7"/>
      <c r="BF240" s="7"/>
      <c r="BG240" s="7"/>
      <c r="BH240" s="7"/>
      <c r="BI240" s="7"/>
      <c r="BJ240" s="7"/>
      <c r="BK240" s="7"/>
      <c r="BL240" s="7"/>
    </row>
    <row r="241" spans="1:64">
      <c r="A241" s="7"/>
      <c r="B241" s="7"/>
      <c r="C241" s="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7"/>
      <c r="AD241" s="7"/>
      <c r="AE241" s="7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7"/>
      <c r="BE241" s="7"/>
      <c r="BF241" s="7"/>
      <c r="BG241" s="7"/>
      <c r="BH241" s="7"/>
      <c r="BI241" s="7"/>
      <c r="BJ241" s="7"/>
      <c r="BK241" s="7"/>
      <c r="BL241" s="7"/>
    </row>
    <row r="242" spans="1:64">
      <c r="A242" s="7"/>
      <c r="B242" s="7"/>
      <c r="C242" s="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7"/>
      <c r="AD242" s="7"/>
      <c r="AE242" s="7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7"/>
      <c r="BE242" s="7"/>
      <c r="BF242" s="7"/>
      <c r="BG242" s="7"/>
      <c r="BH242" s="7"/>
      <c r="BI242" s="7"/>
      <c r="BJ242" s="7"/>
      <c r="BK242" s="7"/>
      <c r="BL242" s="7"/>
    </row>
    <row r="243" spans="1:64">
      <c r="A243" s="7"/>
      <c r="B243" s="7"/>
      <c r="C243" s="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7"/>
      <c r="AD243" s="7"/>
      <c r="AE243" s="7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7"/>
      <c r="BE243" s="7"/>
      <c r="BF243" s="7"/>
      <c r="BG243" s="7"/>
      <c r="BH243" s="7"/>
      <c r="BI243" s="7"/>
      <c r="BJ243" s="7"/>
      <c r="BK243" s="7"/>
      <c r="BL243" s="7"/>
    </row>
    <row r="244" spans="1:64">
      <c r="A244" s="7"/>
      <c r="B244" s="7"/>
      <c r="C244" s="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7"/>
      <c r="AD244" s="7"/>
      <c r="AE244" s="7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7"/>
      <c r="BE244" s="7"/>
      <c r="BF244" s="7"/>
      <c r="BG244" s="7"/>
      <c r="BH244" s="7"/>
      <c r="BI244" s="7"/>
      <c r="BJ244" s="7"/>
      <c r="BK244" s="7"/>
      <c r="BL244" s="7"/>
    </row>
    <row r="245" spans="1:64">
      <c r="A245" s="7"/>
      <c r="B245" s="7"/>
      <c r="C245" s="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7"/>
      <c r="AD245" s="7"/>
      <c r="AE245" s="7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7"/>
      <c r="BE245" s="7"/>
      <c r="BF245" s="7"/>
      <c r="BG245" s="7"/>
      <c r="BH245" s="7"/>
      <c r="BI245" s="7"/>
      <c r="BJ245" s="7"/>
      <c r="BK245" s="7"/>
      <c r="BL245" s="7"/>
    </row>
    <row r="246" spans="1:64">
      <c r="A246" s="7"/>
      <c r="B246" s="7"/>
      <c r="C246" s="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7"/>
      <c r="AD246" s="7"/>
      <c r="AE246" s="7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7"/>
      <c r="BE246" s="7"/>
      <c r="BF246" s="7"/>
      <c r="BG246" s="7"/>
      <c r="BH246" s="7"/>
      <c r="BI246" s="7"/>
      <c r="BJ246" s="7"/>
      <c r="BK246" s="7"/>
      <c r="BL246" s="7"/>
    </row>
    <row r="247" spans="1:64">
      <c r="A247" s="7"/>
      <c r="B247" s="7"/>
      <c r="C247" s="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7"/>
      <c r="AD247" s="7"/>
      <c r="AE247" s="7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7"/>
      <c r="BE247" s="7"/>
      <c r="BF247" s="7"/>
      <c r="BG247" s="7"/>
      <c r="BH247" s="7"/>
      <c r="BI247" s="7"/>
      <c r="BJ247" s="7"/>
      <c r="BK247" s="7"/>
      <c r="BL247" s="7"/>
    </row>
    <row r="248" spans="1:64">
      <c r="A248" s="7"/>
      <c r="B248" s="7"/>
      <c r="C248" s="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7"/>
      <c r="AD248" s="7"/>
      <c r="AE248" s="7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7"/>
      <c r="BE248" s="7"/>
      <c r="BF248" s="7"/>
      <c r="BG248" s="7"/>
      <c r="BH248" s="7"/>
      <c r="BI248" s="7"/>
      <c r="BJ248" s="7"/>
      <c r="BK248" s="7"/>
      <c r="BL248" s="7"/>
    </row>
    <row r="249" spans="1:64">
      <c r="A249" s="7"/>
      <c r="B249" s="7"/>
      <c r="C249" s="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7"/>
      <c r="AD249" s="7"/>
      <c r="AE249" s="7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7"/>
      <c r="BE249" s="7"/>
      <c r="BF249" s="7"/>
      <c r="BG249" s="7"/>
      <c r="BH249" s="7"/>
      <c r="BI249" s="7"/>
      <c r="BJ249" s="7"/>
      <c r="BK249" s="7"/>
      <c r="BL249" s="7"/>
    </row>
    <row r="250" spans="1:64">
      <c r="A250" s="7"/>
      <c r="B250" s="7"/>
      <c r="C250" s="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7"/>
      <c r="AD250" s="7"/>
      <c r="AE250" s="7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7"/>
      <c r="BE250" s="7"/>
      <c r="BF250" s="7"/>
      <c r="BG250" s="7"/>
      <c r="BH250" s="7"/>
      <c r="BI250" s="7"/>
      <c r="BJ250" s="7"/>
      <c r="BK250" s="7"/>
      <c r="BL250" s="7"/>
    </row>
    <row r="251" spans="1:64">
      <c r="A251" s="7"/>
      <c r="B251" s="7"/>
      <c r="C251" s="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7"/>
      <c r="AD251" s="7"/>
      <c r="AE251" s="7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7"/>
      <c r="BE251" s="7"/>
      <c r="BF251" s="7"/>
      <c r="BG251" s="7"/>
      <c r="BH251" s="7"/>
      <c r="BI251" s="7"/>
      <c r="BJ251" s="7"/>
      <c r="BK251" s="7"/>
      <c r="BL251" s="7"/>
    </row>
    <row r="252" spans="1:64">
      <c r="A252" s="7"/>
      <c r="B252" s="7"/>
      <c r="C252" s="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7"/>
      <c r="AD252" s="7"/>
      <c r="AE252" s="7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7"/>
      <c r="BE252" s="7"/>
      <c r="BF252" s="7"/>
      <c r="BG252" s="7"/>
      <c r="BH252" s="7"/>
      <c r="BI252" s="7"/>
      <c r="BJ252" s="7"/>
      <c r="BK252" s="7"/>
      <c r="BL252" s="7"/>
    </row>
    <row r="253" spans="1:64">
      <c r="A253" s="7"/>
      <c r="B253" s="7"/>
      <c r="C253" s="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7"/>
      <c r="AD253" s="7"/>
      <c r="AE253" s="7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7"/>
      <c r="BE253" s="7"/>
      <c r="BF253" s="7"/>
      <c r="BG253" s="7"/>
      <c r="BH253" s="7"/>
      <c r="BI253" s="7"/>
      <c r="BJ253" s="7"/>
      <c r="BK253" s="7"/>
      <c r="BL253" s="7"/>
    </row>
    <row r="254" spans="1:64">
      <c r="A254" s="7"/>
      <c r="B254" s="7"/>
      <c r="C254" s="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7"/>
      <c r="AD254" s="7"/>
      <c r="AE254" s="7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7"/>
      <c r="BE254" s="7"/>
      <c r="BF254" s="7"/>
      <c r="BG254" s="7"/>
      <c r="BH254" s="7"/>
      <c r="BI254" s="7"/>
      <c r="BJ254" s="7"/>
      <c r="BK254" s="7"/>
      <c r="BL254" s="7"/>
    </row>
    <row r="255" spans="1:64">
      <c r="A255" s="7"/>
      <c r="B255" s="7"/>
      <c r="C255" s="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7"/>
      <c r="AD255" s="7"/>
      <c r="AE255" s="7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7"/>
      <c r="BE255" s="7"/>
      <c r="BF255" s="7"/>
      <c r="BG255" s="7"/>
      <c r="BH255" s="7"/>
      <c r="BI255" s="7"/>
      <c r="BJ255" s="7"/>
      <c r="BK255" s="7"/>
      <c r="BL255" s="7"/>
    </row>
    <row r="256" spans="1:64">
      <c r="A256" s="7"/>
      <c r="B256" s="7"/>
      <c r="C256" s="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7"/>
      <c r="AD256" s="7"/>
      <c r="AE256" s="7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7"/>
      <c r="BE256" s="7"/>
      <c r="BF256" s="7"/>
      <c r="BG256" s="7"/>
      <c r="BH256" s="7"/>
      <c r="BI256" s="7"/>
      <c r="BJ256" s="7"/>
      <c r="BK256" s="7"/>
      <c r="BL256" s="7"/>
    </row>
    <row r="257" spans="1:64">
      <c r="A257" s="7"/>
      <c r="B257" s="7"/>
      <c r="C257" s="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7"/>
      <c r="AD257" s="7"/>
      <c r="AE257" s="7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7"/>
      <c r="BE257" s="7"/>
      <c r="BF257" s="7"/>
      <c r="BG257" s="7"/>
      <c r="BH257" s="7"/>
      <c r="BI257" s="7"/>
      <c r="BJ257" s="7"/>
      <c r="BK257" s="7"/>
      <c r="BL257" s="7"/>
    </row>
    <row r="258" spans="1:64">
      <c r="A258" s="7"/>
      <c r="B258" s="7"/>
      <c r="C258" s="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7"/>
      <c r="AD258" s="7"/>
      <c r="AE258" s="7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7"/>
      <c r="BE258" s="7"/>
      <c r="BF258" s="7"/>
      <c r="BG258" s="7"/>
      <c r="BH258" s="7"/>
      <c r="BI258" s="7"/>
      <c r="BJ258" s="7"/>
      <c r="BK258" s="7"/>
      <c r="BL258" s="7"/>
    </row>
    <row r="259" spans="1:64">
      <c r="A259" s="7"/>
      <c r="B259" s="7"/>
      <c r="C259" s="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7"/>
      <c r="AD259" s="7"/>
      <c r="AE259" s="7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7"/>
      <c r="BE259" s="7"/>
      <c r="BF259" s="7"/>
      <c r="BG259" s="7"/>
      <c r="BH259" s="7"/>
      <c r="BI259" s="7"/>
      <c r="BJ259" s="7"/>
      <c r="BK259" s="7"/>
      <c r="BL259" s="7"/>
    </row>
    <row r="260" spans="1:64">
      <c r="A260" s="7"/>
      <c r="B260" s="7"/>
      <c r="C260" s="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7"/>
      <c r="AD260" s="7"/>
      <c r="AE260" s="7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7"/>
      <c r="BE260" s="7"/>
      <c r="BF260" s="7"/>
      <c r="BG260" s="7"/>
      <c r="BH260" s="7"/>
      <c r="BI260" s="7"/>
      <c r="BJ260" s="7"/>
      <c r="BK260" s="7"/>
      <c r="BL260" s="7"/>
    </row>
    <row r="261" spans="1:64">
      <c r="A261" s="7"/>
      <c r="B261" s="7"/>
      <c r="C261" s="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7"/>
      <c r="AD261" s="7"/>
      <c r="AE261" s="7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7"/>
      <c r="BE261" s="7"/>
      <c r="BF261" s="7"/>
      <c r="BG261" s="7"/>
      <c r="BH261" s="7"/>
      <c r="BI261" s="7"/>
      <c r="BJ261" s="7"/>
      <c r="BK261" s="7"/>
      <c r="BL261" s="7"/>
    </row>
    <row r="262" spans="1:64">
      <c r="A262" s="7"/>
      <c r="B262" s="7"/>
      <c r="C262" s="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7"/>
      <c r="AD262" s="7"/>
      <c r="AE262" s="7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7"/>
      <c r="BE262" s="7"/>
      <c r="BF262" s="7"/>
      <c r="BG262" s="7"/>
      <c r="BH262" s="7"/>
      <c r="BI262" s="7"/>
      <c r="BJ262" s="7"/>
      <c r="BK262" s="7"/>
      <c r="BL262" s="7"/>
    </row>
    <row r="263" spans="1:64">
      <c r="A263" s="7"/>
      <c r="B263" s="7"/>
      <c r="C263" s="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7"/>
      <c r="AD263" s="7"/>
      <c r="AE263" s="7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7"/>
      <c r="BE263" s="7"/>
      <c r="BF263" s="7"/>
      <c r="BG263" s="7"/>
      <c r="BH263" s="7"/>
      <c r="BI263" s="7"/>
      <c r="BJ263" s="7"/>
      <c r="BK263" s="7"/>
      <c r="BL263" s="7"/>
    </row>
    <row r="264" spans="1:64">
      <c r="A264" s="7"/>
      <c r="B264" s="7"/>
      <c r="C264" s="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7"/>
      <c r="AD264" s="7"/>
      <c r="AE264" s="7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7"/>
      <c r="BE264" s="7"/>
      <c r="BF264" s="7"/>
      <c r="BG264" s="7"/>
      <c r="BH264" s="7"/>
      <c r="BI264" s="7"/>
      <c r="BJ264" s="7"/>
      <c r="BK264" s="7"/>
      <c r="BL264" s="7"/>
    </row>
    <row r="265" spans="1:64">
      <c r="A265" s="7"/>
      <c r="B265" s="7"/>
      <c r="C265" s="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7"/>
      <c r="AD265" s="7"/>
      <c r="AE265" s="7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7"/>
      <c r="BE265" s="7"/>
      <c r="BF265" s="7"/>
      <c r="BG265" s="7"/>
      <c r="BH265" s="7"/>
      <c r="BI265" s="7"/>
      <c r="BJ265" s="7"/>
      <c r="BK265" s="7"/>
      <c r="BL265" s="7"/>
    </row>
    <row r="266" spans="1:64">
      <c r="A266" s="7"/>
      <c r="B266" s="7"/>
      <c r="C266" s="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7"/>
      <c r="AD266" s="7"/>
      <c r="AE266" s="7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7"/>
      <c r="BE266" s="7"/>
      <c r="BF266" s="7"/>
      <c r="BG266" s="7"/>
      <c r="BH266" s="7"/>
      <c r="BI266" s="7"/>
      <c r="BJ266" s="7"/>
      <c r="BK266" s="7"/>
      <c r="BL266" s="7"/>
    </row>
    <row r="267" spans="1:64">
      <c r="A267" s="7"/>
      <c r="B267" s="7"/>
      <c r="C267" s="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7"/>
      <c r="AD267" s="7"/>
      <c r="AE267" s="7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7"/>
      <c r="BE267" s="7"/>
      <c r="BF267" s="7"/>
      <c r="BG267" s="7"/>
      <c r="BH267" s="7"/>
      <c r="BI267" s="7"/>
      <c r="BJ267" s="7"/>
      <c r="BK267" s="7"/>
      <c r="BL267" s="7"/>
    </row>
    <row r="268" spans="1:64">
      <c r="A268" s="7"/>
      <c r="B268" s="7"/>
      <c r="C268" s="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7"/>
      <c r="AD268" s="7"/>
      <c r="AE268" s="7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7"/>
      <c r="BE268" s="7"/>
      <c r="BF268" s="7"/>
      <c r="BG268" s="7"/>
      <c r="BH268" s="7"/>
      <c r="BI268" s="7"/>
      <c r="BJ268" s="7"/>
      <c r="BK268" s="7"/>
      <c r="BL268" s="7"/>
    </row>
    <row r="269" spans="1:64">
      <c r="A269" s="7"/>
      <c r="B269" s="7"/>
      <c r="C269" s="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7"/>
      <c r="AD269" s="7"/>
      <c r="AE269" s="7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7"/>
      <c r="BE269" s="7"/>
      <c r="BF269" s="7"/>
      <c r="BG269" s="7"/>
      <c r="BH269" s="7"/>
      <c r="BI269" s="7"/>
      <c r="BJ269" s="7"/>
      <c r="BK269" s="7"/>
      <c r="BL269" s="7"/>
    </row>
    <row r="270" spans="1:64">
      <c r="A270" s="7"/>
      <c r="B270" s="7"/>
      <c r="C270" s="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7"/>
      <c r="AD270" s="7"/>
      <c r="AE270" s="7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7"/>
      <c r="BE270" s="7"/>
      <c r="BF270" s="7"/>
      <c r="BG270" s="7"/>
      <c r="BH270" s="7"/>
      <c r="BI270" s="7"/>
      <c r="BJ270" s="7"/>
      <c r="BK270" s="7"/>
      <c r="BL270" s="7"/>
    </row>
    <row r="271" spans="1:64">
      <c r="A271" s="7"/>
      <c r="B271" s="7"/>
      <c r="C271" s="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7"/>
      <c r="AD271" s="7"/>
      <c r="AE271" s="7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7"/>
      <c r="BE271" s="7"/>
      <c r="BF271" s="7"/>
      <c r="BG271" s="7"/>
      <c r="BH271" s="7"/>
      <c r="BI271" s="7"/>
      <c r="BJ271" s="7"/>
      <c r="BK271" s="7"/>
      <c r="BL271" s="7"/>
    </row>
    <row r="272" spans="1:64">
      <c r="A272" s="7"/>
      <c r="B272" s="7"/>
      <c r="C272" s="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7"/>
      <c r="AD272" s="7"/>
      <c r="AE272" s="7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7"/>
      <c r="BE272" s="7"/>
      <c r="BF272" s="7"/>
      <c r="BG272" s="7"/>
      <c r="BH272" s="7"/>
      <c r="BI272" s="7"/>
      <c r="BJ272" s="7"/>
      <c r="BK272" s="7"/>
      <c r="BL272" s="7"/>
    </row>
    <row r="273" spans="1:64">
      <c r="A273" s="7"/>
      <c r="B273" s="7"/>
      <c r="C273" s="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7"/>
      <c r="AD273" s="7"/>
      <c r="AE273" s="7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7"/>
      <c r="BE273" s="7"/>
      <c r="BF273" s="7"/>
      <c r="BG273" s="7"/>
      <c r="BH273" s="7"/>
      <c r="BI273" s="7"/>
      <c r="BJ273" s="7"/>
      <c r="BK273" s="7"/>
      <c r="BL273" s="7"/>
    </row>
    <row r="274" spans="1:64">
      <c r="A274" s="7"/>
      <c r="B274" s="7"/>
      <c r="C274" s="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7"/>
      <c r="AD274" s="7"/>
      <c r="AE274" s="7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7"/>
      <c r="BE274" s="7"/>
      <c r="BF274" s="7"/>
      <c r="BG274" s="7"/>
      <c r="BH274" s="7"/>
      <c r="BI274" s="7"/>
      <c r="BJ274" s="7"/>
      <c r="BK274" s="7"/>
      <c r="BL274" s="7"/>
    </row>
    <row r="275" spans="1:64">
      <c r="A275" s="7"/>
      <c r="B275" s="7"/>
      <c r="C275" s="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7"/>
      <c r="AD275" s="7"/>
      <c r="AE275" s="7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7"/>
      <c r="BE275" s="7"/>
      <c r="BF275" s="7"/>
      <c r="BG275" s="7"/>
      <c r="BH275" s="7"/>
      <c r="BI275" s="7"/>
      <c r="BJ275" s="7"/>
      <c r="BK275" s="7"/>
      <c r="BL275" s="7"/>
    </row>
    <row r="276" spans="1:64">
      <c r="A276" s="7"/>
      <c r="B276" s="7"/>
      <c r="C276" s="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7"/>
      <c r="AD276" s="7"/>
      <c r="AE276" s="7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7"/>
      <c r="BE276" s="7"/>
      <c r="BF276" s="7"/>
      <c r="BG276" s="7"/>
      <c r="BH276" s="7"/>
      <c r="BI276" s="7"/>
      <c r="BJ276" s="7"/>
      <c r="BK276" s="7"/>
      <c r="BL276" s="7"/>
    </row>
    <row r="277" spans="1:64">
      <c r="A277" s="7"/>
      <c r="B277" s="7"/>
      <c r="C277" s="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7"/>
      <c r="AD277" s="7"/>
      <c r="AE277" s="7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7"/>
      <c r="BE277" s="7"/>
      <c r="BF277" s="7"/>
      <c r="BG277" s="7"/>
      <c r="BH277" s="7"/>
      <c r="BI277" s="7"/>
      <c r="BJ277" s="7"/>
      <c r="BK277" s="7"/>
      <c r="BL277" s="7"/>
    </row>
    <row r="278" spans="1:64">
      <c r="A278" s="7"/>
      <c r="B278" s="7"/>
      <c r="C278" s="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7"/>
      <c r="AD278" s="7"/>
      <c r="AE278" s="7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7"/>
      <c r="BE278" s="7"/>
      <c r="BF278" s="7"/>
      <c r="BG278" s="7"/>
      <c r="BH278" s="7"/>
      <c r="BI278" s="7"/>
      <c r="BJ278" s="7"/>
      <c r="BK278" s="7"/>
      <c r="BL278" s="7"/>
    </row>
    <row r="279" spans="1:64">
      <c r="A279" s="7"/>
      <c r="B279" s="7"/>
      <c r="C279" s="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7"/>
      <c r="AD279" s="7"/>
      <c r="AE279" s="7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7"/>
      <c r="BE279" s="7"/>
      <c r="BF279" s="7"/>
      <c r="BG279" s="7"/>
      <c r="BH279" s="7"/>
      <c r="BI279" s="7"/>
      <c r="BJ279" s="7"/>
      <c r="BK279" s="7"/>
      <c r="BL279" s="7"/>
    </row>
    <row r="280" spans="1:64">
      <c r="A280" s="7"/>
      <c r="B280" s="7"/>
      <c r="C280" s="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7"/>
      <c r="AD280" s="7"/>
      <c r="AE280" s="7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7"/>
      <c r="BE280" s="7"/>
      <c r="BF280" s="7"/>
      <c r="BG280" s="7"/>
      <c r="BH280" s="7"/>
      <c r="BI280" s="7"/>
      <c r="BJ280" s="7"/>
      <c r="BK280" s="7"/>
      <c r="BL280" s="7"/>
    </row>
    <row r="281" spans="1:64">
      <c r="A281" s="7"/>
      <c r="B281" s="7"/>
      <c r="C281" s="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7"/>
      <c r="AD281" s="7"/>
      <c r="AE281" s="7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7"/>
      <c r="BE281" s="7"/>
      <c r="BF281" s="7"/>
      <c r="BG281" s="7"/>
      <c r="BH281" s="7"/>
      <c r="BI281" s="7"/>
      <c r="BJ281" s="7"/>
      <c r="BK281" s="7"/>
      <c r="BL281" s="7"/>
    </row>
    <row r="282" spans="1:64">
      <c r="A282" s="7"/>
      <c r="B282" s="7"/>
      <c r="C282" s="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7"/>
      <c r="AD282" s="7"/>
      <c r="AE282" s="7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7"/>
      <c r="BE282" s="7"/>
      <c r="BF282" s="7"/>
      <c r="BG282" s="7"/>
      <c r="BH282" s="7"/>
      <c r="BI282" s="7"/>
      <c r="BJ282" s="7"/>
      <c r="BK282" s="7"/>
      <c r="BL282" s="7"/>
    </row>
    <row r="283" spans="1:64">
      <c r="A283" s="7"/>
      <c r="B283" s="7"/>
      <c r="C283" s="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7"/>
      <c r="AD283" s="7"/>
      <c r="AE283" s="7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7"/>
      <c r="BE283" s="7"/>
      <c r="BF283" s="7"/>
      <c r="BG283" s="7"/>
      <c r="BH283" s="7"/>
      <c r="BI283" s="7"/>
      <c r="BJ283" s="7"/>
      <c r="BK283" s="7"/>
      <c r="BL283" s="7"/>
    </row>
    <row r="284" spans="1:64">
      <c r="A284" s="7"/>
      <c r="B284" s="7"/>
      <c r="C284" s="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7"/>
      <c r="AD284" s="7"/>
      <c r="AE284" s="7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7"/>
      <c r="BE284" s="7"/>
      <c r="BF284" s="7"/>
      <c r="BG284" s="7"/>
      <c r="BH284" s="7"/>
      <c r="BI284" s="7"/>
      <c r="BJ284" s="7"/>
      <c r="BK284" s="7"/>
      <c r="BL284" s="7"/>
    </row>
    <row r="285" spans="1:64">
      <c r="A285" s="7"/>
      <c r="B285" s="7"/>
      <c r="C285" s="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7"/>
      <c r="AD285" s="7"/>
      <c r="AE285" s="7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7"/>
      <c r="BE285" s="7"/>
      <c r="BF285" s="7"/>
      <c r="BG285" s="7"/>
      <c r="BH285" s="7"/>
      <c r="BI285" s="7"/>
      <c r="BJ285" s="7"/>
      <c r="BK285" s="7"/>
      <c r="BL285" s="7"/>
    </row>
    <row r="286" spans="1:64">
      <c r="A286" s="7"/>
      <c r="B286" s="7"/>
      <c r="C286" s="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7"/>
      <c r="AD286" s="7"/>
      <c r="AE286" s="7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7"/>
      <c r="BE286" s="7"/>
      <c r="BF286" s="7"/>
      <c r="BG286" s="7"/>
      <c r="BH286" s="7"/>
      <c r="BI286" s="7"/>
      <c r="BJ286" s="7"/>
      <c r="BK286" s="7"/>
      <c r="BL286" s="7"/>
    </row>
    <row r="287" spans="1:64">
      <c r="A287" s="7"/>
      <c r="B287" s="7"/>
      <c r="C287" s="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7"/>
      <c r="AD287" s="7"/>
      <c r="AE287" s="7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7"/>
      <c r="BE287" s="7"/>
      <c r="BF287" s="7"/>
      <c r="BG287" s="7"/>
      <c r="BH287" s="7"/>
      <c r="BI287" s="7"/>
      <c r="BJ287" s="7"/>
      <c r="BK287" s="7"/>
      <c r="BL287" s="7"/>
    </row>
    <row r="288" spans="1:64">
      <c r="A288" s="7"/>
      <c r="B288" s="7"/>
      <c r="C288" s="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7"/>
      <c r="AD288" s="7"/>
      <c r="AE288" s="7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7"/>
      <c r="BE288" s="7"/>
      <c r="BF288" s="7"/>
      <c r="BG288" s="7"/>
      <c r="BH288" s="7"/>
      <c r="BI288" s="7"/>
      <c r="BJ288" s="7"/>
      <c r="BK288" s="7"/>
      <c r="BL288" s="7"/>
    </row>
    <row r="289" spans="1:64">
      <c r="A289" s="7"/>
      <c r="B289" s="7"/>
      <c r="C289" s="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7"/>
      <c r="AD289" s="7"/>
      <c r="AE289" s="7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7"/>
      <c r="BE289" s="7"/>
      <c r="BF289" s="7"/>
      <c r="BG289" s="7"/>
      <c r="BH289" s="7"/>
      <c r="BI289" s="7"/>
      <c r="BJ289" s="7"/>
      <c r="BK289" s="7"/>
      <c r="BL289" s="7"/>
    </row>
    <row r="290" spans="1:64">
      <c r="A290" s="7"/>
      <c r="B290" s="7"/>
      <c r="C290" s="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7"/>
      <c r="AD290" s="7"/>
      <c r="AE290" s="7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7"/>
      <c r="BE290" s="7"/>
      <c r="BF290" s="7"/>
      <c r="BG290" s="7"/>
      <c r="BH290" s="7"/>
      <c r="BI290" s="7"/>
      <c r="BJ290" s="7"/>
      <c r="BK290" s="7"/>
      <c r="BL290" s="7"/>
    </row>
    <row r="291" spans="1:64">
      <c r="A291" s="7"/>
      <c r="B291" s="7"/>
      <c r="C291" s="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7"/>
      <c r="AD291" s="7"/>
      <c r="AE291" s="7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7"/>
      <c r="BE291" s="7"/>
      <c r="BF291" s="7"/>
      <c r="BG291" s="7"/>
      <c r="BH291" s="7"/>
      <c r="BI291" s="7"/>
      <c r="BJ291" s="7"/>
      <c r="BK291" s="7"/>
      <c r="BL291" s="7"/>
    </row>
    <row r="292" spans="1:64">
      <c r="A292" s="7"/>
      <c r="B292" s="7"/>
      <c r="C292" s="7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7"/>
      <c r="AD292" s="7"/>
      <c r="AE292" s="7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7"/>
      <c r="BE292" s="7"/>
      <c r="BF292" s="7"/>
      <c r="BG292" s="7"/>
      <c r="BH292" s="7"/>
      <c r="BI292" s="7"/>
      <c r="BJ292" s="7"/>
      <c r="BK292" s="7"/>
      <c r="BL292" s="7"/>
    </row>
    <row r="293" spans="1:64">
      <c r="A293" s="7"/>
      <c r="B293" s="7"/>
      <c r="C293" s="7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7"/>
      <c r="AD293" s="7"/>
      <c r="AE293" s="7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7"/>
      <c r="BE293" s="7"/>
      <c r="BF293" s="7"/>
      <c r="BG293" s="7"/>
      <c r="BH293" s="7"/>
      <c r="BI293" s="7"/>
      <c r="BJ293" s="7"/>
      <c r="BK293" s="7"/>
      <c r="BL293" s="7"/>
    </row>
    <row r="294" spans="1:64">
      <c r="A294" s="7"/>
      <c r="B294" s="7"/>
      <c r="C294" s="7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7"/>
      <c r="AD294" s="7"/>
      <c r="AE294" s="7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7"/>
      <c r="BE294" s="7"/>
      <c r="BF294" s="7"/>
      <c r="BG294" s="7"/>
      <c r="BH294" s="7"/>
      <c r="BI294" s="7"/>
      <c r="BJ294" s="7"/>
      <c r="BK294" s="7"/>
      <c r="BL294" s="7"/>
    </row>
    <row r="295" spans="1:64">
      <c r="A295" s="7"/>
      <c r="B295" s="7"/>
      <c r="C295" s="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7"/>
      <c r="AD295" s="7"/>
      <c r="AE295" s="7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7"/>
      <c r="BE295" s="7"/>
      <c r="BF295" s="7"/>
      <c r="BG295" s="7"/>
      <c r="BH295" s="7"/>
      <c r="BI295" s="7"/>
      <c r="BJ295" s="7"/>
      <c r="BK295" s="7"/>
      <c r="BL295" s="7"/>
    </row>
    <row r="296" spans="1:64">
      <c r="A296" s="7"/>
      <c r="B296" s="7"/>
      <c r="C296" s="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7"/>
      <c r="AD296" s="7"/>
      <c r="AE296" s="7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7"/>
      <c r="BE296" s="7"/>
      <c r="BF296" s="7"/>
      <c r="BG296" s="7"/>
      <c r="BH296" s="7"/>
      <c r="BI296" s="7"/>
      <c r="BJ296" s="7"/>
      <c r="BK296" s="7"/>
      <c r="BL296" s="7"/>
    </row>
    <row r="297" spans="1:64">
      <c r="A297" s="7"/>
      <c r="B297" s="7"/>
      <c r="C297" s="7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7"/>
      <c r="AD297" s="7"/>
      <c r="AE297" s="7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7"/>
      <c r="BE297" s="7"/>
      <c r="BF297" s="7"/>
      <c r="BG297" s="7"/>
      <c r="BH297" s="7"/>
      <c r="BI297" s="7"/>
      <c r="BJ297" s="7"/>
      <c r="BK297" s="7"/>
      <c r="BL297" s="7"/>
    </row>
    <row r="298" spans="1:64">
      <c r="A298" s="7"/>
      <c r="B298" s="7"/>
      <c r="C298" s="7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7"/>
      <c r="AD298" s="7"/>
      <c r="AE298" s="7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7"/>
      <c r="BE298" s="7"/>
      <c r="BF298" s="7"/>
      <c r="BG298" s="7"/>
      <c r="BH298" s="7"/>
      <c r="BI298" s="7"/>
      <c r="BJ298" s="7"/>
      <c r="BK298" s="7"/>
      <c r="BL298" s="7"/>
    </row>
    <row r="299" spans="1:64">
      <c r="A299" s="7"/>
      <c r="B299" s="7"/>
      <c r="C299" s="7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7"/>
      <c r="AD299" s="7"/>
      <c r="AE299" s="7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7"/>
      <c r="BE299" s="7"/>
      <c r="BF299" s="7"/>
      <c r="BG299" s="7"/>
      <c r="BH299" s="7"/>
      <c r="BI299" s="7"/>
      <c r="BJ299" s="7"/>
      <c r="BK299" s="7"/>
      <c r="BL299" s="7"/>
    </row>
    <row r="300" spans="1:64">
      <c r="A300" s="7"/>
      <c r="B300" s="7"/>
      <c r="C300" s="7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7"/>
      <c r="AD300" s="7"/>
      <c r="AE300" s="7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7"/>
      <c r="BE300" s="7"/>
      <c r="BF300" s="7"/>
      <c r="BG300" s="7"/>
      <c r="BH300" s="7"/>
      <c r="BI300" s="7"/>
      <c r="BJ300" s="7"/>
      <c r="BK300" s="7"/>
      <c r="BL300" s="7"/>
    </row>
    <row r="301" spans="1:64">
      <c r="A301" s="7"/>
      <c r="B301" s="7"/>
      <c r="C301" s="7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7"/>
      <c r="AD301" s="7"/>
      <c r="AE301" s="7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7"/>
      <c r="BE301" s="7"/>
      <c r="BF301" s="7"/>
      <c r="BG301" s="7"/>
      <c r="BH301" s="7"/>
      <c r="BI301" s="7"/>
      <c r="BJ301" s="7"/>
      <c r="BK301" s="7"/>
      <c r="BL301" s="7"/>
    </row>
    <row r="302" spans="1:64">
      <c r="A302" s="7"/>
      <c r="B302" s="7"/>
      <c r="C302" s="7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7"/>
      <c r="AD302" s="7"/>
      <c r="AE302" s="7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7"/>
      <c r="BE302" s="7"/>
      <c r="BF302" s="7"/>
      <c r="BG302" s="7"/>
      <c r="BH302" s="7"/>
      <c r="BI302" s="7"/>
      <c r="BJ302" s="7"/>
      <c r="BK302" s="7"/>
      <c r="BL302" s="7"/>
    </row>
    <row r="303" spans="1:64">
      <c r="A303" s="7"/>
      <c r="B303" s="7"/>
      <c r="C303" s="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7"/>
      <c r="AD303" s="7"/>
      <c r="AE303" s="7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7"/>
      <c r="BE303" s="7"/>
      <c r="BF303" s="7"/>
      <c r="BG303" s="7"/>
      <c r="BH303" s="7"/>
      <c r="BI303" s="7"/>
      <c r="BJ303" s="7"/>
      <c r="BK303" s="7"/>
      <c r="BL303" s="7"/>
    </row>
    <row r="304" spans="1:64">
      <c r="A304" s="7"/>
      <c r="B304" s="7"/>
      <c r="C304" s="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7"/>
      <c r="AD304" s="7"/>
      <c r="AE304" s="7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7"/>
      <c r="BE304" s="7"/>
      <c r="BF304" s="7"/>
      <c r="BG304" s="7"/>
      <c r="BH304" s="7"/>
      <c r="BI304" s="7"/>
      <c r="BJ304" s="7"/>
      <c r="BK304" s="7"/>
      <c r="BL304" s="7"/>
    </row>
    <row r="305" spans="1:64">
      <c r="A305" s="7"/>
      <c r="B305" s="7"/>
      <c r="C305" s="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7"/>
      <c r="AD305" s="7"/>
      <c r="AE305" s="7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7"/>
      <c r="BE305" s="7"/>
      <c r="BF305" s="7"/>
      <c r="BG305" s="7"/>
      <c r="BH305" s="7"/>
      <c r="BI305" s="7"/>
      <c r="BJ305" s="7"/>
      <c r="BK305" s="7"/>
      <c r="BL305" s="7"/>
    </row>
    <row r="306" spans="1:64">
      <c r="A306" s="7"/>
      <c r="B306" s="7"/>
      <c r="C306" s="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7"/>
      <c r="AD306" s="7"/>
      <c r="AE306" s="7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7"/>
      <c r="BE306" s="7"/>
      <c r="BF306" s="7"/>
      <c r="BG306" s="7"/>
      <c r="BH306" s="7"/>
      <c r="BI306" s="7"/>
      <c r="BJ306" s="7"/>
      <c r="BK306" s="7"/>
      <c r="BL306" s="7"/>
    </row>
    <row r="307" spans="1:64">
      <c r="A307" s="7"/>
      <c r="B307" s="7"/>
      <c r="C307" s="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7"/>
      <c r="AD307" s="7"/>
      <c r="AE307" s="7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7"/>
      <c r="BE307" s="7"/>
      <c r="BF307" s="7"/>
      <c r="BG307" s="7"/>
      <c r="BH307" s="7"/>
      <c r="BI307" s="7"/>
      <c r="BJ307" s="7"/>
      <c r="BK307" s="7"/>
      <c r="BL307" s="7"/>
    </row>
    <row r="308" spans="1:64">
      <c r="A308" s="7"/>
      <c r="B308" s="7"/>
      <c r="C308" s="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7"/>
      <c r="AD308" s="7"/>
      <c r="AE308" s="7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7"/>
      <c r="BE308" s="7"/>
      <c r="BF308" s="7"/>
      <c r="BG308" s="7"/>
      <c r="BH308" s="7"/>
      <c r="BI308" s="7"/>
      <c r="BJ308" s="7"/>
      <c r="BK308" s="7"/>
      <c r="BL308" s="7"/>
    </row>
    <row r="309" spans="1:64">
      <c r="A309" s="7"/>
      <c r="B309" s="7"/>
      <c r="C309" s="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7"/>
      <c r="AD309" s="7"/>
      <c r="AE309" s="7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7"/>
      <c r="BE309" s="7"/>
      <c r="BF309" s="7"/>
      <c r="BG309" s="7"/>
      <c r="BH309" s="7"/>
      <c r="BI309" s="7"/>
      <c r="BJ309" s="7"/>
      <c r="BK309" s="7"/>
      <c r="BL309" s="7"/>
    </row>
    <row r="310" spans="1:64">
      <c r="A310" s="7"/>
      <c r="B310" s="7"/>
      <c r="C310" s="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7"/>
      <c r="AD310" s="7"/>
      <c r="AE310" s="7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7"/>
      <c r="BE310" s="7"/>
      <c r="BF310" s="7"/>
      <c r="BG310" s="7"/>
      <c r="BH310" s="7"/>
      <c r="BI310" s="7"/>
      <c r="BJ310" s="7"/>
      <c r="BK310" s="7"/>
      <c r="BL310" s="7"/>
    </row>
    <row r="311" spans="1:64">
      <c r="A311" s="7"/>
      <c r="B311" s="7"/>
      <c r="C311" s="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7"/>
      <c r="AD311" s="7"/>
      <c r="AE311" s="7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7"/>
      <c r="BE311" s="7"/>
      <c r="BF311" s="7"/>
      <c r="BG311" s="7"/>
      <c r="BH311" s="7"/>
      <c r="BI311" s="7"/>
      <c r="BJ311" s="7"/>
      <c r="BK311" s="7"/>
      <c r="BL311" s="7"/>
    </row>
    <row r="312" spans="1:64">
      <c r="A312" s="7"/>
      <c r="B312" s="7"/>
      <c r="C312" s="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7"/>
      <c r="AD312" s="7"/>
      <c r="AE312" s="7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7"/>
      <c r="BE312" s="7"/>
      <c r="BF312" s="7"/>
      <c r="BG312" s="7"/>
      <c r="BH312" s="7"/>
      <c r="BI312" s="7"/>
      <c r="BJ312" s="7"/>
      <c r="BK312" s="7"/>
      <c r="BL312" s="7"/>
    </row>
    <row r="313" spans="1:64">
      <c r="A313" s="7"/>
      <c r="B313" s="7"/>
      <c r="C313" s="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7"/>
      <c r="AD313" s="7"/>
      <c r="AE313" s="7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7"/>
      <c r="BE313" s="7"/>
      <c r="BF313" s="7"/>
      <c r="BG313" s="7"/>
      <c r="BH313" s="7"/>
      <c r="BI313" s="7"/>
      <c r="BJ313" s="7"/>
      <c r="BK313" s="7"/>
      <c r="BL313" s="7"/>
    </row>
    <row r="314" spans="1:64">
      <c r="A314" s="7"/>
      <c r="B314" s="7"/>
      <c r="C314" s="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7"/>
      <c r="AD314" s="7"/>
      <c r="AE314" s="7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7"/>
      <c r="BE314" s="7"/>
      <c r="BF314" s="7"/>
      <c r="BG314" s="7"/>
      <c r="BH314" s="7"/>
      <c r="BI314" s="7"/>
      <c r="BJ314" s="7"/>
      <c r="BK314" s="7"/>
      <c r="BL314" s="7"/>
    </row>
    <row r="315" spans="1:64">
      <c r="A315" s="7"/>
      <c r="B315" s="7"/>
      <c r="C315" s="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7"/>
      <c r="AD315" s="7"/>
      <c r="AE315" s="7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7"/>
      <c r="BE315" s="7"/>
      <c r="BF315" s="7"/>
      <c r="BG315" s="7"/>
      <c r="BH315" s="7"/>
      <c r="BI315" s="7"/>
      <c r="BJ315" s="7"/>
      <c r="BK315" s="7"/>
      <c r="BL315" s="7"/>
    </row>
    <row r="316" spans="1:64">
      <c r="A316" s="7"/>
      <c r="B316" s="7"/>
      <c r="C316" s="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7"/>
      <c r="AD316" s="7"/>
      <c r="AE316" s="7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7"/>
      <c r="BE316" s="7"/>
      <c r="BF316" s="7"/>
      <c r="BG316" s="7"/>
      <c r="BH316" s="7"/>
      <c r="BI316" s="7"/>
      <c r="BJ316" s="7"/>
      <c r="BK316" s="7"/>
      <c r="BL316" s="7"/>
    </row>
    <row r="317" spans="1:64">
      <c r="A317" s="7"/>
      <c r="B317" s="7"/>
      <c r="C317" s="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7"/>
      <c r="AD317" s="7"/>
      <c r="AE317" s="7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7"/>
      <c r="BE317" s="7"/>
      <c r="BF317" s="7"/>
      <c r="BG317" s="7"/>
      <c r="BH317" s="7"/>
      <c r="BI317" s="7"/>
      <c r="BJ317" s="7"/>
      <c r="BK317" s="7"/>
      <c r="BL317" s="7"/>
    </row>
    <row r="318" spans="1:64">
      <c r="A318" s="7"/>
      <c r="B318" s="7"/>
      <c r="C318" s="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7"/>
      <c r="AD318" s="7"/>
      <c r="AE318" s="7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7"/>
      <c r="BE318" s="7"/>
      <c r="BF318" s="7"/>
      <c r="BG318" s="7"/>
      <c r="BH318" s="7"/>
      <c r="BI318" s="7"/>
      <c r="BJ318" s="7"/>
      <c r="BK318" s="7"/>
      <c r="BL318" s="7"/>
    </row>
    <row r="319" spans="1:64">
      <c r="A319" s="7"/>
      <c r="B319" s="7"/>
      <c r="C319" s="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7"/>
      <c r="AD319" s="7"/>
      <c r="AE319" s="7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7"/>
      <c r="BE319" s="7"/>
      <c r="BF319" s="7"/>
      <c r="BG319" s="7"/>
      <c r="BH319" s="7"/>
      <c r="BI319" s="7"/>
      <c r="BJ319" s="7"/>
      <c r="BK319" s="7"/>
      <c r="BL319" s="7"/>
    </row>
    <row r="320" spans="1:64">
      <c r="A320" s="7"/>
      <c r="B320" s="7"/>
      <c r="C320" s="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7"/>
      <c r="AD320" s="7"/>
      <c r="AE320" s="7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7"/>
      <c r="BE320" s="7"/>
      <c r="BF320" s="7"/>
      <c r="BG320" s="7"/>
      <c r="BH320" s="7"/>
      <c r="BI320" s="7"/>
      <c r="BJ320" s="7"/>
      <c r="BK320" s="7"/>
      <c r="BL320" s="7"/>
    </row>
    <row r="321" spans="1:64">
      <c r="A321" s="7"/>
      <c r="B321" s="7"/>
      <c r="C321" s="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7"/>
      <c r="AD321" s="7"/>
      <c r="AE321" s="7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7"/>
      <c r="BE321" s="7"/>
      <c r="BF321" s="7"/>
      <c r="BG321" s="7"/>
      <c r="BH321" s="7"/>
      <c r="BI321" s="7"/>
      <c r="BJ321" s="7"/>
      <c r="BK321" s="7"/>
      <c r="BL321" s="7"/>
    </row>
    <row r="322" spans="1:64">
      <c r="A322" s="7"/>
      <c r="B322" s="7"/>
      <c r="C322" s="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7"/>
      <c r="AD322" s="7"/>
      <c r="AE322" s="7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7"/>
      <c r="BE322" s="7"/>
      <c r="BF322" s="7"/>
      <c r="BG322" s="7"/>
      <c r="BH322" s="7"/>
      <c r="BI322" s="7"/>
      <c r="BJ322" s="7"/>
      <c r="BK322" s="7"/>
      <c r="BL322" s="7"/>
    </row>
    <row r="323" spans="1:64">
      <c r="A323" s="7"/>
      <c r="B323" s="7"/>
      <c r="C323" s="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7"/>
      <c r="AD323" s="7"/>
      <c r="AE323" s="7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7"/>
      <c r="BE323" s="7"/>
      <c r="BF323" s="7"/>
      <c r="BG323" s="7"/>
      <c r="BH323" s="7"/>
      <c r="BI323" s="7"/>
      <c r="BJ323" s="7"/>
      <c r="BK323" s="7"/>
      <c r="BL323" s="7"/>
    </row>
    <row r="324" spans="1:64">
      <c r="A324" s="7"/>
      <c r="B324" s="7"/>
      <c r="C324" s="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7"/>
      <c r="AD324" s="7"/>
      <c r="AE324" s="7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7"/>
      <c r="BE324" s="7"/>
      <c r="BF324" s="7"/>
      <c r="BG324" s="7"/>
      <c r="BH324" s="7"/>
      <c r="BI324" s="7"/>
      <c r="BJ324" s="7"/>
      <c r="BK324" s="7"/>
      <c r="BL324" s="7"/>
    </row>
    <row r="325" spans="1:64">
      <c r="A325" s="7"/>
      <c r="B325" s="7"/>
      <c r="C325" s="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7"/>
      <c r="AD325" s="7"/>
      <c r="AE325" s="7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7"/>
      <c r="BE325" s="7"/>
      <c r="BF325" s="7"/>
      <c r="BG325" s="7"/>
      <c r="BH325" s="7"/>
      <c r="BI325" s="7"/>
      <c r="BJ325" s="7"/>
      <c r="BK325" s="7"/>
      <c r="BL325" s="7"/>
    </row>
    <row r="326" spans="1:64">
      <c r="A326" s="7"/>
      <c r="B326" s="7"/>
      <c r="C326" s="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7"/>
      <c r="AD326" s="7"/>
      <c r="AE326" s="7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7"/>
      <c r="BE326" s="7"/>
      <c r="BF326" s="7"/>
      <c r="BG326" s="7"/>
      <c r="BH326" s="7"/>
      <c r="BI326" s="7"/>
      <c r="BJ326" s="7"/>
      <c r="BK326" s="7"/>
      <c r="BL326" s="7"/>
    </row>
    <row r="327" spans="1:64">
      <c r="A327" s="7"/>
      <c r="B327" s="7"/>
      <c r="C327" s="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7"/>
      <c r="AD327" s="7"/>
      <c r="AE327" s="7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7"/>
      <c r="BE327" s="7"/>
      <c r="BF327" s="7"/>
      <c r="BG327" s="7"/>
      <c r="BH327" s="7"/>
      <c r="BI327" s="7"/>
      <c r="BJ327" s="7"/>
      <c r="BK327" s="7"/>
      <c r="BL327" s="7"/>
    </row>
    <row r="328" spans="1:64">
      <c r="A328" s="7"/>
      <c r="B328" s="7"/>
      <c r="C328" s="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7"/>
      <c r="AD328" s="7"/>
      <c r="AE328" s="7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7"/>
      <c r="BE328" s="7"/>
      <c r="BF328" s="7"/>
      <c r="BG328" s="7"/>
      <c r="BH328" s="7"/>
      <c r="BI328" s="7"/>
      <c r="BJ328" s="7"/>
      <c r="BK328" s="7"/>
      <c r="BL328" s="7"/>
    </row>
    <row r="329" spans="1:64">
      <c r="A329" s="7"/>
      <c r="B329" s="7"/>
      <c r="C329" s="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7"/>
      <c r="AD329" s="7"/>
      <c r="AE329" s="7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7"/>
      <c r="BE329" s="7"/>
      <c r="BF329" s="7"/>
      <c r="BG329" s="7"/>
      <c r="BH329" s="7"/>
      <c r="BI329" s="7"/>
      <c r="BJ329" s="7"/>
      <c r="BK329" s="7"/>
      <c r="BL329" s="7"/>
    </row>
    <row r="330" spans="1:64">
      <c r="A330" s="7"/>
      <c r="B330" s="7"/>
      <c r="C330" s="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7"/>
      <c r="AD330" s="7"/>
      <c r="AE330" s="7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7"/>
      <c r="BE330" s="7"/>
      <c r="BF330" s="7"/>
      <c r="BG330" s="7"/>
      <c r="BH330" s="7"/>
      <c r="BI330" s="7"/>
      <c r="BJ330" s="7"/>
      <c r="BK330" s="7"/>
      <c r="BL330" s="7"/>
    </row>
    <row r="331" spans="1:64">
      <c r="A331" s="7"/>
      <c r="B331" s="7"/>
      <c r="C331" s="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7"/>
      <c r="AD331" s="7"/>
      <c r="AE331" s="7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7"/>
      <c r="BE331" s="7"/>
      <c r="BF331" s="7"/>
      <c r="BG331" s="7"/>
      <c r="BH331" s="7"/>
      <c r="BI331" s="7"/>
      <c r="BJ331" s="7"/>
      <c r="BK331" s="7"/>
      <c r="BL331" s="7"/>
    </row>
    <row r="332" spans="1:64">
      <c r="A332" s="7"/>
      <c r="B332" s="7"/>
      <c r="C332" s="7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7"/>
      <c r="AD332" s="7"/>
      <c r="AE332" s="7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7"/>
      <c r="BE332" s="7"/>
      <c r="BF332" s="7"/>
      <c r="BG332" s="7"/>
      <c r="BH332" s="7"/>
      <c r="BI332" s="7"/>
      <c r="BJ332" s="7"/>
      <c r="BK332" s="7"/>
      <c r="BL332" s="7"/>
    </row>
    <row r="333" spans="1:64">
      <c r="A333" s="7"/>
      <c r="B333" s="7"/>
      <c r="C333" s="7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7"/>
      <c r="AD333" s="7"/>
      <c r="AE333" s="7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7"/>
      <c r="BE333" s="7"/>
      <c r="BF333" s="7"/>
      <c r="BG333" s="7"/>
      <c r="BH333" s="7"/>
      <c r="BI333" s="7"/>
      <c r="BJ333" s="7"/>
      <c r="BK333" s="7"/>
      <c r="BL333" s="7"/>
    </row>
    <row r="334" spans="1:64">
      <c r="A334" s="7"/>
      <c r="B334" s="7"/>
      <c r="C334" s="7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7"/>
      <c r="AD334" s="7"/>
      <c r="AE334" s="7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7"/>
      <c r="BE334" s="7"/>
      <c r="BF334" s="7"/>
      <c r="BG334" s="7"/>
      <c r="BH334" s="7"/>
      <c r="BI334" s="7"/>
      <c r="BJ334" s="7"/>
      <c r="BK334" s="7"/>
      <c r="BL334" s="7"/>
    </row>
    <row r="335" spans="1:64">
      <c r="A335" s="7"/>
      <c r="B335" s="7"/>
      <c r="C335" s="7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7"/>
      <c r="AD335" s="7"/>
      <c r="AE335" s="7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7"/>
      <c r="BE335" s="7"/>
      <c r="BF335" s="7"/>
      <c r="BG335" s="7"/>
      <c r="BH335" s="7"/>
      <c r="BI335" s="7"/>
      <c r="BJ335" s="7"/>
      <c r="BK335" s="7"/>
      <c r="BL335" s="7"/>
    </row>
    <row r="336" spans="1:64">
      <c r="A336" s="7"/>
      <c r="B336" s="7"/>
      <c r="C336" s="7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7"/>
      <c r="AD336" s="7"/>
      <c r="AE336" s="7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7"/>
      <c r="BE336" s="7"/>
      <c r="BF336" s="7"/>
      <c r="BG336" s="7"/>
      <c r="BH336" s="7"/>
      <c r="BI336" s="7"/>
      <c r="BJ336" s="7"/>
      <c r="BK336" s="7"/>
      <c r="BL336" s="7"/>
    </row>
    <row r="337" spans="1:64">
      <c r="A337" s="7"/>
      <c r="B337" s="7"/>
      <c r="C337" s="7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7"/>
      <c r="AD337" s="7"/>
      <c r="AE337" s="7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7"/>
      <c r="BE337" s="7"/>
      <c r="BF337" s="7"/>
      <c r="BG337" s="7"/>
      <c r="BH337" s="7"/>
      <c r="BI337" s="7"/>
      <c r="BJ337" s="7"/>
      <c r="BK337" s="7"/>
      <c r="BL337" s="7"/>
    </row>
    <row r="338" spans="1:64">
      <c r="A338" s="7"/>
      <c r="B338" s="7"/>
      <c r="C338" s="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7"/>
      <c r="AD338" s="7"/>
      <c r="AE338" s="7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7"/>
      <c r="BE338" s="7"/>
      <c r="BF338" s="7"/>
      <c r="BG338" s="7"/>
      <c r="BH338" s="7"/>
      <c r="BI338" s="7"/>
      <c r="BJ338" s="7"/>
      <c r="BK338" s="7"/>
      <c r="BL338" s="7"/>
    </row>
    <row r="339" spans="1:64">
      <c r="A339" s="7"/>
      <c r="B339" s="7"/>
      <c r="C339" s="7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7"/>
      <c r="AD339" s="7"/>
      <c r="AE339" s="7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7"/>
      <c r="BE339" s="7"/>
      <c r="BF339" s="7"/>
      <c r="BG339" s="7"/>
      <c r="BH339" s="7"/>
      <c r="BI339" s="7"/>
      <c r="BJ339" s="7"/>
      <c r="BK339" s="7"/>
      <c r="BL339" s="7"/>
    </row>
    <row r="340" spans="1:64">
      <c r="A340" s="7"/>
      <c r="B340" s="7"/>
      <c r="C340" s="7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7"/>
      <c r="AD340" s="7"/>
      <c r="AE340" s="7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7"/>
      <c r="BE340" s="7"/>
      <c r="BF340" s="7"/>
      <c r="BG340" s="7"/>
      <c r="BH340" s="7"/>
      <c r="BI340" s="7"/>
      <c r="BJ340" s="7"/>
      <c r="BK340" s="7"/>
      <c r="BL340" s="7"/>
    </row>
    <row r="341" spans="1:64">
      <c r="A341" s="7"/>
      <c r="B341" s="7"/>
      <c r="C341" s="7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7"/>
      <c r="AD341" s="7"/>
      <c r="AE341" s="7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7"/>
      <c r="BE341" s="7"/>
      <c r="BF341" s="7"/>
      <c r="BG341" s="7"/>
      <c r="BH341" s="7"/>
      <c r="BI341" s="7"/>
      <c r="BJ341" s="7"/>
      <c r="BK341" s="7"/>
      <c r="BL341" s="7"/>
    </row>
    <row r="342" spans="1:64">
      <c r="A342" s="7"/>
      <c r="B342" s="7"/>
      <c r="C342" s="7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7"/>
      <c r="AD342" s="7"/>
      <c r="AE342" s="7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7"/>
      <c r="BE342" s="7"/>
      <c r="BF342" s="7"/>
      <c r="BG342" s="7"/>
      <c r="BH342" s="7"/>
      <c r="BI342" s="7"/>
      <c r="BJ342" s="7"/>
      <c r="BK342" s="7"/>
      <c r="BL342" s="7"/>
    </row>
    <row r="343" spans="1:64">
      <c r="A343" s="7"/>
      <c r="B343" s="7"/>
      <c r="C343" s="7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7"/>
      <c r="AD343" s="7"/>
      <c r="AE343" s="7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7"/>
      <c r="BE343" s="7"/>
      <c r="BF343" s="7"/>
      <c r="BG343" s="7"/>
      <c r="BH343" s="7"/>
      <c r="BI343" s="7"/>
      <c r="BJ343" s="7"/>
      <c r="BK343" s="7"/>
      <c r="BL343" s="7"/>
    </row>
    <row r="344" spans="1:64">
      <c r="A344" s="7"/>
      <c r="B344" s="7"/>
      <c r="C344" s="7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7"/>
      <c r="AD344" s="7"/>
      <c r="AE344" s="7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7"/>
      <c r="BE344" s="7"/>
      <c r="BF344" s="7"/>
      <c r="BG344" s="7"/>
      <c r="BH344" s="7"/>
      <c r="BI344" s="7"/>
      <c r="BJ344" s="7"/>
      <c r="BK344" s="7"/>
      <c r="BL344" s="7"/>
    </row>
    <row r="345" spans="1:64">
      <c r="A345" s="7"/>
      <c r="B345" s="7"/>
      <c r="C345" s="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7"/>
      <c r="AD345" s="7"/>
      <c r="AE345" s="7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7"/>
      <c r="BE345" s="7"/>
      <c r="BF345" s="7"/>
      <c r="BG345" s="7"/>
      <c r="BH345" s="7"/>
      <c r="BI345" s="7"/>
      <c r="BJ345" s="7"/>
      <c r="BK345" s="7"/>
      <c r="BL345" s="7"/>
    </row>
    <row r="346" spans="1:64">
      <c r="A346" s="7"/>
      <c r="B346" s="7"/>
      <c r="C346" s="7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7"/>
      <c r="AD346" s="7"/>
      <c r="AE346" s="7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7"/>
      <c r="BE346" s="7"/>
      <c r="BF346" s="7"/>
      <c r="BG346" s="7"/>
      <c r="BH346" s="7"/>
      <c r="BI346" s="7"/>
      <c r="BJ346" s="7"/>
      <c r="BK346" s="7"/>
      <c r="BL346" s="7"/>
    </row>
    <row r="347" spans="1:64">
      <c r="A347" s="7"/>
      <c r="B347" s="7"/>
      <c r="C347" s="7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7"/>
      <c r="AD347" s="7"/>
      <c r="AE347" s="7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7"/>
      <c r="BE347" s="7"/>
      <c r="BF347" s="7"/>
      <c r="BG347" s="7"/>
      <c r="BH347" s="7"/>
      <c r="BI347" s="7"/>
      <c r="BJ347" s="7"/>
      <c r="BK347" s="7"/>
      <c r="BL347" s="7"/>
    </row>
    <row r="348" spans="1:64">
      <c r="A348" s="7"/>
      <c r="B348" s="7"/>
      <c r="C348" s="7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7"/>
      <c r="AD348" s="7"/>
      <c r="AE348" s="7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7"/>
      <c r="BE348" s="7"/>
      <c r="BF348" s="7"/>
      <c r="BG348" s="7"/>
      <c r="BH348" s="7"/>
      <c r="BI348" s="7"/>
      <c r="BJ348" s="7"/>
      <c r="BK348" s="7"/>
      <c r="BL348" s="7"/>
    </row>
    <row r="349" spans="1:64">
      <c r="A349" s="7"/>
      <c r="B349" s="7"/>
      <c r="C349" s="7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7"/>
      <c r="AD349" s="7"/>
      <c r="AE349" s="7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7"/>
      <c r="BE349" s="7"/>
      <c r="BF349" s="7"/>
      <c r="BG349" s="7"/>
      <c r="BH349" s="7"/>
      <c r="BI349" s="7"/>
      <c r="BJ349" s="7"/>
      <c r="BK349" s="7"/>
      <c r="BL349" s="7"/>
    </row>
    <row r="350" spans="1:64">
      <c r="A350" s="7"/>
      <c r="B350" s="7"/>
      <c r="C350" s="7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7"/>
      <c r="AD350" s="7"/>
      <c r="AE350" s="7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7"/>
      <c r="BE350" s="7"/>
      <c r="BF350" s="7"/>
      <c r="BG350" s="7"/>
      <c r="BH350" s="7"/>
      <c r="BI350" s="7"/>
      <c r="BJ350" s="7"/>
      <c r="BK350" s="7"/>
      <c r="BL350" s="7"/>
    </row>
    <row r="351" spans="1:64">
      <c r="A351" s="7"/>
      <c r="B351" s="7"/>
      <c r="C351" s="7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7"/>
      <c r="AD351" s="7"/>
      <c r="AE351" s="7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7"/>
      <c r="BE351" s="7"/>
      <c r="BF351" s="7"/>
      <c r="BG351" s="7"/>
      <c r="BH351" s="7"/>
      <c r="BI351" s="7"/>
      <c r="BJ351" s="7"/>
      <c r="BK351" s="7"/>
      <c r="BL351" s="7"/>
    </row>
    <row r="352" spans="1:64">
      <c r="A352" s="7"/>
      <c r="B352" s="7"/>
      <c r="C352" s="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7"/>
      <c r="AD352" s="7"/>
      <c r="AE352" s="7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7"/>
      <c r="BE352" s="7"/>
      <c r="BF352" s="7"/>
      <c r="BG352" s="7"/>
      <c r="BH352" s="7"/>
      <c r="BI352" s="7"/>
      <c r="BJ352" s="7"/>
      <c r="BK352" s="7"/>
      <c r="BL352" s="7"/>
    </row>
    <row r="353" spans="1:64">
      <c r="A353" s="7"/>
      <c r="B353" s="7"/>
      <c r="C353" s="7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7"/>
      <c r="AD353" s="7"/>
      <c r="AE353" s="7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7"/>
      <c r="BE353" s="7"/>
      <c r="BF353" s="7"/>
      <c r="BG353" s="7"/>
      <c r="BH353" s="7"/>
      <c r="BI353" s="7"/>
      <c r="BJ353" s="7"/>
      <c r="BK353" s="7"/>
      <c r="BL353" s="7"/>
    </row>
    <row r="354" spans="1:64">
      <c r="A354" s="7"/>
      <c r="B354" s="7"/>
      <c r="C354" s="7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7"/>
      <c r="AD354" s="7"/>
      <c r="AE354" s="7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7"/>
      <c r="BE354" s="7"/>
      <c r="BF354" s="7"/>
      <c r="BG354" s="7"/>
      <c r="BH354" s="7"/>
      <c r="BI354" s="7"/>
      <c r="BJ354" s="7"/>
      <c r="BK354" s="7"/>
      <c r="BL354" s="7"/>
    </row>
    <row r="355" spans="1:64">
      <c r="A355" s="7"/>
      <c r="B355" s="7"/>
      <c r="C355" s="7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7"/>
      <c r="AD355" s="7"/>
      <c r="AE355" s="7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7"/>
      <c r="BE355" s="7"/>
      <c r="BF355" s="7"/>
      <c r="BG355" s="7"/>
      <c r="BH355" s="7"/>
      <c r="BI355" s="7"/>
      <c r="BJ355" s="7"/>
      <c r="BK355" s="7"/>
      <c r="BL355" s="7"/>
    </row>
    <row r="356" spans="1:64">
      <c r="A356" s="7"/>
      <c r="B356" s="7"/>
      <c r="C356" s="7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7"/>
      <c r="AD356" s="7"/>
      <c r="AE356" s="7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7"/>
      <c r="BE356" s="7"/>
      <c r="BF356" s="7"/>
      <c r="BG356" s="7"/>
      <c r="BH356" s="7"/>
      <c r="BI356" s="7"/>
      <c r="BJ356" s="7"/>
      <c r="BK356" s="7"/>
      <c r="BL356" s="7"/>
    </row>
    <row r="357" spans="1:64">
      <c r="A357" s="7"/>
      <c r="B357" s="7"/>
      <c r="C357" s="7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7"/>
      <c r="AD357" s="7"/>
      <c r="AE357" s="7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7"/>
      <c r="BE357" s="7"/>
      <c r="BF357" s="7"/>
      <c r="BG357" s="7"/>
      <c r="BH357" s="7"/>
      <c r="BI357" s="7"/>
      <c r="BJ357" s="7"/>
      <c r="BK357" s="7"/>
      <c r="BL357" s="7"/>
    </row>
    <row r="358" spans="1:64">
      <c r="A358" s="7"/>
      <c r="B358" s="7"/>
      <c r="C358" s="7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7"/>
      <c r="AD358" s="7"/>
      <c r="AE358" s="7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7"/>
      <c r="BE358" s="7"/>
      <c r="BF358" s="7"/>
      <c r="BG358" s="7"/>
      <c r="BH358" s="7"/>
      <c r="BI358" s="7"/>
      <c r="BJ358" s="7"/>
      <c r="BK358" s="7"/>
      <c r="BL358" s="7"/>
    </row>
    <row r="359" spans="1:64">
      <c r="A359" s="7"/>
      <c r="B359" s="7"/>
      <c r="C359" s="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7"/>
      <c r="AD359" s="7"/>
      <c r="AE359" s="7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7"/>
      <c r="BE359" s="7"/>
      <c r="BF359" s="7"/>
      <c r="BG359" s="7"/>
      <c r="BH359" s="7"/>
      <c r="BI359" s="7"/>
      <c r="BJ359" s="7"/>
      <c r="BK359" s="7"/>
      <c r="BL359" s="7"/>
    </row>
    <row r="360" spans="1:64">
      <c r="A360" s="7"/>
      <c r="B360" s="7"/>
      <c r="C360" s="7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7"/>
      <c r="AD360" s="7"/>
      <c r="AE360" s="7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7"/>
      <c r="BE360" s="7"/>
      <c r="BF360" s="7"/>
      <c r="BG360" s="7"/>
      <c r="BH360" s="7"/>
      <c r="BI360" s="7"/>
      <c r="BJ360" s="7"/>
      <c r="BK360" s="7"/>
      <c r="BL360" s="7"/>
    </row>
    <row r="361" spans="1:64">
      <c r="A361" s="7"/>
      <c r="B361" s="7"/>
      <c r="C361" s="7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7"/>
      <c r="AD361" s="7"/>
      <c r="AE361" s="7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7"/>
      <c r="BE361" s="7"/>
      <c r="BF361" s="7"/>
      <c r="BG361" s="7"/>
      <c r="BH361" s="7"/>
      <c r="BI361" s="7"/>
      <c r="BJ361" s="7"/>
      <c r="BK361" s="7"/>
      <c r="BL361" s="7"/>
    </row>
    <row r="362" spans="1:64">
      <c r="A362" s="7"/>
      <c r="B362" s="7"/>
      <c r="C362" s="7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7"/>
      <c r="AD362" s="7"/>
      <c r="AE362" s="7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7"/>
      <c r="BE362" s="7"/>
      <c r="BF362" s="7"/>
      <c r="BG362" s="7"/>
      <c r="BH362" s="7"/>
      <c r="BI362" s="7"/>
      <c r="BJ362" s="7"/>
      <c r="BK362" s="7"/>
      <c r="BL362" s="7"/>
    </row>
    <row r="363" spans="1:64">
      <c r="A363" s="7"/>
      <c r="B363" s="7"/>
      <c r="C363" s="7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7"/>
      <c r="AD363" s="7"/>
      <c r="AE363" s="7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7"/>
      <c r="BE363" s="7"/>
      <c r="BF363" s="7"/>
      <c r="BG363" s="7"/>
      <c r="BH363" s="7"/>
      <c r="BI363" s="7"/>
      <c r="BJ363" s="7"/>
      <c r="BK363" s="7"/>
      <c r="BL363" s="7"/>
    </row>
    <row r="364" spans="1:64">
      <c r="A364" s="7"/>
      <c r="B364" s="7"/>
      <c r="C364" s="7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7"/>
      <c r="AD364" s="7"/>
      <c r="AE364" s="7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7"/>
      <c r="BE364" s="7"/>
      <c r="BF364" s="7"/>
      <c r="BG364" s="7"/>
      <c r="BH364" s="7"/>
      <c r="BI364" s="7"/>
      <c r="BJ364" s="7"/>
      <c r="BK364" s="7"/>
      <c r="BL364" s="7"/>
    </row>
    <row r="365" spans="1:64">
      <c r="A365" s="7"/>
      <c r="B365" s="7"/>
      <c r="C365" s="7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7"/>
      <c r="AD365" s="7"/>
      <c r="AE365" s="7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7"/>
      <c r="BE365" s="7"/>
      <c r="BF365" s="7"/>
      <c r="BG365" s="7"/>
      <c r="BH365" s="7"/>
      <c r="BI365" s="7"/>
      <c r="BJ365" s="7"/>
      <c r="BK365" s="7"/>
      <c r="BL365" s="7"/>
    </row>
    <row r="366" spans="1:64">
      <c r="A366" s="7"/>
      <c r="B366" s="7"/>
      <c r="C366" s="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7"/>
      <c r="AD366" s="7"/>
      <c r="AE366" s="7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7"/>
      <c r="BE366" s="7"/>
      <c r="BF366" s="7"/>
      <c r="BG366" s="7"/>
      <c r="BH366" s="7"/>
      <c r="BI366" s="7"/>
      <c r="BJ366" s="7"/>
      <c r="BK366" s="7"/>
      <c r="BL366" s="7"/>
    </row>
    <row r="367" spans="1:64">
      <c r="A367" s="7"/>
      <c r="B367" s="7"/>
      <c r="C367" s="7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7"/>
      <c r="AD367" s="7"/>
      <c r="AE367" s="7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7"/>
      <c r="BE367" s="7"/>
      <c r="BF367" s="7"/>
      <c r="BG367" s="7"/>
      <c r="BH367" s="7"/>
      <c r="BI367" s="7"/>
      <c r="BJ367" s="7"/>
      <c r="BK367" s="7"/>
      <c r="BL367" s="7"/>
    </row>
    <row r="368" spans="1:64">
      <c r="A368" s="7"/>
      <c r="B368" s="7"/>
      <c r="C368" s="7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7"/>
      <c r="AD368" s="7"/>
      <c r="AE368" s="7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7"/>
      <c r="BE368" s="7"/>
      <c r="BF368" s="7"/>
      <c r="BG368" s="7"/>
      <c r="BH368" s="7"/>
      <c r="BI368" s="7"/>
      <c r="BJ368" s="7"/>
      <c r="BK368" s="7"/>
      <c r="BL368" s="7"/>
    </row>
    <row r="369" spans="1:64">
      <c r="A369" s="7"/>
      <c r="B369" s="7"/>
      <c r="C369" s="7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7"/>
      <c r="AD369" s="7"/>
      <c r="AE369" s="7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7"/>
      <c r="BE369" s="7"/>
      <c r="BF369" s="7"/>
      <c r="BG369" s="7"/>
      <c r="BH369" s="7"/>
      <c r="BI369" s="7"/>
      <c r="BJ369" s="7"/>
      <c r="BK369" s="7"/>
      <c r="BL369" s="7"/>
    </row>
    <row r="370" spans="1:64">
      <c r="A370" s="7"/>
      <c r="B370" s="7"/>
      <c r="C370" s="7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7"/>
      <c r="AD370" s="7"/>
      <c r="AE370" s="7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7"/>
      <c r="BE370" s="7"/>
      <c r="BF370" s="7"/>
      <c r="BG370" s="7"/>
      <c r="BH370" s="7"/>
      <c r="BI370" s="7"/>
      <c r="BJ370" s="7"/>
      <c r="BK370" s="7"/>
      <c r="BL370" s="7"/>
    </row>
    <row r="371" spans="1:64">
      <c r="A371" s="7"/>
      <c r="B371" s="7"/>
      <c r="C371" s="7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7"/>
      <c r="AD371" s="7"/>
      <c r="AE371" s="7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7"/>
      <c r="BE371" s="7"/>
      <c r="BF371" s="7"/>
      <c r="BG371" s="7"/>
      <c r="BH371" s="7"/>
      <c r="BI371" s="7"/>
      <c r="BJ371" s="7"/>
      <c r="BK371" s="7"/>
      <c r="BL371" s="7"/>
    </row>
    <row r="372" spans="1:64">
      <c r="A372" s="7"/>
      <c r="B372" s="7"/>
      <c r="C372" s="7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7"/>
      <c r="AD372" s="7"/>
      <c r="AE372" s="7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7"/>
      <c r="BE372" s="7"/>
      <c r="BF372" s="7"/>
      <c r="BG372" s="7"/>
      <c r="BH372" s="7"/>
      <c r="BI372" s="7"/>
      <c r="BJ372" s="7"/>
      <c r="BK372" s="7"/>
      <c r="BL372" s="7"/>
    </row>
    <row r="373" spans="1:64">
      <c r="A373" s="7"/>
      <c r="B373" s="7"/>
      <c r="C373" s="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7"/>
      <c r="AD373" s="7"/>
      <c r="AE373" s="7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7"/>
      <c r="BE373" s="7"/>
      <c r="BF373" s="7"/>
      <c r="BG373" s="7"/>
      <c r="BH373" s="7"/>
      <c r="BI373" s="7"/>
      <c r="BJ373" s="7"/>
      <c r="BK373" s="7"/>
      <c r="BL373" s="7"/>
    </row>
    <row r="374" spans="1:64">
      <c r="A374" s="7"/>
      <c r="B374" s="7"/>
      <c r="C374" s="7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7"/>
      <c r="AD374" s="7"/>
      <c r="AE374" s="7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7"/>
      <c r="BE374" s="7"/>
      <c r="BF374" s="7"/>
      <c r="BG374" s="7"/>
      <c r="BH374" s="7"/>
      <c r="BI374" s="7"/>
      <c r="BJ374" s="7"/>
      <c r="BK374" s="7"/>
      <c r="BL374" s="7"/>
    </row>
    <row r="375" spans="1:64">
      <c r="A375" s="7"/>
      <c r="B375" s="7"/>
      <c r="C375" s="7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7"/>
      <c r="AD375" s="7"/>
      <c r="AE375" s="7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7"/>
      <c r="BE375" s="7"/>
      <c r="BF375" s="7"/>
      <c r="BG375" s="7"/>
      <c r="BH375" s="7"/>
      <c r="BI375" s="7"/>
      <c r="BJ375" s="7"/>
      <c r="BK375" s="7"/>
      <c r="BL375" s="7"/>
    </row>
    <row r="376" spans="1:64">
      <c r="A376" s="7"/>
      <c r="B376" s="7"/>
      <c r="C376" s="7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7"/>
      <c r="AD376" s="7"/>
      <c r="AE376" s="7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7"/>
      <c r="BE376" s="7"/>
      <c r="BF376" s="7"/>
      <c r="BG376" s="7"/>
      <c r="BH376" s="7"/>
      <c r="BI376" s="7"/>
      <c r="BJ376" s="7"/>
      <c r="BK376" s="7"/>
      <c r="BL376" s="7"/>
    </row>
    <row r="377" spans="1:64">
      <c r="A377" s="7"/>
      <c r="B377" s="7"/>
      <c r="C377" s="7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7"/>
      <c r="AD377" s="7"/>
      <c r="AE377" s="7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7"/>
      <c r="BE377" s="7"/>
      <c r="BF377" s="7"/>
      <c r="BG377" s="7"/>
      <c r="BH377" s="7"/>
      <c r="BI377" s="7"/>
      <c r="BJ377" s="7"/>
      <c r="BK377" s="7"/>
      <c r="BL377" s="7"/>
    </row>
    <row r="378" spans="1:64">
      <c r="A378" s="7"/>
      <c r="B378" s="7"/>
      <c r="C378" s="7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7"/>
      <c r="AD378" s="7"/>
      <c r="AE378" s="7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7"/>
      <c r="BE378" s="7"/>
      <c r="BF378" s="7"/>
      <c r="BG378" s="7"/>
      <c r="BH378" s="7"/>
      <c r="BI378" s="7"/>
      <c r="BJ378" s="7"/>
      <c r="BK378" s="7"/>
      <c r="BL378" s="7"/>
    </row>
    <row r="379" spans="1:64">
      <c r="A379" s="7"/>
      <c r="B379" s="7"/>
      <c r="C379" s="7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7"/>
      <c r="AD379" s="7"/>
      <c r="AE379" s="7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7"/>
      <c r="BE379" s="7"/>
      <c r="BF379" s="7"/>
      <c r="BG379" s="7"/>
      <c r="BH379" s="7"/>
      <c r="BI379" s="7"/>
      <c r="BJ379" s="7"/>
      <c r="BK379" s="7"/>
      <c r="BL379" s="7"/>
    </row>
    <row r="380" spans="1:64">
      <c r="A380" s="7"/>
      <c r="B380" s="7"/>
      <c r="C380" s="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7"/>
      <c r="AD380" s="7"/>
      <c r="AE380" s="7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7"/>
      <c r="BE380" s="7"/>
      <c r="BF380" s="7"/>
      <c r="BG380" s="7"/>
      <c r="BH380" s="7"/>
      <c r="BI380" s="7"/>
      <c r="BJ380" s="7"/>
      <c r="BK380" s="7"/>
      <c r="BL380" s="7"/>
    </row>
    <row r="381" spans="1:64">
      <c r="A381" s="7"/>
      <c r="B381" s="7"/>
      <c r="C381" s="7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7"/>
      <c r="AD381" s="7"/>
      <c r="AE381" s="7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7"/>
      <c r="BE381" s="7"/>
      <c r="BF381" s="7"/>
      <c r="BG381" s="7"/>
      <c r="BH381" s="7"/>
      <c r="BI381" s="7"/>
      <c r="BJ381" s="7"/>
      <c r="BK381" s="7"/>
      <c r="BL381" s="7"/>
    </row>
    <row r="382" spans="1:64">
      <c r="A382" s="7"/>
      <c r="B382" s="7"/>
      <c r="C382" s="7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7"/>
      <c r="AD382" s="7"/>
      <c r="AE382" s="7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7"/>
      <c r="BE382" s="7"/>
      <c r="BF382" s="7"/>
      <c r="BG382" s="7"/>
      <c r="BH382" s="7"/>
      <c r="BI382" s="7"/>
      <c r="BJ382" s="7"/>
      <c r="BK382" s="7"/>
      <c r="BL382" s="7"/>
    </row>
    <row r="383" spans="1:64">
      <c r="A383" s="7"/>
      <c r="B383" s="7"/>
      <c r="C383" s="7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7"/>
      <c r="AD383" s="7"/>
      <c r="AE383" s="7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7"/>
      <c r="BE383" s="7"/>
      <c r="BF383" s="7"/>
      <c r="BG383" s="7"/>
      <c r="BH383" s="7"/>
      <c r="BI383" s="7"/>
      <c r="BJ383" s="7"/>
      <c r="BK383" s="7"/>
      <c r="BL383" s="7"/>
    </row>
    <row r="384" spans="1:64">
      <c r="A384" s="7"/>
      <c r="B384" s="7"/>
      <c r="C384" s="7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7"/>
      <c r="AD384" s="7"/>
      <c r="AE384" s="7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7"/>
      <c r="BE384" s="7"/>
      <c r="BF384" s="7"/>
      <c r="BG384" s="7"/>
      <c r="BH384" s="7"/>
      <c r="BI384" s="7"/>
      <c r="BJ384" s="7"/>
      <c r="BK384" s="7"/>
      <c r="BL384" s="7"/>
    </row>
    <row r="385" spans="1:64">
      <c r="A385" s="7"/>
      <c r="B385" s="7"/>
      <c r="C385" s="7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7"/>
      <c r="AD385" s="7"/>
      <c r="AE385" s="7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7"/>
      <c r="BE385" s="7"/>
      <c r="BF385" s="7"/>
      <c r="BG385" s="7"/>
      <c r="BH385" s="7"/>
      <c r="BI385" s="7"/>
      <c r="BJ385" s="7"/>
      <c r="BK385" s="7"/>
      <c r="BL385" s="7"/>
    </row>
    <row r="386" spans="1:64">
      <c r="A386" s="7"/>
      <c r="B386" s="7"/>
      <c r="C386" s="7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7"/>
      <c r="AD386" s="7"/>
      <c r="AE386" s="7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7"/>
      <c r="BE386" s="7"/>
      <c r="BF386" s="7"/>
      <c r="BG386" s="7"/>
      <c r="BH386" s="7"/>
      <c r="BI386" s="7"/>
      <c r="BJ386" s="7"/>
      <c r="BK386" s="7"/>
      <c r="BL386" s="7"/>
    </row>
    <row r="387" spans="1:64">
      <c r="A387" s="7"/>
      <c r="B387" s="7"/>
      <c r="C387" s="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7"/>
      <c r="AD387" s="7"/>
      <c r="AE387" s="7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7"/>
      <c r="BE387" s="7"/>
      <c r="BF387" s="7"/>
      <c r="BG387" s="7"/>
      <c r="BH387" s="7"/>
      <c r="BI387" s="7"/>
      <c r="BJ387" s="7"/>
      <c r="BK387" s="7"/>
      <c r="BL387" s="7"/>
    </row>
    <row r="388" spans="1:64">
      <c r="A388" s="7"/>
      <c r="B388" s="7"/>
      <c r="C388" s="7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7"/>
      <c r="AD388" s="7"/>
      <c r="AE388" s="7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7"/>
      <c r="BE388" s="7"/>
      <c r="BF388" s="7"/>
      <c r="BG388" s="7"/>
      <c r="BH388" s="7"/>
      <c r="BI388" s="7"/>
      <c r="BJ388" s="7"/>
      <c r="BK388" s="7"/>
      <c r="BL388" s="7"/>
    </row>
    <row r="389" spans="1:64">
      <c r="A389" s="7"/>
      <c r="B389" s="7"/>
      <c r="C389" s="7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7"/>
      <c r="AD389" s="7"/>
      <c r="AE389" s="7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7"/>
      <c r="BE389" s="7"/>
      <c r="BF389" s="7"/>
      <c r="BG389" s="7"/>
      <c r="BH389" s="7"/>
      <c r="BI389" s="7"/>
      <c r="BJ389" s="7"/>
      <c r="BK389" s="7"/>
      <c r="BL389" s="7"/>
    </row>
    <row r="390" spans="1:64">
      <c r="A390" s="7"/>
      <c r="B390" s="7"/>
      <c r="C390" s="7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7"/>
      <c r="AD390" s="7"/>
      <c r="AE390" s="7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7"/>
      <c r="BE390" s="7"/>
      <c r="BF390" s="7"/>
      <c r="BG390" s="7"/>
      <c r="BH390" s="7"/>
      <c r="BI390" s="7"/>
      <c r="BJ390" s="7"/>
      <c r="BK390" s="7"/>
      <c r="BL390" s="7"/>
    </row>
    <row r="391" spans="1:64">
      <c r="A391" s="7"/>
      <c r="B391" s="7"/>
      <c r="C391" s="7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7"/>
      <c r="AD391" s="7"/>
      <c r="AE391" s="7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7"/>
      <c r="BE391" s="7"/>
      <c r="BF391" s="7"/>
      <c r="BG391" s="7"/>
      <c r="BH391" s="7"/>
      <c r="BI391" s="7"/>
      <c r="BJ391" s="7"/>
      <c r="BK391" s="7"/>
      <c r="BL391" s="7"/>
    </row>
    <row r="392" spans="1:64">
      <c r="A392" s="7"/>
      <c r="B392" s="7"/>
      <c r="C392" s="7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7"/>
      <c r="AD392" s="7"/>
      <c r="AE392" s="7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7"/>
      <c r="BE392" s="7"/>
      <c r="BF392" s="7"/>
      <c r="BG392" s="7"/>
      <c r="BH392" s="7"/>
      <c r="BI392" s="7"/>
      <c r="BJ392" s="7"/>
      <c r="BK392" s="7"/>
      <c r="BL392" s="7"/>
    </row>
    <row r="393" spans="1:64">
      <c r="A393" s="7"/>
      <c r="B393" s="7"/>
      <c r="C393" s="7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7"/>
      <c r="AD393" s="7"/>
      <c r="AE393" s="7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7"/>
      <c r="BE393" s="7"/>
      <c r="BF393" s="7"/>
      <c r="BG393" s="7"/>
      <c r="BH393" s="7"/>
      <c r="BI393" s="7"/>
      <c r="BJ393" s="7"/>
      <c r="BK393" s="7"/>
      <c r="BL393" s="7"/>
    </row>
    <row r="394" spans="1:64">
      <c r="A394" s="7"/>
      <c r="B394" s="7"/>
      <c r="C394" s="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7"/>
      <c r="AD394" s="7"/>
      <c r="AE394" s="7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7"/>
      <c r="BE394" s="7"/>
      <c r="BF394" s="7"/>
      <c r="BG394" s="7"/>
      <c r="BH394" s="7"/>
      <c r="BI394" s="7"/>
      <c r="BJ394" s="7"/>
      <c r="BK394" s="7"/>
      <c r="BL394" s="7"/>
    </row>
    <row r="395" spans="1:64">
      <c r="A395" s="7"/>
      <c r="B395" s="7"/>
      <c r="C395" s="7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7"/>
      <c r="AD395" s="7"/>
      <c r="AE395" s="7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7"/>
      <c r="BE395" s="7"/>
      <c r="BF395" s="7"/>
      <c r="BG395" s="7"/>
      <c r="BH395" s="7"/>
      <c r="BI395" s="7"/>
      <c r="BJ395" s="7"/>
      <c r="BK395" s="7"/>
      <c r="BL395" s="7"/>
    </row>
    <row r="396" spans="1:64">
      <c r="A396" s="7"/>
      <c r="B396" s="7"/>
      <c r="C396" s="7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7"/>
      <c r="AD396" s="7"/>
      <c r="AE396" s="7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7"/>
      <c r="BE396" s="7"/>
      <c r="BF396" s="7"/>
      <c r="BG396" s="7"/>
      <c r="BH396" s="7"/>
      <c r="BI396" s="7"/>
      <c r="BJ396" s="7"/>
      <c r="BK396" s="7"/>
      <c r="BL396" s="7"/>
    </row>
    <row r="397" spans="1:64">
      <c r="A397" s="7"/>
      <c r="B397" s="7"/>
      <c r="C397" s="7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7"/>
      <c r="AD397" s="7"/>
      <c r="AE397" s="7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7"/>
      <c r="BE397" s="7"/>
      <c r="BF397" s="7"/>
      <c r="BG397" s="7"/>
      <c r="BH397" s="7"/>
      <c r="BI397" s="7"/>
      <c r="BJ397" s="7"/>
      <c r="BK397" s="7"/>
      <c r="BL397" s="7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7"/>
  <sheetViews>
    <sheetView topLeftCell="B1" workbookViewId="0">
      <selection activeCell="C3" sqref="C3:C22"/>
    </sheetView>
  </sheetViews>
  <sheetFormatPr defaultColWidth="7.18" defaultRowHeight="15"/>
  <cols>
    <col min="1" max="3" width="12.4533333333333"/>
  </cols>
  <sheetData>
    <row r="1" spans="1:6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7" t="s">
        <v>62</v>
      </c>
    </row>
    <row r="2" spans="1:64">
      <c r="A2" s="11">
        <v>0</v>
      </c>
      <c r="B2" s="11">
        <v>0</v>
      </c>
      <c r="C2" s="11"/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7">
        <v>0</v>
      </c>
    </row>
    <row r="3" spans="1:64">
      <c r="A3" s="11">
        <v>0.14091914656322</v>
      </c>
      <c r="B3" s="12">
        <v>2.1248069877421e-12</v>
      </c>
      <c r="C3" s="12">
        <f>(B3-B2)/(A3-A2)</f>
        <v>1.50781993757595e-11</v>
      </c>
      <c r="D3" s="12">
        <v>2.3753247141418e-12</v>
      </c>
      <c r="E3" s="12">
        <v>2.3461532643133e-12</v>
      </c>
      <c r="F3" s="12">
        <v>2.3461532643133e-12</v>
      </c>
      <c r="G3" s="12">
        <v>2.3461532643133e-12</v>
      </c>
      <c r="H3" s="12">
        <v>2.3753247141418e-12</v>
      </c>
      <c r="I3" s="12">
        <v>2.3753247141418e-12</v>
      </c>
      <c r="J3" s="12">
        <v>2.3753247141418e-12</v>
      </c>
      <c r="K3" s="12">
        <v>2.4186532724425e-12</v>
      </c>
      <c r="L3" s="12">
        <v>2.4186532724425e-12</v>
      </c>
      <c r="M3" s="12">
        <v>2.4186532724425e-12</v>
      </c>
      <c r="N3" s="12">
        <v>1.6310033445182e-12</v>
      </c>
      <c r="O3" s="12">
        <v>2.3753247141418e-12</v>
      </c>
      <c r="P3" s="12">
        <v>1.6310033445182e-12</v>
      </c>
      <c r="Q3" s="12">
        <v>1.6310033445182e-12</v>
      </c>
      <c r="R3" s="12">
        <v>2.3461532643133e-12</v>
      </c>
      <c r="S3" s="12">
        <v>2.3461532643133e-12</v>
      </c>
      <c r="T3" s="12">
        <v>2.3461532643133e-12</v>
      </c>
      <c r="U3" s="12">
        <v>2.3753247141418e-12</v>
      </c>
      <c r="V3" s="12">
        <v>2.4186532724425e-12</v>
      </c>
      <c r="W3" s="12">
        <v>2.4186532724425e-12</v>
      </c>
      <c r="X3" s="12">
        <v>2.4186532724425e-12</v>
      </c>
      <c r="Y3" s="12">
        <v>1.6310033445182e-12</v>
      </c>
      <c r="Z3" s="12">
        <v>1.6310033445182e-12</v>
      </c>
      <c r="AA3" s="12">
        <v>1.6310033445182e-12</v>
      </c>
      <c r="AB3" s="11">
        <v>0.99999999020808</v>
      </c>
      <c r="AC3" s="11">
        <v>0.99999494564086</v>
      </c>
      <c r="AD3" s="12">
        <v>6.6224800158421e-7</v>
      </c>
      <c r="AE3" s="12">
        <v>3.3678102541473e-18</v>
      </c>
      <c r="AF3" s="12">
        <v>-9.5391575161399e-19</v>
      </c>
      <c r="AG3" s="12">
        <v>-8.3893733443831e-18</v>
      </c>
      <c r="AH3" s="12">
        <v>3.9090281213282e-18</v>
      </c>
      <c r="AI3" s="12">
        <v>7.1698884108397e-19</v>
      </c>
      <c r="AJ3" s="12">
        <v>8.9021783250834e-19</v>
      </c>
      <c r="AK3" s="12">
        <v>1.0833874519399e-17</v>
      </c>
      <c r="AL3" s="12">
        <v>-3.7856129806481e-18</v>
      </c>
      <c r="AM3" s="12">
        <v>1.0830058740168e-17</v>
      </c>
      <c r="AN3" s="12">
        <v>2.4166081626197e-18</v>
      </c>
      <c r="AO3" s="12">
        <v>3.4695784141558e-18</v>
      </c>
      <c r="AP3" s="12">
        <v>-1.1633001642327e-18</v>
      </c>
      <c r="AQ3" s="12">
        <v>6.0003610878e-18</v>
      </c>
      <c r="AR3" s="12">
        <v>2.3117767919361e-18</v>
      </c>
      <c r="AS3" s="12">
        <v>1.4811600710367e-18</v>
      </c>
      <c r="AT3" s="12">
        <v>2.3182192277404e-18</v>
      </c>
      <c r="AU3" s="12">
        <v>1.1473834808583e-17</v>
      </c>
      <c r="AV3" s="12">
        <v>-6.6428652748887e-18</v>
      </c>
      <c r="AW3" s="12">
        <v>5.2868273571076e-18</v>
      </c>
      <c r="AX3" s="12">
        <v>-7.8976963329291e-18</v>
      </c>
      <c r="AY3" s="12">
        <v>3.3192291762848e-18</v>
      </c>
      <c r="AZ3" s="12">
        <v>-7.5521751692919e-19</v>
      </c>
      <c r="BA3" s="12">
        <v>5.5449592222378e-19</v>
      </c>
      <c r="BB3" s="12">
        <v>-7.240779666704e-20</v>
      </c>
      <c r="BC3" s="11">
        <v>15999999.99924</v>
      </c>
      <c r="BD3" s="11">
        <v>3999999.9997144</v>
      </c>
      <c r="BE3" s="12">
        <v>-1.9933044233817e-7</v>
      </c>
      <c r="BF3" s="12">
        <v>-1.7779963232118e-7</v>
      </c>
      <c r="BG3" s="12">
        <v>7.1607090801867e-7</v>
      </c>
      <c r="BH3" s="12">
        <v>-1.5647921186984e-9</v>
      </c>
      <c r="BI3" s="12">
        <v>-1.7153425075933e-9</v>
      </c>
      <c r="BJ3" s="11">
        <v>0.14091914712536</v>
      </c>
      <c r="BK3" s="11">
        <v>0.15357403614489</v>
      </c>
      <c r="BL3" s="7">
        <v>1.5966331524867</v>
      </c>
    </row>
    <row r="4" spans="1:64">
      <c r="A4" s="11">
        <v>0.44562546906687</v>
      </c>
      <c r="B4" s="12">
        <v>2.400455312921e-11</v>
      </c>
      <c r="C4" s="12">
        <f>(B4-B3)/(A4-A3)</f>
        <v>7.18060129559859e-11</v>
      </c>
      <c r="D4" s="12">
        <v>7.5123512841669e-12</v>
      </c>
      <c r="E4" s="12">
        <v>7.4201206503296e-12</v>
      </c>
      <c r="F4" s="12">
        <v>7.4201206503296e-12</v>
      </c>
      <c r="G4" s="12">
        <v>7.4201206503296e-12</v>
      </c>
      <c r="H4" s="12">
        <v>7.5123512841669e-12</v>
      </c>
      <c r="I4" s="12">
        <v>7.5123512841669e-12</v>
      </c>
      <c r="J4" s="12">
        <v>7.5123512841669e-12</v>
      </c>
      <c r="K4" s="12">
        <v>7.6494966446853e-12</v>
      </c>
      <c r="L4" s="12">
        <v>7.6494966446853e-12</v>
      </c>
      <c r="M4" s="12">
        <v>7.6494966446853e-12</v>
      </c>
      <c r="N4" s="12">
        <v>5.1582858771822e-12</v>
      </c>
      <c r="O4" s="12">
        <v>7.5123512841669e-12</v>
      </c>
      <c r="P4" s="12">
        <v>5.1582858771822e-12</v>
      </c>
      <c r="Q4" s="12">
        <v>5.1582858771822e-12</v>
      </c>
      <c r="R4" s="12">
        <v>7.4201206503296e-12</v>
      </c>
      <c r="S4" s="12">
        <v>7.4201206503296e-12</v>
      </c>
      <c r="T4" s="12">
        <v>7.4201206503296e-12</v>
      </c>
      <c r="U4" s="12">
        <v>7.5123512841669e-12</v>
      </c>
      <c r="V4" s="12">
        <v>7.6494966446853e-12</v>
      </c>
      <c r="W4" s="12">
        <v>7.6494966446853e-12</v>
      </c>
      <c r="X4" s="12">
        <v>7.6494966446853e-12</v>
      </c>
      <c r="Y4" s="12">
        <v>5.1582858771822e-12</v>
      </c>
      <c r="Z4" s="12">
        <v>5.1582858771822e-12</v>
      </c>
      <c r="AA4" s="12">
        <v>5.1582858771822e-12</v>
      </c>
      <c r="AB4" s="11">
        <v>0.99999999512035</v>
      </c>
      <c r="AC4" s="11">
        <v>0.99999739462159</v>
      </c>
      <c r="AD4" s="12">
        <v>2.0942111899172e-6</v>
      </c>
      <c r="AE4" s="12">
        <v>7.2197843145711e-18</v>
      </c>
      <c r="AF4" s="12">
        <v>-3.9849689993625e-19</v>
      </c>
      <c r="AG4" s="12">
        <v>-1.2182403653739e-17</v>
      </c>
      <c r="AH4" s="12">
        <v>6.746912909404e-18</v>
      </c>
      <c r="AI4" s="12">
        <v>-2.6118689337918e-18</v>
      </c>
      <c r="AJ4" s="12">
        <v>-9.0805880872634e-19</v>
      </c>
      <c r="AK4" s="12">
        <v>1.6040766866689e-17</v>
      </c>
      <c r="AL4" s="12">
        <v>-7.4963506374178e-18</v>
      </c>
      <c r="AM4" s="12">
        <v>1.5757149224589e-17</v>
      </c>
      <c r="AN4" s="12">
        <v>1.4708218976512e-18</v>
      </c>
      <c r="AO4" s="12">
        <v>3.8239992710991e-18</v>
      </c>
      <c r="AP4" s="12">
        <v>-3.5744159145219e-19</v>
      </c>
      <c r="AQ4" s="12">
        <v>6.5284077764757e-18</v>
      </c>
      <c r="AR4" s="12">
        <v>1.7736411042346e-18</v>
      </c>
      <c r="AS4" s="12">
        <v>-7.8591604809987e-19</v>
      </c>
      <c r="AT4" s="12">
        <v>1.1691778904735e-18</v>
      </c>
      <c r="AU4" s="12">
        <v>1.5409308600739e-17</v>
      </c>
      <c r="AV4" s="12">
        <v>-1.1595085780581e-17</v>
      </c>
      <c r="AW4" s="12">
        <v>8.6801892057607e-18</v>
      </c>
      <c r="AX4" s="12">
        <v>-1.2832560042623e-17</v>
      </c>
      <c r="AY4" s="12">
        <v>4.865556311786e-18</v>
      </c>
      <c r="AZ4" s="12">
        <v>-8.6606942950149e-19</v>
      </c>
      <c r="BA4" s="12">
        <v>1.0579889020692e-18</v>
      </c>
      <c r="BB4" s="12">
        <v>-4.8052576724381e-19</v>
      </c>
      <c r="BC4" s="11">
        <v>15999999.992993</v>
      </c>
      <c r="BD4" s="11">
        <v>3999999.9967733</v>
      </c>
      <c r="BE4" s="12">
        <v>-6.3033341714489e-7</v>
      </c>
      <c r="BF4" s="12">
        <v>-5.6224662171845e-7</v>
      </c>
      <c r="BG4" s="12">
        <v>2.2644147388867e-6</v>
      </c>
      <c r="BH4" s="12">
        <v>-1.5631107909512e-8</v>
      </c>
      <c r="BI4" s="12">
        <v>-1.7139089597472e-8</v>
      </c>
      <c r="BJ4" s="11">
        <v>0.44562547469435</v>
      </c>
      <c r="BK4" s="11">
        <v>0.48564303829402</v>
      </c>
      <c r="BL4" s="7">
        <v>1.6338235049343</v>
      </c>
    </row>
    <row r="5" spans="1:64">
      <c r="A5" s="11">
        <v>1.4091914656322</v>
      </c>
      <c r="B5" s="12">
        <v>2.4287592862455e-10</v>
      </c>
      <c r="C5" s="12">
        <f>(B5-B4)/(A5-A4)</f>
        <v>2.27147259529203e-10</v>
      </c>
      <c r="D5" s="12">
        <v>2.3765299126892e-11</v>
      </c>
      <c r="E5" s="12">
        <v>2.3473817256989e-11</v>
      </c>
      <c r="F5" s="12">
        <v>2.3473817256989e-11</v>
      </c>
      <c r="G5" s="12">
        <v>2.3473817256989e-11</v>
      </c>
      <c r="H5" s="12">
        <v>2.3765299126892e-11</v>
      </c>
      <c r="I5" s="12">
        <v>2.3765299126892e-11</v>
      </c>
      <c r="J5" s="12">
        <v>2.3765299126892e-11</v>
      </c>
      <c r="K5" s="12">
        <v>2.4200278029885e-11</v>
      </c>
      <c r="L5" s="12">
        <v>2.4200278029885e-11</v>
      </c>
      <c r="M5" s="12">
        <v>2.4200278029885e-11</v>
      </c>
      <c r="N5" s="12">
        <v>1.6317946021535e-11</v>
      </c>
      <c r="O5" s="12">
        <v>2.3765299126893e-11</v>
      </c>
      <c r="P5" s="12">
        <v>1.6317946021535e-11</v>
      </c>
      <c r="Q5" s="12">
        <v>1.6317946021535e-11</v>
      </c>
      <c r="R5" s="12">
        <v>2.3473817256989e-11</v>
      </c>
      <c r="S5" s="12">
        <v>2.3473817256989e-11</v>
      </c>
      <c r="T5" s="12">
        <v>2.3473817256989e-11</v>
      </c>
      <c r="U5" s="12">
        <v>2.3765299126892e-11</v>
      </c>
      <c r="V5" s="12">
        <v>2.4200278029885e-11</v>
      </c>
      <c r="W5" s="12">
        <v>2.4200278029885e-11</v>
      </c>
      <c r="X5" s="12">
        <v>2.4200278029885e-11</v>
      </c>
      <c r="Y5" s="12">
        <v>1.6317946021535e-11</v>
      </c>
      <c r="Z5" s="12">
        <v>1.6317946021535e-11</v>
      </c>
      <c r="AA5" s="12">
        <v>1.6317946021535e-11</v>
      </c>
      <c r="AB5" s="11">
        <v>0.99999999637399</v>
      </c>
      <c r="AC5" s="11">
        <v>0.99999790837515</v>
      </c>
      <c r="AD5" s="12">
        <v>6.6224631134522e-6</v>
      </c>
      <c r="AE5" s="12">
        <v>2.4859981507049e-17</v>
      </c>
      <c r="AF5" s="12">
        <v>4.3601505033207e-18</v>
      </c>
      <c r="AG5" s="12">
        <v>-2.5213490607869e-17</v>
      </c>
      <c r="AH5" s="12">
        <v>1.744620718053e-17</v>
      </c>
      <c r="AI5" s="12">
        <v>-2.5533913161648e-17</v>
      </c>
      <c r="AJ5" s="12">
        <v>-1.4206439919965e-17</v>
      </c>
      <c r="AK5" s="12">
        <v>3.1666952368989e-17</v>
      </c>
      <c r="AL5" s="12">
        <v>-2.4875787611634e-17</v>
      </c>
      <c r="AM5" s="12">
        <v>2.9227362909659e-17</v>
      </c>
      <c r="AN5" s="12">
        <v>-6.6235725020352e-18</v>
      </c>
      <c r="AO5" s="12">
        <v>1.1266338122659e-19</v>
      </c>
      <c r="AP5" s="12">
        <v>5.9989964411978e-18</v>
      </c>
      <c r="AQ5" s="12">
        <v>2.3639040381408e-18</v>
      </c>
      <c r="AR5" s="12">
        <v>-5.570671889713e-18</v>
      </c>
      <c r="AS5" s="12">
        <v>-1.7069271184834e-17</v>
      </c>
      <c r="AT5" s="12">
        <v>-8.5205132636043e-18</v>
      </c>
      <c r="AU5" s="12">
        <v>2.2871769850955e-17</v>
      </c>
      <c r="AV5" s="12">
        <v>-3.3416366716554e-17</v>
      </c>
      <c r="AW5" s="12">
        <v>2.0598098539211e-17</v>
      </c>
      <c r="AX5" s="12">
        <v>-3.1159341400753e-17</v>
      </c>
      <c r="AY5" s="12">
        <v>9.7880583662833e-18</v>
      </c>
      <c r="AZ5" s="12">
        <v>-1.1178173769173e-18</v>
      </c>
      <c r="BA5" s="12">
        <v>3.0361421263786e-18</v>
      </c>
      <c r="BB5" s="12">
        <v>-2.4387983016698e-18</v>
      </c>
      <c r="BC5" s="11">
        <v>15999999.943367</v>
      </c>
      <c r="BD5" s="11">
        <v>3999999.967353</v>
      </c>
      <c r="BE5" s="12">
        <v>-1.9932422674406e-6</v>
      </c>
      <c r="BF5" s="12">
        <v>-1.7779291407498e-6</v>
      </c>
      <c r="BG5" s="12">
        <v>7.1606975833253e-6</v>
      </c>
      <c r="BH5" s="12">
        <v>-1.5629290713234e-7</v>
      </c>
      <c r="BI5" s="12">
        <v>-1.7137248972092e-7</v>
      </c>
      <c r="BJ5" s="11">
        <v>1.4091915219121</v>
      </c>
      <c r="BK5" s="11">
        <v>1.5357311547792</v>
      </c>
      <c r="BL5" s="7">
        <v>1.6718801316259</v>
      </c>
    </row>
    <row r="6" spans="1:64">
      <c r="A6" s="11">
        <v>4.4562546906687</v>
      </c>
      <c r="B6" s="12">
        <v>2.4339325296057e-9</v>
      </c>
      <c r="C6" s="12">
        <f t="shared" ref="C6:C22" si="0">(B6-B5)/(A6-A5)</f>
        <v>7.1907159095949e-10</v>
      </c>
      <c r="D6" s="12">
        <v>7.5244175797554e-11</v>
      </c>
      <c r="E6" s="12">
        <v>7.4324205644387e-11</v>
      </c>
      <c r="F6" s="12">
        <v>7.4324205644396e-11</v>
      </c>
      <c r="G6" s="12">
        <v>7.4324205644375e-11</v>
      </c>
      <c r="H6" s="12">
        <v>7.5244175797599e-11</v>
      </c>
      <c r="I6" s="12">
        <v>7.5244175797588e-11</v>
      </c>
      <c r="J6" s="12">
        <v>7.5244175797547e-11</v>
      </c>
      <c r="K6" s="12">
        <v>7.6632599492762e-11</v>
      </c>
      <c r="L6" s="12">
        <v>7.6632599492726e-11</v>
      </c>
      <c r="M6" s="12">
        <v>7.6632599492743e-11</v>
      </c>
      <c r="N6" s="12">
        <v>5.1662095220642e-11</v>
      </c>
      <c r="O6" s="12">
        <v>7.5244175797607e-11</v>
      </c>
      <c r="P6" s="12">
        <v>5.1662095220637e-11</v>
      </c>
      <c r="Q6" s="12">
        <v>5.1662095220656e-11</v>
      </c>
      <c r="R6" s="12">
        <v>7.43242056444e-11</v>
      </c>
      <c r="S6" s="12">
        <v>7.432420564438e-11</v>
      </c>
      <c r="T6" s="12">
        <v>7.4324205644386e-11</v>
      </c>
      <c r="U6" s="12">
        <v>7.5244175797566e-11</v>
      </c>
      <c r="V6" s="12">
        <v>7.6632599492725e-11</v>
      </c>
      <c r="W6" s="12">
        <v>7.6632599492743e-11</v>
      </c>
      <c r="X6" s="12">
        <v>7.6632599492761e-11</v>
      </c>
      <c r="Y6" s="12">
        <v>5.1662095220632e-11</v>
      </c>
      <c r="Z6" s="12">
        <v>5.1662095220651e-11</v>
      </c>
      <c r="AA6" s="12">
        <v>5.1662095220648e-11</v>
      </c>
      <c r="AB6" s="11">
        <v>0.99999999413226</v>
      </c>
      <c r="AC6" s="11">
        <v>0.99999602580943</v>
      </c>
      <c r="AD6" s="12">
        <v>2.0941922748315e-5</v>
      </c>
      <c r="AE6" s="12">
        <v>1.9239126726669e-16</v>
      </c>
      <c r="AF6" s="12">
        <v>7.6676760046172e-17</v>
      </c>
      <c r="AG6" s="12">
        <v>-1.1322120707596e-16</v>
      </c>
      <c r="AH6" s="12">
        <v>9.0024136994239e-17</v>
      </c>
      <c r="AI6" s="12">
        <v>-3.5037107709292e-16</v>
      </c>
      <c r="AJ6" s="12">
        <v>-2.1039758645101e-16</v>
      </c>
      <c r="AK6" s="12">
        <v>9.4012954090654e-17</v>
      </c>
      <c r="AL6" s="12">
        <v>-2.0151920804901e-16</v>
      </c>
      <c r="AM6" s="12">
        <v>5.5721316123173e-17</v>
      </c>
      <c r="AN6" s="12">
        <v>-1.1925692533643e-16</v>
      </c>
      <c r="AO6" s="12">
        <v>-1.0006897976439e-16</v>
      </c>
      <c r="AP6" s="12">
        <v>9.745240364378e-17</v>
      </c>
      <c r="AQ6" s="12">
        <v>-1.0053030660117e-16</v>
      </c>
      <c r="AR6" s="12">
        <v>-1.3398713924603e-16</v>
      </c>
      <c r="AS6" s="12">
        <v>-2.4454728457687e-16</v>
      </c>
      <c r="AT6" s="12">
        <v>-1.4256409172461e-16</v>
      </c>
      <c r="AU6" s="12">
        <v>-1.7998783818828e-17</v>
      </c>
      <c r="AV6" s="12">
        <v>-2.3944854886387e-16</v>
      </c>
      <c r="AW6" s="12">
        <v>9.0933936044063e-17</v>
      </c>
      <c r="AX6" s="12">
        <v>-1.5875487168606e-16</v>
      </c>
      <c r="AY6" s="12">
        <v>3.6971456216601e-17</v>
      </c>
      <c r="AZ6" s="12">
        <v>-2.2048733320742e-18</v>
      </c>
      <c r="BA6" s="12">
        <v>1.8056802877942e-17</v>
      </c>
      <c r="BB6" s="12">
        <v>-2.0045540387948e-17</v>
      </c>
      <c r="BC6" s="11">
        <v>15999999.548881</v>
      </c>
      <c r="BD6" s="11">
        <v>3999999.6728709</v>
      </c>
      <c r="BE6" s="12">
        <v>-6.302716205185e-6</v>
      </c>
      <c r="BF6" s="12">
        <v>-5.6217986723692e-6</v>
      </c>
      <c r="BG6" s="12">
        <v>2.2644004063404e-5</v>
      </c>
      <c r="BH6" s="12">
        <v>-1.5624370822682e-6</v>
      </c>
      <c r="BI6" s="12">
        <v>-1.7132128458805e-6</v>
      </c>
      <c r="BJ6" s="11">
        <v>4.4562552537054</v>
      </c>
      <c r="BK6" s="11">
        <v>4.8563386275171</v>
      </c>
      <c r="BL6" s="7">
        <v>1.7108232106636</v>
      </c>
    </row>
    <row r="7" spans="1:64">
      <c r="A7" s="11">
        <v>14.091914656322</v>
      </c>
      <c r="B7" s="12">
        <v>2.4418989630249e-8</v>
      </c>
      <c r="C7" s="12">
        <f t="shared" si="0"/>
        <v>2.28163480021191e-9</v>
      </c>
      <c r="D7" s="12">
        <v>2.3886353166259e-10</v>
      </c>
      <c r="E7" s="12">
        <v>2.359722706573e-10</v>
      </c>
      <c r="F7" s="12">
        <v>2.3597227065888e-10</v>
      </c>
      <c r="G7" s="12">
        <v>2.3597227065424e-10</v>
      </c>
      <c r="H7" s="12">
        <v>2.3886353167155e-10</v>
      </c>
      <c r="I7" s="12">
        <v>2.3886353166952e-10</v>
      </c>
      <c r="J7" s="12">
        <v>2.3886353165868e-10</v>
      </c>
      <c r="K7" s="12">
        <v>2.4338392365078e-10</v>
      </c>
      <c r="L7" s="12">
        <v>2.4338392364601e-10</v>
      </c>
      <c r="M7" s="12">
        <v>2.4338392364748e-10</v>
      </c>
      <c r="N7" s="12">
        <v>1.6397442403506e-10</v>
      </c>
      <c r="O7" s="12">
        <v>2.3886353167282e-10</v>
      </c>
      <c r="P7" s="12">
        <v>1.6397442403439e-10</v>
      </c>
      <c r="Q7" s="12">
        <v>1.6397442403886e-10</v>
      </c>
      <c r="R7" s="12">
        <v>2.3597227066037e-10</v>
      </c>
      <c r="S7" s="12">
        <v>2.3597227065392e-10</v>
      </c>
      <c r="T7" s="12">
        <v>2.359722706566e-10</v>
      </c>
      <c r="U7" s="12">
        <v>2.3886353166368e-10</v>
      </c>
      <c r="V7" s="12">
        <v>2.4338392364529e-10</v>
      </c>
      <c r="W7" s="12">
        <v>2.4338392364879e-10</v>
      </c>
      <c r="X7" s="12">
        <v>2.4338392364998e-10</v>
      </c>
      <c r="Y7" s="12">
        <v>1.6397442403391e-10</v>
      </c>
      <c r="Z7" s="12">
        <v>1.6397442403813e-10</v>
      </c>
      <c r="AA7" s="12">
        <v>1.6397442403601e-10</v>
      </c>
      <c r="AB7" s="11">
        <v>0.99999995790159</v>
      </c>
      <c r="AC7" s="11">
        <v>0.99996344704899</v>
      </c>
      <c r="AD7" s="12">
        <v>6.6222807374651e-5</v>
      </c>
      <c r="AE7" s="12">
        <v>6.2407538037622e-15</v>
      </c>
      <c r="AF7" s="12">
        <v>3.8433072157426e-15</v>
      </c>
      <c r="AG7" s="12">
        <v>-2.6189077673544e-15</v>
      </c>
      <c r="AH7" s="12">
        <v>1.4977765531119e-15</v>
      </c>
      <c r="AI7" s="12">
        <v>-1.7960433916865e-14</v>
      </c>
      <c r="AJ7" s="12">
        <v>-1.0979665284441e-14</v>
      </c>
      <c r="AK7" s="12">
        <v>-2.7604057746061e-16</v>
      </c>
      <c r="AL7" s="12">
        <v>-7.5401324652267e-15</v>
      </c>
      <c r="AM7" s="12">
        <v>-2.7218472336535e-15</v>
      </c>
      <c r="AN7" s="12">
        <v>-5.0110422498422e-15</v>
      </c>
      <c r="AO7" s="12">
        <v>-6.3580592305528e-15</v>
      </c>
      <c r="AP7" s="12">
        <v>4.6431115324815e-15</v>
      </c>
      <c r="AQ7" s="12">
        <v>-5.4552860776402e-15</v>
      </c>
      <c r="AR7" s="12">
        <v>-7.1505009224894e-15</v>
      </c>
      <c r="AS7" s="12">
        <v>-1.1781198441101e-14</v>
      </c>
      <c r="AT7" s="12">
        <v>-5.8695752191018e-15</v>
      </c>
      <c r="AU7" s="12">
        <v>-5.0750667876138e-15</v>
      </c>
      <c r="AV7" s="12">
        <v>-8.0372456134673e-15</v>
      </c>
      <c r="AW7" s="12">
        <v>9.3738145829202e-16</v>
      </c>
      <c r="AX7" s="12">
        <v>-3.1080606439216e-15</v>
      </c>
      <c r="AY7" s="12">
        <v>6.0823929716915e-16</v>
      </c>
      <c r="AZ7" s="12">
        <v>-8.6118974303139e-17</v>
      </c>
      <c r="BA7" s="12">
        <v>5.0080363615407e-16</v>
      </c>
      <c r="BB7" s="12">
        <v>-5.0678138841835e-16</v>
      </c>
      <c r="BC7" s="11">
        <v>15999996.40812</v>
      </c>
      <c r="BD7" s="11">
        <v>3999996.7194495</v>
      </c>
      <c r="BE7" s="12">
        <v>-1.9926247135082e-5</v>
      </c>
      <c r="BF7" s="12">
        <v>-1.7772617926371e-5</v>
      </c>
      <c r="BG7" s="12">
        <v>7.1605627817763e-5</v>
      </c>
      <c r="BH7" s="12">
        <v>-1.5608797536898e-5</v>
      </c>
      <c r="BI7" s="12">
        <v>-1.711605708477e-5</v>
      </c>
      <c r="BJ7" s="11">
        <v>14.09192029515</v>
      </c>
      <c r="BK7" s="11">
        <v>15.356393859357</v>
      </c>
      <c r="BL7" s="7">
        <v>1.7506733901585</v>
      </c>
    </row>
    <row r="8" spans="1:64">
      <c r="A8" s="11">
        <v>44.562546906687</v>
      </c>
      <c r="B8" s="12">
        <v>2.4682179680658e-7</v>
      </c>
      <c r="C8" s="12">
        <f t="shared" si="0"/>
        <v>7.29892328288222e-9</v>
      </c>
      <c r="D8" s="12">
        <v>7.6467191794887e-10</v>
      </c>
      <c r="E8" s="12">
        <v>7.5571346563398e-10</v>
      </c>
      <c r="F8" s="12">
        <v>7.5571346771529e-10</v>
      </c>
      <c r="G8" s="12">
        <v>7.5571345697763e-10</v>
      </c>
      <c r="H8" s="12">
        <v>7.6467194510256e-10</v>
      </c>
      <c r="I8" s="12">
        <v>7.646719389036e-10</v>
      </c>
      <c r="J8" s="12">
        <v>7.6467190692102e-10</v>
      </c>
      <c r="K8" s="12">
        <v>7.8029024368913e-10</v>
      </c>
      <c r="L8" s="12">
        <v>7.8029023871621e-10</v>
      </c>
      <c r="M8" s="12">
        <v>7.802902367758e-10</v>
      </c>
      <c r="N8" s="12">
        <v>5.2465313138511e-10</v>
      </c>
      <c r="O8" s="12">
        <v>7.6467193987862e-10</v>
      </c>
      <c r="P8" s="12">
        <v>5.2465313051182e-10</v>
      </c>
      <c r="Q8" s="12">
        <v>5.246531418161e-10</v>
      </c>
      <c r="R8" s="12">
        <v>7.5571347873559e-10</v>
      </c>
      <c r="S8" s="12">
        <v>7.5571345663503e-10</v>
      </c>
      <c r="T8" s="12">
        <v>7.5571346369224e-10</v>
      </c>
      <c r="U8" s="12">
        <v>7.6467191887425e-10</v>
      </c>
      <c r="V8" s="12">
        <v>7.8029023433431e-10</v>
      </c>
      <c r="W8" s="12">
        <v>7.8029024088975e-10</v>
      </c>
      <c r="X8" s="12">
        <v>7.8029023925654e-10</v>
      </c>
      <c r="Y8" s="12">
        <v>5.2465312881018e-10</v>
      </c>
      <c r="Z8" s="12">
        <v>5.2465313851122e-10</v>
      </c>
      <c r="AA8" s="12">
        <v>5.2465313129405e-10</v>
      </c>
      <c r="AB8" s="11">
        <v>0.99999567799621</v>
      </c>
      <c r="AC8" s="11">
        <v>0.9952835847375</v>
      </c>
      <c r="AD8" s="11">
        <v>0.00020940423140057</v>
      </c>
      <c r="AE8" s="12">
        <v>2.3786670533908e-12</v>
      </c>
      <c r="AF8" s="12">
        <v>2.0096746242601e-12</v>
      </c>
      <c r="AG8" s="12">
        <v>-9.7756322969639e-13</v>
      </c>
      <c r="AH8" s="12">
        <v>1.6960828040723e-13</v>
      </c>
      <c r="AI8" s="12">
        <v>-1.1209457094819e-11</v>
      </c>
      <c r="AJ8" s="12">
        <v>-6.6793776152479e-12</v>
      </c>
      <c r="AK8" s="12">
        <v>-6.7746407217247e-13</v>
      </c>
      <c r="AL8" s="12">
        <v>-3.751040233552e-12</v>
      </c>
      <c r="AM8" s="12">
        <v>-2.5147222085191e-12</v>
      </c>
      <c r="AN8" s="12">
        <v>-1.9799969493944e-12</v>
      </c>
      <c r="AO8" s="12">
        <v>-3.5116025763382e-12</v>
      </c>
      <c r="AP8" s="12">
        <v>2.2776209992999e-12</v>
      </c>
      <c r="AQ8" s="12">
        <v>-2.4067736682162e-12</v>
      </c>
      <c r="AR8" s="12">
        <v>-3.8300830967982e-12</v>
      </c>
      <c r="AS8" s="12">
        <v>-6.5722463471759e-12</v>
      </c>
      <c r="AT8" s="12">
        <v>-2.2057432823145e-12</v>
      </c>
      <c r="AU8" s="12">
        <v>-2.9242963961795e-12</v>
      </c>
      <c r="AV8" s="12">
        <v>-3.4496966923473e-12</v>
      </c>
      <c r="AW8" s="12">
        <v>-2.8751994052489e-13</v>
      </c>
      <c r="AX8" s="12">
        <v>-6.0915672509325e-13</v>
      </c>
      <c r="AY8" s="12">
        <v>2.0770437681006e-13</v>
      </c>
      <c r="AZ8" s="12">
        <v>-9.4600787515182e-14</v>
      </c>
      <c r="BA8" s="12">
        <v>3.1003236989482e-13</v>
      </c>
      <c r="BB8" s="12">
        <v>-8.7886885605022e-14</v>
      </c>
      <c r="BC8" s="11">
        <v>15999971.271136</v>
      </c>
      <c r="BD8" s="11">
        <v>3999967.1761194</v>
      </c>
      <c r="BE8" s="12">
        <v>-6.2965608166872e-5</v>
      </c>
      <c r="BF8" s="12">
        <v>-5.6151351547595e-5</v>
      </c>
      <c r="BG8" s="11">
        <v>0.00022643062300363</v>
      </c>
      <c r="BH8" s="11">
        <v>-0.00015556021798637</v>
      </c>
      <c r="BI8" s="11">
        <v>-0.00017061861513201</v>
      </c>
      <c r="BJ8" s="11">
        <v>44.562603692292</v>
      </c>
      <c r="BK8" s="11">
        <v>48.554197011983</v>
      </c>
      <c r="BL8" s="7">
        <v>5.4076739620741</v>
      </c>
    </row>
    <row r="9" spans="1:64">
      <c r="A9" s="11">
        <v>56.100922715098</v>
      </c>
      <c r="B9" s="12">
        <v>4.0117817362778e-7</v>
      </c>
      <c r="C9" s="12">
        <f t="shared" si="0"/>
        <v>1.33776520529588e-8</v>
      </c>
      <c r="D9" s="12">
        <v>1.0626409850988e-9</v>
      </c>
      <c r="E9" s="12">
        <v>1.0504237558674e-9</v>
      </c>
      <c r="F9" s="12">
        <v>1.0504237875359e-9</v>
      </c>
      <c r="G9" s="12">
        <v>1.0504235518353e-9</v>
      </c>
      <c r="H9" s="12">
        <v>1.0626417143077e-9</v>
      </c>
      <c r="I9" s="12">
        <v>1.0626415400955e-9</v>
      </c>
      <c r="J9" s="12">
        <v>1.0626407465932e-9</v>
      </c>
      <c r="K9" s="12">
        <v>1.0852470731093e-9</v>
      </c>
      <c r="L9" s="12">
        <v>1.085246992996e-9</v>
      </c>
      <c r="M9" s="12">
        <v>1.0852469075198e-9</v>
      </c>
      <c r="N9" s="12">
        <v>7.2887152773451e-10</v>
      </c>
      <c r="O9" s="12">
        <v>1.0626414784518e-9</v>
      </c>
      <c r="P9" s="12">
        <v>7.2887150340831e-10</v>
      </c>
      <c r="Q9" s="12">
        <v>7.2887177295434e-10</v>
      </c>
      <c r="R9" s="12">
        <v>1.0504241284481e-9</v>
      </c>
      <c r="S9" s="12">
        <v>1.0504235607323e-9</v>
      </c>
      <c r="T9" s="12">
        <v>1.0504237138471e-9</v>
      </c>
      <c r="U9" s="12">
        <v>1.062641010252e-9</v>
      </c>
      <c r="V9" s="12">
        <v>1.0852468614189e-9</v>
      </c>
      <c r="W9" s="12">
        <v>1.0852469984146e-9</v>
      </c>
      <c r="X9" s="12">
        <v>1.0852469432675e-9</v>
      </c>
      <c r="Y9" s="12">
        <v>7.2887145239627e-10</v>
      </c>
      <c r="Z9" s="12">
        <v>7.2887167304178e-10</v>
      </c>
      <c r="AA9" s="12">
        <v>7.288714978597e-10</v>
      </c>
      <c r="AB9" s="11">
        <v>0.99984117328373</v>
      </c>
      <c r="AC9" s="11">
        <v>0.9663533233753</v>
      </c>
      <c r="AD9" s="11">
        <v>0.00026360519883757</v>
      </c>
      <c r="AE9" s="12">
        <v>2.3492402236558e-11</v>
      </c>
      <c r="AF9" s="12">
        <v>2.1598136970394e-11</v>
      </c>
      <c r="AG9" s="12">
        <v>-9.909231920635e-12</v>
      </c>
      <c r="AH9" s="12">
        <v>1.0309033305605e-12</v>
      </c>
      <c r="AI9" s="12">
        <v>-1.3079356123609e-10</v>
      </c>
      <c r="AJ9" s="12">
        <v>-7.6662713240322e-11</v>
      </c>
      <c r="AK9" s="12">
        <v>-7.3235629249576e-12</v>
      </c>
      <c r="AL9" s="12">
        <v>-4.1268304723729e-11</v>
      </c>
      <c r="AM9" s="12">
        <v>-2.9368499616415e-11</v>
      </c>
      <c r="AN9" s="12">
        <v>-1.9535483227064e-11</v>
      </c>
      <c r="AO9" s="12">
        <v>-3.7909315120404e-11</v>
      </c>
      <c r="AP9" s="12">
        <v>2.3847988531244e-11</v>
      </c>
      <c r="AQ9" s="12">
        <v>-2.4441327710639e-11</v>
      </c>
      <c r="AR9" s="12">
        <v>-4.1689948403579e-11</v>
      </c>
      <c r="AS9" s="12">
        <v>-7.3879622104733e-11</v>
      </c>
      <c r="AT9" s="12">
        <v>-2.1293355640498e-11</v>
      </c>
      <c r="AU9" s="12">
        <v>-3.0799698615778e-11</v>
      </c>
      <c r="AV9" s="12">
        <v>-3.597714950116e-11</v>
      </c>
      <c r="AW9" s="12">
        <v>-4.433783695064e-12</v>
      </c>
      <c r="AX9" s="12">
        <v>-4.6504064624592e-12</v>
      </c>
      <c r="AY9" s="12">
        <v>2.0781957700255e-12</v>
      </c>
      <c r="AZ9" s="12">
        <v>-1.1321590175607e-12</v>
      </c>
      <c r="BA9" s="12">
        <v>3.8750270855779e-12</v>
      </c>
      <c r="BB9" s="12">
        <v>-5.2287055121827e-13</v>
      </c>
      <c r="BC9" s="11">
        <v>15999955.808746</v>
      </c>
      <c r="BD9" s="11">
        <v>3999948.6598068</v>
      </c>
      <c r="BE9" s="12">
        <v>-7.9244576098377e-5</v>
      </c>
      <c r="BF9" s="12">
        <v>-7.0663963410843e-5</v>
      </c>
      <c r="BG9" s="11">
        <v>0.00028504053344733</v>
      </c>
      <c r="BH9" s="11">
        <v>-0.00024659860668351</v>
      </c>
      <c r="BI9" s="11">
        <v>-0.00027046072241527</v>
      </c>
      <c r="BJ9" s="11">
        <v>56.101012095228</v>
      </c>
      <c r="BK9" s="11">
        <v>61.122179125828</v>
      </c>
      <c r="BL9" s="7">
        <v>54.07644749768</v>
      </c>
    </row>
    <row r="10" spans="1:64">
      <c r="A10" s="11">
        <v>70.626877231137</v>
      </c>
      <c r="B10" s="12">
        <v>6.5622541960425e-7</v>
      </c>
      <c r="C10" s="12">
        <f t="shared" si="0"/>
        <v>1.75580369396625e-8</v>
      </c>
      <c r="D10" s="12">
        <v>1.3464099526816e-9</v>
      </c>
      <c r="E10" s="12">
        <v>1.3312091160746e-9</v>
      </c>
      <c r="F10" s="12">
        <v>1.331209337239e-9</v>
      </c>
      <c r="G10" s="12">
        <v>1.3312070470141e-9</v>
      </c>
      <c r="H10" s="12">
        <v>1.3464181111665e-9</v>
      </c>
      <c r="I10" s="12">
        <v>1.3464160918138e-9</v>
      </c>
      <c r="J10" s="12">
        <v>1.3464076780947e-9</v>
      </c>
      <c r="K10" s="12">
        <v>1.3761161378887e-9</v>
      </c>
      <c r="L10" s="12">
        <v>1.3761155030836e-9</v>
      </c>
      <c r="M10" s="12">
        <v>1.3761143912446e-9</v>
      </c>
      <c r="N10" s="12">
        <v>9.2325969542918e-10</v>
      </c>
      <c r="O10" s="12">
        <v>1.3464148884316e-9</v>
      </c>
      <c r="P10" s="12">
        <v>9.2325939564667e-10</v>
      </c>
      <c r="Q10" s="12">
        <v>9.2326220239195e-10</v>
      </c>
      <c r="R10" s="12">
        <v>1.3312133661018e-9</v>
      </c>
      <c r="S10" s="12">
        <v>1.3312072449422e-9</v>
      </c>
      <c r="T10" s="12">
        <v>1.3312087112946e-9</v>
      </c>
      <c r="U10" s="12">
        <v>1.3464102641391e-9</v>
      </c>
      <c r="V10" s="12">
        <v>1.3761139662274e-9</v>
      </c>
      <c r="W10" s="12">
        <v>1.3761152720148e-9</v>
      </c>
      <c r="X10" s="12">
        <v>1.3761146364441e-9</v>
      </c>
      <c r="Y10" s="12">
        <v>9.2325880527959e-10</v>
      </c>
      <c r="Z10" s="12">
        <v>9.2326102456989e-10</v>
      </c>
      <c r="AA10" s="12">
        <v>9.2325921015329e-10</v>
      </c>
      <c r="AB10" s="11">
        <v>0.99918754215287</v>
      </c>
      <c r="AC10" s="11">
        <v>0.86212944191394</v>
      </c>
      <c r="AD10" s="11">
        <v>0.00033187727678615</v>
      </c>
      <c r="AE10" s="12">
        <v>1.477240391788e-10</v>
      </c>
      <c r="AF10" s="12">
        <v>1.4436651818179e-10</v>
      </c>
      <c r="AG10" s="12">
        <v>-6.3731563040313e-11</v>
      </c>
      <c r="AH10" s="12">
        <v>4.449671416732e-12</v>
      </c>
      <c r="AI10" s="12">
        <v>-9.3582368638768e-10</v>
      </c>
      <c r="AJ10" s="12">
        <v>-5.4072216043918e-10</v>
      </c>
      <c r="AK10" s="12">
        <v>-4.7929369582698e-11</v>
      </c>
      <c r="AL10" s="12">
        <v>-2.832152284741e-10</v>
      </c>
      <c r="AM10" s="12">
        <v>-2.0758290792381e-10</v>
      </c>
      <c r="AN10" s="12">
        <v>-1.2308747653609e-10</v>
      </c>
      <c r="AO10" s="12">
        <v>-2.5429710523751e-10</v>
      </c>
      <c r="AP10" s="12">
        <v>1.5604061979261e-10</v>
      </c>
      <c r="AQ10" s="12">
        <v>-1.5717699356219e-10</v>
      </c>
      <c r="AR10" s="12">
        <v>-2.8232082778082e-10</v>
      </c>
      <c r="AS10" s="12">
        <v>-5.1419538207105e-10</v>
      </c>
      <c r="AT10" s="12">
        <v>-1.3191218880068e-10</v>
      </c>
      <c r="AU10" s="12">
        <v>-2.0172695483429e-10</v>
      </c>
      <c r="AV10" s="12">
        <v>-2.3692217941614e-10</v>
      </c>
      <c r="AW10" s="12">
        <v>-3.48489865027e-11</v>
      </c>
      <c r="AX10" s="12">
        <v>-2.3240330472027e-11</v>
      </c>
      <c r="AY10" s="12">
        <v>1.3009108926448e-11</v>
      </c>
      <c r="AZ10" s="12">
        <v>-7.9338191770395e-12</v>
      </c>
      <c r="BA10" s="12">
        <v>2.9071146273237e-11</v>
      </c>
      <c r="BB10" s="12">
        <v>-1.7027866507655e-12</v>
      </c>
      <c r="BC10" s="11">
        <v>15999932.415204</v>
      </c>
      <c r="BD10" s="11">
        <v>3999931.3099547</v>
      </c>
      <c r="BE10" s="12">
        <v>-9.9736058204276e-5</v>
      </c>
      <c r="BF10" s="12">
        <v>-8.8929834898463e-5</v>
      </c>
      <c r="BG10" s="11">
        <v>0.00035886798270286</v>
      </c>
      <c r="BH10" s="11">
        <v>-0.00039032865568482</v>
      </c>
      <c r="BI10" s="11">
        <v>-0.00042813418185564</v>
      </c>
      <c r="BJ10" s="11">
        <v>70.627019554241</v>
      </c>
      <c r="BK10" s="11">
        <v>76.942839151107</v>
      </c>
      <c r="BL10" s="7">
        <v>60.674747681227</v>
      </c>
    </row>
    <row r="11" spans="1:64">
      <c r="A11" s="11">
        <v>88.913970501946</v>
      </c>
      <c r="B11" s="12">
        <v>1.173641510308e-6</v>
      </c>
      <c r="C11" s="12">
        <f t="shared" si="0"/>
        <v>2.82940587135126e-8</v>
      </c>
      <c r="D11" s="12">
        <v>1.7089085282245e-9</v>
      </c>
      <c r="E11" s="12">
        <v>1.690077416327e-9</v>
      </c>
      <c r="F11" s="12">
        <v>1.6900788888972e-9</v>
      </c>
      <c r="G11" s="12">
        <v>1.6900533026618e-9</v>
      </c>
      <c r="H11" s="12">
        <v>1.7090145908863e-9</v>
      </c>
      <c r="I11" s="12">
        <v>1.7089873111797e-9</v>
      </c>
      <c r="J11" s="12">
        <v>1.7088837172456e-9</v>
      </c>
      <c r="K11" s="12">
        <v>1.7482677289928e-9</v>
      </c>
      <c r="L11" s="12">
        <v>1.7482620489252e-9</v>
      </c>
      <c r="M11" s="12">
        <v>1.7482461553097e-9</v>
      </c>
      <c r="N11" s="12">
        <v>1.171481797779e-9</v>
      </c>
      <c r="O11" s="12">
        <v>1.7089658496155e-9</v>
      </c>
      <c r="P11" s="12">
        <v>1.1714774387724e-9</v>
      </c>
      <c r="Q11" s="12">
        <v>1.1715115596625e-9</v>
      </c>
      <c r="R11" s="12">
        <v>1.6901332757533e-9</v>
      </c>
      <c r="S11" s="12">
        <v>1.6900568574264e-9</v>
      </c>
      <c r="T11" s="12">
        <v>1.6900729281541e-9</v>
      </c>
      <c r="U11" s="12">
        <v>1.7089130457917e-9</v>
      </c>
      <c r="V11" s="12">
        <v>1.7482414982567e-9</v>
      </c>
      <c r="W11" s="12">
        <v>1.7482559214806e-9</v>
      </c>
      <c r="X11" s="12">
        <v>1.7482477764559e-9</v>
      </c>
      <c r="Y11" s="12">
        <v>1.1714696796122e-9</v>
      </c>
      <c r="Z11" s="12">
        <v>1.1714955926585e-9</v>
      </c>
      <c r="AA11" s="12">
        <v>1.1714739076379e-9</v>
      </c>
      <c r="AB11" s="11">
        <v>0.99503593336634</v>
      </c>
      <c r="AC11" s="11">
        <v>0.59540435733886</v>
      </c>
      <c r="AD11" s="11">
        <v>0.00041801338561824</v>
      </c>
      <c r="AE11" s="12">
        <v>1.1109473312944e-9</v>
      </c>
      <c r="AF11" s="12">
        <v>1.1532069968937e-9</v>
      </c>
      <c r="AG11" s="12">
        <v>-4.898990404453e-10</v>
      </c>
      <c r="AH11" s="12">
        <v>2.2914147230136e-11</v>
      </c>
      <c r="AI11" s="12">
        <v>-8.0434425208035e-9</v>
      </c>
      <c r="AJ11" s="12">
        <v>-4.5813262780267e-9</v>
      </c>
      <c r="AK11" s="12">
        <v>-3.7063036549377e-10</v>
      </c>
      <c r="AL11" s="12">
        <v>-2.341252843025e-9</v>
      </c>
      <c r="AM11" s="12">
        <v>-1.7517483428035e-9</v>
      </c>
      <c r="AN11" s="12">
        <v>-9.3211708309972e-10</v>
      </c>
      <c r="AO11" s="12">
        <v>-2.040750597229e-9</v>
      </c>
      <c r="AP11" s="12">
        <v>1.2159562098147e-9</v>
      </c>
      <c r="AQ11" s="12">
        <v>-1.2139322555508e-9</v>
      </c>
      <c r="AR11" s="12">
        <v>-2.2963028147724e-9</v>
      </c>
      <c r="AS11" s="12">
        <v>-4.3062095609996e-9</v>
      </c>
      <c r="AT11" s="12">
        <v>-9.8217117729189e-10</v>
      </c>
      <c r="AU11" s="12">
        <v>-1.5778543059576e-9</v>
      </c>
      <c r="AV11" s="12">
        <v>-1.8704005523031e-9</v>
      </c>
      <c r="AW11" s="12">
        <v>-3.1301473781798e-10</v>
      </c>
      <c r="AX11" s="12">
        <v>-1.3080342211385e-10</v>
      </c>
      <c r="AY11" s="12">
        <v>9.4948172174581e-11</v>
      </c>
      <c r="AZ11" s="12">
        <v>-6.5598548576923e-11</v>
      </c>
      <c r="BA11" s="12">
        <v>2.6225709457312e-10</v>
      </c>
      <c r="BB11" s="12">
        <v>-8.1437617863574e-13</v>
      </c>
      <c r="BC11" s="11">
        <v>15999901.208528</v>
      </c>
      <c r="BD11" s="11">
        <v>4000022.3253718</v>
      </c>
      <c r="BE11" s="11">
        <v>-0.00012560266034703</v>
      </c>
      <c r="BF11" s="11">
        <v>-0.00011198704444729</v>
      </c>
      <c r="BG11" s="11">
        <v>0.00045199062827793</v>
      </c>
      <c r="BH11" s="11">
        <v>-0.00061715352866283</v>
      </c>
      <c r="BI11" s="11">
        <v>-0.00067704563648719</v>
      </c>
      <c r="BJ11" s="11">
        <v>88.914203812444</v>
      </c>
      <c r="BK11" s="11">
        <v>96.858216199441</v>
      </c>
      <c r="BL11" s="7">
        <v>68.078194590493</v>
      </c>
    </row>
    <row r="12" spans="1:64">
      <c r="A12" s="11">
        <v>111.93605692842</v>
      </c>
      <c r="B12" s="12">
        <v>3.7939959405333e-6</v>
      </c>
      <c r="C12" s="12">
        <f t="shared" si="0"/>
        <v>1.13819155296544e-7</v>
      </c>
      <c r="D12" s="12">
        <v>2.1744452816337e-9</v>
      </c>
      <c r="E12" s="12">
        <v>2.1514278623694e-9</v>
      </c>
      <c r="F12" s="12">
        <v>2.151434622176e-9</v>
      </c>
      <c r="G12" s="12">
        <v>2.1510940387062e-9</v>
      </c>
      <c r="H12" s="12">
        <v>2.1760638946833e-9</v>
      </c>
      <c r="I12" s="12">
        <v>2.1756466194574e-9</v>
      </c>
      <c r="J12" s="12">
        <v>2.1741242089396e-9</v>
      </c>
      <c r="K12" s="12">
        <v>2.2266366186489e-9</v>
      </c>
      <c r="L12" s="12">
        <v>2.2265720361779e-9</v>
      </c>
      <c r="M12" s="12">
        <v>2.2263170724619e-9</v>
      </c>
      <c r="N12" s="12">
        <v>1.4906700776709e-9</v>
      </c>
      <c r="O12" s="12">
        <v>2.1752326941231e-9</v>
      </c>
      <c r="P12" s="12">
        <v>1.4906000107864e-9</v>
      </c>
      <c r="Q12" s="12">
        <v>1.4911011730926e-9</v>
      </c>
      <c r="R12" s="12">
        <v>2.1522985282834e-9</v>
      </c>
      <c r="S12" s="12">
        <v>2.1511610170589e-9</v>
      </c>
      <c r="T12" s="12">
        <v>2.1513724271521e-9</v>
      </c>
      <c r="U12" s="12">
        <v>2.1745147121985e-9</v>
      </c>
      <c r="V12" s="12">
        <v>2.2262523482889e-9</v>
      </c>
      <c r="W12" s="12">
        <v>2.2264407046202e-9</v>
      </c>
      <c r="X12" s="12">
        <v>2.2263231268156e-9</v>
      </c>
      <c r="Y12" s="12">
        <v>1.4904790125747e-9</v>
      </c>
      <c r="Z12" s="12">
        <v>1.4908408269671e-9</v>
      </c>
      <c r="AA12" s="12">
        <v>1.4905328627548e-9</v>
      </c>
      <c r="AB12" s="11">
        <v>0.96778080530878</v>
      </c>
      <c r="AC12" s="11">
        <v>0.27883436798622</v>
      </c>
      <c r="AD12" s="11">
        <v>0.00052863992226022</v>
      </c>
      <c r="AE12" s="12">
        <v>9.8696713622712e-9</v>
      </c>
      <c r="AF12" s="12">
        <v>1.0694526279609e-8</v>
      </c>
      <c r="AG12" s="12">
        <v>-4.2878577070219e-9</v>
      </c>
      <c r="AH12" s="12">
        <v>1.092117906455e-10</v>
      </c>
      <c r="AI12" s="12">
        <v>-7.8812008083831e-8</v>
      </c>
      <c r="AJ12" s="12">
        <v>-4.5239817318194e-8</v>
      </c>
      <c r="AK12" s="12">
        <v>-3.3921700275322e-9</v>
      </c>
      <c r="AL12" s="12">
        <v>-2.2746650098537e-8</v>
      </c>
      <c r="AM12" s="12">
        <v>-1.7070760718767e-8</v>
      </c>
      <c r="AN12" s="12">
        <v>-8.4656290180622e-9</v>
      </c>
      <c r="AO12" s="12">
        <v>-1.8973460733161e-8</v>
      </c>
      <c r="AP12" s="12">
        <v>1.0806314440365e-8</v>
      </c>
      <c r="AQ12" s="12">
        <v>-1.1235707149889e-8</v>
      </c>
      <c r="AR12" s="12">
        <v>-2.2093095097523e-8</v>
      </c>
      <c r="AS12" s="12">
        <v>-4.2203182396463e-8</v>
      </c>
      <c r="AT12" s="12">
        <v>-8.8071440439581e-9</v>
      </c>
      <c r="AU12" s="12">
        <v>-1.4766410536752e-8</v>
      </c>
      <c r="AV12" s="12">
        <v>-1.6744970772168e-8</v>
      </c>
      <c r="AW12" s="12">
        <v>-3.1709985047421e-9</v>
      </c>
      <c r="AX12" s="12">
        <v>-8.8362424776864e-10</v>
      </c>
      <c r="AY12" s="12">
        <v>7.2957125948933e-10</v>
      </c>
      <c r="AZ12" s="12">
        <v>-6.8502095879529e-10</v>
      </c>
      <c r="BA12" s="12">
        <v>2.9048361401731e-9</v>
      </c>
      <c r="BB12" s="12">
        <v>1.0937898197949e-10</v>
      </c>
      <c r="BC12" s="11">
        <v>15999959.37233</v>
      </c>
      <c r="BD12" s="11">
        <v>4001537.6192343</v>
      </c>
      <c r="BE12" s="11">
        <v>-0.00015919258339432</v>
      </c>
      <c r="BF12" s="11">
        <v>-0.00014196655319051</v>
      </c>
      <c r="BG12" s="11">
        <v>0.00057128266080637</v>
      </c>
      <c r="BH12" s="11">
        <v>-0.00096957460665932</v>
      </c>
      <c r="BI12" s="11">
        <v>-0.001063682004</v>
      </c>
      <c r="BJ12" s="11">
        <v>111.93654723381</v>
      </c>
      <c r="BK12" s="11">
        <v>121.94518166992</v>
      </c>
      <c r="BL12" s="7">
        <v>76.385103188428</v>
      </c>
    </row>
    <row r="13" spans="1:64">
      <c r="A13" s="11">
        <v>140.91914656322</v>
      </c>
      <c r="B13" s="12">
        <v>3.0937446454535e-5</v>
      </c>
      <c r="C13" s="12">
        <f t="shared" si="0"/>
        <v>9.36527156214931e-7</v>
      </c>
      <c r="D13" s="12">
        <v>2.7842651983044e-9</v>
      </c>
      <c r="E13" s="12">
        <v>2.7583484712129e-9</v>
      </c>
      <c r="F13" s="12">
        <v>2.7584117237416e-9</v>
      </c>
      <c r="G13" s="12">
        <v>2.7534290362516e-9</v>
      </c>
      <c r="H13" s="12">
        <v>2.8075790565281e-9</v>
      </c>
      <c r="I13" s="12">
        <v>2.8027864724608e-9</v>
      </c>
      <c r="J13" s="12">
        <v>2.779786938593e-9</v>
      </c>
      <c r="K13" s="12">
        <v>2.8510849279734e-9</v>
      </c>
      <c r="L13" s="12">
        <v>2.8494071001694e-9</v>
      </c>
      <c r="M13" s="12">
        <v>2.846197851498e-9</v>
      </c>
      <c r="N13" s="12">
        <v>1.9164821578127e-9</v>
      </c>
      <c r="O13" s="12">
        <v>2.7948535946049e-9</v>
      </c>
      <c r="P13" s="12">
        <v>1.9157942187761e-9</v>
      </c>
      <c r="Q13" s="12">
        <v>1.9237701687712e-9</v>
      </c>
      <c r="R13" s="12">
        <v>2.7723023693169e-9</v>
      </c>
      <c r="S13" s="12">
        <v>2.7547826966623e-9</v>
      </c>
      <c r="T13" s="12">
        <v>2.7583112540593e-9</v>
      </c>
      <c r="U13" s="12">
        <v>2.7846181919996e-9</v>
      </c>
      <c r="V13" s="12">
        <v>2.8448765825092e-9</v>
      </c>
      <c r="W13" s="12">
        <v>2.8472642105836e-9</v>
      </c>
      <c r="X13" s="12">
        <v>2.8459721417509e-9</v>
      </c>
      <c r="Y13" s="12">
        <v>1.9136226873481e-9</v>
      </c>
      <c r="Z13" s="12">
        <v>1.9189737331547e-9</v>
      </c>
      <c r="AA13" s="12">
        <v>1.9143648041464e-9</v>
      </c>
      <c r="AB13" s="11">
        <v>0.86078185992726</v>
      </c>
      <c r="AC13" s="11">
        <v>0.089638390191322</v>
      </c>
      <c r="AD13" s="11">
        <v>0.0006923915158405</v>
      </c>
      <c r="AE13" s="12">
        <v>8.7398888696619e-8</v>
      </c>
      <c r="AF13" s="12">
        <v>8.4619416316211e-8</v>
      </c>
      <c r="AG13" s="12">
        <v>-2.6888343323682e-8</v>
      </c>
      <c r="AH13" s="12">
        <v>-2.1162347931902e-9</v>
      </c>
      <c r="AI13" s="12">
        <v>-6.4122095949721e-7</v>
      </c>
      <c r="AJ13" s="12">
        <v>-3.9175168880669e-7</v>
      </c>
      <c r="AK13" s="12">
        <v>-3.3515376524276e-8</v>
      </c>
      <c r="AL13" s="12">
        <v>-2.0672122914525e-7</v>
      </c>
      <c r="AM13" s="12">
        <v>-1.4033605753316e-7</v>
      </c>
      <c r="AN13" s="12">
        <v>-8.3777648013237e-8</v>
      </c>
      <c r="AO13" s="12">
        <v>-1.7111166616188e-7</v>
      </c>
      <c r="AP13" s="12">
        <v>9.9028737096757e-8</v>
      </c>
      <c r="AQ13" s="12">
        <v>-1.1197284019343e-7</v>
      </c>
      <c r="AR13" s="12">
        <v>-2.0542805258285e-7</v>
      </c>
      <c r="AS13" s="12">
        <v>-3.7011330374734e-7</v>
      </c>
      <c r="AT13" s="12">
        <v>-8.880049544411e-8</v>
      </c>
      <c r="AU13" s="12">
        <v>-1.549895541852e-7</v>
      </c>
      <c r="AV13" s="12">
        <v>-1.1668413808276e-7</v>
      </c>
      <c r="AW13" s="12">
        <v>-2.7069647436685e-8</v>
      </c>
      <c r="AX13" s="12">
        <v>-1.3091958892382e-8</v>
      </c>
      <c r="AY13" s="12">
        <v>7.4446220751117e-10</v>
      </c>
      <c r="AZ13" s="12">
        <v>-8.7974393379248e-9</v>
      </c>
      <c r="BA13" s="12">
        <v>2.6831632613934e-8</v>
      </c>
      <c r="BB13" s="12">
        <v>2.696765863694e-9</v>
      </c>
      <c r="BC13" s="11">
        <v>16001750.566486</v>
      </c>
      <c r="BD13" s="11">
        <v>4019560.2380879</v>
      </c>
      <c r="BE13" s="11">
        <v>-0.00021334216628991</v>
      </c>
      <c r="BF13" s="11">
        <v>-0.00019077012178286</v>
      </c>
      <c r="BG13" s="11">
        <v>0.00074450751808873</v>
      </c>
      <c r="BH13" s="11">
        <v>-0.001098720583243</v>
      </c>
      <c r="BI13" s="11">
        <v>-0.0011511619909886</v>
      </c>
      <c r="BJ13" s="11">
        <v>140.92038252557</v>
      </c>
      <c r="BK13" s="11">
        <v>153.73822987563</v>
      </c>
      <c r="BL13" s="7">
        <v>85.705937827806</v>
      </c>
    </row>
    <row r="14" spans="1:64">
      <c r="A14" s="11">
        <v>177.40669461679</v>
      </c>
      <c r="B14" s="11">
        <v>0.00014637006988965</v>
      </c>
      <c r="C14" s="12">
        <f t="shared" si="0"/>
        <v>3.16361689378634e-6</v>
      </c>
      <c r="D14" s="12">
        <v>3.1010301069458e-9</v>
      </c>
      <c r="E14" s="12">
        <v>3.0904435415395e-9</v>
      </c>
      <c r="F14" s="12">
        <v>3.0910384689467e-9</v>
      </c>
      <c r="G14" s="12">
        <v>3.0592870039649e-9</v>
      </c>
      <c r="H14" s="12">
        <v>3.2366327665431e-9</v>
      </c>
      <c r="I14" s="12">
        <v>3.2065428013382e-9</v>
      </c>
      <c r="J14" s="12">
        <v>3.0744980112163e-9</v>
      </c>
      <c r="K14" s="12">
        <v>3.1786240003583e-9</v>
      </c>
      <c r="L14" s="12">
        <v>3.1579492778742e-9</v>
      </c>
      <c r="M14" s="12">
        <v>3.1520307520393e-9</v>
      </c>
      <c r="N14" s="12">
        <v>2.1753518176088e-9</v>
      </c>
      <c r="O14" s="12">
        <v>3.1595314833729e-9</v>
      </c>
      <c r="P14" s="12">
        <v>2.1753263324469e-9</v>
      </c>
      <c r="Q14" s="12">
        <v>2.2269741397235e-9</v>
      </c>
      <c r="R14" s="12">
        <v>3.1696301284823e-9</v>
      </c>
      <c r="S14" s="12">
        <v>3.0721532141324e-9</v>
      </c>
      <c r="T14" s="12">
        <v>3.1041027431202e-9</v>
      </c>
      <c r="U14" s="12">
        <v>3.0975929577635e-9</v>
      </c>
      <c r="V14" s="12">
        <v>3.136493794985e-9</v>
      </c>
      <c r="W14" s="12">
        <v>3.1510262688811e-9</v>
      </c>
      <c r="X14" s="12">
        <v>3.1472242824541e-9</v>
      </c>
      <c r="Y14" s="12">
        <v>2.159161137539e-9</v>
      </c>
      <c r="Z14" s="12">
        <v>2.1924039187844e-9</v>
      </c>
      <c r="AA14" s="12">
        <v>2.1612143146052e-9</v>
      </c>
      <c r="AB14" s="11">
        <v>0.65200678494756</v>
      </c>
      <c r="AC14" s="11">
        <v>0.036003411651711</v>
      </c>
      <c r="AD14" s="11">
        <v>0.00084833108792585</v>
      </c>
      <c r="AE14" s="12">
        <v>1.3227042028244e-7</v>
      </c>
      <c r="AF14" s="12">
        <v>8.2223950578308e-8</v>
      </c>
      <c r="AG14" s="12">
        <v>-1.3388708580015e-8</v>
      </c>
      <c r="AH14" s="12">
        <v>6.2467771483297e-10</v>
      </c>
      <c r="AI14" s="12">
        <v>-8.53456846376e-7</v>
      </c>
      <c r="AJ14" s="12">
        <v>-4.9439134834516e-7</v>
      </c>
      <c r="AK14" s="12">
        <v>-6.5283319324031e-8</v>
      </c>
      <c r="AL14" s="12">
        <v>-2.9640095839183e-7</v>
      </c>
      <c r="AM14" s="12">
        <v>-1.7053284387551e-7</v>
      </c>
      <c r="AN14" s="12">
        <v>-1.6353936741853e-7</v>
      </c>
      <c r="AO14" s="12">
        <v>-2.8233824688354e-7</v>
      </c>
      <c r="AP14" s="12">
        <v>1.8344448122779e-7</v>
      </c>
      <c r="AQ14" s="12">
        <v>-1.9024430913089e-7</v>
      </c>
      <c r="AR14" s="12">
        <v>-3.2317731938589e-7</v>
      </c>
      <c r="AS14" s="12">
        <v>-4.8951520982644e-7</v>
      </c>
      <c r="AT14" s="12">
        <v>-1.992300137361e-7</v>
      </c>
      <c r="AU14" s="12">
        <v>-2.9931589109264e-7</v>
      </c>
      <c r="AV14" s="12">
        <v>-1.2635685558894e-7</v>
      </c>
      <c r="AW14" s="12">
        <v>-2.5772551210043e-8</v>
      </c>
      <c r="AX14" s="12">
        <v>-4.8131384716681e-8</v>
      </c>
      <c r="AY14" s="12">
        <v>-2.1247822287026e-8</v>
      </c>
      <c r="AZ14" s="12">
        <v>-2.2495102941425e-8</v>
      </c>
      <c r="BA14" s="12">
        <v>2.9032452332096e-8</v>
      </c>
      <c r="BB14" s="12">
        <v>3.1167328603441e-9</v>
      </c>
      <c r="BC14" s="11">
        <v>16010634.47945</v>
      </c>
      <c r="BD14" s="11">
        <v>4098313.3488713</v>
      </c>
      <c r="BE14" s="11">
        <v>-0.00028089159116507</v>
      </c>
      <c r="BF14" s="11">
        <v>-0.00025414893512602</v>
      </c>
      <c r="BG14" s="11">
        <v>0.00089922011041535</v>
      </c>
      <c r="BH14" s="11">
        <v>-0.0032136145709104</v>
      </c>
      <c r="BI14" s="11">
        <v>-0.0033161567864763</v>
      </c>
      <c r="BJ14" s="11">
        <v>150.00215204393</v>
      </c>
      <c r="BK14" s="11">
        <v>164.35267389891</v>
      </c>
      <c r="BL14" s="7">
        <v>96.165129001142</v>
      </c>
    </row>
    <row r="15" spans="1:64">
      <c r="A15" s="11">
        <v>223.34179607548</v>
      </c>
      <c r="B15" s="11">
        <v>0.00026013280852294</v>
      </c>
      <c r="C15" s="12">
        <f t="shared" si="0"/>
        <v>2.47659709069323e-6</v>
      </c>
      <c r="D15" s="12">
        <v>3.156486859025e-9</v>
      </c>
      <c r="E15" s="12">
        <v>3.1662120741812e-9</v>
      </c>
      <c r="F15" s="12">
        <v>3.1657238593193e-9</v>
      </c>
      <c r="G15" s="12">
        <v>3.1091883114298e-9</v>
      </c>
      <c r="H15" s="12">
        <v>3.4031936351306e-9</v>
      </c>
      <c r="I15" s="12">
        <v>3.3347368881473e-9</v>
      </c>
      <c r="J15" s="12">
        <v>3.1089592717127e-9</v>
      </c>
      <c r="K15" s="12">
        <v>3.2352482768085e-9</v>
      </c>
      <c r="L15" s="12">
        <v>3.1923978285125e-9</v>
      </c>
      <c r="M15" s="12">
        <v>3.1926861951183e-9</v>
      </c>
      <c r="N15" s="12">
        <v>2.2399149211427e-9</v>
      </c>
      <c r="O15" s="12">
        <v>3.2603156968889e-9</v>
      </c>
      <c r="P15" s="12">
        <v>2.2452645932891e-9</v>
      </c>
      <c r="Q15" s="12">
        <v>2.3418349628143e-9</v>
      </c>
      <c r="R15" s="12">
        <v>3.2926332259299e-9</v>
      </c>
      <c r="S15" s="12">
        <v>3.140108676495e-9</v>
      </c>
      <c r="T15" s="12">
        <v>3.202855198463e-9</v>
      </c>
      <c r="U15" s="12">
        <v>3.1475370370501e-9</v>
      </c>
      <c r="V15" s="12">
        <v>3.1566153548068e-9</v>
      </c>
      <c r="W15" s="12">
        <v>3.187220538348e-9</v>
      </c>
      <c r="X15" s="12">
        <v>3.1816054453117e-9</v>
      </c>
      <c r="Y15" s="12">
        <v>2.2150242558437e-9</v>
      </c>
      <c r="Z15" s="12">
        <v>2.2771972263623e-9</v>
      </c>
      <c r="AA15" s="12">
        <v>2.2132009092643e-9</v>
      </c>
      <c r="AB15" s="11">
        <v>0.6876637740821</v>
      </c>
      <c r="AC15" s="11">
        <v>0.027186569505282</v>
      </c>
      <c r="AD15" s="11">
        <v>0.00095724982537708</v>
      </c>
      <c r="AE15" s="12">
        <v>1.0013558232976e-7</v>
      </c>
      <c r="AF15" s="12">
        <v>5.0233300506483e-8</v>
      </c>
      <c r="AG15" s="12">
        <v>-3.2683759031483e-9</v>
      </c>
      <c r="AH15" s="12">
        <v>1.0859477867548e-8</v>
      </c>
      <c r="AI15" s="12">
        <v>-6.3555774404216e-7</v>
      </c>
      <c r="AJ15" s="12">
        <v>-3.5469128250045e-7</v>
      </c>
      <c r="AK15" s="12">
        <v>-6.1218071642815e-8</v>
      </c>
      <c r="AL15" s="12">
        <v>-2.2539999178614e-7</v>
      </c>
      <c r="AM15" s="12">
        <v>-1.286693404659e-7</v>
      </c>
      <c r="AN15" s="12">
        <v>-1.4154359480726e-7</v>
      </c>
      <c r="AO15" s="12">
        <v>-2.1714887734818e-7</v>
      </c>
      <c r="AP15" s="12">
        <v>1.4583140421018e-7</v>
      </c>
      <c r="AQ15" s="12">
        <v>-1.5715698627823e-7</v>
      </c>
      <c r="AR15" s="12">
        <v>-2.5219473554801e-7</v>
      </c>
      <c r="AS15" s="12">
        <v>-3.5623976543972e-7</v>
      </c>
      <c r="AT15" s="12">
        <v>-1.8155442263954e-7</v>
      </c>
      <c r="AU15" s="12">
        <v>-2.4385123053352e-7</v>
      </c>
      <c r="AV15" s="12">
        <v>-8.7055464458793e-8</v>
      </c>
      <c r="AW15" s="12">
        <v>-1.6450094375237e-8</v>
      </c>
      <c r="AX15" s="12">
        <v>-5.4247617673431e-8</v>
      </c>
      <c r="AY15" s="12">
        <v>-2.9172465694265e-8</v>
      </c>
      <c r="AZ15" s="12">
        <v>-2.7124494299532e-8</v>
      </c>
      <c r="BA15" s="12">
        <v>2.4784537753477e-8</v>
      </c>
      <c r="BB15" s="12">
        <v>6.2438204359215e-9</v>
      </c>
      <c r="BC15" s="11">
        <v>16019222.710166</v>
      </c>
      <c r="BD15" s="11">
        <v>4178279.9399566</v>
      </c>
      <c r="BE15" s="11">
        <v>-0.00033360147226723</v>
      </c>
      <c r="BF15" s="11">
        <v>-0.0003043992947838</v>
      </c>
      <c r="BG15" s="11">
        <v>0.0010053216845436</v>
      </c>
      <c r="BH15" s="11">
        <v>-0.0033315628480512</v>
      </c>
      <c r="BI15" s="11">
        <v>-0.0034413454929941</v>
      </c>
      <c r="BJ15" s="11">
        <v>150.00121395164</v>
      </c>
      <c r="BK15" s="11">
        <v>164.78982646245</v>
      </c>
      <c r="BL15" s="7">
        <v>107.90396350741</v>
      </c>
    </row>
    <row r="16" spans="1:64">
      <c r="A16" s="11">
        <v>281.17066259517</v>
      </c>
      <c r="B16" s="11">
        <v>0.00037917262387594</v>
      </c>
      <c r="C16" s="12">
        <f t="shared" si="0"/>
        <v>2.05848432655114e-6</v>
      </c>
      <c r="D16" s="12">
        <v>3.2162336297505e-9</v>
      </c>
      <c r="E16" s="12">
        <v>3.2464694411918e-9</v>
      </c>
      <c r="F16" s="12">
        <v>3.2448881768813e-9</v>
      </c>
      <c r="G16" s="12">
        <v>3.1638436338569e-9</v>
      </c>
      <c r="H16" s="12">
        <v>3.5763214149097e-9</v>
      </c>
      <c r="I16" s="12">
        <v>3.463371628174e-9</v>
      </c>
      <c r="J16" s="12">
        <v>3.1465279932239e-9</v>
      </c>
      <c r="K16" s="12">
        <v>3.2990173195121e-9</v>
      </c>
      <c r="L16" s="12">
        <v>3.2332307266816e-9</v>
      </c>
      <c r="M16" s="12">
        <v>3.2411178568699e-9</v>
      </c>
      <c r="N16" s="12">
        <v>2.2982941912476e-9</v>
      </c>
      <c r="O16" s="12">
        <v>3.3648591142134e-9</v>
      </c>
      <c r="P16" s="12">
        <v>2.3115749743323e-9</v>
      </c>
      <c r="Q16" s="12">
        <v>2.451756250983e-9</v>
      </c>
      <c r="R16" s="12">
        <v>3.4130045624048e-9</v>
      </c>
      <c r="S16" s="12">
        <v>3.2171164465674e-9</v>
      </c>
      <c r="T16" s="12">
        <v>3.3082265262706e-9</v>
      </c>
      <c r="U16" s="12">
        <v>3.199535126069e-9</v>
      </c>
      <c r="V16" s="12">
        <v>3.1811582730395e-9</v>
      </c>
      <c r="W16" s="12">
        <v>3.2334393847202e-9</v>
      </c>
      <c r="X16" s="12">
        <v>3.2244457931698e-9</v>
      </c>
      <c r="Y16" s="12">
        <v>2.2675034884217e-9</v>
      </c>
      <c r="Z16" s="12">
        <v>2.3602150781324e-9</v>
      </c>
      <c r="AA16" s="12">
        <v>2.2569384691773e-9</v>
      </c>
      <c r="AB16" s="11">
        <v>0.72926802892609</v>
      </c>
      <c r="AC16" s="11">
        <v>0.02404099915206</v>
      </c>
      <c r="AD16" s="11">
        <v>0.0010709471688261</v>
      </c>
      <c r="AE16" s="12">
        <v>8.3608715224843e-8</v>
      </c>
      <c r="AF16" s="12">
        <v>4.0195289170883e-8</v>
      </c>
      <c r="AG16" s="12">
        <v>-1.0756676941974e-9</v>
      </c>
      <c r="AH16" s="12">
        <v>1.8356655979138e-8</v>
      </c>
      <c r="AI16" s="12">
        <v>-5.1803989559508e-7</v>
      </c>
      <c r="AJ16" s="12">
        <v>-2.8980173127623e-7</v>
      </c>
      <c r="AK16" s="12">
        <v>-5.7807212460384e-8</v>
      </c>
      <c r="AL16" s="12">
        <v>-1.8995591758074e-7</v>
      </c>
      <c r="AM16" s="12">
        <v>-1.0920343582812e-7</v>
      </c>
      <c r="AN16" s="12">
        <v>-1.270424488774e-7</v>
      </c>
      <c r="AO16" s="12">
        <v>-1.7918313265978e-7</v>
      </c>
      <c r="AP16" s="12">
        <v>1.2023578941991e-7</v>
      </c>
      <c r="AQ16" s="12">
        <v>-1.399012389202e-7</v>
      </c>
      <c r="AR16" s="12">
        <v>-2.0863340436707e-7</v>
      </c>
      <c r="AS16" s="12">
        <v>-2.9242354281129e-7</v>
      </c>
      <c r="AT16" s="12">
        <v>-1.6211103443925e-7</v>
      </c>
      <c r="AU16" s="12">
        <v>-2.0594304289169e-7</v>
      </c>
      <c r="AV16" s="12">
        <v>-6.7036721031948e-8</v>
      </c>
      <c r="AW16" s="12">
        <v>-1.2072756287415e-8</v>
      </c>
      <c r="AX16" s="12">
        <v>-5.7944793304713e-8</v>
      </c>
      <c r="AY16" s="12">
        <v>-3.3733660552176e-8</v>
      </c>
      <c r="AZ16" s="12">
        <v>-2.9231190130502e-8</v>
      </c>
      <c r="BA16" s="12">
        <v>2.3797137827277e-8</v>
      </c>
      <c r="BB16" s="12">
        <v>9.8550809048303e-9</v>
      </c>
      <c r="BC16" s="11">
        <v>16028144.69088</v>
      </c>
      <c r="BD16" s="11">
        <v>4264149.104835</v>
      </c>
      <c r="BE16" s="11">
        <v>-0.00038873928369285</v>
      </c>
      <c r="BF16" s="11">
        <v>-0.00035658173357989</v>
      </c>
      <c r="BG16" s="11">
        <v>0.0011167250405938</v>
      </c>
      <c r="BH16" s="11">
        <v>-0.0036817226796676</v>
      </c>
      <c r="BI16" s="11">
        <v>-0.0038138494510181</v>
      </c>
      <c r="BJ16" s="11">
        <v>150.00016652827</v>
      </c>
      <c r="BK16" s="11">
        <v>165.10363541363</v>
      </c>
      <c r="BL16" s="7">
        <v>121.08731229338</v>
      </c>
    </row>
    <row r="17" spans="1:64">
      <c r="A17" s="11">
        <v>353.97289219207</v>
      </c>
      <c r="B17" s="11">
        <v>0.00050989873853325</v>
      </c>
      <c r="C17" s="12">
        <f t="shared" si="0"/>
        <v>1.79563339448709e-6</v>
      </c>
      <c r="D17" s="12">
        <v>3.2832537191585e-9</v>
      </c>
      <c r="E17" s="12">
        <v>3.3342847545272e-9</v>
      </c>
      <c r="F17" s="12">
        <v>3.3328116178214e-9</v>
      </c>
      <c r="G17" s="12">
        <v>3.2256277012446e-9</v>
      </c>
      <c r="H17" s="12">
        <v>3.762847159748e-9</v>
      </c>
      <c r="I17" s="12">
        <v>3.6040140261622e-9</v>
      </c>
      <c r="J17" s="12">
        <v>3.1866261341713e-9</v>
      </c>
      <c r="K17" s="12">
        <v>3.3753923053185e-9</v>
      </c>
      <c r="L17" s="12">
        <v>3.2856486487162e-9</v>
      </c>
      <c r="M17" s="12">
        <v>3.3007325628919e-9</v>
      </c>
      <c r="N17" s="12">
        <v>2.3589137379486e-9</v>
      </c>
      <c r="O17" s="12">
        <v>3.478095805896e-9</v>
      </c>
      <c r="P17" s="12">
        <v>2.3814377558423e-9</v>
      </c>
      <c r="Q17" s="12">
        <v>2.5645451171184e-9</v>
      </c>
      <c r="R17" s="12">
        <v>3.5417965272404e-9</v>
      </c>
      <c r="S17" s="12">
        <v>3.3041688296259e-9</v>
      </c>
      <c r="T17" s="12">
        <v>3.4227147423247e-9</v>
      </c>
      <c r="U17" s="12">
        <v>3.2543855884898e-9</v>
      </c>
      <c r="V17" s="12">
        <v>3.2132981683042e-9</v>
      </c>
      <c r="W17" s="12">
        <v>3.2937126997044e-9</v>
      </c>
      <c r="X17" s="12">
        <v>3.2795623992039e-9</v>
      </c>
      <c r="Y17" s="12">
        <v>2.3230127049865e-9</v>
      </c>
      <c r="Z17" s="12">
        <v>2.4499529283951e-9</v>
      </c>
      <c r="AA17" s="12">
        <v>2.2990269854346e-9</v>
      </c>
      <c r="AB17" s="11">
        <v>0.76917485117901</v>
      </c>
      <c r="AC17" s="11">
        <v>0.023778602646803</v>
      </c>
      <c r="AD17" s="11">
        <v>0.0011968298089015</v>
      </c>
      <c r="AE17" s="12">
        <v>7.3730576875763e-8</v>
      </c>
      <c r="AF17" s="12">
        <v>3.6478295786849e-8</v>
      </c>
      <c r="AG17" s="12">
        <v>-1.1391384584888e-9</v>
      </c>
      <c r="AH17" s="12">
        <v>2.4355005439078e-8</v>
      </c>
      <c r="AI17" s="12">
        <v>-4.3664126262202e-7</v>
      </c>
      <c r="AJ17" s="12">
        <v>-2.489190210203e-7</v>
      </c>
      <c r="AK17" s="12">
        <v>-5.3007016997151e-8</v>
      </c>
      <c r="AL17" s="12">
        <v>-1.6546501384446e-7</v>
      </c>
      <c r="AM17" s="12">
        <v>-9.4208048550702e-8</v>
      </c>
      <c r="AN17" s="12">
        <v>-1.1487889876936e-7</v>
      </c>
      <c r="AO17" s="12">
        <v>-1.5279435832201e-7</v>
      </c>
      <c r="AP17" s="12">
        <v>1.0191609251433e-7</v>
      </c>
      <c r="AQ17" s="12">
        <v>-1.2774415646892e-7</v>
      </c>
      <c r="AR17" s="12">
        <v>-1.7766681801407e-7</v>
      </c>
      <c r="AS17" s="12">
        <v>-2.5260166703995e-7</v>
      </c>
      <c r="AT17" s="12">
        <v>-1.4408272067748e-7</v>
      </c>
      <c r="AU17" s="12">
        <v>-1.7664667567118e-7</v>
      </c>
      <c r="AV17" s="12">
        <v>-5.3629422592758e-8</v>
      </c>
      <c r="AW17" s="12">
        <v>-8.1999687497749e-9</v>
      </c>
      <c r="AX17" s="12">
        <v>-5.9463575708334e-8</v>
      </c>
      <c r="AY17" s="12">
        <v>-3.674902686113e-8</v>
      </c>
      <c r="AZ17" s="12">
        <v>-2.9597122644434e-8</v>
      </c>
      <c r="BA17" s="12">
        <v>2.4071758980854e-8</v>
      </c>
      <c r="BB17" s="12">
        <v>1.2447764947089e-8</v>
      </c>
      <c r="BC17" s="11">
        <v>16037962.682384</v>
      </c>
      <c r="BD17" s="11">
        <v>4360956.6581532</v>
      </c>
      <c r="BE17" s="11">
        <v>-0.00044974856918232</v>
      </c>
      <c r="BF17" s="11">
        <v>-0.00041390751463193</v>
      </c>
      <c r="BG17" s="11">
        <v>0.0012403545217975</v>
      </c>
      <c r="BH17" s="11">
        <v>-0.0041145925570663</v>
      </c>
      <c r="BI17" s="11">
        <v>-0.0042702135386295</v>
      </c>
      <c r="BJ17" s="11">
        <v>149.99875323468</v>
      </c>
      <c r="BK17" s="11">
        <v>165.33837461314</v>
      </c>
      <c r="BL17" s="7">
        <v>135.92760002838</v>
      </c>
    </row>
    <row r="18" spans="1:64">
      <c r="A18" s="11">
        <v>445.62546906687</v>
      </c>
      <c r="B18" s="11">
        <v>0.00065682121854746</v>
      </c>
      <c r="C18" s="12">
        <f t="shared" si="0"/>
        <v>1.60303708879795e-6</v>
      </c>
      <c r="D18" s="12">
        <v>3.3611661015052e-9</v>
      </c>
      <c r="E18" s="12">
        <v>3.4311544657946e-9</v>
      </c>
      <c r="F18" s="12">
        <v>3.4314496836926e-9</v>
      </c>
      <c r="G18" s="12">
        <v>3.29525216488e-9</v>
      </c>
      <c r="H18" s="12">
        <v>3.9687467636994e-9</v>
      </c>
      <c r="I18" s="12">
        <v>3.7649669164303e-9</v>
      </c>
      <c r="J18" s="12">
        <v>3.2301124741916e-9</v>
      </c>
      <c r="K18" s="12">
        <v>3.4660224127321e-9</v>
      </c>
      <c r="L18" s="12">
        <v>3.3519057102596e-9</v>
      </c>
      <c r="M18" s="12">
        <v>3.3732138016457e-9</v>
      </c>
      <c r="N18" s="12">
        <v>2.427986994603e-9</v>
      </c>
      <c r="O18" s="12">
        <v>3.6051839518169e-9</v>
      </c>
      <c r="P18" s="12">
        <v>2.4601280952876e-9</v>
      </c>
      <c r="Q18" s="12">
        <v>2.6855562416886e-9</v>
      </c>
      <c r="R18" s="12">
        <v>3.6847690456393e-9</v>
      </c>
      <c r="S18" s="12">
        <v>3.4013476220614e-9</v>
      </c>
      <c r="T18" s="12">
        <v>3.5476213511904e-9</v>
      </c>
      <c r="U18" s="12">
        <v>3.3140457966803e-9</v>
      </c>
      <c r="V18" s="12">
        <v>3.2543081840585e-9</v>
      </c>
      <c r="W18" s="12">
        <v>3.3691840038954e-9</v>
      </c>
      <c r="X18" s="12">
        <v>3.3487702292791e-9</v>
      </c>
      <c r="Y18" s="12">
        <v>2.3861858401185e-9</v>
      </c>
      <c r="Z18" s="12">
        <v>2.5523021672057e-9</v>
      </c>
      <c r="AA18" s="12">
        <v>2.3441797671652e-9</v>
      </c>
      <c r="AB18" s="11">
        <v>0.80502915385026</v>
      </c>
      <c r="AC18" s="11">
        <v>0.025249064376342</v>
      </c>
      <c r="AD18" s="11">
        <v>0.0013401151826038</v>
      </c>
      <c r="AE18" s="12">
        <v>6.7782839685113e-8</v>
      </c>
      <c r="AF18" s="12">
        <v>3.4447218128696e-8</v>
      </c>
      <c r="AG18" s="12">
        <v>-1.5049024709994e-9</v>
      </c>
      <c r="AH18" s="12">
        <v>2.9360045527633e-8</v>
      </c>
      <c r="AI18" s="12">
        <v>-3.7535056942401e-7</v>
      </c>
      <c r="AJ18" s="12">
        <v>-2.1936514749389e-7</v>
      </c>
      <c r="AK18" s="12">
        <v>-4.7796307656521e-8</v>
      </c>
      <c r="AL18" s="12">
        <v>-1.4531765149415e-7</v>
      </c>
      <c r="AM18" s="12">
        <v>-8.0932609055783e-8</v>
      </c>
      <c r="AN18" s="12">
        <v>-1.0410593846465e-7</v>
      </c>
      <c r="AO18" s="12">
        <v>-1.3249419317561e-7</v>
      </c>
      <c r="AP18" s="12">
        <v>8.8843058864321e-8</v>
      </c>
      <c r="AQ18" s="12">
        <v>-1.1714100247064e-7</v>
      </c>
      <c r="AR18" s="12">
        <v>-1.5435563834213e-7</v>
      </c>
      <c r="AS18" s="12">
        <v>-2.242915580976e-7</v>
      </c>
      <c r="AT18" s="12">
        <v>-1.2880353211106e-7</v>
      </c>
      <c r="AU18" s="12">
        <v>-1.5340515014101e-7</v>
      </c>
      <c r="AV18" s="12">
        <v>-4.3695431454806e-8</v>
      </c>
      <c r="AW18" s="12">
        <v>-4.9631743870648e-9</v>
      </c>
      <c r="AX18" s="12">
        <v>-5.9619015857276e-8</v>
      </c>
      <c r="AY18" s="12">
        <v>-3.9125094243597e-8</v>
      </c>
      <c r="AZ18" s="12">
        <v>-2.8231987352407e-8</v>
      </c>
      <c r="BA18" s="12">
        <v>2.5135932635517e-8</v>
      </c>
      <c r="BB18" s="12">
        <v>1.3974611542748e-8</v>
      </c>
      <c r="BC18" s="11">
        <v>16049063.272604</v>
      </c>
      <c r="BD18" s="11">
        <v>4472630.3985034</v>
      </c>
      <c r="BE18" s="11">
        <v>-0.00051905673346472</v>
      </c>
      <c r="BF18" s="11">
        <v>-0.00047856906138943</v>
      </c>
      <c r="BG18" s="11">
        <v>0.0013811964981023</v>
      </c>
      <c r="BH18" s="11">
        <v>-0.0046210398464603</v>
      </c>
      <c r="BI18" s="11">
        <v>-0.0047998964710504</v>
      </c>
      <c r="BJ18" s="11">
        <v>149.99694259778</v>
      </c>
      <c r="BK18" s="11">
        <v>165.50173576533</v>
      </c>
      <c r="BL18" s="7">
        <v>150.51101317851</v>
      </c>
    </row>
    <row r="19" spans="1:64">
      <c r="A19" s="11">
        <v>561.00922715098</v>
      </c>
      <c r="B19" s="11">
        <v>0.00082469114387591</v>
      </c>
      <c r="C19" s="12">
        <f t="shared" si="0"/>
        <v>1.45488349587365e-6</v>
      </c>
      <c r="D19" s="12">
        <v>3.4518724702968e-9</v>
      </c>
      <c r="E19" s="12">
        <v>3.5386071876674e-9</v>
      </c>
      <c r="F19" s="12">
        <v>3.5420929839955e-9</v>
      </c>
      <c r="G19" s="12">
        <v>3.3731584942373e-9</v>
      </c>
      <c r="H19" s="12">
        <v>4.1996067769262e-9</v>
      </c>
      <c r="I19" s="12">
        <v>3.9499522563403e-9</v>
      </c>
      <c r="J19" s="12">
        <v>3.2767045346403e-9</v>
      </c>
      <c r="K19" s="12">
        <v>3.5727617930044e-9</v>
      </c>
      <c r="L19" s="12">
        <v>3.4352372010748e-9</v>
      </c>
      <c r="M19" s="12">
        <v>3.4608256476967e-9</v>
      </c>
      <c r="N19" s="12">
        <v>2.5104473690153e-9</v>
      </c>
      <c r="O19" s="12">
        <v>3.7498072578631e-9</v>
      </c>
      <c r="P19" s="12">
        <v>2.5514331167096e-9</v>
      </c>
      <c r="Q19" s="12">
        <v>2.8188976415289e-9</v>
      </c>
      <c r="R19" s="12">
        <v>3.8447832667458e-9</v>
      </c>
      <c r="S19" s="12">
        <v>3.5091402734223e-9</v>
      </c>
      <c r="T19" s="12">
        <v>3.6846409721451e-9</v>
      </c>
      <c r="U19" s="12">
        <v>3.3795053987046e-9</v>
      </c>
      <c r="V19" s="12">
        <v>3.3061554984653e-9</v>
      </c>
      <c r="W19" s="12">
        <v>3.4618632421165e-9</v>
      </c>
      <c r="X19" s="12">
        <v>3.4343098988184e-9</v>
      </c>
      <c r="Y19" s="12">
        <v>2.4599645689306e-9</v>
      </c>
      <c r="Z19" s="12">
        <v>2.6729431308563e-9</v>
      </c>
      <c r="AA19" s="12">
        <v>2.3955313746547e-9</v>
      </c>
      <c r="AB19" s="11">
        <v>0.83656829668222</v>
      </c>
      <c r="AC19" s="11">
        <v>0.027707247527817</v>
      </c>
      <c r="AD19" s="11">
        <v>0.0015059514624412</v>
      </c>
      <c r="AE19" s="12">
        <v>6.4351878532088e-8</v>
      </c>
      <c r="AF19" s="12">
        <v>3.2870581274788e-8</v>
      </c>
      <c r="AG19" s="12">
        <v>-1.4341088387391e-9</v>
      </c>
      <c r="AH19" s="12">
        <v>3.3559670368925e-8</v>
      </c>
      <c r="AI19" s="12">
        <v>-3.2844543417284e-7</v>
      </c>
      <c r="AJ19" s="12">
        <v>-1.9667060799885e-7</v>
      </c>
      <c r="AK19" s="12">
        <v>-4.2610467430629e-8</v>
      </c>
      <c r="AL19" s="12">
        <v>-1.2826047841851e-7</v>
      </c>
      <c r="AM19" s="12">
        <v>-6.9321862895871e-8</v>
      </c>
      <c r="AN19" s="12">
        <v>-9.4625671246456e-8</v>
      </c>
      <c r="AO19" s="12">
        <v>-1.1663023306119e-7</v>
      </c>
      <c r="AP19" s="12">
        <v>8.001985549494e-8</v>
      </c>
      <c r="AQ19" s="12">
        <v>-1.0732977693844e-7</v>
      </c>
      <c r="AR19" s="12">
        <v>-1.3603797895651e-7</v>
      </c>
      <c r="AS19" s="12">
        <v>-2.0257938091909e-7</v>
      </c>
      <c r="AT19" s="12">
        <v>-1.1620903712205e-7</v>
      </c>
      <c r="AU19" s="12">
        <v>-1.3464467484961e-7</v>
      </c>
      <c r="AV19" s="12">
        <v>-3.6207820262833e-8</v>
      </c>
      <c r="AW19" s="12">
        <v>-2.7029670371058e-9</v>
      </c>
      <c r="AX19" s="12">
        <v>-5.9213497615455e-8</v>
      </c>
      <c r="AY19" s="12">
        <v>-4.0670168250571e-8</v>
      </c>
      <c r="AZ19" s="12">
        <v>-2.5468477425171e-8</v>
      </c>
      <c r="BA19" s="12">
        <v>2.6362278493305e-8</v>
      </c>
      <c r="BB19" s="12">
        <v>1.4836014185229e-8</v>
      </c>
      <c r="BC19" s="11">
        <v>16061834.791588</v>
      </c>
      <c r="BD19" s="11">
        <v>4603358.8136785</v>
      </c>
      <c r="BE19" s="11">
        <v>-0.00059911754763334</v>
      </c>
      <c r="BF19" s="11">
        <v>-0.0005526796905262</v>
      </c>
      <c r="BG19" s="11">
        <v>0.0015443120160998</v>
      </c>
      <c r="BH19" s="11">
        <v>-0.005192397827051</v>
      </c>
      <c r="BI19" s="11">
        <v>-0.0054051221948554</v>
      </c>
      <c r="BJ19" s="11">
        <v>149.99472073668</v>
      </c>
      <c r="BK19" s="11">
        <v>165.59628358086</v>
      </c>
      <c r="BL19" s="7">
        <v>151.0652363438</v>
      </c>
    </row>
    <row r="20" spans="1:64">
      <c r="A20" s="11">
        <v>706.26877231137</v>
      </c>
      <c r="B20" s="11">
        <v>0.0010192614379583</v>
      </c>
      <c r="C20" s="12">
        <f t="shared" si="0"/>
        <v>1.33946649679753e-6</v>
      </c>
      <c r="D20" s="12">
        <v>3.5602877539501e-9</v>
      </c>
      <c r="E20" s="12">
        <v>3.6596983457837e-9</v>
      </c>
      <c r="F20" s="12">
        <v>3.6681243997148e-9</v>
      </c>
      <c r="G20" s="12">
        <v>3.461742081985e-9</v>
      </c>
      <c r="H20" s="12">
        <v>4.464235296503e-9</v>
      </c>
      <c r="I20" s="12">
        <v>4.1652618895945e-9</v>
      </c>
      <c r="J20" s="12">
        <v>3.3285710861209e-9</v>
      </c>
      <c r="K20" s="12">
        <v>3.6972824020756e-9</v>
      </c>
      <c r="L20" s="12">
        <v>3.5386943589834e-9</v>
      </c>
      <c r="M20" s="12">
        <v>3.5652370478048e-9</v>
      </c>
      <c r="N20" s="12">
        <v>2.6102241419349e-9</v>
      </c>
      <c r="O20" s="12">
        <v>3.9185102870068e-9</v>
      </c>
      <c r="P20" s="12">
        <v>2.6583881392184e-9</v>
      </c>
      <c r="Q20" s="12">
        <v>2.9672673586319e-9</v>
      </c>
      <c r="R20" s="12">
        <v>4.0261733450235e-9</v>
      </c>
      <c r="S20" s="12">
        <v>3.6300701966293e-9</v>
      </c>
      <c r="T20" s="12">
        <v>3.8374802348326e-9</v>
      </c>
      <c r="U20" s="12">
        <v>3.4541753085508e-9</v>
      </c>
      <c r="V20" s="12">
        <v>3.3701588960754e-9</v>
      </c>
      <c r="W20" s="12">
        <v>3.5735506056149e-9</v>
      </c>
      <c r="X20" s="12">
        <v>3.5378234122486e-9</v>
      </c>
      <c r="Y20" s="12">
        <v>2.5463337924365e-9</v>
      </c>
      <c r="Z20" s="12">
        <v>2.8161880756518e-9</v>
      </c>
      <c r="AA20" s="12">
        <v>2.4552139652885e-9</v>
      </c>
      <c r="AB20" s="11">
        <v>0.86400729123804</v>
      </c>
      <c r="AC20" s="11">
        <v>0.030647436421827</v>
      </c>
      <c r="AD20" s="11">
        <v>0.0017002109563443</v>
      </c>
      <c r="AE20" s="12">
        <v>6.2385389238078e-8</v>
      </c>
      <c r="AF20" s="12">
        <v>3.1428907114511e-8</v>
      </c>
      <c r="AG20" s="12">
        <v>-8.713464109594e-10</v>
      </c>
      <c r="AH20" s="12">
        <v>3.6947082636047e-8</v>
      </c>
      <c r="AI20" s="12">
        <v>-2.9253602186636e-7</v>
      </c>
      <c r="AJ20" s="12">
        <v>-1.7846651482545e-7</v>
      </c>
      <c r="AK20" s="12">
        <v>-3.7579947620772e-8</v>
      </c>
      <c r="AL20" s="12">
        <v>-1.143540785643e-7</v>
      </c>
      <c r="AM20" s="12">
        <v>-5.9536359191911e-8</v>
      </c>
      <c r="AN20" s="12">
        <v>-8.6583288964409e-8</v>
      </c>
      <c r="AO20" s="12">
        <v>-1.0460604507255e-7</v>
      </c>
      <c r="AP20" s="12">
        <v>7.4515892769615e-8</v>
      </c>
      <c r="AQ20" s="12">
        <v>-9.8613655783806e-8</v>
      </c>
      <c r="AR20" s="12">
        <v>-1.2134424821298e-7</v>
      </c>
      <c r="AS20" s="12">
        <v>-1.8522056823611e-7</v>
      </c>
      <c r="AT20" s="12">
        <v>-1.0585693471867e-7</v>
      </c>
      <c r="AU20" s="12">
        <v>-1.1916568298392e-7</v>
      </c>
      <c r="AV20" s="12">
        <v>-3.0632953288085e-8</v>
      </c>
      <c r="AW20" s="12">
        <v>-1.3313657369015e-9</v>
      </c>
      <c r="AX20" s="12">
        <v>-5.856816502181e-8</v>
      </c>
      <c r="AY20" s="12">
        <v>-4.122449126969e-8</v>
      </c>
      <c r="AZ20" s="12">
        <v>-2.2013750865619e-8</v>
      </c>
      <c r="BA20" s="12">
        <v>2.7208284728688e-8</v>
      </c>
      <c r="BB20" s="12">
        <v>1.5383733573459e-8</v>
      </c>
      <c r="BC20" s="11">
        <v>16076731.993212</v>
      </c>
      <c r="BD20" s="11">
        <v>4758135.3447623</v>
      </c>
      <c r="BE20" s="11">
        <v>-0.00069273812137889</v>
      </c>
      <c r="BF20" s="11">
        <v>-0.00063865311975253</v>
      </c>
      <c r="BG20" s="11">
        <v>0.0017355874078268</v>
      </c>
      <c r="BH20" s="11">
        <v>-0.0058344697938166</v>
      </c>
      <c r="BI20" s="11">
        <v>-0.0060818093007035</v>
      </c>
      <c r="BJ20" s="11">
        <v>149.99207771335</v>
      </c>
      <c r="BK20" s="11">
        <v>165.62843256212</v>
      </c>
      <c r="BL20" s="7">
        <v>151.67532235327</v>
      </c>
    </row>
    <row r="21" spans="1:64">
      <c r="A21" s="11">
        <v>889.13970501945</v>
      </c>
      <c r="B21" s="11">
        <v>0.001247886103296</v>
      </c>
      <c r="C21" s="12">
        <f t="shared" si="0"/>
        <v>1.25019685716077e-6</v>
      </c>
      <c r="D21" s="12">
        <v>3.6939509281152e-9</v>
      </c>
      <c r="E21" s="12">
        <v>3.7993246947777e-9</v>
      </c>
      <c r="F21" s="12">
        <v>3.8150961364753e-9</v>
      </c>
      <c r="G21" s="12">
        <v>3.5650659196853e-9</v>
      </c>
      <c r="H21" s="12">
        <v>4.7756987953767e-9</v>
      </c>
      <c r="I21" s="12">
        <v>4.4204776048564e-9</v>
      </c>
      <c r="J21" s="12">
        <v>3.3897748762808e-9</v>
      </c>
      <c r="K21" s="12">
        <v>3.8434058898992e-9</v>
      </c>
      <c r="L21" s="12">
        <v>3.6668867852913e-9</v>
      </c>
      <c r="M21" s="12">
        <v>3.6892074349913e-9</v>
      </c>
      <c r="N21" s="12">
        <v>2.7307848791656e-9</v>
      </c>
      <c r="O21" s="12">
        <v>4.1212561901875e-9</v>
      </c>
      <c r="P21" s="12">
        <v>2.7831194174535e-9</v>
      </c>
      <c r="Q21" s="12">
        <v>3.133330930249e-9</v>
      </c>
      <c r="R21" s="12">
        <v>4.2352695424337e-9</v>
      </c>
      <c r="S21" s="12">
        <v>3.7682625134658e-9</v>
      </c>
      <c r="T21" s="12">
        <v>4.0122310891186e-9</v>
      </c>
      <c r="U21" s="12">
        <v>3.54357330637e-9</v>
      </c>
      <c r="V21" s="12">
        <v>3.4486226838935e-9</v>
      </c>
      <c r="W21" s="12">
        <v>3.7084553972189e-9</v>
      </c>
      <c r="X21" s="12">
        <v>3.662263675719e-9</v>
      </c>
      <c r="Y21" s="12">
        <v>2.6466705955621e-9</v>
      </c>
      <c r="Z21" s="12">
        <v>2.9867931866651e-9</v>
      </c>
      <c r="AA21" s="12">
        <v>2.524727986903e-9</v>
      </c>
      <c r="AB21" s="11">
        <v>0.88763118708541</v>
      </c>
      <c r="AC21" s="11">
        <v>0.033809478994288</v>
      </c>
      <c r="AD21" s="11">
        <v>0.0019300874098465</v>
      </c>
      <c r="AE21" s="12">
        <v>6.1148139893183e-8</v>
      </c>
      <c r="AF21" s="12">
        <v>3.024710294996e-8</v>
      </c>
      <c r="AG21" s="12">
        <v>8.3316567510903e-11</v>
      </c>
      <c r="AH21" s="12">
        <v>3.9502542895264e-8</v>
      </c>
      <c r="AI21" s="12">
        <v>-2.6521071426946e-7</v>
      </c>
      <c r="AJ21" s="12">
        <v>-1.636119408192e-7</v>
      </c>
      <c r="AK21" s="12">
        <v>-3.2852028655956e-8</v>
      </c>
      <c r="AL21" s="12">
        <v>-1.0333183973808e-7</v>
      </c>
      <c r="AM21" s="12">
        <v>-5.1666838515878e-8</v>
      </c>
      <c r="AN21" s="12">
        <v>-7.989172787449e-8</v>
      </c>
      <c r="AO21" s="12">
        <v>-9.5655611901617e-8</v>
      </c>
      <c r="AP21" s="12">
        <v>7.141742230679e-8</v>
      </c>
      <c r="AQ21" s="12">
        <v>-9.1072051286477e-8</v>
      </c>
      <c r="AR21" s="12">
        <v>-1.0970807163613e-7</v>
      </c>
      <c r="AS21" s="12">
        <v>-1.7113768423706e-7</v>
      </c>
      <c r="AT21" s="12">
        <v>-9.7260910716723e-8</v>
      </c>
      <c r="AU21" s="12">
        <v>-1.0638991746054e-7</v>
      </c>
      <c r="AV21" s="12">
        <v>-2.6613864719926e-8</v>
      </c>
      <c r="AW21" s="12">
        <v>-5.2901026536901e-10</v>
      </c>
      <c r="AX21" s="12">
        <v>-5.7598144759372e-8</v>
      </c>
      <c r="AY21" s="12">
        <v>-4.0856868402473e-8</v>
      </c>
      <c r="AZ21" s="12">
        <v>-1.8533565752877e-8</v>
      </c>
      <c r="BA21" s="12">
        <v>2.7590365231732e-8</v>
      </c>
      <c r="BB21" s="12">
        <v>1.5734817809939e-8</v>
      </c>
      <c r="BC21" s="11">
        <v>16094320.152675</v>
      </c>
      <c r="BD21" s="11">
        <v>4943156.2372844</v>
      </c>
      <c r="BE21" s="11">
        <v>-0.00080330635891205</v>
      </c>
      <c r="BF21" s="11">
        <v>-0.0007394526800269</v>
      </c>
      <c r="BG21" s="11">
        <v>0.0019622790398923</v>
      </c>
      <c r="BH21" s="11">
        <v>-0.0065681046049627</v>
      </c>
      <c r="BI21" s="11">
        <v>-0.006809465062034</v>
      </c>
      <c r="BJ21" s="11">
        <v>149.98900872624</v>
      </c>
      <c r="BK21" s="11">
        <v>165.60795395237</v>
      </c>
      <c r="BL21" s="7">
        <v>152.3188806567</v>
      </c>
    </row>
    <row r="22" spans="1:64">
      <c r="A22" s="11">
        <v>1119.3605692842</v>
      </c>
      <c r="B22" s="11">
        <v>0.0015198744104712</v>
      </c>
      <c r="C22" s="12">
        <f t="shared" si="0"/>
        <v>1.18142336075334e-6</v>
      </c>
      <c r="D22" s="12">
        <v>3.8591755211652e-9</v>
      </c>
      <c r="E22" s="12">
        <v>3.9622104466288e-9</v>
      </c>
      <c r="F22" s="12">
        <v>3.9880741934552e-9</v>
      </c>
      <c r="G22" s="12">
        <v>3.686954867662e-9</v>
      </c>
      <c r="H22" s="12">
        <v>5.1441513055015e-9</v>
      </c>
      <c r="I22" s="12">
        <v>4.7248729764132e-9</v>
      </c>
      <c r="J22" s="12">
        <v>3.4624109244769e-9</v>
      </c>
      <c r="K22" s="12">
        <v>4.0139604879334e-9</v>
      </c>
      <c r="L22" s="12">
        <v>3.8240344054873e-9</v>
      </c>
      <c r="M22" s="12">
        <v>3.8349243649359e-9</v>
      </c>
      <c r="N22" s="12">
        <v>2.874773654626e-9</v>
      </c>
      <c r="O22" s="12">
        <v>4.3653641494931e-9</v>
      </c>
      <c r="P22" s="12">
        <v>2.9276949425431e-9</v>
      </c>
      <c r="Q22" s="12">
        <v>3.3205486340354e-9</v>
      </c>
      <c r="R22" s="12">
        <v>4.4783175428181e-9</v>
      </c>
      <c r="S22" s="12">
        <v>3.9278355836876e-9</v>
      </c>
      <c r="T22" s="12">
        <v>4.2149741802491e-9</v>
      </c>
      <c r="U22" s="12">
        <v>3.6515351558599e-9</v>
      </c>
      <c r="V22" s="12">
        <v>3.5429470958168e-9</v>
      </c>
      <c r="W22" s="12">
        <v>3.8699771363711e-9</v>
      </c>
      <c r="X22" s="12">
        <v>3.8100920319146e-9</v>
      </c>
      <c r="Y22" s="12">
        <v>2.761764819688e-9</v>
      </c>
      <c r="Z22" s="12">
        <v>3.1895694773162e-9</v>
      </c>
      <c r="AA22" s="12">
        <v>2.6054301731651e-9</v>
      </c>
      <c r="AB22" s="11">
        <v>0.90777267712325</v>
      </c>
      <c r="AC22" s="11">
        <v>0.03716367430493</v>
      </c>
      <c r="AD22" s="11">
        <v>0.0022045586351803</v>
      </c>
      <c r="AE22" s="12">
        <v>6.0213949594067e-8</v>
      </c>
      <c r="AF22" s="12">
        <v>2.9440019895756e-8</v>
      </c>
      <c r="AG22" s="12">
        <v>1.3671765315819e-9</v>
      </c>
      <c r="AH22" s="12">
        <v>4.1321419487064e-8</v>
      </c>
      <c r="AI22" s="12">
        <v>-2.4456187912096e-7</v>
      </c>
      <c r="AJ22" s="12">
        <v>-1.5155780550085e-7</v>
      </c>
      <c r="AK22" s="12">
        <v>-2.8749569636148e-8</v>
      </c>
      <c r="AL22" s="12">
        <v>-9.4858531229947e-8</v>
      </c>
      <c r="AM22" s="12">
        <v>-4.5379562624471e-8</v>
      </c>
      <c r="AN22" s="12">
        <v>-7.4496579717234e-8</v>
      </c>
      <c r="AO22" s="12">
        <v>-8.8646407472064e-8</v>
      </c>
      <c r="AP22" s="12">
        <v>7.0077031808799e-8</v>
      </c>
      <c r="AQ22" s="12">
        <v>-8.4695736405998e-8</v>
      </c>
      <c r="AR22" s="12">
        <v>-1.0068361079658e-7</v>
      </c>
      <c r="AS22" s="12">
        <v>-1.597984308928e-7</v>
      </c>
      <c r="AT22" s="12">
        <v>-9.0307660757403e-8</v>
      </c>
      <c r="AU22" s="12">
        <v>-9.6333183585081e-8</v>
      </c>
      <c r="AV22" s="12">
        <v>-2.3793484740081e-8</v>
      </c>
      <c r="AW22" s="12">
        <v>8.5257704305414e-11</v>
      </c>
      <c r="AX22" s="12">
        <v>-5.6457328466712e-8</v>
      </c>
      <c r="AY22" s="12">
        <v>-3.976088805313e-8</v>
      </c>
      <c r="AZ22" s="12">
        <v>-1.5601944091455e-8</v>
      </c>
      <c r="BA22" s="12">
        <v>2.7779083942956e-8</v>
      </c>
      <c r="BB22" s="12">
        <v>1.596918850978e-8</v>
      </c>
      <c r="BC22" s="11">
        <v>16115299.100983</v>
      </c>
      <c r="BD22" s="11">
        <v>5166061.1285815</v>
      </c>
      <c r="BE22" s="11">
        <v>-0.00093498251684868</v>
      </c>
      <c r="BF22" s="11">
        <v>-0.00085874825773231</v>
      </c>
      <c r="BG22" s="11">
        <v>0.0022334506208813</v>
      </c>
      <c r="BH22" s="11">
        <v>-0.0073971996059209</v>
      </c>
      <c r="BI22" s="11">
        <v>-0.0075897606263986</v>
      </c>
      <c r="BJ22" s="11">
        <v>149.98550879035</v>
      </c>
      <c r="BK22" s="11">
        <v>165.54859029795</v>
      </c>
      <c r="BL22" s="7">
        <v>152.98370332321</v>
      </c>
    </row>
    <row r="23" spans="1:64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1"/>
      <c r="AC23" s="11"/>
      <c r="AD23" s="11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1"/>
      <c r="BD23" s="11"/>
      <c r="BE23" s="11"/>
      <c r="BF23" s="11"/>
      <c r="BG23" s="11"/>
      <c r="BH23" s="11"/>
      <c r="BI23" s="11"/>
      <c r="BJ23" s="11"/>
      <c r="BK23" s="11"/>
      <c r="BL23" s="7"/>
    </row>
    <row r="24" spans="1:6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1"/>
      <c r="AC24" s="11"/>
      <c r="AD24" s="11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1"/>
      <c r="BD24" s="11"/>
      <c r="BE24" s="11"/>
      <c r="BF24" s="11"/>
      <c r="BG24" s="11"/>
      <c r="BH24" s="11"/>
      <c r="BI24" s="11"/>
      <c r="BJ24" s="11"/>
      <c r="BK24" s="11"/>
      <c r="BL24" s="7"/>
    </row>
    <row r="25" spans="1:64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1"/>
      <c r="AC25" s="11"/>
      <c r="AD25" s="11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1"/>
      <c r="BD25" s="11"/>
      <c r="BE25" s="11"/>
      <c r="BF25" s="11"/>
      <c r="BG25" s="11"/>
      <c r="BH25" s="11"/>
      <c r="BI25" s="11"/>
      <c r="BJ25" s="11"/>
      <c r="BK25" s="11"/>
      <c r="BL25" s="7"/>
    </row>
    <row r="26" spans="1:64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1"/>
      <c r="AC26" s="11"/>
      <c r="AD26" s="11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1"/>
      <c r="BD26" s="11"/>
      <c r="BE26" s="11"/>
      <c r="BF26" s="11"/>
      <c r="BG26" s="11"/>
      <c r="BH26" s="11"/>
      <c r="BI26" s="11"/>
      <c r="BJ26" s="11"/>
      <c r="BK26" s="11"/>
      <c r="BL26" s="7"/>
    </row>
    <row r="27" spans="1:64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1"/>
      <c r="AC27" s="11"/>
      <c r="AD27" s="11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1"/>
      <c r="BD27" s="11"/>
      <c r="BE27" s="11"/>
      <c r="BF27" s="11"/>
      <c r="BG27" s="11"/>
      <c r="BH27" s="11"/>
      <c r="BI27" s="11"/>
      <c r="BJ27" s="11"/>
      <c r="BK27" s="11"/>
      <c r="BL27" s="7"/>
    </row>
    <row r="28" spans="1:64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1"/>
      <c r="AC28" s="11"/>
      <c r="AD28" s="11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1"/>
      <c r="BD28" s="11"/>
      <c r="BE28" s="11"/>
      <c r="BF28" s="11"/>
      <c r="BG28" s="11"/>
      <c r="BH28" s="11"/>
      <c r="BI28" s="11"/>
      <c r="BJ28" s="11"/>
      <c r="BK28" s="11"/>
      <c r="BL28" s="7"/>
    </row>
    <row r="29" spans="1:64">
      <c r="A29" s="11"/>
      <c r="B29" s="11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1"/>
      <c r="AC29" s="11"/>
      <c r="AD29" s="11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1"/>
      <c r="BD29" s="11"/>
      <c r="BE29" s="11"/>
      <c r="BF29" s="11"/>
      <c r="BG29" s="11"/>
      <c r="BH29" s="11"/>
      <c r="BI29" s="11"/>
      <c r="BJ29" s="11"/>
      <c r="BK29" s="11"/>
      <c r="BL29" s="7"/>
    </row>
    <row r="30" spans="1:64">
      <c r="A30" s="11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1"/>
      <c r="AC30" s="11"/>
      <c r="AD30" s="11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1"/>
      <c r="BD30" s="11"/>
      <c r="BE30" s="11"/>
      <c r="BF30" s="11"/>
      <c r="BG30" s="11"/>
      <c r="BH30" s="11"/>
      <c r="BI30" s="11"/>
      <c r="BJ30" s="11"/>
      <c r="BK30" s="11"/>
      <c r="BL30" s="7"/>
    </row>
    <row r="31" spans="1:64">
      <c r="A31" s="11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1"/>
      <c r="AC31" s="11"/>
      <c r="AD31" s="11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1"/>
      <c r="BD31" s="11"/>
      <c r="BE31" s="11"/>
      <c r="BF31" s="11"/>
      <c r="BG31" s="11"/>
      <c r="BH31" s="11"/>
      <c r="BI31" s="11"/>
      <c r="BJ31" s="11"/>
      <c r="BK31" s="11"/>
      <c r="BL31" s="7"/>
    </row>
    <row r="32" spans="1:64">
      <c r="A32" s="11"/>
      <c r="B32" s="11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1"/>
      <c r="AC32" s="11"/>
      <c r="AD32" s="11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1"/>
      <c r="BD32" s="11"/>
      <c r="BE32" s="11"/>
      <c r="BF32" s="11"/>
      <c r="BG32" s="11"/>
      <c r="BH32" s="11"/>
      <c r="BI32" s="11"/>
      <c r="BJ32" s="11"/>
      <c r="BK32" s="11"/>
      <c r="BL32" s="7"/>
    </row>
    <row r="33" spans="1:64">
      <c r="A33" s="11"/>
      <c r="B33" s="11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1"/>
      <c r="AC33" s="11"/>
      <c r="AD33" s="11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1"/>
      <c r="BD33" s="11"/>
      <c r="BE33" s="11"/>
      <c r="BF33" s="11"/>
      <c r="BG33" s="11"/>
      <c r="BH33" s="11"/>
      <c r="BI33" s="11"/>
      <c r="BJ33" s="11"/>
      <c r="BK33" s="11"/>
      <c r="BL33" s="7"/>
    </row>
    <row r="34" spans="1:64">
      <c r="A34" s="11"/>
      <c r="B34" s="11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1"/>
      <c r="AC34" s="11"/>
      <c r="AD34" s="11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1"/>
      <c r="BD34" s="11"/>
      <c r="BE34" s="11"/>
      <c r="BF34" s="11"/>
      <c r="BG34" s="11"/>
      <c r="BH34" s="11"/>
      <c r="BI34" s="11"/>
      <c r="BJ34" s="11"/>
      <c r="BK34" s="11"/>
      <c r="BL34" s="7"/>
    </row>
    <row r="35" spans="1:63">
      <c r="A35" s="11"/>
      <c r="B35" s="11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1"/>
      <c r="AC35" s="11"/>
      <c r="AD35" s="11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1"/>
      <c r="BD35" s="11"/>
      <c r="BE35" s="11"/>
      <c r="BF35" s="11"/>
      <c r="BG35" s="11"/>
      <c r="BH35" s="11"/>
      <c r="BI35" s="11"/>
      <c r="BJ35" s="11"/>
      <c r="BK35" s="11"/>
    </row>
    <row r="36" spans="1:63">
      <c r="A36" s="11"/>
      <c r="B36" s="11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1"/>
      <c r="AC36" s="11"/>
      <c r="AD36" s="11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1"/>
      <c r="BD36" s="11"/>
      <c r="BE36" s="11"/>
      <c r="BF36" s="11"/>
      <c r="BG36" s="11"/>
      <c r="BH36" s="11"/>
      <c r="BI36" s="11"/>
      <c r="BJ36" s="11"/>
      <c r="BK36" s="11"/>
    </row>
    <row r="37" spans="1:63">
      <c r="A37" s="11"/>
      <c r="B37" s="11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1"/>
      <c r="AC37" s="11"/>
      <c r="AD37" s="11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1"/>
      <c r="BD37" s="11"/>
      <c r="BE37" s="11"/>
      <c r="BF37" s="11"/>
      <c r="BG37" s="11"/>
      <c r="BH37" s="11"/>
      <c r="BI37" s="11"/>
      <c r="BJ37" s="11"/>
      <c r="BK37" s="11"/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34"/>
  <sheetViews>
    <sheetView workbookViewId="0">
      <selection activeCell="C1" sqref="C1:C5"/>
    </sheetView>
  </sheetViews>
  <sheetFormatPr defaultColWidth="9" defaultRowHeight="15"/>
  <cols>
    <col min="1" max="1" width="9" style="10"/>
  </cols>
  <sheetData>
    <row r="1" spans="1:6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7"/>
    </row>
    <row r="2" spans="1:64">
      <c r="A2" s="11">
        <v>0</v>
      </c>
      <c r="B2" s="11">
        <v>0</v>
      </c>
      <c r="C2" s="11"/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7"/>
    </row>
    <row r="3" spans="1:64">
      <c r="A3" s="11">
        <v>0.14091914656322</v>
      </c>
      <c r="B3" s="12">
        <v>4.9578174825183e-13</v>
      </c>
      <c r="C3" s="12">
        <f>(B3-B2)/(A3-A2)</f>
        <v>3.51820004834765e-12</v>
      </c>
      <c r="D3" s="12">
        <v>5.5421858363292e-13</v>
      </c>
      <c r="E3" s="12">
        <v>5.4741148436648e-13</v>
      </c>
      <c r="F3" s="12">
        <v>5.4741148436648e-13</v>
      </c>
      <c r="G3" s="12">
        <v>5.4741148436648e-13</v>
      </c>
      <c r="H3" s="12">
        <v>5.5421858363292e-13</v>
      </c>
      <c r="I3" s="12">
        <v>5.5421858363292e-13</v>
      </c>
      <c r="J3" s="12">
        <v>5.5421858363292e-13</v>
      </c>
      <c r="K3" s="12">
        <v>5.6432530802514e-13</v>
      </c>
      <c r="L3" s="12">
        <v>5.6432530802514e-13</v>
      </c>
      <c r="M3" s="12">
        <v>5.6432530802514e-13</v>
      </c>
      <c r="N3" s="12">
        <v>3.8055190215658e-13</v>
      </c>
      <c r="O3" s="12">
        <v>5.5421858363292e-13</v>
      </c>
      <c r="P3" s="12">
        <v>3.8055190215658e-13</v>
      </c>
      <c r="Q3" s="12">
        <v>3.8055190215658e-13</v>
      </c>
      <c r="R3" s="12">
        <v>5.4741148436648e-13</v>
      </c>
      <c r="S3" s="12">
        <v>5.4741148436648e-13</v>
      </c>
      <c r="T3" s="12">
        <v>5.4741148436648e-13</v>
      </c>
      <c r="U3" s="12">
        <v>5.5421858363292e-13</v>
      </c>
      <c r="V3" s="12">
        <v>5.6432530802514e-13</v>
      </c>
      <c r="W3" s="12">
        <v>5.6432530802514e-13</v>
      </c>
      <c r="X3" s="12">
        <v>5.6432530802514e-13</v>
      </c>
      <c r="Y3" s="12">
        <v>3.8055190215658e-13</v>
      </c>
      <c r="Z3" s="12">
        <v>3.8055190215658e-13</v>
      </c>
      <c r="AA3" s="12">
        <v>3.8055190215658e-13</v>
      </c>
      <c r="AB3" s="11">
        <v>0.99999996861841</v>
      </c>
      <c r="AC3" s="11">
        <v>0.9999840790154</v>
      </c>
      <c r="AD3" s="12">
        <v>1.5452497571214e-7</v>
      </c>
      <c r="AE3" s="12">
        <v>1.9232885731687e-18</v>
      </c>
      <c r="AF3" s="12">
        <v>-1.0247969795981e-18</v>
      </c>
      <c r="AG3" s="12">
        <v>-6.6346469647686e-18</v>
      </c>
      <c r="AH3" s="12">
        <v>2.7053686461827e-18</v>
      </c>
      <c r="AI3" s="12">
        <v>1.5229553721048e-18</v>
      </c>
      <c r="AJ3" s="12">
        <v>1.2720487875773e-18</v>
      </c>
      <c r="AK3" s="12">
        <v>8.3281865592839e-18</v>
      </c>
      <c r="AL3" s="12">
        <v>-2.3949497817896e-18</v>
      </c>
      <c r="AM3" s="12">
        <v>8.3849385207e-18</v>
      </c>
      <c r="AN3" s="12">
        <v>2.5080159387033e-18</v>
      </c>
      <c r="AO3" s="12">
        <v>3.0066413359827e-18</v>
      </c>
      <c r="AP3" s="12">
        <v>-1.2938968231123e-18</v>
      </c>
      <c r="AQ3" s="12">
        <v>5.3403814295921e-18</v>
      </c>
      <c r="AR3" s="12">
        <v>2.2102510840071e-18</v>
      </c>
      <c r="AS3" s="12">
        <v>1.9658707818248e-18</v>
      </c>
      <c r="AT3" s="12">
        <v>2.4422232839833e-18</v>
      </c>
      <c r="AU3" s="12">
        <v>9.2890263480751e-18</v>
      </c>
      <c r="AV3" s="12">
        <v>-4.6952293340449e-18</v>
      </c>
      <c r="AW3" s="12">
        <v>3.7850389177424e-18</v>
      </c>
      <c r="AX3" s="12">
        <v>-5.7602306431628e-18</v>
      </c>
      <c r="AY3" s="12">
        <v>2.5843217924838e-18</v>
      </c>
      <c r="AZ3" s="12">
        <v>-6.9081949219831e-19</v>
      </c>
      <c r="BA3" s="12">
        <v>3.4643779996426e-19</v>
      </c>
      <c r="BB3" s="12">
        <v>6.7810516909171e-20</v>
      </c>
      <c r="BC3" s="11">
        <v>15999999.999763</v>
      </c>
      <c r="BD3" s="11">
        <v>3999999.9999334</v>
      </c>
      <c r="BE3" s="12">
        <v>-4.6510496893092e-8</v>
      </c>
      <c r="BF3" s="12">
        <v>-4.1486637332651e-8</v>
      </c>
      <c r="BG3" s="12">
        <v>1.6708380396313e-7</v>
      </c>
      <c r="BH3" s="12">
        <v>-8.6956898964662e-11</v>
      </c>
      <c r="BI3" s="12">
        <v>-9.4126699952751e-11</v>
      </c>
      <c r="BJ3" s="11">
        <v>0.032881134226302</v>
      </c>
      <c r="BK3" s="11">
        <v>0.035833954278446</v>
      </c>
      <c r="BL3" s="7"/>
    </row>
    <row r="4" spans="1:64">
      <c r="A4" s="11">
        <v>0.44562546906687</v>
      </c>
      <c r="B4" s="12">
        <v>5.6004476594773e-12</v>
      </c>
      <c r="C4" s="12">
        <f t="shared" ref="C4:C35" si="0">(B4-B3)/(A4-A3)</f>
        <v>1.67527403740181e-11</v>
      </c>
      <c r="D4" s="12">
        <v>1.7526420404669e-12</v>
      </c>
      <c r="E4" s="12">
        <v>1.7311169587276e-12</v>
      </c>
      <c r="F4" s="12">
        <v>1.7311169587276e-12</v>
      </c>
      <c r="G4" s="12">
        <v>1.7311169587276e-12</v>
      </c>
      <c r="H4" s="12">
        <v>1.7526420404669e-12</v>
      </c>
      <c r="I4" s="12">
        <v>1.7526420404669e-12</v>
      </c>
      <c r="J4" s="12">
        <v>1.7526420404669e-12</v>
      </c>
      <c r="K4" s="12">
        <v>1.784609111646e-12</v>
      </c>
      <c r="L4" s="12">
        <v>1.784609111646e-12</v>
      </c>
      <c r="M4" s="12">
        <v>1.784609111646e-12</v>
      </c>
      <c r="N4" s="12">
        <v>1.2034424003329e-12</v>
      </c>
      <c r="O4" s="12">
        <v>1.7526420404669e-12</v>
      </c>
      <c r="P4" s="12">
        <v>1.2034424003329e-12</v>
      </c>
      <c r="Q4" s="12">
        <v>1.2034424003329e-12</v>
      </c>
      <c r="R4" s="12">
        <v>1.7311169587276e-12</v>
      </c>
      <c r="S4" s="12">
        <v>1.7311169587276e-12</v>
      </c>
      <c r="T4" s="12">
        <v>1.7311169587276e-12</v>
      </c>
      <c r="U4" s="12">
        <v>1.7526420404669e-12</v>
      </c>
      <c r="V4" s="12">
        <v>1.784609111646e-12</v>
      </c>
      <c r="W4" s="12">
        <v>1.784609111646e-12</v>
      </c>
      <c r="X4" s="12">
        <v>1.784609111646e-12</v>
      </c>
      <c r="Y4" s="12">
        <v>1.2034424003329e-12</v>
      </c>
      <c r="Z4" s="12">
        <v>1.2034424003329e-12</v>
      </c>
      <c r="AA4" s="12">
        <v>1.2034424003329e-12</v>
      </c>
      <c r="AB4" s="11">
        <v>0.99999998775254</v>
      </c>
      <c r="AC4" s="11">
        <v>0.99999371055813</v>
      </c>
      <c r="AD4" s="12">
        <v>4.8865369725713e-7</v>
      </c>
      <c r="AE4" s="12">
        <v>2.9066401052909e-18</v>
      </c>
      <c r="AF4" s="12">
        <v>-9.8897728412899e-19</v>
      </c>
      <c r="AG4" s="12">
        <v>-7.8613602068025e-18</v>
      </c>
      <c r="AH4" s="12">
        <v>3.5372838896971e-18</v>
      </c>
      <c r="AI4" s="12">
        <v>1.0133100008015e-18</v>
      </c>
      <c r="AJ4" s="12">
        <v>1.0379378997448e-18</v>
      </c>
      <c r="AK4" s="12">
        <v>1.0085300043387e-17</v>
      </c>
      <c r="AL4" s="12">
        <v>-3.3423257062788e-18</v>
      </c>
      <c r="AM4" s="12">
        <v>1.0104585831995e-17</v>
      </c>
      <c r="AN4" s="12">
        <v>2.4705102459764e-18</v>
      </c>
      <c r="AO4" s="12">
        <v>3.3515911655276e-18</v>
      </c>
      <c r="AP4" s="12">
        <v>-1.2207382099561e-18</v>
      </c>
      <c r="AQ4" s="12">
        <v>5.8331295180751e-18</v>
      </c>
      <c r="AR4" s="12">
        <v>2.3067771329502e-18</v>
      </c>
      <c r="AS4" s="12">
        <v>1.6689412818442e-18</v>
      </c>
      <c r="AT4" s="12">
        <v>2.386493054835e-18</v>
      </c>
      <c r="AU4" s="12">
        <v>1.0842154674608e-17</v>
      </c>
      <c r="AV4" s="12">
        <v>-6.0305816010667e-18</v>
      </c>
      <c r="AW4" s="12">
        <v>4.8282646352767e-18</v>
      </c>
      <c r="AX4" s="12">
        <v>-7.2420105311341e-18</v>
      </c>
      <c r="AY4" s="12">
        <v>3.0992917693021e-18</v>
      </c>
      <c r="AZ4" s="12">
        <v>-7.3697073119037e-19</v>
      </c>
      <c r="BA4" s="12">
        <v>4.8976066690653e-19</v>
      </c>
      <c r="BB4" s="12">
        <v>-2.624287598762e-20</v>
      </c>
      <c r="BC4" s="11">
        <v>15999999.997813</v>
      </c>
      <c r="BD4" s="11">
        <v>3999999.9992472</v>
      </c>
      <c r="BE4" s="12">
        <v>-1.4707839743432e-7</v>
      </c>
      <c r="BF4" s="12">
        <v>-1.3119143949862e-7</v>
      </c>
      <c r="BG4" s="12">
        <v>5.2836936173609e-7</v>
      </c>
      <c r="BH4" s="12">
        <v>-8.5029285773686e-10</v>
      </c>
      <c r="BI4" s="12">
        <v>-9.3225189785033e-10</v>
      </c>
      <c r="BJ4" s="11">
        <v>0.10397927642273</v>
      </c>
      <c r="BK4" s="11">
        <v>0.11331683406239</v>
      </c>
      <c r="BL4" s="7"/>
    </row>
    <row r="5" spans="1:64">
      <c r="A5" s="11">
        <v>1.4091914656322</v>
      </c>
      <c r="B5" s="12">
        <v>5.6651074158285e-11</v>
      </c>
      <c r="C5" s="12">
        <f t="shared" si="0"/>
        <v>5.29809340312752e-11</v>
      </c>
      <c r="D5" s="12">
        <v>5.542834927216e-12</v>
      </c>
      <c r="E5" s="12">
        <v>5.4747761207387e-12</v>
      </c>
      <c r="F5" s="12">
        <v>5.4747761207387e-12</v>
      </c>
      <c r="G5" s="12">
        <v>5.4747761207387e-12</v>
      </c>
      <c r="H5" s="12">
        <v>5.5428349272161e-12</v>
      </c>
      <c r="I5" s="12">
        <v>5.542834927216e-12</v>
      </c>
      <c r="J5" s="12">
        <v>5.542834927216e-12</v>
      </c>
      <c r="K5" s="12">
        <v>5.6439938952743e-12</v>
      </c>
      <c r="L5" s="12">
        <v>5.6439938952743e-12</v>
      </c>
      <c r="M5" s="12">
        <v>5.6439938952743e-12</v>
      </c>
      <c r="N5" s="12">
        <v>3.8059416142028e-12</v>
      </c>
      <c r="O5" s="12">
        <v>5.5428349272161e-12</v>
      </c>
      <c r="P5" s="12">
        <v>3.8059416142028e-12</v>
      </c>
      <c r="Q5" s="12">
        <v>3.8059416142028e-12</v>
      </c>
      <c r="R5" s="12">
        <v>5.4747761207387e-12</v>
      </c>
      <c r="S5" s="12">
        <v>5.4747761207387e-12</v>
      </c>
      <c r="T5" s="12">
        <v>5.4747761207387e-12</v>
      </c>
      <c r="U5" s="12">
        <v>5.542834927216e-12</v>
      </c>
      <c r="V5" s="12">
        <v>5.6439938952743e-12</v>
      </c>
      <c r="W5" s="12">
        <v>5.6439938952743e-12</v>
      </c>
      <c r="X5" s="12">
        <v>5.6439938952743e-12</v>
      </c>
      <c r="Y5" s="12">
        <v>3.8059416142028e-12</v>
      </c>
      <c r="Z5" s="12">
        <v>3.8059416142028e-12</v>
      </c>
      <c r="AA5" s="12">
        <v>3.8059416142028e-12</v>
      </c>
      <c r="AB5" s="11">
        <v>0.99999999430096</v>
      </c>
      <c r="AC5" s="11">
        <v>0.99999699267101</v>
      </c>
      <c r="AD5" s="12">
        <v>1.5452855724127e-6</v>
      </c>
      <c r="AE5" s="12">
        <v>5.6902076504746e-18</v>
      </c>
      <c r="AF5" s="12">
        <v>-6.626914948007e-19</v>
      </c>
      <c r="AG5" s="12">
        <v>-1.0773661961942e-17</v>
      </c>
      <c r="AH5" s="12">
        <v>5.6646407291465e-18</v>
      </c>
      <c r="AI5" s="12">
        <v>-1.1455640373363e-18</v>
      </c>
      <c r="AJ5" s="12">
        <v>-9.8492336316744e-20</v>
      </c>
      <c r="AK5" s="12">
        <v>1.4143624830553e-17</v>
      </c>
      <c r="AL5" s="12">
        <v>-6.0196850097095e-18</v>
      </c>
      <c r="AM5" s="12">
        <v>1.3986228524503e-17</v>
      </c>
      <c r="AN5" s="12">
        <v>1.9264640643876e-18</v>
      </c>
      <c r="AO5" s="12">
        <v>3.7882674571545e-18</v>
      </c>
      <c r="AP5" s="12">
        <v>-7.3111113381378e-19</v>
      </c>
      <c r="AQ5" s="12">
        <v>6.4589165432903e-18</v>
      </c>
      <c r="AR5" s="12">
        <v>2.0837086617848e-18</v>
      </c>
      <c r="AS5" s="12">
        <v>2.3049108121525e-19</v>
      </c>
      <c r="AT5" s="12">
        <v>1.7192445667497e-18</v>
      </c>
      <c r="AU5" s="12">
        <v>1.4065161691228e-17</v>
      </c>
      <c r="AV5" s="12">
        <v>-9.6524407056938e-18</v>
      </c>
      <c r="AW5" s="12">
        <v>7.4049825649394e-18</v>
      </c>
      <c r="AX5" s="12">
        <v>-1.0961280374711e-17</v>
      </c>
      <c r="AY5" s="12">
        <v>4.2982348647178e-18</v>
      </c>
      <c r="AZ5" s="12">
        <v>-8.2838664571471e-19</v>
      </c>
      <c r="BA5" s="12">
        <v>8.6438291385932e-19</v>
      </c>
      <c r="BB5" s="12">
        <v>-3.1532760556667e-19</v>
      </c>
      <c r="BC5" s="11">
        <v>15999999.982325</v>
      </c>
      <c r="BD5" s="11">
        <v>3999999.992385</v>
      </c>
      <c r="BE5" s="12">
        <v>-4.6509585836348e-7</v>
      </c>
      <c r="BF5" s="12">
        <v>-4.1485573936036e-7</v>
      </c>
      <c r="BG5" s="12">
        <v>1.6708886431502e-6</v>
      </c>
      <c r="BH5" s="12">
        <v>-8.5034372774046e-9</v>
      </c>
      <c r="BI5" s="12">
        <v>-9.3251366489117e-9</v>
      </c>
      <c r="BJ5" s="11">
        <v>0.32881134505567</v>
      </c>
      <c r="BK5" s="11">
        <v>0.35833852080466</v>
      </c>
      <c r="BL5" s="7"/>
    </row>
    <row r="6" spans="1:64">
      <c r="A6" s="11">
        <v>4.4562546906687</v>
      </c>
      <c r="B6" s="12">
        <v>5.6728304471861e-10</v>
      </c>
      <c r="C6" s="12">
        <f t="shared" si="0"/>
        <v>1.67581678766842e-10</v>
      </c>
      <c r="D6" s="12">
        <v>1.7532929905841e-11</v>
      </c>
      <c r="E6" s="12">
        <v>1.7317804821428e-11</v>
      </c>
      <c r="F6" s="12">
        <v>1.7317804821429e-11</v>
      </c>
      <c r="G6" s="12">
        <v>1.7317804821428e-11</v>
      </c>
      <c r="H6" s="12">
        <v>1.7532929905842e-11</v>
      </c>
      <c r="I6" s="12">
        <v>1.7532929905842e-11</v>
      </c>
      <c r="J6" s="12">
        <v>1.7532929905841e-11</v>
      </c>
      <c r="K6" s="12">
        <v>1.7853527240366e-11</v>
      </c>
      <c r="L6" s="12">
        <v>1.7853527240364e-11</v>
      </c>
      <c r="M6" s="12">
        <v>1.7853527240365e-11</v>
      </c>
      <c r="N6" s="12">
        <v>1.2038677176563e-11</v>
      </c>
      <c r="O6" s="12">
        <v>1.7532929905842e-11</v>
      </c>
      <c r="P6" s="12">
        <v>1.2038677176563e-11</v>
      </c>
      <c r="Q6" s="12">
        <v>1.2038677176563e-11</v>
      </c>
      <c r="R6" s="12">
        <v>1.7317804821429e-11</v>
      </c>
      <c r="S6" s="12">
        <v>1.7317804821429e-11</v>
      </c>
      <c r="T6" s="12">
        <v>1.7317804821429e-11</v>
      </c>
      <c r="U6" s="12">
        <v>1.7532929905841e-11</v>
      </c>
      <c r="V6" s="12">
        <v>1.7853527240364e-11</v>
      </c>
      <c r="W6" s="12">
        <v>1.7853527240365e-11</v>
      </c>
      <c r="X6" s="12">
        <v>1.7853527240366e-11</v>
      </c>
      <c r="Y6" s="12">
        <v>1.2038677176563e-11</v>
      </c>
      <c r="Z6" s="12">
        <v>1.2038677176563e-11</v>
      </c>
      <c r="AA6" s="12">
        <v>1.2038677176563e-11</v>
      </c>
      <c r="AB6" s="11">
        <v>0.99999999629082</v>
      </c>
      <c r="AC6" s="11">
        <v>0.99999791648531</v>
      </c>
      <c r="AD6" s="12">
        <v>4.8868899068212e-6</v>
      </c>
      <c r="AE6" s="12">
        <v>1.6873236171538e-17</v>
      </c>
      <c r="AF6" s="12">
        <v>1.9425579300589e-18</v>
      </c>
      <c r="AG6" s="12">
        <v>-1.9761010863094e-17</v>
      </c>
      <c r="AH6" s="12">
        <v>1.2878345989252e-17</v>
      </c>
      <c r="AI6" s="12">
        <v>-1.4202343298098e-17</v>
      </c>
      <c r="AJ6" s="12">
        <v>-7.557850828679e-18</v>
      </c>
      <c r="AK6" s="12">
        <v>2.5517980068861e-17</v>
      </c>
      <c r="AL6" s="12">
        <v>-1.6936145849954e-17</v>
      </c>
      <c r="AM6" s="12">
        <v>2.4172031263799e-17</v>
      </c>
      <c r="AN6" s="12">
        <v>-2.5471671024302e-18</v>
      </c>
      <c r="AO6" s="12">
        <v>2.4269651454208e-18</v>
      </c>
      <c r="AP6" s="12">
        <v>2.810910810244e-18</v>
      </c>
      <c r="AQ6" s="12">
        <v>4.9695361395692e-18</v>
      </c>
      <c r="AR6" s="12">
        <v>-1.6682296981627e-18</v>
      </c>
      <c r="AS6" s="12">
        <v>-8.9950273506659e-18</v>
      </c>
      <c r="AT6" s="12">
        <v>-3.6474867403378e-18</v>
      </c>
      <c r="AU6" s="12">
        <v>2.0685039635759e-17</v>
      </c>
      <c r="AV6" s="12">
        <v>-2.3600417708718e-17</v>
      </c>
      <c r="AW6" s="12">
        <v>1.5627241018091e-17</v>
      </c>
      <c r="AX6" s="12">
        <v>-2.3346579746417e-17</v>
      </c>
      <c r="AY6" s="12">
        <v>7.791551358385e-18</v>
      </c>
      <c r="AZ6" s="12">
        <v>-1.0270888376157e-18</v>
      </c>
      <c r="BA6" s="12">
        <v>2.1800957765381e-18</v>
      </c>
      <c r="BB6" s="12">
        <v>-1.5497096016647e-18</v>
      </c>
      <c r="BC6" s="11">
        <v>15999999.859282</v>
      </c>
      <c r="BD6" s="11">
        <v>3999999.9237459</v>
      </c>
      <c r="BE6" s="12">
        <v>-1.4706937308123e-6</v>
      </c>
      <c r="BF6" s="12">
        <v>-1.3118090960555e-6</v>
      </c>
      <c r="BG6" s="12">
        <v>5.28419233233e-6</v>
      </c>
      <c r="BH6" s="12">
        <v>-8.4923504205523e-8</v>
      </c>
      <c r="BI6" s="12">
        <v>-9.3135668248419e-8</v>
      </c>
      <c r="BJ6" s="11">
        <v>1.039792792105</v>
      </c>
      <c r="BK6" s="11">
        <v>1.1331581957327</v>
      </c>
      <c r="BL6" s="7"/>
    </row>
    <row r="7" spans="1:64">
      <c r="A7" s="11">
        <v>14.091914656322</v>
      </c>
      <c r="B7" s="12">
        <v>5.6775946692355e-9</v>
      </c>
      <c r="C7" s="12">
        <f t="shared" si="0"/>
        <v>5.30354085006404e-10</v>
      </c>
      <c r="D7" s="12">
        <v>5.5493499898404e-11</v>
      </c>
      <c r="E7" s="12">
        <v>5.4814175028713e-11</v>
      </c>
      <c r="F7" s="12">
        <v>5.4814175028725e-11</v>
      </c>
      <c r="G7" s="12">
        <v>5.4814175028697e-11</v>
      </c>
      <c r="H7" s="12">
        <v>5.5493499898467e-11</v>
      </c>
      <c r="I7" s="12">
        <v>5.5493499898451e-11</v>
      </c>
      <c r="J7" s="12">
        <v>5.54934998984e-11</v>
      </c>
      <c r="K7" s="12">
        <v>5.6514374645072e-11</v>
      </c>
      <c r="L7" s="12">
        <v>5.651437464502e-11</v>
      </c>
      <c r="M7" s="12">
        <v>5.6514374645044e-11</v>
      </c>
      <c r="N7" s="12">
        <v>3.8101999228024e-11</v>
      </c>
      <c r="O7" s="12">
        <v>5.5493499898478e-11</v>
      </c>
      <c r="P7" s="12">
        <v>3.8101999228016e-11</v>
      </c>
      <c r="Q7" s="12">
        <v>3.810199922804e-11</v>
      </c>
      <c r="R7" s="12">
        <v>5.481417502873e-11</v>
      </c>
      <c r="S7" s="12">
        <v>5.4814175028706e-11</v>
      </c>
      <c r="T7" s="12">
        <v>5.4814175028712e-11</v>
      </c>
      <c r="U7" s="12">
        <v>5.5493499898423e-11</v>
      </c>
      <c r="V7" s="12">
        <v>5.6514374645018e-11</v>
      </c>
      <c r="W7" s="12">
        <v>5.6514374645043e-11</v>
      </c>
      <c r="X7" s="12">
        <v>5.6514374645071e-11</v>
      </c>
      <c r="Y7" s="12">
        <v>3.8101999228009e-11</v>
      </c>
      <c r="Z7" s="12">
        <v>3.8101999228034e-11</v>
      </c>
      <c r="AA7" s="12">
        <v>3.8101999228032e-11</v>
      </c>
      <c r="AB7" s="11">
        <v>0.99999999536511</v>
      </c>
      <c r="AC7" s="11">
        <v>0.99999701896053</v>
      </c>
      <c r="AD7" s="12">
        <v>1.5456384265101e-5</v>
      </c>
      <c r="AE7" s="12">
        <v>1.0069226164842e-16</v>
      </c>
      <c r="AF7" s="12">
        <v>3.4272407568489e-17</v>
      </c>
      <c r="AG7" s="12">
        <v>-6.7870483742692e-17</v>
      </c>
      <c r="AH7" s="12">
        <v>5.3350057210607e-17</v>
      </c>
      <c r="AI7" s="12">
        <v>-1.6050939282033e-16</v>
      </c>
      <c r="AJ7" s="12">
        <v>-9.5207915327842e-17</v>
      </c>
      <c r="AK7" s="12">
        <v>6.7964323576373e-17</v>
      </c>
      <c r="AL7" s="12">
        <v>-1.0323536911955e-16</v>
      </c>
      <c r="AM7" s="12">
        <v>5.1233538051907e-17</v>
      </c>
      <c r="AN7" s="12">
        <v>-5.4505258468077e-17</v>
      </c>
      <c r="AO7" s="12">
        <v>-3.8523576515953e-17</v>
      </c>
      <c r="AP7" s="12">
        <v>4.4238382514278e-17</v>
      </c>
      <c r="AQ7" s="12">
        <v>-3.8609463540887e-17</v>
      </c>
      <c r="AR7" s="12">
        <v>-5.7685791646808e-17</v>
      </c>
      <c r="AS7" s="12">
        <v>-1.1237193774413e-16</v>
      </c>
      <c r="AT7" s="12">
        <v>-6.5588585966919e-17</v>
      </c>
      <c r="AU7" s="12">
        <v>1.496338293913e-17</v>
      </c>
      <c r="AV7" s="12">
        <v>-1.2635966689562e-16</v>
      </c>
      <c r="AW7" s="12">
        <v>5.6800318239256e-17</v>
      </c>
      <c r="AX7" s="12">
        <v>-9.34504418238e-17</v>
      </c>
      <c r="AY7" s="12">
        <v>2.3732027595653e-17</v>
      </c>
      <c r="AZ7" s="12">
        <v>-1.6495972177402e-18</v>
      </c>
      <c r="BA7" s="12">
        <v>1.0189160044428e-17</v>
      </c>
      <c r="BB7" s="12">
        <v>-1.062542164114e-17</v>
      </c>
      <c r="BC7" s="11">
        <v>15999998.881393</v>
      </c>
      <c r="BD7" s="11">
        <v>3999999.2368757</v>
      </c>
      <c r="BE7" s="12">
        <v>-4.6500569756312e-6</v>
      </c>
      <c r="BF7" s="12">
        <v>-4.1475052628145e-6</v>
      </c>
      <c r="BG7" s="12">
        <v>1.6713871762177e-5</v>
      </c>
      <c r="BH7" s="12">
        <v>-8.4530794791985e-7</v>
      </c>
      <c r="BI7" s="12">
        <v>-9.2745120433655e-7</v>
      </c>
      <c r="BJ7" s="11">
        <v>3.2881137361684</v>
      </c>
      <c r="BK7" s="11">
        <v>3.5832838033925</v>
      </c>
      <c r="BL7" s="7"/>
    </row>
    <row r="8" spans="1:64">
      <c r="A8" s="11">
        <v>44.562546906687</v>
      </c>
      <c r="B8" s="12">
        <v>5.6907373891327e-8</v>
      </c>
      <c r="C8" s="12">
        <f t="shared" si="0"/>
        <v>1.68128376205511e-9</v>
      </c>
      <c r="D8" s="12">
        <v>1.7598203224267e-10</v>
      </c>
      <c r="E8" s="12">
        <v>1.7384348250989e-10</v>
      </c>
      <c r="F8" s="12">
        <v>1.7384348251137e-10</v>
      </c>
      <c r="G8" s="12">
        <v>1.7384348250736e-10</v>
      </c>
      <c r="H8" s="12">
        <v>1.7598203225048e-10</v>
      </c>
      <c r="I8" s="12">
        <v>1.7598203224867e-10</v>
      </c>
      <c r="J8" s="12">
        <v>1.7598203223977e-10</v>
      </c>
      <c r="K8" s="12">
        <v>1.7928117466401e-10</v>
      </c>
      <c r="L8" s="12">
        <v>1.7928117465914e-10</v>
      </c>
      <c r="M8" s="12">
        <v>1.7928117466093e-10</v>
      </c>
      <c r="N8" s="12">
        <v>1.2081350140151e-10</v>
      </c>
      <c r="O8" s="12">
        <v>1.7598203225188e-10</v>
      </c>
      <c r="P8" s="12">
        <v>1.2081350140081e-10</v>
      </c>
      <c r="Q8" s="12">
        <v>1.2081350140462e-10</v>
      </c>
      <c r="R8" s="12">
        <v>1.7384348251232e-10</v>
      </c>
      <c r="S8" s="12">
        <v>1.7384348250727e-10</v>
      </c>
      <c r="T8" s="12">
        <v>1.7384348250937e-10</v>
      </c>
      <c r="U8" s="12">
        <v>1.7598203224394e-10</v>
      </c>
      <c r="V8" s="12">
        <v>1.7928117465865e-10</v>
      </c>
      <c r="W8" s="12">
        <v>1.7928117466184e-10</v>
      </c>
      <c r="X8" s="12">
        <v>1.7928117466347e-10</v>
      </c>
      <c r="Y8" s="12">
        <v>1.2081350140032e-10</v>
      </c>
      <c r="Z8" s="12">
        <v>1.2081350140399e-10</v>
      </c>
      <c r="AA8" s="12">
        <v>1.2081350140244e-10</v>
      </c>
      <c r="AB8" s="11">
        <v>0.99999997959652</v>
      </c>
      <c r="AC8" s="11">
        <v>0.99998344721026</v>
      </c>
      <c r="AD8" s="12">
        <v>4.8904323933657e-5</v>
      </c>
      <c r="AE8" s="12">
        <v>2.0607016370576e-15</v>
      </c>
      <c r="AF8" s="12">
        <v>1.1516000341924e-15</v>
      </c>
      <c r="AG8" s="12">
        <v>-9.1344554254974e-16</v>
      </c>
      <c r="AH8" s="12">
        <v>6.1250744091945e-16</v>
      </c>
      <c r="AI8" s="12">
        <v>-5.2707339840167e-15</v>
      </c>
      <c r="AJ8" s="12">
        <v>-3.2192068505509e-15</v>
      </c>
      <c r="AK8" s="12">
        <v>1.3959907155246e-16</v>
      </c>
      <c r="AL8" s="12">
        <v>-2.3741377976504e-15</v>
      </c>
      <c r="AM8" s="12">
        <v>-5.3607331942969e-16</v>
      </c>
      <c r="AN8" s="12">
        <v>-1.5917307051178e-15</v>
      </c>
      <c r="AO8" s="12">
        <v>-1.8374208252398e-15</v>
      </c>
      <c r="AP8" s="12">
        <v>1.4096466880157e-15</v>
      </c>
      <c r="AQ8" s="12">
        <v>-1.6641003438601e-15</v>
      </c>
      <c r="AR8" s="12">
        <v>-2.1231500811752e-15</v>
      </c>
      <c r="AS8" s="12">
        <v>-3.5357693376766e-15</v>
      </c>
      <c r="AT8" s="12">
        <v>-1.8767433375599e-15</v>
      </c>
      <c r="AU8" s="12">
        <v>-1.3503722420723e-15</v>
      </c>
      <c r="AV8" s="12">
        <v>-2.6081410736711e-15</v>
      </c>
      <c r="AW8" s="12">
        <v>4.7543325987632e-16</v>
      </c>
      <c r="AX8" s="12">
        <v>-1.1853722701106e-15</v>
      </c>
      <c r="AY8" s="12">
        <v>2.3054831023629e-16</v>
      </c>
      <c r="AZ8" s="12">
        <v>-2.1194242349349e-17</v>
      </c>
      <c r="BA8" s="12">
        <v>1.6584389380819e-16</v>
      </c>
      <c r="BB8" s="12">
        <v>-1.8530139263806e-16</v>
      </c>
      <c r="BC8" s="11">
        <v>15999991.100582</v>
      </c>
      <c r="BD8" s="11">
        <v>3999992.3533211</v>
      </c>
      <c r="BE8" s="12">
        <v>-1.4697920619085e-5</v>
      </c>
      <c r="BF8" s="12">
        <v>-1.3107564433592e-5</v>
      </c>
      <c r="BG8" s="12">
        <v>5.2891949425104e-5</v>
      </c>
      <c r="BH8" s="12">
        <v>-8.3276078571468e-6</v>
      </c>
      <c r="BI8" s="12">
        <v>-9.1499292798129e-6</v>
      </c>
      <c r="BJ8" s="11">
        <v>10.39793099474</v>
      </c>
      <c r="BK8" s="11">
        <v>11.330566984117</v>
      </c>
      <c r="BL8" s="7"/>
    </row>
    <row r="9" spans="1:64">
      <c r="A9" s="11">
        <v>140.91914656322</v>
      </c>
      <c r="B9" s="12">
        <v>5.7332062306701e-7</v>
      </c>
      <c r="C9" s="12">
        <f t="shared" si="0"/>
        <v>5.35939677216152e-9</v>
      </c>
      <c r="D9" s="12">
        <v>5.6150098583975e-10</v>
      </c>
      <c r="E9" s="12">
        <v>5.5483654220639e-10</v>
      </c>
      <c r="F9" s="12">
        <v>5.5483654325614e-10</v>
      </c>
      <c r="G9" s="12">
        <v>5.5483653886152e-10</v>
      </c>
      <c r="H9" s="12">
        <v>5.6150099566177e-10</v>
      </c>
      <c r="I9" s="12">
        <v>5.615009934627e-10</v>
      </c>
      <c r="J9" s="12">
        <v>5.6150098137481e-10</v>
      </c>
      <c r="K9" s="12">
        <v>5.7265094796008e-10</v>
      </c>
      <c r="L9" s="12">
        <v>5.7265094539458e-10</v>
      </c>
      <c r="M9" s="12">
        <v>5.7265094518805e-10</v>
      </c>
      <c r="N9" s="12">
        <v>3.8531485505559e-10</v>
      </c>
      <c r="O9" s="12">
        <v>5.6150099482412e-10</v>
      </c>
      <c r="P9" s="12">
        <v>3.8531485469525e-10</v>
      </c>
      <c r="Q9" s="12">
        <v>3.8531485913805e-10</v>
      </c>
      <c r="R9" s="12">
        <v>5.548365466258e-10</v>
      </c>
      <c r="S9" s="12">
        <v>5.548365385432e-10</v>
      </c>
      <c r="T9" s="12">
        <v>5.5483654142012e-10</v>
      </c>
      <c r="U9" s="12">
        <v>5.6150098626319e-10</v>
      </c>
      <c r="V9" s="12">
        <v>5.726509440034e-10</v>
      </c>
      <c r="W9" s="12">
        <v>5.7265094682961e-10</v>
      </c>
      <c r="X9" s="12">
        <v>5.7265094651514e-10</v>
      </c>
      <c r="Y9" s="12">
        <v>3.8531485414581e-10</v>
      </c>
      <c r="Z9" s="12">
        <v>3.853148580741e-10</v>
      </c>
      <c r="AA9" s="12">
        <v>3.8531485535377e-10</v>
      </c>
      <c r="AB9" s="11">
        <v>0.99999910263836</v>
      </c>
      <c r="AC9" s="11">
        <v>0.99905841977633</v>
      </c>
      <c r="AD9" s="11">
        <v>0.00015492287375257</v>
      </c>
      <c r="AE9" s="12">
        <v>3.6193916968083e-13</v>
      </c>
      <c r="AF9" s="12">
        <v>2.8253204771772e-13</v>
      </c>
      <c r="AG9" s="12">
        <v>-1.4614035563112e-13</v>
      </c>
      <c r="AH9" s="12">
        <v>3.7999084517621e-14</v>
      </c>
      <c r="AI9" s="12">
        <v>-1.4781755692499e-12</v>
      </c>
      <c r="AJ9" s="12">
        <v>-8.9051681446715e-13</v>
      </c>
      <c r="AK9" s="12">
        <v>-8.8894161962238e-14</v>
      </c>
      <c r="AL9" s="12">
        <v>-5.2285055524374e-13</v>
      </c>
      <c r="AM9" s="12">
        <v>-3.2219999827189e-13</v>
      </c>
      <c r="AN9" s="12">
        <v>-3.0126305431342e-13</v>
      </c>
      <c r="AO9" s="12">
        <v>-4.8971030403894e-13</v>
      </c>
      <c r="AP9" s="12">
        <v>3.2708910552249e-13</v>
      </c>
      <c r="AQ9" s="12">
        <v>-3.5627541174583e-13</v>
      </c>
      <c r="AR9" s="12">
        <v>-5.3415335747366e-13</v>
      </c>
      <c r="AS9" s="12">
        <v>-8.9572090357306e-13</v>
      </c>
      <c r="AT9" s="12">
        <v>-3.4126735541868e-13</v>
      </c>
      <c r="AU9" s="12">
        <v>-4.1366933159594e-13</v>
      </c>
      <c r="AV9" s="12">
        <v>-5.0370804895054e-13</v>
      </c>
      <c r="AW9" s="12">
        <v>-1.9737162913378e-14</v>
      </c>
      <c r="AX9" s="12">
        <v>-1.1356001103348e-13</v>
      </c>
      <c r="AY9" s="12">
        <v>3.0940854710144e-14</v>
      </c>
      <c r="AZ9" s="12">
        <v>-1.1416920485637e-14</v>
      </c>
      <c r="BA9" s="12">
        <v>3.9157041024418e-14</v>
      </c>
      <c r="BB9" s="12">
        <v>-1.8330732237061e-14</v>
      </c>
      <c r="BC9" s="11">
        <v>15999928.958929</v>
      </c>
      <c r="BD9" s="11">
        <v>3999923.1797435</v>
      </c>
      <c r="BE9" s="12">
        <v>-4.6410445071217e-5</v>
      </c>
      <c r="BF9" s="12">
        <v>-4.1369672545371e-5</v>
      </c>
      <c r="BG9" s="11">
        <v>0.00016764487859378</v>
      </c>
      <c r="BH9" s="12">
        <v>-7.9168049292957e-5</v>
      </c>
      <c r="BI9" s="12">
        <v>-8.7421026868006e-5</v>
      </c>
      <c r="BJ9" s="11">
        <v>32.881175285927</v>
      </c>
      <c r="BK9" s="11">
        <v>35.822657463357</v>
      </c>
      <c r="BL9" s="7"/>
    </row>
    <row r="10" spans="1:64">
      <c r="A10" s="11">
        <v>445.62546906687</v>
      </c>
      <c r="B10" s="12">
        <v>3.3849534448045e-6</v>
      </c>
      <c r="C10" s="12">
        <f t="shared" si="0"/>
        <v>9.22735307438135e-9</v>
      </c>
      <c r="D10" s="12">
        <v>6.7175144338644e-10</v>
      </c>
      <c r="E10" s="12">
        <v>6.6381379915088e-10</v>
      </c>
      <c r="F10" s="12">
        <v>6.6381385442672e-10</v>
      </c>
      <c r="G10" s="12">
        <v>6.6381356101401e-10</v>
      </c>
      <c r="H10" s="12">
        <v>6.7175220497992e-10</v>
      </c>
      <c r="I10" s="12">
        <v>6.717520275174e-10</v>
      </c>
      <c r="J10" s="12">
        <v>6.7175114398032e-10</v>
      </c>
      <c r="K10" s="12">
        <v>6.8533324676449e-10</v>
      </c>
      <c r="L10" s="12">
        <v>6.853331178985e-10</v>
      </c>
      <c r="M10" s="12">
        <v>6.8533305664192e-10</v>
      </c>
      <c r="N10" s="12">
        <v>4.6081431913977e-10</v>
      </c>
      <c r="O10" s="12">
        <v>6.7175204081146e-10</v>
      </c>
      <c r="P10" s="12">
        <v>4.6081429656414e-10</v>
      </c>
      <c r="Q10" s="12">
        <v>4.6081460779344e-10</v>
      </c>
      <c r="R10" s="12">
        <v>6.6381417256716e-10</v>
      </c>
      <c r="S10" s="12">
        <v>6.6381355404496e-10</v>
      </c>
      <c r="T10" s="12">
        <v>6.6381374805024e-10</v>
      </c>
      <c r="U10" s="12">
        <v>6.7175146943484e-10</v>
      </c>
      <c r="V10" s="12">
        <v>6.8533299212767e-10</v>
      </c>
      <c r="W10" s="12">
        <v>6.8533316964976e-10</v>
      </c>
      <c r="X10" s="12">
        <v>6.8533312009695e-10</v>
      </c>
      <c r="Y10" s="12">
        <v>4.6081424694284e-10</v>
      </c>
      <c r="Z10" s="12">
        <v>4.6081451191921e-10</v>
      </c>
      <c r="AA10" s="12">
        <v>4.6081431317503e-10</v>
      </c>
      <c r="AB10" s="11">
        <v>0.99993580477438</v>
      </c>
      <c r="AC10" s="11">
        <v>0.99765431189229</v>
      </c>
      <c r="AD10" s="11">
        <v>0.00016747325617564</v>
      </c>
      <c r="AE10" s="12">
        <v>1.0535840723469e-12</v>
      </c>
      <c r="AF10" s="12">
        <v>8.6314826963968e-13</v>
      </c>
      <c r="AG10" s="12">
        <v>-4.2403717146108e-13</v>
      </c>
      <c r="AH10" s="12">
        <v>8.3314176585218e-14</v>
      </c>
      <c r="AI10" s="12">
        <v>-4.6678183071423e-12</v>
      </c>
      <c r="AJ10" s="12">
        <v>-2.7845554696021e-12</v>
      </c>
      <c r="AK10" s="12">
        <v>-2.8118951525357e-13</v>
      </c>
      <c r="AL10" s="12">
        <v>-1.5897349519368e-12</v>
      </c>
      <c r="AM10" s="12">
        <v>-1.0343357489678e-12</v>
      </c>
      <c r="AN10" s="12">
        <v>-8.7353115769477e-13</v>
      </c>
      <c r="AO10" s="12">
        <v>-1.4866497834938e-12</v>
      </c>
      <c r="AP10" s="12">
        <v>9.917262770496e-13</v>
      </c>
      <c r="AQ10" s="12">
        <v>-1.0466444872028e-12</v>
      </c>
      <c r="AR10" s="12">
        <v>-1.6383717760745e-12</v>
      </c>
      <c r="AS10" s="12">
        <v>-2.7746203138049e-12</v>
      </c>
      <c r="AT10" s="12">
        <v>-9.7478010492784e-13</v>
      </c>
      <c r="AU10" s="12">
        <v>-1.2631138484161e-12</v>
      </c>
      <c r="AV10" s="12">
        <v>-1.5008330048361e-12</v>
      </c>
      <c r="AW10" s="12">
        <v>-1.0034756362835e-13</v>
      </c>
      <c r="AX10" s="12">
        <v>-2.958509194316e-13</v>
      </c>
      <c r="AY10" s="12">
        <v>8.6889715644529e-14</v>
      </c>
      <c r="AZ10" s="12">
        <v>-3.7285839998581e-14</v>
      </c>
      <c r="BA10" s="12">
        <v>1.3358963832745e-13</v>
      </c>
      <c r="BB10" s="12">
        <v>-4.8794350400362e-14</v>
      </c>
      <c r="BC10" s="11">
        <v>15999623.452678</v>
      </c>
      <c r="BD10" s="11">
        <v>3999550.60593</v>
      </c>
      <c r="BE10" s="12">
        <v>-4.9006791510989e-5</v>
      </c>
      <c r="BF10" s="12">
        <v>-4.3553699354902e-5</v>
      </c>
      <c r="BG10" s="11">
        <v>0.00018201189567598</v>
      </c>
      <c r="BH10" s="12">
        <v>-9.5603685571968e-5</v>
      </c>
      <c r="BI10" s="11">
        <v>-0.00010520490186292</v>
      </c>
      <c r="BJ10" s="11">
        <v>35.000042312003</v>
      </c>
      <c r="BK10" s="11">
        <v>38.09452937841</v>
      </c>
      <c r="BL10" s="7"/>
    </row>
    <row r="11" spans="1:64">
      <c r="A11" s="11">
        <v>1409.1914656322</v>
      </c>
      <c r="B11" s="12">
        <v>1.228625095255e-5</v>
      </c>
      <c r="C11" s="12">
        <f t="shared" si="0"/>
        <v>9.2378700986487e-9</v>
      </c>
      <c r="D11" s="12">
        <v>6.7011113084472e-10</v>
      </c>
      <c r="E11" s="12">
        <v>6.621347013497e-10</v>
      </c>
      <c r="F11" s="12">
        <v>6.6213495481994e-10</v>
      </c>
      <c r="G11" s="12">
        <v>6.6213368341184e-10</v>
      </c>
      <c r="H11" s="12">
        <v>6.7011441943353e-10</v>
      </c>
      <c r="I11" s="12">
        <v>6.7011362341637e-10</v>
      </c>
      <c r="J11" s="12">
        <v>6.7010985852406e-10</v>
      </c>
      <c r="K11" s="12">
        <v>6.8372793702644e-10</v>
      </c>
      <c r="L11" s="12">
        <v>6.8372737394012e-10</v>
      </c>
      <c r="M11" s="12">
        <v>6.8372711309134e-10</v>
      </c>
      <c r="N11" s="12">
        <v>4.5940464468704e-10</v>
      </c>
      <c r="O11" s="12">
        <v>6.701136940792e-10</v>
      </c>
      <c r="P11" s="12">
        <v>4.5940456356987e-10</v>
      </c>
      <c r="Q11" s="12">
        <v>4.5940590597883e-10</v>
      </c>
      <c r="R11" s="12">
        <v>6.6213632955529e-10</v>
      </c>
      <c r="S11" s="12">
        <v>6.6213364839786e-10</v>
      </c>
      <c r="T11" s="12">
        <v>6.6213450170463e-10</v>
      </c>
      <c r="U11" s="12">
        <v>6.7011125510224e-10</v>
      </c>
      <c r="V11" s="12">
        <v>6.8372683092674e-10</v>
      </c>
      <c r="W11" s="12">
        <v>6.8372760419473e-10</v>
      </c>
      <c r="X11" s="12">
        <v>6.8372738876905e-10</v>
      </c>
      <c r="Y11" s="12">
        <v>4.5940433966641e-10</v>
      </c>
      <c r="Z11" s="12">
        <v>4.5940547822221e-10</v>
      </c>
      <c r="AA11" s="12">
        <v>4.5940463767554e-10</v>
      </c>
      <c r="AB11" s="11">
        <v>0.99997657237918</v>
      </c>
      <c r="AC11" s="11">
        <v>0.99763151357903</v>
      </c>
      <c r="AD11" s="11">
        <v>0.00017583601789852</v>
      </c>
      <c r="AE11" s="12">
        <v>1.0543442561485e-12</v>
      </c>
      <c r="AF11" s="12">
        <v>8.6879211303734e-13</v>
      </c>
      <c r="AG11" s="12">
        <v>-4.0867042755007e-13</v>
      </c>
      <c r="AH11" s="12">
        <v>6.7686931206987e-14</v>
      </c>
      <c r="AI11" s="12">
        <v>-4.6612333924162e-12</v>
      </c>
      <c r="AJ11" s="12">
        <v>-2.7500157328308e-12</v>
      </c>
      <c r="AK11" s="12">
        <v>-2.7113046211648e-13</v>
      </c>
      <c r="AL11" s="12">
        <v>-1.5641129556707e-12</v>
      </c>
      <c r="AM11" s="12">
        <v>-1.0199883960586e-12</v>
      </c>
      <c r="AN11" s="12">
        <v>-8.6367888270328e-13</v>
      </c>
      <c r="AO11" s="12">
        <v>-1.4457825031301e-12</v>
      </c>
      <c r="AP11" s="12">
        <v>1.0106723711486e-12</v>
      </c>
      <c r="AQ11" s="12">
        <v>-1.0254892433566e-12</v>
      </c>
      <c r="AR11" s="12">
        <v>-1.6486199595481e-12</v>
      </c>
      <c r="AS11" s="12">
        <v>-2.7698004073535e-12</v>
      </c>
      <c r="AT11" s="12">
        <v>-9.4770752849254e-13</v>
      </c>
      <c r="AU11" s="12">
        <v>-1.2768299142669e-12</v>
      </c>
      <c r="AV11" s="12">
        <v>-1.5026073178964e-12</v>
      </c>
      <c r="AW11" s="12">
        <v>-1.0522687093775e-13</v>
      </c>
      <c r="AX11" s="12">
        <v>-3.0075429202471e-13</v>
      </c>
      <c r="AY11" s="12">
        <v>7.4631442998109e-14</v>
      </c>
      <c r="AZ11" s="12">
        <v>-3.4734612982235e-14</v>
      </c>
      <c r="BA11" s="12">
        <v>1.5567898085455e-13</v>
      </c>
      <c r="BB11" s="12">
        <v>-5.9845001217622e-14</v>
      </c>
      <c r="BC11" s="11">
        <v>15998655.652774</v>
      </c>
      <c r="BD11" s="11">
        <v>3998371.0521031</v>
      </c>
      <c r="BE11" s="12">
        <v>-4.7736580230591e-5</v>
      </c>
      <c r="BF11" s="12">
        <v>-4.2004175209896e-5</v>
      </c>
      <c r="BG11" s="11">
        <v>0.00019351554394268</v>
      </c>
      <c r="BH11" s="12">
        <v>-9.6393132159903e-5</v>
      </c>
      <c r="BI11" s="11">
        <v>-0.00010684377939826</v>
      </c>
      <c r="BJ11" s="11">
        <v>35.000059844132</v>
      </c>
      <c r="BK11" s="11">
        <v>37.981107607093</v>
      </c>
      <c r="BL11" s="7"/>
    </row>
    <row r="12" spans="1:64">
      <c r="A12" s="11">
        <v>4456.2546906687</v>
      </c>
      <c r="B12" s="12">
        <v>4.0233386302835e-5</v>
      </c>
      <c r="C12" s="12">
        <f t="shared" si="0"/>
        <v>9.17182653797748e-9</v>
      </c>
      <c r="D12" s="12">
        <v>6.6551486599654e-10</v>
      </c>
      <c r="E12" s="12">
        <v>6.5719124525647e-10</v>
      </c>
      <c r="F12" s="12">
        <v>6.5719229809714e-10</v>
      </c>
      <c r="G12" s="12">
        <v>6.5718781878232e-10</v>
      </c>
      <c r="H12" s="12">
        <v>6.6552623529607e-10</v>
      </c>
      <c r="I12" s="12">
        <v>6.6552317968284e-10</v>
      </c>
      <c r="J12" s="12">
        <v>6.6551063212484e-10</v>
      </c>
      <c r="K12" s="12">
        <v>6.7892672725718e-10</v>
      </c>
      <c r="L12" s="12">
        <v>6.7892466479707e-10</v>
      </c>
      <c r="M12" s="12">
        <v>6.789238351213e-10</v>
      </c>
      <c r="N12" s="12">
        <v>4.555689756679e-10</v>
      </c>
      <c r="O12" s="12">
        <v>6.6552365646344e-10</v>
      </c>
      <c r="P12" s="12">
        <v>4.5556885278019e-10</v>
      </c>
      <c r="Q12" s="12">
        <v>4.5557352133562e-10</v>
      </c>
      <c r="R12" s="12">
        <v>6.5719698954603e-10</v>
      </c>
      <c r="S12" s="12">
        <v>6.5718762526802e-10</v>
      </c>
      <c r="T12" s="12">
        <v>6.5719076474746e-10</v>
      </c>
      <c r="U12" s="12">
        <v>6.6551542517187e-10</v>
      </c>
      <c r="V12" s="12">
        <v>6.7892280677635e-10</v>
      </c>
      <c r="W12" s="12">
        <v>6.7892558189303e-10</v>
      </c>
      <c r="X12" s="12">
        <v>6.7892483470096e-10</v>
      </c>
      <c r="Y12" s="12">
        <v>4.5556799644828e-10</v>
      </c>
      <c r="Z12" s="12">
        <v>4.5557191988816e-10</v>
      </c>
      <c r="AA12" s="12">
        <v>4.5556916791635e-10</v>
      </c>
      <c r="AB12" s="11">
        <v>0.9999922176322</v>
      </c>
      <c r="AC12" s="11">
        <v>0.99755705055713</v>
      </c>
      <c r="AD12" s="11">
        <v>0.00020253883614803</v>
      </c>
      <c r="AE12" s="12">
        <v>1.0602198974816e-12</v>
      </c>
      <c r="AF12" s="12">
        <v>8.8570352662051e-13</v>
      </c>
      <c r="AG12" s="12">
        <v>-3.6444853572503e-13</v>
      </c>
      <c r="AH12" s="12">
        <v>2.8066629197213e-14</v>
      </c>
      <c r="AI12" s="12">
        <v>-4.6469327952721e-12</v>
      </c>
      <c r="AJ12" s="12">
        <v>-2.6624811315165e-12</v>
      </c>
      <c r="AK12" s="12">
        <v>-2.4508211052963e-13</v>
      </c>
      <c r="AL12" s="12">
        <v>-1.5050384184042e-12</v>
      </c>
      <c r="AM12" s="12">
        <v>-9.7711224277023e-13</v>
      </c>
      <c r="AN12" s="12">
        <v>-8.4189281680369e-13</v>
      </c>
      <c r="AO12" s="12">
        <v>-1.3279510046882e-12</v>
      </c>
      <c r="AP12" s="12">
        <v>1.0652691751828e-12</v>
      </c>
      <c r="AQ12" s="12">
        <v>-9.7082839784175e-13</v>
      </c>
      <c r="AR12" s="12">
        <v>-1.688129100619e-12</v>
      </c>
      <c r="AS12" s="12">
        <v>-2.7686241162329e-12</v>
      </c>
      <c r="AT12" s="12">
        <v>-8.7923261850583e-13</v>
      </c>
      <c r="AU12" s="12">
        <v>-1.322991833408e-12</v>
      </c>
      <c r="AV12" s="12">
        <v>-1.5072004831106e-12</v>
      </c>
      <c r="AW12" s="12">
        <v>-1.1708521128333e-13</v>
      </c>
      <c r="AX12" s="12">
        <v>-3.2683124774073e-13</v>
      </c>
      <c r="AY12" s="12">
        <v>4.0367094811955e-14</v>
      </c>
      <c r="AZ12" s="12">
        <v>-2.9529011376748e-14</v>
      </c>
      <c r="BA12" s="12">
        <v>2.2788947139104e-13</v>
      </c>
      <c r="BB12" s="12">
        <v>-9.0978478137959e-14</v>
      </c>
      <c r="BC12" s="11">
        <v>15995604.934138</v>
      </c>
      <c r="BD12" s="11">
        <v>3994664.8528665</v>
      </c>
      <c r="BE12" s="12">
        <v>-4.3619062437296e-5</v>
      </c>
      <c r="BF12" s="12">
        <v>-3.7034551495396e-5</v>
      </c>
      <c r="BG12" s="11">
        <v>0.00022948343225138</v>
      </c>
      <c r="BH12" s="11">
        <v>-0.00015934794140519</v>
      </c>
      <c r="BI12" s="11">
        <v>-0.00017475576908051</v>
      </c>
      <c r="BJ12" s="11">
        <v>35.000027950302</v>
      </c>
      <c r="BK12" s="11">
        <v>37.645422096733</v>
      </c>
      <c r="BL12" s="7"/>
    </row>
    <row r="13" spans="1:64">
      <c r="A13" s="11">
        <v>14091.914656322</v>
      </c>
      <c r="B13" s="11">
        <v>0.00012682850155448</v>
      </c>
      <c r="C13" s="12">
        <f t="shared" si="0"/>
        <v>8.98694179332986e-9</v>
      </c>
      <c r="D13" s="12">
        <v>6.5378074964358e-10</v>
      </c>
      <c r="E13" s="12">
        <v>6.4399599556166e-10</v>
      </c>
      <c r="F13" s="12">
        <v>6.4400113048247e-10</v>
      </c>
      <c r="G13" s="12">
        <v>6.4398526036169e-10</v>
      </c>
      <c r="H13" s="12">
        <v>6.5382029740444e-10</v>
      </c>
      <c r="I13" s="12">
        <v>6.5380653906316e-10</v>
      </c>
      <c r="J13" s="12">
        <v>6.5376773904145e-10</v>
      </c>
      <c r="K13" s="12">
        <v>6.6574829489232e-10</v>
      </c>
      <c r="L13" s="12">
        <v>6.6574057326073e-10</v>
      </c>
      <c r="M13" s="12">
        <v>6.6573820145797e-10</v>
      </c>
      <c r="N13" s="12">
        <v>4.4610576553379e-10</v>
      </c>
      <c r="O13" s="12">
        <v>6.5381032950016e-10</v>
      </c>
      <c r="P13" s="12">
        <v>4.4610639859105e-10</v>
      </c>
      <c r="Q13" s="12">
        <v>4.4612301315526e-10</v>
      </c>
      <c r="R13" s="12">
        <v>6.4401623241559e-10</v>
      </c>
      <c r="S13" s="12">
        <v>6.4398387046315e-10</v>
      </c>
      <c r="T13" s="12">
        <v>6.4399625185012e-10</v>
      </c>
      <c r="U13" s="12">
        <v>6.5378430584602e-10</v>
      </c>
      <c r="V13" s="12">
        <v>6.6573435166755e-10</v>
      </c>
      <c r="W13" s="12">
        <v>6.6574472695158e-10</v>
      </c>
      <c r="X13" s="12">
        <v>6.6574187653628e-10</v>
      </c>
      <c r="Y13" s="12">
        <v>4.4610296501925e-10</v>
      </c>
      <c r="Z13" s="12">
        <v>4.4611665328575e-10</v>
      </c>
      <c r="AA13" s="12">
        <v>4.461080897677e-10</v>
      </c>
      <c r="AB13" s="11">
        <v>0.99999741974103</v>
      </c>
      <c r="AC13" s="11">
        <v>0.997311041609</v>
      </c>
      <c r="AD13" s="11">
        <v>0.00028743066248313</v>
      </c>
      <c r="AE13" s="12">
        <v>1.101979654351e-12</v>
      </c>
      <c r="AF13" s="12">
        <v>9.2310917866306e-13</v>
      </c>
      <c r="AG13" s="12">
        <v>-2.582585802376e-13</v>
      </c>
      <c r="AH13" s="12">
        <v>-3.044379458952e-14</v>
      </c>
      <c r="AI13" s="12">
        <v>-4.6123228850793e-12</v>
      </c>
      <c r="AJ13" s="12">
        <v>-2.518393785233e-12</v>
      </c>
      <c r="AK13" s="12">
        <v>-2.0023508487747e-13</v>
      </c>
      <c r="AL13" s="12">
        <v>-1.4490643833165e-12</v>
      </c>
      <c r="AM13" s="12">
        <v>-8.5613381522521e-13</v>
      </c>
      <c r="AN13" s="12">
        <v>-8.3119865153398e-13</v>
      </c>
      <c r="AO13" s="12">
        <v>-1.0380847029418e-12</v>
      </c>
      <c r="AP13" s="12">
        <v>1.1999167866573e-12</v>
      </c>
      <c r="AQ13" s="12">
        <v>-8.7367371108503e-13</v>
      </c>
      <c r="AR13" s="12">
        <v>-1.8430394659235e-12</v>
      </c>
      <c r="AS13" s="12">
        <v>-2.8349754995205e-12</v>
      </c>
      <c r="AT13" s="12">
        <v>-7.7043491157939e-13</v>
      </c>
      <c r="AU13" s="12">
        <v>-1.4727958922119e-12</v>
      </c>
      <c r="AV13" s="12">
        <v>-1.4969392230702e-12</v>
      </c>
      <c r="AW13" s="12">
        <v>-1.3317526565365e-13</v>
      </c>
      <c r="AX13" s="12">
        <v>-4.8059459469969e-13</v>
      </c>
      <c r="AY13" s="12">
        <v>-4.631416310347e-14</v>
      </c>
      <c r="AZ13" s="12">
        <v>-2.7734858328312e-14</v>
      </c>
      <c r="BA13" s="12">
        <v>4.6096852598203e-13</v>
      </c>
      <c r="BB13" s="12">
        <v>-1.5638736913958e-13</v>
      </c>
      <c r="BC13" s="11">
        <v>15986049.531531</v>
      </c>
      <c r="BD13" s="11">
        <v>3983155.549449</v>
      </c>
      <c r="BE13" s="12">
        <v>-2.9659952942223e-5</v>
      </c>
      <c r="BF13" s="12">
        <v>-2.0771109386632e-5</v>
      </c>
      <c r="BG13" s="11">
        <v>0.00033968921074698</v>
      </c>
      <c r="BH13" s="11">
        <v>-0.0015577629912736</v>
      </c>
      <c r="BI13" s="11">
        <v>-0.0016745851855044</v>
      </c>
      <c r="BJ13" s="11">
        <v>34.998037858633</v>
      </c>
      <c r="BK13" s="11">
        <v>36.780737783042</v>
      </c>
      <c r="BL13" s="7"/>
    </row>
    <row r="14" spans="1:64">
      <c r="A14" s="11">
        <v>44562.546906687</v>
      </c>
      <c r="B14" s="11">
        <v>0.00038677521913987</v>
      </c>
      <c r="C14" s="12">
        <f t="shared" si="0"/>
        <v>8.53105755894764e-9</v>
      </c>
      <c r="D14" s="12">
        <v>6.2223052356606e-10</v>
      </c>
      <c r="E14" s="12">
        <v>6.0991391874507e-10</v>
      </c>
      <c r="F14" s="12">
        <v>6.0994344162793e-10</v>
      </c>
      <c r="G14" s="12">
        <v>6.0988152377106e-10</v>
      </c>
      <c r="H14" s="12">
        <v>6.2237197453764e-10</v>
      </c>
      <c r="I14" s="12">
        <v>6.2231667525333e-10</v>
      </c>
      <c r="J14" s="12">
        <v>6.2218761458152e-10</v>
      </c>
      <c r="K14" s="12">
        <v>6.3053435148113e-10</v>
      </c>
      <c r="L14" s="12">
        <v>6.3050681051962e-10</v>
      </c>
      <c r="M14" s="12">
        <v>6.3049590608898e-10</v>
      </c>
      <c r="N14" s="12">
        <v>4.2413290145209e-10</v>
      </c>
      <c r="O14" s="12">
        <v>6.2233799548376e-10</v>
      </c>
      <c r="P14" s="12">
        <v>4.2413643231401e-10</v>
      </c>
      <c r="Q14" s="12">
        <v>4.2420593159849e-10</v>
      </c>
      <c r="R14" s="12">
        <v>6.0998955045586e-10</v>
      </c>
      <c r="S14" s="12">
        <v>6.0987095340457e-10</v>
      </c>
      <c r="T14" s="12">
        <v>6.0992785548777e-10</v>
      </c>
      <c r="U14" s="12">
        <v>6.2224851878814e-10</v>
      </c>
      <c r="V14" s="12">
        <v>6.3048057689233e-10</v>
      </c>
      <c r="W14" s="12">
        <v>6.305296914382e-10</v>
      </c>
      <c r="X14" s="12">
        <v>6.3051106884304e-10</v>
      </c>
      <c r="Y14" s="12">
        <v>4.24122352239e-10</v>
      </c>
      <c r="Z14" s="12">
        <v>4.2418002166041e-10</v>
      </c>
      <c r="AA14" s="12">
        <v>4.2414817162158e-10</v>
      </c>
      <c r="AB14" s="11">
        <v>0.9999988995111</v>
      </c>
      <c r="AC14" s="11">
        <v>0.99630161774059</v>
      </c>
      <c r="AD14" s="11">
        <v>0.00054685419971534</v>
      </c>
      <c r="AE14" s="12">
        <v>1.2896537021208e-12</v>
      </c>
      <c r="AF14" s="12">
        <v>8.8810924114687e-13</v>
      </c>
      <c r="AG14" s="12">
        <v>-4.4023300415364e-14</v>
      </c>
      <c r="AH14" s="12">
        <v>1.1762108286073e-13</v>
      </c>
      <c r="AI14" s="12">
        <v>-4.5041915752821e-12</v>
      </c>
      <c r="AJ14" s="12">
        <v>-2.3441209643867e-12</v>
      </c>
      <c r="AK14" s="12">
        <v>-1.2022543455807e-13</v>
      </c>
      <c r="AL14" s="12">
        <v>-1.6110812167611e-12</v>
      </c>
      <c r="AM14" s="12">
        <v>-3.857726772679e-13</v>
      </c>
      <c r="AN14" s="12">
        <v>-1.0377150154528e-12</v>
      </c>
      <c r="AO14" s="12">
        <v>-4.4319352878914e-13</v>
      </c>
      <c r="AP14" s="12">
        <v>1.6497101520862e-12</v>
      </c>
      <c r="AQ14" s="12">
        <v>-8.9907575983708e-13</v>
      </c>
      <c r="AR14" s="12">
        <v>-2.1691515988215e-12</v>
      </c>
      <c r="AS14" s="12">
        <v>-2.9520528122417e-12</v>
      </c>
      <c r="AT14" s="12">
        <v>-7.919357929644e-13</v>
      </c>
      <c r="AU14" s="12">
        <v>-1.8008281078192e-12</v>
      </c>
      <c r="AV14" s="12">
        <v>-1.3668632899881e-12</v>
      </c>
      <c r="AW14" s="12">
        <v>-6.6586524644158e-14</v>
      </c>
      <c r="AX14" s="12">
        <v>-1.3217813296076e-12</v>
      </c>
      <c r="AY14" s="12">
        <v>-3.7967470269989e-13</v>
      </c>
      <c r="AZ14" s="12">
        <v>-1.0386838556651e-13</v>
      </c>
      <c r="BA14" s="12">
        <v>1.0246596276253e-12</v>
      </c>
      <c r="BB14" s="12">
        <v>-2.9488835906973e-14</v>
      </c>
      <c r="BC14" s="11">
        <v>15956698.960735</v>
      </c>
      <c r="BD14" s="11">
        <v>3948566.3856664</v>
      </c>
      <c r="BE14" s="12">
        <v>2.0902858167948e-5</v>
      </c>
      <c r="BF14" s="12">
        <v>3.2729189770577e-5</v>
      </c>
      <c r="BG14" s="11">
        <v>0.00066296235432753</v>
      </c>
      <c r="BH14" s="11">
        <v>-0.014662571419459</v>
      </c>
      <c r="BI14" s="11">
        <v>-0.014735937404062</v>
      </c>
      <c r="BJ14" s="11">
        <v>34.986061015445</v>
      </c>
      <c r="BK14" s="11">
        <v>35.37860020378</v>
      </c>
      <c r="BL14" s="7"/>
    </row>
    <row r="15" spans="1:64">
      <c r="A15" s="11">
        <v>94232.091485335</v>
      </c>
      <c r="B15" s="11">
        <v>0.00077748151856789</v>
      </c>
      <c r="C15" s="12">
        <f t="shared" si="0"/>
        <v>7.86611398881191e-9</v>
      </c>
      <c r="D15" s="12">
        <v>5.7501654948761e-10</v>
      </c>
      <c r="E15" s="12">
        <v>5.7007653022194e-10</v>
      </c>
      <c r="F15" s="12">
        <v>5.7016853146024e-10</v>
      </c>
      <c r="G15" s="12">
        <v>5.700252375387e-10</v>
      </c>
      <c r="H15" s="12">
        <v>5.7530102805477e-10</v>
      </c>
      <c r="I15" s="12">
        <v>5.7523101545033e-10</v>
      </c>
      <c r="J15" s="12">
        <v>5.7491654620345e-10</v>
      </c>
      <c r="K15" s="12">
        <v>5.913399223346e-10</v>
      </c>
      <c r="L15" s="12">
        <v>5.9129267819344e-10</v>
      </c>
      <c r="M15" s="12">
        <v>5.912442436235e-10</v>
      </c>
      <c r="N15" s="12">
        <v>3.9780824092811e-10</v>
      </c>
      <c r="O15" s="12">
        <v>5.7527490904398e-10</v>
      </c>
      <c r="P15" s="12">
        <v>3.978086865168e-10</v>
      </c>
      <c r="Q15" s="12">
        <v>3.9798583960174e-10</v>
      </c>
      <c r="R15" s="12">
        <v>5.7023796215635e-10</v>
      </c>
      <c r="S15" s="12">
        <v>5.6998818207497e-10</v>
      </c>
      <c r="T15" s="12">
        <v>5.7013901071709e-10</v>
      </c>
      <c r="U15" s="12">
        <v>5.7503749672985e-10</v>
      </c>
      <c r="V15" s="12">
        <v>5.9119982988445e-10</v>
      </c>
      <c r="W15" s="12">
        <v>5.9137208136929e-10</v>
      </c>
      <c r="X15" s="12">
        <v>5.9129763130741e-10</v>
      </c>
      <c r="Y15" s="12">
        <v>3.9777861037474e-10</v>
      </c>
      <c r="Z15" s="12">
        <v>3.9792674629841e-10</v>
      </c>
      <c r="AA15" s="12">
        <v>3.9785413707074e-10</v>
      </c>
      <c r="AB15" s="11">
        <v>0.99999887683521</v>
      </c>
      <c r="AC15" s="11">
        <v>0.992521758904</v>
      </c>
      <c r="AD15" s="11">
        <v>0.0009379338080627</v>
      </c>
      <c r="AE15" s="12">
        <v>1.3887889036125e-12</v>
      </c>
      <c r="AF15" s="12">
        <v>7.7834115821568e-13</v>
      </c>
      <c r="AG15" s="12">
        <v>4.442745088041e-13</v>
      </c>
      <c r="AH15" s="12">
        <v>1.3163814574483e-12</v>
      </c>
      <c r="AI15" s="12">
        <v>-4.2738252634394e-12</v>
      </c>
      <c r="AJ15" s="12">
        <v>-4.6845762300269e-13</v>
      </c>
      <c r="AK15" s="12">
        <v>8.9136555743287e-13</v>
      </c>
      <c r="AL15" s="12">
        <v>-1.5741982242017e-12</v>
      </c>
      <c r="AM15" s="12">
        <v>1.7049558753836e-12</v>
      </c>
      <c r="AN15" s="12">
        <v>-1.6788707298919e-12</v>
      </c>
      <c r="AO15" s="12">
        <v>1.1896110802383e-12</v>
      </c>
      <c r="AP15" s="12">
        <v>3.5846199049112e-12</v>
      </c>
      <c r="AQ15" s="12">
        <v>-1.094200852548e-12</v>
      </c>
      <c r="AR15" s="12">
        <v>-1.7124843577007e-12</v>
      </c>
      <c r="AS15" s="12">
        <v>-1.8270955617259e-12</v>
      </c>
      <c r="AT15" s="12">
        <v>-8.4652670862807e-13</v>
      </c>
      <c r="AU15" s="12">
        <v>-1.4458804394099e-12</v>
      </c>
      <c r="AV15" s="12">
        <v>-1.3614947159903e-12</v>
      </c>
      <c r="AW15" s="12">
        <v>4.7419757738934e-13</v>
      </c>
      <c r="AX15" s="12">
        <v>-3.4493637072353e-12</v>
      </c>
      <c r="AY15" s="12">
        <v>-1.4543181529446e-12</v>
      </c>
      <c r="AZ15" s="12">
        <v>-7.2883303064668e-13</v>
      </c>
      <c r="BA15" s="12">
        <v>1.947917074272e-12</v>
      </c>
      <c r="BB15" s="12">
        <v>1.1216116926355e-12</v>
      </c>
      <c r="BC15" s="11">
        <v>15911375.901265</v>
      </c>
      <c r="BD15" s="11">
        <v>3897375.1898707</v>
      </c>
      <c r="BE15" s="11">
        <v>0.00011250928419929</v>
      </c>
      <c r="BF15" s="11">
        <v>0.00012027328994251</v>
      </c>
      <c r="BG15" s="11">
        <v>0.0011349330922998</v>
      </c>
      <c r="BH15" s="11">
        <v>0.00067715292002661</v>
      </c>
      <c r="BI15" s="11">
        <v>0.00062149265022407</v>
      </c>
      <c r="BJ15" s="11">
        <v>34.999805898802</v>
      </c>
      <c r="BK15" s="11">
        <v>35.20833083479</v>
      </c>
      <c r="BL15" s="7"/>
    </row>
    <row r="16" spans="1:64">
      <c r="A16" s="11">
        <v>241032.58294551</v>
      </c>
      <c r="B16" s="11">
        <v>0.0018249290784119</v>
      </c>
      <c r="C16" s="12">
        <f t="shared" si="0"/>
        <v>7.13517747403569e-9</v>
      </c>
      <c r="D16" s="12">
        <v>5.2960626607017e-10</v>
      </c>
      <c r="E16" s="12">
        <v>5.3710616364532e-10</v>
      </c>
      <c r="F16" s="12">
        <v>5.3794580544863e-10</v>
      </c>
      <c r="G16" s="12">
        <v>5.3739432717291e-10</v>
      </c>
      <c r="H16" s="12">
        <v>5.2952973999283e-10</v>
      </c>
      <c r="I16" s="12">
        <v>5.3107883342983e-10</v>
      </c>
      <c r="J16" s="12">
        <v>5.2897048186927e-10</v>
      </c>
      <c r="K16" s="12">
        <v>5.6803207414066e-10</v>
      </c>
      <c r="L16" s="12">
        <v>5.6840209497133e-10</v>
      </c>
      <c r="M16" s="12">
        <v>5.6726269022642e-10</v>
      </c>
      <c r="N16" s="12">
        <v>4.126588463973e-10</v>
      </c>
      <c r="O16" s="12">
        <v>5.3015170325169e-10</v>
      </c>
      <c r="P16" s="12">
        <v>4.114396856707e-10</v>
      </c>
      <c r="Q16" s="12">
        <v>4.1306743183342e-10</v>
      </c>
      <c r="R16" s="12">
        <v>5.3796972016568e-10</v>
      </c>
      <c r="S16" s="12">
        <v>5.3671253752089e-10</v>
      </c>
      <c r="T16" s="12">
        <v>5.3800236142353e-10</v>
      </c>
      <c r="U16" s="12">
        <v>5.2859413964106e-10</v>
      </c>
      <c r="V16" s="12">
        <v>5.6698977692734e-10</v>
      </c>
      <c r="W16" s="12">
        <v>5.6853723310101e-10</v>
      </c>
      <c r="X16" s="12">
        <v>5.6818140985646e-10</v>
      </c>
      <c r="Y16" s="12">
        <v>4.1199963500751e-10</v>
      </c>
      <c r="Z16" s="12">
        <v>4.1276553020993e-10</v>
      </c>
      <c r="AA16" s="12">
        <v>4.1220132573199e-10</v>
      </c>
      <c r="AB16" s="11">
        <v>0.99997108735098</v>
      </c>
      <c r="AC16" s="11">
        <v>0.95975674958037</v>
      </c>
      <c r="AD16" s="11">
        <v>0.0019777743768157</v>
      </c>
      <c r="AE16" s="12">
        <v>-5.9023068056729e-12</v>
      </c>
      <c r="AF16" s="12">
        <v>1.6570659588077e-12</v>
      </c>
      <c r="AG16" s="12">
        <v>6.5200295662007e-12</v>
      </c>
      <c r="AH16" s="12">
        <v>1.6045278239057e-11</v>
      </c>
      <c r="AI16" s="12">
        <v>2.456981864311e-12</v>
      </c>
      <c r="AJ16" s="12">
        <v>1.9763888881258e-11</v>
      </c>
      <c r="AK16" s="12">
        <v>1.1245546260034e-11</v>
      </c>
      <c r="AL16" s="12">
        <v>5.1194583918148e-12</v>
      </c>
      <c r="AM16" s="12">
        <v>2.7243684268955e-11</v>
      </c>
      <c r="AN16" s="12">
        <v>-5.6064473839375e-12</v>
      </c>
      <c r="AO16" s="12">
        <v>2.6307649619752e-11</v>
      </c>
      <c r="AP16" s="12">
        <v>1.4453292306737e-11</v>
      </c>
      <c r="AQ16" s="12">
        <v>-1.5148955405557e-12</v>
      </c>
      <c r="AR16" s="12">
        <v>1.029493055618e-11</v>
      </c>
      <c r="AS16" s="12">
        <v>1.3708399220234e-11</v>
      </c>
      <c r="AT16" s="12">
        <v>-4.9457773110779e-15</v>
      </c>
      <c r="AU16" s="12">
        <v>1.0931565843589e-11</v>
      </c>
      <c r="AV16" s="12">
        <v>8.089582433885e-13</v>
      </c>
      <c r="AW16" s="12">
        <v>9.3936208793409e-12</v>
      </c>
      <c r="AX16" s="12">
        <v>-1.5960013010806e-11</v>
      </c>
      <c r="AY16" s="12">
        <v>-1.0183718243926e-11</v>
      </c>
      <c r="AZ16" s="12">
        <v>-1.0095231146748e-11</v>
      </c>
      <c r="BA16" s="12">
        <v>1.2504116531765e-11</v>
      </c>
      <c r="BB16" s="12">
        <v>1.4726993996656e-11</v>
      </c>
      <c r="BC16" s="11">
        <v>15781086.610807</v>
      </c>
      <c r="BD16" s="11">
        <v>3768558.5797201</v>
      </c>
      <c r="BE16" s="11">
        <v>0.00045489351707753</v>
      </c>
      <c r="BF16" s="11">
        <v>0.00044036385339004</v>
      </c>
      <c r="BG16" s="11">
        <v>0.0023193614902047</v>
      </c>
      <c r="BH16" s="11">
        <v>-0.0069919134488399</v>
      </c>
      <c r="BI16" s="11">
        <v>-0.0069885278630483</v>
      </c>
      <c r="BJ16" s="11">
        <v>34.992888879461</v>
      </c>
      <c r="BK16" s="11">
        <v>37.726365555294</v>
      </c>
      <c r="BL16" s="7"/>
    </row>
    <row r="17" spans="1:64">
      <c r="A17" s="11">
        <v>421363.08259353</v>
      </c>
      <c r="B17" s="11">
        <v>0.0030072933764454</v>
      </c>
      <c r="C17" s="12">
        <f t="shared" si="0"/>
        <v>6.55665181620031e-9</v>
      </c>
      <c r="D17" s="12">
        <v>5.0552370219828e-10</v>
      </c>
      <c r="E17" s="12">
        <v>5.1057283119099e-10</v>
      </c>
      <c r="F17" s="12">
        <v>5.1272284702136e-10</v>
      </c>
      <c r="G17" s="12">
        <v>5.1209149493936e-10</v>
      </c>
      <c r="H17" s="12">
        <v>5.0438340639565e-10</v>
      </c>
      <c r="I17" s="12">
        <v>5.0904901518775e-10</v>
      </c>
      <c r="J17" s="12">
        <v>5.0354781771288e-10</v>
      </c>
      <c r="K17" s="12">
        <v>5.4503904974014e-10</v>
      </c>
      <c r="L17" s="12">
        <v>5.462128964293e-10</v>
      </c>
      <c r="M17" s="12">
        <v>5.4304150173884e-10</v>
      </c>
      <c r="N17" s="12">
        <v>4.0732369388157e-10</v>
      </c>
      <c r="O17" s="12">
        <v>5.0585835340211e-10</v>
      </c>
      <c r="P17" s="12">
        <v>4.0355270670441e-10</v>
      </c>
      <c r="Q17" s="12">
        <v>4.0785394154864e-10</v>
      </c>
      <c r="R17" s="12">
        <v>5.1262351235697e-10</v>
      </c>
      <c r="S17" s="12">
        <v>5.0951584911392e-10</v>
      </c>
      <c r="T17" s="12">
        <v>5.1333892919757e-10</v>
      </c>
      <c r="U17" s="12">
        <v>5.0280060284672e-10</v>
      </c>
      <c r="V17" s="12">
        <v>5.4233397318095e-10</v>
      </c>
      <c r="W17" s="12">
        <v>5.4585374375967e-10</v>
      </c>
      <c r="X17" s="12">
        <v>5.4589760567144e-10</v>
      </c>
      <c r="Y17" s="12">
        <v>4.0554986869959e-10</v>
      </c>
      <c r="Z17" s="12">
        <v>4.0687288818769e-10</v>
      </c>
      <c r="AA17" s="12">
        <v>4.0603977134041e-10</v>
      </c>
      <c r="AB17" s="11">
        <v>0.99999703471093</v>
      </c>
      <c r="AC17" s="11">
        <v>0.93746220768606</v>
      </c>
      <c r="AD17" s="11">
        <v>0.0031556601957681</v>
      </c>
      <c r="AE17" s="12">
        <v>-6.1958357844529e-12</v>
      </c>
      <c r="AF17" s="12">
        <v>4.6445485370168e-12</v>
      </c>
      <c r="AG17" s="12">
        <v>5.6340801092086e-12</v>
      </c>
      <c r="AH17" s="12">
        <v>2.7604805536121e-11</v>
      </c>
      <c r="AI17" s="12">
        <v>4.2209735031321e-12</v>
      </c>
      <c r="AJ17" s="12">
        <v>2.2695571016442e-11</v>
      </c>
      <c r="AK17" s="12">
        <v>1.5357904859626e-11</v>
      </c>
      <c r="AL17" s="12">
        <v>5.5195003613659e-12</v>
      </c>
      <c r="AM17" s="12">
        <v>3.7182057173242e-11</v>
      </c>
      <c r="AN17" s="12">
        <v>-7.1917967527785e-12</v>
      </c>
      <c r="AO17" s="12">
        <v>3.3860853536327e-11</v>
      </c>
      <c r="AP17" s="12">
        <v>1.8611492497508e-11</v>
      </c>
      <c r="AQ17" s="12">
        <v>-2.7994581692468e-12</v>
      </c>
      <c r="AR17" s="12">
        <v>1.7613900798641e-11</v>
      </c>
      <c r="AS17" s="12">
        <v>1.5014716126792e-11</v>
      </c>
      <c r="AT17" s="12">
        <v>-8.0121768993661e-13</v>
      </c>
      <c r="AU17" s="12">
        <v>1.9589441573527e-11</v>
      </c>
      <c r="AV17" s="12">
        <v>2.3356409429016e-12</v>
      </c>
      <c r="AW17" s="12">
        <v>1.2532544319403e-11</v>
      </c>
      <c r="AX17" s="12">
        <v>-2.2077272893244e-11</v>
      </c>
      <c r="AY17" s="12">
        <v>-1.4121030187753e-11</v>
      </c>
      <c r="AZ17" s="12">
        <v>-1.2891565306632e-11</v>
      </c>
      <c r="BA17" s="12">
        <v>1.6410808693567e-11</v>
      </c>
      <c r="BB17" s="12">
        <v>2.7621548070186e-11</v>
      </c>
      <c r="BC17" s="11">
        <v>15626352.917274</v>
      </c>
      <c r="BD17" s="11">
        <v>3650344.5482352</v>
      </c>
      <c r="BE17" s="11">
        <v>0.0009186657233306</v>
      </c>
      <c r="BF17" s="11">
        <v>0.00087190733657726</v>
      </c>
      <c r="BG17" s="11">
        <v>0.0035894063848082</v>
      </c>
      <c r="BH17" s="11">
        <v>-0.001887753588048</v>
      </c>
      <c r="BI17" s="11">
        <v>-0.0015875458033606</v>
      </c>
      <c r="BJ17" s="11">
        <v>34.999365713208</v>
      </c>
      <c r="BK17" s="11">
        <v>39.953217586139</v>
      </c>
      <c r="BL17" s="7"/>
    </row>
    <row r="18" spans="1:64">
      <c r="A18" s="11">
        <v>303442.04374048</v>
      </c>
      <c r="B18" s="11">
        <v>0.0022414291560282</v>
      </c>
      <c r="C18" s="12">
        <f t="shared" si="0"/>
        <v>6.49472077134258e-9</v>
      </c>
      <c r="D18" s="12">
        <v>5.1740365222386e-10</v>
      </c>
      <c r="E18" s="12">
        <v>5.2415460605704e-10</v>
      </c>
      <c r="F18" s="12">
        <v>5.2551858495685e-10</v>
      </c>
      <c r="G18" s="12">
        <v>5.2488835325026e-10</v>
      </c>
      <c r="H18" s="12">
        <v>5.1681516569576e-10</v>
      </c>
      <c r="I18" s="12">
        <v>5.1972233758072e-10</v>
      </c>
      <c r="J18" s="12">
        <v>5.1625159878939e-10</v>
      </c>
      <c r="K18" s="12">
        <v>5.5704462186929e-10</v>
      </c>
      <c r="L18" s="12">
        <v>5.5781425045109e-10</v>
      </c>
      <c r="M18" s="12">
        <v>5.5576454684634e-10</v>
      </c>
      <c r="N18" s="12">
        <v>4.0988620119195e-10</v>
      </c>
      <c r="O18" s="12">
        <v>5.178342586779e-10</v>
      </c>
      <c r="P18" s="12">
        <v>4.0755409962809e-10</v>
      </c>
      <c r="Q18" s="12">
        <v>4.1023505036722e-10</v>
      </c>
      <c r="R18" s="12">
        <v>5.2555842743369e-10</v>
      </c>
      <c r="S18" s="12">
        <v>5.2348264708482e-10</v>
      </c>
      <c r="T18" s="12">
        <v>5.2573736804919e-10</v>
      </c>
      <c r="U18" s="12">
        <v>5.1562045563552e-10</v>
      </c>
      <c r="V18" s="12">
        <v>5.5536228762788e-10</v>
      </c>
      <c r="W18" s="12">
        <v>5.5774031263359e-10</v>
      </c>
      <c r="X18" s="12">
        <v>5.5743374836986e-10</v>
      </c>
      <c r="Y18" s="12">
        <v>4.0871329816346e-10</v>
      </c>
      <c r="Z18" s="12">
        <v>4.0972955930992e-10</v>
      </c>
      <c r="AA18" s="12">
        <v>4.0896000359077e-10</v>
      </c>
      <c r="AB18" s="11">
        <v>0.99998455599315</v>
      </c>
      <c r="AC18" s="11">
        <v>0.94981377588471</v>
      </c>
      <c r="AD18" s="11">
        <v>0.002391941048435</v>
      </c>
      <c r="AE18" s="12">
        <v>-6.9668965249649e-12</v>
      </c>
      <c r="AF18" s="12">
        <v>2.9230972843352e-12</v>
      </c>
      <c r="AG18" s="12">
        <v>6.7822646470722e-12</v>
      </c>
      <c r="AH18" s="12">
        <v>2.1339150434815e-11</v>
      </c>
      <c r="AI18" s="12">
        <v>2.9863609425407e-12</v>
      </c>
      <c r="AJ18" s="12">
        <v>2.2421648778244e-11</v>
      </c>
      <c r="AK18" s="12">
        <v>1.2926343872239e-11</v>
      </c>
      <c r="AL18" s="12">
        <v>5.3556977874711e-12</v>
      </c>
      <c r="AM18" s="12">
        <v>3.2661790402597e-11</v>
      </c>
      <c r="AN18" s="12">
        <v>-6.6141461742323e-12</v>
      </c>
      <c r="AO18" s="12">
        <v>3.087658457381e-11</v>
      </c>
      <c r="AP18" s="12">
        <v>1.7060922157804e-11</v>
      </c>
      <c r="AQ18" s="12">
        <v>-2.1009776107429e-12</v>
      </c>
      <c r="AR18" s="12">
        <v>1.3382581708083e-11</v>
      </c>
      <c r="AS18" s="12">
        <v>1.5242406427297e-11</v>
      </c>
      <c r="AT18" s="12">
        <v>-3.5447172498011e-13</v>
      </c>
      <c r="AU18" s="12">
        <v>1.4468792302988e-11</v>
      </c>
      <c r="AV18" s="12">
        <v>1.64473396844e-12</v>
      </c>
      <c r="AW18" s="12">
        <v>1.1219126299808e-11</v>
      </c>
      <c r="AX18" s="12">
        <v>-1.9008100982287e-11</v>
      </c>
      <c r="AY18" s="12">
        <v>-1.224029370112e-11</v>
      </c>
      <c r="AZ18" s="12">
        <v>-1.1814401037072e-11</v>
      </c>
      <c r="BA18" s="12">
        <v>1.4678243989976e-11</v>
      </c>
      <c r="BB18" s="12">
        <v>2.0399898848945e-11</v>
      </c>
      <c r="BC18" s="11">
        <v>15726934.577388</v>
      </c>
      <c r="BD18" s="11">
        <v>3724224.8659019</v>
      </c>
      <c r="BE18" s="11">
        <v>0.00061454866869405</v>
      </c>
      <c r="BF18" s="11">
        <v>0.00058921246740188</v>
      </c>
      <c r="BG18" s="11">
        <v>0.0027706616304015</v>
      </c>
      <c r="BH18" s="11">
        <v>0.0028984240138422</v>
      </c>
      <c r="BI18" s="11">
        <v>0.0027481640580829</v>
      </c>
      <c r="BJ18" s="11">
        <v>35.006846106071</v>
      </c>
      <c r="BK18" s="11">
        <v>38.585398931291</v>
      </c>
      <c r="BL18" s="7"/>
    </row>
    <row r="19" spans="1:64">
      <c r="A19" s="11">
        <v>382010.89987165</v>
      </c>
      <c r="B19" s="11">
        <v>0.0027516829415008</v>
      </c>
      <c r="C19" s="12">
        <f t="shared" si="0"/>
        <v>6.49435171387421e-9</v>
      </c>
      <c r="D19" s="12">
        <v>5.0539829057733e-10</v>
      </c>
      <c r="E19" s="12">
        <v>5.1063844174955e-10</v>
      </c>
      <c r="F19" s="12">
        <v>5.1277836392076e-10</v>
      </c>
      <c r="G19" s="12">
        <v>5.1217589992252e-10</v>
      </c>
      <c r="H19" s="12">
        <v>5.0430560087612e-10</v>
      </c>
      <c r="I19" s="12">
        <v>5.0890965530618e-10</v>
      </c>
      <c r="J19" s="12">
        <v>5.034299327753e-10</v>
      </c>
      <c r="K19" s="12">
        <v>5.4496804519432e-10</v>
      </c>
      <c r="L19" s="12">
        <v>5.4610095890114e-10</v>
      </c>
      <c r="M19" s="12">
        <v>5.4296740548955e-10</v>
      </c>
      <c r="N19" s="12">
        <v>4.0667504657646e-10</v>
      </c>
      <c r="O19" s="12">
        <v>5.0575579300029e-10</v>
      </c>
      <c r="P19" s="12">
        <v>4.0294588297413e-10</v>
      </c>
      <c r="Q19" s="12">
        <v>4.0724489054053e-10</v>
      </c>
      <c r="R19" s="12">
        <v>5.1267401125185e-10</v>
      </c>
      <c r="S19" s="12">
        <v>5.0959277388561e-10</v>
      </c>
      <c r="T19" s="12">
        <v>5.1340596966534e-10</v>
      </c>
      <c r="U19" s="12">
        <v>5.0271850217765e-10</v>
      </c>
      <c r="V19" s="12">
        <v>5.4224243177111e-10</v>
      </c>
      <c r="W19" s="12">
        <v>5.4575514198007e-10</v>
      </c>
      <c r="X19" s="12">
        <v>5.4585176722897e-10</v>
      </c>
      <c r="Y19" s="12">
        <v>4.0490526816763e-10</v>
      </c>
      <c r="Z19" s="12">
        <v>4.0626195228566e-10</v>
      </c>
      <c r="AA19" s="12">
        <v>4.054489687599e-10</v>
      </c>
      <c r="AB19" s="11">
        <v>0.99998475163668</v>
      </c>
      <c r="AC19" s="11">
        <v>0.93862182206034</v>
      </c>
      <c r="AD19" s="11">
        <v>0.002900492674154</v>
      </c>
      <c r="AE19" s="12">
        <v>-6.1748357769421e-12</v>
      </c>
      <c r="AF19" s="12">
        <v>4.4403959552572e-12</v>
      </c>
      <c r="AG19" s="12">
        <v>5.6485093237165e-12</v>
      </c>
      <c r="AH19" s="12">
        <v>2.6872958763282e-11</v>
      </c>
      <c r="AI19" s="12">
        <v>4.1233330990029e-12</v>
      </c>
      <c r="AJ19" s="12">
        <v>2.2539293689866e-11</v>
      </c>
      <c r="AK19" s="12">
        <v>1.5106140112248e-11</v>
      </c>
      <c r="AL19" s="12">
        <v>5.4980088404056e-12</v>
      </c>
      <c r="AM19" s="12">
        <v>3.6602844433137e-11</v>
      </c>
      <c r="AN19" s="12">
        <v>-7.0607597073882e-12</v>
      </c>
      <c r="AO19" s="12">
        <v>3.3401033521086e-11</v>
      </c>
      <c r="AP19" s="12">
        <v>1.8358443309992e-11</v>
      </c>
      <c r="AQ19" s="12">
        <v>-2.6989513390255e-12</v>
      </c>
      <c r="AR19" s="12">
        <v>1.7168563329869e-11</v>
      </c>
      <c r="AS19" s="12">
        <v>1.4887804358149e-11</v>
      </c>
      <c r="AT19" s="12">
        <v>-7.4479513025675e-13</v>
      </c>
      <c r="AU19" s="12">
        <v>1.9023429049289e-11</v>
      </c>
      <c r="AV19" s="12">
        <v>2.2429085341205e-12</v>
      </c>
      <c r="AW19" s="12">
        <v>1.2303259423872e-11</v>
      </c>
      <c r="AX19" s="12">
        <v>-2.1727864461295e-11</v>
      </c>
      <c r="AY19" s="12">
        <v>-1.3865901570268e-11</v>
      </c>
      <c r="AZ19" s="12">
        <v>-1.2706185075952e-11</v>
      </c>
      <c r="BA19" s="12">
        <v>1.617391108644e-11</v>
      </c>
      <c r="BB19" s="12">
        <v>2.6862678906975e-11</v>
      </c>
      <c r="BC19" s="11">
        <v>15659920.974817</v>
      </c>
      <c r="BD19" s="11">
        <v>3674571.4767158</v>
      </c>
      <c r="BE19" s="11">
        <v>0.00081683307627346</v>
      </c>
      <c r="BF19" s="11">
        <v>0.00077724723207377</v>
      </c>
      <c r="BG19" s="11">
        <v>0.0033170224413979</v>
      </c>
      <c r="BH19" s="11">
        <v>0.0028894546699315</v>
      </c>
      <c r="BI19" s="11">
        <v>0.0026084977653433</v>
      </c>
      <c r="BJ19" s="11">
        <v>35.009001457701</v>
      </c>
      <c r="BK19" s="11">
        <v>39.493077362954</v>
      </c>
      <c r="BL19" s="7"/>
    </row>
    <row r="20" spans="1:64">
      <c r="A20" s="11">
        <v>444098.35344506</v>
      </c>
      <c r="B20" s="11">
        <v>0.0031455681655794</v>
      </c>
      <c r="C20" s="12">
        <f t="shared" si="0"/>
        <v>6.34403895487329e-9</v>
      </c>
      <c r="D20" s="12">
        <v>4.9612263469827e-10</v>
      </c>
      <c r="E20" s="12">
        <v>5.0042147708525e-10</v>
      </c>
      <c r="F20" s="12">
        <v>5.0332167688518e-10</v>
      </c>
      <c r="G20" s="12">
        <v>5.0278123099262e-10</v>
      </c>
      <c r="H20" s="12">
        <v>4.9493386700334e-10</v>
      </c>
      <c r="I20" s="12">
        <v>5.0063329798985e-10</v>
      </c>
      <c r="J20" s="12">
        <v>4.9345410993738e-10</v>
      </c>
      <c r="K20" s="12">
        <v>5.3502840849931e-10</v>
      </c>
      <c r="L20" s="12">
        <v>5.3619497953738e-10</v>
      </c>
      <c r="M20" s="12">
        <v>5.3236603240173e-10</v>
      </c>
      <c r="N20" s="12">
        <v>4.0257803699833e-10</v>
      </c>
      <c r="O20" s="12">
        <v>4.9656806330488e-10</v>
      </c>
      <c r="P20" s="12">
        <v>3.9786337491858e-10</v>
      </c>
      <c r="Q20" s="12">
        <v>4.0363326122929e-10</v>
      </c>
      <c r="R20" s="12">
        <v>5.0292230777759e-10</v>
      </c>
      <c r="S20" s="12">
        <v>4.991130581734e-10</v>
      </c>
      <c r="T20" s="12">
        <v>5.0444399094589e-10</v>
      </c>
      <c r="U20" s="12">
        <v>4.9293908617292e-10</v>
      </c>
      <c r="V20" s="12">
        <v>5.3123647502674e-10</v>
      </c>
      <c r="W20" s="12">
        <v>5.3570557123603e-10</v>
      </c>
      <c r="X20" s="12">
        <v>5.3639094259606e-10</v>
      </c>
      <c r="Y20" s="12">
        <v>4.0040132021966e-10</v>
      </c>
      <c r="Z20" s="12">
        <v>4.0211393601119e-10</v>
      </c>
      <c r="AA20" s="12">
        <v>4.0141052571191e-10</v>
      </c>
      <c r="AB20" s="11">
        <v>0.9999811207523</v>
      </c>
      <c r="AC20" s="11">
        <v>0.93083224456666</v>
      </c>
      <c r="AD20" s="11">
        <v>0.00329356409676</v>
      </c>
      <c r="AE20" s="12">
        <v>-4.701999199573e-12</v>
      </c>
      <c r="AF20" s="12">
        <v>5.1716033883076e-12</v>
      </c>
      <c r="AG20" s="12">
        <v>4.340664986114e-12</v>
      </c>
      <c r="AH20" s="12">
        <v>2.9808058394889e-11</v>
      </c>
      <c r="AI20" s="12">
        <v>5.1226936966283e-12</v>
      </c>
      <c r="AJ20" s="12">
        <v>2.1281008948817e-11</v>
      </c>
      <c r="AK20" s="12">
        <v>1.6633736180572e-11</v>
      </c>
      <c r="AL20" s="12">
        <v>5.6233848950597e-12</v>
      </c>
      <c r="AM20" s="12">
        <v>3.8197529304308e-11</v>
      </c>
      <c r="AN20" s="12">
        <v>-6.8696358925997e-12</v>
      </c>
      <c r="AO20" s="12">
        <v>3.3988091088855e-11</v>
      </c>
      <c r="AP20" s="12">
        <v>1.8119624409554e-11</v>
      </c>
      <c r="AQ20" s="12">
        <v>-2.9201728203388e-12</v>
      </c>
      <c r="AR20" s="12">
        <v>1.976707359594e-11</v>
      </c>
      <c r="AS20" s="12">
        <v>1.3947490030249e-11</v>
      </c>
      <c r="AT20" s="12">
        <v>-9.0591213046861e-13</v>
      </c>
      <c r="AU20" s="12">
        <v>2.2169356122358e-11</v>
      </c>
      <c r="AV20" s="12">
        <v>2.132352442762e-12</v>
      </c>
      <c r="AW20" s="12">
        <v>1.2483657772017e-11</v>
      </c>
      <c r="AX20" s="12">
        <v>-2.3115647490494e-11</v>
      </c>
      <c r="AY20" s="12">
        <v>-1.4322421606052e-11</v>
      </c>
      <c r="AZ20" s="12">
        <v>-1.2669821266169e-11</v>
      </c>
      <c r="BA20" s="12">
        <v>1.6768285959781e-11</v>
      </c>
      <c r="BB20" s="12">
        <v>3.0726358817371e-11</v>
      </c>
      <c r="BC20" s="11">
        <v>15607803.958691</v>
      </c>
      <c r="BD20" s="11">
        <v>3639373.6899126</v>
      </c>
      <c r="BE20" s="11">
        <v>0.00097672023148884</v>
      </c>
      <c r="BF20" s="11">
        <v>0.00092580219519709</v>
      </c>
      <c r="BG20" s="11">
        <v>0.0037351010045079</v>
      </c>
      <c r="BH20" s="11">
        <v>-0.0041744659111549</v>
      </c>
      <c r="BI20" s="11">
        <v>-0.0037354845253148</v>
      </c>
      <c r="BJ20" s="11">
        <v>34.987417686993</v>
      </c>
      <c r="BK20" s="11">
        <v>40.071751200265</v>
      </c>
      <c r="BL20" s="7"/>
    </row>
    <row r="21" spans="1:64">
      <c r="A21" s="11">
        <v>559086.70248793</v>
      </c>
      <c r="B21" s="11">
        <v>0.0038566047483947</v>
      </c>
      <c r="C21" s="12">
        <f t="shared" si="0"/>
        <v>6.18355327938669e-9</v>
      </c>
      <c r="D21" s="12">
        <v>4.8287445771241e-10</v>
      </c>
      <c r="E21" s="12">
        <v>4.852273264981e-10</v>
      </c>
      <c r="F21" s="12">
        <v>4.8977161543364e-10</v>
      </c>
      <c r="G21" s="12">
        <v>4.8923465950727e-10</v>
      </c>
      <c r="H21" s="12">
        <v>4.8227093145877e-10</v>
      </c>
      <c r="I21" s="12">
        <v>4.891341546865e-10</v>
      </c>
      <c r="J21" s="12">
        <v>4.7900043949834e-10</v>
      </c>
      <c r="K21" s="12">
        <v>5.2023479764452e-10</v>
      </c>
      <c r="L21" s="12">
        <v>5.2093216543828e-10</v>
      </c>
      <c r="M21" s="12">
        <v>5.1629705224838e-10</v>
      </c>
      <c r="N21" s="12">
        <v>3.9593966421533e-10</v>
      </c>
      <c r="O21" s="12">
        <v>4.8384956272232e-10</v>
      </c>
      <c r="P21" s="12">
        <v>3.8982658632168e-10</v>
      </c>
      <c r="Q21" s="12">
        <v>3.9837397048475e-10</v>
      </c>
      <c r="R21" s="12">
        <v>4.8851336641426e-10</v>
      </c>
      <c r="S21" s="12">
        <v>4.836052207667e-10</v>
      </c>
      <c r="T21" s="12">
        <v>4.919742003791e-10</v>
      </c>
      <c r="U21" s="12">
        <v>4.7932731329763e-10</v>
      </c>
      <c r="V21" s="12">
        <v>5.1420170590941e-10</v>
      </c>
      <c r="W21" s="12">
        <v>5.2035772055511e-10</v>
      </c>
      <c r="X21" s="12">
        <v>5.2248530668859e-10</v>
      </c>
      <c r="Y21" s="12">
        <v>3.9316927182144e-10</v>
      </c>
      <c r="Z21" s="12">
        <v>3.9572850972757e-10</v>
      </c>
      <c r="AA21" s="12">
        <v>3.9533945694924e-10</v>
      </c>
      <c r="AB21" s="11">
        <v>0.99998616442994</v>
      </c>
      <c r="AC21" s="11">
        <v>0.91997250638508</v>
      </c>
      <c r="AD21" s="11">
        <v>0.0040040417524662</v>
      </c>
      <c r="AE21" s="12">
        <v>-1.796435029604e-12</v>
      </c>
      <c r="AF21" s="12">
        <v>5.5745709667735e-12</v>
      </c>
      <c r="AG21" s="12">
        <v>2.094863546508e-12</v>
      </c>
      <c r="AH21" s="12">
        <v>3.1923550758676e-11</v>
      </c>
      <c r="AI21" s="12">
        <v>6.2012544629389e-12</v>
      </c>
      <c r="AJ21" s="12">
        <v>1.8415288626268e-11</v>
      </c>
      <c r="AK21" s="12">
        <v>1.8626256150767e-11</v>
      </c>
      <c r="AL21" s="12">
        <v>6.0145444708955e-12</v>
      </c>
      <c r="AM21" s="12">
        <v>3.906353039465e-11</v>
      </c>
      <c r="AN21" s="12">
        <v>-5.9736826539641e-12</v>
      </c>
      <c r="AO21" s="12">
        <v>3.3726708247627e-11</v>
      </c>
      <c r="AP21" s="12">
        <v>1.6558316804874e-11</v>
      </c>
      <c r="AQ21" s="12">
        <v>-2.8425097357934e-12</v>
      </c>
      <c r="AR21" s="12">
        <v>2.3192687709919e-11</v>
      </c>
      <c r="AS21" s="12">
        <v>1.2242844034081e-11</v>
      </c>
      <c r="AT21" s="12">
        <v>-9.4264878691428e-13</v>
      </c>
      <c r="AU21" s="12">
        <v>2.5874526768501e-11</v>
      </c>
      <c r="AV21" s="12">
        <v>1.083574008999e-12</v>
      </c>
      <c r="AW21" s="12">
        <v>1.2059307300009e-11</v>
      </c>
      <c r="AX21" s="12">
        <v>-2.4167500733813e-11</v>
      </c>
      <c r="AY21" s="12">
        <v>-1.4353496868452e-11</v>
      </c>
      <c r="AZ21" s="12">
        <v>-1.1842897828739e-11</v>
      </c>
      <c r="BA21" s="12">
        <v>1.7037105994519e-11</v>
      </c>
      <c r="BB21" s="12">
        <v>3.4863621368579e-11</v>
      </c>
      <c r="BC21" s="11">
        <v>15513178.805392</v>
      </c>
      <c r="BD21" s="11">
        <v>3581642.1585329</v>
      </c>
      <c r="BE21" s="11">
        <v>0.0012706323656401</v>
      </c>
      <c r="BF21" s="11">
        <v>0.0011990433291371</v>
      </c>
      <c r="BG21" s="11">
        <v>0.0044845357927296</v>
      </c>
      <c r="BH21" s="11">
        <v>-0.00045920222100374</v>
      </c>
      <c r="BI21" s="11">
        <v>-0.00023430262955287</v>
      </c>
      <c r="BJ21" s="11">
        <v>34.998256906478</v>
      </c>
      <c r="BK21" s="11">
        <v>40.939606147016</v>
      </c>
      <c r="BL21" s="7"/>
    </row>
    <row r="22" spans="1:64">
      <c r="A22" s="11">
        <v>703848.45715826</v>
      </c>
      <c r="B22" s="11">
        <v>0.0047227088276784</v>
      </c>
      <c r="C22" s="12">
        <f t="shared" si="0"/>
        <v>5.98296201407687e-9</v>
      </c>
      <c r="D22" s="12">
        <v>4.6777369594825e-10</v>
      </c>
      <c r="E22" s="12">
        <v>4.6787171998706e-10</v>
      </c>
      <c r="F22" s="12">
        <v>4.7492701921868e-10</v>
      </c>
      <c r="G22" s="12">
        <v>4.7408095898873e-10</v>
      </c>
      <c r="H22" s="12">
        <v>4.6902945203446e-10</v>
      </c>
      <c r="I22" s="12">
        <v>4.7614095254961e-10</v>
      </c>
      <c r="J22" s="12">
        <v>4.6255050914634e-10</v>
      </c>
      <c r="K22" s="12">
        <v>5.0306842915901e-10</v>
      </c>
      <c r="L22" s="12">
        <v>5.0246819337422e-10</v>
      </c>
      <c r="M22" s="12">
        <v>4.9739203000703e-10</v>
      </c>
      <c r="N22" s="12">
        <v>3.8662335438202e-10</v>
      </c>
      <c r="O22" s="12">
        <v>4.7002505052691e-10</v>
      </c>
      <c r="P22" s="12">
        <v>3.7928498488953e-10</v>
      </c>
      <c r="Q22" s="12">
        <v>3.9137042321969e-10</v>
      </c>
      <c r="R22" s="12">
        <v>4.7217364360485e-10</v>
      </c>
      <c r="S22" s="12">
        <v>4.6609647694445e-10</v>
      </c>
      <c r="T22" s="12">
        <v>4.7858979449089e-10</v>
      </c>
      <c r="U22" s="12">
        <v>4.6457154683621e-10</v>
      </c>
      <c r="V22" s="12">
        <v>4.9381340404553e-10</v>
      </c>
      <c r="W22" s="12">
        <v>5.020651093362e-10</v>
      </c>
      <c r="X22" s="12">
        <v>5.0631007125516e-10</v>
      </c>
      <c r="Y22" s="12">
        <v>3.8320453490365e-10</v>
      </c>
      <c r="Z22" s="12">
        <v>3.8721633734369e-10</v>
      </c>
      <c r="AA22" s="12">
        <v>3.8729529803806e-10</v>
      </c>
      <c r="AB22" s="11">
        <v>0.99998761599284</v>
      </c>
      <c r="AC22" s="11">
        <v>0.91017019160361</v>
      </c>
      <c r="AD22" s="11">
        <v>0.0048700861538462</v>
      </c>
      <c r="AE22" s="12">
        <v>1.3578320229269e-12</v>
      </c>
      <c r="AF22" s="12">
        <v>5.3305921975495e-12</v>
      </c>
      <c r="AG22" s="12">
        <v>9.6059358802846e-14</v>
      </c>
      <c r="AH22" s="12">
        <v>3.149665091693e-11</v>
      </c>
      <c r="AI22" s="12">
        <v>5.9671523181116e-12</v>
      </c>
      <c r="AJ22" s="12">
        <v>1.5009645479526e-11</v>
      </c>
      <c r="AK22" s="12">
        <v>2.007578225746e-11</v>
      </c>
      <c r="AL22" s="12">
        <v>6.3350871824732e-12</v>
      </c>
      <c r="AM22" s="12">
        <v>3.8429452567042e-11</v>
      </c>
      <c r="AN22" s="12">
        <v>-4.7673379952157e-12</v>
      </c>
      <c r="AO22" s="12">
        <v>3.2375400848299e-11</v>
      </c>
      <c r="AP22" s="12">
        <v>1.4424913132698e-11</v>
      </c>
      <c r="AQ22" s="12">
        <v>-2.3800181967352e-12</v>
      </c>
      <c r="AR22" s="12">
        <v>2.5469109208982e-11</v>
      </c>
      <c r="AS22" s="12">
        <v>1.0679905234938e-11</v>
      </c>
      <c r="AT22" s="12">
        <v>-7.9212494753068e-13</v>
      </c>
      <c r="AU22" s="12">
        <v>2.7657284814235e-11</v>
      </c>
      <c r="AV22" s="12">
        <v>-7.4230108641565e-13</v>
      </c>
      <c r="AW22" s="12">
        <v>1.1159100014939e-11</v>
      </c>
      <c r="AX22" s="12">
        <v>-2.4079954219965e-11</v>
      </c>
      <c r="AY22" s="12">
        <v>-1.3990860250107e-11</v>
      </c>
      <c r="AZ22" s="12">
        <v>-1.0237565111202e-11</v>
      </c>
      <c r="BA22" s="12">
        <v>1.6769837975681e-11</v>
      </c>
      <c r="BB22" s="12">
        <v>3.7137114686522e-11</v>
      </c>
      <c r="BC22" s="11">
        <v>15397332.709788</v>
      </c>
      <c r="BD22" s="11">
        <v>3519231.6360501</v>
      </c>
      <c r="BE22" s="11">
        <v>0.0016352356220922</v>
      </c>
      <c r="BF22" s="11">
        <v>0.0015383556608939</v>
      </c>
      <c r="BG22" s="11">
        <v>0.0053903817084247</v>
      </c>
      <c r="BH22" s="11">
        <v>-0.010287590862436</v>
      </c>
      <c r="BI22" s="11">
        <v>-0.0095447651449278</v>
      </c>
      <c r="BJ22" s="11">
        <v>34.998169441334</v>
      </c>
      <c r="BK22" s="11">
        <v>41.722166822479</v>
      </c>
      <c r="BL22" s="7"/>
    </row>
    <row r="23" spans="1:64">
      <c r="A23" s="11">
        <v>886092.70876865</v>
      </c>
      <c r="B23" s="11">
        <v>0.0057734023097705</v>
      </c>
      <c r="C23" s="12">
        <f t="shared" si="0"/>
        <v>5.7653038315761e-9</v>
      </c>
      <c r="D23" s="12">
        <v>4.5072051102792e-10</v>
      </c>
      <c r="E23" s="12">
        <v>4.484346447268e-10</v>
      </c>
      <c r="F23" s="12">
        <v>4.5867224693575e-10</v>
      </c>
      <c r="G23" s="12">
        <v>4.5725576004784e-10</v>
      </c>
      <c r="H23" s="12">
        <v>4.5518057608493e-10</v>
      </c>
      <c r="I23" s="12">
        <v>4.6133074616395e-10</v>
      </c>
      <c r="J23" s="12">
        <v>4.4418383326697e-10</v>
      </c>
      <c r="K23" s="12">
        <v>4.8391665284395e-10</v>
      </c>
      <c r="L23" s="12">
        <v>4.8122436998495e-10</v>
      </c>
      <c r="M23" s="12">
        <v>4.7621801412992e-10</v>
      </c>
      <c r="N23" s="12">
        <v>3.7498178684895e-10</v>
      </c>
      <c r="O23" s="12">
        <v>4.5504970876479e-10</v>
      </c>
      <c r="P23" s="12">
        <v>3.6693732545778e-10</v>
      </c>
      <c r="Q23" s="12">
        <v>3.8288001373642e-10</v>
      </c>
      <c r="R23" s="12">
        <v>4.5387608514925e-10</v>
      </c>
      <c r="S23" s="12">
        <v>4.4677592031158e-10</v>
      </c>
      <c r="T23" s="12">
        <v>4.6400960203618e-10</v>
      </c>
      <c r="U23" s="12">
        <v>4.4870240757789e-10</v>
      </c>
      <c r="V23" s="12">
        <v>4.7076975626606e-10</v>
      </c>
      <c r="W23" s="12">
        <v>4.8125934394562e-10</v>
      </c>
      <c r="X23" s="12">
        <v>4.8808200531935e-10</v>
      </c>
      <c r="Y23" s="12">
        <v>3.7092868377323e-10</v>
      </c>
      <c r="Z23" s="12">
        <v>3.7696880443774e-10</v>
      </c>
      <c r="AA23" s="12">
        <v>3.7771633796373e-10</v>
      </c>
      <c r="AB23" s="11">
        <v>0.99998926978672</v>
      </c>
      <c r="AC23" s="11">
        <v>0.90197723864351</v>
      </c>
      <c r="AD23" s="11">
        <v>0.0059210638609302</v>
      </c>
      <c r="AE23" s="12">
        <v>4.0417812531376e-12</v>
      </c>
      <c r="AF23" s="12">
        <v>4.8153423680119e-12</v>
      </c>
      <c r="AG23" s="12">
        <v>-1.03210371383e-12</v>
      </c>
      <c r="AH23" s="12">
        <v>2.9482003572078e-11</v>
      </c>
      <c r="AI23" s="12">
        <v>4.1042461053906e-12</v>
      </c>
      <c r="AJ23" s="12">
        <v>1.198362721012e-11</v>
      </c>
      <c r="AK23" s="12">
        <v>2.0842682734022e-11</v>
      </c>
      <c r="AL23" s="12">
        <v>6.0807370956117e-12</v>
      </c>
      <c r="AM23" s="12">
        <v>3.6945883777184e-11</v>
      </c>
      <c r="AN23" s="12">
        <v>-3.6679069138794e-12</v>
      </c>
      <c r="AO23" s="12">
        <v>3.0268281753704e-11</v>
      </c>
      <c r="AP23" s="12">
        <v>1.2935531639874e-11</v>
      </c>
      <c r="AQ23" s="12">
        <v>-1.6926934356973e-12</v>
      </c>
      <c r="AR23" s="12">
        <v>2.6123088894161e-11</v>
      </c>
      <c r="AS23" s="12">
        <v>9.6929934438296e-12</v>
      </c>
      <c r="AT23" s="12">
        <v>-5.0628761100102e-13</v>
      </c>
      <c r="AU23" s="12">
        <v>2.7262630498374e-11</v>
      </c>
      <c r="AV23" s="12">
        <v>-2.8603723490347e-12</v>
      </c>
      <c r="AW23" s="12">
        <v>1.0116512847573e-11</v>
      </c>
      <c r="AX23" s="12">
        <v>-2.3378113457544e-11</v>
      </c>
      <c r="AY23" s="12">
        <v>-1.3308722211388e-11</v>
      </c>
      <c r="AZ23" s="12">
        <v>-8.2680733728313e-12</v>
      </c>
      <c r="BA23" s="12">
        <v>1.6089962064186e-11</v>
      </c>
      <c r="BB23" s="12">
        <v>3.7685128087279e-11</v>
      </c>
      <c r="BC23" s="11">
        <v>15256385.902613</v>
      </c>
      <c r="BD23" s="11">
        <v>3451755.6921088</v>
      </c>
      <c r="BE23" s="11">
        <v>0.0020848756732255</v>
      </c>
      <c r="BF23" s="11">
        <v>0.0019568261242837</v>
      </c>
      <c r="BG23" s="11">
        <v>0.0064815957837561</v>
      </c>
      <c r="BH23" s="11">
        <v>0.002183263335294</v>
      </c>
      <c r="BI23" s="11">
        <v>0.001518900401902</v>
      </c>
      <c r="BJ23" s="11">
        <v>34.992146388974</v>
      </c>
      <c r="BK23" s="11">
        <v>42.368540922712</v>
      </c>
      <c r="BL23" s="7"/>
    </row>
    <row r="24" spans="1:64">
      <c r="A24" s="11">
        <v>1069039.9152438</v>
      </c>
      <c r="B24" s="11">
        <v>0.0067907243616182</v>
      </c>
      <c r="C24" s="12">
        <f t="shared" si="0"/>
        <v>5.56074110913459e-9</v>
      </c>
      <c r="D24" s="12">
        <v>4.4020802804337e-10</v>
      </c>
      <c r="E24" s="12">
        <v>4.3566689285603e-10</v>
      </c>
      <c r="F24" s="12">
        <v>4.5094427918272e-10</v>
      </c>
      <c r="G24" s="12">
        <v>4.4901777753637e-10</v>
      </c>
      <c r="H24" s="12">
        <v>4.5138562547848e-10</v>
      </c>
      <c r="I24" s="12">
        <v>4.5540647713339e-10</v>
      </c>
      <c r="J24" s="12">
        <v>4.3196461236071e-10</v>
      </c>
      <c r="K24" s="12">
        <v>4.7426005809621e-10</v>
      </c>
      <c r="L24" s="12">
        <v>4.6903326847571e-10</v>
      </c>
      <c r="M24" s="12">
        <v>4.620000608291e-10</v>
      </c>
      <c r="N24" s="12">
        <v>3.7374504431925e-10</v>
      </c>
      <c r="O24" s="12">
        <v>4.510109881112e-10</v>
      </c>
      <c r="P24" s="12">
        <v>3.6326458833042e-10</v>
      </c>
      <c r="Q24" s="12">
        <v>3.8533222432943e-10</v>
      </c>
      <c r="R24" s="12">
        <v>4.4326786597241e-10</v>
      </c>
      <c r="S24" s="12">
        <v>4.3444094661179e-10</v>
      </c>
      <c r="T24" s="12">
        <v>4.600491695859e-10</v>
      </c>
      <c r="U24" s="12">
        <v>4.4052675669454e-10</v>
      </c>
      <c r="V24" s="12">
        <v>4.5425020380003e-10</v>
      </c>
      <c r="W24" s="12">
        <v>4.6995012763159e-10</v>
      </c>
      <c r="X24" s="12">
        <v>4.7785965819912e-10</v>
      </c>
      <c r="Y24" s="12">
        <v>3.6754419008656e-10</v>
      </c>
      <c r="Z24" s="12">
        <v>3.7638301703826e-10</v>
      </c>
      <c r="AA24" s="12">
        <v>3.7768430911261e-10</v>
      </c>
      <c r="AB24" s="11">
        <v>0.99990482158439</v>
      </c>
      <c r="AC24" s="11">
        <v>0.89016230949286</v>
      </c>
      <c r="AD24" s="11">
        <v>0.0069386011089681</v>
      </c>
      <c r="AE24" s="12">
        <v>6.0562200811925e-12</v>
      </c>
      <c r="AF24" s="12">
        <v>3.4123851712087e-12</v>
      </c>
      <c r="AG24" s="12">
        <v>-1.8709639315065e-12</v>
      </c>
      <c r="AH24" s="12">
        <v>2.9270249988129e-11</v>
      </c>
      <c r="AI24" s="12">
        <v>-2.6586510563544e-13</v>
      </c>
      <c r="AJ24" s="12">
        <v>8.8431851187852e-12</v>
      </c>
      <c r="AK24" s="12">
        <v>2.1199088208221e-11</v>
      </c>
      <c r="AL24" s="12">
        <v>4.6059485438913e-12</v>
      </c>
      <c r="AM24" s="12">
        <v>3.8628111352056e-11</v>
      </c>
      <c r="AN24" s="12">
        <v>-2.8706427425477e-12</v>
      </c>
      <c r="AO24" s="12">
        <v>3.1194163552184e-11</v>
      </c>
      <c r="AP24" s="12">
        <v>1.2269090631532e-11</v>
      </c>
      <c r="AQ24" s="12">
        <v>-1.1810053688944e-12</v>
      </c>
      <c r="AR24" s="12">
        <v>2.8141149015814e-11</v>
      </c>
      <c r="AS24" s="12">
        <v>9.1348488220293e-12</v>
      </c>
      <c r="AT24" s="12">
        <v>-3.108945657272e-13</v>
      </c>
      <c r="AU24" s="12">
        <v>2.9209041051817e-11</v>
      </c>
      <c r="AV24" s="12">
        <v>-5.6732864211058e-12</v>
      </c>
      <c r="AW24" s="12">
        <v>9.9040976667421e-12</v>
      </c>
      <c r="AX24" s="12">
        <v>-2.5865967010415e-11</v>
      </c>
      <c r="AY24" s="12">
        <v>-1.1553549588614e-11</v>
      </c>
      <c r="AZ24" s="12">
        <v>-7.2943214629666e-12</v>
      </c>
      <c r="BA24" s="12">
        <v>1.6789434740516e-11</v>
      </c>
      <c r="BB24" s="12">
        <v>3.9911860019093e-11</v>
      </c>
      <c r="BC24" s="11">
        <v>15119865.504016</v>
      </c>
      <c r="BD24" s="11">
        <v>3392337.0779288</v>
      </c>
      <c r="BE24" s="11">
        <v>0.0025273882918331</v>
      </c>
      <c r="BF24" s="11">
        <v>0.0023680917458128</v>
      </c>
      <c r="BG24" s="11">
        <v>0.0075312516405119</v>
      </c>
      <c r="BH24" s="11">
        <v>-0.00043926520294562</v>
      </c>
      <c r="BI24" s="11">
        <v>-0.00029094461342197</v>
      </c>
      <c r="BJ24" s="11">
        <v>34.994559111054</v>
      </c>
      <c r="BK24" s="11">
        <v>42.863772884428</v>
      </c>
      <c r="BL24" s="7"/>
    </row>
    <row r="25" spans="1:64">
      <c r="A25" s="11">
        <v>1184317.065509</v>
      </c>
      <c r="B25" s="11">
        <v>0.0074129192145505</v>
      </c>
      <c r="C25" s="12">
        <f t="shared" si="0"/>
        <v>5.39738232165623e-9</v>
      </c>
      <c r="D25" s="12">
        <v>4.2734505953806e-10</v>
      </c>
      <c r="E25" s="12">
        <v>4.2329639852456e-10</v>
      </c>
      <c r="F25" s="12">
        <v>4.3845206191259e-10</v>
      </c>
      <c r="G25" s="12">
        <v>4.3719823068316e-10</v>
      </c>
      <c r="H25" s="12">
        <v>4.3778948115714e-10</v>
      </c>
      <c r="I25" s="12">
        <v>4.4095373854315e-10</v>
      </c>
      <c r="J25" s="12">
        <v>4.1902470098859e-10</v>
      </c>
      <c r="K25" s="12">
        <v>4.5884580082398e-10</v>
      </c>
      <c r="L25" s="12">
        <v>4.5247456546882e-10</v>
      </c>
      <c r="M25" s="12">
        <v>4.4810821244454e-10</v>
      </c>
      <c r="N25" s="12">
        <v>3.5912552724927e-10</v>
      </c>
      <c r="O25" s="12">
        <v>4.3528313842884e-10</v>
      </c>
      <c r="P25" s="12">
        <v>3.5066070604164e-10</v>
      </c>
      <c r="Q25" s="12">
        <v>3.733751693538e-10</v>
      </c>
      <c r="R25" s="12">
        <v>4.3068078634804e-10</v>
      </c>
      <c r="S25" s="12">
        <v>4.2220774251149e-10</v>
      </c>
      <c r="T25" s="12">
        <v>4.4737116098737e-10</v>
      </c>
      <c r="U25" s="12">
        <v>4.2816943340976e-10</v>
      </c>
      <c r="V25" s="12">
        <v>4.3998646245272e-10</v>
      </c>
      <c r="W25" s="12">
        <v>4.5315393506744e-10</v>
      </c>
      <c r="X25" s="12">
        <v>4.6416705492125e-10</v>
      </c>
      <c r="Y25" s="12">
        <v>3.5383410835084e-10</v>
      </c>
      <c r="Z25" s="12">
        <v>3.634241049196e-10</v>
      </c>
      <c r="AA25" s="12">
        <v>3.6683193200921e-10</v>
      </c>
      <c r="AB25" s="11">
        <v>0.99999130712857</v>
      </c>
      <c r="AC25" s="11">
        <v>0.89409682449669</v>
      </c>
      <c r="AD25" s="11">
        <v>0.0075610859539932</v>
      </c>
      <c r="AE25" s="12">
        <v>6.624855703927e-12</v>
      </c>
      <c r="AF25" s="12">
        <v>3.8788896794568e-12</v>
      </c>
      <c r="AG25" s="12">
        <v>-1.5244917958432e-12</v>
      </c>
      <c r="AH25" s="12">
        <v>2.4839243662392e-11</v>
      </c>
      <c r="AI25" s="12">
        <v>7.552718947179e-13</v>
      </c>
      <c r="AJ25" s="12">
        <v>8.255342958871e-12</v>
      </c>
      <c r="AK25" s="12">
        <v>2.0887620785419e-11</v>
      </c>
      <c r="AL25" s="12">
        <v>5.9237486932712e-12</v>
      </c>
      <c r="AM25" s="12">
        <v>3.4323920077542e-11</v>
      </c>
      <c r="AN25" s="12">
        <v>-2.2952211953896e-12</v>
      </c>
      <c r="AO25" s="12">
        <v>2.7454331870127e-11</v>
      </c>
      <c r="AP25" s="12">
        <v>1.190585119803e-11</v>
      </c>
      <c r="AQ25" s="12">
        <v>-5.8885415179183e-13</v>
      </c>
      <c r="AR25" s="12">
        <v>2.4139376689861e-11</v>
      </c>
      <c r="AS25" s="12">
        <v>8.4254750765048e-12</v>
      </c>
      <c r="AT25" s="12">
        <v>-2.3859148127978e-13</v>
      </c>
      <c r="AU25" s="12">
        <v>2.3306241628752e-11</v>
      </c>
      <c r="AV25" s="12">
        <v>-5.2041852187688e-12</v>
      </c>
      <c r="AW25" s="12">
        <v>8.8734688383489e-12</v>
      </c>
      <c r="AX25" s="12">
        <v>-2.1642855707147e-11</v>
      </c>
      <c r="AY25" s="12">
        <v>-1.236978368428e-11</v>
      </c>
      <c r="AZ25" s="12">
        <v>-6.0672689167345e-12</v>
      </c>
      <c r="BA25" s="12">
        <v>1.4709954732399e-11</v>
      </c>
      <c r="BB25" s="12">
        <v>3.4515943806698e-11</v>
      </c>
      <c r="BC25" s="11">
        <v>15036280.247216</v>
      </c>
      <c r="BD25" s="11">
        <v>3357594.6097825</v>
      </c>
      <c r="BE25" s="11">
        <v>0.0028015959804464</v>
      </c>
      <c r="BF25" s="11">
        <v>0.0026228522094733</v>
      </c>
      <c r="BG25" s="11">
        <v>0.0081699393951258</v>
      </c>
      <c r="BH25" s="11">
        <v>-0.0020930471144576</v>
      </c>
      <c r="BI25" s="11">
        <v>-0.0013112708176782</v>
      </c>
      <c r="BJ25" s="11">
        <v>34.99310797087</v>
      </c>
      <c r="BK25" s="11">
        <v>43.048094837998</v>
      </c>
      <c r="BL25" s="7"/>
    </row>
    <row r="26" spans="1:64">
      <c r="A26" s="11">
        <v>1257351.8110717</v>
      </c>
      <c r="B26" s="11">
        <v>0.0078006774293426</v>
      </c>
      <c r="C26" s="12">
        <f t="shared" si="0"/>
        <v>5.30922935110676e-9</v>
      </c>
      <c r="D26" s="12">
        <v>4.2162346916505e-10</v>
      </c>
      <c r="E26" s="12">
        <v>4.1677605814115e-10</v>
      </c>
      <c r="F26" s="12">
        <v>4.3269783729518e-10</v>
      </c>
      <c r="G26" s="12">
        <v>4.299155112881e-10</v>
      </c>
      <c r="H26" s="12">
        <v>4.3307200332352e-10</v>
      </c>
      <c r="I26" s="12">
        <v>4.3584858897674e-10</v>
      </c>
      <c r="J26" s="12">
        <v>4.1314437110397e-10</v>
      </c>
      <c r="K26" s="12">
        <v>4.5157410878816e-10</v>
      </c>
      <c r="L26" s="12">
        <v>4.4544009126484e-10</v>
      </c>
      <c r="M26" s="12">
        <v>4.4129552774899e-10</v>
      </c>
      <c r="N26" s="12">
        <v>3.5434421666991e-10</v>
      </c>
      <c r="O26" s="12">
        <v>4.3048593554103e-10</v>
      </c>
      <c r="P26" s="12">
        <v>3.4621917649418e-10</v>
      </c>
      <c r="Q26" s="12">
        <v>3.6717207677457e-10</v>
      </c>
      <c r="R26" s="12">
        <v>4.243176517258e-10</v>
      </c>
      <c r="S26" s="12">
        <v>4.1581553463871e-10</v>
      </c>
      <c r="T26" s="12">
        <v>4.4016341641731e-10</v>
      </c>
      <c r="U26" s="12">
        <v>4.2301497389928e-10</v>
      </c>
      <c r="V26" s="12">
        <v>4.3254534534458e-10</v>
      </c>
      <c r="W26" s="12">
        <v>4.462709107197e-10</v>
      </c>
      <c r="X26" s="12">
        <v>4.5729639201223e-10</v>
      </c>
      <c r="Y26" s="12">
        <v>3.4914646755429e-10</v>
      </c>
      <c r="Z26" s="12">
        <v>3.5894853009109e-10</v>
      </c>
      <c r="AA26" s="12">
        <v>3.6106412905798e-10</v>
      </c>
      <c r="AB26" s="11">
        <v>0.99999181863583</v>
      </c>
      <c r="AC26" s="11">
        <v>0.89300315852558</v>
      </c>
      <c r="AD26" s="11">
        <v>0.0079489477588816</v>
      </c>
      <c r="AE26" s="12">
        <v>7.0707252049571e-12</v>
      </c>
      <c r="AF26" s="12">
        <v>3.6326990573427e-12</v>
      </c>
      <c r="AG26" s="12">
        <v>-1.0363254243453e-12</v>
      </c>
      <c r="AH26" s="12">
        <v>2.4005091123115e-11</v>
      </c>
      <c r="AI26" s="12">
        <v>-1.5095357096706e-12</v>
      </c>
      <c r="AJ26" s="12">
        <v>7.7368210144675e-12</v>
      </c>
      <c r="AK26" s="12">
        <v>2.0830490014792e-11</v>
      </c>
      <c r="AL26" s="12">
        <v>3.8054435061995e-12</v>
      </c>
      <c r="AM26" s="12">
        <v>3.3803371050915e-11</v>
      </c>
      <c r="AN26" s="12">
        <v>-2.1541485338501e-12</v>
      </c>
      <c r="AO26" s="12">
        <v>2.6463431130051e-11</v>
      </c>
      <c r="AP26" s="12">
        <v>1.2146904427904e-11</v>
      </c>
      <c r="AQ26" s="12">
        <v>-6.5107320270521e-13</v>
      </c>
      <c r="AR26" s="12">
        <v>2.2614915533954e-11</v>
      </c>
      <c r="AS26" s="12">
        <v>8.348963010326e-12</v>
      </c>
      <c r="AT26" s="12">
        <v>-1.0698614674974e-13</v>
      </c>
      <c r="AU26" s="12">
        <v>2.2414521142823e-11</v>
      </c>
      <c r="AV26" s="12">
        <v>-6.6031885056826e-12</v>
      </c>
      <c r="AW26" s="12">
        <v>8.5936589759846e-12</v>
      </c>
      <c r="AX26" s="12">
        <v>-2.1894931692169e-11</v>
      </c>
      <c r="AY26" s="12">
        <v>-1.112139446091e-11</v>
      </c>
      <c r="AZ26" s="12">
        <v>-5.610915866606e-12</v>
      </c>
      <c r="BA26" s="12">
        <v>1.5130794691976e-11</v>
      </c>
      <c r="BB26" s="12">
        <v>3.5063280940935e-11</v>
      </c>
      <c r="BC26" s="11">
        <v>14984191.700058</v>
      </c>
      <c r="BD26" s="11">
        <v>3336518.3832696</v>
      </c>
      <c r="BE26" s="11">
        <v>0.002973349859027</v>
      </c>
      <c r="BF26" s="11">
        <v>0.002783493034588</v>
      </c>
      <c r="BG26" s="11">
        <v>0.0085666158057167</v>
      </c>
      <c r="BH26" s="11">
        <v>-0.0025144278394592</v>
      </c>
      <c r="BI26" s="11">
        <v>-0.00038977634698548</v>
      </c>
      <c r="BJ26" s="11">
        <v>34.993300603666</v>
      </c>
      <c r="BK26" s="11">
        <v>43.103501473484</v>
      </c>
      <c r="BL26" s="7"/>
    </row>
    <row r="27" spans="1:64">
      <c r="A27" s="11">
        <v>1461706.6402705</v>
      </c>
      <c r="B27" s="11">
        <v>0.0088647645784567</v>
      </c>
      <c r="C27" s="12">
        <f t="shared" si="0"/>
        <v>5.20705653634902e-9</v>
      </c>
      <c r="D27" s="12">
        <v>4.0737820496772e-10</v>
      </c>
      <c r="E27" s="12">
        <v>4.0111123453193e-10</v>
      </c>
      <c r="F27" s="12">
        <v>4.1948294904246e-10</v>
      </c>
      <c r="G27" s="12">
        <v>4.1579937271802e-10</v>
      </c>
      <c r="H27" s="12">
        <v>4.2019233102736e-10</v>
      </c>
      <c r="I27" s="12">
        <v>4.2315823476774e-10</v>
      </c>
      <c r="J27" s="12">
        <v>3.977224320484e-10</v>
      </c>
      <c r="K27" s="12">
        <v>4.3603018793621e-10</v>
      </c>
      <c r="L27" s="12">
        <v>4.2887101062739e-10</v>
      </c>
      <c r="M27" s="12">
        <v>4.2507415304024e-10</v>
      </c>
      <c r="N27" s="12">
        <v>3.4424119982249e-10</v>
      </c>
      <c r="O27" s="12">
        <v>4.178367619613e-10</v>
      </c>
      <c r="P27" s="12">
        <v>3.3668787712861e-10</v>
      </c>
      <c r="Q27" s="12">
        <v>3.5934248329949e-10</v>
      </c>
      <c r="R27" s="12">
        <v>4.0964891488383e-10</v>
      </c>
      <c r="S27" s="12">
        <v>4.0060338005016e-10</v>
      </c>
      <c r="T27" s="12">
        <v>4.2704835182182e-10</v>
      </c>
      <c r="U27" s="12">
        <v>4.0908595097325e-10</v>
      </c>
      <c r="V27" s="12">
        <v>4.1526819383442e-10</v>
      </c>
      <c r="W27" s="12">
        <v>4.2971673034646e-10</v>
      </c>
      <c r="X27" s="12">
        <v>4.4246691590484e-10</v>
      </c>
      <c r="Y27" s="12">
        <v>3.3852952114393e-10</v>
      </c>
      <c r="Z27" s="12">
        <v>3.5014791386734e-10</v>
      </c>
      <c r="AA27" s="12">
        <v>3.5314960329309e-10</v>
      </c>
      <c r="AB27" s="11">
        <v>0.99999287550236</v>
      </c>
      <c r="AC27" s="11">
        <v>0.89062887991195</v>
      </c>
      <c r="AD27" s="11">
        <v>0.0090130644343513</v>
      </c>
      <c r="AE27" s="12">
        <v>9.3100340747177e-12</v>
      </c>
      <c r="AF27" s="12">
        <v>3.902352731985e-12</v>
      </c>
      <c r="AG27" s="12">
        <v>-1.101605702458e-13</v>
      </c>
      <c r="AH27" s="12">
        <v>2.0433808491794e-11</v>
      </c>
      <c r="AI27" s="12">
        <v>-6.5047869648093e-12</v>
      </c>
      <c r="AJ27" s="12">
        <v>4.6722609384167e-12</v>
      </c>
      <c r="AK27" s="12">
        <v>2.0925427344527e-11</v>
      </c>
      <c r="AL27" s="12">
        <v>1.9788100208514e-12</v>
      </c>
      <c r="AM27" s="12">
        <v>3.2163897953477e-11</v>
      </c>
      <c r="AN27" s="12">
        <v>-1.0011160791292e-12</v>
      </c>
      <c r="AO27" s="12">
        <v>2.4161028358372e-11</v>
      </c>
      <c r="AP27" s="12">
        <v>1.2352230775103e-11</v>
      </c>
      <c r="AQ27" s="12">
        <v>1.4959475902693e-13</v>
      </c>
      <c r="AR27" s="12">
        <v>1.93995715767e-11</v>
      </c>
      <c r="AS27" s="12">
        <v>6.5857849200642e-12</v>
      </c>
      <c r="AT27" s="12">
        <v>1.7056637640163e-13</v>
      </c>
      <c r="AU27" s="12">
        <v>1.7141747542709e-11</v>
      </c>
      <c r="AV27" s="12">
        <v>-9.0779399098979e-12</v>
      </c>
      <c r="AW27" s="12">
        <v>7.7684990030646e-12</v>
      </c>
      <c r="AX27" s="12">
        <v>-2.1291353147676e-11</v>
      </c>
      <c r="AY27" s="12">
        <v>-9.272006948319e-12</v>
      </c>
      <c r="AZ27" s="12">
        <v>-4.4095163899399e-12</v>
      </c>
      <c r="BA27" s="12">
        <v>1.4533086449143e-11</v>
      </c>
      <c r="BB27" s="12">
        <v>3.1835180936257e-11</v>
      </c>
      <c r="BC27" s="11">
        <v>14841586.774689</v>
      </c>
      <c r="BD27" s="11">
        <v>3280072.8225741</v>
      </c>
      <c r="BE27" s="11">
        <v>0.0034497462737761</v>
      </c>
      <c r="BF27" s="11">
        <v>0.0032299704779675</v>
      </c>
      <c r="BG27" s="11">
        <v>0.0096495065824961</v>
      </c>
      <c r="BH27" s="11">
        <v>-0.0026127511417752</v>
      </c>
      <c r="BI27" s="11">
        <v>-0.0016903394618302</v>
      </c>
      <c r="BJ27" s="11">
        <v>34.990913292754</v>
      </c>
      <c r="BK27" s="11">
        <v>43.322455897142</v>
      </c>
      <c r="BL27" s="7"/>
    </row>
    <row r="28" spans="1:64">
      <c r="A28" s="11">
        <v>1628464.8396107</v>
      </c>
      <c r="B28" s="11">
        <v>0.0097013481779701</v>
      </c>
      <c r="C28" s="12">
        <f t="shared" si="0"/>
        <v>5.01674641980694e-9</v>
      </c>
      <c r="D28" s="12">
        <v>4.0410237543232e-10</v>
      </c>
      <c r="E28" s="12">
        <v>4.0189293370973e-10</v>
      </c>
      <c r="F28" s="12">
        <v>4.241662948392e-10</v>
      </c>
      <c r="G28" s="12">
        <v>4.192186082888e-10</v>
      </c>
      <c r="H28" s="12">
        <v>4.2485180596237e-10</v>
      </c>
      <c r="I28" s="12">
        <v>4.229719601163e-10</v>
      </c>
      <c r="J28" s="12">
        <v>3.9205691268059e-10</v>
      </c>
      <c r="K28" s="12">
        <v>4.3334629517963e-10</v>
      </c>
      <c r="L28" s="12">
        <v>4.247081659708e-10</v>
      </c>
      <c r="M28" s="12">
        <v>4.1830526160725e-10</v>
      </c>
      <c r="N28" s="12">
        <v>3.4741444487041e-10</v>
      </c>
      <c r="O28" s="12">
        <v>4.1781499059498e-10</v>
      </c>
      <c r="P28" s="12">
        <v>3.3570787444915e-10</v>
      </c>
      <c r="Q28" s="12">
        <v>3.6302328317894e-10</v>
      </c>
      <c r="R28" s="12">
        <v>4.1369813410896e-10</v>
      </c>
      <c r="S28" s="12">
        <v>3.9953375598893e-10</v>
      </c>
      <c r="T28" s="12">
        <v>4.3617841538036e-10</v>
      </c>
      <c r="U28" s="12">
        <v>4.0955192414512e-10</v>
      </c>
      <c r="V28" s="12">
        <v>4.0784781532586e-10</v>
      </c>
      <c r="W28" s="12">
        <v>4.2467512898343e-10</v>
      </c>
      <c r="X28" s="12">
        <v>4.3879840368366e-10</v>
      </c>
      <c r="Y28" s="12">
        <v>3.3835266154458e-10</v>
      </c>
      <c r="Z28" s="12">
        <v>3.5156911103158e-10</v>
      </c>
      <c r="AA28" s="12">
        <v>3.5598182697482e-10</v>
      </c>
      <c r="AB28" s="11">
        <v>0.99993133953946</v>
      </c>
      <c r="AC28" s="11">
        <v>0.88060931973979</v>
      </c>
      <c r="AD28" s="11">
        <v>0.0098496936202893</v>
      </c>
      <c r="AE28" s="12">
        <v>8.4250070966274e-12</v>
      </c>
      <c r="AF28" s="12">
        <v>7.1231260259151e-13</v>
      </c>
      <c r="AG28" s="12">
        <v>-1.3130360554496e-12</v>
      </c>
      <c r="AH28" s="12">
        <v>2.0868859176192e-11</v>
      </c>
      <c r="AI28" s="12">
        <v>-3.3700524883972e-12</v>
      </c>
      <c r="AJ28" s="12">
        <v>6.7168650641378e-12</v>
      </c>
      <c r="AK28" s="12">
        <v>1.9760714076231e-11</v>
      </c>
      <c r="AL28" s="12">
        <v>1.8636625748088e-12</v>
      </c>
      <c r="AM28" s="12">
        <v>3.429699280252e-11</v>
      </c>
      <c r="AN28" s="12">
        <v>-1.971875988564e-12</v>
      </c>
      <c r="AO28" s="12">
        <v>2.7478737115768e-11</v>
      </c>
      <c r="AP28" s="12">
        <v>1.2761392740956e-11</v>
      </c>
      <c r="AQ28" s="12">
        <v>9.6931681292862e-13</v>
      </c>
      <c r="AR28" s="12">
        <v>2.9554979495228e-11</v>
      </c>
      <c r="AS28" s="12">
        <v>1.1529642840336e-11</v>
      </c>
      <c r="AT28" s="12">
        <v>-1.2539928345979e-13</v>
      </c>
      <c r="AU28" s="12">
        <v>2.2486563027784e-11</v>
      </c>
      <c r="AV28" s="12">
        <v>-8.4269406979979e-12</v>
      </c>
      <c r="AW28" s="12">
        <v>9.0638638728296e-12</v>
      </c>
      <c r="AX28" s="12">
        <v>-2.2645464969636e-11</v>
      </c>
      <c r="AY28" s="12">
        <v>-1.0090396957694e-11</v>
      </c>
      <c r="AZ28" s="12">
        <v>-5.6538035955963e-12</v>
      </c>
      <c r="BA28" s="12">
        <v>1.3126823670709e-11</v>
      </c>
      <c r="BB28" s="12">
        <v>3.6010456499174e-11</v>
      </c>
      <c r="BC28" s="11">
        <v>14729546.16467</v>
      </c>
      <c r="BD28" s="11">
        <v>3237614.5308578</v>
      </c>
      <c r="BE28" s="11">
        <v>0.0038274824312133</v>
      </c>
      <c r="BF28" s="11">
        <v>0.0035828703455894</v>
      </c>
      <c r="BG28" s="11">
        <v>0.010497629543669</v>
      </c>
      <c r="BH28" s="11">
        <v>0.0015193606006861</v>
      </c>
      <c r="BI28" s="11">
        <v>0.0017636060197874</v>
      </c>
      <c r="BJ28" s="11">
        <v>34.992535655275</v>
      </c>
      <c r="BK28" s="11">
        <v>43.447682369206</v>
      </c>
      <c r="BL28" s="7"/>
    </row>
    <row r="29" spans="1:64">
      <c r="A29" s="11">
        <v>1769647.9501672</v>
      </c>
      <c r="B29" s="11">
        <v>0.010399501507112</v>
      </c>
      <c r="C29" s="12">
        <f t="shared" si="0"/>
        <v>4.94502016841813e-9</v>
      </c>
      <c r="D29" s="12">
        <v>4.2399683774801e-10</v>
      </c>
      <c r="E29" s="12">
        <v>4.0783088589991e-10</v>
      </c>
      <c r="F29" s="12">
        <v>4.355129449637e-10</v>
      </c>
      <c r="G29" s="12">
        <v>4.290971579637e-10</v>
      </c>
      <c r="H29" s="12">
        <v>4.4701488146672e-10</v>
      </c>
      <c r="I29" s="12">
        <v>4.4764916558994e-10</v>
      </c>
      <c r="J29" s="12">
        <v>4.0999503745812e-10</v>
      </c>
      <c r="K29" s="12">
        <v>4.4360796601538e-10</v>
      </c>
      <c r="L29" s="12">
        <v>4.3910895284483e-10</v>
      </c>
      <c r="M29" s="12">
        <v>4.3629966326208e-10</v>
      </c>
      <c r="N29" s="12">
        <v>3.7468355108559e-10</v>
      </c>
      <c r="O29" s="12">
        <v>4.4537072643729e-10</v>
      </c>
      <c r="P29" s="12">
        <v>3.6081800193484e-10</v>
      </c>
      <c r="Q29" s="12">
        <v>3.8749389078887e-10</v>
      </c>
      <c r="R29" s="12">
        <v>4.238810088839e-10</v>
      </c>
      <c r="S29" s="12">
        <v>4.0706526805589e-10</v>
      </c>
      <c r="T29" s="12">
        <v>4.4447896755988e-10</v>
      </c>
      <c r="U29" s="12">
        <v>4.2895219513351e-10</v>
      </c>
      <c r="V29" s="12">
        <v>4.2150970899565e-10</v>
      </c>
      <c r="W29" s="12">
        <v>4.371134161488e-10</v>
      </c>
      <c r="X29" s="12">
        <v>4.5587428736969e-10</v>
      </c>
      <c r="Y29" s="12">
        <v>3.6343482154649e-10</v>
      </c>
      <c r="Z29" s="12">
        <v>3.798097946963e-10</v>
      </c>
      <c r="AA29" s="12">
        <v>3.8091910597287e-10</v>
      </c>
      <c r="AB29" s="11">
        <v>0.99984295010785</v>
      </c>
      <c r="AC29" s="11">
        <v>0.88058962027988</v>
      </c>
      <c r="AD29" s="11">
        <v>0.010547513264512</v>
      </c>
      <c r="AE29" s="12">
        <v>6.3348410825604e-12</v>
      </c>
      <c r="AF29" s="12">
        <v>-5.9784551394864e-12</v>
      </c>
      <c r="AG29" s="12">
        <v>1.9692836720633e-13</v>
      </c>
      <c r="AH29" s="12">
        <v>1.8750554037971e-11</v>
      </c>
      <c r="AI29" s="12">
        <v>2.4522900454626e-13</v>
      </c>
      <c r="AJ29" s="12">
        <v>1.0970093783774e-11</v>
      </c>
      <c r="AK29" s="12">
        <v>1.9465508669466e-11</v>
      </c>
      <c r="AL29" s="12">
        <v>3.663209688324e-12</v>
      </c>
      <c r="AM29" s="12">
        <v>3.0489549461339e-11</v>
      </c>
      <c r="AN29" s="12">
        <v>-3.1319038938509e-12</v>
      </c>
      <c r="AO29" s="12">
        <v>2.4499658076463e-11</v>
      </c>
      <c r="AP29" s="12">
        <v>1.2074856468691e-11</v>
      </c>
      <c r="AQ29" s="12">
        <v>-6.2048616752773e-12</v>
      </c>
      <c r="AR29" s="12">
        <v>2.0969494460099e-11</v>
      </c>
      <c r="AS29" s="12">
        <v>1.5939128272549e-11</v>
      </c>
      <c r="AT29" s="12">
        <v>-2.7231509638318e-12</v>
      </c>
      <c r="AU29" s="12">
        <v>1.7383117491813e-11</v>
      </c>
      <c r="AV29" s="12">
        <v>-8.4605256129148e-12</v>
      </c>
      <c r="AW29" s="12">
        <v>6.6601772053751e-12</v>
      </c>
      <c r="AX29" s="12">
        <v>-2.1395020229774e-11</v>
      </c>
      <c r="AY29" s="12">
        <v>-1.3283668616127e-11</v>
      </c>
      <c r="AZ29" s="12">
        <v>-2.7063758943599e-12</v>
      </c>
      <c r="BA29" s="12">
        <v>1.2930030468137e-11</v>
      </c>
      <c r="BB29" s="12">
        <v>4.4851007088998e-11</v>
      </c>
      <c r="BC29" s="11">
        <v>14636432.576561</v>
      </c>
      <c r="BD29" s="11">
        <v>3202816.9438019</v>
      </c>
      <c r="BE29" s="11">
        <v>0.0041475092881537</v>
      </c>
      <c r="BF29" s="11">
        <v>0.0038829250545527</v>
      </c>
      <c r="BG29" s="11">
        <v>0.011200687066531</v>
      </c>
      <c r="BH29" s="11">
        <v>0.0057594221436908</v>
      </c>
      <c r="BI29" s="11">
        <v>0.0057571526301833</v>
      </c>
      <c r="BJ29" s="11">
        <v>34.994634822732</v>
      </c>
      <c r="BK29" s="11">
        <v>43.675956670829</v>
      </c>
      <c r="BL29" s="7"/>
    </row>
    <row r="30" spans="1:64">
      <c r="A30" s="11">
        <v>1928424.9308391</v>
      </c>
      <c r="B30" s="11">
        <v>0.01117071014487</v>
      </c>
      <c r="C30" s="12">
        <f t="shared" si="0"/>
        <v>4.85718165501359e-9</v>
      </c>
      <c r="D30" s="12">
        <v>3.7506525926247e-10</v>
      </c>
      <c r="E30" s="12">
        <v>3.7240932547253e-10</v>
      </c>
      <c r="F30" s="12">
        <v>3.9612658728553e-10</v>
      </c>
      <c r="G30" s="12">
        <v>3.9100734472951e-10</v>
      </c>
      <c r="H30" s="12">
        <v>3.9659392188537e-10</v>
      </c>
      <c r="I30" s="12">
        <v>3.9290947541831e-10</v>
      </c>
      <c r="J30" s="12">
        <v>3.6533573909352e-10</v>
      </c>
      <c r="K30" s="12">
        <v>4.0470848800734e-10</v>
      </c>
      <c r="L30" s="12">
        <v>3.9315898701461e-10</v>
      </c>
      <c r="M30" s="12">
        <v>3.9100205280027e-10</v>
      </c>
      <c r="N30" s="12">
        <v>3.2033594129114e-10</v>
      </c>
      <c r="O30" s="12">
        <v>3.9139733674494e-10</v>
      </c>
      <c r="P30" s="12">
        <v>3.1575266560405e-10</v>
      </c>
      <c r="Q30" s="12">
        <v>3.4155401921245e-10</v>
      </c>
      <c r="R30" s="12">
        <v>3.8242761841259e-10</v>
      </c>
      <c r="S30" s="12">
        <v>3.7321483600043e-10</v>
      </c>
      <c r="T30" s="12">
        <v>4.0496272224797e-10</v>
      </c>
      <c r="U30" s="12">
        <v>3.8214917625937e-10</v>
      </c>
      <c r="V30" s="12">
        <v>3.790091215379e-10</v>
      </c>
      <c r="W30" s="12">
        <v>3.960862233621e-10</v>
      </c>
      <c r="X30" s="12">
        <v>4.1112286050089e-10</v>
      </c>
      <c r="Y30" s="12">
        <v>3.1411872272695e-10</v>
      </c>
      <c r="Z30" s="12">
        <v>3.2975747140131e-10</v>
      </c>
      <c r="AA30" s="12">
        <v>3.3519130811174e-10</v>
      </c>
      <c r="AB30" s="11">
        <v>0.99999278217096</v>
      </c>
      <c r="AC30" s="11">
        <v>0.88629400559998</v>
      </c>
      <c r="AD30" s="11">
        <v>0.011318900368587</v>
      </c>
      <c r="AE30" s="12">
        <v>1.0487018838586e-11</v>
      </c>
      <c r="AF30" s="12">
        <v>1.4603363583545e-12</v>
      </c>
      <c r="AG30" s="12">
        <v>-7.6818384842315e-13</v>
      </c>
      <c r="AH30" s="12">
        <v>1.7515586723395e-11</v>
      </c>
      <c r="AI30" s="12">
        <v>-8.4780025384727e-12</v>
      </c>
      <c r="AJ30" s="12">
        <v>2.0102770408176e-12</v>
      </c>
      <c r="AK30" s="12">
        <v>1.8611405363573e-11</v>
      </c>
      <c r="AL30" s="12">
        <v>2.7349486812672e-12</v>
      </c>
      <c r="AM30" s="12">
        <v>2.8220336157345e-11</v>
      </c>
      <c r="AN30" s="12">
        <v>-1.0227159446481e-12</v>
      </c>
      <c r="AO30" s="12">
        <v>2.1974297093618e-11</v>
      </c>
      <c r="AP30" s="12">
        <v>1.2639337775197e-11</v>
      </c>
      <c r="AQ30" s="12">
        <v>5.8463471435379e-13</v>
      </c>
      <c r="AR30" s="12">
        <v>1.9291277283179e-11</v>
      </c>
      <c r="AS30" s="12">
        <v>6.169018177058e-12</v>
      </c>
      <c r="AT30" s="12">
        <v>2.6492009823577e-13</v>
      </c>
      <c r="AU30" s="12">
        <v>1.6798419781194e-11</v>
      </c>
      <c r="AV30" s="12">
        <v>-8.9624583993703e-12</v>
      </c>
      <c r="AW30" s="12">
        <v>7.1767286457428e-12</v>
      </c>
      <c r="AX30" s="12">
        <v>-1.8407557316847e-11</v>
      </c>
      <c r="AY30" s="12">
        <v>-8.2850139578068e-12</v>
      </c>
      <c r="AZ30" s="12">
        <v>-3.3011483511432e-12</v>
      </c>
      <c r="BA30" s="12">
        <v>1.3840006349723e-11</v>
      </c>
      <c r="BB30" s="12">
        <v>2.9749142712644e-11</v>
      </c>
      <c r="BC30" s="11">
        <v>14533220.680047</v>
      </c>
      <c r="BD30" s="11">
        <v>3164069.467363</v>
      </c>
      <c r="BE30" s="11">
        <v>0.0045082325570059</v>
      </c>
      <c r="BF30" s="11">
        <v>0.0042197943145898</v>
      </c>
      <c r="BG30" s="11">
        <v>0.011973279183376</v>
      </c>
      <c r="BH30" s="11">
        <v>-0.0018695574264007</v>
      </c>
      <c r="BI30" s="11">
        <v>-0.00253735670733</v>
      </c>
      <c r="BJ30" s="11">
        <v>34.988826431477</v>
      </c>
      <c r="BK30" s="11">
        <v>43.411960390541</v>
      </c>
      <c r="BL30" s="7"/>
    </row>
    <row r="31" spans="1:64">
      <c r="A31" s="11">
        <v>2109271.0766633</v>
      </c>
      <c r="B31" s="11">
        <v>0.01201633583279</v>
      </c>
      <c r="C31" s="12">
        <f t="shared" si="0"/>
        <v>4.67593978332295e-9</v>
      </c>
      <c r="D31" s="12">
        <v>3.7710295645585e-10</v>
      </c>
      <c r="E31" s="12">
        <v>3.6544364007023e-10</v>
      </c>
      <c r="F31" s="12">
        <v>3.9067355318983e-10</v>
      </c>
      <c r="G31" s="12">
        <v>3.8370483555507e-10</v>
      </c>
      <c r="H31" s="12">
        <v>4.0068485725161e-10</v>
      </c>
      <c r="I31" s="12">
        <v>3.984722730593e-10</v>
      </c>
      <c r="J31" s="12">
        <v>3.6506554247239e-10</v>
      </c>
      <c r="K31" s="12">
        <v>3.9288057432095e-10</v>
      </c>
      <c r="L31" s="12">
        <v>3.8474092003277e-10</v>
      </c>
      <c r="M31" s="12">
        <v>3.80698571074e-10</v>
      </c>
      <c r="N31" s="12">
        <v>3.2439883445514e-10</v>
      </c>
      <c r="O31" s="12">
        <v>3.9549380674158e-10</v>
      </c>
      <c r="P31" s="12">
        <v>3.1755581393153e-10</v>
      </c>
      <c r="Q31" s="12">
        <v>3.4410942346758e-10</v>
      </c>
      <c r="R31" s="12">
        <v>3.7713942853609e-10</v>
      </c>
      <c r="S31" s="12">
        <v>3.6532713198906e-10</v>
      </c>
      <c r="T31" s="12">
        <v>3.9893446243937e-10</v>
      </c>
      <c r="U31" s="12">
        <v>3.8487262694189e-10</v>
      </c>
      <c r="V31" s="12">
        <v>3.6918569135337e-10</v>
      </c>
      <c r="W31" s="12">
        <v>3.8554875937941e-10</v>
      </c>
      <c r="X31" s="12">
        <v>4.0057961043206e-10</v>
      </c>
      <c r="Y31" s="12">
        <v>3.1695958838329e-10</v>
      </c>
      <c r="Z31" s="12">
        <v>3.3263306750406e-10</v>
      </c>
      <c r="AA31" s="12">
        <v>3.3715794642824e-10</v>
      </c>
      <c r="AB31" s="11">
        <v>0.99997471721025</v>
      </c>
      <c r="AC31" s="11">
        <v>0.88352134128706</v>
      </c>
      <c r="AD31" s="11">
        <v>0.012164381454649</v>
      </c>
      <c r="AE31" s="12">
        <v>8.0008495166221e-12</v>
      </c>
      <c r="AF31" s="12">
        <v>-5.6242516163579e-12</v>
      </c>
      <c r="AG31" s="12">
        <v>-1.0336309361667e-12</v>
      </c>
      <c r="AH31" s="12">
        <v>1.6299151367096e-11</v>
      </c>
      <c r="AI31" s="12">
        <v>-7.6613651568255e-12</v>
      </c>
      <c r="AJ31" s="12">
        <v>8.2657780446873e-12</v>
      </c>
      <c r="AK31" s="12">
        <v>1.698213955733e-11</v>
      </c>
      <c r="AL31" s="12">
        <v>2.2804733858401e-12</v>
      </c>
      <c r="AM31" s="12">
        <v>2.7579147665052e-11</v>
      </c>
      <c r="AN31" s="12">
        <v>-1.1866132985209e-13</v>
      </c>
      <c r="AO31" s="12">
        <v>2.1713854756104e-11</v>
      </c>
      <c r="AP31" s="12">
        <v>1.600270719316e-11</v>
      </c>
      <c r="AQ31" s="12">
        <v>-3.9640404919888e-13</v>
      </c>
      <c r="AR31" s="12">
        <v>1.8441504108343e-11</v>
      </c>
      <c r="AS31" s="12">
        <v>8.8490471488042e-12</v>
      </c>
      <c r="AT31" s="12">
        <v>-4.9328789341106e-13</v>
      </c>
      <c r="AU31" s="12">
        <v>1.4498054349823e-11</v>
      </c>
      <c r="AV31" s="12">
        <v>-7.681194554551e-12</v>
      </c>
      <c r="AW31" s="12">
        <v>6.4810138015538e-12</v>
      </c>
      <c r="AX31" s="12">
        <v>-1.8675935872805e-11</v>
      </c>
      <c r="AY31" s="12">
        <v>-7.4822964341849e-12</v>
      </c>
      <c r="AZ31" s="12">
        <v>-3.7236050837692e-12</v>
      </c>
      <c r="BA31" s="12">
        <v>1.2917229212898e-11</v>
      </c>
      <c r="BB31" s="12">
        <v>2.9756620736159e-11</v>
      </c>
      <c r="BC31" s="11">
        <v>14420615.882225</v>
      </c>
      <c r="BD31" s="11">
        <v>3122240.7239859</v>
      </c>
      <c r="BE31" s="11">
        <v>0.0049018372795347</v>
      </c>
      <c r="BF31" s="11">
        <v>0.0045879868039411</v>
      </c>
      <c r="BG31" s="11">
        <v>0.01281791211778</v>
      </c>
      <c r="BH31" s="11">
        <v>-0.00083981700884045</v>
      </c>
      <c r="BI31" s="12">
        <v>-9.1115001694334e-5</v>
      </c>
      <c r="BJ31" s="11">
        <v>34.987254847457</v>
      </c>
      <c r="BK31" s="11">
        <v>43.435697303248</v>
      </c>
      <c r="BL31" s="7"/>
    </row>
    <row r="32" spans="1:64">
      <c r="A32" s="11">
        <v>2306363.3071318</v>
      </c>
      <c r="B32" s="11">
        <v>0.012910041904007</v>
      </c>
      <c r="C32" s="12">
        <f t="shared" si="0"/>
        <v>4.53445612286495e-9</v>
      </c>
      <c r="D32" s="12">
        <v>3.550496320827e-10</v>
      </c>
      <c r="E32" s="12">
        <v>3.4972518727015e-10</v>
      </c>
      <c r="F32" s="12">
        <v>3.7731280772674e-10</v>
      </c>
      <c r="G32" s="12">
        <v>3.7011987797327e-10</v>
      </c>
      <c r="H32" s="12">
        <v>3.8385619055299e-10</v>
      </c>
      <c r="I32" s="12">
        <v>3.7615795886015e-10</v>
      </c>
      <c r="J32" s="12">
        <v>3.4417702801423e-10</v>
      </c>
      <c r="K32" s="12">
        <v>3.8222310898007e-10</v>
      </c>
      <c r="L32" s="12">
        <v>3.7014077686465e-10</v>
      </c>
      <c r="M32" s="12">
        <v>3.6884930411828e-10</v>
      </c>
      <c r="N32" s="12">
        <v>3.0831856449601e-10</v>
      </c>
      <c r="O32" s="12">
        <v>3.8017410833242e-10</v>
      </c>
      <c r="P32" s="12">
        <v>3.0422244770702e-10</v>
      </c>
      <c r="Q32" s="12">
        <v>3.3034346292893e-10</v>
      </c>
      <c r="R32" s="12">
        <v>3.6181429994803e-10</v>
      </c>
      <c r="S32" s="12">
        <v>3.5047955697422e-10</v>
      </c>
      <c r="T32" s="12">
        <v>3.8624588201689e-10</v>
      </c>
      <c r="U32" s="12">
        <v>3.6448037060806e-10</v>
      </c>
      <c r="V32" s="12">
        <v>3.5615135783274e-10</v>
      </c>
      <c r="W32" s="12">
        <v>3.7254995530648e-10</v>
      </c>
      <c r="X32" s="12">
        <v>3.8968297460147e-10</v>
      </c>
      <c r="Y32" s="12">
        <v>3.0154304647968e-10</v>
      </c>
      <c r="Z32" s="12">
        <v>3.1873134901219e-10</v>
      </c>
      <c r="AA32" s="12">
        <v>3.2414625692611e-10</v>
      </c>
      <c r="AB32" s="11">
        <v>0.99995290071062</v>
      </c>
      <c r="AC32" s="11">
        <v>0.88424993198255</v>
      </c>
      <c r="AD32" s="11">
        <v>0.013058011975</v>
      </c>
      <c r="AE32" s="12">
        <v>7.9771133585798e-12</v>
      </c>
      <c r="AF32" s="12">
        <v>5.8155300741484e-13</v>
      </c>
      <c r="AG32" s="12">
        <v>2.2062072991645e-13</v>
      </c>
      <c r="AH32" s="12">
        <v>1.6111250985555e-11</v>
      </c>
      <c r="AI32" s="12">
        <v>-1.0149430667918e-11</v>
      </c>
      <c r="AJ32" s="12">
        <v>3.4479675290622e-12</v>
      </c>
      <c r="AK32" s="12">
        <v>1.6441648214337e-11</v>
      </c>
      <c r="AL32" s="12">
        <v>3.2919185723546e-12</v>
      </c>
      <c r="AM32" s="12">
        <v>2.51352055865e-11</v>
      </c>
      <c r="AN32" s="12">
        <v>8.9667777181088e-14</v>
      </c>
      <c r="AO32" s="12">
        <v>1.922234970275e-11</v>
      </c>
      <c r="AP32" s="12">
        <v>1.239604722039e-11</v>
      </c>
      <c r="AQ32" s="12">
        <v>5.3333814594035e-13</v>
      </c>
      <c r="AR32" s="12">
        <v>1.8023419116674e-11</v>
      </c>
      <c r="AS32" s="12">
        <v>8.5862112641559e-12</v>
      </c>
      <c r="AT32" s="12">
        <v>3.4576885702115e-13</v>
      </c>
      <c r="AU32" s="12">
        <v>1.5217489710745e-11</v>
      </c>
      <c r="AV32" s="12">
        <v>-9.7577308501973e-12</v>
      </c>
      <c r="AW32" s="12">
        <v>4.907522507336e-12</v>
      </c>
      <c r="AX32" s="12">
        <v>-1.6988229139732e-11</v>
      </c>
      <c r="AY32" s="12">
        <v>-8.3388302997445e-12</v>
      </c>
      <c r="AZ32" s="12">
        <v>-2.0345767058518e-12</v>
      </c>
      <c r="BA32" s="12">
        <v>1.2439493502637e-11</v>
      </c>
      <c r="BB32" s="12">
        <v>2.8255198205422e-11</v>
      </c>
      <c r="BC32" s="11">
        <v>14301815.101538</v>
      </c>
      <c r="BD32" s="11">
        <v>3078742.2729519</v>
      </c>
      <c r="BE32" s="11">
        <v>0.0053207427622003</v>
      </c>
      <c r="BF32" s="11">
        <v>0.0049800279071489</v>
      </c>
      <c r="BG32" s="11">
        <v>0.01370666337556</v>
      </c>
      <c r="BH32" s="11">
        <v>-0.0064823069888342</v>
      </c>
      <c r="BI32" s="11">
        <v>-0.006203076140427</v>
      </c>
      <c r="BJ32" s="11">
        <v>34.980614428502</v>
      </c>
      <c r="BK32" s="11">
        <v>43.365630664112</v>
      </c>
      <c r="BL32" s="7"/>
    </row>
    <row r="33" spans="1:64">
      <c r="A33" s="11">
        <v>2527698.5835741</v>
      </c>
      <c r="B33" s="11">
        <v>0.013881652115506</v>
      </c>
      <c r="C33" s="12">
        <f t="shared" si="0"/>
        <v>4.38976663420523e-9</v>
      </c>
      <c r="D33" s="12">
        <v>3.4227805736171e-10</v>
      </c>
      <c r="E33" s="12">
        <v>3.3837676731261e-10</v>
      </c>
      <c r="F33" s="12">
        <v>3.68766350894e-10</v>
      </c>
      <c r="G33" s="12">
        <v>3.6047504291665e-10</v>
      </c>
      <c r="H33" s="12">
        <v>3.7132863866081e-10</v>
      </c>
      <c r="I33" s="12">
        <v>3.6239976878888e-10</v>
      </c>
      <c r="J33" s="12">
        <v>3.3217387203651e-10</v>
      </c>
      <c r="K33" s="12">
        <v>3.6992280354922e-10</v>
      </c>
      <c r="L33" s="12">
        <v>3.5750047814198e-10</v>
      </c>
      <c r="M33" s="12">
        <v>3.5547544944911e-10</v>
      </c>
      <c r="N33" s="12">
        <v>2.9999112949365e-10</v>
      </c>
      <c r="O33" s="12">
        <v>3.64749717965e-10</v>
      </c>
      <c r="P33" s="12">
        <v>2.9489184897875e-10</v>
      </c>
      <c r="Q33" s="12">
        <v>3.2175698829083e-10</v>
      </c>
      <c r="R33" s="12">
        <v>3.5182212554406e-10</v>
      </c>
      <c r="S33" s="12">
        <v>3.3968879793919e-10</v>
      </c>
      <c r="T33" s="12">
        <v>3.7726362337457e-10</v>
      </c>
      <c r="U33" s="12">
        <v>3.5371205437275e-10</v>
      </c>
      <c r="V33" s="12">
        <v>3.421361151332e-10</v>
      </c>
      <c r="W33" s="12">
        <v>3.6116124843372e-10</v>
      </c>
      <c r="X33" s="12">
        <v>3.7685394439448e-10</v>
      </c>
      <c r="Y33" s="12">
        <v>2.9080503005093e-10</v>
      </c>
      <c r="Z33" s="12">
        <v>3.1162989873184e-10</v>
      </c>
      <c r="AA33" s="12">
        <v>3.1526162962801e-10</v>
      </c>
      <c r="AB33" s="11">
        <v>0.99991365533605</v>
      </c>
      <c r="AC33" s="11">
        <v>0.88185443282727</v>
      </c>
      <c r="AD33" s="11">
        <v>0.014029338540888</v>
      </c>
      <c r="AE33" s="12">
        <v>8.4845818034943e-12</v>
      </c>
      <c r="AF33" s="12">
        <v>5.5246356619425e-13</v>
      </c>
      <c r="AG33" s="12">
        <v>1.1673541296842e-12</v>
      </c>
      <c r="AH33" s="12">
        <v>1.4516907632907e-11</v>
      </c>
      <c r="AI33" s="12">
        <v>-1.1434224710343e-11</v>
      </c>
      <c r="AJ33" s="12">
        <v>3.1650866789316e-12</v>
      </c>
      <c r="AK33" s="12">
        <v>1.5773424720643e-11</v>
      </c>
      <c r="AL33" s="12">
        <v>3.4749456489952e-12</v>
      </c>
      <c r="AM33" s="12">
        <v>2.4599922550086e-11</v>
      </c>
      <c r="AN33" s="12">
        <v>1.4405308789756e-13</v>
      </c>
      <c r="AO33" s="12">
        <v>1.8869190425012e-11</v>
      </c>
      <c r="AP33" s="12">
        <v>1.4018517532362e-11</v>
      </c>
      <c r="AQ33" s="12">
        <v>1.6693768331866e-13</v>
      </c>
      <c r="AR33" s="12">
        <v>1.6765931902796e-11</v>
      </c>
      <c r="AS33" s="12">
        <v>7.7087525947603e-12</v>
      </c>
      <c r="AT33" s="12">
        <v>3.1955908583238e-13</v>
      </c>
      <c r="AU33" s="12">
        <v>1.3273245890385e-11</v>
      </c>
      <c r="AV33" s="12">
        <v>-9.9264344210681e-12</v>
      </c>
      <c r="AW33" s="12">
        <v>4.5781288524332e-12</v>
      </c>
      <c r="AX33" s="12">
        <v>-1.621241406082e-11</v>
      </c>
      <c r="AY33" s="12">
        <v>-8.3260809834462e-12</v>
      </c>
      <c r="AZ33" s="12">
        <v>-2.3587848836821e-12</v>
      </c>
      <c r="BA33" s="12">
        <v>1.2295667464961e-11</v>
      </c>
      <c r="BB33" s="12">
        <v>2.6901963269638e-11</v>
      </c>
      <c r="BC33" s="11">
        <v>14173058.608064</v>
      </c>
      <c r="BD33" s="11">
        <v>3032114.5955789</v>
      </c>
      <c r="BE33" s="11">
        <v>0.0057799489764804</v>
      </c>
      <c r="BF33" s="11">
        <v>0.0054092170503935</v>
      </c>
      <c r="BG33" s="11">
        <v>0.014668103436602</v>
      </c>
      <c r="BH33" s="11">
        <v>-0.015490438258526</v>
      </c>
      <c r="BI33" s="11">
        <v>-0.015241872248717</v>
      </c>
      <c r="BJ33" s="11">
        <v>34.971836021212</v>
      </c>
      <c r="BK33" s="11">
        <v>43.283721816397</v>
      </c>
      <c r="BL33" s="7"/>
    </row>
    <row r="34" spans="1:64">
      <c r="A34" s="11">
        <v>2634192.0686374</v>
      </c>
      <c r="B34" s="11">
        <v>0.014338363921399</v>
      </c>
      <c r="C34" s="12">
        <f t="shared" si="0"/>
        <v>4.28863611348177e-9</v>
      </c>
      <c r="D34" s="12">
        <v>3.3745019960868e-10</v>
      </c>
      <c r="E34" s="12">
        <v>3.3233072463492e-10</v>
      </c>
      <c r="F34" s="12">
        <v>3.6197815604378e-10</v>
      </c>
      <c r="G34" s="12">
        <v>3.5460746500905e-10</v>
      </c>
      <c r="H34" s="12">
        <v>3.6679094280062e-10</v>
      </c>
      <c r="I34" s="12">
        <v>3.576932750133e-10</v>
      </c>
      <c r="J34" s="12">
        <v>3.2693662886218e-10</v>
      </c>
      <c r="K34" s="12">
        <v>3.6514690259857e-10</v>
      </c>
      <c r="L34" s="12">
        <v>3.5236983237691e-10</v>
      </c>
      <c r="M34" s="12">
        <v>3.5115796960944e-10</v>
      </c>
      <c r="N34" s="12">
        <v>2.9399305236793e-10</v>
      </c>
      <c r="O34" s="12">
        <v>3.6056927911063e-10</v>
      </c>
      <c r="P34" s="12">
        <v>2.9056713123005e-10</v>
      </c>
      <c r="Q34" s="12">
        <v>3.1759924484596e-10</v>
      </c>
      <c r="R34" s="12">
        <v>3.4490199082947e-10</v>
      </c>
      <c r="S34" s="12">
        <v>3.3373365428439e-10</v>
      </c>
      <c r="T34" s="12">
        <v>3.7149394380789e-10</v>
      </c>
      <c r="U34" s="12">
        <v>3.4878255752271e-10</v>
      </c>
      <c r="V34" s="12">
        <v>3.378679330073e-10</v>
      </c>
      <c r="W34" s="12">
        <v>3.5538241795285e-10</v>
      </c>
      <c r="X34" s="12">
        <v>3.72828668226e-10</v>
      </c>
      <c r="Y34" s="12">
        <v>2.8625737164718e-10</v>
      </c>
      <c r="Z34" s="12">
        <v>3.0606777670732e-10</v>
      </c>
      <c r="AA34" s="12">
        <v>3.1093937866665e-10</v>
      </c>
      <c r="AB34" s="11">
        <v>0.99994804728657</v>
      </c>
      <c r="AC34" s="11">
        <v>0.88343851744446</v>
      </c>
      <c r="AD34" s="11">
        <v>0.014485956807743</v>
      </c>
      <c r="AE34" s="12">
        <v>8.3460215792122e-12</v>
      </c>
      <c r="AF34" s="12">
        <v>1.8359903255456e-13</v>
      </c>
      <c r="AG34" s="12">
        <v>6.5909063524596e-13</v>
      </c>
      <c r="AH34" s="12">
        <v>1.401451874931e-11</v>
      </c>
      <c r="AI34" s="12">
        <v>-1.3123358617849e-11</v>
      </c>
      <c r="AJ34" s="12">
        <v>3.2585528941952e-12</v>
      </c>
      <c r="AK34" s="12">
        <v>1.5624774637973e-11</v>
      </c>
      <c r="AL34" s="12">
        <v>3.1440631739922e-12</v>
      </c>
      <c r="AM34" s="12">
        <v>2.3948346529812e-11</v>
      </c>
      <c r="AN34" s="12">
        <v>2.028348363738e-13</v>
      </c>
      <c r="AO34" s="12">
        <v>1.8053257722917e-11</v>
      </c>
      <c r="AP34" s="12">
        <v>1.5315117423877e-11</v>
      </c>
      <c r="AQ34" s="12">
        <v>2.3364854956829e-13</v>
      </c>
      <c r="AR34" s="12">
        <v>1.6317022932687e-11</v>
      </c>
      <c r="AS34" s="12">
        <v>7.4670737212392e-12</v>
      </c>
      <c r="AT34" s="12">
        <v>1.7724593729431e-13</v>
      </c>
      <c r="AU34" s="12">
        <v>1.2498048280062e-11</v>
      </c>
      <c r="AV34" s="12">
        <v>-1.0573859796233e-11</v>
      </c>
      <c r="AW34" s="12">
        <v>4.6507042811706e-12</v>
      </c>
      <c r="AX34" s="12">
        <v>-1.5721986723367e-11</v>
      </c>
      <c r="AY34" s="12">
        <v>-7.4930854678693e-12</v>
      </c>
      <c r="AZ34" s="12">
        <v>-1.8947086112741e-12</v>
      </c>
      <c r="BA34" s="12">
        <v>1.1652583506051e-11</v>
      </c>
      <c r="BB34" s="12">
        <v>2.6367147788278e-11</v>
      </c>
      <c r="BC34" s="11">
        <v>14112697.779215</v>
      </c>
      <c r="BD34" s="11">
        <v>3010283.0414673</v>
      </c>
      <c r="BE34" s="11">
        <v>0.0059971628429946</v>
      </c>
      <c r="BF34" s="11">
        <v>0.0056125402047342</v>
      </c>
      <c r="BG34" s="11">
        <v>0.015118420003133</v>
      </c>
      <c r="BH34" s="11">
        <v>-0.0034127799828642</v>
      </c>
      <c r="BI34" s="11">
        <v>-0.0036814337417556</v>
      </c>
      <c r="BJ34" s="11">
        <v>34.980839446022</v>
      </c>
      <c r="BK34" s="11">
        <v>43.25275678828</v>
      </c>
      <c r="BL34" s="7"/>
    </row>
    <row r="35" spans="1:64">
      <c r="A35" s="11">
        <v>2868563.0134158</v>
      </c>
      <c r="B35" s="11">
        <v>0.015320834321396</v>
      </c>
      <c r="C35" s="12">
        <f t="shared" si="0"/>
        <v>4.19194623687648e-9</v>
      </c>
      <c r="D35" s="12">
        <v>3.24590490189e-10</v>
      </c>
      <c r="E35" s="12">
        <v>3.240427435279e-10</v>
      </c>
      <c r="F35" s="12">
        <v>3.5464004547294e-10</v>
      </c>
      <c r="G35" s="12">
        <v>3.4482880497353e-10</v>
      </c>
      <c r="H35" s="12">
        <v>3.5881665866326e-10</v>
      </c>
      <c r="I35" s="12">
        <v>3.4631191981803e-10</v>
      </c>
      <c r="J35" s="12">
        <v>3.129522242677e-10</v>
      </c>
      <c r="K35" s="12">
        <v>3.5364960505456e-10</v>
      </c>
      <c r="L35" s="12">
        <v>3.407117185093e-10</v>
      </c>
      <c r="M35" s="12">
        <v>3.3849886674117e-10</v>
      </c>
      <c r="N35" s="12">
        <v>2.8515895465103e-10</v>
      </c>
      <c r="O35" s="12">
        <v>3.5624586727841e-10</v>
      </c>
      <c r="P35" s="12">
        <v>2.8178762266016e-10</v>
      </c>
      <c r="Q35" s="12">
        <v>3.0863446957706e-10</v>
      </c>
      <c r="R35" s="12">
        <v>3.3670413393798e-10</v>
      </c>
      <c r="S35" s="12">
        <v>3.2517759421701e-10</v>
      </c>
      <c r="T35" s="12">
        <v>3.6238417602809e-10</v>
      </c>
      <c r="U35" s="12">
        <v>3.3401868672234e-10</v>
      </c>
      <c r="V35" s="12">
        <v>3.2528489489584e-10</v>
      </c>
      <c r="W35" s="12">
        <v>3.4499795331573e-10</v>
      </c>
      <c r="X35" s="12">
        <v>3.6066856717644e-10</v>
      </c>
      <c r="Y35" s="12">
        <v>2.7726247028323e-10</v>
      </c>
      <c r="Z35" s="12">
        <v>2.9719592522668e-10</v>
      </c>
      <c r="AA35" s="12">
        <v>3.0184497147087e-10</v>
      </c>
      <c r="AB35" s="11">
        <v>0.99992480362599</v>
      </c>
      <c r="AC35" s="11">
        <v>0.88396018703435</v>
      </c>
      <c r="AD35" s="11">
        <v>0.015468149000786</v>
      </c>
      <c r="AE35" s="12">
        <v>9.0929009151863e-12</v>
      </c>
      <c r="AF35" s="12">
        <v>5.1982538619713e-13</v>
      </c>
      <c r="AG35" s="12">
        <v>-2.4991372911735e-13</v>
      </c>
      <c r="AH35" s="12">
        <v>1.3375491559572e-11</v>
      </c>
      <c r="AI35" s="12">
        <v>-9.7477786474343e-12</v>
      </c>
      <c r="AJ35" s="12">
        <v>1.1055472630316e-12</v>
      </c>
      <c r="AK35" s="12">
        <v>1.4308434248619e-11</v>
      </c>
      <c r="AL35" s="12">
        <v>3.1813778701461e-12</v>
      </c>
      <c r="AM35" s="12">
        <v>2.336329838248e-11</v>
      </c>
      <c r="AN35" s="12">
        <v>-6.1631567422351e-13</v>
      </c>
      <c r="AO35" s="12">
        <v>1.7033243210429e-11</v>
      </c>
      <c r="AP35" s="12">
        <v>1.0856638741976e-11</v>
      </c>
      <c r="AQ35" s="12">
        <v>1.4529220636087e-13</v>
      </c>
      <c r="AR35" s="12">
        <v>1.5611673006615e-11</v>
      </c>
      <c r="AS35" s="12">
        <v>5.3486521491594e-12</v>
      </c>
      <c r="AT35" s="12">
        <v>2.9028639811987e-14</v>
      </c>
      <c r="AU35" s="12">
        <v>1.1251488737039e-11</v>
      </c>
      <c r="AV35" s="12">
        <v>-9.0428648703506e-12</v>
      </c>
      <c r="AW35" s="12">
        <v>4.3613917171627e-12</v>
      </c>
      <c r="AX35" s="12">
        <v>-1.5930868172012e-11</v>
      </c>
      <c r="AY35" s="12">
        <v>-8.2995145331338e-12</v>
      </c>
      <c r="AZ35" s="12">
        <v>-2.1117574021618e-12</v>
      </c>
      <c r="BA35" s="12">
        <v>1.1523097364328e-11</v>
      </c>
      <c r="BB35" s="12">
        <v>2.5462565595039e-11</v>
      </c>
      <c r="BC35" s="11">
        <v>13983205.256802</v>
      </c>
      <c r="BD35" s="11">
        <v>2963751.3814665</v>
      </c>
      <c r="BE35" s="11">
        <v>0.0064678038747744</v>
      </c>
      <c r="BF35" s="11">
        <v>0.0060520335554518</v>
      </c>
      <c r="BG35" s="11">
        <v>0.01608294009582</v>
      </c>
      <c r="BH35" s="11">
        <v>0.0041343897587573</v>
      </c>
      <c r="BI35" s="11">
        <v>0.0039506562250053</v>
      </c>
      <c r="BJ35" s="11">
        <v>34.985486572737</v>
      </c>
      <c r="BK35" s="11">
        <v>43.177638437956</v>
      </c>
      <c r="BL35" s="7"/>
    </row>
    <row r="36" spans="1:64">
      <c r="A36" s="11">
        <v>3071444.2789802</v>
      </c>
      <c r="B36" s="11">
        <v>0.016146950527648</v>
      </c>
      <c r="C36" s="12">
        <f t="shared" ref="C36:C67" si="1">(B36-B35)/(A36-A35)</f>
        <v>4.07191962231607e-9</v>
      </c>
      <c r="D36" s="12">
        <v>3.158317907917e-10</v>
      </c>
      <c r="E36" s="12">
        <v>3.1289682645711e-10</v>
      </c>
      <c r="F36" s="12">
        <v>3.4402158126662e-10</v>
      </c>
      <c r="G36" s="12">
        <v>3.3544732492877e-10</v>
      </c>
      <c r="H36" s="12">
        <v>3.4858626745387e-10</v>
      </c>
      <c r="I36" s="12">
        <v>3.3655374582613e-10</v>
      </c>
      <c r="J36" s="12">
        <v>3.0495636746849e-10</v>
      </c>
      <c r="K36" s="12">
        <v>3.4439014630182e-10</v>
      </c>
      <c r="L36" s="12">
        <v>3.309268440998e-10</v>
      </c>
      <c r="M36" s="12">
        <v>3.2905165771597e-10</v>
      </c>
      <c r="N36" s="12">
        <v>2.7697115509328e-10</v>
      </c>
      <c r="O36" s="12">
        <v>3.4328758776654e-10</v>
      </c>
      <c r="P36" s="12">
        <v>2.7483477878594e-10</v>
      </c>
      <c r="Q36" s="12">
        <v>3.0130283553802e-10</v>
      </c>
      <c r="R36" s="12">
        <v>3.2577559006533e-10</v>
      </c>
      <c r="S36" s="12">
        <v>3.1468871560977e-10</v>
      </c>
      <c r="T36" s="12">
        <v>3.5287301037499e-10</v>
      </c>
      <c r="U36" s="12">
        <v>3.2729879502015e-10</v>
      </c>
      <c r="V36" s="12">
        <v>3.1627327468452e-10</v>
      </c>
      <c r="W36" s="12">
        <v>3.3524414643639e-10</v>
      </c>
      <c r="X36" s="12">
        <v>3.5115496235396e-10</v>
      </c>
      <c r="Y36" s="12">
        <v>2.6927942551663e-10</v>
      </c>
      <c r="Z36" s="12">
        <v>2.901619720182e-10</v>
      </c>
      <c r="AA36" s="12">
        <v>2.9446983321312e-10</v>
      </c>
      <c r="AB36" s="11">
        <v>0.99992928264298</v>
      </c>
      <c r="AC36" s="11">
        <v>0.88390428382656</v>
      </c>
      <c r="AD36" s="11">
        <v>0.016293979964386</v>
      </c>
      <c r="AE36" s="12">
        <v>8.9776942007313e-12</v>
      </c>
      <c r="AF36" s="12">
        <v>3.2089310238239e-13</v>
      </c>
      <c r="AG36" s="12">
        <v>8.2399059725272e-14</v>
      </c>
      <c r="AH36" s="12">
        <v>1.2280171283162e-11</v>
      </c>
      <c r="AI36" s="12">
        <v>-1.1434244085315e-11</v>
      </c>
      <c r="AJ36" s="12">
        <v>1.3567518332979e-12</v>
      </c>
      <c r="AK36" s="12">
        <v>1.383059445356e-11</v>
      </c>
      <c r="AL36" s="12">
        <v>2.9078020657849e-12</v>
      </c>
      <c r="AM36" s="12">
        <v>2.1985115837681e-11</v>
      </c>
      <c r="AN36" s="12">
        <v>-1.9900879027197e-13</v>
      </c>
      <c r="AO36" s="12">
        <v>1.6262806135896e-11</v>
      </c>
      <c r="AP36" s="12">
        <v>1.209144051745e-11</v>
      </c>
      <c r="AQ36" s="12">
        <v>5.949071800677e-14</v>
      </c>
      <c r="AR36" s="12">
        <v>1.4999489563758e-11</v>
      </c>
      <c r="AS36" s="12">
        <v>5.653414067505e-12</v>
      </c>
      <c r="AT36" s="12">
        <v>1.7991142131564e-13</v>
      </c>
      <c r="AU36" s="12">
        <v>1.0295313095525e-11</v>
      </c>
      <c r="AV36" s="12">
        <v>-9.4224034113665e-12</v>
      </c>
      <c r="AW36" s="12">
        <v>4.0172753290593e-12</v>
      </c>
      <c r="AX36" s="12">
        <v>-1.4770689103479e-11</v>
      </c>
      <c r="AY36" s="12">
        <v>-7.4451626078383e-12</v>
      </c>
      <c r="AZ36" s="12">
        <v>-1.9571247361193e-12</v>
      </c>
      <c r="BA36" s="12">
        <v>1.0844713817531e-11</v>
      </c>
      <c r="BB36" s="12">
        <v>2.4480303679087e-11</v>
      </c>
      <c r="BC36" s="11">
        <v>13874722.954889</v>
      </c>
      <c r="BD36" s="11">
        <v>2924793.3196544</v>
      </c>
      <c r="BE36" s="11">
        <v>0.0068660921766933</v>
      </c>
      <c r="BF36" s="11">
        <v>0.0064248508302338</v>
      </c>
      <c r="BG36" s="11">
        <v>0.016890168232393</v>
      </c>
      <c r="BH36" s="11">
        <v>0.0028894718481817</v>
      </c>
      <c r="BI36" s="11">
        <v>0.0026373054541482</v>
      </c>
      <c r="BJ36" s="11">
        <v>34.982991634442</v>
      </c>
      <c r="BK36" s="11">
        <v>43.093607225236</v>
      </c>
      <c r="BL36" s="7"/>
    </row>
    <row r="37" spans="1:64">
      <c r="A37" s="11">
        <v>3370109.0247371</v>
      </c>
      <c r="B37" s="11">
        <v>0.017326192573045</v>
      </c>
      <c r="C37" s="12">
        <f t="shared" si="1"/>
        <v>3.94838045718611e-9</v>
      </c>
      <c r="D37" s="12">
        <v>3.0649532129356e-10</v>
      </c>
      <c r="E37" s="12">
        <v>3.0200879487426e-10</v>
      </c>
      <c r="F37" s="12">
        <v>3.3336023308027e-10</v>
      </c>
      <c r="G37" s="12">
        <v>3.2565059442027e-10</v>
      </c>
      <c r="H37" s="12">
        <v>3.3791264465708e-10</v>
      </c>
      <c r="I37" s="12">
        <v>3.2678709855726e-10</v>
      </c>
      <c r="J37" s="12">
        <v>2.9533697719839e-10</v>
      </c>
      <c r="K37" s="12">
        <v>3.334399106636e-10</v>
      </c>
      <c r="L37" s="12">
        <v>3.2054826559439e-10</v>
      </c>
      <c r="M37" s="12">
        <v>3.192518824558e-10</v>
      </c>
      <c r="N37" s="12">
        <v>2.7007862871913e-10</v>
      </c>
      <c r="O37" s="12">
        <v>3.3140843456235e-10</v>
      </c>
      <c r="P37" s="12">
        <v>2.6854399874166e-10</v>
      </c>
      <c r="Q37" s="12">
        <v>2.945687802291e-10</v>
      </c>
      <c r="R37" s="12">
        <v>3.1473487231805e-10</v>
      </c>
      <c r="S37" s="12">
        <v>3.0384239970223e-10</v>
      </c>
      <c r="T37" s="12">
        <v>3.4331470160688e-10</v>
      </c>
      <c r="U37" s="12">
        <v>3.1837543961959e-10</v>
      </c>
      <c r="V37" s="12">
        <v>3.0656543096892e-10</v>
      </c>
      <c r="W37" s="12">
        <v>3.2411628693412e-10</v>
      </c>
      <c r="X37" s="12">
        <v>3.4097053174835e-10</v>
      </c>
      <c r="Y37" s="12">
        <v>2.6238810859761e-10</v>
      </c>
      <c r="Z37" s="12">
        <v>2.8333988673528e-10</v>
      </c>
      <c r="AA37" s="12">
        <v>2.8818300637596e-10</v>
      </c>
      <c r="AB37" s="11">
        <v>0.9999957976302</v>
      </c>
      <c r="AC37" s="11">
        <v>0.88355716239884</v>
      </c>
      <c r="AD37" s="11">
        <v>0.017472775589025</v>
      </c>
      <c r="AE37" s="12">
        <v>8.8864771991453e-12</v>
      </c>
      <c r="AF37" s="12">
        <v>-5.1606661394115e-14</v>
      </c>
      <c r="AG37" s="12">
        <v>3.8379764010959e-13</v>
      </c>
      <c r="AH37" s="12">
        <v>1.1323626265517e-11</v>
      </c>
      <c r="AI37" s="12">
        <v>-1.3012852643997e-11</v>
      </c>
      <c r="AJ37" s="12">
        <v>1.2464274256572e-12</v>
      </c>
      <c r="AK37" s="12">
        <v>1.344693849985e-11</v>
      </c>
      <c r="AL37" s="12">
        <v>2.3001279559732e-12</v>
      </c>
      <c r="AM37" s="12">
        <v>2.0982281607649e-11</v>
      </c>
      <c r="AN37" s="12">
        <v>2.5496775208938e-14</v>
      </c>
      <c r="AO37" s="12">
        <v>1.5345409972694e-11</v>
      </c>
      <c r="AP37" s="12">
        <v>1.3007849861734e-11</v>
      </c>
      <c r="AQ37" s="12">
        <v>3.5692580547895e-13</v>
      </c>
      <c r="AR37" s="12">
        <v>1.3946306670566e-11</v>
      </c>
      <c r="AS37" s="12">
        <v>5.5975254929827e-12</v>
      </c>
      <c r="AT37" s="12">
        <v>-4.433857131583e-14</v>
      </c>
      <c r="AU37" s="12">
        <v>8.9978955886442e-12</v>
      </c>
      <c r="AV37" s="12">
        <v>-1.0029493327072e-11</v>
      </c>
      <c r="AW37" s="12">
        <v>3.6421830371723e-12</v>
      </c>
      <c r="AX37" s="12">
        <v>-1.4424189802328e-11</v>
      </c>
      <c r="AY37" s="12">
        <v>-6.5400648016183e-12</v>
      </c>
      <c r="AZ37" s="12">
        <v>-1.3120464996619e-12</v>
      </c>
      <c r="BA37" s="12">
        <v>1.0590218203908e-11</v>
      </c>
      <c r="BB37" s="12">
        <v>2.3119503690178e-11</v>
      </c>
      <c r="BC37" s="11">
        <v>13720511.808759</v>
      </c>
      <c r="BD37" s="11">
        <v>2869592.6169871</v>
      </c>
      <c r="BE37" s="11">
        <v>0.0074399277740141</v>
      </c>
      <c r="BF37" s="11">
        <v>0.0069617593536938</v>
      </c>
      <c r="BG37" s="11">
        <v>0.018036053663225</v>
      </c>
      <c r="BH37" s="11">
        <v>-0.0022098793860566</v>
      </c>
      <c r="BI37" s="11">
        <v>-0.0036203115147403</v>
      </c>
      <c r="BJ37" s="11">
        <v>34.97923978297</v>
      </c>
      <c r="BK37" s="11">
        <v>43.043405246492</v>
      </c>
      <c r="BL37" s="7"/>
    </row>
    <row r="38" spans="1:64">
      <c r="A38" s="11">
        <v>3617851.7542967</v>
      </c>
      <c r="B38" s="11">
        <v>0.018273869216839</v>
      </c>
      <c r="C38" s="12">
        <f t="shared" si="1"/>
        <v>3.82524502526729e-9</v>
      </c>
      <c r="D38" s="12">
        <v>2.9792558319904e-10</v>
      </c>
      <c r="E38" s="12">
        <v>2.9230950014435e-10</v>
      </c>
      <c r="F38" s="12">
        <v>3.2399272148812e-10</v>
      </c>
      <c r="G38" s="12">
        <v>3.1665316026256e-10</v>
      </c>
      <c r="H38" s="12">
        <v>3.2971691785686e-10</v>
      </c>
      <c r="I38" s="12">
        <v>3.1839041329574e-10</v>
      </c>
      <c r="J38" s="12">
        <v>2.8680769874885e-10</v>
      </c>
      <c r="K38" s="12">
        <v>3.2493793781917e-10</v>
      </c>
      <c r="L38" s="12">
        <v>3.1170611953158e-10</v>
      </c>
      <c r="M38" s="12">
        <v>3.0959193494068e-10</v>
      </c>
      <c r="N38" s="12">
        <v>2.6344194161372e-10</v>
      </c>
      <c r="O38" s="12">
        <v>3.2345290252301e-10</v>
      </c>
      <c r="P38" s="12">
        <v>2.6271749363227e-10</v>
      </c>
      <c r="Q38" s="12">
        <v>2.8847728680101e-10</v>
      </c>
      <c r="R38" s="12">
        <v>3.0527883128129e-10</v>
      </c>
      <c r="S38" s="12">
        <v>2.9432576525866e-10</v>
      </c>
      <c r="T38" s="12">
        <v>3.3392412626064e-10</v>
      </c>
      <c r="U38" s="12">
        <v>3.1018161849492e-10</v>
      </c>
      <c r="V38" s="12">
        <v>2.9767518303613e-10</v>
      </c>
      <c r="W38" s="12">
        <v>3.1597824035504e-10</v>
      </c>
      <c r="X38" s="12">
        <v>3.3135204473517e-10</v>
      </c>
      <c r="Y38" s="12">
        <v>2.5572406263866e-10</v>
      </c>
      <c r="Z38" s="12">
        <v>2.7766956334523e-10</v>
      </c>
      <c r="AA38" s="12">
        <v>2.8200172817555e-10</v>
      </c>
      <c r="AB38" s="11">
        <v>0.99999607497274</v>
      </c>
      <c r="AC38" s="11">
        <v>0.88271743643361</v>
      </c>
      <c r="AD38" s="11">
        <v>0.018419989630651</v>
      </c>
      <c r="AE38" s="12">
        <v>8.8133653002046e-12</v>
      </c>
      <c r="AF38" s="12">
        <v>-3.1143161391044e-13</v>
      </c>
      <c r="AG38" s="12">
        <v>-9.463001709098e-14</v>
      </c>
      <c r="AH38" s="12">
        <v>1.0727039597716e-11</v>
      </c>
      <c r="AI38" s="12">
        <v>-1.450044055094e-11</v>
      </c>
      <c r="AJ38" s="12">
        <v>8.3910299734932e-13</v>
      </c>
      <c r="AK38" s="12">
        <v>1.3014210308532e-11</v>
      </c>
      <c r="AL38" s="12">
        <v>1.9046820930291e-12</v>
      </c>
      <c r="AM38" s="12">
        <v>2.0188213385949e-11</v>
      </c>
      <c r="AN38" s="12">
        <v>2.2663115858675e-13</v>
      </c>
      <c r="AO38" s="12">
        <v>1.4797345715365e-11</v>
      </c>
      <c r="AP38" s="12">
        <v>1.3135238847375e-11</v>
      </c>
      <c r="AQ38" s="12">
        <v>4.1881120053444e-13</v>
      </c>
      <c r="AR38" s="12">
        <v>1.321206405647e-11</v>
      </c>
      <c r="AS38" s="12">
        <v>4.5493046110238e-12</v>
      </c>
      <c r="AT38" s="12">
        <v>-3.1188728982375e-13</v>
      </c>
      <c r="AU38" s="12">
        <v>8.4591610753759e-12</v>
      </c>
      <c r="AV38" s="12">
        <v>-1.007413134452e-11</v>
      </c>
      <c r="AW38" s="12">
        <v>3.5371279978847e-12</v>
      </c>
      <c r="AX38" s="12">
        <v>-1.3861188238211e-11</v>
      </c>
      <c r="AY38" s="12">
        <v>-5.7495155431617e-12</v>
      </c>
      <c r="AZ38" s="12">
        <v>-1.1684149210977e-12</v>
      </c>
      <c r="BA38" s="12">
        <v>1.0572730692549e-11</v>
      </c>
      <c r="BB38" s="12">
        <v>2.2113723159779e-11</v>
      </c>
      <c r="BC38" s="11">
        <v>13597174.575333</v>
      </c>
      <c r="BD38" s="11">
        <v>2825656.3186971</v>
      </c>
      <c r="BE38" s="11">
        <v>0.0079056634290653</v>
      </c>
      <c r="BF38" s="11">
        <v>0.0073981602633196</v>
      </c>
      <c r="BG38" s="11">
        <v>0.018951325367781</v>
      </c>
      <c r="BH38" s="11">
        <v>-0.0012455505806356</v>
      </c>
      <c r="BI38" s="11">
        <v>-0.00077491643173626</v>
      </c>
      <c r="BJ38" s="11">
        <v>34.976269392494</v>
      </c>
      <c r="BK38" s="11">
        <v>42.966906203553</v>
      </c>
      <c r="BL38" s="7"/>
    </row>
    <row r="39" spans="1:64">
      <c r="A39" s="11">
        <v>3733853.8627227</v>
      </c>
      <c r="B39" s="11">
        <v>0.01870794929347</v>
      </c>
      <c r="C39" s="12">
        <f t="shared" si="1"/>
        <v>3.74200161118544e-9</v>
      </c>
      <c r="D39" s="12">
        <v>2.948688698898e-10</v>
      </c>
      <c r="E39" s="12">
        <v>2.9040373885124e-10</v>
      </c>
      <c r="F39" s="12">
        <v>3.2816760993288e-10</v>
      </c>
      <c r="G39" s="12">
        <v>3.1475726211672e-10</v>
      </c>
      <c r="H39" s="12">
        <v>3.3901506662672e-10</v>
      </c>
      <c r="I39" s="12">
        <v>3.1862388449717e-10</v>
      </c>
      <c r="J39" s="12">
        <v>2.8483918704394e-10</v>
      </c>
      <c r="K39" s="12">
        <v>3.2022439208349e-10</v>
      </c>
      <c r="L39" s="12">
        <v>3.0701082984032e-10</v>
      </c>
      <c r="M39" s="12">
        <v>3.0489783461655e-10</v>
      </c>
      <c r="N39" s="12">
        <v>2.6110500255341e-10</v>
      </c>
      <c r="O39" s="12">
        <v>3.3589471910204e-10</v>
      </c>
      <c r="P39" s="12">
        <v>2.5889563846555e-10</v>
      </c>
      <c r="Q39" s="12">
        <v>2.861720888502e-10</v>
      </c>
      <c r="R39" s="12">
        <v>3.0824137522555e-10</v>
      </c>
      <c r="S39" s="12">
        <v>2.9206585439633e-10</v>
      </c>
      <c r="T39" s="12">
        <v>3.3327535151866e-10</v>
      </c>
      <c r="U39" s="12">
        <v>3.1027151798912e-10</v>
      </c>
      <c r="V39" s="12">
        <v>2.925809660879e-10</v>
      </c>
      <c r="W39" s="12">
        <v>3.1180129471791e-10</v>
      </c>
      <c r="X39" s="12">
        <v>3.2695517465592e-10</v>
      </c>
      <c r="Y39" s="12">
        <v>2.5154181858013e-10</v>
      </c>
      <c r="Z39" s="12">
        <v>2.766051708396e-10</v>
      </c>
      <c r="AA39" s="12">
        <v>2.7850805360125e-10</v>
      </c>
      <c r="AB39" s="11">
        <v>0.99994177952776</v>
      </c>
      <c r="AC39" s="11">
        <v>0.88085649653242</v>
      </c>
      <c r="AD39" s="11">
        <v>0.018853932684936</v>
      </c>
      <c r="AE39" s="12">
        <v>8.4817643723274e-12</v>
      </c>
      <c r="AF39" s="12">
        <v>-9.6413725381051e-13</v>
      </c>
      <c r="AG39" s="12">
        <v>2.6117594646374e-12</v>
      </c>
      <c r="AH39" s="12">
        <v>1.009657293573e-11</v>
      </c>
      <c r="AI39" s="12">
        <v>-1.7555647280116e-11</v>
      </c>
      <c r="AJ39" s="12">
        <v>2.1829156299292e-12</v>
      </c>
      <c r="AK39" s="12">
        <v>1.3074895691029e-11</v>
      </c>
      <c r="AL39" s="12">
        <v>1.3758387314592e-12</v>
      </c>
      <c r="AM39" s="12">
        <v>1.9954051769061e-11</v>
      </c>
      <c r="AN39" s="12">
        <v>3.4875309769412e-13</v>
      </c>
      <c r="AO39" s="12">
        <v>1.4300926667882e-11</v>
      </c>
      <c r="AP39" s="12">
        <v>1.6751991917847e-11</v>
      </c>
      <c r="AQ39" s="12">
        <v>9.2562287845057e-14</v>
      </c>
      <c r="AR39" s="12">
        <v>1.2240435098024e-11</v>
      </c>
      <c r="AS39" s="12">
        <v>8.2389417513122e-12</v>
      </c>
      <c r="AT39" s="12">
        <v>-3.309527081264e-13</v>
      </c>
      <c r="AU39" s="12">
        <v>7.1389011629016e-12</v>
      </c>
      <c r="AV39" s="12">
        <v>-1.1372570463819e-11</v>
      </c>
      <c r="AW39" s="12">
        <v>3.2129512359805e-12</v>
      </c>
      <c r="AX39" s="12">
        <v>-1.5077887748584e-11</v>
      </c>
      <c r="AY39" s="12">
        <v>-5.1526977742181e-12</v>
      </c>
      <c r="AZ39" s="12">
        <v>-8.7509985621983e-13</v>
      </c>
      <c r="BA39" s="12">
        <v>1.062254696855e-11</v>
      </c>
      <c r="BB39" s="12">
        <v>2.1523124374438e-11</v>
      </c>
      <c r="BC39" s="11">
        <v>13540879.127983</v>
      </c>
      <c r="BD39" s="11">
        <v>2805532.294521</v>
      </c>
      <c r="BE39" s="11">
        <v>0.0081202045287362</v>
      </c>
      <c r="BF39" s="11">
        <v>0.0075994300862177</v>
      </c>
      <c r="BG39" s="11">
        <v>0.019368972981181</v>
      </c>
      <c r="BH39" s="11">
        <v>0.012216972214051</v>
      </c>
      <c r="BI39" s="11">
        <v>0.011360036514029</v>
      </c>
      <c r="BJ39" s="11">
        <v>34.985071361039</v>
      </c>
      <c r="BK39" s="11">
        <v>42.856660782869</v>
      </c>
      <c r="BL39" s="7"/>
    </row>
    <row r="40" spans="1:64">
      <c r="A40" s="11">
        <v>3826632.5760176</v>
      </c>
      <c r="B40" s="11">
        <v>0.01905022063704</v>
      </c>
      <c r="C40" s="12">
        <f t="shared" si="1"/>
        <v>3.68911500725474e-9</v>
      </c>
      <c r="D40" s="12">
        <v>2.8769145528324e-10</v>
      </c>
      <c r="E40" s="12">
        <v>2.8428116870929e-10</v>
      </c>
      <c r="F40" s="12">
        <v>3.1704256068489e-10</v>
      </c>
      <c r="G40" s="12">
        <v>3.0828330761067e-10</v>
      </c>
      <c r="H40" s="12">
        <v>3.1903726675996e-10</v>
      </c>
      <c r="I40" s="12">
        <v>3.0811821894058e-10</v>
      </c>
      <c r="J40" s="12">
        <v>2.7616448383112e-10</v>
      </c>
      <c r="K40" s="12">
        <v>3.14822980066e-10</v>
      </c>
      <c r="L40" s="12">
        <v>3.021872337851e-10</v>
      </c>
      <c r="M40" s="12">
        <v>3.0017029218699e-10</v>
      </c>
      <c r="N40" s="12">
        <v>2.5491495730517e-10</v>
      </c>
      <c r="O40" s="12">
        <v>3.1302440149369e-10</v>
      </c>
      <c r="P40" s="12">
        <v>2.5452979891508e-10</v>
      </c>
      <c r="Q40" s="12">
        <v>2.7958190904157e-10</v>
      </c>
      <c r="R40" s="12">
        <v>2.9756980664191e-10</v>
      </c>
      <c r="S40" s="12">
        <v>2.8627095501937e-10</v>
      </c>
      <c r="T40" s="12">
        <v>3.2626611648384e-10</v>
      </c>
      <c r="U40" s="12">
        <v>2.994248477717e-10</v>
      </c>
      <c r="V40" s="12">
        <v>2.882570949368e-10</v>
      </c>
      <c r="W40" s="12">
        <v>3.0647423348035e-10</v>
      </c>
      <c r="X40" s="12">
        <v>3.2173578228409e-10</v>
      </c>
      <c r="Y40" s="12">
        <v>2.4744168730864e-10</v>
      </c>
      <c r="Z40" s="12">
        <v>2.6886868937939e-10</v>
      </c>
      <c r="AA40" s="12">
        <v>2.7327618928446e-10</v>
      </c>
      <c r="AB40" s="11">
        <v>0.99997715840844</v>
      </c>
      <c r="AC40" s="11">
        <v>0.88423484323957</v>
      </c>
      <c r="AD40" s="11">
        <v>0.019196049989116</v>
      </c>
      <c r="AE40" s="12">
        <v>8.7281229676755e-12</v>
      </c>
      <c r="AF40" s="12">
        <v>-3.6088806669613e-13</v>
      </c>
      <c r="AG40" s="12">
        <v>9.0137717164658e-14</v>
      </c>
      <c r="AH40" s="12">
        <v>1.0153745649645e-11</v>
      </c>
      <c r="AI40" s="12">
        <v>-1.3506526793325e-11</v>
      </c>
      <c r="AJ40" s="12">
        <v>5.4063106436521e-13</v>
      </c>
      <c r="AK40" s="12">
        <v>1.2361691581047e-11</v>
      </c>
      <c r="AL40" s="12">
        <v>2.2815459651866e-12</v>
      </c>
      <c r="AM40" s="12">
        <v>1.9028583347937e-11</v>
      </c>
      <c r="AN40" s="12">
        <v>-1.29970330572e-13</v>
      </c>
      <c r="AO40" s="12">
        <v>1.3797924470783e-11</v>
      </c>
      <c r="AP40" s="12">
        <v>1.217901382798e-11</v>
      </c>
      <c r="AQ40" s="12">
        <v>4.2946636492047e-13</v>
      </c>
      <c r="AR40" s="12">
        <v>1.2349836057779e-11</v>
      </c>
      <c r="AS40" s="12">
        <v>4.7281846938384e-12</v>
      </c>
      <c r="AT40" s="12">
        <v>-5.6986156835353e-13</v>
      </c>
      <c r="AU40" s="12">
        <v>6.9008099020102e-12</v>
      </c>
      <c r="AV40" s="12">
        <v>-1.0016581597034e-11</v>
      </c>
      <c r="AW40" s="12">
        <v>3.0850204716135e-12</v>
      </c>
      <c r="AX40" s="12">
        <v>-1.2691424250956e-11</v>
      </c>
      <c r="AY40" s="12">
        <v>-6.1170792363616e-12</v>
      </c>
      <c r="AZ40" s="12">
        <v>-8.0656980156554e-13</v>
      </c>
      <c r="BA40" s="12">
        <v>1.0060171971614e-11</v>
      </c>
      <c r="BB40" s="12">
        <v>2.1215795304367e-11</v>
      </c>
      <c r="BC40" s="11">
        <v>13496540.643956</v>
      </c>
      <c r="BD40" s="11">
        <v>2789817.9153207</v>
      </c>
      <c r="BE40" s="11">
        <v>0.0082897932008264</v>
      </c>
      <c r="BF40" s="11">
        <v>0.0077585197390718</v>
      </c>
      <c r="BG40" s="11">
        <v>0.019697495027357</v>
      </c>
      <c r="BH40" s="11">
        <v>0.0013593200150844</v>
      </c>
      <c r="BI40" s="11">
        <v>0.00096024179918649</v>
      </c>
      <c r="BJ40" s="11">
        <v>34.975704825362</v>
      </c>
      <c r="BK40" s="11">
        <v>42.810648044106</v>
      </c>
      <c r="BL40" s="7"/>
    </row>
    <row r="41" spans="1:64">
      <c r="A41" s="11">
        <v>4139544.6855993</v>
      </c>
      <c r="B41" s="11">
        <v>0.020180006348844</v>
      </c>
      <c r="C41" s="12">
        <f t="shared" si="1"/>
        <v>3.61055285880209e-9</v>
      </c>
      <c r="D41" s="12">
        <v>2.7816947527355e-10</v>
      </c>
      <c r="E41" s="12">
        <v>2.7303993236589e-10</v>
      </c>
      <c r="F41" s="12">
        <v>3.0666426576582e-10</v>
      </c>
      <c r="G41" s="12">
        <v>2.9788513845395e-10</v>
      </c>
      <c r="H41" s="12">
        <v>3.1165130914121e-10</v>
      </c>
      <c r="I41" s="12">
        <v>2.9865655256675e-10</v>
      </c>
      <c r="J41" s="12">
        <v>2.6729980687095e-10</v>
      </c>
      <c r="K41" s="12">
        <v>3.0346224492087e-10</v>
      </c>
      <c r="L41" s="12">
        <v>2.9099338630839e-10</v>
      </c>
      <c r="M41" s="12">
        <v>2.8964773109069e-10</v>
      </c>
      <c r="N41" s="12">
        <v>2.4680770176392e-10</v>
      </c>
      <c r="O41" s="12">
        <v>3.0540010451496e-10</v>
      </c>
      <c r="P41" s="12">
        <v>2.467400719897e-10</v>
      </c>
      <c r="Q41" s="12">
        <v>2.7148205535305e-10</v>
      </c>
      <c r="R41" s="12">
        <v>2.8682380810165e-10</v>
      </c>
      <c r="S41" s="12">
        <v>2.7517278197058e-10</v>
      </c>
      <c r="T41" s="12">
        <v>3.1601435688107e-10</v>
      </c>
      <c r="U41" s="12">
        <v>2.9140489846835e-10</v>
      </c>
      <c r="V41" s="12">
        <v>2.7799722515362e-10</v>
      </c>
      <c r="W41" s="12">
        <v>2.9460159458025e-10</v>
      </c>
      <c r="X41" s="12">
        <v>3.1098076761808e-10</v>
      </c>
      <c r="Y41" s="12">
        <v>2.3900129281325e-10</v>
      </c>
      <c r="Z41" s="12">
        <v>2.6134115249929e-10</v>
      </c>
      <c r="AA41" s="12">
        <v>2.650885974781e-10</v>
      </c>
      <c r="AB41" s="11">
        <v>0.99997343785951</v>
      </c>
      <c r="AC41" s="11">
        <v>0.88295675128545</v>
      </c>
      <c r="AD41" s="11">
        <v>0.020325368924575</v>
      </c>
      <c r="AE41" s="12">
        <v>8.6335373400732e-12</v>
      </c>
      <c r="AF41" s="12">
        <v>-4.99711461273e-13</v>
      </c>
      <c r="AG41" s="12">
        <v>2.0677628852852e-13</v>
      </c>
      <c r="AH41" s="12">
        <v>9.207234398262e-12</v>
      </c>
      <c r="AI41" s="12">
        <v>-1.5144642505214e-11</v>
      </c>
      <c r="AJ41" s="12">
        <v>1.8833483640302e-13</v>
      </c>
      <c r="AK41" s="12">
        <v>1.2007714658464e-11</v>
      </c>
      <c r="AL41" s="12">
        <v>1.6996353236511e-12</v>
      </c>
      <c r="AM41" s="12">
        <v>1.7916812245898e-11</v>
      </c>
      <c r="AN41" s="12">
        <v>1.9820582690441e-13</v>
      </c>
      <c r="AO41" s="12">
        <v>1.2879331295395e-11</v>
      </c>
      <c r="AP41" s="12">
        <v>1.2203996862543e-11</v>
      </c>
      <c r="AQ41" s="12">
        <v>4.5543245574837e-13</v>
      </c>
      <c r="AR41" s="12">
        <v>1.1292309899599e-11</v>
      </c>
      <c r="AS41" s="12">
        <v>4.8363767834742e-12</v>
      </c>
      <c r="AT41" s="12">
        <v>-4.9786596378599e-13</v>
      </c>
      <c r="AU41" s="12">
        <v>5.9409874746941e-12</v>
      </c>
      <c r="AV41" s="12">
        <v>-1.0764590764815e-11</v>
      </c>
      <c r="AW41" s="12">
        <v>2.8347337952723e-12</v>
      </c>
      <c r="AX41" s="12">
        <v>-1.2447085029584e-11</v>
      </c>
      <c r="AY41" s="12">
        <v>-5.0167088762231e-12</v>
      </c>
      <c r="AZ41" s="12">
        <v>-4.7396126849161e-13</v>
      </c>
      <c r="BA41" s="12">
        <v>9.9640049513944e-12</v>
      </c>
      <c r="BB41" s="12">
        <v>2.008189561703e-11</v>
      </c>
      <c r="BC41" s="11">
        <v>13350751.556693</v>
      </c>
      <c r="BD41" s="11">
        <v>2738143.3735134</v>
      </c>
      <c r="BE41" s="11">
        <v>0.0088509437951345</v>
      </c>
      <c r="BF41" s="11">
        <v>0.0082856875792027</v>
      </c>
      <c r="BG41" s="11">
        <v>0.020778543678917</v>
      </c>
      <c r="BH41" s="11">
        <v>0.0058331249960755</v>
      </c>
      <c r="BI41" s="11">
        <v>0.0052690576407193</v>
      </c>
      <c r="BJ41" s="11">
        <v>34.976555681883</v>
      </c>
      <c r="BK41" s="11">
        <v>42.705258717069</v>
      </c>
      <c r="BL41" s="7"/>
    </row>
    <row r="42" spans="1:64">
      <c r="A42" s="11">
        <v>4351533.3407416</v>
      </c>
      <c r="B42" s="11">
        <v>0.020924509705917</v>
      </c>
      <c r="C42" s="12">
        <f t="shared" si="1"/>
        <v>3.51199622721906e-9</v>
      </c>
      <c r="D42" s="12">
        <v>2.7464051505444e-10</v>
      </c>
      <c r="E42" s="12">
        <v>2.6755620819883e-10</v>
      </c>
      <c r="F42" s="12">
        <v>3.0370643520086e-10</v>
      </c>
      <c r="G42" s="12">
        <v>2.9376080763011e-10</v>
      </c>
      <c r="H42" s="12">
        <v>3.0975615466256e-10</v>
      </c>
      <c r="I42" s="12">
        <v>2.9507419447652e-10</v>
      </c>
      <c r="J42" s="12">
        <v>2.6372774781267e-10</v>
      </c>
      <c r="K42" s="12">
        <v>2.995664050352e-10</v>
      </c>
      <c r="L42" s="12">
        <v>2.8711442173335e-10</v>
      </c>
      <c r="M42" s="12">
        <v>2.870085729016e-10</v>
      </c>
      <c r="N42" s="12">
        <v>2.4430204110452e-10</v>
      </c>
      <c r="O42" s="12">
        <v>3.0231057320839e-10</v>
      </c>
      <c r="P42" s="12">
        <v>2.4424773412908e-10</v>
      </c>
      <c r="Q42" s="12">
        <v>2.692236359668e-10</v>
      </c>
      <c r="R42" s="12">
        <v>2.8283289232157e-10</v>
      </c>
      <c r="S42" s="12">
        <v>2.6964439733615e-10</v>
      </c>
      <c r="T42" s="12">
        <v>3.1265288192824e-10</v>
      </c>
      <c r="U42" s="12">
        <v>2.8911557763248e-10</v>
      </c>
      <c r="V42" s="12">
        <v>2.7436295789464e-10</v>
      </c>
      <c r="W42" s="12">
        <v>2.9096395539961e-10</v>
      </c>
      <c r="X42" s="12">
        <v>3.0837517714156e-10</v>
      </c>
      <c r="Y42" s="12">
        <v>2.3627748780154e-10</v>
      </c>
      <c r="Z42" s="12">
        <v>2.5933318332555e-10</v>
      </c>
      <c r="AA42" s="12">
        <v>2.624444780067e-10</v>
      </c>
      <c r="AB42" s="11">
        <v>0.99998712460195</v>
      </c>
      <c r="AC42" s="11">
        <v>0.88224344577427</v>
      </c>
      <c r="AD42" s="11">
        <v>0.021069499210186</v>
      </c>
      <c r="AE42" s="12">
        <v>8.4437580426586e-12</v>
      </c>
      <c r="AF42" s="12">
        <v>-1.3110634948639e-12</v>
      </c>
      <c r="AG42" s="12">
        <v>8.6249529206578e-13</v>
      </c>
      <c r="AH42" s="12">
        <v>8.593923428841e-12</v>
      </c>
      <c r="AI42" s="12">
        <v>-1.8186520286196e-11</v>
      </c>
      <c r="AJ42" s="12">
        <v>1.4417867019849e-12</v>
      </c>
      <c r="AK42" s="12">
        <v>1.2919722683067e-11</v>
      </c>
      <c r="AL42" s="12">
        <v>1.4553808747834e-12</v>
      </c>
      <c r="AM42" s="12">
        <v>1.6874417377025e-11</v>
      </c>
      <c r="AN42" s="12">
        <v>9.5827747263525e-13</v>
      </c>
      <c r="AO42" s="12">
        <v>1.2151671253974e-11</v>
      </c>
      <c r="AP42" s="12">
        <v>1.6231104190861e-11</v>
      </c>
      <c r="AQ42" s="12">
        <v>1.3412470728522e-12</v>
      </c>
      <c r="AR42" s="12">
        <v>1.0242598301842e-11</v>
      </c>
      <c r="AS42" s="12">
        <v>5.7879595914229e-12</v>
      </c>
      <c r="AT42" s="12">
        <v>-9.311313011371e-13</v>
      </c>
      <c r="AU42" s="12">
        <v>5.19287493378e-12</v>
      </c>
      <c r="AV42" s="12">
        <v>-1.367152127833e-11</v>
      </c>
      <c r="AW42" s="12">
        <v>2.4932156460332e-12</v>
      </c>
      <c r="AX42" s="12">
        <v>-1.1369127080369e-11</v>
      </c>
      <c r="AY42" s="12">
        <v>-3.7893547365685e-12</v>
      </c>
      <c r="AZ42" s="12">
        <v>1.2679360285664e-12</v>
      </c>
      <c r="BA42" s="12">
        <v>9.9109421823388e-12</v>
      </c>
      <c r="BB42" s="12">
        <v>1.8935812360109e-11</v>
      </c>
      <c r="BC42" s="11">
        <v>13255135.940253</v>
      </c>
      <c r="BD42" s="11">
        <v>2704473.1140421</v>
      </c>
      <c r="BE42" s="11">
        <v>0.009223180541603</v>
      </c>
      <c r="BF42" s="11">
        <v>0.0086370683463956</v>
      </c>
      <c r="BG42" s="11">
        <v>0.021487002506379</v>
      </c>
      <c r="BH42" s="11">
        <v>0.001532517427526</v>
      </c>
      <c r="BI42" s="11">
        <v>0.0019658460353141</v>
      </c>
      <c r="BJ42" s="11">
        <v>34.972652693575</v>
      </c>
      <c r="BK42" s="11">
        <v>42.638497458237</v>
      </c>
      <c r="BL42" s="7"/>
    </row>
    <row r="43" spans="1:64">
      <c r="A43" s="11">
        <v>4595320.5767777</v>
      </c>
      <c r="B43" s="11">
        <v>0.021759156798239</v>
      </c>
      <c r="C43" s="12">
        <f t="shared" si="1"/>
        <v>3.42367018837034e-9</v>
      </c>
      <c r="D43" s="12">
        <v>2.6496316669314e-10</v>
      </c>
      <c r="E43" s="12">
        <v>2.6158764238734e-10</v>
      </c>
      <c r="F43" s="12">
        <v>2.9545681536237e-10</v>
      </c>
      <c r="G43" s="12">
        <v>2.857546679149e-10</v>
      </c>
      <c r="H43" s="12">
        <v>2.9787579265661e-10</v>
      </c>
      <c r="I43" s="12">
        <v>2.8591288406167e-10</v>
      </c>
      <c r="J43" s="12">
        <v>2.5333556809946e-10</v>
      </c>
      <c r="K43" s="12">
        <v>2.9010243994977e-10</v>
      </c>
      <c r="L43" s="12">
        <v>2.7802705460756e-10</v>
      </c>
      <c r="M43" s="12">
        <v>2.7551628219191e-10</v>
      </c>
      <c r="N43" s="12">
        <v>2.3670669734412e-10</v>
      </c>
      <c r="O43" s="12">
        <v>2.9314614956125e-10</v>
      </c>
      <c r="P43" s="12">
        <v>2.3762502014838e-10</v>
      </c>
      <c r="Q43" s="12">
        <v>2.6166920427901e-10</v>
      </c>
      <c r="R43" s="12">
        <v>2.7535364621314e-10</v>
      </c>
      <c r="S43" s="12">
        <v>2.6355146665633e-10</v>
      </c>
      <c r="T43" s="12">
        <v>3.0407588592319e-10</v>
      </c>
      <c r="U43" s="12">
        <v>2.7680976376646e-10</v>
      </c>
      <c r="V43" s="12">
        <v>2.6482488347763e-10</v>
      </c>
      <c r="W43" s="12">
        <v>2.824617160853e-10</v>
      </c>
      <c r="X43" s="12">
        <v>2.9659060425677e-10</v>
      </c>
      <c r="Y43" s="12">
        <v>2.2954919963451e-10</v>
      </c>
      <c r="Z43" s="12">
        <v>2.5146088002127e-10</v>
      </c>
      <c r="AA43" s="12">
        <v>2.5529894088595e-10</v>
      </c>
      <c r="AB43" s="11">
        <v>0.99999394756915</v>
      </c>
      <c r="AC43" s="11">
        <v>0.8843105041458</v>
      </c>
      <c r="AD43" s="11">
        <v>0.021903769016643</v>
      </c>
      <c r="AE43" s="12">
        <v>8.4921057218795e-12</v>
      </c>
      <c r="AF43" s="12">
        <v>-4.3908288886488e-13</v>
      </c>
      <c r="AG43" s="12">
        <v>2.199566194049e-13</v>
      </c>
      <c r="AH43" s="12">
        <v>8.1764894221101e-12</v>
      </c>
      <c r="AI43" s="12">
        <v>-1.4622027924357e-11</v>
      </c>
      <c r="AJ43" s="12">
        <v>-2.866145786815e-13</v>
      </c>
      <c r="AK43" s="12">
        <v>1.0930829825501e-11</v>
      </c>
      <c r="AL43" s="12">
        <v>1.6404526230727e-12</v>
      </c>
      <c r="AM43" s="12">
        <v>1.6695277195953e-11</v>
      </c>
      <c r="AN43" s="12">
        <v>-2.1608419642283e-13</v>
      </c>
      <c r="AO43" s="12">
        <v>1.1760170674726e-11</v>
      </c>
      <c r="AP43" s="12">
        <v>1.1675459444693e-11</v>
      </c>
      <c r="AQ43" s="12">
        <v>3.0506988984288e-13</v>
      </c>
      <c r="AR43" s="12">
        <v>1.0250949639057e-11</v>
      </c>
      <c r="AS43" s="12">
        <v>3.8558034089384e-12</v>
      </c>
      <c r="AT43" s="12">
        <v>-7.8459163878173e-13</v>
      </c>
      <c r="AU43" s="12">
        <v>4.1793796472392e-12</v>
      </c>
      <c r="AV43" s="12">
        <v>-9.8140454943283e-12</v>
      </c>
      <c r="AW43" s="12">
        <v>2.4086931679993e-12</v>
      </c>
      <c r="AX43" s="12">
        <v>-1.1725653439209e-11</v>
      </c>
      <c r="AY43" s="12">
        <v>-5.3853440256363e-12</v>
      </c>
      <c r="AZ43" s="12">
        <v>-3.6448326343359e-13</v>
      </c>
      <c r="BA43" s="12">
        <v>9.3566237026102e-12</v>
      </c>
      <c r="BB43" s="12">
        <v>1.8665851929238e-11</v>
      </c>
      <c r="BC43" s="11">
        <v>13148342.601401</v>
      </c>
      <c r="BD43" s="11">
        <v>2666959.7184576</v>
      </c>
      <c r="BE43" s="11">
        <v>0.0096431480552503</v>
      </c>
      <c r="BF43" s="11">
        <v>0.0090320533266176</v>
      </c>
      <c r="BG43" s="11">
        <v>0.022278206757362</v>
      </c>
      <c r="BH43" s="11">
        <v>-0.0011740837911198</v>
      </c>
      <c r="BI43" s="11">
        <v>-0.0017798937710604</v>
      </c>
      <c r="BJ43" s="11">
        <v>34.970895541538</v>
      </c>
      <c r="BK43" s="11">
        <v>42.56444778413</v>
      </c>
      <c r="BL43" s="7"/>
    </row>
    <row r="44" spans="1:64">
      <c r="A44" s="11">
        <v>4823905.1605458</v>
      </c>
      <c r="B44" s="11">
        <v>0.022524518303746</v>
      </c>
      <c r="C44" s="12">
        <f t="shared" si="1"/>
        <v>3.3482638806625e-9</v>
      </c>
      <c r="D44" s="12">
        <v>2.5913189156084e-10</v>
      </c>
      <c r="E44" s="12">
        <v>2.5634772376053e-10</v>
      </c>
      <c r="F44" s="12">
        <v>2.894588133099e-10</v>
      </c>
      <c r="G44" s="12">
        <v>2.8059704340318e-10</v>
      </c>
      <c r="H44" s="12">
        <v>2.9288237898803e-10</v>
      </c>
      <c r="I44" s="12">
        <v>2.8003412974947e-10</v>
      </c>
      <c r="J44" s="12">
        <v>2.4748351076554e-10</v>
      </c>
      <c r="K44" s="12">
        <v>2.8419481486701e-10</v>
      </c>
      <c r="L44" s="12">
        <v>2.7220055600485e-10</v>
      </c>
      <c r="M44" s="12">
        <v>2.6981917017057e-10</v>
      </c>
      <c r="N44" s="12">
        <v>2.3257736740601e-10</v>
      </c>
      <c r="O44" s="12">
        <v>2.8831164586926e-10</v>
      </c>
      <c r="P44" s="12">
        <v>2.3368688721324e-10</v>
      </c>
      <c r="Q44" s="12">
        <v>2.5745822671227e-10</v>
      </c>
      <c r="R44" s="12">
        <v>2.6945699176876e-10</v>
      </c>
      <c r="S44" s="12">
        <v>2.5842590567694e-10</v>
      </c>
      <c r="T44" s="12">
        <v>2.9854427988197e-10</v>
      </c>
      <c r="U44" s="12">
        <v>2.7093523044411e-10</v>
      </c>
      <c r="V44" s="12">
        <v>2.5930624480643e-10</v>
      </c>
      <c r="W44" s="12">
        <v>2.7669174386066e-10</v>
      </c>
      <c r="X44" s="12">
        <v>2.9070006005726e-10</v>
      </c>
      <c r="Y44" s="12">
        <v>2.2549031522819e-10</v>
      </c>
      <c r="Z44" s="12">
        <v>2.4757735287512e-10</v>
      </c>
      <c r="AA44" s="12">
        <v>2.5095617627953e-10</v>
      </c>
      <c r="AB44" s="11">
        <v>0.99999634025999</v>
      </c>
      <c r="AC44" s="11">
        <v>0.88425146028643</v>
      </c>
      <c r="AD44" s="11">
        <v>0.02266877046325</v>
      </c>
      <c r="AE44" s="12">
        <v>8.5508940916792e-12</v>
      </c>
      <c r="AF44" s="12">
        <v>-6.0410097448049e-13</v>
      </c>
      <c r="AG44" s="12">
        <v>3.2953293248417e-13</v>
      </c>
      <c r="AH44" s="12">
        <v>7.6769684345735e-12</v>
      </c>
      <c r="AI44" s="12">
        <v>-1.5039138706839e-11</v>
      </c>
      <c r="AJ44" s="12">
        <v>-4.3056829748884e-13</v>
      </c>
      <c r="AK44" s="12">
        <v>1.0826953593074e-11</v>
      </c>
      <c r="AL44" s="12">
        <v>1.2912030917747e-12</v>
      </c>
      <c r="AM44" s="12">
        <v>1.5900279831859e-11</v>
      </c>
      <c r="AN44" s="12">
        <v>-2.8657612593351e-13</v>
      </c>
      <c r="AO44" s="12">
        <v>1.1391787882222e-11</v>
      </c>
      <c r="AP44" s="12">
        <v>1.1900025883108e-11</v>
      </c>
      <c r="AQ44" s="12">
        <v>4.5440496818707e-13</v>
      </c>
      <c r="AR44" s="12">
        <v>9.6104115516545e-12</v>
      </c>
      <c r="AS44" s="12">
        <v>3.6396075615173e-12</v>
      </c>
      <c r="AT44" s="12">
        <v>-1.0501362289246e-12</v>
      </c>
      <c r="AU44" s="12">
        <v>3.3673109798852e-12</v>
      </c>
      <c r="AV44" s="12">
        <v>-1.0038587925558e-11</v>
      </c>
      <c r="AW44" s="12">
        <v>2.1866057241424e-12</v>
      </c>
      <c r="AX44" s="12">
        <v>-1.144673910725e-11</v>
      </c>
      <c r="AY44" s="12">
        <v>-5.2983737715912e-12</v>
      </c>
      <c r="AZ44" s="12">
        <v>-8.2303175081196e-14</v>
      </c>
      <c r="BA44" s="12">
        <v>9.3785006815461e-12</v>
      </c>
      <c r="BB44" s="12">
        <v>1.7946347829295e-11</v>
      </c>
      <c r="BC44" s="11">
        <v>13050870.690956</v>
      </c>
      <c r="BD44" s="11">
        <v>2632852.9415112</v>
      </c>
      <c r="BE44" s="11">
        <v>0.010029576443154</v>
      </c>
      <c r="BF44" s="11">
        <v>0.0093966300566553</v>
      </c>
      <c r="BG44" s="11">
        <v>0.023000898055338</v>
      </c>
      <c r="BH44" s="11">
        <v>-0.00019867008158026</v>
      </c>
      <c r="BI44" s="11">
        <v>-0.0028632579240999</v>
      </c>
      <c r="BJ44" s="11">
        <v>34.969057254865</v>
      </c>
      <c r="BK44" s="11">
        <v>42.553168471092</v>
      </c>
      <c r="BL44" s="7"/>
    </row>
    <row r="45" spans="1:64">
      <c r="A45" s="11">
        <v>5053386.4781521</v>
      </c>
      <c r="B45" s="11">
        <v>0.023274485069737</v>
      </c>
      <c r="C45" s="12">
        <f t="shared" si="1"/>
        <v>3.26809508422662e-9</v>
      </c>
      <c r="D45" s="12">
        <v>2.5324098556775e-10</v>
      </c>
      <c r="E45" s="12">
        <v>2.4997755147463e-10</v>
      </c>
      <c r="F45" s="12">
        <v>2.8638947719566e-10</v>
      </c>
      <c r="G45" s="12">
        <v>2.7256968060919e-10</v>
      </c>
      <c r="H45" s="12">
        <v>2.8786957952837e-10</v>
      </c>
      <c r="I45" s="12">
        <v>2.7804932110689e-10</v>
      </c>
      <c r="J45" s="12">
        <v>2.4007152653234e-10</v>
      </c>
      <c r="K45" s="12">
        <v>2.7774981512239e-10</v>
      </c>
      <c r="L45" s="12">
        <v>2.6617515440797e-10</v>
      </c>
      <c r="M45" s="12">
        <v>2.6222357299936e-10</v>
      </c>
      <c r="N45" s="12">
        <v>2.2839936253835e-10</v>
      </c>
      <c r="O45" s="12">
        <v>2.8872694817057e-10</v>
      </c>
      <c r="P45" s="12">
        <v>2.2917257207758e-10</v>
      </c>
      <c r="Q45" s="12">
        <v>2.5432834350653e-10</v>
      </c>
      <c r="R45" s="12">
        <v>2.6609897337845e-10</v>
      </c>
      <c r="S45" s="12">
        <v>2.5094704243447e-10</v>
      </c>
      <c r="T45" s="12">
        <v>2.9232839485413e-10</v>
      </c>
      <c r="U45" s="12">
        <v>2.6271867289455e-10</v>
      </c>
      <c r="V45" s="12">
        <v>2.5240962828089e-10</v>
      </c>
      <c r="W45" s="12">
        <v>2.7118530551106e-10</v>
      </c>
      <c r="X45" s="12">
        <v>2.8371422845093e-10</v>
      </c>
      <c r="Y45" s="12">
        <v>2.2074748896893e-10</v>
      </c>
      <c r="Z45" s="12">
        <v>2.445918836689e-10</v>
      </c>
      <c r="AA45" s="12">
        <v>2.4730399003305e-10</v>
      </c>
      <c r="AB45" s="11">
        <v>0.99995678157362</v>
      </c>
      <c r="AC45" s="11">
        <v>0.8812168198357</v>
      </c>
      <c r="AD45" s="11">
        <v>0.0234184162245</v>
      </c>
      <c r="AE45" s="12">
        <v>7.9373918778544e-12</v>
      </c>
      <c r="AF45" s="12">
        <v>-3.9734025562289e-13</v>
      </c>
      <c r="AG45" s="12">
        <v>4.1871275979801e-13</v>
      </c>
      <c r="AH45" s="12">
        <v>7.1548472882041e-12</v>
      </c>
      <c r="AI45" s="12">
        <v>-1.5741425893846e-11</v>
      </c>
      <c r="AJ45" s="12">
        <v>-1.9563407326174e-13</v>
      </c>
      <c r="AK45" s="12">
        <v>9.9634892862425e-12</v>
      </c>
      <c r="AL45" s="12">
        <v>1.1009172182887e-12</v>
      </c>
      <c r="AM45" s="12">
        <v>1.5911725520995e-11</v>
      </c>
      <c r="AN45" s="12">
        <v>-2.3820471168211e-13</v>
      </c>
      <c r="AO45" s="12">
        <v>1.0718381671475e-11</v>
      </c>
      <c r="AP45" s="12">
        <v>1.2204648404356e-11</v>
      </c>
      <c r="AQ45" s="12">
        <v>3.2228350678304e-13</v>
      </c>
      <c r="AR45" s="12">
        <v>8.7519436537452e-12</v>
      </c>
      <c r="AS45" s="12">
        <v>3.5831635486538e-12</v>
      </c>
      <c r="AT45" s="12">
        <v>-8.5903315617435e-13</v>
      </c>
      <c r="AU45" s="12">
        <v>2.3514568054402e-12</v>
      </c>
      <c r="AV45" s="12">
        <v>-9.7516539709082e-12</v>
      </c>
      <c r="AW45" s="12">
        <v>2.0194333761917e-12</v>
      </c>
      <c r="AX45" s="12">
        <v>-1.2199564248344e-11</v>
      </c>
      <c r="AY45" s="12">
        <v>-5.0467409082929e-12</v>
      </c>
      <c r="AZ45" s="12">
        <v>-1.2573530215875e-13</v>
      </c>
      <c r="BA45" s="12">
        <v>9.0705075520253e-12</v>
      </c>
      <c r="BB45" s="12">
        <v>1.7292593189316e-11</v>
      </c>
      <c r="BC45" s="11">
        <v>12955734.570636</v>
      </c>
      <c r="BD45" s="11">
        <v>2599924.5916278</v>
      </c>
      <c r="BE45" s="11">
        <v>0.010410266743098</v>
      </c>
      <c r="BF45" s="11">
        <v>0.0097556330852896</v>
      </c>
      <c r="BG45" s="11">
        <v>0.023706269461379</v>
      </c>
      <c r="BH45" s="11">
        <v>0.012725417018833</v>
      </c>
      <c r="BI45" s="11">
        <v>0.011768648423032</v>
      </c>
      <c r="BJ45" s="11">
        <v>34.975591954281</v>
      </c>
      <c r="BK45" s="11">
        <v>42.424254181503</v>
      </c>
      <c r="BL45" s="7"/>
    </row>
    <row r="46" spans="1:64">
      <c r="A46" s="11">
        <v>5288241.4845024</v>
      </c>
      <c r="B46" s="11">
        <v>0.024024986177185</v>
      </c>
      <c r="C46" s="12">
        <f t="shared" si="1"/>
        <v>3.19559339658523e-9</v>
      </c>
      <c r="D46" s="12">
        <v>2.4817840412237e-10</v>
      </c>
      <c r="E46" s="12">
        <v>2.4257158403949e-10</v>
      </c>
      <c r="F46" s="12">
        <v>2.7845744762683e-10</v>
      </c>
      <c r="G46" s="12">
        <v>2.6804193233896e-10</v>
      </c>
      <c r="H46" s="12">
        <v>2.8055512390486e-10</v>
      </c>
      <c r="I46" s="12">
        <v>2.6859271324833e-10</v>
      </c>
      <c r="J46" s="12">
        <v>2.3656188083848e-10</v>
      </c>
      <c r="K46" s="12">
        <v>2.7186719723115e-10</v>
      </c>
      <c r="L46" s="12">
        <v>2.6015872288785e-10</v>
      </c>
      <c r="M46" s="12">
        <v>2.5748422821058e-10</v>
      </c>
      <c r="N46" s="12">
        <v>2.2345586636488e-10</v>
      </c>
      <c r="O46" s="12">
        <v>2.7527119172398e-10</v>
      </c>
      <c r="P46" s="12">
        <v>2.2547499017584e-10</v>
      </c>
      <c r="Q46" s="12">
        <v>2.496516974041e-10</v>
      </c>
      <c r="R46" s="12">
        <v>2.5722569687003e-10</v>
      </c>
      <c r="S46" s="12">
        <v>2.4450022864975e-10</v>
      </c>
      <c r="T46" s="12">
        <v>2.8728652626005e-10</v>
      </c>
      <c r="U46" s="12">
        <v>2.6043848535928e-10</v>
      </c>
      <c r="V46" s="12">
        <v>2.4761405346101e-10</v>
      </c>
      <c r="W46" s="12">
        <v>2.643770610679e-10</v>
      </c>
      <c r="X46" s="12">
        <v>2.7852487726958e-10</v>
      </c>
      <c r="Y46" s="12">
        <v>2.1629871039859e-10</v>
      </c>
      <c r="Z46" s="12">
        <v>2.3936432004921e-10</v>
      </c>
      <c r="AA46" s="12">
        <v>2.4306082654196e-10</v>
      </c>
      <c r="AB46" s="11">
        <v>0.99959120370335</v>
      </c>
      <c r="AC46" s="11">
        <v>0.88247644287787</v>
      </c>
      <c r="AD46" s="11">
        <v>0.024168545680733</v>
      </c>
      <c r="AE46" s="12">
        <v>7.9132317913149e-12</v>
      </c>
      <c r="AF46" s="12">
        <v>-1.0681341081433e-12</v>
      </c>
      <c r="AG46" s="12">
        <v>2.1088482324346e-12</v>
      </c>
      <c r="AH46" s="12">
        <v>6.584576361546e-12</v>
      </c>
      <c r="AI46" s="12">
        <v>-1.7776973193485e-11</v>
      </c>
      <c r="AJ46" s="12">
        <v>3.0642424106467e-13</v>
      </c>
      <c r="AK46" s="12">
        <v>1.0421457178177e-11</v>
      </c>
      <c r="AL46" s="12">
        <v>1.0257216660886e-12</v>
      </c>
      <c r="AM46" s="12">
        <v>1.4811146641998e-11</v>
      </c>
      <c r="AN46" s="12">
        <v>-3.4134823099931e-15</v>
      </c>
      <c r="AO46" s="12">
        <v>1.0181535637845e-11</v>
      </c>
      <c r="AP46" s="12">
        <v>1.4306955361041e-11</v>
      </c>
      <c r="AQ46" s="12">
        <v>8.5257698284859e-13</v>
      </c>
      <c r="AR46" s="12">
        <v>7.8743731505055e-12</v>
      </c>
      <c r="AS46" s="12">
        <v>5.3837161746008e-12</v>
      </c>
      <c r="AT46" s="12">
        <v>-1.1147550385692e-12</v>
      </c>
      <c r="AU46" s="12">
        <v>1.5284575817467e-12</v>
      </c>
      <c r="AV46" s="12">
        <v>-1.1215080385121e-11</v>
      </c>
      <c r="AW46" s="12">
        <v>1.9492758641728e-12</v>
      </c>
      <c r="AX46" s="12">
        <v>-1.0431441071411e-11</v>
      </c>
      <c r="AY46" s="12">
        <v>-4.15174836636e-12</v>
      </c>
      <c r="AZ46" s="12">
        <v>6.8709174939652e-13</v>
      </c>
      <c r="BA46" s="12">
        <v>8.8469567225661e-12</v>
      </c>
      <c r="BB46" s="12">
        <v>1.6132866080121e-11</v>
      </c>
      <c r="BC46" s="11">
        <v>12860966.052688</v>
      </c>
      <c r="BD46" s="11">
        <v>2567216.8817591</v>
      </c>
      <c r="BE46" s="11">
        <v>0.010792296984898</v>
      </c>
      <c r="BF46" s="11">
        <v>0.010116460498088</v>
      </c>
      <c r="BG46" s="11">
        <v>0.024409701297051</v>
      </c>
      <c r="BH46" s="11">
        <v>-0.0027358033593055</v>
      </c>
      <c r="BI46" s="11">
        <v>-0.0037515681012826</v>
      </c>
      <c r="BJ46" s="11">
        <v>34.9621893625</v>
      </c>
      <c r="BK46" s="11">
        <v>42.375555104286</v>
      </c>
      <c r="BL46" s="7"/>
    </row>
    <row r="47" spans="1:64">
      <c r="A47" s="11">
        <v>5452721.7991886</v>
      </c>
      <c r="B47" s="11">
        <v>0.024541446779655</v>
      </c>
      <c r="C47" s="12">
        <f t="shared" si="1"/>
        <v>3.13995388113961e-9</v>
      </c>
      <c r="D47" s="12">
        <v>2.4574821142033e-10</v>
      </c>
      <c r="E47" s="12">
        <v>2.4021826011723e-10</v>
      </c>
      <c r="F47" s="12">
        <v>2.7833748643822e-10</v>
      </c>
      <c r="G47" s="12">
        <v>2.6669178585566e-10</v>
      </c>
      <c r="H47" s="12">
        <v>2.8110211615346e-10</v>
      </c>
      <c r="I47" s="12">
        <v>2.6605502507249e-10</v>
      </c>
      <c r="J47" s="12">
        <v>2.3422702999407e-10</v>
      </c>
      <c r="K47" s="12">
        <v>2.6873269120558e-10</v>
      </c>
      <c r="L47" s="12">
        <v>2.5709484155105e-10</v>
      </c>
      <c r="M47" s="12">
        <v>2.5533501497942e-10</v>
      </c>
      <c r="N47" s="12">
        <v>2.2126423436958e-10</v>
      </c>
      <c r="O47" s="12">
        <v>2.7455343077327e-10</v>
      </c>
      <c r="P47" s="12">
        <v>2.2380698990468e-10</v>
      </c>
      <c r="Q47" s="12">
        <v>2.4769543997558e-10</v>
      </c>
      <c r="R47" s="12">
        <v>2.5589811263921e-10</v>
      </c>
      <c r="S47" s="12">
        <v>2.4225305915937e-10</v>
      </c>
      <c r="T47" s="12">
        <v>2.8679546767473e-10</v>
      </c>
      <c r="U47" s="12">
        <v>2.5937838354107e-10</v>
      </c>
      <c r="V47" s="12">
        <v>2.4498875538061e-10</v>
      </c>
      <c r="W47" s="12">
        <v>2.613318089707e-10</v>
      </c>
      <c r="X47" s="12">
        <v>2.7597355831447e-10</v>
      </c>
      <c r="Y47" s="12">
        <v>2.1470116245345e-10</v>
      </c>
      <c r="Z47" s="12">
        <v>2.3718118581097e-10</v>
      </c>
      <c r="AA47" s="12">
        <v>2.4093418339383e-10</v>
      </c>
      <c r="AB47" s="11">
        <v>0.99980153568594</v>
      </c>
      <c r="AC47" s="11">
        <v>0.883454473541</v>
      </c>
      <c r="AD47" s="11">
        <v>0.024684672878658</v>
      </c>
      <c r="AE47" s="12">
        <v>7.7615278520243e-12</v>
      </c>
      <c r="AF47" s="12">
        <v>-1.1010699754714e-12</v>
      </c>
      <c r="AG47" s="12">
        <v>7.025192139558e-13</v>
      </c>
      <c r="AH47" s="12">
        <v>6.1574971211483e-12</v>
      </c>
      <c r="AI47" s="12">
        <v>-1.6868419925577e-11</v>
      </c>
      <c r="AJ47" s="12">
        <v>-6.9141447392975e-13</v>
      </c>
      <c r="AK47" s="12">
        <v>1.0310569997479e-11</v>
      </c>
      <c r="AL47" s="12">
        <v>1.1197244212459e-12</v>
      </c>
      <c r="AM47" s="12">
        <v>1.4128220967354e-11</v>
      </c>
      <c r="AN47" s="12">
        <v>3.6916883166443e-14</v>
      </c>
      <c r="AO47" s="12">
        <v>9.4605593799964e-12</v>
      </c>
      <c r="AP47" s="12">
        <v>1.0761429945775e-11</v>
      </c>
      <c r="AQ47" s="12">
        <v>1.017500457263e-12</v>
      </c>
      <c r="AR47" s="12">
        <v>7.3569732643689e-12</v>
      </c>
      <c r="AS47" s="12">
        <v>3.5936749152064e-12</v>
      </c>
      <c r="AT47" s="12">
        <v>-1.3452883727349e-12</v>
      </c>
      <c r="AU47" s="12">
        <v>9.8111474265567e-13</v>
      </c>
      <c r="AV47" s="12">
        <v>-1.2461919840928e-11</v>
      </c>
      <c r="AW47" s="12">
        <v>1.5706796164439e-12</v>
      </c>
      <c r="AX47" s="12">
        <v>-9.788691458758e-12</v>
      </c>
      <c r="AY47" s="12">
        <v>-4.28030191071e-12</v>
      </c>
      <c r="AZ47" s="12">
        <v>1.7440881206981e-12</v>
      </c>
      <c r="BA47" s="12">
        <v>8.5791633397346e-12</v>
      </c>
      <c r="BB47" s="12">
        <v>1.5800823140773e-11</v>
      </c>
      <c r="BC47" s="11">
        <v>12796016.391876</v>
      </c>
      <c r="BD47" s="11">
        <v>2545190.3974354</v>
      </c>
      <c r="BE47" s="11">
        <v>0.011056223281673</v>
      </c>
      <c r="BF47" s="11">
        <v>0.010365760060257</v>
      </c>
      <c r="BG47" s="11">
        <v>0.024891994395364</v>
      </c>
      <c r="BH47" s="11">
        <v>-0.0035887379797175</v>
      </c>
      <c r="BI47" s="11">
        <v>-0.0047467329624163</v>
      </c>
      <c r="BJ47" s="11">
        <v>34.960430037269</v>
      </c>
      <c r="BK47" s="11">
        <v>42.337218148035</v>
      </c>
      <c r="BL47" s="7"/>
    </row>
    <row r="48" spans="1:64">
      <c r="A48" s="11">
        <v>5623624.9674825</v>
      </c>
      <c r="B48" s="11">
        <v>0.025070636424308</v>
      </c>
      <c r="C48" s="12">
        <f t="shared" si="1"/>
        <v>3.0964296913616e-9</v>
      </c>
      <c r="D48" s="12">
        <v>2.3794929587215e-10</v>
      </c>
      <c r="E48" s="12">
        <v>2.3380965867191e-10</v>
      </c>
      <c r="F48" s="12">
        <v>2.6908825409708e-10</v>
      </c>
      <c r="G48" s="12">
        <v>2.5869963132799e-10</v>
      </c>
      <c r="H48" s="12">
        <v>2.7100741198512e-10</v>
      </c>
      <c r="I48" s="12">
        <v>2.5741361249963e-10</v>
      </c>
      <c r="J48" s="12">
        <v>2.2659806349943e-10</v>
      </c>
      <c r="K48" s="12">
        <v>2.619084119457e-10</v>
      </c>
      <c r="L48" s="12">
        <v>2.5004097536618e-10</v>
      </c>
      <c r="M48" s="12">
        <v>2.4795374500538e-10</v>
      </c>
      <c r="N48" s="12">
        <v>2.1568845870508e-10</v>
      </c>
      <c r="O48" s="12">
        <v>2.6443183307815e-10</v>
      </c>
      <c r="P48" s="12">
        <v>2.1820103056855e-10</v>
      </c>
      <c r="Q48" s="12">
        <v>2.4026390377376e-10</v>
      </c>
      <c r="R48" s="12">
        <v>2.4809234292144e-10</v>
      </c>
      <c r="S48" s="12">
        <v>2.3573220433757e-10</v>
      </c>
      <c r="T48" s="12">
        <v>2.7764164727413e-10</v>
      </c>
      <c r="U48" s="12">
        <v>2.509908199407e-10</v>
      </c>
      <c r="V48" s="12">
        <v>2.3830385398278e-10</v>
      </c>
      <c r="W48" s="12">
        <v>2.5476305163962e-10</v>
      </c>
      <c r="X48" s="12">
        <v>2.6820283564968e-10</v>
      </c>
      <c r="Y48" s="12">
        <v>2.0944803444858e-10</v>
      </c>
      <c r="Z48" s="12">
        <v>2.3103957285407e-10</v>
      </c>
      <c r="AA48" s="12">
        <v>2.3370098444478e-10</v>
      </c>
      <c r="AB48" s="11">
        <v>0.99990112366928</v>
      </c>
      <c r="AC48" s="11">
        <v>0.88214344194123</v>
      </c>
      <c r="AD48" s="11">
        <v>0.025213605900696</v>
      </c>
      <c r="AE48" s="12">
        <v>7.9768073905171e-12</v>
      </c>
      <c r="AF48" s="12">
        <v>-7.2245878586669e-13</v>
      </c>
      <c r="AG48" s="12">
        <v>5.4871307760703e-13</v>
      </c>
      <c r="AH48" s="12">
        <v>5.9302982725951e-12</v>
      </c>
      <c r="AI48" s="12">
        <v>-1.7476413798456e-11</v>
      </c>
      <c r="AJ48" s="12">
        <v>-7.4886979256559e-13</v>
      </c>
      <c r="AK48" s="12">
        <v>9.6140449242877e-12</v>
      </c>
      <c r="AL48" s="12">
        <v>6.613249536184e-13</v>
      </c>
      <c r="AM48" s="12">
        <v>1.3488443913931e-11</v>
      </c>
      <c r="AN48" s="12">
        <v>-1.0806208560842e-13</v>
      </c>
      <c r="AO48" s="12">
        <v>1.0612755333202e-11</v>
      </c>
      <c r="AP48" s="12">
        <v>1.277867083452e-11</v>
      </c>
      <c r="AQ48" s="12">
        <v>4.3649498203178e-13</v>
      </c>
      <c r="AR48" s="12">
        <v>7.2977764315324e-12</v>
      </c>
      <c r="AS48" s="12">
        <v>3.5335876014533e-12</v>
      </c>
      <c r="AT48" s="12">
        <v>-1.2996340938935e-12</v>
      </c>
      <c r="AU48" s="12">
        <v>1.2569639857436e-12</v>
      </c>
      <c r="AV48" s="12">
        <v>-1.0957067510845e-11</v>
      </c>
      <c r="AW48" s="12">
        <v>1.541582191621e-12</v>
      </c>
      <c r="AX48" s="12">
        <v>-9.4169458136781e-12</v>
      </c>
      <c r="AY48" s="12">
        <v>-4.1217271469931e-12</v>
      </c>
      <c r="AZ48" s="12">
        <v>8.1677060564423e-13</v>
      </c>
      <c r="BA48" s="12">
        <v>1.0992498934199e-11</v>
      </c>
      <c r="BB48" s="12">
        <v>1.5829361757691e-11</v>
      </c>
      <c r="BC48" s="11">
        <v>12729621.768349</v>
      </c>
      <c r="BD48" s="11">
        <v>2522551.6580132</v>
      </c>
      <c r="BE48" s="11">
        <v>0.011327232631193</v>
      </c>
      <c r="BF48" s="11">
        <v>0.01062273835788</v>
      </c>
      <c r="BG48" s="11">
        <v>0.02538494172802</v>
      </c>
      <c r="BH48" s="11">
        <v>-0.0056682245013762</v>
      </c>
      <c r="BI48" s="11">
        <v>-0.0066935977619458</v>
      </c>
      <c r="BJ48" s="11">
        <v>34.957739103161</v>
      </c>
      <c r="BK48" s="11">
        <v>42.346506536281</v>
      </c>
      <c r="BL48" s="7"/>
    </row>
    <row r="49" spans="1:64">
      <c r="A49" s="11">
        <v>5838444.1442808</v>
      </c>
      <c r="B49" s="11">
        <v>0.025721779368501</v>
      </c>
      <c r="C49" s="12">
        <f t="shared" si="1"/>
        <v>3.0311211219489e-9</v>
      </c>
      <c r="D49" s="12">
        <v>2.3318304053184e-10</v>
      </c>
      <c r="E49" s="12">
        <v>2.2940501570051e-10</v>
      </c>
      <c r="F49" s="12">
        <v>2.64109103695e-10</v>
      </c>
      <c r="G49" s="12">
        <v>2.535790139801e-10</v>
      </c>
      <c r="H49" s="12">
        <v>2.6641665960026e-10</v>
      </c>
      <c r="I49" s="12">
        <v>2.5292324877806e-10</v>
      </c>
      <c r="J49" s="12">
        <v>2.2187308798549e-10</v>
      </c>
      <c r="K49" s="12">
        <v>2.5610766819587e-10</v>
      </c>
      <c r="L49" s="12">
        <v>2.4485199372743e-10</v>
      </c>
      <c r="M49" s="12">
        <v>2.4219585397981e-10</v>
      </c>
      <c r="N49" s="12">
        <v>2.1109738063085e-10</v>
      </c>
      <c r="O49" s="12">
        <v>2.6070955151944e-10</v>
      </c>
      <c r="P49" s="12">
        <v>2.1356195792682e-10</v>
      </c>
      <c r="Q49" s="12">
        <v>2.3545358988818e-10</v>
      </c>
      <c r="R49" s="12">
        <v>2.4363819648884e-10</v>
      </c>
      <c r="S49" s="12">
        <v>2.3107235173486e-10</v>
      </c>
      <c r="T49" s="12">
        <v>2.7215158659212e-10</v>
      </c>
      <c r="U49" s="12">
        <v>2.4572495201139e-10</v>
      </c>
      <c r="V49" s="12">
        <v>2.3327288171474e-10</v>
      </c>
      <c r="W49" s="12">
        <v>2.4920369777294e-10</v>
      </c>
      <c r="X49" s="12">
        <v>2.6216093251257e-10</v>
      </c>
      <c r="Y49" s="12">
        <v>2.0478763863944e-10</v>
      </c>
      <c r="Z49" s="12">
        <v>2.2641039406423e-10</v>
      </c>
      <c r="AA49" s="12">
        <v>2.2892941835081e-10</v>
      </c>
      <c r="AB49" s="11">
        <v>0.99996155693699</v>
      </c>
      <c r="AC49" s="11">
        <v>0.88319087104525</v>
      </c>
      <c r="AD49" s="11">
        <v>0.025864525118122</v>
      </c>
      <c r="AE49" s="12">
        <v>7.91240717755e-12</v>
      </c>
      <c r="AF49" s="12">
        <v>-6.9757453842169e-13</v>
      </c>
      <c r="AG49" s="12">
        <v>5.6940611778558e-13</v>
      </c>
      <c r="AH49" s="12">
        <v>5.6759636366621e-12</v>
      </c>
      <c r="AI49" s="12">
        <v>-1.5872938105721e-11</v>
      </c>
      <c r="AJ49" s="12">
        <v>-1.1153615820559e-12</v>
      </c>
      <c r="AK49" s="12">
        <v>9.4057884418465e-12</v>
      </c>
      <c r="AL49" s="12">
        <v>5.0472437179659e-13</v>
      </c>
      <c r="AM49" s="12">
        <v>1.3208973604533e-11</v>
      </c>
      <c r="AN49" s="12">
        <v>-7.7350945536772e-14</v>
      </c>
      <c r="AO49" s="12">
        <v>9.1757793015837e-12</v>
      </c>
      <c r="AP49" s="12">
        <v>1.1137728587591e-11</v>
      </c>
      <c r="AQ49" s="12">
        <v>4.2590921728176e-13</v>
      </c>
      <c r="AR49" s="12">
        <v>7.2942611528835e-12</v>
      </c>
      <c r="AS49" s="12">
        <v>3.1953835458432e-12</v>
      </c>
      <c r="AT49" s="12">
        <v>-1.3458748042256e-12</v>
      </c>
      <c r="AU49" s="12">
        <v>7.1760471372394e-13</v>
      </c>
      <c r="AV49" s="12">
        <v>-1.0328986193736e-11</v>
      </c>
      <c r="AW49" s="12">
        <v>1.4767977496718e-12</v>
      </c>
      <c r="AX49" s="12">
        <v>-9.533508627792e-12</v>
      </c>
      <c r="AY49" s="12">
        <v>-3.8321229073876e-12</v>
      </c>
      <c r="AZ49" s="12">
        <v>6.4517422446154e-13</v>
      </c>
      <c r="BA49" s="12">
        <v>8.6959954952826e-12</v>
      </c>
      <c r="BB49" s="12">
        <v>1.5120791757159e-11</v>
      </c>
      <c r="BC49" s="11">
        <v>12648252.143715</v>
      </c>
      <c r="BD49" s="11">
        <v>2495104.2461819</v>
      </c>
      <c r="BE49" s="11">
        <v>0.011661031955473</v>
      </c>
      <c r="BF49" s="11">
        <v>0.010938772939168</v>
      </c>
      <c r="BG49" s="11">
        <v>0.025990430240178</v>
      </c>
      <c r="BH49" s="11">
        <v>0.0089339797387375</v>
      </c>
      <c r="BI49" s="11">
        <v>0.0077616960166799</v>
      </c>
      <c r="BJ49" s="11">
        <v>34.967161734847</v>
      </c>
      <c r="BK49" s="11">
        <v>42.237136049209</v>
      </c>
      <c r="BL49" s="7"/>
    </row>
    <row r="50" spans="1:64">
      <c r="A50" s="11">
        <v>6068086.6237047</v>
      </c>
      <c r="B50" s="11">
        <v>0.026406906790052</v>
      </c>
      <c r="C50" s="12">
        <f t="shared" si="1"/>
        <v>2.98345246606711e-9</v>
      </c>
      <c r="D50" s="12">
        <v>2.3126682017548e-10</v>
      </c>
      <c r="E50" s="12">
        <v>2.2511315518656e-10</v>
      </c>
      <c r="F50" s="12">
        <v>2.615459928813e-10</v>
      </c>
      <c r="G50" s="12">
        <v>2.5114341035522e-10</v>
      </c>
      <c r="H50" s="12">
        <v>2.6643535318547e-10</v>
      </c>
      <c r="I50" s="12">
        <v>2.5127754439759e-10</v>
      </c>
      <c r="J50" s="12">
        <v>2.1994007474488e-10</v>
      </c>
      <c r="K50" s="12">
        <v>2.5370886364473e-10</v>
      </c>
      <c r="L50" s="12">
        <v>2.4257104043906e-10</v>
      </c>
      <c r="M50" s="12">
        <v>2.4141656217355e-10</v>
      </c>
      <c r="N50" s="12">
        <v>2.1142231201989e-10</v>
      </c>
      <c r="O50" s="12">
        <v>2.5985029298592e-10</v>
      </c>
      <c r="P50" s="12">
        <v>2.1381988648822e-10</v>
      </c>
      <c r="Q50" s="12">
        <v>2.3659034087474e-10</v>
      </c>
      <c r="R50" s="12">
        <v>2.3993894739607e-10</v>
      </c>
      <c r="S50" s="12">
        <v>2.2698708808464e-10</v>
      </c>
      <c r="T50" s="12">
        <v>2.7042739056291e-10</v>
      </c>
      <c r="U50" s="12">
        <v>2.4514675800626e-10</v>
      </c>
      <c r="V50" s="12">
        <v>2.317811046421e-10</v>
      </c>
      <c r="W50" s="12">
        <v>2.4588292178758e-10</v>
      </c>
      <c r="X50" s="12">
        <v>2.6165246631084e-10</v>
      </c>
      <c r="Y50" s="12">
        <v>2.048034978108e-10</v>
      </c>
      <c r="Z50" s="12">
        <v>2.2719153096382e-10</v>
      </c>
      <c r="AA50" s="12">
        <v>2.2973189589325e-10</v>
      </c>
      <c r="AB50" s="11">
        <v>0.99997668793707</v>
      </c>
      <c r="AC50" s="11">
        <v>0.88132525654084</v>
      </c>
      <c r="AD50" s="11">
        <v>0.026549294970497</v>
      </c>
      <c r="AE50" s="12">
        <v>7.3120374765389e-12</v>
      </c>
      <c r="AF50" s="12">
        <v>-1.680523290992e-12</v>
      </c>
      <c r="AG50" s="12">
        <v>1.4489076475182e-12</v>
      </c>
      <c r="AH50" s="12">
        <v>5.3360766458272e-12</v>
      </c>
      <c r="AI50" s="12">
        <v>-2.0824707790842e-11</v>
      </c>
      <c r="AJ50" s="12">
        <v>5.198847223731e-13</v>
      </c>
      <c r="AK50" s="12">
        <v>1.0140015319653e-11</v>
      </c>
      <c r="AL50" s="12">
        <v>2.1598376204557e-13</v>
      </c>
      <c r="AM50" s="12">
        <v>1.2495031831942e-11</v>
      </c>
      <c r="AN50" s="12">
        <v>1.5678061039185e-13</v>
      </c>
      <c r="AO50" s="12">
        <v>8.5910512774091e-12</v>
      </c>
      <c r="AP50" s="12">
        <v>1.6538784620738e-11</v>
      </c>
      <c r="AQ50" s="12">
        <v>1.6139789895202e-12</v>
      </c>
      <c r="AR50" s="12">
        <v>6.3132545797273e-12</v>
      </c>
      <c r="AS50" s="12">
        <v>4.8606092592381e-12</v>
      </c>
      <c r="AT50" s="12">
        <v>-1.6790357338176e-12</v>
      </c>
      <c r="AU50" s="12">
        <v>-1.8700307788251e-13</v>
      </c>
      <c r="AV50" s="12">
        <v>-1.3250669253658e-11</v>
      </c>
      <c r="AW50" s="12">
        <v>1.3307291119169e-12</v>
      </c>
      <c r="AX50" s="12">
        <v>-8.5838389906363e-12</v>
      </c>
      <c r="AY50" s="12">
        <v>-2.9868372637067e-12</v>
      </c>
      <c r="AZ50" s="12">
        <v>2.486844254882e-12</v>
      </c>
      <c r="BA50" s="12">
        <v>8.4127414256465e-12</v>
      </c>
      <c r="BB50" s="12">
        <v>1.4212757013182e-11</v>
      </c>
      <c r="BC50" s="11">
        <v>12562974.748143</v>
      </c>
      <c r="BD50" s="11">
        <v>2466391.4998307</v>
      </c>
      <c r="BE50" s="11">
        <v>0.012013603801988</v>
      </c>
      <c r="BF50" s="11">
        <v>0.011273210564641</v>
      </c>
      <c r="BG50" s="11">
        <v>0.026625244196556</v>
      </c>
      <c r="BH50" s="11">
        <v>-0.010220326380864</v>
      </c>
      <c r="BI50" s="11">
        <v>-0.011081989799667</v>
      </c>
      <c r="BJ50" s="11">
        <v>34.952186488543</v>
      </c>
      <c r="BK50" s="11">
        <v>42.212826891737</v>
      </c>
      <c r="BL50" s="7"/>
    </row>
    <row r="51" spans="1:64">
      <c r="A51" s="11">
        <v>6222938.5553998</v>
      </c>
      <c r="B51" s="11">
        <v>0.026859997380154</v>
      </c>
      <c r="C51" s="12">
        <f t="shared" si="1"/>
        <v>2.92596020690348e-9</v>
      </c>
      <c r="D51" s="12">
        <v>2.2536259239289e-10</v>
      </c>
      <c r="E51" s="12">
        <v>2.2185679546697e-10</v>
      </c>
      <c r="F51" s="12">
        <v>2.5592550349257e-10</v>
      </c>
      <c r="G51" s="12">
        <v>2.4593849860802e-10</v>
      </c>
      <c r="H51" s="12">
        <v>2.5807095860911e-10</v>
      </c>
      <c r="I51" s="12">
        <v>2.4511740272337e-10</v>
      </c>
      <c r="J51" s="12">
        <v>2.1411568889919e-10</v>
      </c>
      <c r="K51" s="12">
        <v>2.480233637373e-10</v>
      </c>
      <c r="L51" s="12">
        <v>2.3709097735712e-10</v>
      </c>
      <c r="M51" s="12">
        <v>2.3408974633955e-10</v>
      </c>
      <c r="N51" s="12">
        <v>2.0404329867444e-10</v>
      </c>
      <c r="O51" s="12">
        <v>2.5324374293673e-10</v>
      </c>
      <c r="P51" s="12">
        <v>2.0695612867895e-10</v>
      </c>
      <c r="Q51" s="12">
        <v>2.2804551201423e-10</v>
      </c>
      <c r="R51" s="12">
        <v>2.3548519388347e-10</v>
      </c>
      <c r="S51" s="12">
        <v>2.2358337735035e-10</v>
      </c>
      <c r="T51" s="12">
        <v>2.642498728279e-10</v>
      </c>
      <c r="U51" s="12">
        <v>2.3743754085493e-10</v>
      </c>
      <c r="V51" s="12">
        <v>2.2561897313953e-10</v>
      </c>
      <c r="W51" s="12">
        <v>2.4155259769759e-10</v>
      </c>
      <c r="X51" s="12">
        <v>2.5383494007944e-10</v>
      </c>
      <c r="Y51" s="12">
        <v>1.9802048672373e-10</v>
      </c>
      <c r="Z51" s="12">
        <v>2.1922076450716e-10</v>
      </c>
      <c r="AA51" s="12">
        <v>2.2174679838673e-10</v>
      </c>
      <c r="AB51" s="11">
        <v>0.99999102397516</v>
      </c>
      <c r="AC51" s="11">
        <v>0.8832427743114</v>
      </c>
      <c r="AD51" s="11">
        <v>0.027002198804451</v>
      </c>
      <c r="AE51" s="12">
        <v>7.7923302668595e-12</v>
      </c>
      <c r="AF51" s="12">
        <v>-7.8350052146292e-13</v>
      </c>
      <c r="AG51" s="12">
        <v>4.2881569185659e-13</v>
      </c>
      <c r="AH51" s="12">
        <v>5.0647435884295e-12</v>
      </c>
      <c r="AI51" s="12">
        <v>-1.5964693599236e-11</v>
      </c>
      <c r="AJ51" s="12">
        <v>-1.4183682817737e-12</v>
      </c>
      <c r="AK51" s="12">
        <v>9.143508069966e-12</v>
      </c>
      <c r="AL51" s="12">
        <v>2.5577279874789e-13</v>
      </c>
      <c r="AM51" s="12">
        <v>1.2587916358162e-11</v>
      </c>
      <c r="AN51" s="12">
        <v>-7.8283127629103e-14</v>
      </c>
      <c r="AO51" s="12">
        <v>8.6958269028668e-12</v>
      </c>
      <c r="AP51" s="12">
        <v>1.0784104352461e-11</v>
      </c>
      <c r="AQ51" s="12">
        <v>4.8911284550214e-13</v>
      </c>
      <c r="AR51" s="12">
        <v>6.5143215202065e-12</v>
      </c>
      <c r="AS51" s="12">
        <v>2.8412255345938e-12</v>
      </c>
      <c r="AT51" s="12">
        <v>-1.628743970725e-12</v>
      </c>
      <c r="AU51" s="12">
        <v>-2.2078680694448e-13</v>
      </c>
      <c r="AV51" s="12">
        <v>-1.0421468840147e-11</v>
      </c>
      <c r="AW51" s="12">
        <v>1.2450213300249e-12</v>
      </c>
      <c r="AX51" s="12">
        <v>-9.2934925407045e-12</v>
      </c>
      <c r="AY51" s="12">
        <v>-3.6823920802183e-12</v>
      </c>
      <c r="AZ51" s="12">
        <v>8.5239767314901e-13</v>
      </c>
      <c r="BA51" s="12">
        <v>8.527906576774e-12</v>
      </c>
      <c r="BB51" s="12">
        <v>1.4185855265865e-11</v>
      </c>
      <c r="BC51" s="11">
        <v>12506749.734753</v>
      </c>
      <c r="BD51" s="11">
        <v>2447767.6608726</v>
      </c>
      <c r="BE51" s="11">
        <v>0.012247830911551</v>
      </c>
      <c r="BF51" s="11">
        <v>0.011495048425826</v>
      </c>
      <c r="BG51" s="11">
        <v>0.027043720792505</v>
      </c>
      <c r="BH51" s="11">
        <v>-0.0042980350935889</v>
      </c>
      <c r="BI51" s="11">
        <v>-0.0048803512153503</v>
      </c>
      <c r="BJ51" s="11">
        <v>34.965342473055</v>
      </c>
      <c r="BK51" s="11">
        <v>42.171340743389</v>
      </c>
      <c r="BL51" s="7"/>
    </row>
    <row r="52" spans="1:64">
      <c r="A52" s="11">
        <v>6540304.4475927</v>
      </c>
      <c r="B52" s="11">
        <v>0.027770674521185</v>
      </c>
      <c r="C52" s="12">
        <f t="shared" si="1"/>
        <v>2.86948649314047e-9</v>
      </c>
      <c r="D52" s="12">
        <v>2.1973384928721e-10</v>
      </c>
      <c r="E52" s="12">
        <v>2.1612902777469e-10</v>
      </c>
      <c r="F52" s="12">
        <v>2.5038415025237e-10</v>
      </c>
      <c r="G52" s="12">
        <v>2.4012327915626e-10</v>
      </c>
      <c r="H52" s="12">
        <v>2.5281534796169e-10</v>
      </c>
      <c r="I52" s="12">
        <v>2.394984536861e-10</v>
      </c>
      <c r="J52" s="12">
        <v>2.0863450536945e-10</v>
      </c>
      <c r="K52" s="12">
        <v>2.4180368833092e-10</v>
      </c>
      <c r="L52" s="12">
        <v>2.3111997869973e-10</v>
      </c>
      <c r="M52" s="12">
        <v>2.280150218098e-10</v>
      </c>
      <c r="N52" s="12">
        <v>1.996420618494e-10</v>
      </c>
      <c r="O52" s="12">
        <v>2.4809592362122e-10</v>
      </c>
      <c r="P52" s="12">
        <v>2.0273155222462e-10</v>
      </c>
      <c r="Q52" s="12">
        <v>2.2349712739099e-10</v>
      </c>
      <c r="R52" s="12">
        <v>2.2988631527207e-10</v>
      </c>
      <c r="S52" s="12">
        <v>2.1775615344639e-10</v>
      </c>
      <c r="T52" s="12">
        <v>2.5851364987333e-10</v>
      </c>
      <c r="U52" s="12">
        <v>2.3199098881288e-10</v>
      </c>
      <c r="V52" s="12">
        <v>2.1987196482283e-10</v>
      </c>
      <c r="W52" s="12">
        <v>2.3552400646413e-10</v>
      </c>
      <c r="X52" s="12">
        <v>2.4752317107981e-10</v>
      </c>
      <c r="Y52" s="12">
        <v>1.9375321337707e-10</v>
      </c>
      <c r="Z52" s="12">
        <v>2.148604851803e-10</v>
      </c>
      <c r="AA52" s="12">
        <v>2.1715466432845e-10</v>
      </c>
      <c r="AB52" s="11">
        <v>0.9999945522239</v>
      </c>
      <c r="AC52" s="11">
        <v>0.88303297495606</v>
      </c>
      <c r="AD52" s="11">
        <v>0.027912493857735</v>
      </c>
      <c r="AE52" s="12">
        <v>7.6567330601026e-12</v>
      </c>
      <c r="AF52" s="12">
        <v>-6.9183802437546e-13</v>
      </c>
      <c r="AG52" s="12">
        <v>6.5135286206954e-13</v>
      </c>
      <c r="AH52" s="12">
        <v>4.6284852999476e-12</v>
      </c>
      <c r="AI52" s="12">
        <v>-1.6164457457914e-11</v>
      </c>
      <c r="AJ52" s="12">
        <v>-1.5241719433788e-12</v>
      </c>
      <c r="AK52" s="12">
        <v>8.8572442630076e-12</v>
      </c>
      <c r="AL52" s="12">
        <v>7.3836697846324e-15</v>
      </c>
      <c r="AM52" s="12">
        <v>1.1962667879186e-11</v>
      </c>
      <c r="AN52" s="12">
        <v>-2.0441715008036e-14</v>
      </c>
      <c r="AO52" s="12">
        <v>8.19827459968e-12</v>
      </c>
      <c r="AP52" s="12">
        <v>1.0896828335844e-11</v>
      </c>
      <c r="AQ52" s="12">
        <v>4.5874134776947e-13</v>
      </c>
      <c r="AR52" s="12">
        <v>6.019024043348e-12</v>
      </c>
      <c r="AS52" s="12">
        <v>2.7807657748154e-12</v>
      </c>
      <c r="AT52" s="12">
        <v>-1.6171740737186e-12</v>
      </c>
      <c r="AU52" s="12">
        <v>-8.878549263845e-13</v>
      </c>
      <c r="AV52" s="12">
        <v>-1.0364571263269e-11</v>
      </c>
      <c r="AW52" s="12">
        <v>1.0623167788813e-12</v>
      </c>
      <c r="AX52" s="12">
        <v>-9.0612373026462e-12</v>
      </c>
      <c r="AY52" s="12">
        <v>-3.3865389904875e-12</v>
      </c>
      <c r="AZ52" s="12">
        <v>1.0224622389726e-12</v>
      </c>
      <c r="BA52" s="12">
        <v>8.3310684968577e-12</v>
      </c>
      <c r="BB52" s="12">
        <v>1.3506225056632e-11</v>
      </c>
      <c r="BC52" s="11">
        <v>12394306.071045</v>
      </c>
      <c r="BD52" s="11">
        <v>2410693.9516545</v>
      </c>
      <c r="BE52" s="11">
        <v>0.012718472797006</v>
      </c>
      <c r="BF52" s="11">
        <v>0.011941189438431</v>
      </c>
      <c r="BG52" s="11">
        <v>0.027883038470641</v>
      </c>
      <c r="BH52" s="11">
        <v>-0.001909391500218</v>
      </c>
      <c r="BI52" s="11">
        <v>-0.0031136118491706</v>
      </c>
      <c r="BJ52" s="11">
        <v>34.963134260664</v>
      </c>
      <c r="BK52" s="11">
        <v>42.119670728375</v>
      </c>
      <c r="BL52" s="7"/>
    </row>
    <row r="53" spans="1:64">
      <c r="A53" s="11">
        <v>6840447.368035</v>
      </c>
      <c r="B53" s="11">
        <v>0.028611062044385</v>
      </c>
      <c r="C53" s="12">
        <f t="shared" si="1"/>
        <v>2.79995783995697e-9</v>
      </c>
      <c r="D53" s="12">
        <v>2.1511909091064e-10</v>
      </c>
      <c r="E53" s="12">
        <v>2.1157265321882e-10</v>
      </c>
      <c r="F53" s="12">
        <v>2.4579616004629e-10</v>
      </c>
      <c r="G53" s="12">
        <v>2.3554779897765e-10</v>
      </c>
      <c r="H53" s="12">
        <v>2.4812338368657e-10</v>
      </c>
      <c r="I53" s="12">
        <v>2.3476778031621e-10</v>
      </c>
      <c r="J53" s="12">
        <v>2.04120712533e-10</v>
      </c>
      <c r="K53" s="12">
        <v>2.3678819953197e-10</v>
      </c>
      <c r="L53" s="12">
        <v>2.2631771774322e-10</v>
      </c>
      <c r="M53" s="12">
        <v>2.2321463759895e-10</v>
      </c>
      <c r="N53" s="12">
        <v>1.958082205506e-10</v>
      </c>
      <c r="O53" s="12">
        <v>2.4344527897493e-10</v>
      </c>
      <c r="P53" s="12">
        <v>1.9905115247401e-10</v>
      </c>
      <c r="Q53" s="12">
        <v>2.194793140495e-10</v>
      </c>
      <c r="R53" s="12">
        <v>2.2528633804777e-10</v>
      </c>
      <c r="S53" s="12">
        <v>2.131754986804e-10</v>
      </c>
      <c r="T53" s="12">
        <v>2.5388967546881e-10</v>
      </c>
      <c r="U53" s="12">
        <v>2.2740119778809e-10</v>
      </c>
      <c r="V53" s="12">
        <v>2.1529510187304e-10</v>
      </c>
      <c r="W53" s="12">
        <v>2.3065433945201e-10</v>
      </c>
      <c r="X53" s="12">
        <v>2.4250513220756e-10</v>
      </c>
      <c r="Y53" s="12">
        <v>1.9006471230311e-10</v>
      </c>
      <c r="Z53" s="12">
        <v>2.1095724128557e-10</v>
      </c>
      <c r="AA53" s="12">
        <v>2.1316007572045e-10</v>
      </c>
      <c r="AB53" s="11">
        <v>0.99999736199315</v>
      </c>
      <c r="AC53" s="11">
        <v>0.88269195976481</v>
      </c>
      <c r="AD53" s="11">
        <v>0.028752505929954</v>
      </c>
      <c r="AE53" s="12">
        <v>7.5559312734952e-12</v>
      </c>
      <c r="AF53" s="12">
        <v>-7.1279470205123e-13</v>
      </c>
      <c r="AG53" s="12">
        <v>7.2107012226744e-13</v>
      </c>
      <c r="AH53" s="12">
        <v>4.3001160490741e-12</v>
      </c>
      <c r="AI53" s="12">
        <v>-1.6354045909314e-11</v>
      </c>
      <c r="AJ53" s="12">
        <v>-1.6289802060312e-12</v>
      </c>
      <c r="AK53" s="12">
        <v>8.6733546731096e-12</v>
      </c>
      <c r="AL53" s="12">
        <v>-2.1757390015978e-13</v>
      </c>
      <c r="AM53" s="12">
        <v>1.1528162563702e-11</v>
      </c>
      <c r="AN53" s="12">
        <v>-1.06135438783e-14</v>
      </c>
      <c r="AO53" s="12">
        <v>7.8427171420792e-12</v>
      </c>
      <c r="AP53" s="12">
        <v>1.0914853346942e-11</v>
      </c>
      <c r="AQ53" s="12">
        <v>4.6989717954881e-13</v>
      </c>
      <c r="AR53" s="12">
        <v>5.6141735065808e-12</v>
      </c>
      <c r="AS53" s="12">
        <v>2.7098119768582e-12</v>
      </c>
      <c r="AT53" s="12">
        <v>-1.7115888570935e-12</v>
      </c>
      <c r="AU53" s="12">
        <v>-1.3811583604243e-12</v>
      </c>
      <c r="AV53" s="12">
        <v>-1.0459439135383e-11</v>
      </c>
      <c r="AW53" s="12">
        <v>9.1755282927218e-13</v>
      </c>
      <c r="AX53" s="12">
        <v>-8.9050176323264e-12</v>
      </c>
      <c r="AY53" s="12">
        <v>-3.1665029136379e-12</v>
      </c>
      <c r="AZ53" s="12">
        <v>1.1888603144486e-12</v>
      </c>
      <c r="BA53" s="12">
        <v>8.2123279833687e-12</v>
      </c>
      <c r="BB53" s="12">
        <v>1.2976618577762e-11</v>
      </c>
      <c r="BC53" s="11">
        <v>12291109.334009</v>
      </c>
      <c r="BD53" s="11">
        <v>2377116.7906456</v>
      </c>
      <c r="BE53" s="11">
        <v>0.013154223033283</v>
      </c>
      <c r="BF53" s="11">
        <v>0.012354616203723</v>
      </c>
      <c r="BG53" s="11">
        <v>0.028654589824238</v>
      </c>
      <c r="BH53" s="11">
        <v>-0.0045135947867397</v>
      </c>
      <c r="BI53" s="11">
        <v>-0.0046610079340034</v>
      </c>
      <c r="BJ53" s="11">
        <v>34.959518007154</v>
      </c>
      <c r="BK53" s="11">
        <v>42.086520604189</v>
      </c>
      <c r="BL53" s="7"/>
    </row>
    <row r="54" spans="1:64">
      <c r="A54" s="11">
        <v>6986079.0898298</v>
      </c>
      <c r="B54" s="11">
        <v>0.029011104273583</v>
      </c>
      <c r="C54" s="12">
        <f t="shared" si="1"/>
        <v>2.74694430765348e-9</v>
      </c>
      <c r="D54" s="12">
        <v>2.1125796152874e-10</v>
      </c>
      <c r="E54" s="12">
        <v>2.075900214575e-10</v>
      </c>
      <c r="F54" s="12">
        <v>2.4176015943107e-10</v>
      </c>
      <c r="G54" s="12">
        <v>2.3172952877326e-10</v>
      </c>
      <c r="H54" s="12">
        <v>2.4406432612324e-10</v>
      </c>
      <c r="I54" s="12">
        <v>2.3081724349689e-10</v>
      </c>
      <c r="J54" s="12">
        <v>2.0025186364769e-10</v>
      </c>
      <c r="K54" s="12">
        <v>2.3263836587208e-10</v>
      </c>
      <c r="L54" s="12">
        <v>2.2250105937068e-10</v>
      </c>
      <c r="M54" s="12">
        <v>2.1929345250585e-10</v>
      </c>
      <c r="N54" s="12">
        <v>1.9236277236816e-10</v>
      </c>
      <c r="O54" s="12">
        <v>2.3952048967346e-10</v>
      </c>
      <c r="P54" s="12">
        <v>1.9566031302582e-10</v>
      </c>
      <c r="Q54" s="12">
        <v>2.1590405898391e-10</v>
      </c>
      <c r="R54" s="12">
        <v>2.2132023499536e-10</v>
      </c>
      <c r="S54" s="12">
        <v>2.092942965565e-10</v>
      </c>
      <c r="T54" s="12">
        <v>2.498105571905e-10</v>
      </c>
      <c r="U54" s="12">
        <v>2.23363134065e-10</v>
      </c>
      <c r="V54" s="12">
        <v>2.1161076279436e-10</v>
      </c>
      <c r="W54" s="12">
        <v>2.2672939811515e-10</v>
      </c>
      <c r="X54" s="12">
        <v>2.3834574002554e-10</v>
      </c>
      <c r="Y54" s="12">
        <v>1.8675689942869e-10</v>
      </c>
      <c r="Z54" s="12">
        <v>2.075444992611e-10</v>
      </c>
      <c r="AA54" s="12">
        <v>2.0939196599257e-10</v>
      </c>
      <c r="AB54" s="11">
        <v>0.99997435924937</v>
      </c>
      <c r="AC54" s="11">
        <v>0.88258846360727</v>
      </c>
      <c r="AD54" s="11">
        <v>0.029152337262747</v>
      </c>
      <c r="AE54" s="12">
        <v>7.5015162049835e-12</v>
      </c>
      <c r="AF54" s="12">
        <v>-7.4859810974927e-13</v>
      </c>
      <c r="AG54" s="12">
        <v>8.0446357600521e-13</v>
      </c>
      <c r="AH54" s="12">
        <v>4.3321538185941e-12</v>
      </c>
      <c r="AI54" s="12">
        <v>-1.6416957405384e-11</v>
      </c>
      <c r="AJ54" s="12">
        <v>-1.7053259242524e-12</v>
      </c>
      <c r="AK54" s="12">
        <v>8.5723489588386e-12</v>
      </c>
      <c r="AL54" s="12">
        <v>-4.0102194431103e-13</v>
      </c>
      <c r="AM54" s="12">
        <v>1.1140711722596e-11</v>
      </c>
      <c r="AN54" s="12">
        <v>-2.8199144969103e-13</v>
      </c>
      <c r="AO54" s="12">
        <v>7.5346919085626e-12</v>
      </c>
      <c r="AP54" s="12">
        <v>1.0799364847218e-11</v>
      </c>
      <c r="AQ54" s="12">
        <v>6.9030469209609e-13</v>
      </c>
      <c r="AR54" s="12">
        <v>5.2692953308334e-12</v>
      </c>
      <c r="AS54" s="12">
        <v>2.6582115289433e-12</v>
      </c>
      <c r="AT54" s="12">
        <v>-1.9387884171331e-12</v>
      </c>
      <c r="AU54" s="12">
        <v>-1.7420162576094e-12</v>
      </c>
      <c r="AV54" s="12">
        <v>-1.0641517882479e-11</v>
      </c>
      <c r="AW54" s="12">
        <v>8.88482152276e-13</v>
      </c>
      <c r="AX54" s="12">
        <v>-8.6613342253363e-12</v>
      </c>
      <c r="AY54" s="12">
        <v>-3.2247241083212e-12</v>
      </c>
      <c r="AZ54" s="12">
        <v>1.3758294110252e-12</v>
      </c>
      <c r="BA54" s="12">
        <v>8.1309384629774e-12</v>
      </c>
      <c r="BB54" s="12">
        <v>1.2305976863418e-11</v>
      </c>
      <c r="BC54" s="11">
        <v>12242189.56869</v>
      </c>
      <c r="BD54" s="11">
        <v>2361366.3854112</v>
      </c>
      <c r="BE54" s="11">
        <v>0.013362300092485</v>
      </c>
      <c r="BF54" s="11">
        <v>0.012552222823402</v>
      </c>
      <c r="BG54" s="11">
        <v>0.029020685564918</v>
      </c>
      <c r="BH54" s="11">
        <v>-0.0090399911707907</v>
      </c>
      <c r="BI54" s="11">
        <v>-0.010595522001833</v>
      </c>
      <c r="BJ54" s="11">
        <v>34.947127620367</v>
      </c>
      <c r="BK54" s="11">
        <v>42.053076512658</v>
      </c>
      <c r="BL54" s="7"/>
    </row>
    <row r="55" spans="1:64">
      <c r="A55" s="11">
        <v>7180645.6194996</v>
      </c>
      <c r="B55" s="11">
        <v>0.029538858836442</v>
      </c>
      <c r="C55" s="12">
        <f t="shared" si="1"/>
        <v>2.71246325745058e-9</v>
      </c>
      <c r="D55" s="12">
        <v>2.0801766190793e-10</v>
      </c>
      <c r="E55" s="12">
        <v>2.0448415047452e-10</v>
      </c>
      <c r="F55" s="12">
        <v>2.3858958258129e-10</v>
      </c>
      <c r="G55" s="12">
        <v>2.2836824992349e-10</v>
      </c>
      <c r="H55" s="12">
        <v>2.4085644623692e-10</v>
      </c>
      <c r="I55" s="12">
        <v>2.2760621358173e-10</v>
      </c>
      <c r="J55" s="12">
        <v>1.9716890007148e-10</v>
      </c>
      <c r="K55" s="12">
        <v>2.2913268432766e-10</v>
      </c>
      <c r="L55" s="12">
        <v>2.1905217519207e-10</v>
      </c>
      <c r="M55" s="12">
        <v>2.1566923598573e-10</v>
      </c>
      <c r="N55" s="12">
        <v>1.8968824373633e-10</v>
      </c>
      <c r="O55" s="12">
        <v>2.3644361764571e-10</v>
      </c>
      <c r="P55" s="12">
        <v>1.932007985742e-10</v>
      </c>
      <c r="Q55" s="12">
        <v>2.1298662270456e-10</v>
      </c>
      <c r="R55" s="12">
        <v>2.1814492073842e-10</v>
      </c>
      <c r="S55" s="12">
        <v>2.0609408137559e-10</v>
      </c>
      <c r="T55" s="12">
        <v>2.4653777198278e-10</v>
      </c>
      <c r="U55" s="12">
        <v>2.2024252909167e-10</v>
      </c>
      <c r="V55" s="12">
        <v>2.0830049378441e-10</v>
      </c>
      <c r="W55" s="12">
        <v>2.233188361152e-10</v>
      </c>
      <c r="X55" s="12">
        <v>2.3456523735034e-10</v>
      </c>
      <c r="Y55" s="12">
        <v>1.8424012511522e-10</v>
      </c>
      <c r="Z55" s="12">
        <v>2.0470552932647e-10</v>
      </c>
      <c r="AA55" s="12">
        <v>2.0671999263744e-10</v>
      </c>
      <c r="AB55" s="11">
        <v>0.99998995659976</v>
      </c>
      <c r="AC55" s="11">
        <v>0.88236094625275</v>
      </c>
      <c r="AD55" s="11">
        <v>0.029679871598495</v>
      </c>
      <c r="AE55" s="12">
        <v>7.3978020712501e-12</v>
      </c>
      <c r="AF55" s="12">
        <v>-7.4791189273324e-13</v>
      </c>
      <c r="AG55" s="12">
        <v>7.6340292566915e-13</v>
      </c>
      <c r="AH55" s="12">
        <v>3.7014387928952e-12</v>
      </c>
      <c r="AI55" s="12">
        <v>-1.6505594322234e-11</v>
      </c>
      <c r="AJ55" s="12">
        <v>-1.7750367103706e-12</v>
      </c>
      <c r="AK55" s="12">
        <v>8.3874621663111e-12</v>
      </c>
      <c r="AL55" s="12">
        <v>-5.1355755262277e-13</v>
      </c>
      <c r="AM55" s="12">
        <v>1.0869817536406e-11</v>
      </c>
      <c r="AN55" s="12">
        <v>-3.7491609860086e-14</v>
      </c>
      <c r="AO55" s="12">
        <v>7.3492585308827e-12</v>
      </c>
      <c r="AP55" s="12">
        <v>1.081829015159e-11</v>
      </c>
      <c r="AQ55" s="12">
        <v>5.2556610497185e-13</v>
      </c>
      <c r="AR55" s="12">
        <v>4.9834933063219e-12</v>
      </c>
      <c r="AS55" s="12">
        <v>2.5600137048543e-12</v>
      </c>
      <c r="AT55" s="12">
        <v>-1.8407588069997e-12</v>
      </c>
      <c r="AU55" s="12">
        <v>-2.1277347785162e-12</v>
      </c>
      <c r="AV55" s="12">
        <v>-1.0524607073254e-11</v>
      </c>
      <c r="AW55" s="12">
        <v>7.4707611080138e-13</v>
      </c>
      <c r="AX55" s="12">
        <v>-8.5746381089855e-12</v>
      </c>
      <c r="AY55" s="12">
        <v>-2.8960154525733e-12</v>
      </c>
      <c r="AZ55" s="12">
        <v>1.4208648947518e-12</v>
      </c>
      <c r="BA55" s="12">
        <v>8.0420232962919e-12</v>
      </c>
      <c r="BB55" s="12">
        <v>1.2069221103008e-11</v>
      </c>
      <c r="BC55" s="11">
        <v>12177855.66875</v>
      </c>
      <c r="BD55" s="11">
        <v>2340794.3135915</v>
      </c>
      <c r="BE55" s="11">
        <v>0.013637181219696</v>
      </c>
      <c r="BF55" s="11">
        <v>0.012813260530697</v>
      </c>
      <c r="BG55" s="11">
        <v>0.029502823967501</v>
      </c>
      <c r="BH55" s="11">
        <v>-0.0022320951533097</v>
      </c>
      <c r="BI55" s="11">
        <v>-0.0037359111054512</v>
      </c>
      <c r="BJ55" s="11">
        <v>34.949878608102</v>
      </c>
      <c r="BK55" s="11">
        <v>42.0300531184</v>
      </c>
      <c r="BL55" s="7"/>
    </row>
    <row r="56" spans="1:64">
      <c r="A56" s="11">
        <v>7446231.1056565</v>
      </c>
      <c r="B56" s="11">
        <v>0.030247390148449</v>
      </c>
      <c r="C56" s="12">
        <f t="shared" si="1"/>
        <v>2.66780885604727e-9</v>
      </c>
      <c r="D56" s="12">
        <v>2.04062514468e-10</v>
      </c>
      <c r="E56" s="12">
        <v>2.0052147179821e-10</v>
      </c>
      <c r="F56" s="12">
        <v>2.3466240848507e-10</v>
      </c>
      <c r="G56" s="12">
        <v>2.2455603796053e-10</v>
      </c>
      <c r="H56" s="12">
        <v>2.3686090626417e-10</v>
      </c>
      <c r="I56" s="12">
        <v>2.2358682754621e-10</v>
      </c>
      <c r="J56" s="12">
        <v>1.934348443556e-10</v>
      </c>
      <c r="K56" s="12">
        <v>2.2517878559743e-10</v>
      </c>
      <c r="L56" s="12">
        <v>2.1492329787411e-10</v>
      </c>
      <c r="M56" s="12">
        <v>2.123051097082e-10</v>
      </c>
      <c r="N56" s="12">
        <v>1.8630019596322e-10</v>
      </c>
      <c r="O56" s="12">
        <v>2.3246360661952e-10</v>
      </c>
      <c r="P56" s="12">
        <v>1.9018092625857e-10</v>
      </c>
      <c r="Q56" s="12">
        <v>2.0950928045782e-10</v>
      </c>
      <c r="R56" s="12">
        <v>2.1416131154702e-10</v>
      </c>
      <c r="S56" s="12">
        <v>2.022634328624e-10</v>
      </c>
      <c r="T56" s="12">
        <v>2.4258060721713e-10</v>
      </c>
      <c r="U56" s="12">
        <v>2.1652844608488e-10</v>
      </c>
      <c r="V56" s="12">
        <v>2.0447433793148e-10</v>
      </c>
      <c r="W56" s="12">
        <v>2.1917307484274e-10</v>
      </c>
      <c r="X56" s="12">
        <v>2.3125427104499e-10</v>
      </c>
      <c r="Y56" s="12">
        <v>1.8100268139247e-10</v>
      </c>
      <c r="Z56" s="12">
        <v>2.0132645947104e-10</v>
      </c>
      <c r="AA56" s="12">
        <v>2.0348701729446e-10</v>
      </c>
      <c r="AB56" s="11">
        <v>0.99999517527894</v>
      </c>
      <c r="AC56" s="11">
        <v>0.88212476956204</v>
      </c>
      <c r="AD56" s="11">
        <v>0.030388109355073</v>
      </c>
      <c r="AE56" s="12">
        <v>7.3425800989993e-12</v>
      </c>
      <c r="AF56" s="12">
        <v>-7.859850998516e-13</v>
      </c>
      <c r="AG56" s="12">
        <v>7.5902313396691e-13</v>
      </c>
      <c r="AH56" s="12">
        <v>4.0753716706352e-12</v>
      </c>
      <c r="AI56" s="12">
        <v>-1.6920203945099e-11</v>
      </c>
      <c r="AJ56" s="12">
        <v>-2.0348833924616e-12</v>
      </c>
      <c r="AK56" s="12">
        <v>8.2922151549019e-12</v>
      </c>
      <c r="AL56" s="12">
        <v>-7.7427770532892e-13</v>
      </c>
      <c r="AM56" s="12">
        <v>1.0512733411574e-11</v>
      </c>
      <c r="AN56" s="12">
        <v>-9.4255661965482e-14</v>
      </c>
      <c r="AO56" s="12">
        <v>7.0823899211247e-12</v>
      </c>
      <c r="AP56" s="12">
        <v>1.0691592943317e-11</v>
      </c>
      <c r="AQ56" s="12">
        <v>6.9854246417937e-13</v>
      </c>
      <c r="AR56" s="12">
        <v>4.6943366364136e-12</v>
      </c>
      <c r="AS56" s="12">
        <v>2.4206362537447e-12</v>
      </c>
      <c r="AT56" s="12">
        <v>-2.0786439460413e-12</v>
      </c>
      <c r="AU56" s="12">
        <v>-2.2522464633755e-12</v>
      </c>
      <c r="AV56" s="12">
        <v>-1.1043101705932e-11</v>
      </c>
      <c r="AW56" s="12">
        <v>6.948321648104e-13</v>
      </c>
      <c r="AX56" s="12">
        <v>-8.4340594715866e-12</v>
      </c>
      <c r="AY56" s="12">
        <v>-2.6117359456461e-12</v>
      </c>
      <c r="AZ56" s="12">
        <v>1.5225715042099e-12</v>
      </c>
      <c r="BA56" s="12">
        <v>7.9330890485155e-12</v>
      </c>
      <c r="BB56" s="12">
        <v>1.1593926533118e-11</v>
      </c>
      <c r="BC56" s="11">
        <v>12091860.569079</v>
      </c>
      <c r="BD56" s="11">
        <v>2313544.5327297</v>
      </c>
      <c r="BE56" s="11">
        <v>0.014006746157091</v>
      </c>
      <c r="BF56" s="11">
        <v>0.013164600860078</v>
      </c>
      <c r="BG56" s="11">
        <v>0.030148503521716</v>
      </c>
      <c r="BH56" s="11">
        <v>-0.0017732230944616</v>
      </c>
      <c r="BI56" s="11">
        <v>-0.0035817242974123</v>
      </c>
      <c r="BJ56" s="11">
        <v>34.950128172178</v>
      </c>
      <c r="BK56" s="11">
        <v>42.019668721657</v>
      </c>
      <c r="BL56" s="7"/>
    </row>
    <row r="57" spans="1:64">
      <c r="A57" s="11">
        <v>7670898.8153662</v>
      </c>
      <c r="B57" s="11">
        <v>0.0308355600364</v>
      </c>
      <c r="C57" s="12">
        <f t="shared" si="1"/>
        <v>2.61795470613464e-9</v>
      </c>
      <c r="D57" s="12">
        <v>2.0001152961684e-10</v>
      </c>
      <c r="E57" s="12">
        <v>1.9666426684545e-10</v>
      </c>
      <c r="F57" s="12">
        <v>2.3088725135161e-10</v>
      </c>
      <c r="G57" s="12">
        <v>2.1944677495007e-10</v>
      </c>
      <c r="H57" s="12">
        <v>2.3270869137808e-10</v>
      </c>
      <c r="I57" s="12">
        <v>2.1949229335449e-10</v>
      </c>
      <c r="J57" s="12">
        <v>1.8938439989619e-10</v>
      </c>
      <c r="K57" s="12">
        <v>2.2073500277634e-10</v>
      </c>
      <c r="L57" s="12">
        <v>2.1103831003798e-10</v>
      </c>
      <c r="M57" s="12">
        <v>2.072691603249e-10</v>
      </c>
      <c r="N57" s="12">
        <v>1.8380344477626e-10</v>
      </c>
      <c r="O57" s="12">
        <v>2.2836678839703e-10</v>
      </c>
      <c r="P57" s="12">
        <v>1.8792390661869e-10</v>
      </c>
      <c r="Q57" s="12">
        <v>2.0644440257376e-10</v>
      </c>
      <c r="R57" s="12">
        <v>2.1068672072905e-10</v>
      </c>
      <c r="S57" s="12">
        <v>1.9771148462651e-10</v>
      </c>
      <c r="T57" s="12">
        <v>2.3792365656485e-10</v>
      </c>
      <c r="U57" s="12">
        <v>2.1232649182365e-10</v>
      </c>
      <c r="V57" s="12">
        <v>2.0058701687872e-10</v>
      </c>
      <c r="W57" s="12">
        <v>2.152235250737e-10</v>
      </c>
      <c r="X57" s="12">
        <v>2.2568536059411e-10</v>
      </c>
      <c r="Y57" s="12">
        <v>1.7878926903665e-10</v>
      </c>
      <c r="Z57" s="12">
        <v>1.9835682281652e-10</v>
      </c>
      <c r="AA57" s="12">
        <v>2.0082946135262e-10</v>
      </c>
      <c r="AB57" s="11">
        <v>0.99996216556024</v>
      </c>
      <c r="AC57" s="11">
        <v>0.88031379060035</v>
      </c>
      <c r="AD57" s="11">
        <v>0.030975995283607</v>
      </c>
      <c r="AE57" s="12">
        <v>7.2371004860958e-12</v>
      </c>
      <c r="AF57" s="12">
        <v>-7.5392636957094e-13</v>
      </c>
      <c r="AG57" s="12">
        <v>6.3165449667476e-13</v>
      </c>
      <c r="AH57" s="12">
        <v>3.2357098561329e-12</v>
      </c>
      <c r="AI57" s="12">
        <v>-1.6782246251022e-11</v>
      </c>
      <c r="AJ57" s="12">
        <v>-2.162922522639e-12</v>
      </c>
      <c r="AK57" s="12">
        <v>8.0266452885929e-12</v>
      </c>
      <c r="AL57" s="12">
        <v>-8.7846264845246e-13</v>
      </c>
      <c r="AM57" s="12">
        <v>1.0042056423064e-11</v>
      </c>
      <c r="AN57" s="12">
        <v>-1.6869011289715e-14</v>
      </c>
      <c r="AO57" s="12">
        <v>6.734344860132e-12</v>
      </c>
      <c r="AP57" s="12">
        <v>1.0630570979675e-11</v>
      </c>
      <c r="AQ57" s="12">
        <v>2.0451575874143e-13</v>
      </c>
      <c r="AR57" s="12">
        <v>4.3163778132284e-12</v>
      </c>
      <c r="AS57" s="12">
        <v>2.2954249399509e-12</v>
      </c>
      <c r="AT57" s="12">
        <v>-1.9827768114815e-12</v>
      </c>
      <c r="AU57" s="12">
        <v>-2.7093533376611e-12</v>
      </c>
      <c r="AV57" s="12">
        <v>-1.0734106509645e-11</v>
      </c>
      <c r="AW57" s="12">
        <v>4.5353191645179e-13</v>
      </c>
      <c r="AX57" s="12">
        <v>-8.1857139630995e-12</v>
      </c>
      <c r="AY57" s="12">
        <v>-2.4853865334831e-12</v>
      </c>
      <c r="AZ57" s="12">
        <v>1.7371031641155e-12</v>
      </c>
      <c r="BA57" s="12">
        <v>7.8362835407206e-12</v>
      </c>
      <c r="BB57" s="12">
        <v>1.1585747999906e-11</v>
      </c>
      <c r="BC57" s="11">
        <v>12020795.982232</v>
      </c>
      <c r="BD57" s="11">
        <v>2291331.9858126</v>
      </c>
      <c r="BE57" s="11">
        <v>0.014314347368515</v>
      </c>
      <c r="BF57" s="11">
        <v>0.013456974346236</v>
      </c>
      <c r="BG57" s="11">
        <v>0.030682913245508</v>
      </c>
      <c r="BH57" s="11">
        <v>-0.011006393899549</v>
      </c>
      <c r="BI57" s="11">
        <v>-0.012578812811851</v>
      </c>
      <c r="BJ57" s="11">
        <v>34.941070453203</v>
      </c>
      <c r="BK57" s="11">
        <v>41.988889543099</v>
      </c>
      <c r="BL57" s="7"/>
    </row>
    <row r="58" spans="1:64">
      <c r="A58" s="11">
        <v>7890654.0245022</v>
      </c>
      <c r="B58" s="11">
        <v>0.031401830928157</v>
      </c>
      <c r="C58" s="12">
        <f t="shared" si="1"/>
        <v>2.57682579622745e-9</v>
      </c>
      <c r="D58" s="12">
        <v>1.9643297911611e-10</v>
      </c>
      <c r="E58" s="12">
        <v>1.928505946025e-10</v>
      </c>
      <c r="F58" s="12">
        <v>2.2674992868889e-10</v>
      </c>
      <c r="G58" s="12">
        <v>2.1613015459401e-10</v>
      </c>
      <c r="H58" s="12">
        <v>2.2894822924694e-10</v>
      </c>
      <c r="I58" s="12">
        <v>2.1580635487597e-10</v>
      </c>
      <c r="J58" s="12">
        <v>1.8602464218021e-10</v>
      </c>
      <c r="K58" s="12">
        <v>2.1675197601386e-10</v>
      </c>
      <c r="L58" s="12">
        <v>2.0722971344975e-10</v>
      </c>
      <c r="M58" s="12">
        <v>2.035053866405e-10</v>
      </c>
      <c r="N58" s="12">
        <v>1.8019824721308e-10</v>
      </c>
      <c r="O58" s="12">
        <v>2.2476137394729e-10</v>
      </c>
      <c r="P58" s="12">
        <v>1.8392534540154e-10</v>
      </c>
      <c r="Q58" s="12">
        <v>2.0268700372278e-10</v>
      </c>
      <c r="R58" s="12">
        <v>2.064806334225e-10</v>
      </c>
      <c r="S58" s="12">
        <v>1.9422979583102e-10</v>
      </c>
      <c r="T58" s="12">
        <v>2.342624596606e-10</v>
      </c>
      <c r="U58" s="12">
        <v>2.0879359384881e-10</v>
      </c>
      <c r="V58" s="12">
        <v>1.9688923081764e-10</v>
      </c>
      <c r="W58" s="12">
        <v>2.1134976656345e-10</v>
      </c>
      <c r="X58" s="12">
        <v>2.217583717676e-10</v>
      </c>
      <c r="Y58" s="12">
        <v>1.7522133790656e-10</v>
      </c>
      <c r="Z58" s="12">
        <v>1.9481375844823e-10</v>
      </c>
      <c r="AA58" s="12">
        <v>1.9650212231869e-10</v>
      </c>
      <c r="AB58" s="11">
        <v>0.9997092027816</v>
      </c>
      <c r="AC58" s="11">
        <v>0.88120742841221</v>
      </c>
      <c r="AD58" s="11">
        <v>0.031542044945373</v>
      </c>
      <c r="AE58" s="12">
        <v>7.0671950884954e-12</v>
      </c>
      <c r="AF58" s="12">
        <v>-7.3469822065112e-13</v>
      </c>
      <c r="AG58" s="12">
        <v>7.7358727372055e-13</v>
      </c>
      <c r="AH58" s="12">
        <v>3.213074694287e-12</v>
      </c>
      <c r="AI58" s="12">
        <v>-1.6799496543165e-11</v>
      </c>
      <c r="AJ58" s="12">
        <v>-2.1243913016467e-12</v>
      </c>
      <c r="AK58" s="12">
        <v>7.8677411391795e-12</v>
      </c>
      <c r="AL58" s="12">
        <v>-1.0046897715184e-12</v>
      </c>
      <c r="AM58" s="12">
        <v>9.7108251281854e-12</v>
      </c>
      <c r="AN58" s="12">
        <v>-5.8744942682341e-14</v>
      </c>
      <c r="AO58" s="12">
        <v>6.4966287258475e-12</v>
      </c>
      <c r="AP58" s="12">
        <v>1.0579291182291e-11</v>
      </c>
      <c r="AQ58" s="12">
        <v>4.8186664384244e-13</v>
      </c>
      <c r="AR58" s="12">
        <v>4.0375265984579e-12</v>
      </c>
      <c r="AS58" s="12">
        <v>2.2202406896246e-12</v>
      </c>
      <c r="AT58" s="12">
        <v>-2.1166900070035e-12</v>
      </c>
      <c r="AU58" s="12">
        <v>-3.1290448431645e-12</v>
      </c>
      <c r="AV58" s="12">
        <v>-1.0714213425343e-11</v>
      </c>
      <c r="AW58" s="12">
        <v>3.7833748931615e-13</v>
      </c>
      <c r="AX58" s="12">
        <v>-8.0180968399944e-12</v>
      </c>
      <c r="AY58" s="12">
        <v>-2.4021112954143e-12</v>
      </c>
      <c r="AZ58" s="12">
        <v>1.8353400014351e-12</v>
      </c>
      <c r="BA58" s="12">
        <v>7.749308681652e-12</v>
      </c>
      <c r="BB58" s="12">
        <v>1.0996081015707e-11</v>
      </c>
      <c r="BC58" s="11">
        <v>11952661.588408</v>
      </c>
      <c r="BD58" s="11">
        <v>2270256.8434431</v>
      </c>
      <c r="BE58" s="11">
        <v>0.014610950699122</v>
      </c>
      <c r="BF58" s="11">
        <v>0.013738825942016</v>
      </c>
      <c r="BG58" s="11">
        <v>0.031196321370921</v>
      </c>
      <c r="BH58" s="11">
        <v>-0.0027952491672779</v>
      </c>
      <c r="BI58" s="11">
        <v>-0.0044748756963832</v>
      </c>
      <c r="BJ58" s="11">
        <v>34.945885153541</v>
      </c>
      <c r="BK58" s="11">
        <v>41.965315357035</v>
      </c>
      <c r="BL58" s="7"/>
    </row>
    <row r="59" spans="1:64">
      <c r="A59" s="11">
        <v>8089576.1709983</v>
      </c>
      <c r="B59" s="11">
        <v>0.031906716141037</v>
      </c>
      <c r="C59" s="12">
        <f t="shared" si="1"/>
        <v>2.53810458902272e-9</v>
      </c>
      <c r="D59" s="12">
        <v>1.9401301588204e-10</v>
      </c>
      <c r="E59" s="12">
        <v>1.9051069192602e-10</v>
      </c>
      <c r="F59" s="12">
        <v>2.2432590470351e-10</v>
      </c>
      <c r="G59" s="12">
        <v>2.1373181859672e-10</v>
      </c>
      <c r="H59" s="12">
        <v>2.264646187617e-10</v>
      </c>
      <c r="I59" s="12">
        <v>2.1340231354028e-10</v>
      </c>
      <c r="J59" s="12">
        <v>1.8370350694503e-10</v>
      </c>
      <c r="K59" s="12">
        <v>2.1418995890448e-10</v>
      </c>
      <c r="L59" s="12">
        <v>2.0471341710624e-10</v>
      </c>
      <c r="M59" s="12">
        <v>2.010988089212e-10</v>
      </c>
      <c r="N59" s="12">
        <v>1.7804099313603e-10</v>
      </c>
      <c r="O59" s="12">
        <v>2.2240711935178e-10</v>
      </c>
      <c r="P59" s="12">
        <v>1.8230107211763e-10</v>
      </c>
      <c r="Q59" s="12">
        <v>2.004880293998e-10</v>
      </c>
      <c r="R59" s="12">
        <v>2.040466584821e-10</v>
      </c>
      <c r="S59" s="12">
        <v>1.9191349839188e-10</v>
      </c>
      <c r="T59" s="12">
        <v>2.3180385676279e-10</v>
      </c>
      <c r="U59" s="12">
        <v>2.0637982371602e-10</v>
      </c>
      <c r="V59" s="12">
        <v>1.9451161661456e-10</v>
      </c>
      <c r="W59" s="12">
        <v>2.0877211971261e-10</v>
      </c>
      <c r="X59" s="12">
        <v>2.1927649364074e-10</v>
      </c>
      <c r="Y59" s="12">
        <v>1.7325964778411e-10</v>
      </c>
      <c r="Z59" s="12">
        <v>1.9254959261284e-10</v>
      </c>
      <c r="AA59" s="12">
        <v>1.947734395497e-10</v>
      </c>
      <c r="AB59" s="11">
        <v>0.9999941882398</v>
      </c>
      <c r="AC59" s="11">
        <v>0.88103291288917</v>
      </c>
      <c r="AD59" s="11">
        <v>0.032046733605987</v>
      </c>
      <c r="AE59" s="12">
        <v>6.9749772403858e-12</v>
      </c>
      <c r="AF59" s="12">
        <v>-7.350355950677e-13</v>
      </c>
      <c r="AG59" s="12">
        <v>8.059107488817e-13</v>
      </c>
      <c r="AH59" s="12">
        <v>2.661382054997e-12</v>
      </c>
      <c r="AI59" s="12">
        <v>-1.6791560847107e-11</v>
      </c>
      <c r="AJ59" s="12">
        <v>-2.2213015727807e-12</v>
      </c>
      <c r="AK59" s="12">
        <v>7.702448748124e-12</v>
      </c>
      <c r="AL59" s="12">
        <v>-1.0877708110051e-12</v>
      </c>
      <c r="AM59" s="12">
        <v>9.5191444436885e-12</v>
      </c>
      <c r="AN59" s="12">
        <v>5.7168437858572e-14</v>
      </c>
      <c r="AO59" s="12">
        <v>6.3640046252182e-12</v>
      </c>
      <c r="AP59" s="12">
        <v>1.047510901343e-11</v>
      </c>
      <c r="AQ59" s="12">
        <v>4.9172986095551e-13</v>
      </c>
      <c r="AR59" s="12">
        <v>3.7983021105844e-12</v>
      </c>
      <c r="AS59" s="12">
        <v>2.1413051378085e-12</v>
      </c>
      <c r="AT59" s="12">
        <v>-2.1174259345081e-12</v>
      </c>
      <c r="AU59" s="12">
        <v>-3.5546863566072e-12</v>
      </c>
      <c r="AV59" s="12">
        <v>-1.0588339631001e-11</v>
      </c>
      <c r="AW59" s="12">
        <v>3.0916156010078e-13</v>
      </c>
      <c r="AX59" s="12">
        <v>-7.9435665657068e-12</v>
      </c>
      <c r="AY59" s="12">
        <v>-2.3123525023982e-12</v>
      </c>
      <c r="AZ59" s="12">
        <v>1.876782489761e-12</v>
      </c>
      <c r="BA59" s="12">
        <v>7.7008965767251e-12</v>
      </c>
      <c r="BB59" s="12">
        <v>1.0705493542567e-11</v>
      </c>
      <c r="BC59" s="11">
        <v>11892158.966381</v>
      </c>
      <c r="BD59" s="11">
        <v>2251732.9654829</v>
      </c>
      <c r="BE59" s="11">
        <v>0.014875762863712</v>
      </c>
      <c r="BF59" s="11">
        <v>0.013990578573721</v>
      </c>
      <c r="BG59" s="11">
        <v>0.031653088082783</v>
      </c>
      <c r="BH59" s="11">
        <v>-0.005413468798233</v>
      </c>
      <c r="BI59" s="11">
        <v>-0.0068266322079585</v>
      </c>
      <c r="BJ59" s="11">
        <v>34.951624571002</v>
      </c>
      <c r="BK59" s="11">
        <v>41.959836316155</v>
      </c>
      <c r="BL59" s="7"/>
    </row>
    <row r="60" spans="1:64">
      <c r="A60" s="11">
        <v>8304191.3035525</v>
      </c>
      <c r="B60" s="11">
        <v>0.032444104670955</v>
      </c>
      <c r="C60" s="12">
        <f t="shared" si="1"/>
        <v>2.50396383294307e-9</v>
      </c>
      <c r="D60" s="12">
        <v>1.9078346883462e-10</v>
      </c>
      <c r="E60" s="12">
        <v>1.8753111193047e-10</v>
      </c>
      <c r="F60" s="12">
        <v>2.2143770936751e-10</v>
      </c>
      <c r="G60" s="12">
        <v>2.1012281029217e-10</v>
      </c>
      <c r="H60" s="12">
        <v>2.2307075391824e-10</v>
      </c>
      <c r="I60" s="12">
        <v>2.1008655985401e-10</v>
      </c>
      <c r="J60" s="12">
        <v>1.8052200662629e-10</v>
      </c>
      <c r="K60" s="12">
        <v>2.1076410338751e-10</v>
      </c>
      <c r="L60" s="12">
        <v>2.0152972000138e-10</v>
      </c>
      <c r="M60" s="12">
        <v>1.9775758421749e-10</v>
      </c>
      <c r="N60" s="12">
        <v>1.7610691398451e-10</v>
      </c>
      <c r="O60" s="12">
        <v>2.1900651430342e-10</v>
      </c>
      <c r="P60" s="12">
        <v>1.8089169399247e-10</v>
      </c>
      <c r="Q60" s="12">
        <v>1.9841705582227e-10</v>
      </c>
      <c r="R60" s="12">
        <v>2.0133109564655e-10</v>
      </c>
      <c r="S60" s="12">
        <v>1.8858137139095e-10</v>
      </c>
      <c r="T60" s="12">
        <v>2.2838979686139e-10</v>
      </c>
      <c r="U60" s="12">
        <v>2.0315238878275e-10</v>
      </c>
      <c r="V60" s="12">
        <v>1.9147699312335e-10</v>
      </c>
      <c r="W60" s="12">
        <v>2.0549261560635e-10</v>
      </c>
      <c r="X60" s="12">
        <v>2.1564710378092e-10</v>
      </c>
      <c r="Y60" s="12">
        <v>1.7155693883155e-10</v>
      </c>
      <c r="Z60" s="12">
        <v>1.9023342401872e-10</v>
      </c>
      <c r="AA60" s="12">
        <v>1.9350737436479e-10</v>
      </c>
      <c r="AB60" s="11">
        <v>0.9999544122997</v>
      </c>
      <c r="AC60" s="11">
        <v>0.87956745109886</v>
      </c>
      <c r="AD60" s="11">
        <v>0.032583919581404</v>
      </c>
      <c r="AE60" s="12">
        <v>7.0268361625679e-12</v>
      </c>
      <c r="AF60" s="12">
        <v>-7.299967401402e-13</v>
      </c>
      <c r="AG60" s="12">
        <v>7.3538743384308e-13</v>
      </c>
      <c r="AH60" s="12">
        <v>2.6459062772689e-12</v>
      </c>
      <c r="AI60" s="12">
        <v>-1.6949358165052e-11</v>
      </c>
      <c r="AJ60" s="12">
        <v>-2.4590777317128e-12</v>
      </c>
      <c r="AK60" s="12">
        <v>7.5798965322315e-12</v>
      </c>
      <c r="AL60" s="12">
        <v>-1.3004821652868e-12</v>
      </c>
      <c r="AM60" s="12">
        <v>9.1599175213691e-12</v>
      </c>
      <c r="AN60" s="12">
        <v>-1.4655311712288e-13</v>
      </c>
      <c r="AO60" s="12">
        <v>6.0743845191769e-12</v>
      </c>
      <c r="AP60" s="12">
        <v>1.0387860575125e-11</v>
      </c>
      <c r="AQ60" s="12">
        <v>3.1684575807421e-13</v>
      </c>
      <c r="AR60" s="12">
        <v>3.4657262930693e-12</v>
      </c>
      <c r="AS60" s="12">
        <v>1.9901549509197e-12</v>
      </c>
      <c r="AT60" s="12">
        <v>-2.22362027356e-12</v>
      </c>
      <c r="AU60" s="12">
        <v>-3.7599592618012e-12</v>
      </c>
      <c r="AV60" s="12">
        <v>-1.0764276493711e-11</v>
      </c>
      <c r="AW60" s="12">
        <v>2.3311580496829e-13</v>
      </c>
      <c r="AX60" s="12">
        <v>-7.7867403596372e-12</v>
      </c>
      <c r="AY60" s="12">
        <v>-2.2019380872368e-12</v>
      </c>
      <c r="AZ60" s="12">
        <v>2.0367889915679e-12</v>
      </c>
      <c r="BA60" s="12">
        <v>7.6057010691514e-12</v>
      </c>
      <c r="BB60" s="12">
        <v>1.0464220919834e-11</v>
      </c>
      <c r="BC60" s="11">
        <v>11827997.885638</v>
      </c>
      <c r="BD60" s="11">
        <v>2232290.8869403</v>
      </c>
      <c r="BE60" s="11">
        <v>0.015157852979391</v>
      </c>
      <c r="BF60" s="11">
        <v>0.014259067588647</v>
      </c>
      <c r="BG60" s="11">
        <v>0.032138319313233</v>
      </c>
      <c r="BH60" s="11">
        <v>0.0092804793660901</v>
      </c>
      <c r="BI60" s="11">
        <v>0.0075885409651461</v>
      </c>
      <c r="BJ60" s="11">
        <v>34.951935850027</v>
      </c>
      <c r="BK60" s="11">
        <v>41.94170842649</v>
      </c>
      <c r="BL60" s="7"/>
    </row>
    <row r="61" spans="1:64">
      <c r="A61" s="11">
        <v>8495676.0814528</v>
      </c>
      <c r="B61" s="11">
        <v>0.032917300295468</v>
      </c>
      <c r="C61" s="12">
        <f t="shared" si="1"/>
        <v>2.47119186027088e-9</v>
      </c>
      <c r="D61" s="12">
        <v>1.8810964913966e-10</v>
      </c>
      <c r="E61" s="12">
        <v>1.8476946066026e-10</v>
      </c>
      <c r="F61" s="12">
        <v>2.1852387210759e-10</v>
      </c>
      <c r="G61" s="12">
        <v>2.0832600403786e-10</v>
      </c>
      <c r="H61" s="12">
        <v>2.2059460475237e-10</v>
      </c>
      <c r="I61" s="12">
        <v>2.0742643867518e-10</v>
      </c>
      <c r="J61" s="12">
        <v>1.781523587939e-10</v>
      </c>
      <c r="K61" s="12">
        <v>2.0761006067728e-10</v>
      </c>
      <c r="L61" s="12">
        <v>1.9882895232437e-10</v>
      </c>
      <c r="M61" s="12">
        <v>1.9512769405037e-10</v>
      </c>
      <c r="N61" s="12">
        <v>1.7286863575949e-10</v>
      </c>
      <c r="O61" s="12">
        <v>2.1650906007128e-10</v>
      </c>
      <c r="P61" s="12">
        <v>1.7695026517401e-10</v>
      </c>
      <c r="Q61" s="12">
        <v>1.9516717856528e-10</v>
      </c>
      <c r="R61" s="12">
        <v>1.9831140361947e-10</v>
      </c>
      <c r="S61" s="12">
        <v>1.86370485355e-10</v>
      </c>
      <c r="T61" s="12">
        <v>2.2601202085776e-10</v>
      </c>
      <c r="U61" s="12">
        <v>2.0086179955474e-10</v>
      </c>
      <c r="V61" s="12">
        <v>1.8883042484923e-10</v>
      </c>
      <c r="W61" s="12">
        <v>2.0263397464562e-10</v>
      </c>
      <c r="X61" s="12">
        <v>2.1269944973672e-10</v>
      </c>
      <c r="Y61" s="12">
        <v>1.6819954086065e-10</v>
      </c>
      <c r="Z61" s="12">
        <v>1.8738124824479e-10</v>
      </c>
      <c r="AA61" s="12">
        <v>1.8908715271343e-10</v>
      </c>
      <c r="AB61" s="11">
        <v>0.9996519930736</v>
      </c>
      <c r="AC61" s="11">
        <v>0.88048872732969</v>
      </c>
      <c r="AD61" s="11">
        <v>0.033056881952439</v>
      </c>
      <c r="AE61" s="12">
        <v>6.9980169791374e-12</v>
      </c>
      <c r="AF61" s="12">
        <v>-7.6248905233033e-13</v>
      </c>
      <c r="AG61" s="12">
        <v>8.7107756994689e-13</v>
      </c>
      <c r="AH61" s="12">
        <v>2.6214124040757e-12</v>
      </c>
      <c r="AI61" s="12">
        <v>-1.7081667882875e-11</v>
      </c>
      <c r="AJ61" s="12">
        <v>-2.4944963337896e-12</v>
      </c>
      <c r="AK61" s="12">
        <v>7.5857308909833e-12</v>
      </c>
      <c r="AL61" s="12">
        <v>-1.5315784473578e-12</v>
      </c>
      <c r="AM61" s="12">
        <v>8.932095065974e-12</v>
      </c>
      <c r="AN61" s="12">
        <v>-3.8521129109516e-13</v>
      </c>
      <c r="AO61" s="12">
        <v>5.8868754622284e-12</v>
      </c>
      <c r="AP61" s="12">
        <v>1.040024988009e-11</v>
      </c>
      <c r="AQ61" s="12">
        <v>7.7397461415783e-13</v>
      </c>
      <c r="AR61" s="12">
        <v>3.2447343882732e-12</v>
      </c>
      <c r="AS61" s="12">
        <v>1.9111020550588e-12</v>
      </c>
      <c r="AT61" s="12">
        <v>-2.3678284944673e-12</v>
      </c>
      <c r="AU61" s="12">
        <v>-4.0529785169693e-12</v>
      </c>
      <c r="AV61" s="12">
        <v>-1.0987479034273e-11</v>
      </c>
      <c r="AW61" s="12">
        <v>2.7702651266712e-13</v>
      </c>
      <c r="AX61" s="12">
        <v>-7.6047555042018e-12</v>
      </c>
      <c r="AY61" s="12">
        <v>-2.0622078803328e-12</v>
      </c>
      <c r="AZ61" s="12">
        <v>2.1339798637136e-12</v>
      </c>
      <c r="BA61" s="12">
        <v>7.5573752677701e-12</v>
      </c>
      <c r="BB61" s="12">
        <v>9.7405099962653e-12</v>
      </c>
      <c r="BC61" s="11">
        <v>11771697.526832</v>
      </c>
      <c r="BD61" s="11">
        <v>2215393.859301</v>
      </c>
      <c r="BE61" s="11">
        <v>0.015406849110837</v>
      </c>
      <c r="BF61" s="11">
        <v>0.014496006356253</v>
      </c>
      <c r="BG61" s="11">
        <v>0.032564571936783</v>
      </c>
      <c r="BH61" s="11">
        <v>-0.0024151920845289</v>
      </c>
      <c r="BI61" s="11">
        <v>-0.0042081582017165</v>
      </c>
      <c r="BJ61" s="11">
        <v>34.94234619513</v>
      </c>
      <c r="BK61" s="11">
        <v>41.924592661051</v>
      </c>
      <c r="BL61" s="7"/>
    </row>
    <row r="62" spans="1:64">
      <c r="A62" s="11">
        <v>8662544.0724003</v>
      </c>
      <c r="B62" s="11">
        <v>0.033324172226109</v>
      </c>
      <c r="C62" s="12">
        <f t="shared" si="1"/>
        <v>2.43828626647161e-9</v>
      </c>
      <c r="D62" s="12">
        <v>1.85781363256e-10</v>
      </c>
      <c r="E62" s="12">
        <v>1.8250281984028e-10</v>
      </c>
      <c r="F62" s="12">
        <v>2.1601787160276e-10</v>
      </c>
      <c r="G62" s="12">
        <v>2.0533920536451e-10</v>
      </c>
      <c r="H62" s="12">
        <v>2.1803798507719e-10</v>
      </c>
      <c r="I62" s="12">
        <v>2.0508299945207e-10</v>
      </c>
      <c r="J62" s="12">
        <v>1.7585680023856e-10</v>
      </c>
      <c r="K62" s="12">
        <v>2.0549737941771e-10</v>
      </c>
      <c r="L62" s="12">
        <v>1.9648121641737e-10</v>
      </c>
      <c r="M62" s="12">
        <v>1.9273316437623e-10</v>
      </c>
      <c r="N62" s="12">
        <v>1.7099430443292e-10</v>
      </c>
      <c r="O62" s="12">
        <v>2.1417073994283e-10</v>
      </c>
      <c r="P62" s="12">
        <v>1.7547609718935e-10</v>
      </c>
      <c r="Q62" s="12">
        <v>1.9274102421888e-10</v>
      </c>
      <c r="R62" s="12">
        <v>1.959414395062e-10</v>
      </c>
      <c r="S62" s="12">
        <v>1.8383386665442e-10</v>
      </c>
      <c r="T62" s="12">
        <v>2.2320574770593e-10</v>
      </c>
      <c r="U62" s="12">
        <v>1.9829436563464e-10</v>
      </c>
      <c r="V62" s="12">
        <v>1.8657925542089e-10</v>
      </c>
      <c r="W62" s="12">
        <v>2.0033236867336e-10</v>
      </c>
      <c r="X62" s="12">
        <v>2.1037960422163e-10</v>
      </c>
      <c r="Y62" s="12">
        <v>1.6661735387298e-10</v>
      </c>
      <c r="Z62" s="12">
        <v>1.8509827766374e-10</v>
      </c>
      <c r="AA62" s="12">
        <v>1.8717193173665e-10</v>
      </c>
      <c r="AB62" s="11">
        <v>0.99999299524183</v>
      </c>
      <c r="AC62" s="11">
        <v>0.8800435727668</v>
      </c>
      <c r="AD62" s="11">
        <v>0.033463622034611</v>
      </c>
      <c r="AE62" s="12">
        <v>6.7844429349801e-12</v>
      </c>
      <c r="AF62" s="12">
        <v>-7.9002787828147e-13</v>
      </c>
      <c r="AG62" s="12">
        <v>8.087517423434e-13</v>
      </c>
      <c r="AH62" s="12">
        <v>2.1672463111722e-12</v>
      </c>
      <c r="AI62" s="12">
        <v>-1.7015418909489e-11</v>
      </c>
      <c r="AJ62" s="12">
        <v>-2.5209644401022e-12</v>
      </c>
      <c r="AK62" s="12">
        <v>7.374202211269e-12</v>
      </c>
      <c r="AL62" s="12">
        <v>-1.5211196675955e-12</v>
      </c>
      <c r="AM62" s="12">
        <v>8.7651100045702e-12</v>
      </c>
      <c r="AN62" s="12">
        <v>8.7005062253849e-15</v>
      </c>
      <c r="AO62" s="12">
        <v>5.7947436683036e-12</v>
      </c>
      <c r="AP62" s="12">
        <v>1.0293491608816e-11</v>
      </c>
      <c r="AQ62" s="12">
        <v>4.8791528140273e-13</v>
      </c>
      <c r="AR62" s="12">
        <v>3.1069746901296e-12</v>
      </c>
      <c r="AS62" s="12">
        <v>1.9246976078866e-12</v>
      </c>
      <c r="AT62" s="12">
        <v>-2.2979172117841e-12</v>
      </c>
      <c r="AU62" s="12">
        <v>-4.2796620906403e-12</v>
      </c>
      <c r="AV62" s="12">
        <v>-1.0750071131512e-11</v>
      </c>
      <c r="AW62" s="12">
        <v>1.3624790320989e-13</v>
      </c>
      <c r="AX62" s="12">
        <v>-7.5915953791827e-12</v>
      </c>
      <c r="AY62" s="12">
        <v>-1.9088630296944e-12</v>
      </c>
      <c r="AZ62" s="12">
        <v>2.160004957665e-12</v>
      </c>
      <c r="BA62" s="12">
        <v>7.4942619137132e-12</v>
      </c>
      <c r="BB62" s="12">
        <v>9.8780932982879e-12</v>
      </c>
      <c r="BC62" s="11">
        <v>11723478.02468</v>
      </c>
      <c r="BD62" s="11">
        <v>2201058.6430754</v>
      </c>
      <c r="BE62" s="11">
        <v>0.015620935058881</v>
      </c>
      <c r="BF62" s="11">
        <v>0.014699782970508</v>
      </c>
      <c r="BG62" s="11">
        <v>0.032930615506568</v>
      </c>
      <c r="BH62" s="11">
        <v>-0.0022074876070386</v>
      </c>
      <c r="BI62" s="11">
        <v>-0.0032428677277292</v>
      </c>
      <c r="BJ62" s="11">
        <v>34.950940689696</v>
      </c>
      <c r="BK62" s="11">
        <v>41.929387145643</v>
      </c>
      <c r="BL62" s="7"/>
    </row>
    <row r="63" spans="1:64">
      <c r="A63" s="11">
        <v>8952258.173642</v>
      </c>
      <c r="B63" s="11">
        <v>0.034020617691013</v>
      </c>
      <c r="C63" s="12">
        <f t="shared" si="1"/>
        <v>2.40390599532115e-9</v>
      </c>
      <c r="D63" s="12">
        <v>1.8195583069996e-10</v>
      </c>
      <c r="E63" s="12">
        <v>1.7828088777778e-10</v>
      </c>
      <c r="F63" s="12">
        <v>2.1171461658498e-10</v>
      </c>
      <c r="G63" s="12">
        <v>2.0089215553672e-10</v>
      </c>
      <c r="H63" s="12">
        <v>2.1413156828104e-10</v>
      </c>
      <c r="I63" s="12">
        <v>2.0114433118705e-10</v>
      </c>
      <c r="J63" s="12">
        <v>1.7222282812222e-10</v>
      </c>
      <c r="K63" s="12">
        <v>2.0111102420621e-10</v>
      </c>
      <c r="L63" s="12">
        <v>1.9227922284248e-10</v>
      </c>
      <c r="M63" s="12">
        <v>1.886614192039e-10</v>
      </c>
      <c r="N63" s="12">
        <v>1.6790847988825e-10</v>
      </c>
      <c r="O63" s="12">
        <v>2.1022472413263e-10</v>
      </c>
      <c r="P63" s="12">
        <v>1.7299604857734e-10</v>
      </c>
      <c r="Q63" s="12">
        <v>1.8948860073859e-10</v>
      </c>
      <c r="R63" s="12">
        <v>1.9169458272651e-10</v>
      </c>
      <c r="S63" s="12">
        <v>1.7958218275717e-10</v>
      </c>
      <c r="T63" s="12">
        <v>2.1872680880976e-10</v>
      </c>
      <c r="U63" s="12">
        <v>1.9461786592136e-10</v>
      </c>
      <c r="V63" s="12">
        <v>1.8253741059795e-10</v>
      </c>
      <c r="W63" s="12">
        <v>1.9601069453488e-10</v>
      </c>
      <c r="X63" s="12">
        <v>2.060572710714e-10</v>
      </c>
      <c r="Y63" s="12">
        <v>1.6378885950231e-10</v>
      </c>
      <c r="Z63" s="12">
        <v>1.8180363811039e-10</v>
      </c>
      <c r="AA63" s="12">
        <v>1.845956844836e-10</v>
      </c>
      <c r="AB63" s="11">
        <v>0.99994503165419</v>
      </c>
      <c r="AC63" s="11">
        <v>0.87935455683526</v>
      </c>
      <c r="AD63" s="11">
        <v>0.034159791791142</v>
      </c>
      <c r="AE63" s="12">
        <v>6.6506789217834e-12</v>
      </c>
      <c r="AF63" s="12">
        <v>-7.6376913321455e-13</v>
      </c>
      <c r="AG63" s="12">
        <v>8.2509873855274e-13</v>
      </c>
      <c r="AH63" s="12">
        <v>1.8944760083798e-12</v>
      </c>
      <c r="AI63" s="12">
        <v>-1.7067835114228e-11</v>
      </c>
      <c r="AJ63" s="12">
        <v>-2.6425798737975e-12</v>
      </c>
      <c r="AK63" s="12">
        <v>7.1328537773092e-12</v>
      </c>
      <c r="AL63" s="12">
        <v>-1.6863192252577e-12</v>
      </c>
      <c r="AM63" s="12">
        <v>8.3479382323886e-12</v>
      </c>
      <c r="AN63" s="12">
        <v>3.9449306314928e-14</v>
      </c>
      <c r="AO63" s="12">
        <v>5.4825548217382e-12</v>
      </c>
      <c r="AP63" s="12">
        <v>1.0188525287212e-11</v>
      </c>
      <c r="AQ63" s="12">
        <v>3.4886784299407e-13</v>
      </c>
      <c r="AR63" s="12">
        <v>2.7877784305045e-12</v>
      </c>
      <c r="AS63" s="12">
        <v>1.7587324709867e-12</v>
      </c>
      <c r="AT63" s="12">
        <v>-2.4082488515687e-12</v>
      </c>
      <c r="AU63" s="12">
        <v>-4.7160890589701e-12</v>
      </c>
      <c r="AV63" s="12">
        <v>-1.0691048481321e-11</v>
      </c>
      <c r="AW63" s="12">
        <v>9.1783044309307e-15</v>
      </c>
      <c r="AX63" s="12">
        <v>-7.4061107855713e-12</v>
      </c>
      <c r="AY63" s="12">
        <v>-1.7361776531098e-12</v>
      </c>
      <c r="AZ63" s="12">
        <v>2.3019473977722e-12</v>
      </c>
      <c r="BA63" s="12">
        <v>7.3865113378518e-12</v>
      </c>
      <c r="BB63" s="12">
        <v>9.6640073898453e-12</v>
      </c>
      <c r="BC63" s="11">
        <v>11641288.937614</v>
      </c>
      <c r="BD63" s="11">
        <v>2176953.5629199</v>
      </c>
      <c r="BE63" s="11">
        <v>0.015987786362474</v>
      </c>
      <c r="BF63" s="11">
        <v>0.015048868729878</v>
      </c>
      <c r="BG63" s="11">
        <v>0.033555854150684</v>
      </c>
      <c r="BH63" s="11">
        <v>0.0054678266388397</v>
      </c>
      <c r="BI63" s="11">
        <v>0.0036490721397212</v>
      </c>
      <c r="BJ63" s="11">
        <v>34.945660562058</v>
      </c>
      <c r="BK63" s="11">
        <v>41.916352521432</v>
      </c>
      <c r="BL63" s="7"/>
    </row>
    <row r="64" spans="1:64">
      <c r="A64" s="11">
        <v>9132355.05001</v>
      </c>
      <c r="B64" s="11">
        <v>0.034447032718404</v>
      </c>
      <c r="C64" s="12">
        <f t="shared" si="1"/>
        <v>2.36769807445015e-9</v>
      </c>
      <c r="D64" s="12">
        <v>1.7968961573888e-10</v>
      </c>
      <c r="E64" s="12">
        <v>1.7628664980202e-10</v>
      </c>
      <c r="F64" s="12">
        <v>2.0956086804139e-10</v>
      </c>
      <c r="G64" s="12">
        <v>1.9873869501935e-10</v>
      </c>
      <c r="H64" s="12">
        <v>2.1181326315833e-10</v>
      </c>
      <c r="I64" s="12">
        <v>1.989093686998e-10</v>
      </c>
      <c r="J64" s="12">
        <v>1.7006034257487e-10</v>
      </c>
      <c r="K64" s="12">
        <v>1.9864241333079e-10</v>
      </c>
      <c r="L64" s="12">
        <v>1.9009933216687e-10</v>
      </c>
      <c r="M64" s="12">
        <v>1.8623168959583e-10</v>
      </c>
      <c r="N64" s="12">
        <v>1.6573119291889e-10</v>
      </c>
      <c r="O64" s="12">
        <v>2.0799239601563e-10</v>
      </c>
      <c r="P64" s="12">
        <v>1.7047571448199e-10</v>
      </c>
      <c r="Q64" s="12">
        <v>1.8693473874618e-10</v>
      </c>
      <c r="R64" s="12">
        <v>1.8966494732853e-10</v>
      </c>
      <c r="S64" s="12">
        <v>1.7754113352127e-10</v>
      </c>
      <c r="T64" s="12">
        <v>2.164855340949e-10</v>
      </c>
      <c r="U64" s="12">
        <v>1.9238053626492e-10</v>
      </c>
      <c r="V64" s="12">
        <v>1.8041516686823e-10</v>
      </c>
      <c r="W64" s="12">
        <v>1.9372560190548e-10</v>
      </c>
      <c r="X64" s="12">
        <v>2.0335782100855e-10</v>
      </c>
      <c r="Y64" s="12">
        <v>1.6166592807031e-10</v>
      </c>
      <c r="Z64" s="12">
        <v>1.794362498997e-10</v>
      </c>
      <c r="AA64" s="12">
        <v>1.8170067268061e-10</v>
      </c>
      <c r="AB64" s="11">
        <v>0.99997840111154</v>
      </c>
      <c r="AC64" s="11">
        <v>0.87918742656861</v>
      </c>
      <c r="AD64" s="11">
        <v>0.034586027223306</v>
      </c>
      <c r="AE64" s="12">
        <v>6.6809595832996e-12</v>
      </c>
      <c r="AF64" s="12">
        <v>-7.52752123012e-13</v>
      </c>
      <c r="AG64" s="12">
        <v>8.0944213234011e-13</v>
      </c>
      <c r="AH64" s="12">
        <v>1.816024879955e-12</v>
      </c>
      <c r="AI64" s="12">
        <v>-1.7116662173894e-11</v>
      </c>
      <c r="AJ64" s="12">
        <v>-2.7687204739366e-12</v>
      </c>
      <c r="AK64" s="12">
        <v>7.102454816353e-12</v>
      </c>
      <c r="AL64" s="12">
        <v>-1.7736397135717e-12</v>
      </c>
      <c r="AM64" s="12">
        <v>8.1353788280546e-12</v>
      </c>
      <c r="AN64" s="12">
        <v>-2.1501719416818e-14</v>
      </c>
      <c r="AO64" s="12">
        <v>5.3286824666011e-12</v>
      </c>
      <c r="AP64" s="12">
        <v>1.009042606688e-11</v>
      </c>
      <c r="AQ64" s="12">
        <v>3.9575158953413e-13</v>
      </c>
      <c r="AR64" s="12">
        <v>2.590445225928e-12</v>
      </c>
      <c r="AS64" s="12">
        <v>1.6589924218147e-12</v>
      </c>
      <c r="AT64" s="12">
        <v>-2.4808576393359e-12</v>
      </c>
      <c r="AU64" s="12">
        <v>-4.8850351605546e-12</v>
      </c>
      <c r="AV64" s="12">
        <v>-1.0782403428132e-11</v>
      </c>
      <c r="AW64" s="12">
        <v>-3.2710263271025e-14</v>
      </c>
      <c r="AX64" s="12">
        <v>-7.2914058971069e-12</v>
      </c>
      <c r="AY64" s="12">
        <v>-1.6965158333061e-12</v>
      </c>
      <c r="AZ64" s="12">
        <v>2.3836677125714e-12</v>
      </c>
      <c r="BA64" s="12">
        <v>7.3248864518513e-12</v>
      </c>
      <c r="BB64" s="12">
        <v>9.3481462829192e-12</v>
      </c>
      <c r="BC64" s="11">
        <v>11591190.947795</v>
      </c>
      <c r="BD64" s="11">
        <v>2162462.510346</v>
      </c>
      <c r="BE64" s="11">
        <v>0.016212627348021</v>
      </c>
      <c r="BF64" s="11">
        <v>0.01526279067768</v>
      </c>
      <c r="BG64" s="11">
        <v>0.033937906366266</v>
      </c>
      <c r="BH64" s="11">
        <v>0.00038419420857525</v>
      </c>
      <c r="BI64" s="11">
        <v>-0.0012223482849945</v>
      </c>
      <c r="BJ64" s="11">
        <v>34.940106935082</v>
      </c>
      <c r="BK64" s="11">
        <v>41.914737663771</v>
      </c>
      <c r="BL64" s="7"/>
    </row>
    <row r="65" spans="1:64">
      <c r="A65" s="11">
        <v>9372967.6295183</v>
      </c>
      <c r="B65" s="11">
        <v>0.035009640988207</v>
      </c>
      <c r="C65" s="12">
        <f t="shared" si="1"/>
        <v>2.33823298413036e-9</v>
      </c>
      <c r="D65" s="12">
        <v>1.7685664883583e-10</v>
      </c>
      <c r="E65" s="12">
        <v>1.7383551377684e-10</v>
      </c>
      <c r="F65" s="12">
        <v>2.0692483844573e-10</v>
      </c>
      <c r="G65" s="12">
        <v>1.959912236793e-10</v>
      </c>
      <c r="H65" s="12">
        <v>2.0884973503136e-10</v>
      </c>
      <c r="I65" s="12">
        <v>1.9607879423422e-10</v>
      </c>
      <c r="J65" s="12">
        <v>1.6730327358867e-10</v>
      </c>
      <c r="K65" s="12">
        <v>1.9578602009469e-10</v>
      </c>
      <c r="L65" s="12">
        <v>1.8750535133769e-10</v>
      </c>
      <c r="M65" s="12">
        <v>1.8343516559039e-10</v>
      </c>
      <c r="N65" s="12">
        <v>1.6353228439918e-10</v>
      </c>
      <c r="O65" s="12">
        <v>2.0517613598346e-10</v>
      </c>
      <c r="P65" s="12">
        <v>1.6832618153761e-10</v>
      </c>
      <c r="Q65" s="12">
        <v>1.8446871638332e-10</v>
      </c>
      <c r="R65" s="12">
        <v>1.8718086157212e-10</v>
      </c>
      <c r="S65" s="12">
        <v>1.7499542248298e-10</v>
      </c>
      <c r="T65" s="12">
        <v>2.1366954997815e-10</v>
      </c>
      <c r="U65" s="12">
        <v>1.8943204954561e-10</v>
      </c>
      <c r="V65" s="12">
        <v>1.7787367115634e-10</v>
      </c>
      <c r="W65" s="12">
        <v>1.9101738317564e-10</v>
      </c>
      <c r="X65" s="12">
        <v>2.0030220896934e-10</v>
      </c>
      <c r="Y65" s="12">
        <v>1.5959821402392e-10</v>
      </c>
      <c r="Z65" s="12">
        <v>1.7706427244689e-10</v>
      </c>
      <c r="AA65" s="12">
        <v>1.7931539207476e-10</v>
      </c>
      <c r="AB65" s="11">
        <v>0.99999151053999</v>
      </c>
      <c r="AC65" s="11">
        <v>0.87869888938495</v>
      </c>
      <c r="AD65" s="11">
        <v>0.035148418355602</v>
      </c>
      <c r="AE65" s="12">
        <v>6.6406346527051e-12</v>
      </c>
      <c r="AF65" s="12">
        <v>-7.8970963796818e-13</v>
      </c>
      <c r="AG65" s="12">
        <v>7.8214619909619e-13</v>
      </c>
      <c r="AH65" s="12">
        <v>1.6848321975281e-12</v>
      </c>
      <c r="AI65" s="12">
        <v>-1.7165697141004e-11</v>
      </c>
      <c r="AJ65" s="12">
        <v>-2.8394077339394e-12</v>
      </c>
      <c r="AK65" s="12">
        <v>6.9960201125187e-12</v>
      </c>
      <c r="AL65" s="12">
        <v>-1.9108485849143e-12</v>
      </c>
      <c r="AM65" s="12">
        <v>7.8813690887137e-12</v>
      </c>
      <c r="AN65" s="12">
        <v>-1.3618171406412e-13</v>
      </c>
      <c r="AO65" s="12">
        <v>5.121600848538e-12</v>
      </c>
      <c r="AP65" s="12">
        <v>1.001470211181e-11</v>
      </c>
      <c r="AQ65" s="12">
        <v>4.3401659611346e-13</v>
      </c>
      <c r="AR65" s="12">
        <v>2.3843577523327e-12</v>
      </c>
      <c r="AS65" s="12">
        <v>1.5799209956842e-12</v>
      </c>
      <c r="AT65" s="12">
        <v>-2.6092513059483e-12</v>
      </c>
      <c r="AU65" s="12">
        <v>-5.1080062804569e-12</v>
      </c>
      <c r="AV65" s="12">
        <v>-1.0807688437636e-11</v>
      </c>
      <c r="AW65" s="12">
        <v>-5.0557748283825e-14</v>
      </c>
      <c r="AX65" s="12">
        <v>-7.1707271658658e-12</v>
      </c>
      <c r="AY65" s="12">
        <v>-1.6887051436197e-12</v>
      </c>
      <c r="AZ65" s="12">
        <v>2.5026571026093e-12</v>
      </c>
      <c r="BA65" s="12">
        <v>7.2463504622845e-12</v>
      </c>
      <c r="BB65" s="12">
        <v>9.0963921365234e-12</v>
      </c>
      <c r="BC65" s="11">
        <v>11525329.0288</v>
      </c>
      <c r="BD65" s="11">
        <v>2143608.6313175</v>
      </c>
      <c r="BE65" s="11">
        <v>0.016509523512535</v>
      </c>
      <c r="BF65" s="11">
        <v>0.015545581209819</v>
      </c>
      <c r="BG65" s="11">
        <v>0.03444106774376</v>
      </c>
      <c r="BH65" s="11">
        <v>-0.0017987420833086</v>
      </c>
      <c r="BI65" s="11">
        <v>-0.0028598967392286</v>
      </c>
      <c r="BJ65" s="11">
        <v>34.937311706656</v>
      </c>
      <c r="BK65" s="11">
        <v>41.912596335158</v>
      </c>
      <c r="BL65" s="7"/>
    </row>
    <row r="66" spans="1:64">
      <c r="A66" s="11">
        <v>9694510.7797945</v>
      </c>
      <c r="B66" s="11">
        <v>0.035748923789861</v>
      </c>
      <c r="C66" s="12">
        <f t="shared" si="1"/>
        <v>2.29917135855319e-9</v>
      </c>
      <c r="D66" s="12">
        <v>1.7426733635689e-10</v>
      </c>
      <c r="E66" s="12">
        <v>1.7064497995852e-10</v>
      </c>
      <c r="F66" s="12">
        <v>2.0378205535479e-10</v>
      </c>
      <c r="G66" s="12">
        <v>1.9299292165835e-10</v>
      </c>
      <c r="H66" s="12">
        <v>2.0626766352984e-10</v>
      </c>
      <c r="I66" s="12">
        <v>1.9334846046485e-10</v>
      </c>
      <c r="J66" s="12">
        <v>1.6513248163592e-10</v>
      </c>
      <c r="K66" s="12">
        <v>1.9281546721076e-10</v>
      </c>
      <c r="L66" s="12">
        <v>1.842194258496e-10</v>
      </c>
      <c r="M66" s="12">
        <v>1.8117721509225e-10</v>
      </c>
      <c r="N66" s="12">
        <v>1.6095949093998e-10</v>
      </c>
      <c r="O66" s="12">
        <v>2.0233735771367e-10</v>
      </c>
      <c r="P66" s="12">
        <v>1.6658499702302e-10</v>
      </c>
      <c r="Q66" s="12">
        <v>1.818541332112e-10</v>
      </c>
      <c r="R66" s="12">
        <v>1.8401438864128e-10</v>
      </c>
      <c r="S66" s="12">
        <v>1.7202317274887e-10</v>
      </c>
      <c r="T66" s="12">
        <v>2.1047481228907e-10</v>
      </c>
      <c r="U66" s="12">
        <v>1.8749268081393e-10</v>
      </c>
      <c r="V66" s="12">
        <v>1.7486253974921e-10</v>
      </c>
      <c r="W66" s="12">
        <v>1.8766850630594e-10</v>
      </c>
      <c r="X66" s="12">
        <v>1.9816840602268e-10</v>
      </c>
      <c r="Y66" s="12">
        <v>1.5733628545414e-10</v>
      </c>
      <c r="Z66" s="12">
        <v>1.7422491432425e-10</v>
      </c>
      <c r="AA66" s="12">
        <v>1.7759614251023e-10</v>
      </c>
      <c r="AB66" s="11">
        <v>0.99999665994429</v>
      </c>
      <c r="AC66" s="11">
        <v>0.87842244184259</v>
      </c>
      <c r="AD66" s="11">
        <v>0.035887465525473</v>
      </c>
      <c r="AE66" s="12">
        <v>6.5643140459848e-12</v>
      </c>
      <c r="AF66" s="12">
        <v>-7.8907882666561e-13</v>
      </c>
      <c r="AG66" s="12">
        <v>8.4402945188227e-13</v>
      </c>
      <c r="AH66" s="12">
        <v>1.4407529099067e-12</v>
      </c>
      <c r="AI66" s="12">
        <v>-1.733823938124e-11</v>
      </c>
      <c r="AJ66" s="12">
        <v>-3.0667622629888e-12</v>
      </c>
      <c r="AK66" s="12">
        <v>6.8139219755885e-12</v>
      </c>
      <c r="AL66" s="12">
        <v>-2.0577727690066e-12</v>
      </c>
      <c r="AM66" s="12">
        <v>7.6118126829691e-12</v>
      </c>
      <c r="AN66" s="12">
        <v>3.4402308916754e-14</v>
      </c>
      <c r="AO66" s="12">
        <v>4.9068486987872e-12</v>
      </c>
      <c r="AP66" s="12">
        <v>9.9364148508704e-12</v>
      </c>
      <c r="AQ66" s="12">
        <v>4.3810455205714e-13</v>
      </c>
      <c r="AR66" s="12">
        <v>2.0797658083195e-12</v>
      </c>
      <c r="AS66" s="12">
        <v>1.4582469711882e-12</v>
      </c>
      <c r="AT66" s="12">
        <v>-2.5692638062632e-12</v>
      </c>
      <c r="AU66" s="12">
        <v>-5.4097934894556e-12</v>
      </c>
      <c r="AV66" s="12">
        <v>-1.084260190765e-11</v>
      </c>
      <c r="AW66" s="12">
        <v>-1.2747673328785e-13</v>
      </c>
      <c r="AX66" s="12">
        <v>-7.0540579141416e-12</v>
      </c>
      <c r="AY66" s="12">
        <v>-1.3279970838344e-12</v>
      </c>
      <c r="AZ66" s="12">
        <v>2.630389395492e-12</v>
      </c>
      <c r="BA66" s="12">
        <v>7.181849238332e-12</v>
      </c>
      <c r="BB66" s="12">
        <v>8.7984165651793e-12</v>
      </c>
      <c r="BC66" s="11">
        <v>11439259.401025</v>
      </c>
      <c r="BD66" s="11">
        <v>2119302.58362</v>
      </c>
      <c r="BE66" s="11">
        <v>0.016900350597424</v>
      </c>
      <c r="BF66" s="11">
        <v>0.015917561904011</v>
      </c>
      <c r="BG66" s="11">
        <v>0.035100664629817</v>
      </c>
      <c r="BH66" s="11">
        <v>0.00034640353484207</v>
      </c>
      <c r="BI66" s="11">
        <v>-0.0010602992262065</v>
      </c>
      <c r="BJ66" s="11">
        <v>34.939006503799</v>
      </c>
      <c r="BK66" s="11">
        <v>41.953871643593</v>
      </c>
      <c r="BL66" s="7"/>
    </row>
    <row r="67" spans="1:64">
      <c r="A67" s="11">
        <v>9870711.260794</v>
      </c>
      <c r="B67" s="11">
        <v>0.03614837792379</v>
      </c>
      <c r="C67" s="12">
        <f t="shared" si="1"/>
        <v>2.26704337958153e-9</v>
      </c>
      <c r="D67" s="12">
        <v>1.7113639607753e-10</v>
      </c>
      <c r="E67" s="12">
        <v>1.683367093762e-10</v>
      </c>
      <c r="F67" s="12">
        <v>2.0124834887274e-10</v>
      </c>
      <c r="G67" s="12">
        <v>1.8924489482201e-10</v>
      </c>
      <c r="H67" s="12">
        <v>2.0327381430771e-10</v>
      </c>
      <c r="I67" s="12">
        <v>1.9035518205929e-10</v>
      </c>
      <c r="J67" s="12">
        <v>1.6197029708059e-10</v>
      </c>
      <c r="K67" s="12">
        <v>1.9007454997821e-10</v>
      </c>
      <c r="L67" s="12">
        <v>1.8223369289786e-10</v>
      </c>
      <c r="M67" s="12">
        <v>1.7794038922884e-10</v>
      </c>
      <c r="N67" s="12">
        <v>1.5954270165983e-10</v>
      </c>
      <c r="O67" s="12">
        <v>1.9959660437995e-10</v>
      </c>
      <c r="P67" s="12">
        <v>1.6473541617379e-10</v>
      </c>
      <c r="Q67" s="12">
        <v>1.7978625514079e-10</v>
      </c>
      <c r="R67" s="12">
        <v>1.8182991369525e-10</v>
      </c>
      <c r="S67" s="12">
        <v>1.6891198675643e-10</v>
      </c>
      <c r="T67" s="12">
        <v>2.0723702731496e-10</v>
      </c>
      <c r="U67" s="12">
        <v>1.8402836011386e-10</v>
      </c>
      <c r="V67" s="12">
        <v>1.7280566942313e-10</v>
      </c>
      <c r="W67" s="12">
        <v>1.8547620379752e-10</v>
      </c>
      <c r="X67" s="12">
        <v>1.9430375036721e-10</v>
      </c>
      <c r="Y67" s="12">
        <v>1.5596644244645e-10</v>
      </c>
      <c r="Z67" s="12">
        <v>1.724821740427e-10</v>
      </c>
      <c r="AA67" s="12">
        <v>1.7530293486986e-10</v>
      </c>
      <c r="AB67" s="11">
        <v>0.99997379968164</v>
      </c>
      <c r="AC67" s="11">
        <v>0.87731363693516</v>
      </c>
      <c r="AD67" s="11">
        <v>0.036286701874289</v>
      </c>
      <c r="AE67" s="12">
        <v>6.6229963495993e-12</v>
      </c>
      <c r="AF67" s="12">
        <v>-8.2057347797795e-13</v>
      </c>
      <c r="AG67" s="12">
        <v>6.9975328461388e-13</v>
      </c>
      <c r="AH67" s="12">
        <v>1.1026142794547e-12</v>
      </c>
      <c r="AI67" s="12">
        <v>-1.7369043971843e-11</v>
      </c>
      <c r="AJ67" s="12">
        <v>-3.1301009421379e-12</v>
      </c>
      <c r="AK67" s="12">
        <v>6.7677450763583e-12</v>
      </c>
      <c r="AL67" s="12">
        <v>-2.1631543008636e-12</v>
      </c>
      <c r="AM67" s="12">
        <v>7.2976578431754e-12</v>
      </c>
      <c r="AN67" s="12">
        <v>-3.2265659738037e-13</v>
      </c>
      <c r="AO67" s="12">
        <v>4.6929501607022e-12</v>
      </c>
      <c r="AP67" s="12">
        <v>9.9188041862489e-12</v>
      </c>
      <c r="AQ67" s="12">
        <v>2.9397456218526e-13</v>
      </c>
      <c r="AR67" s="12">
        <v>1.9128192014265e-12</v>
      </c>
      <c r="AS67" s="12">
        <v>1.3972793330933e-12</v>
      </c>
      <c r="AT67" s="12">
        <v>-2.6692422264649e-12</v>
      </c>
      <c r="AU67" s="12">
        <v>-5.6548791415491e-12</v>
      </c>
      <c r="AV67" s="12">
        <v>-1.0990590288392e-11</v>
      </c>
      <c r="AW67" s="12">
        <v>-2.0016076100739e-13</v>
      </c>
      <c r="AX67" s="12">
        <v>-6.9063183120467e-12</v>
      </c>
      <c r="AY67" s="12">
        <v>-1.7807397649101e-12</v>
      </c>
      <c r="AZ67" s="12">
        <v>2.7750719493139e-12</v>
      </c>
      <c r="BA67" s="12">
        <v>7.0788044960033e-12</v>
      </c>
      <c r="BB67" s="12">
        <v>8.6214671138048e-12</v>
      </c>
      <c r="BC67" s="11">
        <v>11392941.647677</v>
      </c>
      <c r="BD67" s="11">
        <v>2106531.3365854</v>
      </c>
      <c r="BE67" s="11">
        <v>0.017111908291773</v>
      </c>
      <c r="BF67" s="11">
        <v>0.016119238974311</v>
      </c>
      <c r="BG67" s="11">
        <v>0.035456124915696</v>
      </c>
      <c r="BH67" s="11">
        <v>-0.0092423212480511</v>
      </c>
      <c r="BI67" s="11">
        <v>-0.011599136973286</v>
      </c>
      <c r="BJ67" s="11">
        <v>34.930843496778</v>
      </c>
      <c r="BK67" s="11">
        <v>41.914066575861</v>
      </c>
      <c r="BL67" s="7"/>
    </row>
    <row r="68" spans="1:64">
      <c r="A68" s="13"/>
      <c r="B68" s="7"/>
      <c r="C68" s="7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7"/>
      <c r="AD68" s="7"/>
      <c r="AE68" s="7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7"/>
      <c r="BE68" s="7"/>
      <c r="BF68" s="13"/>
      <c r="BG68" s="13"/>
      <c r="BH68" s="7"/>
      <c r="BI68" s="13"/>
      <c r="BJ68" s="13"/>
      <c r="BK68" s="7"/>
      <c r="BL68" s="7"/>
    </row>
    <row r="69" spans="1:64">
      <c r="A69" s="13"/>
      <c r="B69" s="7"/>
      <c r="C69" s="7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7"/>
      <c r="AD69" s="7"/>
      <c r="AE69" s="7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7"/>
      <c r="BE69" s="7"/>
      <c r="BF69" s="13"/>
      <c r="BG69" s="13"/>
      <c r="BH69" s="7"/>
      <c r="BI69" s="13"/>
      <c r="BJ69" s="13"/>
      <c r="BK69" s="7"/>
      <c r="BL69" s="7"/>
    </row>
    <row r="70" spans="1:64">
      <c r="A70" s="13"/>
      <c r="B70" s="7"/>
      <c r="C70" s="7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7"/>
      <c r="AD70" s="7"/>
      <c r="AE70" s="7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7"/>
      <c r="BE70" s="7"/>
      <c r="BF70" s="13"/>
      <c r="BG70" s="13"/>
      <c r="BH70" s="7"/>
      <c r="BI70" s="13"/>
      <c r="BJ70" s="13"/>
      <c r="BK70" s="7"/>
      <c r="BL70" s="7"/>
    </row>
    <row r="71" spans="1:64">
      <c r="A71" s="13"/>
      <c r="B71" s="7"/>
      <c r="C71" s="7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7"/>
      <c r="AD71" s="7"/>
      <c r="AE71" s="7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7"/>
      <c r="BE71" s="7"/>
      <c r="BF71" s="13"/>
      <c r="BG71" s="13"/>
      <c r="BH71" s="7"/>
      <c r="BI71" s="13"/>
      <c r="BJ71" s="13"/>
      <c r="BK71" s="7"/>
      <c r="BL71" s="7"/>
    </row>
    <row r="72" spans="1:64">
      <c r="A72" s="13"/>
      <c r="B72" s="7"/>
      <c r="C72" s="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7"/>
      <c r="AD72" s="7"/>
      <c r="AE72" s="7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7"/>
      <c r="BE72" s="7"/>
      <c r="BF72" s="13"/>
      <c r="BG72" s="13"/>
      <c r="BH72" s="7"/>
      <c r="BI72" s="13"/>
      <c r="BJ72" s="13"/>
      <c r="BK72" s="7"/>
      <c r="BL72" s="7"/>
    </row>
    <row r="73" spans="1:64">
      <c r="A73" s="13"/>
      <c r="B73" s="7"/>
      <c r="C73" s="7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7"/>
      <c r="AD73" s="7"/>
      <c r="AE73" s="7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7"/>
      <c r="BE73" s="7"/>
      <c r="BF73" s="13"/>
      <c r="BG73" s="13"/>
      <c r="BH73" s="7"/>
      <c r="BI73" s="13"/>
      <c r="BJ73" s="13"/>
      <c r="BK73" s="7"/>
      <c r="BL73" s="7"/>
    </row>
    <row r="74" spans="1:64">
      <c r="A74" s="13"/>
      <c r="B74" s="7"/>
      <c r="C74" s="7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7"/>
      <c r="AD74" s="7"/>
      <c r="AE74" s="7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7"/>
      <c r="BE74" s="7"/>
      <c r="BF74" s="13"/>
      <c r="BG74" s="13"/>
      <c r="BH74" s="7"/>
      <c r="BI74" s="13"/>
      <c r="BJ74" s="13"/>
      <c r="BK74" s="7"/>
      <c r="BL74" s="7"/>
    </row>
    <row r="75" spans="1:64">
      <c r="A75" s="13"/>
      <c r="B75" s="7"/>
      <c r="C75" s="7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7"/>
      <c r="AD75" s="7"/>
      <c r="AE75" s="7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7"/>
      <c r="BE75" s="7"/>
      <c r="BF75" s="13"/>
      <c r="BG75" s="13"/>
      <c r="BH75" s="7"/>
      <c r="BI75" s="13"/>
      <c r="BJ75" s="13"/>
      <c r="BK75" s="7"/>
      <c r="BL75" s="7"/>
    </row>
    <row r="76" spans="1:64">
      <c r="A76" s="13"/>
      <c r="B76" s="7"/>
      <c r="C76" s="7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7"/>
      <c r="AD76" s="7"/>
      <c r="AE76" s="7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7"/>
      <c r="BE76" s="7"/>
      <c r="BF76" s="13"/>
      <c r="BG76" s="13"/>
      <c r="BH76" s="7"/>
      <c r="BI76" s="13"/>
      <c r="BJ76" s="13"/>
      <c r="BK76" s="7"/>
      <c r="BL76" s="7"/>
    </row>
    <row r="77" spans="1:64">
      <c r="A77" s="13"/>
      <c r="B77" s="7"/>
      <c r="C77" s="7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7"/>
      <c r="AD77" s="7"/>
      <c r="AE77" s="7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7"/>
      <c r="BE77" s="7"/>
      <c r="BF77" s="13"/>
      <c r="BG77" s="13"/>
      <c r="BH77" s="7"/>
      <c r="BI77" s="13"/>
      <c r="BJ77" s="13"/>
      <c r="BK77" s="7"/>
      <c r="BL77" s="7"/>
    </row>
    <row r="78" spans="1:64">
      <c r="A78" s="13"/>
      <c r="B78" s="7"/>
      <c r="C78" s="7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7"/>
      <c r="AD78" s="7"/>
      <c r="AE78" s="7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7"/>
      <c r="BE78" s="7"/>
      <c r="BF78" s="13"/>
      <c r="BG78" s="13"/>
      <c r="BH78" s="7"/>
      <c r="BI78" s="13"/>
      <c r="BJ78" s="13"/>
      <c r="BK78" s="7"/>
      <c r="BL78" s="7"/>
    </row>
    <row r="79" spans="1:64">
      <c r="A79" s="13"/>
      <c r="B79" s="7"/>
      <c r="C79" s="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7"/>
      <c r="AD79" s="7"/>
      <c r="AE79" s="7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7"/>
      <c r="BE79" s="7"/>
      <c r="BF79" s="13"/>
      <c r="BG79" s="13"/>
      <c r="BH79" s="7"/>
      <c r="BI79" s="13"/>
      <c r="BJ79" s="13"/>
      <c r="BK79" s="7"/>
      <c r="BL79" s="7"/>
    </row>
    <row r="80" spans="1:64">
      <c r="A80" s="13"/>
      <c r="B80" s="7"/>
      <c r="C80" s="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7"/>
      <c r="AD80" s="7"/>
      <c r="AE80" s="7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7"/>
      <c r="BE80" s="7"/>
      <c r="BF80" s="13"/>
      <c r="BG80" s="13"/>
      <c r="BH80" s="7"/>
      <c r="BI80" s="13"/>
      <c r="BJ80" s="13"/>
      <c r="BK80" s="7"/>
      <c r="BL80" s="7"/>
    </row>
    <row r="81" spans="1:64">
      <c r="A81" s="13"/>
      <c r="B81" s="7"/>
      <c r="C81" s="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7"/>
      <c r="AD81" s="7"/>
      <c r="AE81" s="7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7"/>
      <c r="BE81" s="7"/>
      <c r="BF81" s="13"/>
      <c r="BG81" s="13"/>
      <c r="BH81" s="7"/>
      <c r="BI81" s="13"/>
      <c r="BJ81" s="13"/>
      <c r="BK81" s="7"/>
      <c r="BL81" s="7"/>
    </row>
    <row r="82" spans="1:64">
      <c r="A82" s="13"/>
      <c r="B82" s="7"/>
      <c r="C82" s="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7"/>
      <c r="AD82" s="7"/>
      <c r="AE82" s="7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7"/>
      <c r="BE82" s="7"/>
      <c r="BF82" s="13"/>
      <c r="BG82" s="13"/>
      <c r="BH82" s="7"/>
      <c r="BI82" s="13"/>
      <c r="BJ82" s="13"/>
      <c r="BK82" s="7"/>
      <c r="BL82" s="7"/>
    </row>
    <row r="83" spans="1:64">
      <c r="A83" s="13"/>
      <c r="B83" s="7"/>
      <c r="C83" s="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7"/>
      <c r="AD83" s="7"/>
      <c r="AE83" s="7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7"/>
      <c r="BE83" s="7"/>
      <c r="BF83" s="13"/>
      <c r="BG83" s="13"/>
      <c r="BH83" s="7"/>
      <c r="BI83" s="13"/>
      <c r="BJ83" s="13"/>
      <c r="BK83" s="7"/>
      <c r="BL83" s="7"/>
    </row>
    <row r="84" spans="1:64">
      <c r="A84" s="13"/>
      <c r="B84" s="7"/>
      <c r="C84" s="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7"/>
      <c r="AD84" s="7"/>
      <c r="AE84" s="7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7"/>
      <c r="BE84" s="7"/>
      <c r="BF84" s="13"/>
      <c r="BG84" s="13"/>
      <c r="BH84" s="7"/>
      <c r="BI84" s="13"/>
      <c r="BJ84" s="13"/>
      <c r="BK84" s="7"/>
      <c r="BL84" s="7"/>
    </row>
    <row r="85" spans="1:64">
      <c r="A85" s="13"/>
      <c r="B85" s="7"/>
      <c r="C85" s="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7"/>
      <c r="AD85" s="7"/>
      <c r="AE85" s="7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7"/>
      <c r="BE85" s="7"/>
      <c r="BF85" s="13"/>
      <c r="BG85" s="13"/>
      <c r="BH85" s="7"/>
      <c r="BI85" s="13"/>
      <c r="BJ85" s="13"/>
      <c r="BK85" s="7"/>
      <c r="BL85" s="7"/>
    </row>
    <row r="86" spans="1:64">
      <c r="A86" s="13"/>
      <c r="B86" s="7"/>
      <c r="C86" s="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7"/>
      <c r="AD86" s="7"/>
      <c r="AE86" s="7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7"/>
      <c r="BE86" s="7"/>
      <c r="BF86" s="13"/>
      <c r="BG86" s="13"/>
      <c r="BH86" s="7"/>
      <c r="BI86" s="13"/>
      <c r="BJ86" s="13"/>
      <c r="BK86" s="7"/>
      <c r="BL86" s="7"/>
    </row>
    <row r="87" spans="1:64">
      <c r="A87" s="13"/>
      <c r="B87" s="7"/>
      <c r="C87" s="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7"/>
      <c r="AD87" s="7"/>
      <c r="AE87" s="7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7"/>
      <c r="BE87" s="7"/>
      <c r="BF87" s="13"/>
      <c r="BG87" s="13"/>
      <c r="BH87" s="7"/>
      <c r="BI87" s="13"/>
      <c r="BJ87" s="13"/>
      <c r="BK87" s="7"/>
      <c r="BL87" s="7"/>
    </row>
    <row r="88" spans="1:64">
      <c r="A88" s="13"/>
      <c r="B88" s="7"/>
      <c r="C88" s="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7"/>
      <c r="AD88" s="7"/>
      <c r="AE88" s="7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7"/>
      <c r="BE88" s="7"/>
      <c r="BF88" s="13"/>
      <c r="BG88" s="13"/>
      <c r="BH88" s="7"/>
      <c r="BI88" s="13"/>
      <c r="BJ88" s="13"/>
      <c r="BK88" s="7"/>
      <c r="BL88" s="7"/>
    </row>
    <row r="89" spans="1:64">
      <c r="A89" s="13"/>
      <c r="B89" s="7"/>
      <c r="C89" s="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7"/>
      <c r="AD89" s="7"/>
      <c r="AE89" s="7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7"/>
      <c r="BE89" s="7"/>
      <c r="BF89" s="13"/>
      <c r="BG89" s="13"/>
      <c r="BH89" s="7"/>
      <c r="BI89" s="13"/>
      <c r="BJ89" s="13"/>
      <c r="BK89" s="7"/>
      <c r="BL89" s="7"/>
    </row>
    <row r="90" spans="1:64">
      <c r="A90" s="13"/>
      <c r="B90" s="7"/>
      <c r="C90" s="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7"/>
      <c r="AD90" s="7"/>
      <c r="AE90" s="7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7"/>
      <c r="BE90" s="7"/>
      <c r="BF90" s="7"/>
      <c r="BG90" s="13"/>
      <c r="BH90" s="7"/>
      <c r="BI90" s="13"/>
      <c r="BJ90" s="13"/>
      <c r="BK90" s="7"/>
      <c r="BL90" s="7"/>
    </row>
    <row r="91" spans="1:64">
      <c r="A91" s="13"/>
      <c r="B91" s="7"/>
      <c r="C91" s="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7"/>
      <c r="AD91" s="7"/>
      <c r="AE91" s="7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7"/>
      <c r="BE91" s="7"/>
      <c r="BF91" s="7"/>
      <c r="BG91" s="13"/>
      <c r="BH91" s="7"/>
      <c r="BI91" s="13"/>
      <c r="BJ91" s="7"/>
      <c r="BK91" s="7"/>
      <c r="BL91" s="7"/>
    </row>
    <row r="92" spans="1:64">
      <c r="A92" s="13"/>
      <c r="B92" s="7"/>
      <c r="C92" s="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7"/>
      <c r="AD92" s="7"/>
      <c r="AE92" s="7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7"/>
      <c r="BE92" s="7"/>
      <c r="BF92" s="7"/>
      <c r="BG92" s="7"/>
      <c r="BH92" s="7"/>
      <c r="BI92" s="13"/>
      <c r="BJ92" s="7"/>
      <c r="BK92" s="7"/>
      <c r="BL92" s="7"/>
    </row>
    <row r="93" spans="1:64">
      <c r="A93" s="13"/>
      <c r="B93" s="7"/>
      <c r="C93" s="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7"/>
      <c r="AD93" s="7"/>
      <c r="AE93" s="7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7"/>
      <c r="BE93" s="7"/>
      <c r="BF93" s="7"/>
      <c r="BG93" s="7"/>
      <c r="BH93" s="7"/>
      <c r="BI93" s="7"/>
      <c r="BJ93" s="7"/>
      <c r="BK93" s="7"/>
      <c r="BL93" s="7"/>
    </row>
    <row r="94" spans="1:64">
      <c r="A94" s="13"/>
      <c r="B94" s="7"/>
      <c r="C94" s="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7"/>
      <c r="AD94" s="7"/>
      <c r="AE94" s="7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7"/>
      <c r="BE94" s="7"/>
      <c r="BF94" s="7"/>
      <c r="BG94" s="7"/>
      <c r="BH94" s="7"/>
      <c r="BI94" s="7"/>
      <c r="BJ94" s="7"/>
      <c r="BK94" s="7"/>
      <c r="BL94" s="7"/>
    </row>
    <row r="95" spans="1:64">
      <c r="A95" s="13"/>
      <c r="B95" s="7"/>
      <c r="C95" s="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7"/>
      <c r="AD95" s="7"/>
      <c r="AE95" s="7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7"/>
      <c r="BE95" s="7"/>
      <c r="BF95" s="7"/>
      <c r="BG95" s="7"/>
      <c r="BH95" s="7"/>
      <c r="BI95" s="7"/>
      <c r="BJ95" s="7"/>
      <c r="BK95" s="7"/>
      <c r="BL95" s="7"/>
    </row>
    <row r="96" spans="1:64">
      <c r="A96" s="13"/>
      <c r="B96" s="7"/>
      <c r="C96" s="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7"/>
      <c r="AD96" s="7"/>
      <c r="AE96" s="7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7"/>
      <c r="BE96" s="7"/>
      <c r="BF96" s="7"/>
      <c r="BG96" s="7"/>
      <c r="BH96" s="7"/>
      <c r="BI96" s="7"/>
      <c r="BJ96" s="7"/>
      <c r="BK96" s="7"/>
      <c r="BL96" s="7"/>
    </row>
    <row r="97" spans="1:64">
      <c r="A97" s="13"/>
      <c r="B97" s="7"/>
      <c r="C97" s="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7"/>
      <c r="AD97" s="7"/>
      <c r="AE97" s="7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7"/>
      <c r="BE97" s="7"/>
      <c r="BF97" s="7"/>
      <c r="BG97" s="7"/>
      <c r="BH97" s="7"/>
      <c r="BI97" s="7"/>
      <c r="BJ97" s="7"/>
      <c r="BK97" s="7"/>
      <c r="BL97" s="7"/>
    </row>
    <row r="98" spans="1:64">
      <c r="A98" s="13"/>
      <c r="B98" s="7"/>
      <c r="C98" s="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7"/>
      <c r="AD98" s="7"/>
      <c r="AE98" s="7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7"/>
      <c r="BE98" s="7"/>
      <c r="BF98" s="7"/>
      <c r="BG98" s="7"/>
      <c r="BH98" s="7"/>
      <c r="BI98" s="7"/>
      <c r="BJ98" s="7"/>
      <c r="BK98" s="7"/>
      <c r="BL98" s="7"/>
    </row>
    <row r="99" spans="1:64">
      <c r="A99" s="13"/>
      <c r="B99" s="7"/>
      <c r="C99" s="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7"/>
      <c r="AD99" s="7"/>
      <c r="AE99" s="7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7"/>
      <c r="BE99" s="7"/>
      <c r="BF99" s="7"/>
      <c r="BG99" s="7"/>
      <c r="BH99" s="7"/>
      <c r="BI99" s="7"/>
      <c r="BJ99" s="7"/>
      <c r="BK99" s="7"/>
      <c r="BL99" s="7"/>
    </row>
    <row r="100" spans="1:64">
      <c r="A100" s="13"/>
      <c r="B100" s="7"/>
      <c r="C100" s="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7"/>
      <c r="AD100" s="7"/>
      <c r="AE100" s="7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7"/>
      <c r="BE100" s="7"/>
      <c r="BF100" s="7"/>
      <c r="BG100" s="7"/>
      <c r="BH100" s="7"/>
      <c r="BI100" s="7"/>
      <c r="BJ100" s="7"/>
      <c r="BK100" s="7"/>
      <c r="BL100" s="7"/>
    </row>
    <row r="101" spans="1:64">
      <c r="A101" s="13"/>
      <c r="B101" s="7"/>
      <c r="C101" s="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7"/>
      <c r="AD101" s="7"/>
      <c r="AE101" s="7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7"/>
      <c r="BE101" s="7"/>
      <c r="BF101" s="7"/>
      <c r="BG101" s="7"/>
      <c r="BH101" s="7"/>
      <c r="BI101" s="7"/>
      <c r="BJ101" s="7"/>
      <c r="BK101" s="7"/>
      <c r="BL101" s="7"/>
    </row>
    <row r="102" spans="1:64">
      <c r="A102" s="13"/>
      <c r="B102" s="7"/>
      <c r="C102" s="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7"/>
      <c r="AD102" s="7"/>
      <c r="AE102" s="7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7"/>
      <c r="BE102" s="7"/>
      <c r="BF102" s="7"/>
      <c r="BG102" s="7"/>
      <c r="BH102" s="7"/>
      <c r="BI102" s="7"/>
      <c r="BJ102" s="7"/>
      <c r="BK102" s="7"/>
      <c r="BL102" s="7"/>
    </row>
    <row r="103" spans="1:64">
      <c r="A103" s="13"/>
      <c r="B103" s="7"/>
      <c r="C103" s="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7"/>
      <c r="AD103" s="7"/>
      <c r="AE103" s="7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7"/>
      <c r="BE103" s="7"/>
      <c r="BF103" s="7"/>
      <c r="BG103" s="7"/>
      <c r="BH103" s="7"/>
      <c r="BI103" s="7"/>
      <c r="BJ103" s="7"/>
      <c r="BK103" s="7"/>
      <c r="BL103" s="7"/>
    </row>
    <row r="104" spans="1:64">
      <c r="A104" s="13"/>
      <c r="B104" s="7"/>
      <c r="C104" s="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7"/>
      <c r="AD104" s="7"/>
      <c r="AE104" s="7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7"/>
      <c r="BE104" s="7"/>
      <c r="BF104" s="7"/>
      <c r="BG104" s="7"/>
      <c r="BH104" s="7"/>
      <c r="BI104" s="7"/>
      <c r="BJ104" s="7"/>
      <c r="BK104" s="7"/>
      <c r="BL104" s="7"/>
    </row>
    <row r="105" spans="1:64">
      <c r="A105" s="13"/>
      <c r="B105" s="7"/>
      <c r="C105" s="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7"/>
      <c r="AD105" s="7"/>
      <c r="AE105" s="7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7"/>
      <c r="BE105" s="7"/>
      <c r="BF105" s="7"/>
      <c r="BG105" s="7"/>
      <c r="BH105" s="7"/>
      <c r="BI105" s="7"/>
      <c r="BJ105" s="7"/>
      <c r="BK105" s="7"/>
      <c r="BL105" s="7"/>
    </row>
    <row r="106" spans="1:64">
      <c r="A106" s="13"/>
      <c r="B106" s="7"/>
      <c r="C106" s="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7"/>
      <c r="AD106" s="7"/>
      <c r="AE106" s="7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7"/>
      <c r="BE106" s="7"/>
      <c r="BF106" s="7"/>
      <c r="BG106" s="7"/>
      <c r="BH106" s="7"/>
      <c r="BI106" s="7"/>
      <c r="BJ106" s="7"/>
      <c r="BK106" s="7"/>
      <c r="BL106" s="7"/>
    </row>
    <row r="107" spans="1:64">
      <c r="A107" s="13"/>
      <c r="B107" s="7"/>
      <c r="C107" s="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7"/>
      <c r="AD107" s="7"/>
      <c r="AE107" s="7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7"/>
      <c r="BE107" s="7"/>
      <c r="BF107" s="7"/>
      <c r="BG107" s="7"/>
      <c r="BH107" s="7"/>
      <c r="BI107" s="7"/>
      <c r="BJ107" s="7"/>
      <c r="BK107" s="7"/>
      <c r="BL107" s="7"/>
    </row>
    <row r="108" spans="1:64">
      <c r="A108" s="13"/>
      <c r="B108" s="7"/>
      <c r="C108" s="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7"/>
      <c r="AD108" s="7"/>
      <c r="AE108" s="7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7"/>
      <c r="BE108" s="7"/>
      <c r="BF108" s="7"/>
      <c r="BG108" s="7"/>
      <c r="BH108" s="7"/>
      <c r="BI108" s="7"/>
      <c r="BJ108" s="7"/>
      <c r="BK108" s="7"/>
      <c r="BL108" s="7"/>
    </row>
    <row r="109" spans="1:64">
      <c r="A109" s="13"/>
      <c r="B109" s="7"/>
      <c r="C109" s="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7"/>
      <c r="AD109" s="7"/>
      <c r="AE109" s="7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7"/>
      <c r="BE109" s="7"/>
      <c r="BF109" s="7"/>
      <c r="BG109" s="7"/>
      <c r="BH109" s="7"/>
      <c r="BI109" s="7"/>
      <c r="BJ109" s="7"/>
      <c r="BK109" s="7"/>
      <c r="BL109" s="7"/>
    </row>
    <row r="110" spans="1:64">
      <c r="A110" s="13"/>
      <c r="B110" s="7"/>
      <c r="C110" s="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7"/>
      <c r="AD110" s="7"/>
      <c r="AE110" s="7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7"/>
      <c r="BE110" s="7"/>
      <c r="BF110" s="7"/>
      <c r="BG110" s="7"/>
      <c r="BH110" s="7"/>
      <c r="BI110" s="7"/>
      <c r="BJ110" s="7"/>
      <c r="BK110" s="7"/>
      <c r="BL110" s="7"/>
    </row>
    <row r="111" spans="1:64">
      <c r="A111" s="13"/>
      <c r="B111" s="7"/>
      <c r="C111" s="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7"/>
      <c r="AD111" s="7"/>
      <c r="AE111" s="7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7"/>
      <c r="BE111" s="7"/>
      <c r="BF111" s="7"/>
      <c r="BG111" s="7"/>
      <c r="BH111" s="7"/>
      <c r="BI111" s="7"/>
      <c r="BJ111" s="7"/>
      <c r="BK111" s="7"/>
      <c r="BL111" s="7"/>
    </row>
    <row r="112" spans="1:64">
      <c r="A112" s="13"/>
      <c r="B112" s="7"/>
      <c r="C112" s="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7"/>
      <c r="AD112" s="7"/>
      <c r="AE112" s="7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7"/>
      <c r="BE112" s="7"/>
      <c r="BF112" s="7"/>
      <c r="BG112" s="7"/>
      <c r="BH112" s="7"/>
      <c r="BI112" s="7"/>
      <c r="BJ112" s="7"/>
      <c r="BK112" s="7"/>
      <c r="BL112" s="7"/>
    </row>
    <row r="113" spans="1:64">
      <c r="A113" s="13"/>
      <c r="B113" s="7"/>
      <c r="C113" s="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7"/>
      <c r="AD113" s="7"/>
      <c r="AE113" s="7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7"/>
      <c r="BE113" s="7"/>
      <c r="BF113" s="7"/>
      <c r="BG113" s="7"/>
      <c r="BH113" s="7"/>
      <c r="BI113" s="7"/>
      <c r="BJ113" s="7"/>
      <c r="BK113" s="7"/>
      <c r="BL113" s="7"/>
    </row>
    <row r="114" spans="1:64">
      <c r="A114" s="13"/>
      <c r="B114" s="7"/>
      <c r="C114" s="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7"/>
      <c r="AD114" s="7"/>
      <c r="AE114" s="7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7"/>
      <c r="BE114" s="7"/>
      <c r="BF114" s="7"/>
      <c r="BG114" s="7"/>
      <c r="BH114" s="7"/>
      <c r="BI114" s="7"/>
      <c r="BJ114" s="7"/>
      <c r="BK114" s="7"/>
      <c r="BL114" s="7"/>
    </row>
    <row r="115" spans="1:64">
      <c r="A115" s="13"/>
      <c r="B115" s="7"/>
      <c r="C115" s="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7"/>
      <c r="AD115" s="7"/>
      <c r="AE115" s="7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7"/>
      <c r="BE115" s="7"/>
      <c r="BF115" s="7"/>
      <c r="BG115" s="7"/>
      <c r="BH115" s="7"/>
      <c r="BI115" s="7"/>
      <c r="BJ115" s="7"/>
      <c r="BK115" s="7"/>
      <c r="BL115" s="7"/>
    </row>
    <row r="116" spans="1:64">
      <c r="A116" s="13"/>
      <c r="B116" s="7"/>
      <c r="C116" s="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7"/>
      <c r="AD116" s="7"/>
      <c r="AE116" s="7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7"/>
      <c r="BE116" s="7"/>
      <c r="BF116" s="7"/>
      <c r="BG116" s="7"/>
      <c r="BH116" s="7"/>
      <c r="BI116" s="7"/>
      <c r="BJ116" s="7"/>
      <c r="BK116" s="7"/>
      <c r="BL116" s="7"/>
    </row>
    <row r="117" spans="1:64">
      <c r="A117" s="13"/>
      <c r="B117" s="7"/>
      <c r="C117" s="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7"/>
      <c r="AD117" s="7"/>
      <c r="AE117" s="7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7"/>
      <c r="BE117" s="7"/>
      <c r="BF117" s="7"/>
      <c r="BG117" s="7"/>
      <c r="BH117" s="7"/>
      <c r="BI117" s="7"/>
      <c r="BJ117" s="7"/>
      <c r="BK117" s="7"/>
      <c r="BL117" s="7"/>
    </row>
    <row r="118" spans="1:64">
      <c r="A118" s="13"/>
      <c r="B118" s="7"/>
      <c r="C118" s="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7"/>
      <c r="AD118" s="7"/>
      <c r="AE118" s="7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1:64">
      <c r="A119" s="13"/>
      <c r="B119" s="7"/>
      <c r="C119" s="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7"/>
      <c r="AD119" s="7"/>
      <c r="AE119" s="7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1:64">
      <c r="A120" s="13"/>
      <c r="B120" s="7"/>
      <c r="C120" s="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7"/>
      <c r="AD120" s="7"/>
      <c r="AE120" s="7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1:64">
      <c r="A121" s="13"/>
      <c r="B121" s="7"/>
      <c r="C121" s="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7"/>
      <c r="AD121" s="7"/>
      <c r="AE121" s="7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1:64">
      <c r="A122" s="13"/>
      <c r="B122" s="7"/>
      <c r="C122" s="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7"/>
      <c r="AD122" s="7"/>
      <c r="AE122" s="7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1:64">
      <c r="A123" s="13"/>
      <c r="B123" s="7"/>
      <c r="C123" s="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7"/>
      <c r="AD123" s="7"/>
      <c r="AE123" s="7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1:64">
      <c r="A124" s="13"/>
      <c r="B124" s="7"/>
      <c r="C124" s="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7"/>
      <c r="AD124" s="7"/>
      <c r="AE124" s="7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1:64">
      <c r="A125" s="13"/>
      <c r="B125" s="7"/>
      <c r="C125" s="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7"/>
      <c r="AD125" s="7"/>
      <c r="AE125" s="7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7"/>
      <c r="BE125" s="7"/>
      <c r="BF125" s="7"/>
      <c r="BG125" s="7"/>
      <c r="BH125" s="7"/>
      <c r="BI125" s="7"/>
      <c r="BJ125" s="7"/>
      <c r="BK125" s="7"/>
      <c r="BL125" s="7"/>
    </row>
    <row r="126" spans="1:64">
      <c r="A126" s="13"/>
      <c r="B126" s="7"/>
      <c r="C126" s="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7"/>
      <c r="AD126" s="7"/>
      <c r="AE126" s="7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7"/>
      <c r="BE126" s="7"/>
      <c r="BF126" s="7"/>
      <c r="BG126" s="7"/>
      <c r="BH126" s="7"/>
      <c r="BI126" s="7"/>
      <c r="BJ126" s="7"/>
      <c r="BK126" s="7"/>
      <c r="BL126" s="7"/>
    </row>
    <row r="127" spans="1:64">
      <c r="A127" s="13"/>
      <c r="B127" s="7"/>
      <c r="C127" s="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7"/>
      <c r="AD127" s="7"/>
      <c r="AE127" s="7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7"/>
      <c r="BE127" s="7"/>
      <c r="BF127" s="7"/>
      <c r="BG127" s="7"/>
      <c r="BH127" s="7"/>
      <c r="BI127" s="7"/>
      <c r="BJ127" s="7"/>
      <c r="BK127" s="7"/>
      <c r="BL127" s="7"/>
    </row>
    <row r="128" spans="1:64">
      <c r="A128" s="13"/>
      <c r="B128" s="7"/>
      <c r="C128" s="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7"/>
      <c r="AD128" s="7"/>
      <c r="AE128" s="7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7"/>
      <c r="BE128" s="7"/>
      <c r="BF128" s="7"/>
      <c r="BG128" s="7"/>
      <c r="BH128" s="7"/>
      <c r="BI128" s="7"/>
      <c r="BJ128" s="7"/>
      <c r="BK128" s="7"/>
      <c r="BL128" s="7"/>
    </row>
    <row r="129" spans="1:64">
      <c r="A129" s="13"/>
      <c r="B129" s="7"/>
      <c r="C129" s="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7"/>
      <c r="AD129" s="7"/>
      <c r="AE129" s="7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7"/>
      <c r="BE129" s="7"/>
      <c r="BF129" s="7"/>
      <c r="BG129" s="7"/>
      <c r="BH129" s="7"/>
      <c r="BI129" s="7"/>
      <c r="BJ129" s="7"/>
      <c r="BK129" s="7"/>
      <c r="BL129" s="7"/>
    </row>
    <row r="130" spans="1:64">
      <c r="A130" s="13"/>
      <c r="B130" s="7"/>
      <c r="C130" s="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7"/>
      <c r="AD130" s="7"/>
      <c r="AE130" s="7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7"/>
      <c r="BE130" s="7"/>
      <c r="BF130" s="7"/>
      <c r="BG130" s="7"/>
      <c r="BH130" s="7"/>
      <c r="BI130" s="7"/>
      <c r="BJ130" s="7"/>
      <c r="BK130" s="7"/>
      <c r="BL130" s="7"/>
    </row>
    <row r="131" spans="1:64">
      <c r="A131" s="13"/>
      <c r="B131" s="7"/>
      <c r="C131" s="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7"/>
      <c r="AD131" s="7"/>
      <c r="AE131" s="7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7"/>
      <c r="BE131" s="7"/>
      <c r="BF131" s="7"/>
      <c r="BG131" s="7"/>
      <c r="BH131" s="7"/>
      <c r="BI131" s="7"/>
      <c r="BJ131" s="7"/>
      <c r="BK131" s="7"/>
      <c r="BL131" s="7"/>
    </row>
    <row r="132" spans="1:64">
      <c r="A132" s="13"/>
      <c r="B132" s="7"/>
      <c r="C132" s="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7"/>
      <c r="AD132" s="7"/>
      <c r="AE132" s="7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7"/>
      <c r="BE132" s="7"/>
      <c r="BF132" s="7"/>
      <c r="BG132" s="7"/>
      <c r="BH132" s="7"/>
      <c r="BI132" s="7"/>
      <c r="BJ132" s="7"/>
      <c r="BK132" s="7"/>
      <c r="BL132" s="7"/>
    </row>
    <row r="133" spans="1:64">
      <c r="A133" s="13"/>
      <c r="B133" s="7"/>
      <c r="C133" s="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7"/>
      <c r="AD133" s="7"/>
      <c r="AE133" s="7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7"/>
      <c r="BE133" s="7"/>
      <c r="BF133" s="7"/>
      <c r="BG133" s="7"/>
      <c r="BH133" s="7"/>
      <c r="BI133" s="7"/>
      <c r="BJ133" s="7"/>
      <c r="BK133" s="7"/>
      <c r="BL133" s="7"/>
    </row>
    <row r="134" spans="1:64">
      <c r="A134" s="13"/>
      <c r="B134" s="7"/>
      <c r="C134" s="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7"/>
      <c r="AD134" s="7"/>
      <c r="AE134" s="7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7"/>
      <c r="BE134" s="7"/>
      <c r="BF134" s="7"/>
      <c r="BG134" s="7"/>
      <c r="BH134" s="7"/>
      <c r="BI134" s="7"/>
      <c r="BJ134" s="7"/>
      <c r="BK134" s="7"/>
      <c r="BL134" s="7"/>
    </row>
    <row r="135" spans="1:64">
      <c r="A135" s="13"/>
      <c r="B135" s="7"/>
      <c r="C135" s="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7"/>
      <c r="AD135" s="7"/>
      <c r="AE135" s="7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7"/>
      <c r="BE135" s="7"/>
      <c r="BF135" s="7"/>
      <c r="BG135" s="7"/>
      <c r="BH135" s="7"/>
      <c r="BI135" s="7"/>
      <c r="BJ135" s="7"/>
      <c r="BK135" s="7"/>
      <c r="BL135" s="7"/>
    </row>
    <row r="136" spans="1:64">
      <c r="A136" s="13"/>
      <c r="B136" s="7"/>
      <c r="C136" s="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7"/>
      <c r="AD136" s="7"/>
      <c r="AE136" s="7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7"/>
      <c r="BE136" s="7"/>
      <c r="BF136" s="7"/>
      <c r="BG136" s="7"/>
      <c r="BH136" s="7"/>
      <c r="BI136" s="7"/>
      <c r="BJ136" s="7"/>
      <c r="BK136" s="7"/>
      <c r="BL136" s="7"/>
    </row>
    <row r="137" spans="1:64">
      <c r="A137" s="13"/>
      <c r="B137" s="7"/>
      <c r="C137" s="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7"/>
      <c r="AD137" s="7"/>
      <c r="AE137" s="7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7"/>
      <c r="BE137" s="7"/>
      <c r="BF137" s="7"/>
      <c r="BG137" s="7"/>
      <c r="BH137" s="7"/>
      <c r="BI137" s="7"/>
      <c r="BJ137" s="7"/>
      <c r="BK137" s="7"/>
      <c r="BL137" s="7"/>
    </row>
    <row r="138" spans="1:64">
      <c r="A138" s="13"/>
      <c r="B138" s="7"/>
      <c r="C138" s="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7"/>
      <c r="AD138" s="7"/>
      <c r="AE138" s="7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7"/>
      <c r="BE138" s="7"/>
      <c r="BF138" s="7"/>
      <c r="BG138" s="7"/>
      <c r="BH138" s="7"/>
      <c r="BI138" s="7"/>
      <c r="BJ138" s="7"/>
      <c r="BK138" s="7"/>
      <c r="BL138" s="7"/>
    </row>
    <row r="139" spans="1:64">
      <c r="A139" s="13"/>
      <c r="B139" s="7"/>
      <c r="C139" s="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7"/>
      <c r="AD139" s="7"/>
      <c r="AE139" s="7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7"/>
      <c r="BE139" s="7"/>
      <c r="BF139" s="7"/>
      <c r="BG139" s="7"/>
      <c r="BH139" s="7"/>
      <c r="BI139" s="7"/>
      <c r="BJ139" s="7"/>
      <c r="BK139" s="7"/>
      <c r="BL139" s="7"/>
    </row>
    <row r="140" spans="1:64">
      <c r="A140" s="13"/>
      <c r="B140" s="7"/>
      <c r="C140" s="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7"/>
      <c r="AD140" s="7"/>
      <c r="AE140" s="7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7"/>
      <c r="BE140" s="7"/>
      <c r="BF140" s="7"/>
      <c r="BG140" s="7"/>
      <c r="BH140" s="7"/>
      <c r="BI140" s="7"/>
      <c r="BJ140" s="7"/>
      <c r="BK140" s="7"/>
      <c r="BL140" s="7"/>
    </row>
    <row r="141" spans="1:64">
      <c r="A141" s="13"/>
      <c r="B141" s="7"/>
      <c r="C141" s="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7"/>
      <c r="AD141" s="7"/>
      <c r="AE141" s="7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7"/>
      <c r="BE141" s="7"/>
      <c r="BF141" s="7"/>
      <c r="BG141" s="7"/>
      <c r="BH141" s="7"/>
      <c r="BI141" s="7"/>
      <c r="BJ141" s="7"/>
      <c r="BK141" s="7"/>
      <c r="BL141" s="7"/>
    </row>
    <row r="142" spans="1:64">
      <c r="A142" s="13"/>
      <c r="B142" s="7"/>
      <c r="C142" s="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7"/>
      <c r="AD142" s="7"/>
      <c r="AE142" s="7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7"/>
      <c r="BE142" s="7"/>
      <c r="BF142" s="7"/>
      <c r="BG142" s="7"/>
      <c r="BH142" s="7"/>
      <c r="BI142" s="7"/>
      <c r="BJ142" s="7"/>
      <c r="BK142" s="7"/>
      <c r="BL142" s="7"/>
    </row>
    <row r="143" spans="1:64">
      <c r="A143" s="13"/>
      <c r="B143" s="7"/>
      <c r="C143" s="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7"/>
      <c r="AD143" s="7"/>
      <c r="AE143" s="7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7"/>
      <c r="BE143" s="7"/>
      <c r="BF143" s="7"/>
      <c r="BG143" s="7"/>
      <c r="BH143" s="7"/>
      <c r="BI143" s="7"/>
      <c r="BJ143" s="7"/>
      <c r="BK143" s="7"/>
      <c r="BL143" s="7"/>
    </row>
    <row r="144" spans="1:64">
      <c r="A144" s="13"/>
      <c r="B144" s="7"/>
      <c r="C144" s="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7"/>
      <c r="AD144" s="7"/>
      <c r="AE144" s="7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7"/>
      <c r="BE144" s="7"/>
      <c r="BF144" s="7"/>
      <c r="BG144" s="7"/>
      <c r="BH144" s="7"/>
      <c r="BI144" s="7"/>
      <c r="BJ144" s="7"/>
      <c r="BK144" s="7"/>
      <c r="BL144" s="7"/>
    </row>
    <row r="145" spans="1:64">
      <c r="A145" s="13"/>
      <c r="B145" s="7"/>
      <c r="C145" s="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7"/>
      <c r="AD145" s="7"/>
      <c r="AE145" s="7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7"/>
      <c r="BE145" s="7"/>
      <c r="BF145" s="7"/>
      <c r="BG145" s="7"/>
      <c r="BH145" s="7"/>
      <c r="BI145" s="7"/>
      <c r="BJ145" s="7"/>
      <c r="BK145" s="7"/>
      <c r="BL145" s="7"/>
    </row>
    <row r="146" spans="1:64">
      <c r="A146" s="13"/>
      <c r="B146" s="7"/>
      <c r="C146" s="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7"/>
      <c r="AD146" s="7"/>
      <c r="AE146" s="7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7"/>
      <c r="BE146" s="7"/>
      <c r="BF146" s="7"/>
      <c r="BG146" s="7"/>
      <c r="BH146" s="7"/>
      <c r="BI146" s="7"/>
      <c r="BJ146" s="7"/>
      <c r="BK146" s="7"/>
      <c r="BL146" s="7"/>
    </row>
    <row r="147" spans="1:64">
      <c r="A147" s="13"/>
      <c r="B147" s="7"/>
      <c r="C147" s="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7"/>
      <c r="AD147" s="7"/>
      <c r="AE147" s="7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7"/>
      <c r="BE147" s="7"/>
      <c r="BF147" s="7"/>
      <c r="BG147" s="7"/>
      <c r="BH147" s="7"/>
      <c r="BI147" s="7"/>
      <c r="BJ147" s="7"/>
      <c r="BK147" s="7"/>
      <c r="BL147" s="7"/>
    </row>
    <row r="148" spans="1:64">
      <c r="A148" s="13"/>
      <c r="B148" s="7"/>
      <c r="C148" s="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7"/>
      <c r="AD148" s="7"/>
      <c r="AE148" s="7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7"/>
      <c r="BE148" s="7"/>
      <c r="BF148" s="7"/>
      <c r="BG148" s="7"/>
      <c r="BH148" s="7"/>
      <c r="BI148" s="7"/>
      <c r="BJ148" s="7"/>
      <c r="BK148" s="7"/>
      <c r="BL148" s="7"/>
    </row>
    <row r="149" spans="1:64">
      <c r="A149" s="13"/>
      <c r="B149" s="7"/>
      <c r="C149" s="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7"/>
      <c r="AD149" s="7"/>
      <c r="AE149" s="7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7"/>
      <c r="BE149" s="7"/>
      <c r="BF149" s="7"/>
      <c r="BG149" s="7"/>
      <c r="BH149" s="7"/>
      <c r="BI149" s="7"/>
      <c r="BJ149" s="7"/>
      <c r="BK149" s="7"/>
      <c r="BL149" s="7"/>
    </row>
    <row r="150" spans="1:64">
      <c r="A150" s="13"/>
      <c r="B150" s="7"/>
      <c r="C150" s="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7"/>
      <c r="AD150" s="7"/>
      <c r="AE150" s="7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7"/>
      <c r="BE150" s="7"/>
      <c r="BF150" s="7"/>
      <c r="BG150" s="7"/>
      <c r="BH150" s="7"/>
      <c r="BI150" s="7"/>
      <c r="BJ150" s="7"/>
      <c r="BK150" s="7"/>
      <c r="BL150" s="7"/>
    </row>
    <row r="151" spans="1:64">
      <c r="A151" s="13"/>
      <c r="B151" s="7"/>
      <c r="C151" s="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7"/>
      <c r="AD151" s="7"/>
      <c r="AE151" s="7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7"/>
      <c r="BE151" s="7"/>
      <c r="BF151" s="7"/>
      <c r="BG151" s="7"/>
      <c r="BH151" s="7"/>
      <c r="BI151" s="7"/>
      <c r="BJ151" s="7"/>
      <c r="BK151" s="7"/>
      <c r="BL151" s="7"/>
    </row>
    <row r="152" spans="1:64">
      <c r="A152" s="13"/>
      <c r="B152" s="7"/>
      <c r="C152" s="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7"/>
      <c r="AD152" s="7"/>
      <c r="AE152" s="7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7"/>
      <c r="BE152" s="7"/>
      <c r="BF152" s="7"/>
      <c r="BG152" s="7"/>
      <c r="BH152" s="7"/>
      <c r="BI152" s="7"/>
      <c r="BJ152" s="7"/>
      <c r="BK152" s="7"/>
      <c r="BL152" s="7"/>
    </row>
    <row r="153" spans="1:64">
      <c r="A153" s="13"/>
      <c r="B153" s="7"/>
      <c r="C153" s="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7"/>
      <c r="AD153" s="7"/>
      <c r="AE153" s="7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7"/>
      <c r="BE153" s="7"/>
      <c r="BF153" s="7"/>
      <c r="BG153" s="7"/>
      <c r="BH153" s="7"/>
      <c r="BI153" s="7"/>
      <c r="BJ153" s="7"/>
      <c r="BK153" s="7"/>
      <c r="BL153" s="7"/>
    </row>
    <row r="154" spans="1:64">
      <c r="A154" s="13"/>
      <c r="B154" s="7"/>
      <c r="C154" s="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7"/>
      <c r="AD154" s="7"/>
      <c r="AE154" s="7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7"/>
      <c r="BE154" s="7"/>
      <c r="BF154" s="7"/>
      <c r="BG154" s="7"/>
      <c r="BH154" s="7"/>
      <c r="BI154" s="7"/>
      <c r="BJ154" s="7"/>
      <c r="BK154" s="7"/>
      <c r="BL154" s="7"/>
    </row>
    <row r="155" spans="1:64">
      <c r="A155" s="13"/>
      <c r="B155" s="7"/>
      <c r="C155" s="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7"/>
      <c r="AD155" s="7"/>
      <c r="AE155" s="7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7"/>
      <c r="BE155" s="7"/>
      <c r="BF155" s="7"/>
      <c r="BG155" s="7"/>
      <c r="BH155" s="7"/>
      <c r="BI155" s="7"/>
      <c r="BJ155" s="7"/>
      <c r="BK155" s="7"/>
      <c r="BL155" s="7"/>
    </row>
    <row r="156" spans="1:64">
      <c r="A156" s="13"/>
      <c r="B156" s="7"/>
      <c r="C156" s="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7"/>
      <c r="AD156" s="7"/>
      <c r="AE156" s="7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7"/>
      <c r="BE156" s="7"/>
      <c r="BF156" s="7"/>
      <c r="BG156" s="7"/>
      <c r="BH156" s="7"/>
      <c r="BI156" s="7"/>
      <c r="BJ156" s="7"/>
      <c r="BK156" s="7"/>
      <c r="BL156" s="7"/>
    </row>
    <row r="157" spans="1:64">
      <c r="A157" s="13"/>
      <c r="B157" s="7"/>
      <c r="C157" s="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7"/>
      <c r="AD157" s="7"/>
      <c r="AE157" s="7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7"/>
      <c r="BE157" s="7"/>
      <c r="BF157" s="7"/>
      <c r="BG157" s="7"/>
      <c r="BH157" s="7"/>
      <c r="BI157" s="7"/>
      <c r="BJ157" s="7"/>
      <c r="BK157" s="7"/>
      <c r="BL157" s="7"/>
    </row>
    <row r="158" spans="1:64">
      <c r="A158" s="13"/>
      <c r="B158" s="7"/>
      <c r="C158" s="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7"/>
      <c r="AD158" s="7"/>
      <c r="AE158" s="7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7"/>
      <c r="BE158" s="7"/>
      <c r="BF158" s="7"/>
      <c r="BG158" s="7"/>
      <c r="BH158" s="7"/>
      <c r="BI158" s="7"/>
      <c r="BJ158" s="7"/>
      <c r="BK158" s="7"/>
      <c r="BL158" s="7"/>
    </row>
    <row r="159" spans="1:64">
      <c r="A159" s="13"/>
      <c r="B159" s="7"/>
      <c r="C159" s="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7"/>
      <c r="AD159" s="7"/>
      <c r="AE159" s="7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7"/>
      <c r="BE159" s="7"/>
      <c r="BF159" s="7"/>
      <c r="BG159" s="7"/>
      <c r="BH159" s="7"/>
      <c r="BI159" s="7"/>
      <c r="BJ159" s="7"/>
      <c r="BK159" s="7"/>
      <c r="BL159" s="7"/>
    </row>
    <row r="160" spans="1:64">
      <c r="A160" s="13"/>
      <c r="B160" s="7"/>
      <c r="C160" s="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7"/>
      <c r="AD160" s="7"/>
      <c r="AE160" s="7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7"/>
      <c r="BE160" s="7"/>
      <c r="BF160" s="7"/>
      <c r="BG160" s="7"/>
      <c r="BH160" s="7"/>
      <c r="BI160" s="7"/>
      <c r="BJ160" s="7"/>
      <c r="BK160" s="7"/>
      <c r="BL160" s="7"/>
    </row>
    <row r="161" spans="1:64">
      <c r="A161" s="13"/>
      <c r="B161" s="7"/>
      <c r="C161" s="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7"/>
      <c r="AD161" s="7"/>
      <c r="AE161" s="7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7"/>
      <c r="BE161" s="7"/>
      <c r="BF161" s="7"/>
      <c r="BG161" s="7"/>
      <c r="BH161" s="7"/>
      <c r="BI161" s="7"/>
      <c r="BJ161" s="7"/>
      <c r="BK161" s="7"/>
      <c r="BL161" s="7"/>
    </row>
    <row r="162" spans="1:64">
      <c r="A162" s="13"/>
      <c r="B162" s="7"/>
      <c r="C162" s="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7"/>
      <c r="AD162" s="7"/>
      <c r="AE162" s="7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7"/>
      <c r="BE162" s="7"/>
      <c r="BF162" s="7"/>
      <c r="BG162" s="7"/>
      <c r="BH162" s="7"/>
      <c r="BI162" s="7"/>
      <c r="BJ162" s="7"/>
      <c r="BK162" s="7"/>
      <c r="BL162" s="7"/>
    </row>
    <row r="163" spans="1:64">
      <c r="A163" s="13"/>
      <c r="B163" s="7"/>
      <c r="C163" s="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7"/>
      <c r="AD163" s="7"/>
      <c r="AE163" s="7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7"/>
      <c r="BE163" s="7"/>
      <c r="BF163" s="7"/>
      <c r="BG163" s="7"/>
      <c r="BH163" s="7"/>
      <c r="BI163" s="7"/>
      <c r="BJ163" s="7"/>
      <c r="BK163" s="7"/>
      <c r="BL163" s="7"/>
    </row>
    <row r="164" spans="1:64">
      <c r="A164" s="13"/>
      <c r="B164" s="7"/>
      <c r="C164" s="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7"/>
      <c r="AD164" s="7"/>
      <c r="AE164" s="7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7"/>
      <c r="BE164" s="7"/>
      <c r="BF164" s="7"/>
      <c r="BG164" s="7"/>
      <c r="BH164" s="7"/>
      <c r="BI164" s="7"/>
      <c r="BJ164" s="7"/>
      <c r="BK164" s="7"/>
      <c r="BL164" s="7"/>
    </row>
    <row r="165" spans="1:64">
      <c r="A165" s="13"/>
      <c r="B165" s="7"/>
      <c r="C165" s="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7"/>
      <c r="AD165" s="7"/>
      <c r="AE165" s="7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7"/>
      <c r="BE165" s="7"/>
      <c r="BF165" s="7"/>
      <c r="BG165" s="7"/>
      <c r="BH165" s="7"/>
      <c r="BI165" s="7"/>
      <c r="BJ165" s="7"/>
      <c r="BK165" s="7"/>
      <c r="BL165" s="7"/>
    </row>
    <row r="166" spans="1:64">
      <c r="A166" s="13"/>
      <c r="B166" s="7"/>
      <c r="C166" s="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7"/>
      <c r="AD166" s="7"/>
      <c r="AE166" s="7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7"/>
      <c r="BE166" s="7"/>
      <c r="BF166" s="7"/>
      <c r="BG166" s="7"/>
      <c r="BH166" s="7"/>
      <c r="BI166" s="7"/>
      <c r="BJ166" s="7"/>
      <c r="BK166" s="7"/>
      <c r="BL166" s="7"/>
    </row>
    <row r="167" spans="1:64">
      <c r="A167" s="13"/>
      <c r="B167" s="7"/>
      <c r="C167" s="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7"/>
      <c r="AD167" s="7"/>
      <c r="AE167" s="7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7"/>
      <c r="BE167" s="7"/>
      <c r="BF167" s="7"/>
      <c r="BG167" s="7"/>
      <c r="BH167" s="7"/>
      <c r="BI167" s="7"/>
      <c r="BJ167" s="7"/>
      <c r="BK167" s="7"/>
      <c r="BL167" s="7"/>
    </row>
    <row r="168" spans="1:64">
      <c r="A168" s="13"/>
      <c r="B168" s="7"/>
      <c r="C168" s="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7"/>
      <c r="AD168" s="7"/>
      <c r="AE168" s="7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1:64">
      <c r="A169" s="13"/>
      <c r="B169" s="7"/>
      <c r="C169" s="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7"/>
      <c r="AD169" s="7"/>
      <c r="AE169" s="7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7"/>
      <c r="BE169" s="7"/>
      <c r="BF169" s="7"/>
      <c r="BG169" s="7"/>
      <c r="BH169" s="7"/>
      <c r="BI169" s="7"/>
      <c r="BJ169" s="7"/>
      <c r="BK169" s="7"/>
      <c r="BL169" s="7"/>
    </row>
    <row r="170" spans="1:64">
      <c r="A170" s="13"/>
      <c r="B170" s="7"/>
      <c r="C170" s="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7"/>
      <c r="AD170" s="7"/>
      <c r="AE170" s="7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1:64">
      <c r="A171" s="13"/>
      <c r="B171" s="7"/>
      <c r="C171" s="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7"/>
      <c r="AD171" s="7"/>
      <c r="AE171" s="7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1:64">
      <c r="A172" s="13"/>
      <c r="B172" s="7"/>
      <c r="C172" s="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7"/>
      <c r="AD172" s="7"/>
      <c r="AE172" s="7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>
      <c r="A173" s="13"/>
      <c r="B173" s="7"/>
      <c r="C173" s="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7"/>
      <c r="AD173" s="7"/>
      <c r="AE173" s="7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7"/>
      <c r="BE173" s="7"/>
      <c r="BF173" s="7"/>
      <c r="BG173" s="7"/>
      <c r="BH173" s="7"/>
      <c r="BI173" s="7"/>
      <c r="BJ173" s="7"/>
      <c r="BK173" s="7"/>
      <c r="BL173" s="7"/>
    </row>
    <row r="174" spans="1:64">
      <c r="A174" s="13"/>
      <c r="B174" s="7"/>
      <c r="C174" s="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7"/>
      <c r="AD174" s="7"/>
      <c r="AE174" s="7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7"/>
      <c r="BE174" s="7"/>
      <c r="BF174" s="7"/>
      <c r="BG174" s="7"/>
      <c r="BH174" s="7"/>
      <c r="BI174" s="7"/>
      <c r="BJ174" s="7"/>
      <c r="BK174" s="7"/>
      <c r="BL174" s="7"/>
    </row>
    <row r="175" spans="1:64">
      <c r="A175" s="13"/>
      <c r="B175" s="7"/>
      <c r="C175" s="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7"/>
      <c r="AD175" s="7"/>
      <c r="AE175" s="7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7"/>
      <c r="BE175" s="7"/>
      <c r="BF175" s="7"/>
      <c r="BG175" s="7"/>
      <c r="BH175" s="7"/>
      <c r="BI175" s="7"/>
      <c r="BJ175" s="7"/>
      <c r="BK175" s="7"/>
      <c r="BL175" s="7"/>
    </row>
    <row r="176" spans="1:64">
      <c r="A176" s="13"/>
      <c r="B176" s="7"/>
      <c r="C176" s="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7"/>
      <c r="AD176" s="7"/>
      <c r="AE176" s="7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7"/>
      <c r="BE176" s="7"/>
      <c r="BF176" s="7"/>
      <c r="BG176" s="7"/>
      <c r="BH176" s="7"/>
      <c r="BI176" s="7"/>
      <c r="BJ176" s="7"/>
      <c r="BK176" s="7"/>
      <c r="BL176" s="7"/>
    </row>
    <row r="177" spans="1:64">
      <c r="A177" s="13"/>
      <c r="B177" s="7"/>
      <c r="C177" s="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7"/>
      <c r="AD177" s="7"/>
      <c r="AE177" s="7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7"/>
      <c r="BE177" s="7"/>
      <c r="BF177" s="7"/>
      <c r="BG177" s="7"/>
      <c r="BH177" s="7"/>
      <c r="BI177" s="7"/>
      <c r="BJ177" s="7"/>
      <c r="BK177" s="7"/>
      <c r="BL177" s="7"/>
    </row>
    <row r="178" spans="1:64">
      <c r="A178" s="13"/>
      <c r="B178" s="7"/>
      <c r="C178" s="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7"/>
      <c r="AD178" s="7"/>
      <c r="AE178" s="7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7"/>
      <c r="BE178" s="7"/>
      <c r="BF178" s="7"/>
      <c r="BG178" s="7"/>
      <c r="BH178" s="7"/>
      <c r="BI178" s="7"/>
      <c r="BJ178" s="7"/>
      <c r="BK178" s="7"/>
      <c r="BL178" s="7"/>
    </row>
    <row r="179" spans="1:64">
      <c r="A179" s="13"/>
      <c r="B179" s="7"/>
      <c r="C179" s="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7"/>
      <c r="AD179" s="7"/>
      <c r="AE179" s="7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1:64">
      <c r="A180" s="13"/>
      <c r="B180" s="7"/>
      <c r="C180" s="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7"/>
      <c r="AD180" s="7"/>
      <c r="AE180" s="7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7"/>
      <c r="BE180" s="7"/>
      <c r="BF180" s="7"/>
      <c r="BG180" s="7"/>
      <c r="BH180" s="7"/>
      <c r="BI180" s="7"/>
      <c r="BJ180" s="7"/>
      <c r="BK180" s="7"/>
      <c r="BL180" s="7"/>
    </row>
    <row r="181" spans="1:64">
      <c r="A181" s="13"/>
      <c r="B181" s="7"/>
      <c r="C181" s="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7"/>
      <c r="AD181" s="7"/>
      <c r="AE181" s="7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7"/>
      <c r="BE181" s="7"/>
      <c r="BF181" s="7"/>
      <c r="BG181" s="7"/>
      <c r="BH181" s="7"/>
      <c r="BI181" s="7"/>
      <c r="BJ181" s="7"/>
      <c r="BK181" s="7"/>
      <c r="BL181" s="7"/>
    </row>
    <row r="182" spans="1:64">
      <c r="A182" s="13"/>
      <c r="B182" s="7"/>
      <c r="C182" s="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7"/>
      <c r="AD182" s="7"/>
      <c r="AE182" s="7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7"/>
      <c r="BE182" s="7"/>
      <c r="BF182" s="7"/>
      <c r="BG182" s="7"/>
      <c r="BH182" s="7"/>
      <c r="BI182" s="7"/>
      <c r="BJ182" s="7"/>
      <c r="BK182" s="7"/>
      <c r="BL182" s="7"/>
    </row>
    <row r="183" spans="1:64">
      <c r="A183" s="13"/>
      <c r="B183" s="7"/>
      <c r="C183" s="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7"/>
      <c r="AD183" s="7"/>
      <c r="AE183" s="7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7"/>
      <c r="BE183" s="7"/>
      <c r="BF183" s="7"/>
      <c r="BG183" s="7"/>
      <c r="BH183" s="7"/>
      <c r="BI183" s="7"/>
      <c r="BJ183" s="7"/>
      <c r="BK183" s="7"/>
      <c r="BL183" s="7"/>
    </row>
    <row r="184" spans="1:64">
      <c r="A184" s="13"/>
      <c r="B184" s="7"/>
      <c r="C184" s="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7"/>
      <c r="AD184" s="7"/>
      <c r="AE184" s="7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7"/>
      <c r="BE184" s="7"/>
      <c r="BF184" s="7"/>
      <c r="BG184" s="7"/>
      <c r="BH184" s="7"/>
      <c r="BI184" s="7"/>
      <c r="BJ184" s="7"/>
      <c r="BK184" s="7"/>
      <c r="BL184" s="7"/>
    </row>
    <row r="185" spans="1:64">
      <c r="A185" s="13"/>
      <c r="B185" s="7"/>
      <c r="C185" s="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7"/>
      <c r="AD185" s="7"/>
      <c r="AE185" s="7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7"/>
      <c r="BE185" s="7"/>
      <c r="BF185" s="7"/>
      <c r="BG185" s="7"/>
      <c r="BH185" s="7"/>
      <c r="BI185" s="7"/>
      <c r="BJ185" s="7"/>
      <c r="BK185" s="7"/>
      <c r="BL185" s="7"/>
    </row>
    <row r="186" spans="1:64">
      <c r="A186" s="13"/>
      <c r="B186" s="7"/>
      <c r="C186" s="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7"/>
      <c r="AD186" s="7"/>
      <c r="AE186" s="7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7"/>
      <c r="BE186" s="7"/>
      <c r="BF186" s="7"/>
      <c r="BG186" s="7"/>
      <c r="BH186" s="7"/>
      <c r="BI186" s="7"/>
      <c r="BJ186" s="7"/>
      <c r="BK186" s="7"/>
      <c r="BL186" s="7"/>
    </row>
    <row r="187" spans="1:64">
      <c r="A187" s="13"/>
      <c r="B187" s="7"/>
      <c r="C187" s="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7"/>
      <c r="AD187" s="7"/>
      <c r="AE187" s="7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7"/>
      <c r="BE187" s="7"/>
      <c r="BF187" s="7"/>
      <c r="BG187" s="7"/>
      <c r="BH187" s="7"/>
      <c r="BI187" s="7"/>
      <c r="BJ187" s="7"/>
      <c r="BK187" s="7"/>
      <c r="BL187" s="7"/>
    </row>
    <row r="188" spans="1:64">
      <c r="A188" s="13"/>
      <c r="B188" s="7"/>
      <c r="C188" s="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7"/>
      <c r="AD188" s="7"/>
      <c r="AE188" s="7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7"/>
      <c r="BE188" s="7"/>
      <c r="BF188" s="7"/>
      <c r="BG188" s="7"/>
      <c r="BH188" s="7"/>
      <c r="BI188" s="7"/>
      <c r="BJ188" s="7"/>
      <c r="BK188" s="7"/>
      <c r="BL188" s="7"/>
    </row>
    <row r="189" spans="1:64">
      <c r="A189" s="13"/>
      <c r="B189" s="7"/>
      <c r="C189" s="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7"/>
      <c r="AD189" s="7"/>
      <c r="AE189" s="7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7"/>
      <c r="BE189" s="7"/>
      <c r="BF189" s="7"/>
      <c r="BG189" s="7"/>
      <c r="BH189" s="7"/>
      <c r="BI189" s="7"/>
      <c r="BJ189" s="7"/>
      <c r="BK189" s="7"/>
      <c r="BL189" s="7"/>
    </row>
    <row r="190" spans="1:64">
      <c r="A190" s="13"/>
      <c r="B190" s="7"/>
      <c r="C190" s="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7"/>
      <c r="AD190" s="7"/>
      <c r="AE190" s="7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7"/>
      <c r="BE190" s="7"/>
      <c r="BF190" s="7"/>
      <c r="BG190" s="7"/>
      <c r="BH190" s="7"/>
      <c r="BI190" s="7"/>
      <c r="BJ190" s="7"/>
      <c r="BK190" s="7"/>
      <c r="BL190" s="7"/>
    </row>
    <row r="191" spans="1:64">
      <c r="A191" s="13"/>
      <c r="B191" s="7"/>
      <c r="C191" s="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7"/>
      <c r="AD191" s="7"/>
      <c r="AE191" s="7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7"/>
      <c r="BE191" s="7"/>
      <c r="BF191" s="7"/>
      <c r="BG191" s="7"/>
      <c r="BH191" s="7"/>
      <c r="BI191" s="7"/>
      <c r="BJ191" s="7"/>
      <c r="BK191" s="7"/>
      <c r="BL191" s="7"/>
    </row>
    <row r="192" spans="1:64">
      <c r="A192" s="13"/>
      <c r="B192" s="7"/>
      <c r="C192" s="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7"/>
      <c r="AD192" s="7"/>
      <c r="AE192" s="7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1:64">
      <c r="A193" s="13"/>
      <c r="B193" s="7"/>
      <c r="C193" s="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7"/>
      <c r="AD193" s="7"/>
      <c r="AE193" s="7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1:64">
      <c r="A194" s="13"/>
      <c r="B194" s="7"/>
      <c r="C194" s="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7"/>
      <c r="AD194" s="7"/>
      <c r="AE194" s="7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1:64">
      <c r="A195" s="13"/>
      <c r="B195" s="7"/>
      <c r="C195" s="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7"/>
      <c r="AD195" s="7"/>
      <c r="AE195" s="7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7"/>
      <c r="BE195" s="7"/>
      <c r="BF195" s="7"/>
      <c r="BG195" s="7"/>
      <c r="BH195" s="7"/>
      <c r="BI195" s="7"/>
      <c r="BJ195" s="7"/>
      <c r="BK195" s="7"/>
      <c r="BL195" s="7"/>
    </row>
    <row r="196" spans="1:64">
      <c r="A196" s="13"/>
      <c r="B196" s="7"/>
      <c r="C196" s="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7"/>
      <c r="AD196" s="7"/>
      <c r="AE196" s="7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7"/>
      <c r="BE196" s="7"/>
      <c r="BF196" s="7"/>
      <c r="BG196" s="7"/>
      <c r="BH196" s="7"/>
      <c r="BI196" s="7"/>
      <c r="BJ196" s="7"/>
      <c r="BK196" s="7"/>
      <c r="BL196" s="7"/>
    </row>
    <row r="197" spans="1:64">
      <c r="A197" s="13"/>
      <c r="B197" s="7"/>
      <c r="C197" s="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7"/>
      <c r="AD197" s="7"/>
      <c r="AE197" s="7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7"/>
      <c r="BE197" s="7"/>
      <c r="BF197" s="7"/>
      <c r="BG197" s="7"/>
      <c r="BH197" s="7"/>
      <c r="BI197" s="7"/>
      <c r="BJ197" s="7"/>
      <c r="BK197" s="7"/>
      <c r="BL197" s="7"/>
    </row>
    <row r="198" spans="1:64">
      <c r="A198" s="13"/>
      <c r="B198" s="7"/>
      <c r="C198" s="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7"/>
      <c r="AD198" s="7"/>
      <c r="AE198" s="7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7"/>
      <c r="BE198" s="7"/>
      <c r="BF198" s="7"/>
      <c r="BG198" s="7"/>
      <c r="BH198" s="7"/>
      <c r="BI198" s="7"/>
      <c r="BJ198" s="7"/>
      <c r="BK198" s="7"/>
      <c r="BL198" s="7"/>
    </row>
    <row r="199" spans="1:64">
      <c r="A199" s="13"/>
      <c r="B199" s="7"/>
      <c r="C199" s="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7"/>
      <c r="AD199" s="7"/>
      <c r="AE199" s="7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7"/>
      <c r="BE199" s="7"/>
      <c r="BF199" s="7"/>
      <c r="BG199" s="7"/>
      <c r="BH199" s="7"/>
      <c r="BI199" s="7"/>
      <c r="BJ199" s="7"/>
      <c r="BK199" s="7"/>
      <c r="BL199" s="7"/>
    </row>
    <row r="200" spans="1:64">
      <c r="A200" s="13"/>
      <c r="B200" s="7"/>
      <c r="C200" s="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7"/>
      <c r="AD200" s="7"/>
      <c r="AE200" s="7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7"/>
      <c r="BE200" s="7"/>
      <c r="BF200" s="7"/>
      <c r="BG200" s="7"/>
      <c r="BH200" s="7"/>
      <c r="BI200" s="7"/>
      <c r="BJ200" s="7"/>
      <c r="BK200" s="7"/>
      <c r="BL200" s="7"/>
    </row>
    <row r="201" spans="1:64">
      <c r="A201" s="13"/>
      <c r="B201" s="7"/>
      <c r="C201" s="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7"/>
      <c r="AD201" s="7"/>
      <c r="AE201" s="7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7"/>
      <c r="BE201" s="7"/>
      <c r="BF201" s="7"/>
      <c r="BG201" s="7"/>
      <c r="BH201" s="7"/>
      <c r="BI201" s="7"/>
      <c r="BJ201" s="7"/>
      <c r="BK201" s="7"/>
      <c r="BL201" s="7"/>
    </row>
    <row r="202" spans="1:64">
      <c r="A202" s="13"/>
      <c r="B202" s="7"/>
      <c r="C202" s="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7"/>
      <c r="AD202" s="7"/>
      <c r="AE202" s="7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7"/>
      <c r="BE202" s="7"/>
      <c r="BF202" s="7"/>
      <c r="BG202" s="7"/>
      <c r="BH202" s="7"/>
      <c r="BI202" s="7"/>
      <c r="BJ202" s="7"/>
      <c r="BK202" s="7"/>
      <c r="BL202" s="7"/>
    </row>
    <row r="203" spans="1:64">
      <c r="A203" s="13"/>
      <c r="B203" s="7"/>
      <c r="C203" s="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7"/>
      <c r="AD203" s="7"/>
      <c r="AE203" s="7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7"/>
      <c r="BE203" s="7"/>
      <c r="BF203" s="7"/>
      <c r="BG203" s="7"/>
      <c r="BH203" s="7"/>
      <c r="BI203" s="7"/>
      <c r="BJ203" s="7"/>
      <c r="BK203" s="7"/>
      <c r="BL203" s="7"/>
    </row>
    <row r="204" spans="1:64">
      <c r="A204" s="13"/>
      <c r="B204" s="7"/>
      <c r="C204" s="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7"/>
      <c r="AD204" s="7"/>
      <c r="AE204" s="7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7"/>
      <c r="BE204" s="7"/>
      <c r="BF204" s="7"/>
      <c r="BG204" s="7"/>
      <c r="BH204" s="7"/>
      <c r="BI204" s="7"/>
      <c r="BJ204" s="7"/>
      <c r="BK204" s="7"/>
      <c r="BL204" s="7"/>
    </row>
    <row r="205" spans="1:64">
      <c r="A205" s="13"/>
      <c r="B205" s="7"/>
      <c r="C205" s="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7"/>
      <c r="AD205" s="7"/>
      <c r="AE205" s="7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7"/>
      <c r="BE205" s="7"/>
      <c r="BF205" s="7"/>
      <c r="BG205" s="7"/>
      <c r="BH205" s="7"/>
      <c r="BI205" s="7"/>
      <c r="BJ205" s="7"/>
      <c r="BK205" s="7"/>
      <c r="BL205" s="7"/>
    </row>
    <row r="206" spans="1:64">
      <c r="A206" s="13"/>
      <c r="B206" s="7"/>
      <c r="C206" s="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7"/>
      <c r="AD206" s="7"/>
      <c r="AE206" s="7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7"/>
      <c r="BE206" s="7"/>
      <c r="BF206" s="7"/>
      <c r="BG206" s="7"/>
      <c r="BH206" s="7"/>
      <c r="BI206" s="7"/>
      <c r="BJ206" s="7"/>
      <c r="BK206" s="7"/>
      <c r="BL206" s="7"/>
    </row>
    <row r="207" spans="1:64">
      <c r="A207" s="13"/>
      <c r="B207" s="7"/>
      <c r="C207" s="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7"/>
      <c r="AD207" s="7"/>
      <c r="AE207" s="7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7"/>
      <c r="BE207" s="7"/>
      <c r="BF207" s="7"/>
      <c r="BG207" s="7"/>
      <c r="BH207" s="7"/>
      <c r="BI207" s="7"/>
      <c r="BJ207" s="7"/>
      <c r="BK207" s="7"/>
      <c r="BL207" s="7"/>
    </row>
    <row r="208" spans="1:64">
      <c r="A208" s="13"/>
      <c r="B208" s="7"/>
      <c r="C208" s="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7"/>
      <c r="AD208" s="7"/>
      <c r="AE208" s="7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7"/>
      <c r="BE208" s="7"/>
      <c r="BF208" s="7"/>
      <c r="BG208" s="7"/>
      <c r="BH208" s="7"/>
      <c r="BI208" s="7"/>
      <c r="BJ208" s="7"/>
      <c r="BK208" s="7"/>
      <c r="BL208" s="7"/>
    </row>
    <row r="209" spans="1:64">
      <c r="A209" s="13"/>
      <c r="B209" s="7"/>
      <c r="C209" s="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7"/>
      <c r="AD209" s="7"/>
      <c r="AE209" s="7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7"/>
      <c r="BE209" s="7"/>
      <c r="BF209" s="7"/>
      <c r="BG209" s="7"/>
      <c r="BH209" s="7"/>
      <c r="BI209" s="7"/>
      <c r="BJ209" s="7"/>
      <c r="BK209" s="7"/>
      <c r="BL209" s="7"/>
    </row>
    <row r="210" spans="1:64">
      <c r="A210" s="13"/>
      <c r="B210" s="7"/>
      <c r="C210" s="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7"/>
      <c r="AD210" s="7"/>
      <c r="AE210" s="7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7"/>
      <c r="BE210" s="7"/>
      <c r="BF210" s="7"/>
      <c r="BG210" s="7"/>
      <c r="BH210" s="7"/>
      <c r="BI210" s="7"/>
      <c r="BJ210" s="7"/>
      <c r="BK210" s="7"/>
      <c r="BL210" s="7"/>
    </row>
    <row r="211" spans="1:64">
      <c r="A211" s="13"/>
      <c r="B211" s="7"/>
      <c r="C211" s="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7"/>
      <c r="AD211" s="7"/>
      <c r="AE211" s="7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7"/>
      <c r="BE211" s="7"/>
      <c r="BF211" s="7"/>
      <c r="BG211" s="7"/>
      <c r="BH211" s="7"/>
      <c r="BI211" s="7"/>
      <c r="BJ211" s="7"/>
      <c r="BK211" s="7"/>
      <c r="BL211" s="7"/>
    </row>
    <row r="212" spans="1:64">
      <c r="A212" s="13"/>
      <c r="B212" s="7"/>
      <c r="C212" s="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7"/>
      <c r="AD212" s="7"/>
      <c r="AE212" s="7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7"/>
      <c r="BE212" s="7"/>
      <c r="BF212" s="7"/>
      <c r="BG212" s="7"/>
      <c r="BH212" s="7"/>
      <c r="BI212" s="7"/>
      <c r="BJ212" s="7"/>
      <c r="BK212" s="7"/>
      <c r="BL212" s="7"/>
    </row>
    <row r="213" spans="1:64">
      <c r="A213" s="13"/>
      <c r="B213" s="7"/>
      <c r="C213" s="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7"/>
      <c r="AD213" s="7"/>
      <c r="AE213" s="7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7"/>
      <c r="BE213" s="7"/>
      <c r="BF213" s="7"/>
      <c r="BG213" s="7"/>
      <c r="BH213" s="7"/>
      <c r="BI213" s="7"/>
      <c r="BJ213" s="7"/>
      <c r="BK213" s="7"/>
      <c r="BL213" s="7"/>
    </row>
    <row r="214" spans="1:64">
      <c r="A214" s="13"/>
      <c r="B214" s="7"/>
      <c r="C214" s="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7"/>
      <c r="AD214" s="7"/>
      <c r="AE214" s="7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7"/>
      <c r="BE214" s="7"/>
      <c r="BF214" s="7"/>
      <c r="BG214" s="7"/>
      <c r="BH214" s="7"/>
      <c r="BI214" s="7"/>
      <c r="BJ214" s="7"/>
      <c r="BK214" s="7"/>
      <c r="BL214" s="7"/>
    </row>
    <row r="215" spans="1:64">
      <c r="A215" s="13"/>
      <c r="B215" s="7"/>
      <c r="C215" s="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7"/>
      <c r="AD215" s="7"/>
      <c r="AE215" s="7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7"/>
      <c r="BE215" s="7"/>
      <c r="BF215" s="7"/>
      <c r="BG215" s="7"/>
      <c r="BH215" s="7"/>
      <c r="BI215" s="7"/>
      <c r="BJ215" s="7"/>
      <c r="BK215" s="7"/>
      <c r="BL215" s="7"/>
    </row>
    <row r="216" spans="1:64">
      <c r="A216" s="13"/>
      <c r="B216" s="7"/>
      <c r="C216" s="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7"/>
      <c r="AD216" s="7"/>
      <c r="AE216" s="7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7"/>
      <c r="BE216" s="7"/>
      <c r="BF216" s="7"/>
      <c r="BG216" s="7"/>
      <c r="BH216" s="7"/>
      <c r="BI216" s="7"/>
      <c r="BJ216" s="7"/>
      <c r="BK216" s="7"/>
      <c r="BL216" s="7"/>
    </row>
    <row r="217" spans="1:64">
      <c r="A217" s="13"/>
      <c r="B217" s="7"/>
      <c r="C217" s="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7"/>
      <c r="AD217" s="7"/>
      <c r="AE217" s="7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1:64">
      <c r="A218" s="13"/>
      <c r="B218" s="7"/>
      <c r="C218" s="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7"/>
      <c r="AD218" s="7"/>
      <c r="AE218" s="7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1:64">
      <c r="A219" s="13"/>
      <c r="B219" s="7"/>
      <c r="C219" s="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7"/>
      <c r="AD219" s="7"/>
      <c r="AE219" s="7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1:64">
      <c r="A220" s="13"/>
      <c r="B220" s="7"/>
      <c r="C220" s="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7"/>
      <c r="AD220" s="7"/>
      <c r="AE220" s="7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1:64">
      <c r="A221" s="13"/>
      <c r="B221" s="7"/>
      <c r="C221" s="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7"/>
      <c r="AD221" s="7"/>
      <c r="AE221" s="7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1:64">
      <c r="A222" s="13"/>
      <c r="B222" s="7"/>
      <c r="C222" s="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7"/>
      <c r="AD222" s="7"/>
      <c r="AE222" s="7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7"/>
      <c r="BE222" s="7"/>
      <c r="BF222" s="7"/>
      <c r="BG222" s="7"/>
      <c r="BH222" s="7"/>
      <c r="BI222" s="7"/>
      <c r="BJ222" s="7"/>
      <c r="BK222" s="7"/>
      <c r="BL222" s="7"/>
    </row>
    <row r="223" spans="1:64">
      <c r="A223" s="13"/>
      <c r="B223" s="7"/>
      <c r="C223" s="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7"/>
      <c r="AD223" s="7"/>
      <c r="AE223" s="7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7"/>
      <c r="BE223" s="7"/>
      <c r="BF223" s="7"/>
      <c r="BG223" s="7"/>
      <c r="BH223" s="7"/>
      <c r="BI223" s="7"/>
      <c r="BJ223" s="7"/>
      <c r="BK223" s="7"/>
      <c r="BL223" s="7"/>
    </row>
    <row r="224" spans="1:64">
      <c r="A224" s="13"/>
      <c r="B224" s="7"/>
      <c r="C224" s="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7"/>
      <c r="AD224" s="7"/>
      <c r="AE224" s="7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7"/>
      <c r="BE224" s="7"/>
      <c r="BF224" s="7"/>
      <c r="BG224" s="7"/>
      <c r="BH224" s="7"/>
      <c r="BI224" s="7"/>
      <c r="BJ224" s="7"/>
      <c r="BK224" s="7"/>
      <c r="BL224" s="7"/>
    </row>
    <row r="225" spans="1:64">
      <c r="A225" s="13"/>
      <c r="B225" s="7"/>
      <c r="C225" s="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7"/>
      <c r="AD225" s="7"/>
      <c r="AE225" s="7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7"/>
      <c r="BE225" s="7"/>
      <c r="BF225" s="7"/>
      <c r="BG225" s="7"/>
      <c r="BH225" s="7"/>
      <c r="BI225" s="7"/>
      <c r="BJ225" s="7"/>
      <c r="BK225" s="7"/>
      <c r="BL225" s="7"/>
    </row>
    <row r="226" spans="1:64">
      <c r="A226" s="13"/>
      <c r="B226" s="7"/>
      <c r="C226" s="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7"/>
      <c r="AD226" s="7"/>
      <c r="AE226" s="7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7"/>
      <c r="BE226" s="7"/>
      <c r="BF226" s="7"/>
      <c r="BG226" s="7"/>
      <c r="BH226" s="7"/>
      <c r="BI226" s="7"/>
      <c r="BJ226" s="7"/>
      <c r="BK226" s="7"/>
      <c r="BL226" s="7"/>
    </row>
    <row r="227" spans="1:64">
      <c r="A227" s="13"/>
      <c r="B227" s="7"/>
      <c r="C227" s="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7"/>
      <c r="AD227" s="7"/>
      <c r="AE227" s="7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7"/>
      <c r="BE227" s="7"/>
      <c r="BF227" s="7"/>
      <c r="BG227" s="7"/>
      <c r="BH227" s="7"/>
      <c r="BI227" s="7"/>
      <c r="BJ227" s="7"/>
      <c r="BK227" s="7"/>
      <c r="BL227" s="7"/>
    </row>
    <row r="228" spans="1:64">
      <c r="A228" s="13"/>
      <c r="B228" s="7"/>
      <c r="C228" s="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7"/>
      <c r="AD228" s="7"/>
      <c r="AE228" s="7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7"/>
      <c r="BE228" s="7"/>
      <c r="BF228" s="7"/>
      <c r="BG228" s="7"/>
      <c r="BH228" s="7"/>
      <c r="BI228" s="7"/>
      <c r="BJ228" s="7"/>
      <c r="BK228" s="7"/>
      <c r="BL228" s="7"/>
    </row>
    <row r="229" spans="1:64">
      <c r="A229" s="13"/>
      <c r="B229" s="7"/>
      <c r="C229" s="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7"/>
      <c r="AD229" s="7"/>
      <c r="AE229" s="7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7"/>
      <c r="BE229" s="7"/>
      <c r="BF229" s="7"/>
      <c r="BG229" s="7"/>
      <c r="BH229" s="7"/>
      <c r="BI229" s="7"/>
      <c r="BJ229" s="7"/>
      <c r="BK229" s="7"/>
      <c r="BL229" s="7"/>
    </row>
    <row r="230" spans="1:64">
      <c r="A230" s="13"/>
      <c r="B230" s="7"/>
      <c r="C230" s="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7"/>
      <c r="AD230" s="7"/>
      <c r="AE230" s="7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7"/>
      <c r="BE230" s="7"/>
      <c r="BF230" s="7"/>
      <c r="BG230" s="7"/>
      <c r="BH230" s="7"/>
      <c r="BI230" s="7"/>
      <c r="BJ230" s="7"/>
      <c r="BK230" s="7"/>
      <c r="BL230" s="7"/>
    </row>
    <row r="231" spans="1:64">
      <c r="A231" s="13"/>
      <c r="B231" s="7"/>
      <c r="C231" s="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7"/>
      <c r="AD231" s="7"/>
      <c r="AE231" s="7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7"/>
      <c r="BE231" s="7"/>
      <c r="BF231" s="7"/>
      <c r="BG231" s="7"/>
      <c r="BH231" s="7"/>
      <c r="BI231" s="7"/>
      <c r="BJ231" s="7"/>
      <c r="BK231" s="7"/>
      <c r="BL231" s="7"/>
    </row>
    <row r="232" spans="1:64">
      <c r="A232" s="13"/>
      <c r="B232" s="7"/>
      <c r="C232" s="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7"/>
      <c r="AD232" s="7"/>
      <c r="AE232" s="7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7"/>
      <c r="BE232" s="7"/>
      <c r="BF232" s="7"/>
      <c r="BG232" s="7"/>
      <c r="BH232" s="7"/>
      <c r="BI232" s="7"/>
      <c r="BJ232" s="7"/>
      <c r="BK232" s="7"/>
      <c r="BL232" s="7"/>
    </row>
    <row r="233" spans="1:64">
      <c r="A233" s="13"/>
      <c r="B233" s="7"/>
      <c r="C233" s="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7"/>
      <c r="AD233" s="7"/>
      <c r="AE233" s="7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7"/>
      <c r="BE233" s="7"/>
      <c r="BF233" s="7"/>
      <c r="BG233" s="7"/>
      <c r="BH233" s="7"/>
      <c r="BI233" s="7"/>
      <c r="BJ233" s="7"/>
      <c r="BK233" s="7"/>
      <c r="BL233" s="7"/>
    </row>
    <row r="234" spans="1:64">
      <c r="A234" s="13"/>
      <c r="B234" s="7"/>
      <c r="C234" s="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7"/>
      <c r="AD234" s="7"/>
      <c r="AE234" s="7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1:64">
      <c r="A235" s="13"/>
      <c r="B235" s="7"/>
      <c r="C235" s="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7"/>
      <c r="AD235" s="7"/>
      <c r="AE235" s="7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7"/>
      <c r="BE235" s="7"/>
      <c r="BF235" s="7"/>
      <c r="BG235" s="7"/>
      <c r="BH235" s="7"/>
      <c r="BI235" s="7"/>
      <c r="BJ235" s="7"/>
      <c r="BK235" s="7"/>
      <c r="BL235" s="7"/>
    </row>
    <row r="236" spans="1:64">
      <c r="A236" s="13"/>
      <c r="B236" s="7"/>
      <c r="C236" s="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7"/>
      <c r="AD236" s="7"/>
      <c r="AE236" s="7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7"/>
      <c r="BE236" s="7"/>
      <c r="BF236" s="7"/>
      <c r="BG236" s="7"/>
      <c r="BH236" s="7"/>
      <c r="BI236" s="7"/>
      <c r="BJ236" s="7"/>
      <c r="BK236" s="7"/>
      <c r="BL236" s="7"/>
    </row>
    <row r="237" spans="1:64">
      <c r="A237" s="13"/>
      <c r="B237" s="7"/>
      <c r="C237" s="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7"/>
      <c r="AD237" s="7"/>
      <c r="AE237" s="7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7"/>
      <c r="BE237" s="7"/>
      <c r="BF237" s="7"/>
      <c r="BG237" s="7"/>
      <c r="BH237" s="7"/>
      <c r="BI237" s="7"/>
      <c r="BJ237" s="7"/>
      <c r="BK237" s="7"/>
      <c r="BL237" s="7"/>
    </row>
    <row r="238" spans="1:64">
      <c r="A238" s="13"/>
      <c r="B238" s="7"/>
      <c r="C238" s="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7"/>
      <c r="AD238" s="7"/>
      <c r="AE238" s="7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7"/>
      <c r="BE238" s="7"/>
      <c r="BF238" s="7"/>
      <c r="BG238" s="7"/>
      <c r="BH238" s="7"/>
      <c r="BI238" s="7"/>
      <c r="BJ238" s="7"/>
      <c r="BK238" s="7"/>
      <c r="BL238" s="7"/>
    </row>
    <row r="239" spans="1:64">
      <c r="A239" s="13"/>
      <c r="B239" s="7"/>
      <c r="C239" s="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7"/>
      <c r="AD239" s="7"/>
      <c r="AE239" s="7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7"/>
      <c r="BE239" s="7"/>
      <c r="BF239" s="7"/>
      <c r="BG239" s="7"/>
      <c r="BH239" s="7"/>
      <c r="BI239" s="7"/>
      <c r="BJ239" s="7"/>
      <c r="BK239" s="7"/>
      <c r="BL239" s="7"/>
    </row>
    <row r="240" spans="1:64">
      <c r="A240" s="13"/>
      <c r="B240" s="7"/>
      <c r="C240" s="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7"/>
      <c r="AD240" s="7"/>
      <c r="AE240" s="7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7"/>
      <c r="BE240" s="7"/>
      <c r="BF240" s="7"/>
      <c r="BG240" s="7"/>
      <c r="BH240" s="7"/>
      <c r="BI240" s="7"/>
      <c r="BJ240" s="7"/>
      <c r="BK240" s="7"/>
      <c r="BL240" s="7"/>
    </row>
    <row r="241" spans="1:64">
      <c r="A241" s="13"/>
      <c r="B241" s="7"/>
      <c r="C241" s="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7"/>
      <c r="AD241" s="7"/>
      <c r="AE241" s="7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7"/>
      <c r="BE241" s="7"/>
      <c r="BF241" s="7"/>
      <c r="BG241" s="7"/>
      <c r="BH241" s="7"/>
      <c r="BI241" s="7"/>
      <c r="BJ241" s="7"/>
      <c r="BK241" s="7"/>
      <c r="BL241" s="7"/>
    </row>
    <row r="242" spans="1:64">
      <c r="A242" s="13"/>
      <c r="B242" s="7"/>
      <c r="C242" s="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7"/>
      <c r="AD242" s="7"/>
      <c r="AE242" s="7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7"/>
      <c r="BE242" s="7"/>
      <c r="BF242" s="7"/>
      <c r="BG242" s="7"/>
      <c r="BH242" s="7"/>
      <c r="BI242" s="7"/>
      <c r="BJ242" s="7"/>
      <c r="BK242" s="7"/>
      <c r="BL242" s="7"/>
    </row>
    <row r="243" spans="1:64">
      <c r="A243" s="13"/>
      <c r="B243" s="7"/>
      <c r="C243" s="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7"/>
      <c r="AD243" s="7"/>
      <c r="AE243" s="7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7"/>
      <c r="BE243" s="7"/>
      <c r="BF243" s="7"/>
      <c r="BG243" s="7"/>
      <c r="BH243" s="7"/>
      <c r="BI243" s="7"/>
      <c r="BJ243" s="7"/>
      <c r="BK243" s="7"/>
      <c r="BL243" s="7"/>
    </row>
    <row r="244" spans="1:64">
      <c r="A244" s="13"/>
      <c r="B244" s="7"/>
      <c r="C244" s="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7"/>
      <c r="AD244" s="7"/>
      <c r="AE244" s="7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7"/>
      <c r="BE244" s="7"/>
      <c r="BF244" s="7"/>
      <c r="BG244" s="7"/>
      <c r="BH244" s="7"/>
      <c r="BI244" s="7"/>
      <c r="BJ244" s="7"/>
      <c r="BK244" s="7"/>
      <c r="BL244" s="7"/>
    </row>
    <row r="245" spans="1:64">
      <c r="A245" s="13"/>
      <c r="B245" s="7"/>
      <c r="C245" s="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7"/>
      <c r="AD245" s="7"/>
      <c r="AE245" s="7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7"/>
      <c r="BE245" s="7"/>
      <c r="BF245" s="7"/>
      <c r="BG245" s="7"/>
      <c r="BH245" s="7"/>
      <c r="BI245" s="7"/>
      <c r="BJ245" s="7"/>
      <c r="BK245" s="7"/>
      <c r="BL245" s="7"/>
    </row>
    <row r="246" spans="1:64">
      <c r="A246" s="13"/>
      <c r="B246" s="7"/>
      <c r="C246" s="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7"/>
      <c r="AD246" s="7"/>
      <c r="AE246" s="7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7"/>
      <c r="BE246" s="7"/>
      <c r="BF246" s="7"/>
      <c r="BG246" s="7"/>
      <c r="BH246" s="7"/>
      <c r="BI246" s="7"/>
      <c r="BJ246" s="7"/>
      <c r="BK246" s="7"/>
      <c r="BL246" s="7"/>
    </row>
    <row r="247" spans="1:64">
      <c r="A247" s="13"/>
      <c r="B247" s="7"/>
      <c r="C247" s="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7"/>
      <c r="AD247" s="7"/>
      <c r="AE247" s="7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7"/>
      <c r="BE247" s="7"/>
      <c r="BF247" s="7"/>
      <c r="BG247" s="7"/>
      <c r="BH247" s="7"/>
      <c r="BI247" s="7"/>
      <c r="BJ247" s="7"/>
      <c r="BK247" s="7"/>
      <c r="BL247" s="7"/>
    </row>
    <row r="248" spans="1:64">
      <c r="A248" s="13"/>
      <c r="B248" s="7"/>
      <c r="C248" s="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7"/>
      <c r="AD248" s="7"/>
      <c r="AE248" s="7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7"/>
      <c r="BE248" s="7"/>
      <c r="BF248" s="7"/>
      <c r="BG248" s="7"/>
      <c r="BH248" s="7"/>
      <c r="BI248" s="7"/>
      <c r="BJ248" s="7"/>
      <c r="BK248" s="7"/>
      <c r="BL248" s="7"/>
    </row>
    <row r="249" spans="1:64">
      <c r="A249" s="13"/>
      <c r="B249" s="7"/>
      <c r="C249" s="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7"/>
      <c r="AD249" s="7"/>
      <c r="AE249" s="7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7"/>
      <c r="BE249" s="7"/>
      <c r="BF249" s="7"/>
      <c r="BG249" s="7"/>
      <c r="BH249" s="7"/>
      <c r="BI249" s="7"/>
      <c r="BJ249" s="7"/>
      <c r="BK249" s="7"/>
      <c r="BL249" s="7"/>
    </row>
    <row r="250" spans="1:64">
      <c r="A250" s="13"/>
      <c r="B250" s="7"/>
      <c r="C250" s="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7"/>
      <c r="AD250" s="7"/>
      <c r="AE250" s="7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7"/>
      <c r="BE250" s="7"/>
      <c r="BF250" s="7"/>
      <c r="BG250" s="7"/>
      <c r="BH250" s="7"/>
      <c r="BI250" s="7"/>
      <c r="BJ250" s="7"/>
      <c r="BK250" s="7"/>
      <c r="BL250" s="7"/>
    </row>
    <row r="251" spans="1:64">
      <c r="A251" s="13"/>
      <c r="B251" s="7"/>
      <c r="C251" s="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7"/>
      <c r="AD251" s="7"/>
      <c r="AE251" s="7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7"/>
      <c r="BE251" s="7"/>
      <c r="BF251" s="7"/>
      <c r="BG251" s="7"/>
      <c r="BH251" s="7"/>
      <c r="BI251" s="7"/>
      <c r="BJ251" s="7"/>
      <c r="BK251" s="7"/>
      <c r="BL251" s="7"/>
    </row>
    <row r="252" spans="1:64">
      <c r="A252" s="13"/>
      <c r="B252" s="7"/>
      <c r="C252" s="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7"/>
      <c r="AD252" s="7"/>
      <c r="AE252" s="7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7"/>
      <c r="BE252" s="7"/>
      <c r="BF252" s="7"/>
      <c r="BG252" s="7"/>
      <c r="BH252" s="7"/>
      <c r="BI252" s="7"/>
      <c r="BJ252" s="7"/>
      <c r="BK252" s="7"/>
      <c r="BL252" s="7"/>
    </row>
    <row r="253" spans="1:64">
      <c r="A253" s="13"/>
      <c r="B253" s="7"/>
      <c r="C253" s="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7"/>
      <c r="AD253" s="7"/>
      <c r="AE253" s="7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7"/>
      <c r="BE253" s="7"/>
      <c r="BF253" s="7"/>
      <c r="BG253" s="7"/>
      <c r="BH253" s="7"/>
      <c r="BI253" s="7"/>
      <c r="BJ253" s="7"/>
      <c r="BK253" s="7"/>
      <c r="BL253" s="7"/>
    </row>
    <row r="254" spans="1:64">
      <c r="A254" s="13"/>
      <c r="B254" s="7"/>
      <c r="C254" s="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7"/>
      <c r="AD254" s="7"/>
      <c r="AE254" s="7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7"/>
      <c r="BE254" s="7"/>
      <c r="BF254" s="7"/>
      <c r="BG254" s="7"/>
      <c r="BH254" s="7"/>
      <c r="BI254" s="7"/>
      <c r="BJ254" s="7"/>
      <c r="BK254" s="7"/>
      <c r="BL254" s="7"/>
    </row>
    <row r="255" spans="1:64">
      <c r="A255" s="13"/>
      <c r="B255" s="7"/>
      <c r="C255" s="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7"/>
      <c r="AD255" s="7"/>
      <c r="AE255" s="7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7"/>
      <c r="BE255" s="7"/>
      <c r="BF255" s="7"/>
      <c r="BG255" s="7"/>
      <c r="BH255" s="7"/>
      <c r="BI255" s="7"/>
      <c r="BJ255" s="7"/>
      <c r="BK255" s="7"/>
      <c r="BL255" s="7"/>
    </row>
    <row r="256" spans="1:64">
      <c r="A256" s="13"/>
      <c r="B256" s="7"/>
      <c r="C256" s="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7"/>
      <c r="AD256" s="7"/>
      <c r="AE256" s="7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7"/>
      <c r="BE256" s="7"/>
      <c r="BF256" s="7"/>
      <c r="BG256" s="7"/>
      <c r="BH256" s="7"/>
      <c r="BI256" s="7"/>
      <c r="BJ256" s="7"/>
      <c r="BK256" s="7"/>
      <c r="BL256" s="7"/>
    </row>
    <row r="257" spans="1:64">
      <c r="A257" s="13"/>
      <c r="B257" s="7"/>
      <c r="C257" s="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7"/>
      <c r="AD257" s="7"/>
      <c r="AE257" s="7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7"/>
      <c r="BE257" s="7"/>
      <c r="BF257" s="7"/>
      <c r="BG257" s="7"/>
      <c r="BH257" s="7"/>
      <c r="BI257" s="7"/>
      <c r="BJ257" s="7"/>
      <c r="BK257" s="7"/>
      <c r="BL257" s="7"/>
    </row>
    <row r="258" spans="1:64">
      <c r="A258" s="13"/>
      <c r="B258" s="7"/>
      <c r="C258" s="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7"/>
      <c r="AD258" s="7"/>
      <c r="AE258" s="7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7"/>
      <c r="BE258" s="7"/>
      <c r="BF258" s="7"/>
      <c r="BG258" s="7"/>
      <c r="BH258" s="7"/>
      <c r="BI258" s="7"/>
      <c r="BJ258" s="7"/>
      <c r="BK258" s="7"/>
      <c r="BL258" s="7"/>
    </row>
    <row r="259" spans="1:64">
      <c r="A259" s="13"/>
      <c r="B259" s="7"/>
      <c r="C259" s="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7"/>
      <c r="AD259" s="7"/>
      <c r="AE259" s="7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7"/>
      <c r="BE259" s="7"/>
      <c r="BF259" s="7"/>
      <c r="BG259" s="7"/>
      <c r="BH259" s="7"/>
      <c r="BI259" s="7"/>
      <c r="BJ259" s="7"/>
      <c r="BK259" s="7"/>
      <c r="BL259" s="7"/>
    </row>
    <row r="260" spans="1:64">
      <c r="A260" s="13"/>
      <c r="B260" s="7"/>
      <c r="C260" s="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7"/>
      <c r="AD260" s="7"/>
      <c r="AE260" s="7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7"/>
      <c r="BE260" s="7"/>
      <c r="BF260" s="7"/>
      <c r="BG260" s="7"/>
      <c r="BH260" s="7"/>
      <c r="BI260" s="7"/>
      <c r="BJ260" s="7"/>
      <c r="BK260" s="7"/>
      <c r="BL260" s="7"/>
    </row>
    <row r="261" spans="1:64">
      <c r="A261" s="13"/>
      <c r="B261" s="7"/>
      <c r="C261" s="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7"/>
      <c r="AD261" s="7"/>
      <c r="AE261" s="7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7"/>
      <c r="BE261" s="7"/>
      <c r="BF261" s="7"/>
      <c r="BG261" s="7"/>
      <c r="BH261" s="7"/>
      <c r="BI261" s="7"/>
      <c r="BJ261" s="7"/>
      <c r="BK261" s="7"/>
      <c r="BL261" s="7"/>
    </row>
    <row r="262" spans="1:64">
      <c r="A262" s="13"/>
      <c r="B262" s="7"/>
      <c r="C262" s="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7"/>
      <c r="AD262" s="7"/>
      <c r="AE262" s="7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7"/>
      <c r="BE262" s="7"/>
      <c r="BF262" s="7"/>
      <c r="BG262" s="7"/>
      <c r="BH262" s="7"/>
      <c r="BI262" s="7"/>
      <c r="BJ262" s="7"/>
      <c r="BK262" s="7"/>
      <c r="BL262" s="7"/>
    </row>
    <row r="263" spans="1:64">
      <c r="A263" s="13"/>
      <c r="B263" s="7"/>
      <c r="C263" s="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7"/>
      <c r="AD263" s="7"/>
      <c r="AE263" s="7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7"/>
      <c r="BE263" s="7"/>
      <c r="BF263" s="7"/>
      <c r="BG263" s="7"/>
      <c r="BH263" s="7"/>
      <c r="BI263" s="7"/>
      <c r="BJ263" s="7"/>
      <c r="BK263" s="7"/>
      <c r="BL263" s="7"/>
    </row>
    <row r="264" spans="1:64">
      <c r="A264" s="13"/>
      <c r="B264" s="7"/>
      <c r="C264" s="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7"/>
      <c r="AD264" s="7"/>
      <c r="AE264" s="7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7"/>
      <c r="BE264" s="7"/>
      <c r="BF264" s="7"/>
      <c r="BG264" s="7"/>
      <c r="BH264" s="7"/>
      <c r="BI264" s="7"/>
      <c r="BJ264" s="7"/>
      <c r="BK264" s="7"/>
      <c r="BL264" s="7"/>
    </row>
    <row r="265" spans="1:64">
      <c r="A265" s="13"/>
      <c r="B265" s="7"/>
      <c r="C265" s="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7"/>
      <c r="AD265" s="7"/>
      <c r="AE265" s="7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7"/>
      <c r="BE265" s="7"/>
      <c r="BF265" s="7"/>
      <c r="BG265" s="7"/>
      <c r="BH265" s="7"/>
      <c r="BI265" s="7"/>
      <c r="BJ265" s="7"/>
      <c r="BK265" s="7"/>
      <c r="BL265" s="7"/>
    </row>
    <row r="266" spans="1:64">
      <c r="A266" s="13"/>
      <c r="B266" s="7"/>
      <c r="C266" s="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7"/>
      <c r="AD266" s="7"/>
      <c r="AE266" s="7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7"/>
      <c r="BE266" s="7"/>
      <c r="BF266" s="7"/>
      <c r="BG266" s="7"/>
      <c r="BH266" s="7"/>
      <c r="BI266" s="7"/>
      <c r="BJ266" s="7"/>
      <c r="BK266" s="7"/>
      <c r="BL266" s="7"/>
    </row>
    <row r="267" spans="1:64">
      <c r="A267" s="13"/>
      <c r="B267" s="7"/>
      <c r="C267" s="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7"/>
      <c r="AD267" s="7"/>
      <c r="AE267" s="7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7"/>
      <c r="BE267" s="7"/>
      <c r="BF267" s="7"/>
      <c r="BG267" s="7"/>
      <c r="BH267" s="7"/>
      <c r="BI267" s="7"/>
      <c r="BJ267" s="7"/>
      <c r="BK267" s="7"/>
      <c r="BL267" s="7"/>
    </row>
    <row r="268" spans="1:64">
      <c r="A268" s="13"/>
      <c r="B268" s="7"/>
      <c r="C268" s="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7"/>
      <c r="AD268" s="7"/>
      <c r="AE268" s="7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7"/>
      <c r="BE268" s="7"/>
      <c r="BF268" s="7"/>
      <c r="BG268" s="7"/>
      <c r="BH268" s="7"/>
      <c r="BI268" s="7"/>
      <c r="BJ268" s="7"/>
      <c r="BK268" s="7"/>
      <c r="BL268" s="7"/>
    </row>
    <row r="269" spans="1:64">
      <c r="A269" s="13"/>
      <c r="B269" s="7"/>
      <c r="C269" s="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7"/>
      <c r="AD269" s="7"/>
      <c r="AE269" s="7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7"/>
      <c r="BE269" s="7"/>
      <c r="BF269" s="7"/>
      <c r="BG269" s="7"/>
      <c r="BH269" s="7"/>
      <c r="BI269" s="7"/>
      <c r="BJ269" s="7"/>
      <c r="BK269" s="7"/>
      <c r="BL269" s="7"/>
    </row>
    <row r="270" spans="1:64">
      <c r="A270" s="13"/>
      <c r="B270" s="7"/>
      <c r="C270" s="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7"/>
      <c r="AD270" s="7"/>
      <c r="AE270" s="7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7"/>
      <c r="BE270" s="7"/>
      <c r="BF270" s="7"/>
      <c r="BG270" s="7"/>
      <c r="BH270" s="7"/>
      <c r="BI270" s="7"/>
      <c r="BJ270" s="7"/>
      <c r="BK270" s="7"/>
      <c r="BL270" s="7"/>
    </row>
    <row r="271" spans="1:64">
      <c r="A271" s="13"/>
      <c r="B271" s="7"/>
      <c r="C271" s="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7"/>
      <c r="AD271" s="7"/>
      <c r="AE271" s="7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7"/>
      <c r="BE271" s="7"/>
      <c r="BF271" s="7"/>
      <c r="BG271" s="7"/>
      <c r="BH271" s="7"/>
      <c r="BI271" s="7"/>
      <c r="BJ271" s="7"/>
      <c r="BK271" s="7"/>
      <c r="BL271" s="7"/>
    </row>
    <row r="272" spans="1:64">
      <c r="A272" s="13"/>
      <c r="B272" s="7"/>
      <c r="C272" s="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7"/>
      <c r="AD272" s="7"/>
      <c r="AE272" s="7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7"/>
      <c r="BE272" s="7"/>
      <c r="BF272" s="7"/>
      <c r="BG272" s="7"/>
      <c r="BH272" s="7"/>
      <c r="BI272" s="7"/>
      <c r="BJ272" s="7"/>
      <c r="BK272" s="7"/>
      <c r="BL272" s="7"/>
    </row>
    <row r="273" spans="1:64">
      <c r="A273" s="13"/>
      <c r="B273" s="7"/>
      <c r="C273" s="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7"/>
      <c r="AD273" s="7"/>
      <c r="AE273" s="7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7"/>
      <c r="BE273" s="7"/>
      <c r="BF273" s="7"/>
      <c r="BG273" s="7"/>
      <c r="BH273" s="7"/>
      <c r="BI273" s="7"/>
      <c r="BJ273" s="7"/>
      <c r="BK273" s="7"/>
      <c r="BL273" s="7"/>
    </row>
    <row r="274" spans="1:64">
      <c r="A274" s="13"/>
      <c r="B274" s="7"/>
      <c r="C274" s="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7"/>
      <c r="AD274" s="7"/>
      <c r="AE274" s="7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7"/>
      <c r="BE274" s="7"/>
      <c r="BF274" s="7"/>
      <c r="BG274" s="7"/>
      <c r="BH274" s="7"/>
      <c r="BI274" s="7"/>
      <c r="BJ274" s="7"/>
      <c r="BK274" s="7"/>
      <c r="BL274" s="7"/>
    </row>
    <row r="275" spans="1:64">
      <c r="A275" s="13"/>
      <c r="B275" s="7"/>
      <c r="C275" s="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7"/>
      <c r="AD275" s="7"/>
      <c r="AE275" s="7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7"/>
      <c r="BE275" s="7"/>
      <c r="BF275" s="7"/>
      <c r="BG275" s="7"/>
      <c r="BH275" s="7"/>
      <c r="BI275" s="7"/>
      <c r="BJ275" s="7"/>
      <c r="BK275" s="7"/>
      <c r="BL275" s="7"/>
    </row>
    <row r="276" spans="1:64">
      <c r="A276" s="13"/>
      <c r="B276" s="7"/>
      <c r="C276" s="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7"/>
      <c r="AD276" s="7"/>
      <c r="AE276" s="7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7"/>
      <c r="BE276" s="7"/>
      <c r="BF276" s="7"/>
      <c r="BG276" s="7"/>
      <c r="BH276" s="7"/>
      <c r="BI276" s="7"/>
      <c r="BJ276" s="7"/>
      <c r="BK276" s="7"/>
      <c r="BL276" s="7"/>
    </row>
    <row r="277" spans="1:64">
      <c r="A277" s="13"/>
      <c r="B277" s="7"/>
      <c r="C277" s="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7"/>
      <c r="AD277" s="7"/>
      <c r="AE277" s="7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7"/>
      <c r="BE277" s="7"/>
      <c r="BF277" s="7"/>
      <c r="BG277" s="7"/>
      <c r="BH277" s="7"/>
      <c r="BI277" s="7"/>
      <c r="BJ277" s="7"/>
      <c r="BK277" s="7"/>
      <c r="BL277" s="7"/>
    </row>
    <row r="278" spans="1:64">
      <c r="A278" s="13"/>
      <c r="B278" s="7"/>
      <c r="C278" s="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7"/>
      <c r="AD278" s="7"/>
      <c r="AE278" s="7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7"/>
      <c r="BE278" s="7"/>
      <c r="BF278" s="7"/>
      <c r="BG278" s="7"/>
      <c r="BH278" s="7"/>
      <c r="BI278" s="7"/>
      <c r="BJ278" s="7"/>
      <c r="BK278" s="7"/>
      <c r="BL278" s="7"/>
    </row>
    <row r="279" spans="1:64">
      <c r="A279" s="13"/>
      <c r="B279" s="7"/>
      <c r="C279" s="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7"/>
      <c r="AD279" s="7"/>
      <c r="AE279" s="7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7"/>
      <c r="BE279" s="7"/>
      <c r="BF279" s="7"/>
      <c r="BG279" s="7"/>
      <c r="BH279" s="7"/>
      <c r="BI279" s="7"/>
      <c r="BJ279" s="7"/>
      <c r="BK279" s="7"/>
      <c r="BL279" s="7"/>
    </row>
    <row r="280" spans="1:64">
      <c r="A280" s="13"/>
      <c r="B280" s="7"/>
      <c r="C280" s="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7"/>
      <c r="AD280" s="7"/>
      <c r="AE280" s="7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7"/>
      <c r="BE280" s="7"/>
      <c r="BF280" s="7"/>
      <c r="BG280" s="7"/>
      <c r="BH280" s="7"/>
      <c r="BI280" s="7"/>
      <c r="BJ280" s="7"/>
      <c r="BK280" s="7"/>
      <c r="BL280" s="7"/>
    </row>
    <row r="281" spans="1:64">
      <c r="A281" s="13"/>
      <c r="B281" s="7"/>
      <c r="C281" s="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7"/>
      <c r="AD281" s="7"/>
      <c r="AE281" s="7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7"/>
      <c r="BE281" s="7"/>
      <c r="BF281" s="7"/>
      <c r="BG281" s="7"/>
      <c r="BH281" s="7"/>
      <c r="BI281" s="7"/>
      <c r="BJ281" s="7"/>
      <c r="BK281" s="7"/>
      <c r="BL281" s="7"/>
    </row>
    <row r="282" spans="1:64">
      <c r="A282" s="13"/>
      <c r="B282" s="7"/>
      <c r="C282" s="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7"/>
      <c r="AD282" s="7"/>
      <c r="AE282" s="7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7"/>
      <c r="BE282" s="7"/>
      <c r="BF282" s="7"/>
      <c r="BG282" s="7"/>
      <c r="BH282" s="7"/>
      <c r="BI282" s="7"/>
      <c r="BJ282" s="7"/>
      <c r="BK282" s="7"/>
      <c r="BL282" s="7"/>
    </row>
    <row r="283" spans="1:64">
      <c r="A283" s="13"/>
      <c r="B283" s="7"/>
      <c r="C283" s="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7"/>
      <c r="AD283" s="7"/>
      <c r="AE283" s="7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7"/>
      <c r="BE283" s="7"/>
      <c r="BF283" s="7"/>
      <c r="BG283" s="7"/>
      <c r="BH283" s="7"/>
      <c r="BI283" s="7"/>
      <c r="BJ283" s="7"/>
      <c r="BK283" s="7"/>
      <c r="BL283" s="7"/>
    </row>
    <row r="284" spans="1:64">
      <c r="A284" s="13"/>
      <c r="B284" s="7"/>
      <c r="C284" s="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7"/>
      <c r="AD284" s="7"/>
      <c r="AE284" s="7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7"/>
      <c r="BE284" s="7"/>
      <c r="BF284" s="7"/>
      <c r="BG284" s="7"/>
      <c r="BH284" s="7"/>
      <c r="BI284" s="7"/>
      <c r="BJ284" s="7"/>
      <c r="BK284" s="7"/>
      <c r="BL284" s="7"/>
    </row>
    <row r="285" spans="1:64">
      <c r="A285" s="13"/>
      <c r="B285" s="7"/>
      <c r="C285" s="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7"/>
      <c r="AD285" s="7"/>
      <c r="AE285" s="7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7"/>
      <c r="BE285" s="7"/>
      <c r="BF285" s="7"/>
      <c r="BG285" s="7"/>
      <c r="BH285" s="7"/>
      <c r="BI285" s="7"/>
      <c r="BJ285" s="7"/>
      <c r="BK285" s="7"/>
      <c r="BL285" s="7"/>
    </row>
    <row r="286" spans="1:64">
      <c r="A286" s="13"/>
      <c r="B286" s="7"/>
      <c r="C286" s="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7"/>
      <c r="AD286" s="7"/>
      <c r="AE286" s="7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7"/>
      <c r="BE286" s="7"/>
      <c r="BF286" s="7"/>
      <c r="BG286" s="7"/>
      <c r="BH286" s="7"/>
      <c r="BI286" s="7"/>
      <c r="BJ286" s="7"/>
      <c r="BK286" s="7"/>
      <c r="BL286" s="7"/>
    </row>
    <row r="287" spans="1:64">
      <c r="A287" s="13"/>
      <c r="B287" s="7"/>
      <c r="C287" s="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7"/>
      <c r="AD287" s="7"/>
      <c r="AE287" s="7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7"/>
      <c r="BE287" s="7"/>
      <c r="BF287" s="7"/>
      <c r="BG287" s="7"/>
      <c r="BH287" s="7"/>
      <c r="BI287" s="7"/>
      <c r="BJ287" s="7"/>
      <c r="BK287" s="7"/>
      <c r="BL287" s="7"/>
    </row>
    <row r="288" spans="1:64">
      <c r="A288" s="13"/>
      <c r="B288" s="7"/>
      <c r="C288" s="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7"/>
      <c r="AD288" s="7"/>
      <c r="AE288" s="7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7"/>
      <c r="BE288" s="7"/>
      <c r="BF288" s="7"/>
      <c r="BG288" s="7"/>
      <c r="BH288" s="7"/>
      <c r="BI288" s="7"/>
      <c r="BJ288" s="7"/>
      <c r="BK288" s="7"/>
      <c r="BL288" s="7"/>
    </row>
    <row r="289" spans="1:64">
      <c r="A289" s="13"/>
      <c r="B289" s="7"/>
      <c r="C289" s="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7"/>
      <c r="AD289" s="7"/>
      <c r="AE289" s="7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7"/>
      <c r="BE289" s="7"/>
      <c r="BF289" s="7"/>
      <c r="BG289" s="7"/>
      <c r="BH289" s="7"/>
      <c r="BI289" s="7"/>
      <c r="BJ289" s="7"/>
      <c r="BK289" s="7"/>
      <c r="BL289" s="7"/>
    </row>
    <row r="290" spans="1:64">
      <c r="A290" s="13"/>
      <c r="B290" s="7"/>
      <c r="C290" s="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7"/>
      <c r="AD290" s="7"/>
      <c r="AE290" s="7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7"/>
      <c r="BE290" s="7"/>
      <c r="BF290" s="7"/>
      <c r="BG290" s="7"/>
      <c r="BH290" s="7"/>
      <c r="BI290" s="7"/>
      <c r="BJ290" s="7"/>
      <c r="BK290" s="7"/>
      <c r="BL290" s="7"/>
    </row>
    <row r="291" spans="1:64">
      <c r="A291" s="13"/>
      <c r="B291" s="7"/>
      <c r="C291" s="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7"/>
      <c r="AD291" s="7"/>
      <c r="AE291" s="7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7"/>
      <c r="BE291" s="7"/>
      <c r="BF291" s="7"/>
      <c r="BG291" s="7"/>
      <c r="BH291" s="7"/>
      <c r="BI291" s="7"/>
      <c r="BJ291" s="7"/>
      <c r="BK291" s="7"/>
      <c r="BL291" s="7"/>
    </row>
    <row r="292" spans="1:64">
      <c r="A292" s="13"/>
      <c r="B292" s="7"/>
      <c r="C292" s="7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7"/>
      <c r="AD292" s="7"/>
      <c r="AE292" s="7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7"/>
      <c r="BE292" s="7"/>
      <c r="BF292" s="7"/>
      <c r="BG292" s="7"/>
      <c r="BH292" s="7"/>
      <c r="BI292" s="7"/>
      <c r="BJ292" s="7"/>
      <c r="BK292" s="7"/>
      <c r="BL292" s="7"/>
    </row>
    <row r="293" spans="1:64">
      <c r="A293" s="13"/>
      <c r="B293" s="7"/>
      <c r="C293" s="7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7"/>
      <c r="AD293" s="7"/>
      <c r="AE293" s="7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7"/>
      <c r="BE293" s="7"/>
      <c r="BF293" s="7"/>
      <c r="BG293" s="7"/>
      <c r="BH293" s="7"/>
      <c r="BI293" s="7"/>
      <c r="BJ293" s="7"/>
      <c r="BK293" s="7"/>
      <c r="BL293" s="7"/>
    </row>
    <row r="294" spans="1:64">
      <c r="A294" s="13"/>
      <c r="B294" s="7"/>
      <c r="C294" s="7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7"/>
      <c r="AD294" s="7"/>
      <c r="AE294" s="7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7"/>
      <c r="BE294" s="7"/>
      <c r="BF294" s="7"/>
      <c r="BG294" s="7"/>
      <c r="BH294" s="7"/>
      <c r="BI294" s="7"/>
      <c r="BJ294" s="7"/>
      <c r="BK294" s="7"/>
      <c r="BL294" s="7"/>
    </row>
    <row r="295" spans="1:64">
      <c r="A295" s="13"/>
      <c r="B295" s="7"/>
      <c r="C295" s="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7"/>
      <c r="AD295" s="7"/>
      <c r="AE295" s="7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7"/>
      <c r="BE295" s="7"/>
      <c r="BF295" s="7"/>
      <c r="BG295" s="7"/>
      <c r="BH295" s="7"/>
      <c r="BI295" s="7"/>
      <c r="BJ295" s="7"/>
      <c r="BK295" s="7"/>
      <c r="BL295" s="7"/>
    </row>
    <row r="296" spans="1:64">
      <c r="A296" s="13"/>
      <c r="B296" s="7"/>
      <c r="C296" s="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7"/>
      <c r="AD296" s="7"/>
      <c r="AE296" s="7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7"/>
      <c r="BE296" s="7"/>
      <c r="BF296" s="7"/>
      <c r="BG296" s="7"/>
      <c r="BH296" s="7"/>
      <c r="BI296" s="7"/>
      <c r="BJ296" s="7"/>
      <c r="BK296" s="7"/>
      <c r="BL296" s="7"/>
    </row>
    <row r="297" spans="1:64">
      <c r="A297" s="13"/>
      <c r="B297" s="7"/>
      <c r="C297" s="7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7"/>
      <c r="AD297" s="7"/>
      <c r="AE297" s="7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7"/>
      <c r="BE297" s="7"/>
      <c r="BF297" s="7"/>
      <c r="BG297" s="7"/>
      <c r="BH297" s="7"/>
      <c r="BI297" s="7"/>
      <c r="BJ297" s="7"/>
      <c r="BK297" s="7"/>
      <c r="BL297" s="7"/>
    </row>
    <row r="298" spans="1:64">
      <c r="A298" s="13"/>
      <c r="B298" s="7"/>
      <c r="C298" s="7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7"/>
      <c r="AD298" s="7"/>
      <c r="AE298" s="7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7"/>
      <c r="BE298" s="7"/>
      <c r="BF298" s="7"/>
      <c r="BG298" s="7"/>
      <c r="BH298" s="7"/>
      <c r="BI298" s="7"/>
      <c r="BJ298" s="7"/>
      <c r="BK298" s="7"/>
      <c r="BL298" s="7"/>
    </row>
    <row r="299" spans="1:64">
      <c r="A299" s="13"/>
      <c r="B299" s="7"/>
      <c r="C299" s="7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7"/>
      <c r="AD299" s="7"/>
      <c r="AE299" s="7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7"/>
      <c r="BE299" s="7"/>
      <c r="BF299" s="7"/>
      <c r="BG299" s="7"/>
      <c r="BH299" s="7"/>
      <c r="BI299" s="7"/>
      <c r="BJ299" s="7"/>
      <c r="BK299" s="7"/>
      <c r="BL299" s="7"/>
    </row>
    <row r="300" spans="1:64">
      <c r="A300" s="13"/>
      <c r="B300" s="7"/>
      <c r="C300" s="7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7"/>
      <c r="AD300" s="7"/>
      <c r="AE300" s="7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7"/>
      <c r="BE300" s="7"/>
      <c r="BF300" s="7"/>
      <c r="BG300" s="7"/>
      <c r="BH300" s="7"/>
      <c r="BI300" s="7"/>
      <c r="BJ300" s="7"/>
      <c r="BK300" s="7"/>
      <c r="BL300" s="7"/>
    </row>
    <row r="301" spans="1:64">
      <c r="A301" s="13"/>
      <c r="B301" s="7"/>
      <c r="C301" s="7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7"/>
      <c r="AD301" s="7"/>
      <c r="AE301" s="7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7"/>
      <c r="BE301" s="7"/>
      <c r="BF301" s="7"/>
      <c r="BG301" s="7"/>
      <c r="BH301" s="7"/>
      <c r="BI301" s="7"/>
      <c r="BJ301" s="7"/>
      <c r="BK301" s="7"/>
      <c r="BL301" s="7"/>
    </row>
    <row r="302" spans="1:64">
      <c r="A302" s="13"/>
      <c r="B302" s="7"/>
      <c r="C302" s="7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7"/>
      <c r="AD302" s="7"/>
      <c r="AE302" s="7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7"/>
      <c r="BE302" s="7"/>
      <c r="BF302" s="7"/>
      <c r="BG302" s="7"/>
      <c r="BH302" s="7"/>
      <c r="BI302" s="7"/>
      <c r="BJ302" s="7"/>
      <c r="BK302" s="7"/>
      <c r="BL302" s="7"/>
    </row>
    <row r="303" spans="1:64">
      <c r="A303" s="13"/>
      <c r="B303" s="7"/>
      <c r="C303" s="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7"/>
      <c r="AD303" s="7"/>
      <c r="AE303" s="7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7"/>
      <c r="BE303" s="7"/>
      <c r="BF303" s="7"/>
      <c r="BG303" s="7"/>
      <c r="BH303" s="7"/>
      <c r="BI303" s="7"/>
      <c r="BJ303" s="7"/>
      <c r="BK303" s="7"/>
      <c r="BL303" s="7"/>
    </row>
    <row r="304" spans="1:64">
      <c r="A304" s="13"/>
      <c r="B304" s="7"/>
      <c r="C304" s="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7"/>
      <c r="AD304" s="7"/>
      <c r="AE304" s="7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7"/>
      <c r="BE304" s="7"/>
      <c r="BF304" s="7"/>
      <c r="BG304" s="7"/>
      <c r="BH304" s="7"/>
      <c r="BI304" s="7"/>
      <c r="BJ304" s="7"/>
      <c r="BK304" s="7"/>
      <c r="BL304" s="7"/>
    </row>
    <row r="305" spans="1:64">
      <c r="A305" s="13"/>
      <c r="B305" s="7"/>
      <c r="C305" s="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7"/>
      <c r="AD305" s="7"/>
      <c r="AE305" s="7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7"/>
      <c r="BE305" s="7"/>
      <c r="BF305" s="7"/>
      <c r="BG305" s="7"/>
      <c r="BH305" s="7"/>
      <c r="BI305" s="7"/>
      <c r="BJ305" s="7"/>
      <c r="BK305" s="7"/>
      <c r="BL305" s="7"/>
    </row>
    <row r="306" spans="1:64">
      <c r="A306" s="13"/>
      <c r="B306" s="7"/>
      <c r="C306" s="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7"/>
      <c r="AD306" s="7"/>
      <c r="AE306" s="7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7"/>
      <c r="BE306" s="7"/>
      <c r="BF306" s="7"/>
      <c r="BG306" s="7"/>
      <c r="BH306" s="7"/>
      <c r="BI306" s="7"/>
      <c r="BJ306" s="7"/>
      <c r="BK306" s="7"/>
      <c r="BL306" s="7"/>
    </row>
    <row r="307" spans="1:64">
      <c r="A307" s="13"/>
      <c r="B307" s="7"/>
      <c r="C307" s="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7"/>
      <c r="AD307" s="7"/>
      <c r="AE307" s="7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7"/>
      <c r="BE307" s="7"/>
      <c r="BF307" s="7"/>
      <c r="BG307" s="7"/>
      <c r="BH307" s="7"/>
      <c r="BI307" s="7"/>
      <c r="BJ307" s="7"/>
      <c r="BK307" s="7"/>
      <c r="BL307" s="7"/>
    </row>
    <row r="308" spans="1:64">
      <c r="A308" s="13"/>
      <c r="B308" s="7"/>
      <c r="C308" s="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7"/>
      <c r="AD308" s="7"/>
      <c r="AE308" s="7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7"/>
      <c r="BE308" s="7"/>
      <c r="BF308" s="7"/>
      <c r="BG308" s="7"/>
      <c r="BH308" s="7"/>
      <c r="BI308" s="7"/>
      <c r="BJ308" s="7"/>
      <c r="BK308" s="7"/>
      <c r="BL308" s="7"/>
    </row>
    <row r="309" spans="1:64">
      <c r="A309" s="13"/>
      <c r="B309" s="7"/>
      <c r="C309" s="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7"/>
      <c r="AD309" s="7"/>
      <c r="AE309" s="7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7"/>
      <c r="BE309" s="7"/>
      <c r="BF309" s="7"/>
      <c r="BG309" s="7"/>
      <c r="BH309" s="7"/>
      <c r="BI309" s="7"/>
      <c r="BJ309" s="7"/>
      <c r="BK309" s="7"/>
      <c r="BL309" s="7"/>
    </row>
    <row r="310" spans="1:64">
      <c r="A310" s="13"/>
      <c r="B310" s="7"/>
      <c r="C310" s="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7"/>
      <c r="AD310" s="7"/>
      <c r="AE310" s="7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7"/>
      <c r="BE310" s="7"/>
      <c r="BF310" s="7"/>
      <c r="BG310" s="7"/>
      <c r="BH310" s="7"/>
      <c r="BI310" s="7"/>
      <c r="BJ310" s="7"/>
      <c r="BK310" s="7"/>
      <c r="BL310" s="7"/>
    </row>
    <row r="311" spans="1:64">
      <c r="A311" s="13"/>
      <c r="B311" s="7"/>
      <c r="C311" s="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7"/>
      <c r="AD311" s="7"/>
      <c r="AE311" s="7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7"/>
      <c r="BE311" s="7"/>
      <c r="BF311" s="7"/>
      <c r="BG311" s="7"/>
      <c r="BH311" s="7"/>
      <c r="BI311" s="7"/>
      <c r="BJ311" s="7"/>
      <c r="BK311" s="7"/>
      <c r="BL311" s="7"/>
    </row>
    <row r="312" spans="1:64">
      <c r="A312" s="13"/>
      <c r="B312" s="7"/>
      <c r="C312" s="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7"/>
      <c r="AD312" s="7"/>
      <c r="AE312" s="7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7"/>
      <c r="BE312" s="7"/>
      <c r="BF312" s="7"/>
      <c r="BG312" s="7"/>
      <c r="BH312" s="7"/>
      <c r="BI312" s="7"/>
      <c r="BJ312" s="7"/>
      <c r="BK312" s="7"/>
      <c r="BL312" s="7"/>
    </row>
    <row r="313" spans="1:64">
      <c r="A313" s="13"/>
      <c r="B313" s="7"/>
      <c r="C313" s="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7"/>
      <c r="AD313" s="7"/>
      <c r="AE313" s="7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7"/>
      <c r="BE313" s="7"/>
      <c r="BF313" s="7"/>
      <c r="BG313" s="7"/>
      <c r="BH313" s="7"/>
      <c r="BI313" s="7"/>
      <c r="BJ313" s="7"/>
      <c r="BK313" s="7"/>
      <c r="BL313" s="7"/>
    </row>
    <row r="314" spans="1:64">
      <c r="A314" s="13"/>
      <c r="B314" s="7"/>
      <c r="C314" s="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7"/>
      <c r="AD314" s="7"/>
      <c r="AE314" s="7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7"/>
      <c r="BE314" s="7"/>
      <c r="BF314" s="7"/>
      <c r="BG314" s="7"/>
      <c r="BH314" s="7"/>
      <c r="BI314" s="7"/>
      <c r="BJ314" s="7"/>
      <c r="BK314" s="7"/>
      <c r="BL314" s="7"/>
    </row>
    <row r="315" spans="1:64">
      <c r="A315" s="13"/>
      <c r="B315" s="7"/>
      <c r="C315" s="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7"/>
      <c r="AD315" s="7"/>
      <c r="AE315" s="7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7"/>
      <c r="BE315" s="7"/>
      <c r="BF315" s="7"/>
      <c r="BG315" s="7"/>
      <c r="BH315" s="7"/>
      <c r="BI315" s="7"/>
      <c r="BJ315" s="7"/>
      <c r="BK315" s="7"/>
      <c r="BL315" s="7"/>
    </row>
    <row r="316" spans="1:64">
      <c r="A316" s="13"/>
      <c r="B316" s="7"/>
      <c r="C316" s="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7"/>
      <c r="AD316" s="7"/>
      <c r="AE316" s="7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7"/>
      <c r="BE316" s="7"/>
      <c r="BF316" s="7"/>
      <c r="BG316" s="7"/>
      <c r="BH316" s="7"/>
      <c r="BI316" s="7"/>
      <c r="BJ316" s="7"/>
      <c r="BK316" s="7"/>
      <c r="BL316" s="7"/>
    </row>
    <row r="317" spans="1:64">
      <c r="A317" s="13"/>
      <c r="B317" s="7"/>
      <c r="C317" s="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7"/>
      <c r="AD317" s="7"/>
      <c r="AE317" s="7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7"/>
      <c r="BE317" s="7"/>
      <c r="BF317" s="7"/>
      <c r="BG317" s="7"/>
      <c r="BH317" s="7"/>
      <c r="BI317" s="7"/>
      <c r="BJ317" s="7"/>
      <c r="BK317" s="7"/>
      <c r="BL317" s="7"/>
    </row>
    <row r="318" spans="1:64">
      <c r="A318" s="13"/>
      <c r="B318" s="7"/>
      <c r="C318" s="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7"/>
      <c r="AD318" s="7"/>
      <c r="AE318" s="7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7"/>
      <c r="BE318" s="7"/>
      <c r="BF318" s="7"/>
      <c r="BG318" s="7"/>
      <c r="BH318" s="7"/>
      <c r="BI318" s="7"/>
      <c r="BJ318" s="7"/>
      <c r="BK318" s="7"/>
      <c r="BL318" s="7"/>
    </row>
    <row r="319" spans="1:64">
      <c r="A319" s="13"/>
      <c r="B319" s="7"/>
      <c r="C319" s="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7"/>
      <c r="AD319" s="7"/>
      <c r="AE319" s="7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7"/>
      <c r="BE319" s="7"/>
      <c r="BF319" s="7"/>
      <c r="BG319" s="7"/>
      <c r="BH319" s="7"/>
      <c r="BI319" s="7"/>
      <c r="BJ319" s="7"/>
      <c r="BK319" s="7"/>
      <c r="BL319" s="7"/>
    </row>
    <row r="320" spans="1:64">
      <c r="A320" s="13"/>
      <c r="B320" s="7"/>
      <c r="C320" s="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7"/>
      <c r="AD320" s="7"/>
      <c r="AE320" s="7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7"/>
      <c r="BE320" s="7"/>
      <c r="BF320" s="7"/>
      <c r="BG320" s="7"/>
      <c r="BH320" s="7"/>
      <c r="BI320" s="7"/>
      <c r="BJ320" s="7"/>
      <c r="BK320" s="7"/>
      <c r="BL320" s="7"/>
    </row>
    <row r="321" spans="1:64">
      <c r="A321" s="13"/>
      <c r="B321" s="7"/>
      <c r="C321" s="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7"/>
      <c r="AD321" s="7"/>
      <c r="AE321" s="7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7"/>
      <c r="BE321" s="7"/>
      <c r="BF321" s="7"/>
      <c r="BG321" s="7"/>
      <c r="BH321" s="7"/>
      <c r="BI321" s="7"/>
      <c r="BJ321" s="7"/>
      <c r="BK321" s="7"/>
      <c r="BL321" s="7"/>
    </row>
    <row r="322" spans="1:64">
      <c r="A322" s="13"/>
      <c r="B322" s="7"/>
      <c r="C322" s="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7"/>
      <c r="AD322" s="7"/>
      <c r="AE322" s="7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7"/>
      <c r="BE322" s="7"/>
      <c r="BF322" s="7"/>
      <c r="BG322" s="7"/>
      <c r="BH322" s="7"/>
      <c r="BI322" s="7"/>
      <c r="BJ322" s="7"/>
      <c r="BK322" s="7"/>
      <c r="BL322" s="7"/>
    </row>
    <row r="323" spans="1:64">
      <c r="A323" s="13"/>
      <c r="B323" s="7"/>
      <c r="C323" s="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7"/>
      <c r="AD323" s="7"/>
      <c r="AE323" s="7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7"/>
      <c r="BE323" s="7"/>
      <c r="BF323" s="7"/>
      <c r="BG323" s="7"/>
      <c r="BH323" s="7"/>
      <c r="BI323" s="7"/>
      <c r="BJ323" s="7"/>
      <c r="BK323" s="7"/>
      <c r="BL323" s="7"/>
    </row>
    <row r="324" spans="1:64">
      <c r="A324" s="13"/>
      <c r="B324" s="7"/>
      <c r="C324" s="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7"/>
      <c r="AD324" s="7"/>
      <c r="AE324" s="7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7"/>
      <c r="BE324" s="7"/>
      <c r="BF324" s="7"/>
      <c r="BG324" s="7"/>
      <c r="BH324" s="7"/>
      <c r="BI324" s="7"/>
      <c r="BJ324" s="7"/>
      <c r="BK324" s="7"/>
      <c r="BL324" s="7"/>
    </row>
    <row r="325" spans="1:64">
      <c r="A325" s="13"/>
      <c r="B325" s="7"/>
      <c r="C325" s="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7"/>
      <c r="AD325" s="7"/>
      <c r="AE325" s="7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7"/>
      <c r="BE325" s="7"/>
      <c r="BF325" s="7"/>
      <c r="BG325" s="7"/>
      <c r="BH325" s="7"/>
      <c r="BI325" s="7"/>
      <c r="BJ325" s="7"/>
      <c r="BK325" s="7"/>
      <c r="BL325" s="7"/>
    </row>
    <row r="326" spans="1:64">
      <c r="A326" s="13"/>
      <c r="B326" s="7"/>
      <c r="C326" s="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7"/>
      <c r="AD326" s="7"/>
      <c r="AE326" s="7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7"/>
      <c r="BE326" s="7"/>
      <c r="BF326" s="7"/>
      <c r="BG326" s="7"/>
      <c r="BH326" s="7"/>
      <c r="BI326" s="7"/>
      <c r="BJ326" s="7"/>
      <c r="BK326" s="7"/>
      <c r="BL326" s="7"/>
    </row>
    <row r="327" spans="1:64">
      <c r="A327" s="13"/>
      <c r="B327" s="7"/>
      <c r="C327" s="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7"/>
      <c r="AD327" s="7"/>
      <c r="AE327" s="7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7"/>
      <c r="BE327" s="7"/>
      <c r="BF327" s="7"/>
      <c r="BG327" s="7"/>
      <c r="BH327" s="7"/>
      <c r="BI327" s="7"/>
      <c r="BJ327" s="7"/>
      <c r="BK327" s="7"/>
      <c r="BL327" s="7"/>
    </row>
    <row r="328" spans="1:64">
      <c r="A328" s="13"/>
      <c r="B328" s="7"/>
      <c r="C328" s="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7"/>
      <c r="AD328" s="7"/>
      <c r="AE328" s="7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7"/>
      <c r="BE328" s="7"/>
      <c r="BF328" s="7"/>
      <c r="BG328" s="7"/>
      <c r="BH328" s="7"/>
      <c r="BI328" s="7"/>
      <c r="BJ328" s="7"/>
      <c r="BK328" s="7"/>
      <c r="BL328" s="7"/>
    </row>
    <row r="329" spans="1:64">
      <c r="A329" s="13"/>
      <c r="B329" s="7"/>
      <c r="C329" s="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7"/>
      <c r="AD329" s="7"/>
      <c r="AE329" s="7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7"/>
      <c r="BE329" s="7"/>
      <c r="BF329" s="7"/>
      <c r="BG329" s="7"/>
      <c r="BH329" s="7"/>
      <c r="BI329" s="7"/>
      <c r="BJ329" s="7"/>
      <c r="BK329" s="7"/>
      <c r="BL329" s="7"/>
    </row>
    <row r="330" spans="1:64">
      <c r="A330" s="13"/>
      <c r="B330" s="7"/>
      <c r="C330" s="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7"/>
      <c r="AD330" s="7"/>
      <c r="AE330" s="7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7"/>
      <c r="BE330" s="7"/>
      <c r="BF330" s="7"/>
      <c r="BG330" s="7"/>
      <c r="BH330" s="7"/>
      <c r="BI330" s="7"/>
      <c r="BJ330" s="7"/>
      <c r="BK330" s="7"/>
      <c r="BL330" s="7"/>
    </row>
    <row r="331" spans="1:64">
      <c r="A331" s="13"/>
      <c r="B331" s="7"/>
      <c r="C331" s="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7"/>
      <c r="AD331" s="7"/>
      <c r="AE331" s="7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7"/>
      <c r="BE331" s="7"/>
      <c r="BF331" s="7"/>
      <c r="BG331" s="7"/>
      <c r="BH331" s="7"/>
      <c r="BI331" s="7"/>
      <c r="BJ331" s="7"/>
      <c r="BK331" s="7"/>
      <c r="BL331" s="7"/>
    </row>
    <row r="333" spans="2:4">
      <c r="B333" s="10"/>
      <c r="C333" s="10"/>
      <c r="D333" s="10"/>
    </row>
    <row r="334" spans="2:4">
      <c r="B334" s="10"/>
      <c r="C334" s="10"/>
      <c r="D334" s="1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85"/>
  <sheetViews>
    <sheetView workbookViewId="0">
      <selection activeCell="C1" sqref="C1:C5"/>
    </sheetView>
  </sheetViews>
  <sheetFormatPr defaultColWidth="9" defaultRowHeight="15"/>
  <cols>
    <col min="1" max="1" width="8.72666666666667" style="10"/>
  </cols>
  <sheetData>
    <row r="1" spans="1:6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7"/>
    </row>
    <row r="2" spans="1:64">
      <c r="A2" s="11">
        <v>0</v>
      </c>
      <c r="B2" s="11">
        <v>0</v>
      </c>
      <c r="C2" s="11"/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7"/>
    </row>
    <row r="3" spans="1:64">
      <c r="A3" s="11">
        <v>0.14091914656322</v>
      </c>
      <c r="B3" s="12">
        <v>7.0824228483391e-13</v>
      </c>
      <c r="C3" s="12">
        <f>(B3-B2)/(A3-A2)</f>
        <v>5.02587690960911e-12</v>
      </c>
      <c r="D3" s="12">
        <v>7.9174521964236e-13</v>
      </c>
      <c r="E3" s="12">
        <v>7.8202085851296e-13</v>
      </c>
      <c r="F3" s="12">
        <v>7.8202085851296e-13</v>
      </c>
      <c r="G3" s="12">
        <v>7.8202085851296e-13</v>
      </c>
      <c r="H3" s="12">
        <v>7.9174521964236e-13</v>
      </c>
      <c r="I3" s="12">
        <v>7.9174521964236e-13</v>
      </c>
      <c r="J3" s="12">
        <v>7.9174521964236e-13</v>
      </c>
      <c r="K3" s="12">
        <v>8.06183974815e-13</v>
      </c>
      <c r="L3" s="12">
        <v>8.06183974815e-13</v>
      </c>
      <c r="M3" s="12">
        <v>8.06183974815e-13</v>
      </c>
      <c r="N3" s="12">
        <v>5.4364838113669e-13</v>
      </c>
      <c r="O3" s="12">
        <v>7.9174521964236e-13</v>
      </c>
      <c r="P3" s="12">
        <v>5.4364838113669e-13</v>
      </c>
      <c r="Q3" s="12">
        <v>5.4364838113669e-13</v>
      </c>
      <c r="R3" s="12">
        <v>7.8202085851296e-13</v>
      </c>
      <c r="S3" s="12">
        <v>7.8202085851296e-13</v>
      </c>
      <c r="T3" s="12">
        <v>7.8202085851296e-13</v>
      </c>
      <c r="U3" s="12">
        <v>7.9174521964236e-13</v>
      </c>
      <c r="V3" s="12">
        <v>8.06183974815e-13</v>
      </c>
      <c r="W3" s="12">
        <v>8.06183974815e-13</v>
      </c>
      <c r="X3" s="12">
        <v>8.06183974815e-13</v>
      </c>
      <c r="Y3" s="12">
        <v>5.4364838113669e-13</v>
      </c>
      <c r="Z3" s="12">
        <v>5.4364838113669e-13</v>
      </c>
      <c r="AA3" s="12">
        <v>5.4364838113669e-13</v>
      </c>
      <c r="AB3" s="11">
        <v>0.99999997685343</v>
      </c>
      <c r="AC3" s="11">
        <v>0.99998822388691</v>
      </c>
      <c r="AD3" s="12">
        <v>2.2074988293903e-7</v>
      </c>
      <c r="AE3" s="12">
        <v>2.1400789187359e-18</v>
      </c>
      <c r="AF3" s="12">
        <v>-1.0223734119535e-18</v>
      </c>
      <c r="AG3" s="12">
        <v>-6.9197017472821e-18</v>
      </c>
      <c r="AH3" s="12">
        <v>2.894275142716e-18</v>
      </c>
      <c r="AI3" s="12">
        <v>1.4275805070362e-18</v>
      </c>
      <c r="AJ3" s="12">
        <v>1.2316747654389e-18</v>
      </c>
      <c r="AK3" s="12">
        <v>8.738444439131e-18</v>
      </c>
      <c r="AL3" s="12">
        <v>-2.6042657536352e-18</v>
      </c>
      <c r="AM3" s="12">
        <v>8.7885520560891e-18</v>
      </c>
      <c r="AN3" s="12">
        <v>2.5108060131798e-18</v>
      </c>
      <c r="AO3" s="12">
        <v>3.0958001855715e-18</v>
      </c>
      <c r="AP3" s="12">
        <v>-1.2847466043939e-18</v>
      </c>
      <c r="AQ3" s="12">
        <v>5.4684847921536e-18</v>
      </c>
      <c r="AR3" s="12">
        <v>2.2435908100141e-18</v>
      </c>
      <c r="AS3" s="12">
        <v>1.9149453483306e-18</v>
      </c>
      <c r="AT3" s="12">
        <v>2.4427390874418e-18</v>
      </c>
      <c r="AU3" s="12">
        <v>9.6607511117733e-18</v>
      </c>
      <c r="AV3" s="12">
        <v>-4.9940836876645e-18</v>
      </c>
      <c r="AW3" s="12">
        <v>4.0242546829822e-18</v>
      </c>
      <c r="AX3" s="12">
        <v>-6.0988186919538e-18</v>
      </c>
      <c r="AY3" s="12">
        <v>2.704444846904e-18</v>
      </c>
      <c r="AZ3" s="12">
        <v>-7.0206407890782e-19</v>
      </c>
      <c r="BA3" s="12">
        <v>3.7876365754094e-19</v>
      </c>
      <c r="BB3" s="12">
        <v>4.7741571686626e-20</v>
      </c>
      <c r="BC3" s="11">
        <v>15999999.999684</v>
      </c>
      <c r="BD3" s="11">
        <v>3999999.9999048</v>
      </c>
      <c r="BE3" s="12">
        <v>-6.6443555653482e-8</v>
      </c>
      <c r="BF3" s="12">
        <v>-5.9266614108469e-8</v>
      </c>
      <c r="BG3" s="12">
        <v>2.3869103848202e-7</v>
      </c>
      <c r="BH3" s="12">
        <v>-1.7355407007759e-10</v>
      </c>
      <c r="BI3" s="12">
        <v>-1.8981114241166e-10</v>
      </c>
      <c r="BJ3" s="11">
        <v>0.046973048917765</v>
      </c>
      <c r="BK3" s="11">
        <v>0.051191360925068</v>
      </c>
      <c r="BL3" s="7"/>
    </row>
    <row r="4" spans="1:64">
      <c r="A4" s="11">
        <v>0.44562546906687</v>
      </c>
      <c r="B4" s="12">
        <v>8.0007374377867e-12</v>
      </c>
      <c r="C4" s="12">
        <f>(B4-B3)/(A4-A3)</f>
        <v>2.39328645793539e-11</v>
      </c>
      <c r="D4" s="12">
        <v>2.5038189877212e-12</v>
      </c>
      <c r="E4" s="12">
        <v>2.4730697147334e-12</v>
      </c>
      <c r="F4" s="12">
        <v>2.4730697147334e-12</v>
      </c>
      <c r="G4" s="12">
        <v>2.4730697147334e-12</v>
      </c>
      <c r="H4" s="12">
        <v>2.5038189877212e-12</v>
      </c>
      <c r="I4" s="12">
        <v>2.5038189877212e-12</v>
      </c>
      <c r="J4" s="12">
        <v>2.5038189877212e-12</v>
      </c>
      <c r="K4" s="12">
        <v>2.5494924438481e-12</v>
      </c>
      <c r="L4" s="12">
        <v>2.5494924438481e-12</v>
      </c>
      <c r="M4" s="12">
        <v>2.5494924438481e-12</v>
      </c>
      <c r="N4" s="12">
        <v>1.719232709939e-12</v>
      </c>
      <c r="O4" s="12">
        <v>2.5038189877212e-12</v>
      </c>
      <c r="P4" s="12">
        <v>1.719232709939e-12</v>
      </c>
      <c r="Q4" s="12">
        <v>1.719232709939e-12</v>
      </c>
      <c r="R4" s="12">
        <v>2.4730697147334e-12</v>
      </c>
      <c r="S4" s="12">
        <v>2.4730697147334e-12</v>
      </c>
      <c r="T4" s="12">
        <v>2.4730697147334e-12</v>
      </c>
      <c r="U4" s="12">
        <v>2.5038189877212e-12</v>
      </c>
      <c r="V4" s="12">
        <v>2.5494924438481e-12</v>
      </c>
      <c r="W4" s="12">
        <v>2.5494924438481e-12</v>
      </c>
      <c r="X4" s="12">
        <v>2.5494924438481e-12</v>
      </c>
      <c r="Y4" s="12">
        <v>1.719232709939e-12</v>
      </c>
      <c r="Z4" s="12">
        <v>1.719232709939e-12</v>
      </c>
      <c r="AA4" s="12">
        <v>1.719232709939e-12</v>
      </c>
      <c r="AB4" s="11">
        <v>0.99999999056788</v>
      </c>
      <c r="AC4" s="11">
        <v>0.99999512634674</v>
      </c>
      <c r="AD4" s="12">
        <v>6.9807588680697e-7</v>
      </c>
      <c r="AE4" s="12">
        <v>3.4616574929187e-18</v>
      </c>
      <c r="AF4" s="12">
        <v>-9.4563296896747e-19</v>
      </c>
      <c r="AG4" s="12">
        <v>-8.4939673253805e-18</v>
      </c>
      <c r="AH4" s="12">
        <v>3.9835141096685e-18</v>
      </c>
      <c r="AI4" s="12">
        <v>6.5302261314841e-19</v>
      </c>
      <c r="AJ4" s="12">
        <v>8.5773938934703e-19</v>
      </c>
      <c r="AK4" s="12">
        <v>1.0981538156554e-17</v>
      </c>
      <c r="AL4" s="12">
        <v>-3.8758078905667e-18</v>
      </c>
      <c r="AM4" s="12">
        <v>1.0972659244574e-17</v>
      </c>
      <c r="AN4" s="12">
        <v>2.4034047651725e-18</v>
      </c>
      <c r="AO4" s="12">
        <v>3.4908315855893e-18</v>
      </c>
      <c r="AP4" s="12">
        <v>-1.1501684446092e-18</v>
      </c>
      <c r="AQ4" s="12">
        <v>6.0304667712583e-18</v>
      </c>
      <c r="AR4" s="12">
        <v>2.310255463221e-18</v>
      </c>
      <c r="AS4" s="12">
        <v>1.4398929103828e-18</v>
      </c>
      <c r="AT4" s="12">
        <v>2.3017239699673e-18</v>
      </c>
      <c r="AU4" s="12">
        <v>1.1596387066852e-17</v>
      </c>
      <c r="AV4" s="12">
        <v>-6.7666662206989e-18</v>
      </c>
      <c r="AW4" s="12">
        <v>5.3782252268443e-18</v>
      </c>
      <c r="AX4" s="12">
        <v>-8.028709671148e-18</v>
      </c>
      <c r="AY4" s="12">
        <v>3.3626713208969e-18</v>
      </c>
      <c r="AZ4" s="12">
        <v>-7.5873279353537e-19</v>
      </c>
      <c r="BA4" s="12">
        <v>5.6751367982361e-19</v>
      </c>
      <c r="BB4" s="12">
        <v>-8.1920371528645e-20</v>
      </c>
      <c r="BC4" s="11">
        <v>15999999.997091</v>
      </c>
      <c r="BD4" s="11">
        <v>3999999.9989246</v>
      </c>
      <c r="BE4" s="12">
        <v>-2.1011188423526e-7</v>
      </c>
      <c r="BF4" s="12">
        <v>-1.8741623723274e-7</v>
      </c>
      <c r="BG4" s="12">
        <v>7.5481227058308e-7</v>
      </c>
      <c r="BH4" s="12">
        <v>-1.736267041269e-9</v>
      </c>
      <c r="BI4" s="12">
        <v>-1.9023295650788e-9</v>
      </c>
      <c r="BJ4" s="11">
        <v>0.14854182364794</v>
      </c>
      <c r="BK4" s="11">
        <v>0.16188116820126</v>
      </c>
      <c r="BL4" s="7"/>
    </row>
    <row r="5" spans="1:64">
      <c r="A5" s="11">
        <v>1.4091914656322</v>
      </c>
      <c r="B5" s="12">
        <v>8.0933778199339e-11</v>
      </c>
      <c r="C5" s="12">
        <f>(B5-B4)/(A5-A4)</f>
        <v>7.56907581022214e-11</v>
      </c>
      <c r="D5" s="12">
        <v>7.9187829073101e-12</v>
      </c>
      <c r="E5" s="12">
        <v>7.8215646617005e-12</v>
      </c>
      <c r="F5" s="12">
        <v>7.8215646617005e-12</v>
      </c>
      <c r="G5" s="12">
        <v>7.8215646617005e-12</v>
      </c>
      <c r="H5" s="12">
        <v>7.9187829073102e-12</v>
      </c>
      <c r="I5" s="12">
        <v>7.9187829073102e-12</v>
      </c>
      <c r="J5" s="12">
        <v>7.9187829073101e-12</v>
      </c>
      <c r="K5" s="12">
        <v>8.0633582853599e-12</v>
      </c>
      <c r="L5" s="12">
        <v>8.0633582853598e-12</v>
      </c>
      <c r="M5" s="12">
        <v>8.0633582853598e-12</v>
      </c>
      <c r="N5" s="12">
        <v>5.4373535157926e-12</v>
      </c>
      <c r="O5" s="12">
        <v>7.9187829073102e-12</v>
      </c>
      <c r="P5" s="12">
        <v>5.4373535157925e-12</v>
      </c>
      <c r="Q5" s="12">
        <v>5.4373535157926e-12</v>
      </c>
      <c r="R5" s="12">
        <v>7.8215646617005e-12</v>
      </c>
      <c r="S5" s="12">
        <v>7.8215646617005e-12</v>
      </c>
      <c r="T5" s="12">
        <v>7.8215646617005e-12</v>
      </c>
      <c r="U5" s="12">
        <v>7.9187829073102e-12</v>
      </c>
      <c r="V5" s="12">
        <v>8.0633582853598e-12</v>
      </c>
      <c r="W5" s="12">
        <v>8.0633582853598e-12</v>
      </c>
      <c r="X5" s="12">
        <v>8.0633582853599e-12</v>
      </c>
      <c r="Y5" s="12">
        <v>5.4373535157925e-12</v>
      </c>
      <c r="Z5" s="12">
        <v>5.4373535157925e-12</v>
      </c>
      <c r="AA5" s="12">
        <v>5.4373535157926e-12</v>
      </c>
      <c r="AB5" s="11">
        <v>0.99999999523781</v>
      </c>
      <c r="AC5" s="11">
        <v>0.99999745127059</v>
      </c>
      <c r="AD5" s="12">
        <v>2.2075425851784e-6</v>
      </c>
      <c r="AE5" s="12">
        <v>7.5476579273939e-18</v>
      </c>
      <c r="AF5" s="12">
        <v>-3.3631914015882e-19</v>
      </c>
      <c r="AG5" s="12">
        <v>-1.2472773736932e-17</v>
      </c>
      <c r="AH5" s="12">
        <v>6.9731747800149e-18</v>
      </c>
      <c r="AI5" s="12">
        <v>-2.9449863365151e-18</v>
      </c>
      <c r="AJ5" s="12">
        <v>-1.0939622282875e-18</v>
      </c>
      <c r="AK5" s="12">
        <v>1.6426338481458e-17</v>
      </c>
      <c r="AL5" s="12">
        <v>-7.8136235769689e-18</v>
      </c>
      <c r="AM5" s="12">
        <v>1.6113613798653e-17</v>
      </c>
      <c r="AN5" s="12">
        <v>1.3633625430971e-18</v>
      </c>
      <c r="AO5" s="12">
        <v>3.8183179152495e-18</v>
      </c>
      <c r="AP5" s="12">
        <v>-2.7058706449402e-19</v>
      </c>
      <c r="AQ5" s="12">
        <v>6.5261593357756e-18</v>
      </c>
      <c r="AR5" s="12">
        <v>1.6949097201345e-18</v>
      </c>
      <c r="AS5" s="12">
        <v>-1.0185471706901e-18</v>
      </c>
      <c r="AT5" s="12">
        <v>1.0397626455658e-18</v>
      </c>
      <c r="AU5" s="12">
        <v>1.5670300288445e-17</v>
      </c>
      <c r="AV5" s="12">
        <v>-1.2008985516235e-17</v>
      </c>
      <c r="AW5" s="12">
        <v>8.9444261230584e-18</v>
      </c>
      <c r="AX5" s="12">
        <v>-1.3222787350138e-17</v>
      </c>
      <c r="AY5" s="12">
        <v>4.9815374442618e-18</v>
      </c>
      <c r="AZ5" s="12">
        <v>-8.7343884467632e-19</v>
      </c>
      <c r="BA5" s="12">
        <v>1.0987028998224e-18</v>
      </c>
      <c r="BB5" s="12">
        <v>-5.1626480299756e-19</v>
      </c>
      <c r="BC5" s="11">
        <v>15999999.976488</v>
      </c>
      <c r="BD5" s="11">
        <v>3999999.9891208</v>
      </c>
      <c r="BE5" s="12">
        <v>-6.6442153718785e-7</v>
      </c>
      <c r="BF5" s="12">
        <v>-5.9265001116917e-7</v>
      </c>
      <c r="BG5" s="12">
        <v>2.3869727433683e-6</v>
      </c>
      <c r="BH5" s="12">
        <v>-1.7359700525865e-8</v>
      </c>
      <c r="BI5" s="12">
        <v>-1.9034285684109e-8</v>
      </c>
      <c r="BJ5" s="11">
        <v>0.46973049481245</v>
      </c>
      <c r="BK5" s="11">
        <v>0.51191193939679</v>
      </c>
      <c r="BL5" s="7"/>
    </row>
    <row r="6" spans="1:64">
      <c r="A6" s="11">
        <v>4.4562546906687</v>
      </c>
      <c r="B6" s="12">
        <v>8.1052236355719e-10</v>
      </c>
      <c r="C6" s="12">
        <f t="shared" ref="C6:C37" si="0">(B6-B5)/(A6-A5)</f>
        <v>2.3943992345256e-10</v>
      </c>
      <c r="D6" s="12">
        <v>2.5051518692243e-11</v>
      </c>
      <c r="E6" s="12">
        <v>2.4744283639744e-11</v>
      </c>
      <c r="F6" s="12">
        <v>2.4744283639745e-11</v>
      </c>
      <c r="G6" s="12">
        <v>2.4744283639744e-11</v>
      </c>
      <c r="H6" s="12">
        <v>2.5051518692246e-11</v>
      </c>
      <c r="I6" s="12">
        <v>2.5051518692245e-11</v>
      </c>
      <c r="J6" s="12">
        <v>2.5051518692243e-11</v>
      </c>
      <c r="K6" s="12">
        <v>2.5510141504047e-11</v>
      </c>
      <c r="L6" s="12">
        <v>2.5510141504044e-11</v>
      </c>
      <c r="M6" s="12">
        <v>2.5510141504045e-11</v>
      </c>
      <c r="N6" s="12">
        <v>1.7201053591738e-11</v>
      </c>
      <c r="O6" s="12">
        <v>2.5051518692246e-11</v>
      </c>
      <c r="P6" s="12">
        <v>1.7201053591738e-11</v>
      </c>
      <c r="Q6" s="12">
        <v>1.7201053591739e-11</v>
      </c>
      <c r="R6" s="12">
        <v>2.4744283639745e-11</v>
      </c>
      <c r="S6" s="12">
        <v>2.4744283639744e-11</v>
      </c>
      <c r="T6" s="12">
        <v>2.4744283639745e-11</v>
      </c>
      <c r="U6" s="12">
        <v>2.5051518692244e-11</v>
      </c>
      <c r="V6" s="12">
        <v>2.5510141504044e-11</v>
      </c>
      <c r="W6" s="12">
        <v>2.5510141504045e-11</v>
      </c>
      <c r="X6" s="12">
        <v>2.5510141504047e-11</v>
      </c>
      <c r="Y6" s="12">
        <v>1.7201053591737e-11</v>
      </c>
      <c r="Z6" s="12">
        <v>1.7201053591738e-11</v>
      </c>
      <c r="AA6" s="12">
        <v>1.7201053591738e-11</v>
      </c>
      <c r="AB6" s="11">
        <v>0.99999999637062</v>
      </c>
      <c r="AC6" s="11">
        <v>0.99999789509382</v>
      </c>
      <c r="AD6" s="12">
        <v>6.9811890615483e-6</v>
      </c>
      <c r="AE6" s="12">
        <v>2.6729415445992e-17</v>
      </c>
      <c r="AF6" s="12">
        <v>4.9657560788165e-18</v>
      </c>
      <c r="AG6" s="12">
        <v>-2.642993767232e-17</v>
      </c>
      <c r="AH6" s="12">
        <v>1.8472880886169e-17</v>
      </c>
      <c r="AI6" s="12">
        <v>-2.8335503587365e-17</v>
      </c>
      <c r="AJ6" s="12">
        <v>-1.5860030515134e-17</v>
      </c>
      <c r="AK6" s="12">
        <v>3.2973654123499e-17</v>
      </c>
      <c r="AL6" s="12">
        <v>-2.6748247311382e-17</v>
      </c>
      <c r="AM6" s="12">
        <v>3.0258293201434e-17</v>
      </c>
      <c r="AN6" s="12">
        <v>-7.6347617959742e-18</v>
      </c>
      <c r="AO6" s="12">
        <v>-5.2394007741256e-19</v>
      </c>
      <c r="AP6" s="12">
        <v>6.7914924823006e-18</v>
      </c>
      <c r="AQ6" s="12">
        <v>1.6535384609512e-18</v>
      </c>
      <c r="AR6" s="12">
        <v>-6.5707902550252e-18</v>
      </c>
      <c r="AS6" s="12">
        <v>-1.9064689076603e-17</v>
      </c>
      <c r="AT6" s="12">
        <v>-9.728407437498e-18</v>
      </c>
      <c r="AU6" s="12">
        <v>2.3211646187804e-17</v>
      </c>
      <c r="AV6" s="12">
        <v>-3.5708893556251e-17</v>
      </c>
      <c r="AW6" s="12">
        <v>2.1698242837626e-17</v>
      </c>
      <c r="AX6" s="12">
        <v>-3.2918179985753e-17</v>
      </c>
      <c r="AY6" s="12">
        <v>1.0223880005273e-17</v>
      </c>
      <c r="AZ6" s="12">
        <v>-1.1364176057705e-18</v>
      </c>
      <c r="BA6" s="12">
        <v>3.2310820487331e-18</v>
      </c>
      <c r="BB6" s="12">
        <v>-2.6466225920677e-18</v>
      </c>
      <c r="BC6" s="11">
        <v>15999999.812797</v>
      </c>
      <c r="BD6" s="11">
        <v>3999999.8910511</v>
      </c>
      <c r="BE6" s="12">
        <v>-2.1009798718334e-6</v>
      </c>
      <c r="BF6" s="12">
        <v>-1.8740025447117e-6</v>
      </c>
      <c r="BG6" s="12">
        <v>7.5487359783717e-6</v>
      </c>
      <c r="BH6" s="12">
        <v>-1.7343096619607e-7</v>
      </c>
      <c r="BI6" s="12">
        <v>-1.9018868082899e-7</v>
      </c>
      <c r="BJ6" s="11">
        <v>1.4854182932065</v>
      </c>
      <c r="BK6" s="11">
        <v>1.6187950900129</v>
      </c>
      <c r="BL6" s="7"/>
    </row>
    <row r="7" spans="1:64">
      <c r="A7" s="11">
        <v>14.091914656322</v>
      </c>
      <c r="B7" s="12">
        <v>8.1145922795195e-9</v>
      </c>
      <c r="C7" s="12">
        <f t="shared" si="0"/>
        <v>7.58024872400849e-10</v>
      </c>
      <c r="D7" s="12">
        <v>7.9321259008554e-11</v>
      </c>
      <c r="E7" s="12">
        <v>7.8351663575489e-11</v>
      </c>
      <c r="F7" s="12">
        <v>7.8351663575522e-11</v>
      </c>
      <c r="G7" s="12">
        <v>7.8351663575445e-11</v>
      </c>
      <c r="H7" s="12">
        <v>7.9321259008722e-11</v>
      </c>
      <c r="I7" s="12">
        <v>7.932125900868e-11</v>
      </c>
      <c r="J7" s="12">
        <v>7.9321259008528e-11</v>
      </c>
      <c r="K7" s="12">
        <v>8.0785934589994e-11</v>
      </c>
      <c r="L7" s="12">
        <v>8.0785934589861e-11</v>
      </c>
      <c r="M7" s="12">
        <v>8.0785934589922e-11</v>
      </c>
      <c r="N7" s="12">
        <v>5.4460908237467e-11</v>
      </c>
      <c r="O7" s="12">
        <v>7.9321259008753e-11</v>
      </c>
      <c r="P7" s="12">
        <v>5.4460908237448e-11</v>
      </c>
      <c r="Q7" s="12">
        <v>5.4460908237518e-11</v>
      </c>
      <c r="R7" s="12">
        <v>7.8351663575535e-11</v>
      </c>
      <c r="S7" s="12">
        <v>7.8351663575459e-11</v>
      </c>
      <c r="T7" s="12">
        <v>7.8351663575486e-11</v>
      </c>
      <c r="U7" s="12">
        <v>7.9321259008598e-11</v>
      </c>
      <c r="V7" s="12">
        <v>8.0785934589856e-11</v>
      </c>
      <c r="W7" s="12">
        <v>8.0785934589925e-11</v>
      </c>
      <c r="X7" s="12">
        <v>8.078593458999e-11</v>
      </c>
      <c r="Y7" s="12">
        <v>5.4460908237431e-11</v>
      </c>
      <c r="Z7" s="12">
        <v>5.4460908237502e-11</v>
      </c>
      <c r="AA7" s="12">
        <v>5.4460908237488e-11</v>
      </c>
      <c r="AB7" s="11">
        <v>0.99999999383142</v>
      </c>
      <c r="AC7" s="11">
        <v>0.99999577837573</v>
      </c>
      <c r="AD7" s="12">
        <v>2.2079729496748e-5</v>
      </c>
      <c r="AE7" s="12">
        <v>2.1729260385251e-16</v>
      </c>
      <c r="AF7" s="12">
        <v>8.879037369276e-17</v>
      </c>
      <c r="AG7" s="12">
        <v>-1.2505790703335e-16</v>
      </c>
      <c r="AH7" s="12">
        <v>9.9323789093459e-17</v>
      </c>
      <c r="AI7" s="12">
        <v>-4.0462848406868e-16</v>
      </c>
      <c r="AJ7" s="12">
        <v>-2.4339210767901e-16</v>
      </c>
      <c r="AK7" s="12">
        <v>9.9551324823004e-17</v>
      </c>
      <c r="AL7" s="12">
        <v>-2.2860528147692e-16</v>
      </c>
      <c r="AM7" s="12">
        <v>5.4931025793304e-17</v>
      </c>
      <c r="AN7" s="12">
        <v>-1.3737646048813e-16</v>
      </c>
      <c r="AO7" s="12">
        <v>-1.181557662491e-16</v>
      </c>
      <c r="AP7" s="12">
        <v>1.1256499782704e-16</v>
      </c>
      <c r="AQ7" s="12">
        <v>-1.1835184892506e-16</v>
      </c>
      <c r="AR7" s="12">
        <v>-1.5595523670471e-16</v>
      </c>
      <c r="AS7" s="12">
        <v>-2.8205833463851e-16</v>
      </c>
      <c r="AT7" s="12">
        <v>-1.6406854859888e-16</v>
      </c>
      <c r="AU7" s="12">
        <v>-2.901212934026e-17</v>
      </c>
      <c r="AV7" s="12">
        <v>-2.7028679057041e-16</v>
      </c>
      <c r="AW7" s="12">
        <v>9.9298148441974e-17</v>
      </c>
      <c r="AX7" s="12">
        <v>-1.7558947864939e-16</v>
      </c>
      <c r="AY7" s="12">
        <v>4.0288362661256e-17</v>
      </c>
      <c r="AZ7" s="12">
        <v>-2.3609858902112e-18</v>
      </c>
      <c r="BA7" s="12">
        <v>2.0147398122325e-17</v>
      </c>
      <c r="BB7" s="12">
        <v>-2.255103240228e-17</v>
      </c>
      <c r="BC7" s="11">
        <v>15999998.511556</v>
      </c>
      <c r="BD7" s="11">
        <v>3999998.9093783</v>
      </c>
      <c r="BE7" s="12">
        <v>-6.6428268223493e-6</v>
      </c>
      <c r="BF7" s="12">
        <v>-5.9249029306462e-6</v>
      </c>
      <c r="BG7" s="12">
        <v>2.3875861292162e-5</v>
      </c>
      <c r="BH7" s="12">
        <v>-1.7288626740716e-6</v>
      </c>
      <c r="BI7" s="12">
        <v>-1.896475765877e-6</v>
      </c>
      <c r="BJ7" s="11">
        <v>4.6973055252812</v>
      </c>
      <c r="BK7" s="11">
        <v>5.1189535167018</v>
      </c>
      <c r="BL7" s="7"/>
    </row>
    <row r="8" spans="1:64">
      <c r="A8" s="11">
        <v>44.562546906687</v>
      </c>
      <c r="B8" s="12">
        <v>8.1415501988366e-8</v>
      </c>
      <c r="C8" s="12">
        <f t="shared" si="0"/>
        <v>2.40562483595884e-9</v>
      </c>
      <c r="D8" s="12">
        <v>2.5185343969835e-10</v>
      </c>
      <c r="E8" s="12">
        <v>2.4880716080702e-10</v>
      </c>
      <c r="F8" s="12">
        <v>2.4880716081328e-10</v>
      </c>
      <c r="G8" s="12">
        <v>2.4880716079462e-10</v>
      </c>
      <c r="H8" s="12">
        <v>2.5185343973442e-10</v>
      </c>
      <c r="I8" s="12">
        <v>2.518534397263e-10</v>
      </c>
      <c r="J8" s="12">
        <v>2.5185343968227e-10</v>
      </c>
      <c r="K8" s="12">
        <v>2.5662984730157e-10</v>
      </c>
      <c r="L8" s="12">
        <v>2.5662984728297e-10</v>
      </c>
      <c r="M8" s="12">
        <v>2.5662984728843e-10</v>
      </c>
      <c r="N8" s="12">
        <v>1.7288699106752e-10</v>
      </c>
      <c r="O8" s="12">
        <v>2.5185343973925e-10</v>
      </c>
      <c r="P8" s="12">
        <v>1.7288699106493e-10</v>
      </c>
      <c r="Q8" s="12">
        <v>1.7288699108296e-10</v>
      </c>
      <c r="R8" s="12">
        <v>2.4880716081958e-10</v>
      </c>
      <c r="S8" s="12">
        <v>2.4880716079319e-10</v>
      </c>
      <c r="T8" s="12">
        <v>2.4880716080415e-10</v>
      </c>
      <c r="U8" s="12">
        <v>2.5185343970249e-10</v>
      </c>
      <c r="V8" s="12">
        <v>2.5662984727994e-10</v>
      </c>
      <c r="W8" s="12">
        <v>2.566298472939e-10</v>
      </c>
      <c r="X8" s="12">
        <v>2.5662984729821e-10</v>
      </c>
      <c r="Y8" s="12">
        <v>1.7288699106305e-10</v>
      </c>
      <c r="Z8" s="12">
        <v>1.7288699107999e-10</v>
      </c>
      <c r="AA8" s="12">
        <v>1.7288699107123e-10</v>
      </c>
      <c r="AB8" s="11">
        <v>0.99999995151864</v>
      </c>
      <c r="AC8" s="11">
        <v>0.99995730490491</v>
      </c>
      <c r="AD8" s="12">
        <v>6.9855217851871e-5</v>
      </c>
      <c r="AE8" s="12">
        <v>7.6887963301048e-15</v>
      </c>
      <c r="AF8" s="12">
        <v>4.8121066631715e-15</v>
      </c>
      <c r="AG8" s="12">
        <v>-3.2025069668675e-15</v>
      </c>
      <c r="AH8" s="12">
        <v>1.7693835568692e-15</v>
      </c>
      <c r="AI8" s="12">
        <v>-2.2587479419876e-14</v>
      </c>
      <c r="AJ8" s="12">
        <v>-1.3804175186399e-14</v>
      </c>
      <c r="AK8" s="12">
        <v>-4.7126292886846e-16</v>
      </c>
      <c r="AL8" s="12">
        <v>-9.3722154076465e-15</v>
      </c>
      <c r="AM8" s="12">
        <v>-3.5794854665514e-15</v>
      </c>
      <c r="AN8" s="12">
        <v>-6.2035710822741e-15</v>
      </c>
      <c r="AO8" s="12">
        <v>-7.9964981230105e-15</v>
      </c>
      <c r="AP8" s="12">
        <v>5.8005373859054e-15</v>
      </c>
      <c r="AQ8" s="12">
        <v>-6.7944392228374e-15</v>
      </c>
      <c r="AR8" s="12">
        <v>-8.9632874596889e-15</v>
      </c>
      <c r="AS8" s="12">
        <v>-1.4752229339648e-14</v>
      </c>
      <c r="AT8" s="12">
        <v>-7.254780713538e-15</v>
      </c>
      <c r="AU8" s="12">
        <v>-6.4466380023476e-15</v>
      </c>
      <c r="AV8" s="12">
        <v>-9.9373259393686e-15</v>
      </c>
      <c r="AW8" s="12">
        <v>1.0494888924656e-15</v>
      </c>
      <c r="AX8" s="12">
        <v>-3.7315451582019e-15</v>
      </c>
      <c r="AY8" s="12">
        <v>7.3463815663036e-16</v>
      </c>
      <c r="AZ8" s="12">
        <v>-1.1195464148431e-16</v>
      </c>
      <c r="BA8" s="12">
        <v>6.2208575226927e-16</v>
      </c>
      <c r="BB8" s="12">
        <v>-6.1268865385658e-16</v>
      </c>
      <c r="BC8" s="11">
        <v>15999988.150307</v>
      </c>
      <c r="BD8" s="11">
        <v>3999989.0627202</v>
      </c>
      <c r="BE8" s="12">
        <v>-2.0995912826613e-5</v>
      </c>
      <c r="BF8" s="12">
        <v>-1.8724043530797e-5</v>
      </c>
      <c r="BG8" s="12">
        <v>7.5549063678191e-5</v>
      </c>
      <c r="BH8" s="12">
        <v>-1.7113436668394e-5</v>
      </c>
      <c r="BI8" s="12">
        <v>-1.8790815976247e-5</v>
      </c>
      <c r="BJ8" s="11">
        <v>14.854189024292</v>
      </c>
      <c r="BK8" s="11">
        <v>16.186290157879</v>
      </c>
      <c r="BL8" s="7"/>
    </row>
    <row r="9" spans="1:64">
      <c r="A9" s="11">
        <v>140.91914656322</v>
      </c>
      <c r="B9" s="12">
        <v>8.235018504581e-7</v>
      </c>
      <c r="C9" s="12">
        <f t="shared" si="0"/>
        <v>7.70145844825296e-9</v>
      </c>
      <c r="D9" s="12">
        <v>8.0672094228735e-10</v>
      </c>
      <c r="E9" s="12">
        <v>7.9729165762189e-10</v>
      </c>
      <c r="F9" s="12">
        <v>7.9729166690525e-10</v>
      </c>
      <c r="G9" s="12">
        <v>7.9729161719884e-10</v>
      </c>
      <c r="H9" s="12">
        <v>8.0672107106595e-10</v>
      </c>
      <c r="I9" s="12">
        <v>8.0672104144236e-10</v>
      </c>
      <c r="J9" s="12">
        <v>8.0672089133728e-10</v>
      </c>
      <c r="K9" s="12">
        <v>8.2329930847431e-10</v>
      </c>
      <c r="L9" s="12">
        <v>8.2329928638386e-10</v>
      </c>
      <c r="M9" s="12">
        <v>8.2329927624119e-10</v>
      </c>
      <c r="N9" s="12">
        <v>5.5345976961918e-10</v>
      </c>
      <c r="O9" s="12">
        <v>8.0672104388512e-10</v>
      </c>
      <c r="P9" s="12">
        <v>5.5345976555046e-10</v>
      </c>
      <c r="Q9" s="12">
        <v>5.5345981835889e-10</v>
      </c>
      <c r="R9" s="12">
        <v>7.9729172042e-10</v>
      </c>
      <c r="S9" s="12">
        <v>7.9729161601626e-10</v>
      </c>
      <c r="T9" s="12">
        <v>7.9729164870357e-10</v>
      </c>
      <c r="U9" s="12">
        <v>8.0672094663027e-10</v>
      </c>
      <c r="V9" s="12">
        <v>8.2329926520793e-10</v>
      </c>
      <c r="W9" s="12">
        <v>8.2329929532399e-10</v>
      </c>
      <c r="X9" s="12">
        <v>8.2329928715527e-10</v>
      </c>
      <c r="Y9" s="12">
        <v>5.5345975730638e-10</v>
      </c>
      <c r="Z9" s="12">
        <v>5.5345980234706e-10</v>
      </c>
      <c r="AA9" s="12">
        <v>5.534597685318e-10</v>
      </c>
      <c r="AB9" s="11">
        <v>0.99999420114477</v>
      </c>
      <c r="AC9" s="11">
        <v>0.99359703009286</v>
      </c>
      <c r="AD9" s="11">
        <v>0.00022124173853872</v>
      </c>
      <c r="AE9" s="12">
        <v>3.3849865225253e-12</v>
      </c>
      <c r="AF9" s="12">
        <v>2.9003063837015e-12</v>
      </c>
      <c r="AG9" s="12">
        <v>-1.3939629932867e-12</v>
      </c>
      <c r="AH9" s="12">
        <v>2.2158089416102e-13</v>
      </c>
      <c r="AI9" s="12">
        <v>-1.6372916001518e-11</v>
      </c>
      <c r="AJ9" s="12">
        <v>-9.7271794329958e-12</v>
      </c>
      <c r="AK9" s="12">
        <v>-9.8039782210709e-13</v>
      </c>
      <c r="AL9" s="12">
        <v>-5.4219073507657e-12</v>
      </c>
      <c r="AM9" s="12">
        <v>-3.6780733757883e-12</v>
      </c>
      <c r="AN9" s="12">
        <v>-2.8152184516698e-12</v>
      </c>
      <c r="AO9" s="12">
        <v>-5.0637081785809e-12</v>
      </c>
      <c r="AP9" s="12">
        <v>3.2762617077303e-12</v>
      </c>
      <c r="AQ9" s="12">
        <v>-3.4366490582483e-12</v>
      </c>
      <c r="AR9" s="12">
        <v>-5.5370227069569e-12</v>
      </c>
      <c r="AS9" s="12">
        <v>-9.5428279842259e-12</v>
      </c>
      <c r="AT9" s="12">
        <v>-3.1231354876368e-12</v>
      </c>
      <c r="AU9" s="12">
        <v>-4.2107455923695e-12</v>
      </c>
      <c r="AV9" s="12">
        <v>-4.9494242456856e-12</v>
      </c>
      <c r="AW9" s="12">
        <v>-4.4800686933477e-13</v>
      </c>
      <c r="AX9" s="12">
        <v>-8.3462414596581e-13</v>
      </c>
      <c r="AY9" s="12">
        <v>2.9439089989292e-13</v>
      </c>
      <c r="AZ9" s="12">
        <v>-1.3888470317175e-13</v>
      </c>
      <c r="BA9" s="12">
        <v>4.6106046132891e-13</v>
      </c>
      <c r="BB9" s="12">
        <v>-1.1884283799012e-13</v>
      </c>
      <c r="BC9" s="11">
        <v>15999905.190787</v>
      </c>
      <c r="BD9" s="11">
        <v>3999890.8273819</v>
      </c>
      <c r="BE9" s="12">
        <v>-6.6290167968954e-5</v>
      </c>
      <c r="BF9" s="12">
        <v>-5.9089610257507e-5</v>
      </c>
      <c r="BG9" s="11">
        <v>0.00023938921590017</v>
      </c>
      <c r="BH9" s="11">
        <v>-0.00016522682865747</v>
      </c>
      <c r="BI9" s="11">
        <v>-0.00018204936325312</v>
      </c>
      <c r="BJ9" s="11">
        <v>46.973127094542</v>
      </c>
      <c r="BK9" s="11">
        <v>51.172871239426</v>
      </c>
      <c r="BL9" s="7"/>
    </row>
    <row r="10" spans="1:64">
      <c r="A10" s="11">
        <v>445.62546906687</v>
      </c>
      <c r="B10" s="12">
        <v>4.8994943901125e-6</v>
      </c>
      <c r="C10" s="12">
        <f t="shared" si="0"/>
        <v>1.33767901701665e-8</v>
      </c>
      <c r="D10" s="12">
        <v>9.6608421831179e-10</v>
      </c>
      <c r="E10" s="12">
        <v>9.5487585701763e-10</v>
      </c>
      <c r="F10" s="12">
        <v>9.5487650685153e-10</v>
      </c>
      <c r="G10" s="12">
        <v>9.5487167918818e-10</v>
      </c>
      <c r="H10" s="12">
        <v>9.6609928485209e-10</v>
      </c>
      <c r="I10" s="12">
        <v>9.6609562697562e-10</v>
      </c>
      <c r="J10" s="12">
        <v>9.6607938384849e-10</v>
      </c>
      <c r="K10" s="12">
        <v>9.863929482604e-10</v>
      </c>
      <c r="L10" s="12">
        <v>9.8639134103711e-10</v>
      </c>
      <c r="M10" s="12">
        <v>9.8638954433282e-10</v>
      </c>
      <c r="N10" s="12">
        <v>6.6254553819717e-10</v>
      </c>
      <c r="O10" s="12">
        <v>9.6609428307059e-10</v>
      </c>
      <c r="P10" s="12">
        <v>6.625450649594e-10</v>
      </c>
      <c r="Q10" s="12">
        <v>6.6255060231977e-10</v>
      </c>
      <c r="R10" s="12">
        <v>9.5488361835276e-10</v>
      </c>
      <c r="S10" s="12">
        <v>9.5487187938508e-10</v>
      </c>
      <c r="T10" s="12">
        <v>9.5487503177041e-10</v>
      </c>
      <c r="U10" s="12">
        <v>9.660847546801e-10</v>
      </c>
      <c r="V10" s="12">
        <v>9.8638860675743e-10</v>
      </c>
      <c r="W10" s="12">
        <v>9.8639140567753e-10</v>
      </c>
      <c r="X10" s="12">
        <v>9.8639025136082e-10</v>
      </c>
      <c r="Y10" s="12">
        <v>6.6254398763158e-10</v>
      </c>
      <c r="Z10" s="12">
        <v>6.6254849574236e-10</v>
      </c>
      <c r="AA10" s="12">
        <v>6.6254492330976e-10</v>
      </c>
      <c r="AB10" s="11">
        <v>0.99950334454729</v>
      </c>
      <c r="AC10" s="11">
        <v>0.98113958317181</v>
      </c>
      <c r="AD10" s="11">
        <v>0.00023924534731788</v>
      </c>
      <c r="AE10" s="12">
        <v>1.1797224030873e-11</v>
      </c>
      <c r="AF10" s="12">
        <v>1.0601406410731e-11</v>
      </c>
      <c r="AG10" s="12">
        <v>-4.8700601324199e-12</v>
      </c>
      <c r="AH10" s="12">
        <v>5.3924165098671e-13</v>
      </c>
      <c r="AI10" s="12">
        <v>-6.242006041046e-11</v>
      </c>
      <c r="AJ10" s="12">
        <v>-3.6619841336896e-11</v>
      </c>
      <c r="AK10" s="12">
        <v>-3.5632360928426e-12</v>
      </c>
      <c r="AL10" s="12">
        <v>-1.9916337967988e-11</v>
      </c>
      <c r="AM10" s="12">
        <v>-1.3987171001805e-11</v>
      </c>
      <c r="AN10" s="12">
        <v>-9.7694876238711e-12</v>
      </c>
      <c r="AO10" s="12">
        <v>-1.8349471377573e-11</v>
      </c>
      <c r="AP10" s="12">
        <v>1.1868066520768e-11</v>
      </c>
      <c r="AQ10" s="12">
        <v>-1.2083124230863e-11</v>
      </c>
      <c r="AR10" s="12">
        <v>-2.0397949215138e-11</v>
      </c>
      <c r="AS10" s="12">
        <v>-3.5687970689851e-11</v>
      </c>
      <c r="AT10" s="12">
        <v>-1.0657084279686e-11</v>
      </c>
      <c r="AU10" s="12">
        <v>-1.5266947467702e-11</v>
      </c>
      <c r="AV10" s="12">
        <v>-1.7757862314714e-11</v>
      </c>
      <c r="AW10" s="12">
        <v>-2.0117064927696e-12</v>
      </c>
      <c r="AX10" s="12">
        <v>-2.5500972829443e-12</v>
      </c>
      <c r="AY10" s="12">
        <v>9.8217945243959e-13</v>
      </c>
      <c r="AZ10" s="12">
        <v>-5.3023541187893e-13</v>
      </c>
      <c r="BA10" s="12">
        <v>1.9063067335014e-12</v>
      </c>
      <c r="BB10" s="12">
        <v>-3.5955891696532e-13</v>
      </c>
      <c r="BC10" s="11">
        <v>15999496.369113</v>
      </c>
      <c r="BD10" s="11">
        <v>3999396.814752</v>
      </c>
      <c r="BE10" s="12">
        <v>-7.0026122071004e-5</v>
      </c>
      <c r="BF10" s="12">
        <v>-6.2233964195732e-5</v>
      </c>
      <c r="BG10" s="11">
        <v>0.00025998970289539</v>
      </c>
      <c r="BH10" s="11">
        <v>-0.0001949773843151</v>
      </c>
      <c r="BI10" s="11">
        <v>-0.00021454408626786</v>
      </c>
      <c r="BJ10" s="11">
        <v>50.000086674914</v>
      </c>
      <c r="BK10" s="11">
        <v>54.418021390387</v>
      </c>
      <c r="BL10" s="7"/>
    </row>
    <row r="11" spans="1:64">
      <c r="A11" s="11">
        <v>1409.1914656322</v>
      </c>
      <c r="B11" s="12">
        <v>1.7802204593346e-5</v>
      </c>
      <c r="C11" s="12">
        <f t="shared" si="0"/>
        <v>1.33905827408042e-8</v>
      </c>
      <c r="D11" s="12">
        <v>9.6350680533674e-10</v>
      </c>
      <c r="E11" s="12">
        <v>9.5224530001247e-10</v>
      </c>
      <c r="F11" s="12">
        <v>9.5224840246218e-10</v>
      </c>
      <c r="G11" s="12">
        <v>9.5222727372866e-10</v>
      </c>
      <c r="H11" s="12">
        <v>9.6357203230998e-10</v>
      </c>
      <c r="I11" s="12">
        <v>9.6355563627324e-10</v>
      </c>
      <c r="J11" s="12">
        <v>9.6348618154868e-10</v>
      </c>
      <c r="K11" s="12">
        <v>9.8377199647996e-10</v>
      </c>
      <c r="L11" s="12">
        <v>9.8376482050196e-10</v>
      </c>
      <c r="M11" s="12">
        <v>9.8375717185746e-10</v>
      </c>
      <c r="N11" s="12">
        <v>6.6040779652647e-10</v>
      </c>
      <c r="O11" s="12">
        <v>9.635501739343e-10</v>
      </c>
      <c r="P11" s="12">
        <v>6.6040611318752e-10</v>
      </c>
      <c r="Q11" s="12">
        <v>6.6043021323591e-10</v>
      </c>
      <c r="R11" s="12">
        <v>9.5227936081499e-10</v>
      </c>
      <c r="S11" s="12">
        <v>9.522280739725e-10</v>
      </c>
      <c r="T11" s="12">
        <v>9.5224210195484e-10</v>
      </c>
      <c r="U11" s="12">
        <v>9.6350931750106e-10</v>
      </c>
      <c r="V11" s="12">
        <v>9.8375300794958e-10</v>
      </c>
      <c r="W11" s="12">
        <v>9.8376529808076e-10</v>
      </c>
      <c r="X11" s="12">
        <v>9.8376029733978e-10</v>
      </c>
      <c r="Y11" s="12">
        <v>6.6040125086363e-10</v>
      </c>
      <c r="Z11" s="12">
        <v>6.6042073298341e-10</v>
      </c>
      <c r="AA11" s="12">
        <v>6.6040557119299e-10</v>
      </c>
      <c r="AB11" s="11">
        <v>0.99981999756898</v>
      </c>
      <c r="AC11" s="11">
        <v>0.98101741371315</v>
      </c>
      <c r="AD11" s="11">
        <v>0.00025148305292034</v>
      </c>
      <c r="AE11" s="12">
        <v>1.1750300755786e-11</v>
      </c>
      <c r="AF11" s="12">
        <v>1.0594548150315e-11</v>
      </c>
      <c r="AG11" s="12">
        <v>-4.658038304039e-12</v>
      </c>
      <c r="AH11" s="12">
        <v>3.7772814167886e-13</v>
      </c>
      <c r="AI11" s="12">
        <v>-6.184171829565e-11</v>
      </c>
      <c r="AJ11" s="12">
        <v>-3.5874501340925e-11</v>
      </c>
      <c r="AK11" s="12">
        <v>-3.4460241340248e-12</v>
      </c>
      <c r="AL11" s="12">
        <v>-1.9446263789604e-11</v>
      </c>
      <c r="AM11" s="12">
        <v>-1.3688749858601e-11</v>
      </c>
      <c r="AN11" s="12">
        <v>-9.6234974166606e-12</v>
      </c>
      <c r="AO11" s="12">
        <v>-1.7676196909607e-11</v>
      </c>
      <c r="AP11" s="12">
        <v>1.2052072698878e-11</v>
      </c>
      <c r="AQ11" s="12">
        <v>-1.1787368419175e-11</v>
      </c>
      <c r="AR11" s="12">
        <v>-2.0468142182484e-11</v>
      </c>
      <c r="AS11" s="12">
        <v>-3.5510719144972e-11</v>
      </c>
      <c r="AT11" s="12">
        <v>-1.032806246705e-11</v>
      </c>
      <c r="AU11" s="12">
        <v>-1.5402191255763e-11</v>
      </c>
      <c r="AV11" s="12">
        <v>-1.7642523480674e-11</v>
      </c>
      <c r="AW11" s="12">
        <v>-2.0296689454078e-12</v>
      </c>
      <c r="AX11" s="12">
        <v>-2.6184113096212e-12</v>
      </c>
      <c r="AY11" s="12">
        <v>8.1088279226167e-13</v>
      </c>
      <c r="AZ11" s="12">
        <v>-5.0276517031141e-13</v>
      </c>
      <c r="BA11" s="12">
        <v>2.1708050327182e-12</v>
      </c>
      <c r="BB11" s="12">
        <v>-4.8962068009453e-13</v>
      </c>
      <c r="BC11" s="11">
        <v>15998201.406676</v>
      </c>
      <c r="BD11" s="11">
        <v>3997834.6098961</v>
      </c>
      <c r="BE11" s="12">
        <v>-6.8303724855044e-5</v>
      </c>
      <c r="BF11" s="12">
        <v>-6.0103745157882e-5</v>
      </c>
      <c r="BG11" s="11">
        <v>0.00027673592920798</v>
      </c>
      <c r="BH11" s="11">
        <v>-0.00019587314671913</v>
      </c>
      <c r="BI11" s="11">
        <v>-0.0002171587031794</v>
      </c>
      <c r="BJ11" s="11">
        <v>50.000125759867</v>
      </c>
      <c r="BK11" s="11">
        <v>54.256285858049</v>
      </c>
      <c r="BL11" s="7"/>
    </row>
    <row r="12" spans="1:64">
      <c r="A12" s="11">
        <v>4456.2546906687</v>
      </c>
      <c r="B12" s="12">
        <v>5.8278421275739e-5</v>
      </c>
      <c r="C12" s="12">
        <f t="shared" si="0"/>
        <v>1.32836812672005e-8</v>
      </c>
      <c r="D12" s="12">
        <v>9.5618464445499e-10</v>
      </c>
      <c r="E12" s="12">
        <v>9.4445461006225e-10</v>
      </c>
      <c r="F12" s="12">
        <v>9.4446849658763e-10</v>
      </c>
      <c r="G12" s="12">
        <v>9.4439370998129e-10</v>
      </c>
      <c r="H12" s="12">
        <v>9.5640666275234e-10</v>
      </c>
      <c r="I12" s="12">
        <v>9.5634522897578e-10</v>
      </c>
      <c r="J12" s="12">
        <v>9.5611674465078e-10</v>
      </c>
      <c r="K12" s="12">
        <v>9.7592510442678e-10</v>
      </c>
      <c r="L12" s="12">
        <v>9.7589805387884e-10</v>
      </c>
      <c r="M12" s="12">
        <v>9.7587372006075e-10</v>
      </c>
      <c r="N12" s="12">
        <v>6.5453844489543e-10</v>
      </c>
      <c r="O12" s="12">
        <v>9.5633156455794e-10</v>
      </c>
      <c r="P12" s="12">
        <v>6.5453626910341e-10</v>
      </c>
      <c r="Q12" s="12">
        <v>6.5462020309565e-10</v>
      </c>
      <c r="R12" s="12">
        <v>9.445743427134e-10</v>
      </c>
      <c r="S12" s="12">
        <v>9.443953724966e-10</v>
      </c>
      <c r="T12" s="12">
        <v>9.4444759184245e-10</v>
      </c>
      <c r="U12" s="12">
        <v>9.561951733456e-10</v>
      </c>
      <c r="V12" s="12">
        <v>9.7585837983864e-10</v>
      </c>
      <c r="W12" s="12">
        <v>9.7590233121786e-10</v>
      </c>
      <c r="X12" s="12">
        <v>9.7588528866077e-10</v>
      </c>
      <c r="Y12" s="12">
        <v>6.5451799380936e-10</v>
      </c>
      <c r="Z12" s="12">
        <v>6.5458464339727e-10</v>
      </c>
      <c r="AA12" s="12">
        <v>6.5453556664536e-10</v>
      </c>
      <c r="AB12" s="11">
        <v>0.99994092177951</v>
      </c>
      <c r="AC12" s="11">
        <v>0.98058646032287</v>
      </c>
      <c r="AD12" s="11">
        <v>0.00029048008127661</v>
      </c>
      <c r="AE12" s="12">
        <v>1.1684676022073e-11</v>
      </c>
      <c r="AF12" s="12">
        <v>1.058524532108e-11</v>
      </c>
      <c r="AG12" s="12">
        <v>-4.0399682741271e-12</v>
      </c>
      <c r="AH12" s="12">
        <v>-8.4150583837422e-15</v>
      </c>
      <c r="AI12" s="12">
        <v>-6.0383132001428e-11</v>
      </c>
      <c r="AJ12" s="12">
        <v>-3.4055710736546e-11</v>
      </c>
      <c r="AK12" s="12">
        <v>-3.169219806945e-12</v>
      </c>
      <c r="AL12" s="12">
        <v>-1.8354554337554e-11</v>
      </c>
      <c r="AM12" s="12">
        <v>-1.2864553433257e-11</v>
      </c>
      <c r="AN12" s="12">
        <v>-9.3176350863939e-12</v>
      </c>
      <c r="AO12" s="12">
        <v>-1.5827591260104e-11</v>
      </c>
      <c r="AP12" s="12">
        <v>1.2578549837228e-11</v>
      </c>
      <c r="AQ12" s="12">
        <v>-1.10455521251e-11</v>
      </c>
      <c r="AR12" s="12">
        <v>-2.084015534137e-11</v>
      </c>
      <c r="AS12" s="12">
        <v>-3.5218349475714e-11</v>
      </c>
      <c r="AT12" s="12">
        <v>-9.530838638277e-12</v>
      </c>
      <c r="AU12" s="12">
        <v>-1.5916442580804e-11</v>
      </c>
      <c r="AV12" s="12">
        <v>-1.7319480138806e-11</v>
      </c>
      <c r="AW12" s="12">
        <v>-2.0601392760337e-12</v>
      </c>
      <c r="AX12" s="12">
        <v>-2.9646689415262e-12</v>
      </c>
      <c r="AY12" s="12">
        <v>3.4113861923775e-13</v>
      </c>
      <c r="AZ12" s="12">
        <v>-4.4892457187116e-13</v>
      </c>
      <c r="BA12" s="12">
        <v>3.0352255198274e-12</v>
      </c>
      <c r="BB12" s="12">
        <v>-8.5213530015963e-13</v>
      </c>
      <c r="BC12" s="11">
        <v>15994120.979871</v>
      </c>
      <c r="BD12" s="11">
        <v>3992923.3261295</v>
      </c>
      <c r="BE12" s="12">
        <v>-6.2698314590503e-5</v>
      </c>
      <c r="BF12" s="12">
        <v>-5.3253197139759e-5</v>
      </c>
      <c r="BG12" s="11">
        <v>0.00032904049173675</v>
      </c>
      <c r="BH12" s="11">
        <v>-0.0002971486178638</v>
      </c>
      <c r="BI12" s="11">
        <v>-0.00032745195885364</v>
      </c>
      <c r="BJ12" s="11">
        <v>50.000109761399</v>
      </c>
      <c r="BK12" s="11">
        <v>53.777732436573</v>
      </c>
      <c r="BL12" s="7"/>
    </row>
    <row r="13" spans="1:64">
      <c r="A13" s="11">
        <v>14091.914656322</v>
      </c>
      <c r="B13" s="11">
        <v>0.00018341222105997</v>
      </c>
      <c r="C13" s="12">
        <f t="shared" si="0"/>
        <v>1.29865313045786e-8</v>
      </c>
      <c r="D13" s="12">
        <v>9.3689843473466e-10</v>
      </c>
      <c r="E13" s="12">
        <v>9.2337901719972e-10</v>
      </c>
      <c r="F13" s="12">
        <v>9.234544260758e-10</v>
      </c>
      <c r="G13" s="12">
        <v>9.2318787805242e-10</v>
      </c>
      <c r="H13" s="12">
        <v>9.3764536583862e-10</v>
      </c>
      <c r="I13" s="12">
        <v>9.3738055697266e-10</v>
      </c>
      <c r="J13" s="12">
        <v>9.3669462896831e-10</v>
      </c>
      <c r="K13" s="12">
        <v>9.5421815902857e-10</v>
      </c>
      <c r="L13" s="12">
        <v>9.5411228478506e-10</v>
      </c>
      <c r="M13" s="12">
        <v>9.5404468869627e-10</v>
      </c>
      <c r="N13" s="12">
        <v>6.3968565196169e-10</v>
      </c>
      <c r="O13" s="12">
        <v>9.3737989734092e-10</v>
      </c>
      <c r="P13" s="12">
        <v>6.3970206528434e-10</v>
      </c>
      <c r="Q13" s="12">
        <v>6.4000053731399e-10</v>
      </c>
      <c r="R13" s="12">
        <v>9.2379316939486e-10</v>
      </c>
      <c r="S13" s="12">
        <v>9.2318139883578e-10</v>
      </c>
      <c r="T13" s="12">
        <v>9.2339275656272e-10</v>
      </c>
      <c r="U13" s="12">
        <v>9.3696000597964e-10</v>
      </c>
      <c r="V13" s="12">
        <v>9.5398603749699e-10</v>
      </c>
      <c r="W13" s="12">
        <v>9.5414878793156e-10</v>
      </c>
      <c r="X13" s="12">
        <v>9.540882786178e-10</v>
      </c>
      <c r="Y13" s="12">
        <v>6.3963156126019e-10</v>
      </c>
      <c r="Z13" s="12">
        <v>6.3986047313718e-10</v>
      </c>
      <c r="AA13" s="12">
        <v>6.3971138358151e-10</v>
      </c>
      <c r="AB13" s="11">
        <v>0.99998070789365</v>
      </c>
      <c r="AC13" s="11">
        <v>0.97900570913721</v>
      </c>
      <c r="AD13" s="11">
        <v>0.00041390367367273</v>
      </c>
      <c r="AE13" s="12">
        <v>1.1956988515369e-11</v>
      </c>
      <c r="AF13" s="12">
        <v>1.0451245047894e-11</v>
      </c>
      <c r="AG13" s="12">
        <v>-2.4984682442755e-12</v>
      </c>
      <c r="AH13" s="12">
        <v>-4.3814655722571e-13</v>
      </c>
      <c r="AI13" s="12">
        <v>-5.7509072930392e-11</v>
      </c>
      <c r="AJ13" s="12">
        <v>-3.1264501095725e-11</v>
      </c>
      <c r="AK13" s="12">
        <v>-2.8424365767723e-12</v>
      </c>
      <c r="AL13" s="12">
        <v>-1.7108078922583e-11</v>
      </c>
      <c r="AM13" s="12">
        <v>-1.0987733675785e-11</v>
      </c>
      <c r="AN13" s="12">
        <v>-9.2495219983713e-12</v>
      </c>
      <c r="AO13" s="12">
        <v>-1.1772942793399e-11</v>
      </c>
      <c r="AP13" s="12">
        <v>1.3944908923234e-11</v>
      </c>
      <c r="AQ13" s="12">
        <v>-9.8105846394946e-12</v>
      </c>
      <c r="AR13" s="12">
        <v>-2.2589180488686e-11</v>
      </c>
      <c r="AS13" s="12">
        <v>-3.5438957543293e-11</v>
      </c>
      <c r="AT13" s="12">
        <v>-8.4220502208657e-12</v>
      </c>
      <c r="AU13" s="12">
        <v>-1.7782120389529e-11</v>
      </c>
      <c r="AV13" s="12">
        <v>-1.6282123521031e-11</v>
      </c>
      <c r="AW13" s="12">
        <v>-2.0364584868913e-12</v>
      </c>
      <c r="AX13" s="12">
        <v>-4.8938126493907e-12</v>
      </c>
      <c r="AY13" s="12">
        <v>-8.3006405907004e-13</v>
      </c>
      <c r="AZ13" s="12">
        <v>-4.4522271992013e-13</v>
      </c>
      <c r="BA13" s="12">
        <v>5.746488588804e-12</v>
      </c>
      <c r="BB13" s="12">
        <v>-1.5814154412157e-12</v>
      </c>
      <c r="BC13" s="11">
        <v>15981357.491612</v>
      </c>
      <c r="BD13" s="11">
        <v>3977698.4769797</v>
      </c>
      <c r="BE13" s="12">
        <v>-4.3560804834157e-5</v>
      </c>
      <c r="BF13" s="12">
        <v>-3.0741448386993e-5</v>
      </c>
      <c r="BG13" s="11">
        <v>0.00048889332351059</v>
      </c>
      <c r="BH13" s="11">
        <v>-0.0026327670783056</v>
      </c>
      <c r="BI13" s="11">
        <v>-0.0028321099083044</v>
      </c>
      <c r="BJ13" s="11">
        <v>49.99702315519</v>
      </c>
      <c r="BK13" s="11">
        <v>52.546021285185</v>
      </c>
      <c r="BL13" s="7"/>
    </row>
    <row r="14" spans="1:64">
      <c r="A14" s="11">
        <v>44562.546906687</v>
      </c>
      <c r="B14" s="11">
        <v>0.00055721386906151</v>
      </c>
      <c r="C14" s="12">
        <f t="shared" si="0"/>
        <v>1.2267603931883e-8</v>
      </c>
      <c r="D14" s="12">
        <v>8.8496755210674e-10</v>
      </c>
      <c r="E14" s="12">
        <v>8.6856841214707e-10</v>
      </c>
      <c r="F14" s="12">
        <v>8.690265486414e-10</v>
      </c>
      <c r="G14" s="12">
        <v>8.6800887988393e-10</v>
      </c>
      <c r="H14" s="12">
        <v>8.8751086292122e-10</v>
      </c>
      <c r="I14" s="12">
        <v>8.8650511413871e-10</v>
      </c>
      <c r="J14" s="12">
        <v>8.8431030772827e-10</v>
      </c>
      <c r="K14" s="12">
        <v>8.9758522871923e-10</v>
      </c>
      <c r="L14" s="12">
        <v>8.9721207961201e-10</v>
      </c>
      <c r="M14" s="12">
        <v>8.9697543703452e-10</v>
      </c>
      <c r="N14" s="12">
        <v>6.0446336957977e-10</v>
      </c>
      <c r="O14" s="12">
        <v>8.8667213827808e-10</v>
      </c>
      <c r="P14" s="12">
        <v>6.0456694170506e-10</v>
      </c>
      <c r="Q14" s="12">
        <v>6.0577785897994e-10</v>
      </c>
      <c r="R14" s="12">
        <v>8.7002291624298e-10</v>
      </c>
      <c r="S14" s="12">
        <v>8.6789192918422e-10</v>
      </c>
      <c r="T14" s="12">
        <v>8.6886316837753e-10</v>
      </c>
      <c r="U14" s="12">
        <v>8.8525493658612e-10</v>
      </c>
      <c r="V14" s="12">
        <v>8.9672624932783e-10</v>
      </c>
      <c r="W14" s="12">
        <v>8.975041487163e-10</v>
      </c>
      <c r="X14" s="12">
        <v>8.9716365740301e-10</v>
      </c>
      <c r="Y14" s="12">
        <v>6.0429145676807e-10</v>
      </c>
      <c r="Z14" s="12">
        <v>6.0522922992908e-10</v>
      </c>
      <c r="AA14" s="12">
        <v>6.0469637457428e-10</v>
      </c>
      <c r="AB14" s="11">
        <v>0.99999174371104</v>
      </c>
      <c r="AC14" s="11">
        <v>0.97148722159744</v>
      </c>
      <c r="AD14" s="11">
        <v>0.00078856280896742</v>
      </c>
      <c r="AE14" s="12">
        <v>1.3966807007727e-11</v>
      </c>
      <c r="AF14" s="12">
        <v>8.8103788613344e-12</v>
      </c>
      <c r="AG14" s="12">
        <v>3.9400279095438e-13</v>
      </c>
      <c r="AH14" s="12">
        <v>1.9553250341024e-12</v>
      </c>
      <c r="AI14" s="12">
        <v>-5.4076451661298e-11</v>
      </c>
      <c r="AJ14" s="12">
        <v>-2.854719436432e-11</v>
      </c>
      <c r="AK14" s="12">
        <v>-2.3070412467044e-12</v>
      </c>
      <c r="AL14" s="12">
        <v>-1.8501361600059e-11</v>
      </c>
      <c r="AM14" s="12">
        <v>-5.4851376673335e-12</v>
      </c>
      <c r="AN14" s="12">
        <v>-1.2262534875904e-11</v>
      </c>
      <c r="AO14" s="12">
        <v>-4.8039843126679e-12</v>
      </c>
      <c r="AP14" s="12">
        <v>2.0005500705962e-11</v>
      </c>
      <c r="AQ14" s="12">
        <v>-1.0521857599452e-11</v>
      </c>
      <c r="AR14" s="12">
        <v>-2.578956067675e-11</v>
      </c>
      <c r="AS14" s="12">
        <v>-3.5362780114113e-11</v>
      </c>
      <c r="AT14" s="12">
        <v>-9.0259663661827e-12</v>
      </c>
      <c r="AU14" s="12">
        <v>-2.1695468751801e-11</v>
      </c>
      <c r="AV14" s="12">
        <v>-1.3378981166974e-11</v>
      </c>
      <c r="AW14" s="12">
        <v>-1.1612964488083e-12</v>
      </c>
      <c r="AX14" s="12">
        <v>-1.5393922327378e-11</v>
      </c>
      <c r="AY14" s="12">
        <v>-5.4819295084205e-12</v>
      </c>
      <c r="AZ14" s="12">
        <v>-1.4667509870395e-12</v>
      </c>
      <c r="BA14" s="12">
        <v>1.1683467873586e-11</v>
      </c>
      <c r="BB14" s="12">
        <v>5.241860443e-13</v>
      </c>
      <c r="BC14" s="11">
        <v>15942301.803815</v>
      </c>
      <c r="BD14" s="11">
        <v>3932882.5586668</v>
      </c>
      <c r="BE14" s="12">
        <v>2.6008032105592e-5</v>
      </c>
      <c r="BF14" s="12">
        <v>4.3231487260105e-5</v>
      </c>
      <c r="BG14" s="11">
        <v>0.00095573125196237</v>
      </c>
      <c r="BH14" s="11">
        <v>-0.012935823577584</v>
      </c>
      <c r="BI14" s="11">
        <v>-0.013011662028923</v>
      </c>
      <c r="BJ14" s="11">
        <v>49.989737173216</v>
      </c>
      <c r="BK14" s="11">
        <v>50.551523819598</v>
      </c>
      <c r="BL14" s="7"/>
    </row>
    <row r="15" spans="1:64">
      <c r="A15" s="11">
        <v>140919.14656322</v>
      </c>
      <c r="B15" s="11">
        <v>0.0016169387712128</v>
      </c>
      <c r="C15" s="12">
        <f t="shared" si="0"/>
        <v>1.09979483079387e-8</v>
      </c>
      <c r="D15" s="12">
        <v>7.8982052062371e-10</v>
      </c>
      <c r="E15" s="12">
        <v>7.9342384903997e-10</v>
      </c>
      <c r="F15" s="12">
        <v>7.969466594162e-10</v>
      </c>
      <c r="G15" s="12">
        <v>7.9289129393597e-10</v>
      </c>
      <c r="H15" s="12">
        <v>7.9604934608048e-10</v>
      </c>
      <c r="I15" s="12">
        <v>7.9697607756952e-10</v>
      </c>
      <c r="J15" s="12">
        <v>7.8679371445067e-10</v>
      </c>
      <c r="K15" s="12">
        <v>8.2960970233638e-10</v>
      </c>
      <c r="L15" s="12">
        <v>8.2984703174213e-10</v>
      </c>
      <c r="M15" s="12">
        <v>8.2748111061181e-10</v>
      </c>
      <c r="N15" s="12">
        <v>5.7045338788904e-10</v>
      </c>
      <c r="O15" s="12">
        <v>7.9665598982321e-10</v>
      </c>
      <c r="P15" s="12">
        <v>5.6961659327628e-10</v>
      </c>
      <c r="Q15" s="12">
        <v>5.7502901984948e-10</v>
      </c>
      <c r="R15" s="12">
        <v>7.9809014741379e-10</v>
      </c>
      <c r="S15" s="12">
        <v>7.9149108819782e-10</v>
      </c>
      <c r="T15" s="12">
        <v>7.9612808629646e-10</v>
      </c>
      <c r="U15" s="12">
        <v>7.8850810695797e-10</v>
      </c>
      <c r="V15" s="12">
        <v>8.2583756454722e-10</v>
      </c>
      <c r="W15" s="12">
        <v>8.3210112137367e-10</v>
      </c>
      <c r="X15" s="12">
        <v>8.2987523276293e-10</v>
      </c>
      <c r="Y15" s="12">
        <v>5.6923756028135e-10</v>
      </c>
      <c r="Z15" s="12">
        <v>5.7356159048749e-10</v>
      </c>
      <c r="AA15" s="12">
        <v>5.7145016402056e-10</v>
      </c>
      <c r="AB15" s="11">
        <v>0.99998900732416</v>
      </c>
      <c r="AC15" s="11">
        <v>0.90593954077447</v>
      </c>
      <c r="AD15" s="11">
        <v>0.0018533254635428</v>
      </c>
      <c r="AE15" s="12">
        <v>6.6967517013769e-12</v>
      </c>
      <c r="AF15" s="12">
        <v>9.4592843791491e-12</v>
      </c>
      <c r="AG15" s="12">
        <v>1.5726039889792e-11</v>
      </c>
      <c r="AH15" s="12">
        <v>4.3853545769831e-11</v>
      </c>
      <c r="AI15" s="12">
        <v>-4.724414091983e-11</v>
      </c>
      <c r="AJ15" s="12">
        <v>2.322381989866e-11</v>
      </c>
      <c r="AK15" s="12">
        <v>2.8116040628122e-11</v>
      </c>
      <c r="AL15" s="12">
        <v>-1.1195638410439e-11</v>
      </c>
      <c r="AM15" s="12">
        <v>5.6948217704959e-11</v>
      </c>
      <c r="AN15" s="12">
        <v>-2.9684161238851e-11</v>
      </c>
      <c r="AO15" s="12">
        <v>4.9569936071484e-11</v>
      </c>
      <c r="AP15" s="12">
        <v>7.1284526975375e-11</v>
      </c>
      <c r="AQ15" s="12">
        <v>-1.5700542750363e-11</v>
      </c>
      <c r="AR15" s="12">
        <v>-4.7910427294871e-12</v>
      </c>
      <c r="AS15" s="12">
        <v>3.3831553211393e-12</v>
      </c>
      <c r="AT15" s="12">
        <v>-8.9534872466703e-12</v>
      </c>
      <c r="AU15" s="12">
        <v>-5.1528179371524e-12</v>
      </c>
      <c r="AV15" s="12">
        <v>-1.3967180198114e-11</v>
      </c>
      <c r="AW15" s="12">
        <v>1.4045698058368e-11</v>
      </c>
      <c r="AX15" s="12">
        <v>-6.5144334437467e-11</v>
      </c>
      <c r="AY15" s="12">
        <v>-3.7986748003974e-11</v>
      </c>
      <c r="AZ15" s="12">
        <v>-2.1564238846069e-11</v>
      </c>
      <c r="BA15" s="12">
        <v>3.9901800813744e-11</v>
      </c>
      <c r="BB15" s="12">
        <v>4.2768393215313e-11</v>
      </c>
      <c r="BC15" s="11">
        <v>15826917.511178</v>
      </c>
      <c r="BD15" s="11">
        <v>3833063.9091818</v>
      </c>
      <c r="BE15" s="11">
        <v>0.00027922825540295</v>
      </c>
      <c r="BF15" s="11">
        <v>0.0002828232885657</v>
      </c>
      <c r="BG15" s="11">
        <v>0.0022287251572372</v>
      </c>
      <c r="BH15" s="11">
        <v>0.003756601582409</v>
      </c>
      <c r="BI15" s="11">
        <v>0.0032044900126926</v>
      </c>
      <c r="BJ15" s="11">
        <v>49.992626043485</v>
      </c>
      <c r="BK15" s="11">
        <v>50.992310680837</v>
      </c>
      <c r="BL15" s="7"/>
    </row>
    <row r="16" spans="1:64">
      <c r="A16" s="11">
        <v>56100.922715098</v>
      </c>
      <c r="B16" s="11">
        <v>0.00069127453672707</v>
      </c>
      <c r="C16" s="12">
        <f t="shared" si="0"/>
        <v>1.09135064669976e-8</v>
      </c>
      <c r="D16" s="12">
        <v>8.5722789778857e-10</v>
      </c>
      <c r="E16" s="12">
        <v>8.4244748510351e-10</v>
      </c>
      <c r="F16" s="12">
        <v>8.4320861046162e-10</v>
      </c>
      <c r="G16" s="12">
        <v>8.4174253621242e-10</v>
      </c>
      <c r="H16" s="12">
        <v>8.6072174800566e-10</v>
      </c>
      <c r="I16" s="12">
        <v>8.5946139854715e-10</v>
      </c>
      <c r="J16" s="12">
        <v>8.5627007958182e-10</v>
      </c>
      <c r="K16" s="12">
        <v>8.7179153671579e-10</v>
      </c>
      <c r="L16" s="12">
        <v>8.7133223398093e-10</v>
      </c>
      <c r="M16" s="12">
        <v>8.7094044323437e-10</v>
      </c>
      <c r="N16" s="12">
        <v>5.8760791056816e-10</v>
      </c>
      <c r="O16" s="12">
        <v>8.5974115640381e-10</v>
      </c>
      <c r="P16" s="12">
        <v>5.8775724190713e-10</v>
      </c>
      <c r="Q16" s="12">
        <v>5.8953252360748e-10</v>
      </c>
      <c r="R16" s="12">
        <v>8.4444915522972e-10</v>
      </c>
      <c r="S16" s="12">
        <v>8.4152313996185e-10</v>
      </c>
      <c r="T16" s="12">
        <v>8.4299731350438e-10</v>
      </c>
      <c r="U16" s="12">
        <v>8.5757639259053e-10</v>
      </c>
      <c r="V16" s="12">
        <v>8.705416089035e-10</v>
      </c>
      <c r="W16" s="12">
        <v>8.7187550519221e-10</v>
      </c>
      <c r="X16" s="12">
        <v>8.7126723960588e-10</v>
      </c>
      <c r="Y16" s="12">
        <v>5.8735484553895e-10</v>
      </c>
      <c r="Z16" s="12">
        <v>5.8876325713903e-10</v>
      </c>
      <c r="AA16" s="12">
        <v>5.8801163600943e-10</v>
      </c>
      <c r="AB16" s="11">
        <v>0.99996005849583</v>
      </c>
      <c r="AC16" s="11">
        <v>0.96416725902919</v>
      </c>
      <c r="AD16" s="11">
        <v>0.00092324037079123</v>
      </c>
      <c r="AE16" s="12">
        <v>1.4992893800658e-11</v>
      </c>
      <c r="AF16" s="12">
        <v>8.0202558614244e-12</v>
      </c>
      <c r="AG16" s="12">
        <v>1.8581762048092e-12</v>
      </c>
      <c r="AH16" s="12">
        <v>5.6381166117953e-12</v>
      </c>
      <c r="AI16" s="12">
        <v>-5.3987108788382e-11</v>
      </c>
      <c r="AJ16" s="12">
        <v>-2.4367134766867e-11</v>
      </c>
      <c r="AK16" s="12">
        <v>-6.7580639486333e-14</v>
      </c>
      <c r="AL16" s="12">
        <v>-1.9276106782539e-11</v>
      </c>
      <c r="AM16" s="12">
        <v>1.1069513274198e-13</v>
      </c>
      <c r="AN16" s="12">
        <v>-1.4843411917545e-11</v>
      </c>
      <c r="AO16" s="12">
        <v>-5.4331976654521e-13</v>
      </c>
      <c r="AP16" s="12">
        <v>2.6897883852989e-11</v>
      </c>
      <c r="AQ16" s="12">
        <v>-1.1780852088243e-11</v>
      </c>
      <c r="AR16" s="12">
        <v>-2.530325630632e-11</v>
      </c>
      <c r="AS16" s="12">
        <v>-3.2923295624879e-11</v>
      </c>
      <c r="AT16" s="12">
        <v>-9.6952787402538e-12</v>
      </c>
      <c r="AU16" s="12">
        <v>-2.1938712914622e-11</v>
      </c>
      <c r="AV16" s="12">
        <v>-1.3086156491139e-11</v>
      </c>
      <c r="AW16" s="12">
        <v>-4.9115343436489e-14</v>
      </c>
      <c r="AX16" s="12">
        <v>-2.3172868797606e-11</v>
      </c>
      <c r="AY16" s="12">
        <v>-9.5095946841144e-12</v>
      </c>
      <c r="AZ16" s="12">
        <v>-3.0123382006854e-12</v>
      </c>
      <c r="BA16" s="12">
        <v>1.4482037350869e-11</v>
      </c>
      <c r="BB16" s="12">
        <v>4.3427611793633e-12</v>
      </c>
      <c r="BC16" s="11">
        <v>15928050.962336</v>
      </c>
      <c r="BD16" s="11">
        <v>3917556.7559554</v>
      </c>
      <c r="BE16" s="12">
        <v>5.432150976677e-5</v>
      </c>
      <c r="BF16" s="12">
        <v>7.1066513882872e-5</v>
      </c>
      <c r="BG16" s="11">
        <v>0.0011203818995921</v>
      </c>
      <c r="BH16" s="11">
        <v>-0.0011067927240124</v>
      </c>
      <c r="BI16" s="11">
        <v>-0.0011613179051257</v>
      </c>
      <c r="BJ16" s="11">
        <v>49.999854365971</v>
      </c>
      <c r="BK16" s="11">
        <v>50.254171490527</v>
      </c>
      <c r="BL16" s="7"/>
    </row>
    <row r="17" spans="1:64">
      <c r="A17" s="11">
        <v>70626.877231137</v>
      </c>
      <c r="B17" s="11">
        <v>0.00085594340225935</v>
      </c>
      <c r="C17" s="12">
        <f t="shared" si="0"/>
        <v>1.13361820973939e-8</v>
      </c>
      <c r="D17" s="12">
        <v>8.3614589870822e-10</v>
      </c>
      <c r="E17" s="12">
        <v>8.2433283104974e-10</v>
      </c>
      <c r="F17" s="12">
        <v>8.2545073916969e-10</v>
      </c>
      <c r="G17" s="12">
        <v>8.2355172430007e-10</v>
      </c>
      <c r="H17" s="12">
        <v>8.4045966930697e-10</v>
      </c>
      <c r="I17" s="12">
        <v>8.3912908603807e-10</v>
      </c>
      <c r="J17" s="12">
        <v>8.3486650530694e-10</v>
      </c>
      <c r="K17" s="12">
        <v>8.5388673796357e-10</v>
      </c>
      <c r="L17" s="12">
        <v>8.5341160087527e-10</v>
      </c>
      <c r="M17" s="12">
        <v>8.5281400238099e-10</v>
      </c>
      <c r="N17" s="12">
        <v>5.767002120311e-10</v>
      </c>
      <c r="O17" s="12">
        <v>8.3950370894206e-10</v>
      </c>
      <c r="P17" s="12">
        <v>5.7685570315517e-10</v>
      </c>
      <c r="Q17" s="12">
        <v>5.7919916450169e-10</v>
      </c>
      <c r="R17" s="12">
        <v>8.2681043498429e-10</v>
      </c>
      <c r="S17" s="12">
        <v>8.2320428799913e-10</v>
      </c>
      <c r="T17" s="12">
        <v>8.2518380801617e-10</v>
      </c>
      <c r="U17" s="12">
        <v>8.3645562900362e-10</v>
      </c>
      <c r="V17" s="12">
        <v>8.5223296387793e-10</v>
      </c>
      <c r="W17" s="12">
        <v>8.5425683149864e-10</v>
      </c>
      <c r="X17" s="12">
        <v>8.5334664243155e-10</v>
      </c>
      <c r="Y17" s="12">
        <v>5.7635002157448e-10</v>
      </c>
      <c r="Z17" s="12">
        <v>5.7824632240206e-10</v>
      </c>
      <c r="AA17" s="12">
        <v>5.7728176205004e-10</v>
      </c>
      <c r="AB17" s="11">
        <v>0.99995831024165</v>
      </c>
      <c r="AC17" s="11">
        <v>0.95460287586368</v>
      </c>
      <c r="AD17" s="11">
        <v>0.0010888110679701</v>
      </c>
      <c r="AE17" s="12">
        <v>1.546652135435e-11</v>
      </c>
      <c r="AF17" s="12">
        <v>7.6737263238318e-12</v>
      </c>
      <c r="AG17" s="12">
        <v>3.5301527614078e-12</v>
      </c>
      <c r="AH17" s="12">
        <v>1.0744004071231e-11</v>
      </c>
      <c r="AI17" s="12">
        <v>-5.3630459706285e-11</v>
      </c>
      <c r="AJ17" s="12">
        <v>-1.7026059490823e-11</v>
      </c>
      <c r="AK17" s="12">
        <v>4.2544366322124e-12</v>
      </c>
      <c r="AL17" s="12">
        <v>-1.9080846090514e-11</v>
      </c>
      <c r="AM17" s="12">
        <v>7.9711972786579e-12</v>
      </c>
      <c r="AN17" s="12">
        <v>-1.7598932626852e-11</v>
      </c>
      <c r="AO17" s="12">
        <v>5.477611972759e-12</v>
      </c>
      <c r="AP17" s="12">
        <v>3.5566202229585e-11</v>
      </c>
      <c r="AQ17" s="12">
        <v>-1.2845519831501e-11</v>
      </c>
      <c r="AR17" s="12">
        <v>-2.3331467804564e-11</v>
      </c>
      <c r="AS17" s="12">
        <v>-2.8391637463554e-11</v>
      </c>
      <c r="AT17" s="12">
        <v>-9.7590393084613e-12</v>
      </c>
      <c r="AU17" s="12">
        <v>-2.0615580605862e-11</v>
      </c>
      <c r="AV17" s="12">
        <v>-1.3376430483184e-11</v>
      </c>
      <c r="AW17" s="12">
        <v>1.5849326577269e-12</v>
      </c>
      <c r="AX17" s="12">
        <v>-3.1489023705837e-11</v>
      </c>
      <c r="AY17" s="12">
        <v>-1.4275882827251e-11</v>
      </c>
      <c r="AZ17" s="12">
        <v>-5.4595563543247e-12</v>
      </c>
      <c r="BA17" s="12">
        <v>1.795926374777e-11</v>
      </c>
      <c r="BB17" s="12">
        <v>9.4843370543593e-12</v>
      </c>
      <c r="BC17" s="11">
        <v>15910416.879106</v>
      </c>
      <c r="BD17" s="11">
        <v>3899597.7011735</v>
      </c>
      <c r="BE17" s="12">
        <v>9.062056317654e-5</v>
      </c>
      <c r="BF17" s="11">
        <v>0.00010591482675184</v>
      </c>
      <c r="BG17" s="11">
        <v>0.0013211423936395</v>
      </c>
      <c r="BH17" s="11">
        <v>-0.0014360447392974</v>
      </c>
      <c r="BI17" s="11">
        <v>-0.0014636531985334</v>
      </c>
      <c r="BJ17" s="11">
        <v>49.999215424808</v>
      </c>
      <c r="BK17" s="11">
        <v>50.100411105326</v>
      </c>
      <c r="BL17" s="7"/>
    </row>
    <row r="18" spans="1:64">
      <c r="A18" s="11">
        <v>88913.970501945</v>
      </c>
      <c r="B18" s="11">
        <v>0.0010581007059898</v>
      </c>
      <c r="C18" s="12">
        <f t="shared" si="0"/>
        <v>1.1054643881166e-8</v>
      </c>
      <c r="D18" s="12">
        <v>8.1615215178153e-10</v>
      </c>
      <c r="E18" s="12">
        <v>8.1009318847683e-10</v>
      </c>
      <c r="F18" s="12">
        <v>8.1179816405748e-10</v>
      </c>
      <c r="G18" s="12">
        <v>8.0929940482065e-10</v>
      </c>
      <c r="H18" s="12">
        <v>8.2131635202922e-10</v>
      </c>
      <c r="I18" s="12">
        <v>8.2025090485787e-10</v>
      </c>
      <c r="J18" s="12">
        <v>8.1440291953241e-10</v>
      </c>
      <c r="K18" s="12">
        <v>8.4063527603002e-10</v>
      </c>
      <c r="L18" s="12">
        <v>8.4024233528583e-10</v>
      </c>
      <c r="M18" s="12">
        <v>8.392767198493e-10</v>
      </c>
      <c r="N18" s="12">
        <v>5.6979751221552e-10</v>
      </c>
      <c r="O18" s="12">
        <v>8.2064214973794e-10</v>
      </c>
      <c r="P18" s="12">
        <v>5.6985092100898e-10</v>
      </c>
      <c r="Q18" s="12">
        <v>5.7300267355023e-10</v>
      </c>
      <c r="R18" s="12">
        <v>8.1317273684681e-10</v>
      </c>
      <c r="S18" s="12">
        <v>8.0873100752264e-10</v>
      </c>
      <c r="T18" s="12">
        <v>8.1141359999711e-10</v>
      </c>
      <c r="U18" s="12">
        <v>8.162026345085e-10</v>
      </c>
      <c r="V18" s="12">
        <v>8.3840086210196e-10</v>
      </c>
      <c r="W18" s="12">
        <v>8.4153758807791e-10</v>
      </c>
      <c r="X18" s="12">
        <v>8.4021319781383e-10</v>
      </c>
      <c r="Y18" s="12">
        <v>5.6927215705511e-10</v>
      </c>
      <c r="Z18" s="12">
        <v>5.718561356572e-10</v>
      </c>
      <c r="AA18" s="12">
        <v>5.7059128866855e-10</v>
      </c>
      <c r="AB18" s="11">
        <v>0.99995345069736</v>
      </c>
      <c r="AC18" s="11">
        <v>0.93981975350246</v>
      </c>
      <c r="AD18" s="11">
        <v>0.0012920410557295</v>
      </c>
      <c r="AE18" s="12">
        <v>1.4447233451175e-11</v>
      </c>
      <c r="AF18" s="12">
        <v>7.6753861322377e-12</v>
      </c>
      <c r="AG18" s="12">
        <v>6.3636844466668e-12</v>
      </c>
      <c r="AH18" s="12">
        <v>1.9194505217818e-11</v>
      </c>
      <c r="AI18" s="12">
        <v>-5.1908241579173e-11</v>
      </c>
      <c r="AJ18" s="12">
        <v>-4.2234490976506e-12</v>
      </c>
      <c r="AK18" s="12">
        <v>1.1856244560658e-11</v>
      </c>
      <c r="AL18" s="12">
        <v>-1.7213411521739e-11</v>
      </c>
      <c r="AM18" s="12">
        <v>2.1429659692016e-11</v>
      </c>
      <c r="AN18" s="12">
        <v>-2.1265111253729e-11</v>
      </c>
      <c r="AO18" s="12">
        <v>1.6468269610327e-11</v>
      </c>
      <c r="AP18" s="12">
        <v>4.7703658580258e-11</v>
      </c>
      <c r="AQ18" s="12">
        <v>-1.393277520983e-11</v>
      </c>
      <c r="AR18" s="12">
        <v>-1.8659486725253e-11</v>
      </c>
      <c r="AS18" s="12">
        <v>-1.9364845852101e-11</v>
      </c>
      <c r="AT18" s="12">
        <v>-9.1259360077793e-12</v>
      </c>
      <c r="AU18" s="12">
        <v>-1.6816436980412e-11</v>
      </c>
      <c r="AV18" s="12">
        <v>-1.386579331238e-11</v>
      </c>
      <c r="AW18" s="12">
        <v>4.7099737868174e-12</v>
      </c>
      <c r="AX18" s="12">
        <v>-4.2817024770874e-11</v>
      </c>
      <c r="AY18" s="12">
        <v>-2.1443921771339e-11</v>
      </c>
      <c r="AZ18" s="12">
        <v>-9.8994774318863e-12</v>
      </c>
      <c r="BA18" s="12">
        <v>2.3855214509782e-11</v>
      </c>
      <c r="BB18" s="12">
        <v>1.8160157328934e-11</v>
      </c>
      <c r="BC18" s="11">
        <v>15888536.99646</v>
      </c>
      <c r="BD18" s="11">
        <v>3879237.9154646</v>
      </c>
      <c r="BE18" s="11">
        <v>0.00013764624170134</v>
      </c>
      <c r="BF18" s="11">
        <v>0.00015034753330734</v>
      </c>
      <c r="BG18" s="11">
        <v>0.001565334538476</v>
      </c>
      <c r="BH18" s="11">
        <v>-0.0011786348420968</v>
      </c>
      <c r="BI18" s="11">
        <v>-0.0012294703172286</v>
      </c>
      <c r="BJ18" s="11">
        <v>49.998675056956</v>
      </c>
      <c r="BK18" s="11">
        <v>50.155158154867</v>
      </c>
      <c r="BL18" s="7"/>
    </row>
    <row r="19" spans="1:64">
      <c r="A19" s="11">
        <v>111936.05692842</v>
      </c>
      <c r="B19" s="11">
        <v>0.0013068305332014</v>
      </c>
      <c r="C19" s="12">
        <f t="shared" si="0"/>
        <v>1.08039654879223e-8</v>
      </c>
      <c r="D19" s="12">
        <v>8.0014542405707e-10</v>
      </c>
      <c r="E19" s="12">
        <v>7.9996974939259e-10</v>
      </c>
      <c r="F19" s="12">
        <v>8.0272966296922e-10</v>
      </c>
      <c r="G19" s="12">
        <v>7.9933232059302e-10</v>
      </c>
      <c r="H19" s="12">
        <v>8.0602825212962e-10</v>
      </c>
      <c r="I19" s="12">
        <v>8.0598452063382e-10</v>
      </c>
      <c r="J19" s="12">
        <v>7.9764836788449e-10</v>
      </c>
      <c r="K19" s="12">
        <v>8.335128129965e-10</v>
      </c>
      <c r="L19" s="12">
        <v>8.334197218819e-10</v>
      </c>
      <c r="M19" s="12">
        <v>8.3173465969868e-10</v>
      </c>
      <c r="N19" s="12">
        <v>5.6950268280324e-10</v>
      </c>
      <c r="O19" s="12">
        <v>8.0606254993517e-10</v>
      </c>
      <c r="P19" s="12">
        <v>5.6913816376892e-10</v>
      </c>
      <c r="Q19" s="12">
        <v>5.7357872536258e-10</v>
      </c>
      <c r="R19" s="12">
        <v>8.039373193221e-10</v>
      </c>
      <c r="S19" s="12">
        <v>7.9831029629663e-10</v>
      </c>
      <c r="T19" s="12">
        <v>8.0210195003763e-10</v>
      </c>
      <c r="U19" s="12">
        <v>7.9948077526376e-10</v>
      </c>
      <c r="V19" s="12">
        <v>8.3040856206863e-10</v>
      </c>
      <c r="W19" s="12">
        <v>8.3531037314591e-10</v>
      </c>
      <c r="X19" s="12">
        <v>8.3347757661168e-10</v>
      </c>
      <c r="Y19" s="12">
        <v>5.6862007122772e-10</v>
      </c>
      <c r="Z19" s="12">
        <v>5.7222173152152e-10</v>
      </c>
      <c r="AA19" s="12">
        <v>5.7048973304394e-10</v>
      </c>
      <c r="AB19" s="11">
        <v>0.99994767562092</v>
      </c>
      <c r="AC19" s="11">
        <v>0.92095271308838</v>
      </c>
      <c r="AD19" s="11">
        <v>0.0015416936425916</v>
      </c>
      <c r="AE19" s="12">
        <v>1.0894666573759e-11</v>
      </c>
      <c r="AF19" s="12">
        <v>8.5028597938243e-12</v>
      </c>
      <c r="AG19" s="12">
        <v>1.1216389521608e-11</v>
      </c>
      <c r="AH19" s="12">
        <v>3.193351768318e-11</v>
      </c>
      <c r="AI19" s="12">
        <v>-4.9178603624741e-11</v>
      </c>
      <c r="AJ19" s="12">
        <v>1.1145496627417e-11</v>
      </c>
      <c r="AK19" s="12">
        <v>2.1255005452423e-11</v>
      </c>
      <c r="AL19" s="12">
        <v>-1.3838867232195e-11</v>
      </c>
      <c r="AM19" s="12">
        <v>4.0256580043006e-11</v>
      </c>
      <c r="AN19" s="12">
        <v>-2.5844290356995e-11</v>
      </c>
      <c r="AO19" s="12">
        <v>3.3726793399066e-11</v>
      </c>
      <c r="AP19" s="12">
        <v>6.109931058296e-11</v>
      </c>
      <c r="AQ19" s="12">
        <v>-1.4954222978698e-11</v>
      </c>
      <c r="AR19" s="12">
        <v>-1.1486128735473e-11</v>
      </c>
      <c r="AS19" s="12">
        <v>-6.8514090241094e-12</v>
      </c>
      <c r="AT19" s="12">
        <v>-8.6645688107194e-12</v>
      </c>
      <c r="AU19" s="12">
        <v>-1.0616998045531e-11</v>
      </c>
      <c r="AV19" s="12">
        <v>-1.4170517433697e-11</v>
      </c>
      <c r="AW19" s="12">
        <v>9.4366441814157e-12</v>
      </c>
      <c r="AX19" s="12">
        <v>-5.5469580467972e-11</v>
      </c>
      <c r="AY19" s="12">
        <v>-3.0575059456412e-11</v>
      </c>
      <c r="AZ19" s="12">
        <v>-1.6316823530143e-11</v>
      </c>
      <c r="BA19" s="12">
        <v>3.2621002561841e-11</v>
      </c>
      <c r="BB19" s="12">
        <v>3.1003177054557e-11</v>
      </c>
      <c r="BC19" s="11">
        <v>15861213.310804</v>
      </c>
      <c r="BD19" s="11">
        <v>3857162.5444166</v>
      </c>
      <c r="BE19" s="11">
        <v>0.00019974272353782</v>
      </c>
      <c r="BF19" s="11">
        <v>0.00020853346868989</v>
      </c>
      <c r="BG19" s="11">
        <v>0.0018620450342131</v>
      </c>
      <c r="BH19" s="11">
        <v>-0.00092360983763932</v>
      </c>
      <c r="BI19" s="11">
        <v>-0.00097583960399619</v>
      </c>
      <c r="BJ19" s="11">
        <v>49.997870848834</v>
      </c>
      <c r="BK19" s="11">
        <v>50.447682562852</v>
      </c>
      <c r="BL19" s="7"/>
    </row>
    <row r="20" spans="1:64">
      <c r="A20" s="11">
        <v>140919.14656322</v>
      </c>
      <c r="B20" s="11">
        <v>0.0016139029706026</v>
      </c>
      <c r="C20" s="12">
        <f t="shared" si="0"/>
        <v>1.05948827840803e-8</v>
      </c>
      <c r="D20" s="12">
        <v>7.8495604824415e-10</v>
      </c>
      <c r="E20" s="12">
        <v>7.8898829767521e-10</v>
      </c>
      <c r="F20" s="12">
        <v>7.935348579075e-10</v>
      </c>
      <c r="G20" s="12">
        <v>7.8885669911997e-10</v>
      </c>
      <c r="H20" s="12">
        <v>7.9125108981979e-10</v>
      </c>
      <c r="I20" s="12">
        <v>7.9351755908021e-10</v>
      </c>
      <c r="J20" s="12">
        <v>7.8118284931132e-10</v>
      </c>
      <c r="K20" s="12">
        <v>8.2664136714044e-10</v>
      </c>
      <c r="L20" s="12">
        <v>8.2724269161596e-10</v>
      </c>
      <c r="M20" s="12">
        <v>8.241592140703e-10</v>
      </c>
      <c r="N20" s="12">
        <v>5.7074282380355e-10</v>
      </c>
      <c r="O20" s="12">
        <v>7.9252935805662e-10</v>
      </c>
      <c r="P20" s="12">
        <v>5.6935436719036e-10</v>
      </c>
      <c r="Q20" s="12">
        <v>5.759294396898e-10</v>
      </c>
      <c r="R20" s="12">
        <v>7.9437605031069e-10</v>
      </c>
      <c r="S20" s="12">
        <v>7.8681854077101e-10</v>
      </c>
      <c r="T20" s="12">
        <v>7.9247601194015e-10</v>
      </c>
      <c r="U20" s="12">
        <v>7.829378525795e-10</v>
      </c>
      <c r="V20" s="12">
        <v>8.2224787697487e-10</v>
      </c>
      <c r="W20" s="12">
        <v>8.2974426763723e-10</v>
      </c>
      <c r="X20" s="12">
        <v>8.2740259096842e-10</v>
      </c>
      <c r="Y20" s="12">
        <v>5.6919070357728e-10</v>
      </c>
      <c r="Z20" s="12">
        <v>5.7428307362294e-10</v>
      </c>
      <c r="AA20" s="12">
        <v>5.7185744791192e-10</v>
      </c>
      <c r="AB20" s="11">
        <v>0.99994467239365</v>
      </c>
      <c r="AC20" s="11">
        <v>0.90100332732742</v>
      </c>
      <c r="AD20" s="11">
        <v>0.0018494394120178</v>
      </c>
      <c r="AE20" s="12">
        <v>6.3124759312073e-12</v>
      </c>
      <c r="AF20" s="12">
        <v>1.0316065144943e-11</v>
      </c>
      <c r="AG20" s="12">
        <v>1.5814811282162e-11</v>
      </c>
      <c r="AH20" s="12">
        <v>4.7989461748654e-11</v>
      </c>
      <c r="AI20" s="12">
        <v>-4.8293819799355e-11</v>
      </c>
      <c r="AJ20" s="12">
        <v>2.2807482019818e-11</v>
      </c>
      <c r="AK20" s="12">
        <v>2.8713379889268e-11</v>
      </c>
      <c r="AL20" s="12">
        <v>-1.2609736465678e-11</v>
      </c>
      <c r="AM20" s="12">
        <v>5.9481123223919e-11</v>
      </c>
      <c r="AN20" s="12">
        <v>-3.0970768593196e-11</v>
      </c>
      <c r="AO20" s="12">
        <v>5.2222117626233e-11</v>
      </c>
      <c r="AP20" s="12">
        <v>7.2879397927156e-11</v>
      </c>
      <c r="AQ20" s="12">
        <v>-1.6423087263633e-11</v>
      </c>
      <c r="AR20" s="12">
        <v>-4.5001506312027e-12</v>
      </c>
      <c r="AS20" s="12">
        <v>3.5385840817943e-12</v>
      </c>
      <c r="AT20" s="12">
        <v>-1.0375391932542e-11</v>
      </c>
      <c r="AU20" s="12">
        <v>-5.0826231205702e-12</v>
      </c>
      <c r="AV20" s="12">
        <v>-1.4170784366157e-11</v>
      </c>
      <c r="AW20" s="12">
        <v>1.4324075739611e-11</v>
      </c>
      <c r="AX20" s="12">
        <v>-6.589269668666e-11</v>
      </c>
      <c r="AY20" s="12">
        <v>-3.944296741987e-11</v>
      </c>
      <c r="AZ20" s="12">
        <v>-2.1880741486382e-11</v>
      </c>
      <c r="BA20" s="12">
        <v>4.1502046877399e-11</v>
      </c>
      <c r="BB20" s="12">
        <v>4.7851752103724e-11</v>
      </c>
      <c r="BC20" s="11">
        <v>15827003.952276</v>
      </c>
      <c r="BD20" s="11">
        <v>3834391.0246891</v>
      </c>
      <c r="BE20" s="11">
        <v>0.00028176942037296</v>
      </c>
      <c r="BF20" s="11">
        <v>0.0002849714686291</v>
      </c>
      <c r="BG20" s="11">
        <v>0.0022233289492062</v>
      </c>
      <c r="BH20" s="11">
        <v>-0.001656884330801</v>
      </c>
      <c r="BI20" s="11">
        <v>-0.0017312237657314</v>
      </c>
      <c r="BJ20" s="11">
        <v>49.996070822431</v>
      </c>
      <c r="BK20" s="11">
        <v>50.924404433829</v>
      </c>
      <c r="BL20" s="7"/>
    </row>
    <row r="21" spans="1:64">
      <c r="A21" s="11">
        <v>177406.69461679</v>
      </c>
      <c r="B21" s="11">
        <v>0.0019939705513236</v>
      </c>
      <c r="C21" s="12">
        <f t="shared" si="0"/>
        <v>1.04163639651257e-8</v>
      </c>
      <c r="D21" s="12">
        <v>7.7026018032864e-10</v>
      </c>
      <c r="E21" s="12">
        <v>7.7620403292783e-10</v>
      </c>
      <c r="F21" s="12">
        <v>7.8354703312409e-10</v>
      </c>
      <c r="G21" s="12">
        <v>7.7722244698445e-10</v>
      </c>
      <c r="H21" s="12">
        <v>7.7672403933229e-10</v>
      </c>
      <c r="I21" s="12">
        <v>7.8289191078876e-10</v>
      </c>
      <c r="J21" s="12">
        <v>7.6435438083669e-10</v>
      </c>
      <c r="K21" s="12">
        <v>8.1776361330017e-10</v>
      </c>
      <c r="L21" s="12">
        <v>8.1943917056397e-10</v>
      </c>
      <c r="M21" s="12">
        <v>8.140964577482e-10</v>
      </c>
      <c r="N21" s="12">
        <v>5.717419491925e-10</v>
      </c>
      <c r="O21" s="12">
        <v>7.7978246094995e-10</v>
      </c>
      <c r="P21" s="12">
        <v>5.6868862149934e-10</v>
      </c>
      <c r="Q21" s="12">
        <v>5.7846193375959e-10</v>
      </c>
      <c r="R21" s="12">
        <v>7.8367652330627e-10</v>
      </c>
      <c r="S21" s="12">
        <v>7.7311712101968e-10</v>
      </c>
      <c r="T21" s="12">
        <v>7.8185495399816e-10</v>
      </c>
      <c r="U21" s="12">
        <v>7.6631907574119e-10</v>
      </c>
      <c r="V21" s="12">
        <v>8.1149495716287e-10</v>
      </c>
      <c r="W21" s="12">
        <v>8.2240918848192e-10</v>
      </c>
      <c r="X21" s="12">
        <v>8.1990339005945e-10</v>
      </c>
      <c r="Y21" s="12">
        <v>5.6924133039947e-10</v>
      </c>
      <c r="Z21" s="12">
        <v>5.763319298504e-10</v>
      </c>
      <c r="AA21" s="12">
        <v>5.7314645099211e-10</v>
      </c>
      <c r="AB21" s="11">
        <v>0.99994544976825</v>
      </c>
      <c r="AC21" s="11">
        <v>0.88156434771436</v>
      </c>
      <c r="AD21" s="11">
        <v>0.0022301140851513</v>
      </c>
      <c r="AE21" s="12">
        <v>4.7700209735353e-12</v>
      </c>
      <c r="AF21" s="12">
        <v>1.4009928658163e-11</v>
      </c>
      <c r="AG21" s="12">
        <v>1.6357788287393e-11</v>
      </c>
      <c r="AH21" s="12">
        <v>6.4822865742097e-11</v>
      </c>
      <c r="AI21" s="12">
        <v>-5.023253708776e-11</v>
      </c>
      <c r="AJ21" s="12">
        <v>2.6387739063635e-11</v>
      </c>
      <c r="AK21" s="12">
        <v>3.3745061543919e-11</v>
      </c>
      <c r="AL21" s="12">
        <v>-1.5630840142313e-11</v>
      </c>
      <c r="AM21" s="12">
        <v>7.4140888129937e-11</v>
      </c>
      <c r="AN21" s="12">
        <v>-3.5128771132373e-11</v>
      </c>
      <c r="AO21" s="12">
        <v>6.4658472728568e-11</v>
      </c>
      <c r="AP21" s="12">
        <v>8.0493208205689e-11</v>
      </c>
      <c r="AQ21" s="12">
        <v>-1.7794532611474e-11</v>
      </c>
      <c r="AR21" s="12">
        <v>8.3269296476598e-13</v>
      </c>
      <c r="AS21" s="12">
        <v>6.6016536386333e-12</v>
      </c>
      <c r="AT21" s="12">
        <v>-1.3955350348075e-11</v>
      </c>
      <c r="AU21" s="12">
        <v>-1.1722109563169e-12</v>
      </c>
      <c r="AV21" s="12">
        <v>-1.5046819654575e-11</v>
      </c>
      <c r="AW21" s="12">
        <v>1.6995768211175e-11</v>
      </c>
      <c r="AX21" s="12">
        <v>-7.1915177810172e-11</v>
      </c>
      <c r="AY21" s="12">
        <v>-4.5592861278114e-11</v>
      </c>
      <c r="AZ21" s="12">
        <v>-2.3360086713273e-11</v>
      </c>
      <c r="BA21" s="12">
        <v>4.7854373816666e-11</v>
      </c>
      <c r="BB21" s="12">
        <v>6.7496493496214e-11</v>
      </c>
      <c r="BC21" s="11">
        <v>15784249.415718</v>
      </c>
      <c r="BD21" s="11">
        <v>3811914.9514528</v>
      </c>
      <c r="BE21" s="11">
        <v>0.00038859811212377</v>
      </c>
      <c r="BF21" s="11">
        <v>0.00038393558465958</v>
      </c>
      <c r="BG21" s="11">
        <v>0.0026648747115707</v>
      </c>
      <c r="BH21" s="11">
        <v>-0.00298659352754</v>
      </c>
      <c r="BI21" s="11">
        <v>-0.0030265659507021</v>
      </c>
      <c r="BJ21" s="11">
        <v>49.993308550388</v>
      </c>
      <c r="BK21" s="11">
        <v>51.51311974686</v>
      </c>
      <c r="BL21" s="7"/>
    </row>
    <row r="22" spans="1:64">
      <c r="A22" s="11">
        <v>223341.79607548</v>
      </c>
      <c r="B22" s="11">
        <v>0.002464907517317</v>
      </c>
      <c r="C22" s="12">
        <f t="shared" si="0"/>
        <v>1.0252224356507e-8</v>
      </c>
      <c r="D22" s="12">
        <v>7.5567779876639e-10</v>
      </c>
      <c r="E22" s="12">
        <v>7.6176155221735e-10</v>
      </c>
      <c r="F22" s="12">
        <v>7.7326644851785e-10</v>
      </c>
      <c r="G22" s="12">
        <v>7.6490955334586e-10</v>
      </c>
      <c r="H22" s="12">
        <v>7.626510211917e-10</v>
      </c>
      <c r="I22" s="12">
        <v>7.7396178686838e-10</v>
      </c>
      <c r="J22" s="12">
        <v>7.4652847190857e-10</v>
      </c>
      <c r="K22" s="12">
        <v>8.0673817307573e-10</v>
      </c>
      <c r="L22" s="12">
        <v>8.0939641671632e-10</v>
      </c>
      <c r="M22" s="12">
        <v>8.0111727165517e-10</v>
      </c>
      <c r="N22" s="12">
        <v>5.7146379476308e-10</v>
      </c>
      <c r="O22" s="12">
        <v>7.6768002509704e-10</v>
      </c>
      <c r="P22" s="12">
        <v>5.6639724902937e-10</v>
      </c>
      <c r="Q22" s="12">
        <v>5.806706399597e-10</v>
      </c>
      <c r="R22" s="12">
        <v>7.7190221245073e-10</v>
      </c>
      <c r="S22" s="12">
        <v>7.5725097631678e-10</v>
      </c>
      <c r="T22" s="12">
        <v>7.7088428480746e-10</v>
      </c>
      <c r="U22" s="12">
        <v>7.4964611826095e-10</v>
      </c>
      <c r="V22" s="12">
        <v>7.9760603787142e-10</v>
      </c>
      <c r="W22" s="12">
        <v>8.1267386695956e-10</v>
      </c>
      <c r="X22" s="12">
        <v>8.1097899775524e-10</v>
      </c>
      <c r="Y22" s="12">
        <v>5.6794975544161e-10</v>
      </c>
      <c r="Z22" s="12">
        <v>5.7763099520144e-10</v>
      </c>
      <c r="AA22" s="12">
        <v>5.7387757187609e-10</v>
      </c>
      <c r="AB22" s="11">
        <v>0.99994882149809</v>
      </c>
      <c r="AC22" s="11">
        <v>0.86320469421664</v>
      </c>
      <c r="AD22" s="11">
        <v>0.002701824102788</v>
      </c>
      <c r="AE22" s="12">
        <v>8.0128413956316e-12</v>
      </c>
      <c r="AF22" s="12">
        <v>1.8754361239559e-11</v>
      </c>
      <c r="AG22" s="12">
        <v>1.2151782029648e-11</v>
      </c>
      <c r="AH22" s="12">
        <v>7.9054700828703e-11</v>
      </c>
      <c r="AI22" s="12">
        <v>-5.2481761282873e-11</v>
      </c>
      <c r="AJ22" s="12">
        <v>2.2445541634012e-11</v>
      </c>
      <c r="AK22" s="12">
        <v>3.8449933687396e-11</v>
      </c>
      <c r="AL22" s="12">
        <v>-2.0634729922528e-11</v>
      </c>
      <c r="AM22" s="12">
        <v>8.3363235413614e-11</v>
      </c>
      <c r="AN22" s="12">
        <v>-3.6333718908192e-11</v>
      </c>
      <c r="AO22" s="12">
        <v>6.9940918867991e-11</v>
      </c>
      <c r="AP22" s="12">
        <v>8.2271452445743e-11</v>
      </c>
      <c r="AQ22" s="12">
        <v>-1.8054435338694e-11</v>
      </c>
      <c r="AR22" s="12">
        <v>6.235231856749e-12</v>
      </c>
      <c r="AS22" s="12">
        <v>3.4960919445694e-12</v>
      </c>
      <c r="AT22" s="12">
        <v>-1.722590508019e-11</v>
      </c>
      <c r="AU22" s="12">
        <v>2.9571650095784e-12</v>
      </c>
      <c r="AV22" s="12">
        <v>-1.7970759262385e-11</v>
      </c>
      <c r="AW22" s="12">
        <v>1.6475640996727e-11</v>
      </c>
      <c r="AX22" s="12">
        <v>-7.3832147866071e-11</v>
      </c>
      <c r="AY22" s="12">
        <v>-4.7587248288422e-11</v>
      </c>
      <c r="AZ22" s="12">
        <v>-2.0828270380154e-11</v>
      </c>
      <c r="BA22" s="12">
        <v>5.2021042717087e-11</v>
      </c>
      <c r="BB22" s="12">
        <v>8.6850691009633e-11</v>
      </c>
      <c r="BC22" s="11">
        <v>15730944.665886</v>
      </c>
      <c r="BD22" s="11">
        <v>3790728.4566943</v>
      </c>
      <c r="BE22" s="11">
        <v>0.00052594466481699</v>
      </c>
      <c r="BF22" s="11">
        <v>0.00051045100484295</v>
      </c>
      <c r="BG22" s="11">
        <v>0.0032061568104824</v>
      </c>
      <c r="BH22" s="11">
        <v>-0.0052569541081918</v>
      </c>
      <c r="BI22" s="11">
        <v>-0.0052236528392492</v>
      </c>
      <c r="BJ22" s="11">
        <v>49.989159696954</v>
      </c>
      <c r="BK22" s="11">
        <v>52.146311453531</v>
      </c>
      <c r="BL22" s="7"/>
    </row>
    <row r="23" spans="1:64">
      <c r="A23" s="11">
        <v>269454.07899668</v>
      </c>
      <c r="B23" s="11">
        <v>0.0029309956258713</v>
      </c>
      <c r="C23" s="12">
        <f t="shared" si="0"/>
        <v>1.01076780204265e-8</v>
      </c>
      <c r="D23" s="12">
        <v>7.4277753346242e-10</v>
      </c>
      <c r="E23" s="12">
        <v>7.4779024600425e-10</v>
      </c>
      <c r="F23" s="12">
        <v>7.6470852683991e-10</v>
      </c>
      <c r="G23" s="12">
        <v>7.5396706637391e-10</v>
      </c>
      <c r="H23" s="12">
        <v>7.5136785647608e-10</v>
      </c>
      <c r="I23" s="12">
        <v>7.6755075847093e-10</v>
      </c>
      <c r="J23" s="12">
        <v>7.2963312260809e-10</v>
      </c>
      <c r="K23" s="12">
        <v>7.9579750876728e-10</v>
      </c>
      <c r="L23" s="12">
        <v>7.985646442657e-10</v>
      </c>
      <c r="M23" s="12">
        <v>7.8743476517961e-10</v>
      </c>
      <c r="N23" s="12">
        <v>5.6967868399561e-10</v>
      </c>
      <c r="O23" s="12">
        <v>7.5777068926569e-10</v>
      </c>
      <c r="P23" s="12">
        <v>5.6281266037385e-10</v>
      </c>
      <c r="Q23" s="12">
        <v>5.8255076096883e-10</v>
      </c>
      <c r="R23" s="12">
        <v>7.6082682848084e-10</v>
      </c>
      <c r="S23" s="12">
        <v>7.4163125789728e-10</v>
      </c>
      <c r="T23" s="12">
        <v>7.618876959498e-10</v>
      </c>
      <c r="U23" s="12">
        <v>7.3520157247593e-10</v>
      </c>
      <c r="V23" s="12">
        <v>7.8268538448155e-10</v>
      </c>
      <c r="W23" s="12">
        <v>8.0210843057627e-10</v>
      </c>
      <c r="X23" s="12">
        <v>8.0254171836844e-10</v>
      </c>
      <c r="Y23" s="12">
        <v>5.6535771655451e-10</v>
      </c>
      <c r="Z23" s="12">
        <v>5.7811890641219e-10</v>
      </c>
      <c r="AA23" s="12">
        <v>5.7406174827681e-10</v>
      </c>
      <c r="AB23" s="11">
        <v>0.9995436218027</v>
      </c>
      <c r="AC23" s="11">
        <v>0.84809333727364</v>
      </c>
      <c r="AD23" s="11">
        <v>0.0031688249766068</v>
      </c>
      <c r="AE23" s="12">
        <v>1.3945973051193e-11</v>
      </c>
      <c r="AF23" s="12">
        <v>2.1752436173356e-11</v>
      </c>
      <c r="AG23" s="12">
        <v>6.3816713812294e-12</v>
      </c>
      <c r="AH23" s="12">
        <v>8.6557644831993e-11</v>
      </c>
      <c r="AI23" s="12">
        <v>-5.4646424119169e-11</v>
      </c>
      <c r="AJ23" s="12">
        <v>1.4605815915168e-11</v>
      </c>
      <c r="AK23" s="12">
        <v>4.2889965084909e-11</v>
      </c>
      <c r="AL23" s="12">
        <v>-2.4660026428759e-11</v>
      </c>
      <c r="AM23" s="12">
        <v>8.8372020067296e-11</v>
      </c>
      <c r="AN23" s="12">
        <v>-3.46828465089e-11</v>
      </c>
      <c r="AO23" s="12">
        <v>7.0924070404717e-11</v>
      </c>
      <c r="AP23" s="12">
        <v>7.940906580848e-11</v>
      </c>
      <c r="AQ23" s="12">
        <v>-1.6910688909558e-11</v>
      </c>
      <c r="AR23" s="12">
        <v>1.1625191434583e-11</v>
      </c>
      <c r="AS23" s="12">
        <v>-7.8425869382357e-13</v>
      </c>
      <c r="AT23" s="12">
        <v>-1.8847559451749e-11</v>
      </c>
      <c r="AU23" s="12">
        <v>6.7062901920854e-12</v>
      </c>
      <c r="AV23" s="12">
        <v>-2.3293410002529e-11</v>
      </c>
      <c r="AW23" s="12">
        <v>1.3805565605936e-11</v>
      </c>
      <c r="AX23" s="12">
        <v>-7.3550394339392e-11</v>
      </c>
      <c r="AY23" s="12">
        <v>-4.6149326988904e-11</v>
      </c>
      <c r="AZ23" s="12">
        <v>-1.6504425877465e-11</v>
      </c>
      <c r="BA23" s="12">
        <v>5.4977006907512e-11</v>
      </c>
      <c r="BB23" s="12">
        <v>1.005617752811e-10</v>
      </c>
      <c r="BC23" s="11">
        <v>15678019.668468</v>
      </c>
      <c r="BD23" s="11">
        <v>3775194.137019</v>
      </c>
      <c r="BE23" s="11">
        <v>0.00066527993683775</v>
      </c>
      <c r="BF23" s="11">
        <v>0.00063826450762834</v>
      </c>
      <c r="BG23" s="11">
        <v>0.0037376369840469</v>
      </c>
      <c r="BH23" s="11">
        <v>0.0023059481203949</v>
      </c>
      <c r="BI23" s="11">
        <v>0.0021383816506712</v>
      </c>
      <c r="BJ23" s="11">
        <v>50.000693642966</v>
      </c>
      <c r="BK23" s="11">
        <v>52.655012823048</v>
      </c>
      <c r="BL23" s="7"/>
    </row>
    <row r="24" spans="1:64">
      <c r="A24" s="11">
        <v>326868.7577698</v>
      </c>
      <c r="B24" s="11">
        <v>0.00350331403747</v>
      </c>
      <c r="C24" s="12">
        <f t="shared" si="0"/>
        <v>9.96815490094919e-9</v>
      </c>
      <c r="D24" s="12">
        <v>7.3079439900796e-10</v>
      </c>
      <c r="E24" s="12">
        <v>7.3381383741828e-10</v>
      </c>
      <c r="F24" s="12">
        <v>7.5664501518328e-10</v>
      </c>
      <c r="G24" s="12">
        <v>7.4339238918761e-10</v>
      </c>
      <c r="H24" s="12">
        <v>7.4212697205482e-10</v>
      </c>
      <c r="I24" s="12">
        <v>7.6174069693628e-10</v>
      </c>
      <c r="J24" s="12">
        <v>7.1362457239614e-10</v>
      </c>
      <c r="K24" s="12">
        <v>7.8465678873024e-10</v>
      </c>
      <c r="L24" s="12">
        <v>7.8656489864878e-10</v>
      </c>
      <c r="M24" s="12">
        <v>7.7322099257568e-10</v>
      </c>
      <c r="N24" s="12">
        <v>5.6501170616879e-10</v>
      </c>
      <c r="O24" s="12">
        <v>7.4898085001163e-10</v>
      </c>
      <c r="P24" s="12">
        <v>5.5687365671718e-10</v>
      </c>
      <c r="Q24" s="12">
        <v>5.8218227202121e-10</v>
      </c>
      <c r="R24" s="12">
        <v>7.4958915012193e-10</v>
      </c>
      <c r="S24" s="12">
        <v>7.2617562159975e-10</v>
      </c>
      <c r="T24" s="12">
        <v>7.5383065741166e-10</v>
      </c>
      <c r="U24" s="12">
        <v>7.2252067476743e-10</v>
      </c>
      <c r="V24" s="12">
        <v>7.6701800561317e-10</v>
      </c>
      <c r="W24" s="12">
        <v>7.9040691973469e-10</v>
      </c>
      <c r="X24" s="12">
        <v>7.9377008584628e-10</v>
      </c>
      <c r="Y24" s="12">
        <v>5.6015828176988e-10</v>
      </c>
      <c r="Z24" s="12">
        <v>5.7616270688923e-10</v>
      </c>
      <c r="AA24" s="12">
        <v>5.7189101618584e-10</v>
      </c>
      <c r="AB24" s="11">
        <v>0.99995741286455</v>
      </c>
      <c r="AC24" s="11">
        <v>0.83698806370751</v>
      </c>
      <c r="AD24" s="11">
        <v>0.0037422801394374</v>
      </c>
      <c r="AE24" s="12">
        <v>1.973896133046e-11</v>
      </c>
      <c r="AF24" s="12">
        <v>2.2670790588882e-11</v>
      </c>
      <c r="AG24" s="12">
        <v>1.8258732643753e-12</v>
      </c>
      <c r="AH24" s="12">
        <v>8.7952405542993e-11</v>
      </c>
      <c r="AI24" s="12">
        <v>-5.7618354967273e-11</v>
      </c>
      <c r="AJ24" s="12">
        <v>6.7391266809611e-12</v>
      </c>
      <c r="AK24" s="12">
        <v>4.593614217782e-11</v>
      </c>
      <c r="AL24" s="12">
        <v>-2.6810624695052e-11</v>
      </c>
      <c r="AM24" s="12">
        <v>9.0902821693182e-11</v>
      </c>
      <c r="AN24" s="12">
        <v>-3.2142759178666e-11</v>
      </c>
      <c r="AO24" s="12">
        <v>7.0279126094453e-11</v>
      </c>
      <c r="AP24" s="12">
        <v>7.5488864722257e-11</v>
      </c>
      <c r="AQ24" s="12">
        <v>-1.5210336619731e-11</v>
      </c>
      <c r="AR24" s="12">
        <v>1.5851153944261e-11</v>
      </c>
      <c r="AS24" s="12">
        <v>-3.5981675510287e-12</v>
      </c>
      <c r="AT24" s="12">
        <v>-1.922842535191e-11</v>
      </c>
      <c r="AU24" s="12">
        <v>8.8706855272842e-12</v>
      </c>
      <c r="AV24" s="12">
        <v>-2.9468080458128e-11</v>
      </c>
      <c r="AW24" s="12">
        <v>1.0763687144085e-11</v>
      </c>
      <c r="AX24" s="12">
        <v>-7.2744796305732e-11</v>
      </c>
      <c r="AY24" s="12">
        <v>-4.3648172806885e-11</v>
      </c>
      <c r="AZ24" s="12">
        <v>-1.2272149271803e-11</v>
      </c>
      <c r="BA24" s="12">
        <v>5.7056066819886e-11</v>
      </c>
      <c r="BB24" s="12">
        <v>1.0794873772195e-10</v>
      </c>
      <c r="BC24" s="11">
        <v>15612949.964973</v>
      </c>
      <c r="BD24" s="11">
        <v>3761410.5868915</v>
      </c>
      <c r="BE24" s="11">
        <v>0.00083939866489805</v>
      </c>
      <c r="BF24" s="11">
        <v>0.00079750547740777</v>
      </c>
      <c r="BG24" s="11">
        <v>0.0043861655661292</v>
      </c>
      <c r="BH24" s="11">
        <v>-0.0031070579856513</v>
      </c>
      <c r="BI24" s="11">
        <v>-0.0023601456804104</v>
      </c>
      <c r="BJ24" s="11">
        <v>49.992761079737</v>
      </c>
      <c r="BK24" s="11">
        <v>53.127222824657</v>
      </c>
      <c r="BL24" s="7"/>
    </row>
    <row r="25" spans="1:64">
      <c r="A25" s="11">
        <v>411503.38547799</v>
      </c>
      <c r="B25" s="11">
        <v>0.0043328905737634</v>
      </c>
      <c r="C25" s="12">
        <f t="shared" si="0"/>
        <v>9.80185721562668e-9</v>
      </c>
      <c r="D25" s="12">
        <v>7.1641283580597e-10</v>
      </c>
      <c r="E25" s="12">
        <v>7.1553320226929e-10</v>
      </c>
      <c r="F25" s="12">
        <v>7.4846827171806e-10</v>
      </c>
      <c r="G25" s="12">
        <v>7.3084436002561e-10</v>
      </c>
      <c r="H25" s="12">
        <v>7.3404738929316e-10</v>
      </c>
      <c r="I25" s="12">
        <v>7.5648978587297e-10</v>
      </c>
      <c r="J25" s="12">
        <v>6.9286701585122e-10</v>
      </c>
      <c r="K25" s="12">
        <v>7.7091733318429e-10</v>
      </c>
      <c r="L25" s="12">
        <v>7.7015721213316e-10</v>
      </c>
      <c r="M25" s="12">
        <v>7.5429654686192e-10</v>
      </c>
      <c r="N25" s="12">
        <v>5.5872465579827e-10</v>
      </c>
      <c r="O25" s="12">
        <v>7.4011597573892e-10</v>
      </c>
      <c r="P25" s="12">
        <v>5.4939345847317e-10</v>
      </c>
      <c r="Q25" s="12">
        <v>5.8354869069495e-10</v>
      </c>
      <c r="R25" s="12">
        <v>7.3560461581155e-10</v>
      </c>
      <c r="S25" s="12">
        <v>7.0596037987843e-10</v>
      </c>
      <c r="T25" s="12">
        <v>7.463244226849e-10</v>
      </c>
      <c r="U25" s="12">
        <v>7.0832800870953e-10</v>
      </c>
      <c r="V25" s="12">
        <v>7.4550511949437e-10</v>
      </c>
      <c r="W25" s="12">
        <v>7.7453063947766e-10</v>
      </c>
      <c r="X25" s="12">
        <v>7.833738675976e-10</v>
      </c>
      <c r="Y25" s="12">
        <v>5.5329459565286e-10</v>
      </c>
      <c r="Z25" s="12">
        <v>5.7484100351432e-10</v>
      </c>
      <c r="AA25" s="12">
        <v>5.7018419019188e-10</v>
      </c>
      <c r="AB25" s="11">
        <v>0.99996337542097</v>
      </c>
      <c r="AC25" s="11">
        <v>0.82470887340013</v>
      </c>
      <c r="AD25" s="11">
        <v>0.0045734729199923</v>
      </c>
      <c r="AE25" s="12">
        <v>2.7580871406233e-11</v>
      </c>
      <c r="AF25" s="12">
        <v>2.2254542397314e-11</v>
      </c>
      <c r="AG25" s="12">
        <v>-2.446256268565e-12</v>
      </c>
      <c r="AH25" s="12">
        <v>8.3517466108958e-11</v>
      </c>
      <c r="AI25" s="12">
        <v>-6.4137873909529e-11</v>
      </c>
      <c r="AJ25" s="12">
        <v>-3.8559164566679e-12</v>
      </c>
      <c r="AK25" s="12">
        <v>4.8680474500171e-11</v>
      </c>
      <c r="AL25" s="12">
        <v>-2.8419074547975e-11</v>
      </c>
      <c r="AM25" s="12">
        <v>9.2096245300603e-11</v>
      </c>
      <c r="AN25" s="12">
        <v>-2.7997159949331e-11</v>
      </c>
      <c r="AO25" s="12">
        <v>6.8141996485188e-11</v>
      </c>
      <c r="AP25" s="12">
        <v>7.0154689178363e-11</v>
      </c>
      <c r="AQ25" s="12">
        <v>-1.2705471747428e-11</v>
      </c>
      <c r="AR25" s="12">
        <v>2.0029455879666e-11</v>
      </c>
      <c r="AS25" s="12">
        <v>-5.7790364871416e-12</v>
      </c>
      <c r="AT25" s="12">
        <v>-1.8559486539738e-11</v>
      </c>
      <c r="AU25" s="12">
        <v>8.8205131086436e-12</v>
      </c>
      <c r="AV25" s="12">
        <v>-3.8988838363546e-11</v>
      </c>
      <c r="AW25" s="12">
        <v>6.5129040943285e-12</v>
      </c>
      <c r="AX25" s="12">
        <v>-7.1362500565138e-11</v>
      </c>
      <c r="AY25" s="12">
        <v>-3.8892047430604e-11</v>
      </c>
      <c r="AZ25" s="12">
        <v>-6.3299570080526e-12</v>
      </c>
      <c r="BA25" s="12">
        <v>5.9410982284884e-11</v>
      </c>
      <c r="BB25" s="12">
        <v>1.1282518974538e-10</v>
      </c>
      <c r="BC25" s="11">
        <v>15518625.239571</v>
      </c>
      <c r="BD25" s="11">
        <v>3748021.8499173</v>
      </c>
      <c r="BE25" s="11">
        <v>0.0010964159594267</v>
      </c>
      <c r="BF25" s="11">
        <v>0.0010321698011789</v>
      </c>
      <c r="BG25" s="11">
        <v>0.0053204012610676</v>
      </c>
      <c r="BH25" s="11">
        <v>-0.0014220080462648</v>
      </c>
      <c r="BI25" s="11">
        <v>-0.0017046903801483</v>
      </c>
      <c r="BJ25" s="11">
        <v>49.999912291298</v>
      </c>
      <c r="BK25" s="11">
        <v>53.613070719753</v>
      </c>
      <c r="BL25" s="7"/>
    </row>
    <row r="26" spans="1:64">
      <c r="A26" s="11">
        <v>518052.06901758</v>
      </c>
      <c r="B26" s="11">
        <v>0.0053551157864281</v>
      </c>
      <c r="C26" s="12">
        <f t="shared" si="0"/>
        <v>9.59397318395656e-9</v>
      </c>
      <c r="D26" s="12">
        <v>6.9952514406944e-10</v>
      </c>
      <c r="E26" s="12">
        <v>6.9422541698043e-10</v>
      </c>
      <c r="F26" s="12">
        <v>7.3930870670664e-10</v>
      </c>
      <c r="G26" s="12">
        <v>7.1632840646968e-10</v>
      </c>
      <c r="H26" s="12">
        <v>7.2656250672126e-10</v>
      </c>
      <c r="I26" s="12">
        <v>7.4890806678252e-10</v>
      </c>
      <c r="J26" s="12">
        <v>6.6883641905109e-10</v>
      </c>
      <c r="K26" s="12">
        <v>7.540703731384e-10</v>
      </c>
      <c r="L26" s="12">
        <v>7.4926649895343e-10</v>
      </c>
      <c r="M26" s="12">
        <v>7.3149773094868e-10</v>
      </c>
      <c r="N26" s="12">
        <v>5.4903135165901e-10</v>
      </c>
      <c r="O26" s="12">
        <v>7.3011953112275e-10</v>
      </c>
      <c r="P26" s="12">
        <v>5.3934443819565e-10</v>
      </c>
      <c r="Q26" s="12">
        <v>5.8311725257718e-10</v>
      </c>
      <c r="R26" s="12">
        <v>7.1918816412811e-10</v>
      </c>
      <c r="S26" s="12">
        <v>6.8307568897457e-10</v>
      </c>
      <c r="T26" s="12">
        <v>7.3864092479704e-10</v>
      </c>
      <c r="U26" s="12">
        <v>6.9311245331824e-10</v>
      </c>
      <c r="V26" s="12">
        <v>7.1963176885297e-10</v>
      </c>
      <c r="W26" s="12">
        <v>7.5422989519278e-10</v>
      </c>
      <c r="X26" s="12">
        <v>7.6961135195521e-10</v>
      </c>
      <c r="Y26" s="12">
        <v>5.4308574965282e-10</v>
      </c>
      <c r="Z26" s="12">
        <v>5.7138336821973e-10</v>
      </c>
      <c r="AA26" s="12">
        <v>5.6627839202306e-10</v>
      </c>
      <c r="AB26" s="11">
        <v>0.99996922813281</v>
      </c>
      <c r="AC26" s="11">
        <v>0.8151220207087</v>
      </c>
      <c r="AD26" s="11">
        <v>0.0055973033136962</v>
      </c>
      <c r="AE26" s="12">
        <v>3.4419507541695e-11</v>
      </c>
      <c r="AF26" s="12">
        <v>2.0121443258185e-11</v>
      </c>
      <c r="AG26" s="12">
        <v>-4.4994561569386e-12</v>
      </c>
      <c r="AH26" s="12">
        <v>7.4084270960549e-11</v>
      </c>
      <c r="AI26" s="12">
        <v>-7.3484540728953e-11</v>
      </c>
      <c r="AJ26" s="12">
        <v>-1.3695528734701e-11</v>
      </c>
      <c r="AK26" s="12">
        <v>4.9274141662699e-11</v>
      </c>
      <c r="AL26" s="12">
        <v>-2.9491383470318e-11</v>
      </c>
      <c r="AM26" s="12">
        <v>9.074581382534e-11</v>
      </c>
      <c r="AN26" s="12">
        <v>-2.4809223064754e-11</v>
      </c>
      <c r="AO26" s="12">
        <v>6.4689395317323e-11</v>
      </c>
      <c r="AP26" s="12">
        <v>6.662951233177e-11</v>
      </c>
      <c r="AQ26" s="12">
        <v>-1.0676365981986e-11</v>
      </c>
      <c r="AR26" s="12">
        <v>2.1425709497892e-11</v>
      </c>
      <c r="AS26" s="12">
        <v>-5.8002061873837e-12</v>
      </c>
      <c r="AT26" s="12">
        <v>-1.7492824146118e-11</v>
      </c>
      <c r="AU26" s="12">
        <v>5.2345052079367e-12</v>
      </c>
      <c r="AV26" s="12">
        <v>-4.8430558975399e-11</v>
      </c>
      <c r="AW26" s="12">
        <v>2.8876023294142e-12</v>
      </c>
      <c r="AX26" s="12">
        <v>-6.9600811506246e-11</v>
      </c>
      <c r="AY26" s="12">
        <v>-3.4061554252908e-11</v>
      </c>
      <c r="AZ26" s="12">
        <v>-7.6815970352798e-13</v>
      </c>
      <c r="BA26" s="12">
        <v>6.1175533896063e-11</v>
      </c>
      <c r="BB26" s="12">
        <v>1.1325796072171e-10</v>
      </c>
      <c r="BC26" s="11">
        <v>15402523.928933</v>
      </c>
      <c r="BD26" s="11">
        <v>3737071.9348142</v>
      </c>
      <c r="BE26" s="11">
        <v>0.0014196826047741</v>
      </c>
      <c r="BF26" s="11">
        <v>0.0013274010819864</v>
      </c>
      <c r="BG26" s="11">
        <v>0.0064639098128146</v>
      </c>
      <c r="BH26" s="11">
        <v>-0.003688599514142</v>
      </c>
      <c r="BI26" s="11">
        <v>-0.0035906123813027</v>
      </c>
      <c r="BJ26" s="11">
        <v>49.995793079816</v>
      </c>
      <c r="BK26" s="11">
        <v>53.991761445931</v>
      </c>
      <c r="BL26" s="7"/>
    </row>
    <row r="27" spans="1:64">
      <c r="A27" s="11">
        <v>652188.91431877</v>
      </c>
      <c r="B27" s="11">
        <v>0.0066083223946767</v>
      </c>
      <c r="C27" s="12">
        <f t="shared" si="0"/>
        <v>9.3427469941958e-9</v>
      </c>
      <c r="D27" s="12">
        <v>6.7955518284629e-10</v>
      </c>
      <c r="E27" s="12">
        <v>6.698502328138e-10</v>
      </c>
      <c r="F27" s="12">
        <v>7.2820411889109e-10</v>
      </c>
      <c r="G27" s="12">
        <v>6.9930998301998e-10</v>
      </c>
      <c r="H27" s="12">
        <v>7.1837502208836e-10</v>
      </c>
      <c r="I27" s="12">
        <v>7.3740959184856e-10</v>
      </c>
      <c r="J27" s="12">
        <v>6.4147611517851e-10</v>
      </c>
      <c r="K27" s="12">
        <v>7.3412280168999e-10</v>
      </c>
      <c r="L27" s="12">
        <v>7.2465403134843e-10</v>
      </c>
      <c r="M27" s="12">
        <v>7.0553089563778e-10</v>
      </c>
      <c r="N27" s="12">
        <v>5.3684683036345e-10</v>
      </c>
      <c r="O27" s="12">
        <v>7.1800820936376e-10</v>
      </c>
      <c r="P27" s="12">
        <v>5.2779161853376e-10</v>
      </c>
      <c r="Q27" s="12">
        <v>5.8076955690301e-10</v>
      </c>
      <c r="R27" s="12">
        <v>7.0000215973329e-10</v>
      </c>
      <c r="S27" s="12">
        <v>6.5773506776948e-10</v>
      </c>
      <c r="T27" s="12">
        <v>7.2965687842376e-10</v>
      </c>
      <c r="U27" s="12">
        <v>6.7621883975862e-10</v>
      </c>
      <c r="V27" s="12">
        <v>6.9058198585628e-10</v>
      </c>
      <c r="W27" s="12">
        <v>7.3001695535494e-10</v>
      </c>
      <c r="X27" s="12">
        <v>7.5230205332459e-10</v>
      </c>
      <c r="Y27" s="12">
        <v>5.3031129669365e-10</v>
      </c>
      <c r="Z27" s="12">
        <v>5.6602945233828e-10</v>
      </c>
      <c r="AA27" s="12">
        <v>5.6071992407987e-10</v>
      </c>
      <c r="AB27" s="11">
        <v>0.99997457878052</v>
      </c>
      <c r="AC27" s="11">
        <v>0.80798116133514</v>
      </c>
      <c r="AD27" s="11">
        <v>0.0068519025094999</v>
      </c>
      <c r="AE27" s="12">
        <v>3.9895651674312e-11</v>
      </c>
      <c r="AF27" s="12">
        <v>1.7269422599921e-11</v>
      </c>
      <c r="AG27" s="12">
        <v>-5.1717842219092e-12</v>
      </c>
      <c r="AH27" s="12">
        <v>6.3042520170114e-11</v>
      </c>
      <c r="AI27" s="12">
        <v>-8.3336947664868e-11</v>
      </c>
      <c r="AJ27" s="12">
        <v>-2.2067885445679e-11</v>
      </c>
      <c r="AK27" s="12">
        <v>4.7948700542715e-11</v>
      </c>
      <c r="AL27" s="12">
        <v>-3.0568771089748e-11</v>
      </c>
      <c r="AM27" s="12">
        <v>8.7214035847909e-11</v>
      </c>
      <c r="AN27" s="12">
        <v>-2.2806258605797e-11</v>
      </c>
      <c r="AO27" s="12">
        <v>6.0177029008505e-11</v>
      </c>
      <c r="AP27" s="12">
        <v>6.508368547199e-11</v>
      </c>
      <c r="AQ27" s="12">
        <v>-9.6458896370881e-12</v>
      </c>
      <c r="AR27" s="12">
        <v>2.0255231216957e-11</v>
      </c>
      <c r="AS27" s="12">
        <v>-4.8764769119986e-12</v>
      </c>
      <c r="AT27" s="12">
        <v>-1.6668159863681e-11</v>
      </c>
      <c r="AU27" s="12">
        <v>-8.5971953433739e-13</v>
      </c>
      <c r="AV27" s="12">
        <v>-5.6157424702443e-11</v>
      </c>
      <c r="AW27" s="12">
        <v>2.2681438600256e-13</v>
      </c>
      <c r="AX27" s="12">
        <v>-6.7136882688894e-11</v>
      </c>
      <c r="AY27" s="12">
        <v>-2.9218159239174e-11</v>
      </c>
      <c r="AZ27" s="12">
        <v>3.8761451847006e-12</v>
      </c>
      <c r="BA27" s="12">
        <v>6.1751396673359e-11</v>
      </c>
      <c r="BB27" s="12">
        <v>1.1068547034637e-10</v>
      </c>
      <c r="BC27" s="11">
        <v>15260470.130337</v>
      </c>
      <c r="BD27" s="11">
        <v>3726229.9598145</v>
      </c>
      <c r="BE27" s="11">
        <v>0.0018261578134791</v>
      </c>
      <c r="BF27" s="11">
        <v>0.0016983621680425</v>
      </c>
      <c r="BG27" s="11">
        <v>0.0078557473090431</v>
      </c>
      <c r="BH27" s="11">
        <v>0.0014322254819586</v>
      </c>
      <c r="BI27" s="11">
        <v>0.00089075435295925</v>
      </c>
      <c r="BJ27" s="11">
        <v>49.990060602302</v>
      </c>
      <c r="BK27" s="11">
        <v>54.273913853236</v>
      </c>
      <c r="BL27" s="7"/>
    </row>
    <row r="28" spans="1:64">
      <c r="A28" s="11">
        <v>821057.19752635</v>
      </c>
      <c r="B28" s="11">
        <v>0.0081343209826178</v>
      </c>
      <c r="C28" s="12">
        <f t="shared" si="0"/>
        <v>9.03662048879409e-9</v>
      </c>
      <c r="D28" s="12">
        <v>6.5464857865453e-10</v>
      </c>
      <c r="E28" s="12">
        <v>6.4188789080308e-10</v>
      </c>
      <c r="F28" s="12">
        <v>7.1307216929781e-10</v>
      </c>
      <c r="G28" s="12">
        <v>6.7830033890752e-10</v>
      </c>
      <c r="H28" s="12">
        <v>7.0504481393273e-10</v>
      </c>
      <c r="I28" s="12">
        <v>7.1936732801858e-10</v>
      </c>
      <c r="J28" s="12">
        <v>6.0942697512787e-10</v>
      </c>
      <c r="K28" s="12">
        <v>7.0809712454989e-10</v>
      </c>
      <c r="L28" s="12">
        <v>6.9504691768365e-10</v>
      </c>
      <c r="M28" s="12">
        <v>6.7445980040201e-10</v>
      </c>
      <c r="N28" s="12">
        <v>5.2039938210624e-10</v>
      </c>
      <c r="O28" s="12">
        <v>7.0090498061824e-10</v>
      </c>
      <c r="P28" s="12">
        <v>5.1283988006602e-10</v>
      </c>
      <c r="Q28" s="12">
        <v>5.7290098644693e-10</v>
      </c>
      <c r="R28" s="12">
        <v>6.7744892305778e-10</v>
      </c>
      <c r="S28" s="12">
        <v>6.2915913190233e-10</v>
      </c>
      <c r="T28" s="12">
        <v>7.1679340317135e-10</v>
      </c>
      <c r="U28" s="12">
        <v>6.5477178465244e-10</v>
      </c>
      <c r="V28" s="12">
        <v>6.5714445585794e-10</v>
      </c>
      <c r="W28" s="12">
        <v>7.0025111940569e-10</v>
      </c>
      <c r="X28" s="12">
        <v>7.2856143794779e-10</v>
      </c>
      <c r="Y28" s="12">
        <v>5.1306110648322e-10</v>
      </c>
      <c r="Z28" s="12">
        <v>5.5561634418924e-10</v>
      </c>
      <c r="AA28" s="12">
        <v>5.5083365933424e-10</v>
      </c>
      <c r="AB28" s="11">
        <v>0.99997919205388</v>
      </c>
      <c r="AC28" s="11">
        <v>0.80225943221114</v>
      </c>
      <c r="AD28" s="11">
        <v>0.0083789096287538</v>
      </c>
      <c r="AE28" s="12">
        <v>4.4781084632018e-11</v>
      </c>
      <c r="AF28" s="12">
        <v>1.4589987702372e-11</v>
      </c>
      <c r="AG28" s="12">
        <v>-5.285747931018e-12</v>
      </c>
      <c r="AH28" s="12">
        <v>5.1961690703729e-11</v>
      </c>
      <c r="AI28" s="12">
        <v>-9.1550249035169e-11</v>
      </c>
      <c r="AJ28" s="12">
        <v>-3.0201232160077e-11</v>
      </c>
      <c r="AK28" s="12">
        <v>4.5237714652014e-11</v>
      </c>
      <c r="AL28" s="12">
        <v>-3.1258502965393e-11</v>
      </c>
      <c r="AM28" s="12">
        <v>8.3329290175937e-11</v>
      </c>
      <c r="AN28" s="12">
        <v>-2.1598478207331e-11</v>
      </c>
      <c r="AO28" s="12">
        <v>5.5035669894749e-11</v>
      </c>
      <c r="AP28" s="12">
        <v>6.3695486205723e-11</v>
      </c>
      <c r="AQ28" s="12">
        <v>-8.92495731316e-12</v>
      </c>
      <c r="AR28" s="12">
        <v>1.6096014358661e-11</v>
      </c>
      <c r="AS28" s="12">
        <v>-4.4747407763992e-12</v>
      </c>
      <c r="AT28" s="12">
        <v>-1.6414865894771e-11</v>
      </c>
      <c r="AU28" s="12">
        <v>-9.3900148532173e-12</v>
      </c>
      <c r="AV28" s="12">
        <v>-6.2138583851852e-11</v>
      </c>
      <c r="AW28" s="12">
        <v>-1.5211853449667e-12</v>
      </c>
      <c r="AX28" s="12">
        <v>-6.4713674087424e-11</v>
      </c>
      <c r="AY28" s="12">
        <v>-2.5067103798237e-11</v>
      </c>
      <c r="AZ28" s="12">
        <v>7.6709835785315e-12</v>
      </c>
      <c r="BA28" s="12">
        <v>6.1090831996648e-11</v>
      </c>
      <c r="BB28" s="12">
        <v>1.0426257440759e-10</v>
      </c>
      <c r="BC28" s="11">
        <v>15088037.574814</v>
      </c>
      <c r="BD28" s="11">
        <v>3711845.5298025</v>
      </c>
      <c r="BE28" s="11">
        <v>0.0023360976936283</v>
      </c>
      <c r="BF28" s="11">
        <v>0.0021632018750346</v>
      </c>
      <c r="BG28" s="11">
        <v>0.0095367069151386</v>
      </c>
      <c r="BH28" s="11">
        <v>-0.0023087454882647</v>
      </c>
      <c r="BI28" s="11">
        <v>-0.0022117808015553</v>
      </c>
      <c r="BJ28" s="11">
        <v>49.997330731797</v>
      </c>
      <c r="BK28" s="11">
        <v>54.505560701931</v>
      </c>
      <c r="BL28" s="7"/>
    </row>
    <row r="29" spans="1:64">
      <c r="A29" s="11">
        <v>933861.1905466</v>
      </c>
      <c r="B29" s="11">
        <v>0.0091222557637165</v>
      </c>
      <c r="C29" s="12">
        <f t="shared" si="0"/>
        <v>8.75797704183532e-9</v>
      </c>
      <c r="D29" s="12">
        <v>6.3746091843744e-10</v>
      </c>
      <c r="E29" s="12">
        <v>6.2209036218999e-10</v>
      </c>
      <c r="F29" s="12">
        <v>7.0314546797239e-10</v>
      </c>
      <c r="G29" s="12">
        <v>6.6277570295962e-10</v>
      </c>
      <c r="H29" s="12">
        <v>6.9951905177829e-10</v>
      </c>
      <c r="I29" s="12">
        <v>7.0532589355176e-10</v>
      </c>
      <c r="J29" s="12">
        <v>5.88888924622e-10</v>
      </c>
      <c r="K29" s="12">
        <v>6.9148326329793e-10</v>
      </c>
      <c r="L29" s="12">
        <v>6.7355941492219e-10</v>
      </c>
      <c r="M29" s="12">
        <v>6.5351910062314e-10</v>
      </c>
      <c r="N29" s="12">
        <v>5.118514956512e-10</v>
      </c>
      <c r="O29" s="12">
        <v>6.9057887398235e-10</v>
      </c>
      <c r="P29" s="12">
        <v>5.0508552514863e-10</v>
      </c>
      <c r="Q29" s="12">
        <v>5.6969593226246e-10</v>
      </c>
      <c r="R29" s="12">
        <v>6.6173595826197e-10</v>
      </c>
      <c r="S29" s="12">
        <v>6.0994573853277e-10</v>
      </c>
      <c r="T29" s="12">
        <v>7.062641915944e-10</v>
      </c>
      <c r="U29" s="12">
        <v>6.430584228684e-10</v>
      </c>
      <c r="V29" s="12">
        <v>6.3440514808128e-10</v>
      </c>
      <c r="W29" s="12">
        <v>6.7979565534694e-10</v>
      </c>
      <c r="X29" s="12">
        <v>7.1230864642644e-10</v>
      </c>
      <c r="Y29" s="12">
        <v>5.0247818568432e-10</v>
      </c>
      <c r="Z29" s="12">
        <v>5.5313128759616e-10</v>
      </c>
      <c r="AA29" s="12">
        <v>5.4597512676699e-10</v>
      </c>
      <c r="AB29" s="11">
        <v>0.99963813403787</v>
      </c>
      <c r="AC29" s="11">
        <v>0.79628958498428</v>
      </c>
      <c r="AD29" s="11">
        <v>0.0093671222067464</v>
      </c>
      <c r="AE29" s="12">
        <v>4.43348721527e-11</v>
      </c>
      <c r="AF29" s="12">
        <v>9.9212150482365e-12</v>
      </c>
      <c r="AG29" s="12">
        <v>1.131836607651e-12</v>
      </c>
      <c r="AH29" s="12">
        <v>4.4591780050103e-11</v>
      </c>
      <c r="AI29" s="12">
        <v>-9.7565570168448e-11</v>
      </c>
      <c r="AJ29" s="12">
        <v>-2.7557748617215e-11</v>
      </c>
      <c r="AK29" s="12">
        <v>4.2676352786199e-11</v>
      </c>
      <c r="AL29" s="12">
        <v>-3.2584799059483e-11</v>
      </c>
      <c r="AM29" s="12">
        <v>8.1708956201101e-11</v>
      </c>
      <c r="AN29" s="12">
        <v>-2.2150680094729e-11</v>
      </c>
      <c r="AO29" s="12">
        <v>5.3708821605163e-11</v>
      </c>
      <c r="AP29" s="12">
        <v>6.5606731192943e-11</v>
      </c>
      <c r="AQ29" s="12">
        <v>-8.9667463407922e-12</v>
      </c>
      <c r="AR29" s="12">
        <v>1.6166802256063e-11</v>
      </c>
      <c r="AS29" s="12">
        <v>6.9886804199561e-12</v>
      </c>
      <c r="AT29" s="12">
        <v>-1.6666419440222e-11</v>
      </c>
      <c r="AU29" s="12">
        <v>-1.4302299134055e-11</v>
      </c>
      <c r="AV29" s="12">
        <v>-6.5060084992961e-11</v>
      </c>
      <c r="AW29" s="12">
        <v>-3.9100025357943e-12</v>
      </c>
      <c r="AX29" s="12">
        <v>-6.2987749401885e-11</v>
      </c>
      <c r="AY29" s="12">
        <v>-2.2639607879002e-11</v>
      </c>
      <c r="AZ29" s="12">
        <v>8.9568482866154e-12</v>
      </c>
      <c r="BA29" s="12">
        <v>5.9603100040089e-11</v>
      </c>
      <c r="BB29" s="12">
        <v>1.0190455906793e-10</v>
      </c>
      <c r="BC29" s="11">
        <v>14976839.519922</v>
      </c>
      <c r="BD29" s="11">
        <v>3700638.2609823</v>
      </c>
      <c r="BE29" s="11">
        <v>0.0026747523046932</v>
      </c>
      <c r="BF29" s="11">
        <v>0.0024713659501024</v>
      </c>
      <c r="BG29" s="11">
        <v>0.010617107383649</v>
      </c>
      <c r="BH29" s="11">
        <v>-0.0025844996649445</v>
      </c>
      <c r="BI29" s="11">
        <v>-0.0026214165462204</v>
      </c>
      <c r="BJ29" s="11">
        <v>49.988924169483</v>
      </c>
      <c r="BK29" s="11">
        <v>54.61383049395</v>
      </c>
      <c r="BL29" s="7"/>
    </row>
    <row r="30" spans="1:64">
      <c r="A30" s="11">
        <v>1044014.3804327</v>
      </c>
      <c r="B30" s="11">
        <v>0.010064229451388</v>
      </c>
      <c r="C30" s="12">
        <f t="shared" si="0"/>
        <v>8.55148805627431e-9</v>
      </c>
      <c r="D30" s="12">
        <v>6.2378392853427e-10</v>
      </c>
      <c r="E30" s="12">
        <v>6.0679815949467e-10</v>
      </c>
      <c r="F30" s="12">
        <v>6.9098524699049e-10</v>
      </c>
      <c r="G30" s="12">
        <v>6.5166800555175e-10</v>
      </c>
      <c r="H30" s="12">
        <v>6.8619962383989e-10</v>
      </c>
      <c r="I30" s="12">
        <v>6.9620711152039e-10</v>
      </c>
      <c r="J30" s="12">
        <v>5.7167175704593e-10</v>
      </c>
      <c r="K30" s="12">
        <v>6.7652603921449e-10</v>
      </c>
      <c r="L30" s="12">
        <v>6.65887467577e-10</v>
      </c>
      <c r="M30" s="12">
        <v>6.3917365077826e-10</v>
      </c>
      <c r="N30" s="12">
        <v>5.0496491107505e-10</v>
      </c>
      <c r="O30" s="12">
        <v>6.8068133303851e-10</v>
      </c>
      <c r="P30" s="12">
        <v>4.9703120551045e-10</v>
      </c>
      <c r="Q30" s="12">
        <v>5.6053605982301e-10</v>
      </c>
      <c r="R30" s="12">
        <v>6.4758583195275e-10</v>
      </c>
      <c r="S30" s="12">
        <v>5.9499930444696e-10</v>
      </c>
      <c r="T30" s="12">
        <v>6.9727916202693e-10</v>
      </c>
      <c r="U30" s="12">
        <v>6.2829004320807e-10</v>
      </c>
      <c r="V30" s="12">
        <v>6.2150498492225e-10</v>
      </c>
      <c r="W30" s="12">
        <v>6.6767716085923e-10</v>
      </c>
      <c r="X30" s="12">
        <v>7.0000952956966e-10</v>
      </c>
      <c r="Y30" s="12">
        <v>4.9383123003954e-10</v>
      </c>
      <c r="Z30" s="12">
        <v>5.445465159358e-10</v>
      </c>
      <c r="AA30" s="12">
        <v>5.3833679700234e-10</v>
      </c>
      <c r="AB30" s="11">
        <v>0.99991647079556</v>
      </c>
      <c r="AC30" s="11">
        <v>0.7957902876399</v>
      </c>
      <c r="AD30" s="11">
        <v>0.01030903015891</v>
      </c>
      <c r="AE30" s="12">
        <v>4.6886470156567e-11</v>
      </c>
      <c r="AF30" s="12">
        <v>9.0109334861212e-12</v>
      </c>
      <c r="AG30" s="12">
        <v>-6.0004522610238e-12</v>
      </c>
      <c r="AH30" s="12">
        <v>4.0779519867817e-11</v>
      </c>
      <c r="AI30" s="12">
        <v>-9.7691536225653e-11</v>
      </c>
      <c r="AJ30" s="12">
        <v>-3.0841434105379e-11</v>
      </c>
      <c r="AK30" s="12">
        <v>4.0587554608129e-11</v>
      </c>
      <c r="AL30" s="12">
        <v>-3.0933698077052e-11</v>
      </c>
      <c r="AM30" s="12">
        <v>8.1414136756307e-11</v>
      </c>
      <c r="AN30" s="12">
        <v>-2.2534356219871e-11</v>
      </c>
      <c r="AO30" s="12">
        <v>4.706091911581e-11</v>
      </c>
      <c r="AP30" s="12">
        <v>6.5169791388672e-11</v>
      </c>
      <c r="AQ30" s="12">
        <v>-8.2856678755757e-12</v>
      </c>
      <c r="AR30" s="12">
        <v>1.2211028588575e-11</v>
      </c>
      <c r="AS30" s="12">
        <v>-3.2189123612354e-12</v>
      </c>
      <c r="AT30" s="12">
        <v>-1.7537255901952e-11</v>
      </c>
      <c r="AU30" s="12">
        <v>-2.0509043631269e-11</v>
      </c>
      <c r="AV30" s="12">
        <v>-6.6383961567235e-11</v>
      </c>
      <c r="AW30" s="12">
        <v>-1.0711823877854e-12</v>
      </c>
      <c r="AX30" s="12">
        <v>-6.4779889018145e-11</v>
      </c>
      <c r="AY30" s="12">
        <v>-2.1999884999357e-11</v>
      </c>
      <c r="AZ30" s="12">
        <v>1.1201129928736e-11</v>
      </c>
      <c r="BA30" s="12">
        <v>5.5373057649914e-11</v>
      </c>
      <c r="BB30" s="12">
        <v>9.4875448571321e-11</v>
      </c>
      <c r="BC30" s="11">
        <v>14871114.489006</v>
      </c>
      <c r="BD30" s="11">
        <v>3688008.6984392</v>
      </c>
      <c r="BE30" s="11">
        <v>0.003004230127099</v>
      </c>
      <c r="BF30" s="11">
        <v>0.0027711966952469</v>
      </c>
      <c r="BG30" s="11">
        <v>0.011641167055902</v>
      </c>
      <c r="BH30" s="11">
        <v>-0.0094150970476123</v>
      </c>
      <c r="BI30" s="11">
        <v>-0.0090282970532386</v>
      </c>
      <c r="BJ30" s="11">
        <v>49.982654046661</v>
      </c>
      <c r="BK30" s="11">
        <v>54.692853891847</v>
      </c>
      <c r="BL30" s="7"/>
    </row>
    <row r="31" spans="1:64">
      <c r="A31" s="11">
        <v>1191206.4748724</v>
      </c>
      <c r="B31" s="11">
        <v>0.011290929310361</v>
      </c>
      <c r="C31" s="12">
        <f t="shared" si="0"/>
        <v>8.33400641279373e-9</v>
      </c>
      <c r="D31" s="12">
        <v>6.0716399324581e-10</v>
      </c>
      <c r="E31" s="12">
        <v>5.9147398442645e-10</v>
      </c>
      <c r="F31" s="12">
        <v>6.8081029690977e-10</v>
      </c>
      <c r="G31" s="12">
        <v>6.416490996211e-10</v>
      </c>
      <c r="H31" s="12">
        <v>6.777272576328e-10</v>
      </c>
      <c r="I31" s="12">
        <v>6.8055121077483e-10</v>
      </c>
      <c r="J31" s="12">
        <v>5.5373285038043e-10</v>
      </c>
      <c r="K31" s="12">
        <v>6.6376543950909e-10</v>
      </c>
      <c r="L31" s="12">
        <v>6.5116440184439e-10</v>
      </c>
      <c r="M31" s="12">
        <v>6.2393973036638e-10</v>
      </c>
      <c r="N31" s="12">
        <v>4.9591809840534e-10</v>
      </c>
      <c r="O31" s="12">
        <v>6.6911941334333e-10</v>
      </c>
      <c r="P31" s="12">
        <v>4.9100110752337e-10</v>
      </c>
      <c r="Q31" s="12">
        <v>5.5485698766131e-10</v>
      </c>
      <c r="R31" s="12">
        <v>6.330226384577e-10</v>
      </c>
      <c r="S31" s="12">
        <v>5.8114302039324e-10</v>
      </c>
      <c r="T31" s="12">
        <v>6.897390587877e-10</v>
      </c>
      <c r="U31" s="12">
        <v>6.1628495758752e-10</v>
      </c>
      <c r="V31" s="12">
        <v>6.0648891145598e-10</v>
      </c>
      <c r="W31" s="12">
        <v>6.5275608053868e-10</v>
      </c>
      <c r="X31" s="12">
        <v>6.87416428787e-10</v>
      </c>
      <c r="Y31" s="12">
        <v>4.8491380286795e-10</v>
      </c>
      <c r="Z31" s="12">
        <v>5.3837055083458e-10</v>
      </c>
      <c r="AA31" s="12">
        <v>5.3355905260654e-10</v>
      </c>
      <c r="AB31" s="11">
        <v>0.99998500097836</v>
      </c>
      <c r="AC31" s="11">
        <v>0.79583623712516</v>
      </c>
      <c r="AD31" s="11">
        <v>0.011535605560423</v>
      </c>
      <c r="AE31" s="12">
        <v>4.9934678091041e-11</v>
      </c>
      <c r="AF31" s="12">
        <v>1.1906903514334e-11</v>
      </c>
      <c r="AG31" s="12">
        <v>-7.131687165377e-12</v>
      </c>
      <c r="AH31" s="12">
        <v>3.5829851933916e-11</v>
      </c>
      <c r="AI31" s="12">
        <v>-1.0110692167685e-10</v>
      </c>
      <c r="AJ31" s="12">
        <v>-3.5188310727808e-11</v>
      </c>
      <c r="AK31" s="12">
        <v>3.8903156254712e-11</v>
      </c>
      <c r="AL31" s="12">
        <v>-3.3035222947443e-11</v>
      </c>
      <c r="AM31" s="12">
        <v>7.8851276425185e-11</v>
      </c>
      <c r="AN31" s="12">
        <v>-2.3597893298309e-11</v>
      </c>
      <c r="AO31" s="12">
        <v>4.1472849791919e-11</v>
      </c>
      <c r="AP31" s="12">
        <v>6.8702816440605e-11</v>
      </c>
      <c r="AQ31" s="12">
        <v>-8.5716626858045e-12</v>
      </c>
      <c r="AR31" s="12">
        <v>1.1229659025397e-11</v>
      </c>
      <c r="AS31" s="12">
        <v>-1.1805377487668e-11</v>
      </c>
      <c r="AT31" s="12">
        <v>-1.8289910926872e-11</v>
      </c>
      <c r="AU31" s="12">
        <v>-2.6472320286184e-11</v>
      </c>
      <c r="AV31" s="12">
        <v>-6.7902825335496e-11</v>
      </c>
      <c r="AW31" s="12">
        <v>7.2626529012622e-13</v>
      </c>
      <c r="AX31" s="12">
        <v>-6.7989534440969e-11</v>
      </c>
      <c r="AY31" s="12">
        <v>-2.126932874204e-11</v>
      </c>
      <c r="AZ31" s="12">
        <v>1.2219473403845e-11</v>
      </c>
      <c r="BA31" s="12">
        <v>5.1240270583395e-11</v>
      </c>
      <c r="BB31" s="12">
        <v>9.1407867121937e-11</v>
      </c>
      <c r="BC31" s="11">
        <v>14733814.447264</v>
      </c>
      <c r="BD31" s="11">
        <v>3667914.772207</v>
      </c>
      <c r="BE31" s="11">
        <v>0.0034432175545022</v>
      </c>
      <c r="BF31" s="11">
        <v>0.003171053889476</v>
      </c>
      <c r="BG31" s="11">
        <v>0.012966228861349</v>
      </c>
      <c r="BH31" s="11">
        <v>-0.0014874202077215</v>
      </c>
      <c r="BI31" s="11">
        <v>-0.0022319391384548</v>
      </c>
      <c r="BJ31" s="11">
        <v>49.989701366165</v>
      </c>
      <c r="BK31" s="11">
        <v>54.839311940754</v>
      </c>
      <c r="BL31" s="7"/>
    </row>
    <row r="32" spans="1:64">
      <c r="A32" s="11">
        <v>1327104.7743803</v>
      </c>
      <c r="B32" s="11">
        <v>0.012392602720351</v>
      </c>
      <c r="C32" s="12">
        <f t="shared" si="0"/>
        <v>8.1066018778694e-9</v>
      </c>
      <c r="D32" s="12">
        <v>6.1504960108267e-10</v>
      </c>
      <c r="E32" s="12">
        <v>6.0794397047374e-10</v>
      </c>
      <c r="F32" s="12">
        <v>7.0300439700361e-10</v>
      </c>
      <c r="G32" s="12">
        <v>6.4821606100589e-10</v>
      </c>
      <c r="H32" s="12">
        <v>6.8009845718655e-10</v>
      </c>
      <c r="I32" s="12">
        <v>7.0412206519117e-10</v>
      </c>
      <c r="J32" s="12">
        <v>5.4972312408184e-10</v>
      </c>
      <c r="K32" s="12">
        <v>6.6546155906203e-10</v>
      </c>
      <c r="L32" s="12">
        <v>6.9071886123511e-10</v>
      </c>
      <c r="M32" s="12">
        <v>6.2646710037358e-10</v>
      </c>
      <c r="N32" s="12">
        <v>5.4485378398855e-10</v>
      </c>
      <c r="O32" s="12">
        <v>6.8323306010837e-10</v>
      </c>
      <c r="P32" s="12">
        <v>5.0128888078853e-10</v>
      </c>
      <c r="Q32" s="12">
        <v>5.6416936552345e-10</v>
      </c>
      <c r="R32" s="12">
        <v>6.6855816351886e-10</v>
      </c>
      <c r="S32" s="12">
        <v>5.8352215659803e-10</v>
      </c>
      <c r="T32" s="12">
        <v>7.0070597217436e-10</v>
      </c>
      <c r="U32" s="12">
        <v>6.1400540014934e-10</v>
      </c>
      <c r="V32" s="12">
        <v>6.2610295859714e-10</v>
      </c>
      <c r="W32" s="12">
        <v>6.6687855269377e-10</v>
      </c>
      <c r="X32" s="12">
        <v>6.9246452300336e-10</v>
      </c>
      <c r="Y32" s="12">
        <v>5.0412047572174e-10</v>
      </c>
      <c r="Z32" s="12">
        <v>5.7599076727495e-10</v>
      </c>
      <c r="AA32" s="12">
        <v>5.4188858312712e-10</v>
      </c>
      <c r="AB32" s="11">
        <v>0.99985626769965</v>
      </c>
      <c r="AC32" s="11">
        <v>0.78698804084359</v>
      </c>
      <c r="AD32" s="11">
        <v>0.012636558483865</v>
      </c>
      <c r="AE32" s="12">
        <v>3.9821755541471e-11</v>
      </c>
      <c r="AF32" s="12">
        <v>3.5003336878739e-12</v>
      </c>
      <c r="AG32" s="12">
        <v>8.2637143652612e-12</v>
      </c>
      <c r="AH32" s="12">
        <v>2.5161087676199e-11</v>
      </c>
      <c r="AI32" s="12">
        <v>-9.3950964440781e-11</v>
      </c>
      <c r="AJ32" s="12">
        <v>-1.3686428252114e-11</v>
      </c>
      <c r="AK32" s="12">
        <v>3.8070675218443e-11</v>
      </c>
      <c r="AL32" s="12">
        <v>-3.5619492809334e-11</v>
      </c>
      <c r="AM32" s="12">
        <v>1.0654080064878e-10</v>
      </c>
      <c r="AN32" s="12">
        <v>-2.7337870502231e-11</v>
      </c>
      <c r="AO32" s="12">
        <v>5.2253413083228e-11</v>
      </c>
      <c r="AP32" s="12">
        <v>5.8796524522608e-11</v>
      </c>
      <c r="AQ32" s="12">
        <v>-8.7245283404909e-12</v>
      </c>
      <c r="AR32" s="12">
        <v>6.1002884222643e-12</v>
      </c>
      <c r="AS32" s="12">
        <v>6.8019855640628e-12</v>
      </c>
      <c r="AT32" s="12">
        <v>-2.0374307057655e-11</v>
      </c>
      <c r="AU32" s="12">
        <v>-4.0778230259739e-11</v>
      </c>
      <c r="AV32" s="12">
        <v>-7.0179108637156e-11</v>
      </c>
      <c r="AW32" s="12">
        <v>1.1078120481235e-11</v>
      </c>
      <c r="AX32" s="12">
        <v>-9.7104798682956e-11</v>
      </c>
      <c r="AY32" s="12">
        <v>-2.4638834414585e-11</v>
      </c>
      <c r="AZ32" s="12">
        <v>6.2936267275544e-12</v>
      </c>
      <c r="BA32" s="12">
        <v>5.5303823853537e-11</v>
      </c>
      <c r="BB32" s="12">
        <v>8.5171935628752e-11</v>
      </c>
      <c r="BC32" s="11">
        <v>14611385.43411</v>
      </c>
      <c r="BD32" s="11">
        <v>3648662.3497261</v>
      </c>
      <c r="BE32" s="11">
        <v>0.0038456953467121</v>
      </c>
      <c r="BF32" s="11">
        <v>0.0035358543005771</v>
      </c>
      <c r="BG32" s="11">
        <v>0.014148080557668</v>
      </c>
      <c r="BH32" s="11">
        <v>-0.0032050787676396</v>
      </c>
      <c r="BI32" s="11">
        <v>-0.0034712407824238</v>
      </c>
      <c r="BJ32" s="11">
        <v>49.983080347683</v>
      </c>
      <c r="BK32" s="11">
        <v>55.0923099146</v>
      </c>
      <c r="BL32" s="7"/>
    </row>
    <row r="33" spans="1:64">
      <c r="A33" s="11">
        <v>1402934.8530505</v>
      </c>
      <c r="B33" s="11">
        <v>0.012997077457068</v>
      </c>
      <c r="C33" s="12">
        <f t="shared" si="0"/>
        <v>7.97143755245173e-9</v>
      </c>
      <c r="D33" s="12">
        <v>5.7668331612871e-10</v>
      </c>
      <c r="E33" s="12">
        <v>5.6028171272304e-10</v>
      </c>
      <c r="F33" s="12">
        <v>6.6035074396149e-10</v>
      </c>
      <c r="G33" s="12">
        <v>6.1154538399401e-10</v>
      </c>
      <c r="H33" s="12">
        <v>6.5585318948551e-10</v>
      </c>
      <c r="I33" s="12">
        <v>6.4732598614569e-10</v>
      </c>
      <c r="J33" s="12">
        <v>5.2120406304071e-10</v>
      </c>
      <c r="K33" s="12">
        <v>6.2400139778361e-10</v>
      </c>
      <c r="L33" s="12">
        <v>5.9767549649031e-10</v>
      </c>
      <c r="M33" s="12">
        <v>5.8401334325052e-10</v>
      </c>
      <c r="N33" s="12">
        <v>4.6318734841892e-10</v>
      </c>
      <c r="O33" s="12">
        <v>6.4180388131915e-10</v>
      </c>
      <c r="P33" s="12">
        <v>4.705881515739e-10</v>
      </c>
      <c r="Q33" s="12">
        <v>5.3468894242564e-10</v>
      </c>
      <c r="R33" s="12">
        <v>6.0732465311841e-10</v>
      </c>
      <c r="S33" s="12">
        <v>5.5007492707146e-10</v>
      </c>
      <c r="T33" s="12">
        <v>6.655616011409e-10</v>
      </c>
      <c r="U33" s="12">
        <v>5.9160416357123e-10</v>
      </c>
      <c r="V33" s="12">
        <v>5.6226577848646e-10</v>
      </c>
      <c r="W33" s="12">
        <v>6.0625939996558e-10</v>
      </c>
      <c r="X33" s="12">
        <v>6.4867932645893e-10</v>
      </c>
      <c r="Y33" s="12">
        <v>4.5897232989932e-10</v>
      </c>
      <c r="Z33" s="12">
        <v>5.1001673941404e-10</v>
      </c>
      <c r="AA33" s="12">
        <v>5.1413152220342e-10</v>
      </c>
      <c r="AB33" s="11">
        <v>0.99987423716152</v>
      </c>
      <c r="AC33" s="11">
        <v>0.79173010941433</v>
      </c>
      <c r="AD33" s="11">
        <v>0.013241166640741</v>
      </c>
      <c r="AE33" s="12">
        <v>4.9271373216147e-11</v>
      </c>
      <c r="AF33" s="12">
        <v>5.6271117856948e-12</v>
      </c>
      <c r="AG33" s="12">
        <v>-1.1039444044085e-11</v>
      </c>
      <c r="AH33" s="12">
        <v>3.0870840965677e-11</v>
      </c>
      <c r="AI33" s="12">
        <v>-1.0467968908232e-10</v>
      </c>
      <c r="AJ33" s="12">
        <v>-4.466312285872e-11</v>
      </c>
      <c r="AK33" s="12">
        <v>3.5411229431266e-11</v>
      </c>
      <c r="AL33" s="12">
        <v>-3.2211447412406e-11</v>
      </c>
      <c r="AM33" s="12">
        <v>5.5367514843445e-11</v>
      </c>
      <c r="AN33" s="12">
        <v>-2.4136454664643e-11</v>
      </c>
      <c r="AO33" s="12">
        <v>4.2177333677436e-11</v>
      </c>
      <c r="AP33" s="12">
        <v>5.8298846478255e-11</v>
      </c>
      <c r="AQ33" s="12">
        <v>-8.4051608920156e-12</v>
      </c>
      <c r="AR33" s="12">
        <v>3.835415470169e-12</v>
      </c>
      <c r="AS33" s="12">
        <v>-9.174413691158e-12</v>
      </c>
      <c r="AT33" s="12">
        <v>-2.0923001039773e-11</v>
      </c>
      <c r="AU33" s="12">
        <v>-2.7992421069044e-11</v>
      </c>
      <c r="AV33" s="12">
        <v>-7.200843361437e-11</v>
      </c>
      <c r="AW33" s="12">
        <v>-4.2005464169869e-12</v>
      </c>
      <c r="AX33" s="12">
        <v>-4.5954626507486e-11</v>
      </c>
      <c r="AY33" s="12">
        <v>-1.6684642470254e-11</v>
      </c>
      <c r="AZ33" s="12">
        <v>1.4577776236129e-11</v>
      </c>
      <c r="BA33" s="12">
        <v>5.9755163032831e-11</v>
      </c>
      <c r="BB33" s="12">
        <v>8.183076688256e-11</v>
      </c>
      <c r="BC33" s="11">
        <v>14544122.036542</v>
      </c>
      <c r="BD33" s="11">
        <v>3635891.5427339</v>
      </c>
      <c r="BE33" s="11">
        <v>0.00407219966531</v>
      </c>
      <c r="BF33" s="11">
        <v>0.0037415559112974</v>
      </c>
      <c r="BG33" s="11">
        <v>0.014793252278852</v>
      </c>
      <c r="BH33" s="11">
        <v>-0.0013929111459095</v>
      </c>
      <c r="BI33" s="11">
        <v>-0.0012754614907805</v>
      </c>
      <c r="BJ33" s="11">
        <v>49.983929189408</v>
      </c>
      <c r="BK33" s="11">
        <v>54.888410474991</v>
      </c>
      <c r="BL33" s="7"/>
    </row>
    <row r="34" spans="1:64">
      <c r="A34" s="11">
        <v>1571554.9212364</v>
      </c>
      <c r="B34" s="11">
        <v>0.014295386873375</v>
      </c>
      <c r="C34" s="12">
        <f t="shared" si="0"/>
        <v>7.69961387321727e-9</v>
      </c>
      <c r="D34" s="12">
        <v>5.5882185759632e-10</v>
      </c>
      <c r="E34" s="12">
        <v>5.4078128881916e-10</v>
      </c>
      <c r="F34" s="12">
        <v>6.4251098475124e-10</v>
      </c>
      <c r="G34" s="12">
        <v>5.9255564983031e-10</v>
      </c>
      <c r="H34" s="12">
        <v>6.3955265275032e-10</v>
      </c>
      <c r="I34" s="12">
        <v>6.3196080310217e-10</v>
      </c>
      <c r="J34" s="12">
        <v>5.0297565546103e-10</v>
      </c>
      <c r="K34" s="12">
        <v>6.0675740911519e-10</v>
      </c>
      <c r="L34" s="12">
        <v>5.8952619751544e-10</v>
      </c>
      <c r="M34" s="12">
        <v>5.6696034278939e-10</v>
      </c>
      <c r="N34" s="12">
        <v>4.5702448124547e-10</v>
      </c>
      <c r="O34" s="12">
        <v>6.2730464328948e-10</v>
      </c>
      <c r="P34" s="12">
        <v>4.6118652659385e-10</v>
      </c>
      <c r="Q34" s="12">
        <v>5.2263306527137e-10</v>
      </c>
      <c r="R34" s="12">
        <v>5.8889056580531e-10</v>
      </c>
      <c r="S34" s="12">
        <v>5.3127025214651e-10</v>
      </c>
      <c r="T34" s="12">
        <v>6.4682368308053e-10</v>
      </c>
      <c r="U34" s="12">
        <v>5.7499762575038e-10</v>
      </c>
      <c r="V34" s="12">
        <v>5.4819924303229e-10</v>
      </c>
      <c r="W34" s="12">
        <v>5.9294205501964e-10</v>
      </c>
      <c r="X34" s="12">
        <v>6.3182128876963e-10</v>
      </c>
      <c r="Y34" s="12">
        <v>4.496829167893e-10</v>
      </c>
      <c r="Z34" s="12">
        <v>5.0164634762452e-10</v>
      </c>
      <c r="AA34" s="12">
        <v>5.0311849907561e-10</v>
      </c>
      <c r="AB34" s="11">
        <v>0.99998537685423</v>
      </c>
      <c r="AC34" s="11">
        <v>0.79264020128284</v>
      </c>
      <c r="AD34" s="11">
        <v>0.014539038678051</v>
      </c>
      <c r="AE34" s="12">
        <v>4.9393695451353e-11</v>
      </c>
      <c r="AF34" s="12">
        <v>6.0124907432099e-12</v>
      </c>
      <c r="AG34" s="12">
        <v>-1.0092550616627e-11</v>
      </c>
      <c r="AH34" s="12">
        <v>2.4350969095115e-11</v>
      </c>
      <c r="AI34" s="12">
        <v>-1.0676536525716e-10</v>
      </c>
      <c r="AJ34" s="12">
        <v>-4.323716706894e-11</v>
      </c>
      <c r="AK34" s="12">
        <v>3.2679076616186e-11</v>
      </c>
      <c r="AL34" s="12">
        <v>-3.3867299182966e-11</v>
      </c>
      <c r="AM34" s="12">
        <v>5.6217573182167e-11</v>
      </c>
      <c r="AN34" s="12">
        <v>-2.2254035614373e-11</v>
      </c>
      <c r="AO34" s="12">
        <v>3.4222333038522e-11</v>
      </c>
      <c r="AP34" s="12">
        <v>6.00484737008e-11</v>
      </c>
      <c r="AQ34" s="12">
        <v>-8.6556559871339e-12</v>
      </c>
      <c r="AR34" s="12">
        <v>1.7772883262212e-12</v>
      </c>
      <c r="AS34" s="12">
        <v>-8.1993611825042e-12</v>
      </c>
      <c r="AT34" s="12">
        <v>-2.0163444026511e-11</v>
      </c>
      <c r="AU34" s="12">
        <v>-3.5809859238005e-11</v>
      </c>
      <c r="AV34" s="12">
        <v>-7.0928442082481e-11</v>
      </c>
      <c r="AW34" s="12">
        <v>-6.7650864898536e-12</v>
      </c>
      <c r="AX34" s="12">
        <v>-4.9358480981632e-11</v>
      </c>
      <c r="AY34" s="12">
        <v>-1.5780904517813e-11</v>
      </c>
      <c r="AZ34" s="12">
        <v>1.8289451492588e-11</v>
      </c>
      <c r="BA34" s="12">
        <v>5.3262311387446e-11</v>
      </c>
      <c r="BB34" s="12">
        <v>7.7587492014175e-11</v>
      </c>
      <c r="BC34" s="11">
        <v>14400438.667119</v>
      </c>
      <c r="BD34" s="11">
        <v>3608062.2632472</v>
      </c>
      <c r="BE34" s="11">
        <v>0.0045600851071559</v>
      </c>
      <c r="BF34" s="11">
        <v>0.0041821995149943</v>
      </c>
      <c r="BG34" s="11">
        <v>0.016173143003919</v>
      </c>
      <c r="BH34" s="11">
        <v>-0.00092601702549933</v>
      </c>
      <c r="BI34" s="11">
        <v>-0.0012966476992488</v>
      </c>
      <c r="BJ34" s="11">
        <v>49.982200384567</v>
      </c>
      <c r="BK34" s="11">
        <v>54.956931747107</v>
      </c>
      <c r="BL34" s="7"/>
    </row>
    <row r="35" spans="1:64">
      <c r="A35" s="11">
        <v>1695330.888884</v>
      </c>
      <c r="B35" s="11">
        <v>0.015220391275938</v>
      </c>
      <c r="C35" s="12">
        <f t="shared" si="0"/>
        <v>7.47321487476924e-9</v>
      </c>
      <c r="D35" s="12">
        <v>5.4351856239775e-10</v>
      </c>
      <c r="E35" s="12">
        <v>5.256368662003e-10</v>
      </c>
      <c r="F35" s="12">
        <v>6.2854830611933e-10</v>
      </c>
      <c r="G35" s="12">
        <v>5.7846293696831e-10</v>
      </c>
      <c r="H35" s="12">
        <v>6.2629871072543e-10</v>
      </c>
      <c r="I35" s="12">
        <v>6.1658167933624e-10</v>
      </c>
      <c r="J35" s="12">
        <v>4.8763839335796e-10</v>
      </c>
      <c r="K35" s="12">
        <v>5.9105397474919e-10</v>
      </c>
      <c r="L35" s="12">
        <v>5.7506319665347e-10</v>
      </c>
      <c r="M35" s="12">
        <v>5.5121921049583e-10</v>
      </c>
      <c r="N35" s="12">
        <v>4.4802715979715e-10</v>
      </c>
      <c r="O35" s="12">
        <v>6.1359304995401e-10</v>
      </c>
      <c r="P35" s="12">
        <v>4.5294648875812e-10</v>
      </c>
      <c r="Q35" s="12">
        <v>5.1206614646716e-10</v>
      </c>
      <c r="R35" s="12">
        <v>5.7428700254825e-10</v>
      </c>
      <c r="S35" s="12">
        <v>5.1656843074606e-10</v>
      </c>
      <c r="T35" s="12">
        <v>6.3303055353614e-10</v>
      </c>
      <c r="U35" s="12">
        <v>5.6162056612371e-10</v>
      </c>
      <c r="V35" s="12">
        <v>5.3302056841976e-10</v>
      </c>
      <c r="W35" s="12">
        <v>5.7735204201582e-10</v>
      </c>
      <c r="X35" s="12">
        <v>6.1633179893868e-10</v>
      </c>
      <c r="Y35" s="12">
        <v>4.4037378437222e-10</v>
      </c>
      <c r="Z35" s="12">
        <v>4.9140116511953e-10</v>
      </c>
      <c r="AA35" s="12">
        <v>4.9394584884479e-10</v>
      </c>
      <c r="AB35" s="11">
        <v>0.99997314611847</v>
      </c>
      <c r="AC35" s="11">
        <v>0.79154882804285</v>
      </c>
      <c r="AD35" s="11">
        <v>0.015463611091454</v>
      </c>
      <c r="AE35" s="12">
        <v>4.8794706493833e-11</v>
      </c>
      <c r="AF35" s="12">
        <v>5.7431119051555e-12</v>
      </c>
      <c r="AG35" s="12">
        <v>-1.0886929437511e-11</v>
      </c>
      <c r="AH35" s="12">
        <v>2.0835362967676e-11</v>
      </c>
      <c r="AI35" s="12">
        <v>-1.0831625438333e-10</v>
      </c>
      <c r="AJ35" s="12">
        <v>-4.3595482819294e-11</v>
      </c>
      <c r="AK35" s="12">
        <v>3.0863436724832e-11</v>
      </c>
      <c r="AL35" s="12">
        <v>-3.4436998855515e-11</v>
      </c>
      <c r="AM35" s="12">
        <v>5.149016733677e-11</v>
      </c>
      <c r="AN35" s="12">
        <v>-2.2239905078863e-11</v>
      </c>
      <c r="AO35" s="12">
        <v>3.1095061983046e-11</v>
      </c>
      <c r="AP35" s="12">
        <v>5.9154228744365e-11</v>
      </c>
      <c r="AQ35" s="12">
        <v>-8.9875247609431e-12</v>
      </c>
      <c r="AR35" s="12">
        <v>-5.9002418497384e-13</v>
      </c>
      <c r="AS35" s="12">
        <v>-9.2740008913258e-12</v>
      </c>
      <c r="AT35" s="12">
        <v>-2.0704991114343e-11</v>
      </c>
      <c r="AU35" s="12">
        <v>-4.0000324986536e-11</v>
      </c>
      <c r="AV35" s="12">
        <v>-7.1644499267998e-11</v>
      </c>
      <c r="AW35" s="12">
        <v>-7.3635252878598e-12</v>
      </c>
      <c r="AX35" s="12">
        <v>-4.6894978888098e-11</v>
      </c>
      <c r="AY35" s="12">
        <v>-1.4617239680516e-11</v>
      </c>
      <c r="AZ35" s="12">
        <v>1.9943244341645e-11</v>
      </c>
      <c r="BA35" s="12">
        <v>5.141863184037e-11</v>
      </c>
      <c r="BB35" s="12">
        <v>7.3488509613737e-11</v>
      </c>
      <c r="BC35" s="11">
        <v>14298545.281986</v>
      </c>
      <c r="BD35" s="11">
        <v>3586663.4125243</v>
      </c>
      <c r="BE35" s="11">
        <v>0.0049130151704341</v>
      </c>
      <c r="BF35" s="11">
        <v>0.0045016773377918</v>
      </c>
      <c r="BG35" s="11">
        <v>0.017150142486189</v>
      </c>
      <c r="BH35" s="11">
        <v>-0.0018552523846423</v>
      </c>
      <c r="BI35" s="11">
        <v>-0.0024965846019198</v>
      </c>
      <c r="BJ35" s="11">
        <v>49.984483207953</v>
      </c>
      <c r="BK35" s="11">
        <v>55.02128456675</v>
      </c>
      <c r="BL35" s="7"/>
    </row>
    <row r="36" spans="1:64">
      <c r="A36" s="11">
        <v>1879552.8659261</v>
      </c>
      <c r="B36" s="11">
        <v>0.016557890162237</v>
      </c>
      <c r="C36" s="12">
        <f t="shared" si="0"/>
        <v>7.26025693445546e-9</v>
      </c>
      <c r="D36" s="12">
        <v>5.2349950752584e-10</v>
      </c>
      <c r="E36" s="12">
        <v>5.0593815256997e-10</v>
      </c>
      <c r="F36" s="12">
        <v>6.0995571361015e-10</v>
      </c>
      <c r="G36" s="12">
        <v>5.5932865372829e-10</v>
      </c>
      <c r="H36" s="12">
        <v>6.0892380621731e-10</v>
      </c>
      <c r="I36" s="12">
        <v>5.9664305529599e-10</v>
      </c>
      <c r="J36" s="12">
        <v>4.6831229695793e-10</v>
      </c>
      <c r="K36" s="12">
        <v>5.6883322910507e-10</v>
      </c>
      <c r="L36" s="12">
        <v>5.5249033767902e-10</v>
      </c>
      <c r="M36" s="12">
        <v>5.2928931153736e-10</v>
      </c>
      <c r="N36" s="12">
        <v>4.353315123463e-10</v>
      </c>
      <c r="O36" s="12">
        <v>5.9592004432174e-10</v>
      </c>
      <c r="P36" s="12">
        <v>4.4218350173668e-10</v>
      </c>
      <c r="Q36" s="12">
        <v>4.9757936924453e-10</v>
      </c>
      <c r="R36" s="12">
        <v>5.5601375750352e-10</v>
      </c>
      <c r="S36" s="12">
        <v>4.9711419727613e-10</v>
      </c>
      <c r="T36" s="12">
        <v>6.1366229026773e-10</v>
      </c>
      <c r="U36" s="12">
        <v>5.4456538532419e-10</v>
      </c>
      <c r="V36" s="12">
        <v>5.1097365257548e-10</v>
      </c>
      <c r="W36" s="12">
        <v>5.5466998433925e-10</v>
      </c>
      <c r="X36" s="12">
        <v>5.9397606770168e-10</v>
      </c>
      <c r="Y36" s="12">
        <v>4.2819086748098e-10</v>
      </c>
      <c r="Z36" s="12">
        <v>4.7734368610377e-10</v>
      </c>
      <c r="AA36" s="12">
        <v>4.8101165250381e-10</v>
      </c>
      <c r="AB36" s="11">
        <v>0.9999033838369</v>
      </c>
      <c r="AC36" s="11">
        <v>0.78867831261286</v>
      </c>
      <c r="AD36" s="11">
        <v>0.016800355344525</v>
      </c>
      <c r="AE36" s="12">
        <v>4.8915128779489e-11</v>
      </c>
      <c r="AF36" s="12">
        <v>5.5319960532035e-12</v>
      </c>
      <c r="AG36" s="12">
        <v>-1.258187291652e-11</v>
      </c>
      <c r="AH36" s="12">
        <v>1.6982885957121e-11</v>
      </c>
      <c r="AI36" s="12">
        <v>-1.0984867398532e-10</v>
      </c>
      <c r="AJ36" s="12">
        <v>-4.4993533411965e-11</v>
      </c>
      <c r="AK36" s="12">
        <v>2.8187243618397e-11</v>
      </c>
      <c r="AL36" s="12">
        <v>-3.4614066087671e-11</v>
      </c>
      <c r="AM36" s="12">
        <v>4.6028345942032e-11</v>
      </c>
      <c r="AN36" s="12">
        <v>-2.2891728158272e-11</v>
      </c>
      <c r="AO36" s="12">
        <v>2.7468252936746e-11</v>
      </c>
      <c r="AP36" s="12">
        <v>5.8031608649708e-11</v>
      </c>
      <c r="AQ36" s="12">
        <v>-9.8628424024237e-12</v>
      </c>
      <c r="AR36" s="12">
        <v>-3.6999365988989e-12</v>
      </c>
      <c r="AS36" s="12">
        <v>-1.1127777623277e-11</v>
      </c>
      <c r="AT36" s="12">
        <v>-2.1614015905184e-11</v>
      </c>
      <c r="AU36" s="12">
        <v>-4.3565124351545e-11</v>
      </c>
      <c r="AV36" s="12">
        <v>-7.1130387924413e-11</v>
      </c>
      <c r="AW36" s="12">
        <v>-7.9346805440244e-12</v>
      </c>
      <c r="AX36" s="12">
        <v>-4.27449990003e-11</v>
      </c>
      <c r="AY36" s="12">
        <v>-1.3694621669038e-11</v>
      </c>
      <c r="AZ36" s="12">
        <v>2.1599610563536e-11</v>
      </c>
      <c r="BA36" s="12">
        <v>4.9290820421463e-11</v>
      </c>
      <c r="BB36" s="12">
        <v>6.8353047444138e-11</v>
      </c>
      <c r="BC36" s="11">
        <v>14151947.84219</v>
      </c>
      <c r="BD36" s="11">
        <v>3554084.3588025</v>
      </c>
      <c r="BE36" s="11">
        <v>0.005430834648926</v>
      </c>
      <c r="BF36" s="11">
        <v>0.0049702660454119</v>
      </c>
      <c r="BG36" s="11">
        <v>0.018554317339198</v>
      </c>
      <c r="BH36" s="11">
        <v>-0.0021106449648539</v>
      </c>
      <c r="BI36" s="11">
        <v>-0.0025427952782448</v>
      </c>
      <c r="BJ36" s="11">
        <v>49.976128800934</v>
      </c>
      <c r="BK36" s="11">
        <v>55.109931838165</v>
      </c>
      <c r="BL36" s="7"/>
    </row>
    <row r="37" spans="1:64">
      <c r="A37" s="11">
        <v>1950735.252204</v>
      </c>
      <c r="B37" s="11">
        <v>0.01706135640487</v>
      </c>
      <c r="C37" s="12">
        <f t="shared" si="0"/>
        <v>7.07290481478715e-9</v>
      </c>
      <c r="D37" s="12">
        <v>5.1578694410234e-10</v>
      </c>
      <c r="E37" s="12">
        <v>4.9840708130232e-10</v>
      </c>
      <c r="F37" s="12">
        <v>6.0373842287032e-10</v>
      </c>
      <c r="G37" s="12">
        <v>5.5255339474124e-10</v>
      </c>
      <c r="H37" s="12">
        <v>6.0174981413887e-10</v>
      </c>
      <c r="I37" s="12">
        <v>5.8836390315463e-10</v>
      </c>
      <c r="J37" s="12">
        <v>4.6096949564573e-10</v>
      </c>
      <c r="K37" s="12">
        <v>5.6122543047693e-10</v>
      </c>
      <c r="L37" s="12">
        <v>5.4720208459079e-10</v>
      </c>
      <c r="M37" s="12">
        <v>5.2214456970996e-10</v>
      </c>
      <c r="N37" s="12">
        <v>4.2988788578616e-10</v>
      </c>
      <c r="O37" s="12">
        <v>5.8814876482732e-10</v>
      </c>
      <c r="P37" s="12">
        <v>4.3737959200435e-10</v>
      </c>
      <c r="Q37" s="12">
        <v>4.9132411758766e-10</v>
      </c>
      <c r="R37" s="12">
        <v>5.4876335225557e-10</v>
      </c>
      <c r="S37" s="12">
        <v>4.9032661043017e-10</v>
      </c>
      <c r="T37" s="12">
        <v>6.0742289628819e-10</v>
      </c>
      <c r="U37" s="12">
        <v>5.3760610634178e-10</v>
      </c>
      <c r="V37" s="12">
        <v>5.0489515170133e-10</v>
      </c>
      <c r="W37" s="12">
        <v>5.4774416553198e-10</v>
      </c>
      <c r="X37" s="12">
        <v>5.8633026937573e-10</v>
      </c>
      <c r="Y37" s="12">
        <v>4.2269490466864e-10</v>
      </c>
      <c r="Z37" s="12">
        <v>4.7088093432731e-10</v>
      </c>
      <c r="AA37" s="12">
        <v>4.7604482959923e-10</v>
      </c>
      <c r="AB37" s="11">
        <v>0.99995287915577</v>
      </c>
      <c r="AC37" s="11">
        <v>0.78924871790473</v>
      </c>
      <c r="AD37" s="11">
        <v>0.017303514541854</v>
      </c>
      <c r="AE37" s="12">
        <v>4.8523291129765e-11</v>
      </c>
      <c r="AF37" s="12">
        <v>4.9818235034096e-12</v>
      </c>
      <c r="AG37" s="12">
        <v>-1.2953372162504e-11</v>
      </c>
      <c r="AH37" s="12">
        <v>1.6224909215872e-11</v>
      </c>
      <c r="AI37" s="12">
        <v>-1.1021127063068e-10</v>
      </c>
      <c r="AJ37" s="12">
        <v>-4.5830226465151e-11</v>
      </c>
      <c r="AK37" s="12">
        <v>2.7713637626445e-11</v>
      </c>
      <c r="AL37" s="12">
        <v>-3.5240025326348e-11</v>
      </c>
      <c r="AM37" s="12">
        <v>4.4549838602075e-11</v>
      </c>
      <c r="AN37" s="12">
        <v>-2.2507627824768e-11</v>
      </c>
      <c r="AO37" s="12">
        <v>2.5941901432665e-11</v>
      </c>
      <c r="AP37" s="12">
        <v>5.6707023996535e-11</v>
      </c>
      <c r="AQ37" s="12">
        <v>-9.8884517133905e-12</v>
      </c>
      <c r="AR37" s="12">
        <v>-4.7598936557561e-12</v>
      </c>
      <c r="AS37" s="12">
        <v>-1.1695924287774e-11</v>
      </c>
      <c r="AT37" s="12">
        <v>-2.2111793255991e-11</v>
      </c>
      <c r="AU37" s="12">
        <v>-4.4882305312538e-11</v>
      </c>
      <c r="AV37" s="12">
        <v>-7.2100071523475e-11</v>
      </c>
      <c r="AW37" s="12">
        <v>-8.1987547411687e-12</v>
      </c>
      <c r="AX37" s="12">
        <v>-4.3355522315404e-11</v>
      </c>
      <c r="AY37" s="12">
        <v>-1.2875554514288e-11</v>
      </c>
      <c r="AZ37" s="12">
        <v>2.2402188999711e-11</v>
      </c>
      <c r="BA37" s="12">
        <v>4.8135615555066e-11</v>
      </c>
      <c r="BB37" s="12">
        <v>6.6293467208868e-11</v>
      </c>
      <c r="BC37" s="11">
        <v>14097015.573238</v>
      </c>
      <c r="BD37" s="11">
        <v>3541419.5837554</v>
      </c>
      <c r="BE37" s="11">
        <v>0.0056280590018074</v>
      </c>
      <c r="BF37" s="11">
        <v>0.0051487213416915</v>
      </c>
      <c r="BG37" s="11">
        <v>0.01908029492429</v>
      </c>
      <c r="BH37" s="11">
        <v>-0.0093097594364681</v>
      </c>
      <c r="BI37" s="11">
        <v>-0.0089570775372308</v>
      </c>
      <c r="BJ37" s="11">
        <v>49.97263384836</v>
      </c>
      <c r="BK37" s="11">
        <v>55.150934544247</v>
      </c>
      <c r="BL37" s="7"/>
    </row>
    <row r="38" spans="1:64">
      <c r="A38" s="13"/>
      <c r="B38" s="13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"/>
      <c r="AD38" s="7"/>
      <c r="AE38" s="7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7"/>
      <c r="BE38" s="7"/>
      <c r="BF38" s="13"/>
      <c r="BG38" s="13"/>
      <c r="BH38" s="7"/>
      <c r="BI38" s="13"/>
      <c r="BJ38" s="13"/>
      <c r="BK38" s="7"/>
      <c r="BL38" s="7"/>
    </row>
    <row r="39" spans="1:64">
      <c r="A39" s="13"/>
      <c r="B39" s="13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7"/>
      <c r="AD39" s="7"/>
      <c r="AE39" s="7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7"/>
      <c r="BE39" s="7"/>
      <c r="BF39" s="13"/>
      <c r="BG39" s="13"/>
      <c r="BH39" s="7"/>
      <c r="BI39" s="13"/>
      <c r="BJ39" s="13"/>
      <c r="BK39" s="7"/>
      <c r="BL39" s="7"/>
    </row>
    <row r="40" spans="1:64">
      <c r="A40" s="13"/>
      <c r="B40" s="13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7"/>
      <c r="AD40" s="7"/>
      <c r="AE40" s="7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7"/>
      <c r="BE40" s="7"/>
      <c r="BF40" s="13"/>
      <c r="BG40" s="13"/>
      <c r="BH40" s="7"/>
      <c r="BI40" s="13"/>
      <c r="BJ40" s="13"/>
      <c r="BK40" s="7"/>
      <c r="BL40" s="7"/>
    </row>
    <row r="41" spans="1:64">
      <c r="A41" s="13"/>
      <c r="B41" s="13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7"/>
      <c r="AD41" s="7"/>
      <c r="AE41" s="7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7"/>
      <c r="BE41" s="7"/>
      <c r="BF41" s="13"/>
      <c r="BG41" s="13"/>
      <c r="BH41" s="7"/>
      <c r="BI41" s="13"/>
      <c r="BJ41" s="13"/>
      <c r="BK41" s="7"/>
      <c r="BL41" s="7"/>
    </row>
    <row r="42" spans="1:64">
      <c r="A42" s="13"/>
      <c r="B42" s="13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7"/>
      <c r="AD42" s="7"/>
      <c r="AE42" s="7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7"/>
      <c r="BE42" s="7"/>
      <c r="BF42" s="13"/>
      <c r="BG42" s="13"/>
      <c r="BH42" s="7"/>
      <c r="BI42" s="13"/>
      <c r="BJ42" s="13"/>
      <c r="BK42" s="7"/>
      <c r="BL42" s="7"/>
    </row>
    <row r="43" spans="1:64">
      <c r="A43" s="13"/>
      <c r="B43" s="13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7"/>
      <c r="AD43" s="7"/>
      <c r="AE43" s="7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7"/>
      <c r="BE43" s="7"/>
      <c r="BF43" s="13"/>
      <c r="BG43" s="13"/>
      <c r="BH43" s="7"/>
      <c r="BI43" s="13"/>
      <c r="BJ43" s="13"/>
      <c r="BK43" s="7"/>
      <c r="BL43" s="7"/>
    </row>
    <row r="44" spans="1:64">
      <c r="A44" s="13"/>
      <c r="B44" s="13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7"/>
      <c r="AD44" s="7"/>
      <c r="AE44" s="7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7"/>
      <c r="BE44" s="7"/>
      <c r="BF44" s="13"/>
      <c r="BG44" s="13"/>
      <c r="BH44" s="7"/>
      <c r="BI44" s="13"/>
      <c r="BJ44" s="13"/>
      <c r="BK44" s="7"/>
      <c r="BL44" s="7"/>
    </row>
    <row r="45" spans="1:64">
      <c r="A45" s="13"/>
      <c r="B45" s="13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7"/>
      <c r="AD45" s="7"/>
      <c r="AE45" s="7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7"/>
      <c r="BE45" s="7"/>
      <c r="BF45" s="13"/>
      <c r="BG45" s="13"/>
      <c r="BH45" s="7"/>
      <c r="BI45" s="13"/>
      <c r="BJ45" s="13"/>
      <c r="BK45" s="7"/>
      <c r="BL45" s="7"/>
    </row>
    <row r="46" spans="1:64">
      <c r="A46" s="13"/>
      <c r="B46" s="13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7"/>
      <c r="AD46" s="7"/>
      <c r="AE46" s="7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7"/>
      <c r="BE46" s="7"/>
      <c r="BF46" s="13"/>
      <c r="BG46" s="13"/>
      <c r="BH46" s="7"/>
      <c r="BI46" s="13"/>
      <c r="BJ46" s="13"/>
      <c r="BK46" s="7"/>
      <c r="BL46" s="7"/>
    </row>
    <row r="47" spans="1:64">
      <c r="A47" s="13"/>
      <c r="B47" s="13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7"/>
      <c r="AD47" s="7"/>
      <c r="AE47" s="7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7"/>
      <c r="BE47" s="7"/>
      <c r="BF47" s="13"/>
      <c r="BG47" s="13"/>
      <c r="BH47" s="7"/>
      <c r="BI47" s="13"/>
      <c r="BJ47" s="13"/>
      <c r="BK47" s="7"/>
      <c r="BL47" s="7"/>
    </row>
    <row r="48" spans="1:64">
      <c r="A48" s="13"/>
      <c r="B48" s="13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"/>
      <c r="AD48" s="7"/>
      <c r="AE48" s="7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7"/>
      <c r="BE48" s="7"/>
      <c r="BF48" s="13"/>
      <c r="BG48" s="13"/>
      <c r="BH48" s="7"/>
      <c r="BI48" s="13"/>
      <c r="BJ48" s="13"/>
      <c r="BK48" s="7"/>
      <c r="BL48" s="7"/>
    </row>
    <row r="49" spans="1:64">
      <c r="A49" s="13"/>
      <c r="B49" s="13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7"/>
      <c r="AD49" s="7"/>
      <c r="AE49" s="7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7"/>
      <c r="BE49" s="7"/>
      <c r="BF49" s="13"/>
      <c r="BG49" s="13"/>
      <c r="BH49" s="7"/>
      <c r="BI49" s="13"/>
      <c r="BJ49" s="13"/>
      <c r="BK49" s="7"/>
      <c r="BL49" s="7"/>
    </row>
    <row r="50" spans="1:64">
      <c r="A50" s="13"/>
      <c r="B50" s="13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7"/>
      <c r="AD50" s="7"/>
      <c r="AE50" s="7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7"/>
      <c r="BE50" s="7"/>
      <c r="BF50" s="13"/>
      <c r="BG50" s="13"/>
      <c r="BH50" s="7"/>
      <c r="BI50" s="13"/>
      <c r="BJ50" s="13"/>
      <c r="BK50" s="7"/>
      <c r="BL50" s="7"/>
    </row>
    <row r="51" spans="1:64">
      <c r="A51" s="13"/>
      <c r="B51" s="13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7"/>
      <c r="AD51" s="7"/>
      <c r="AE51" s="7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7"/>
      <c r="BE51" s="7"/>
      <c r="BF51" s="13"/>
      <c r="BG51" s="13"/>
      <c r="BH51" s="7"/>
      <c r="BI51" s="13"/>
      <c r="BJ51" s="13"/>
      <c r="BK51" s="7"/>
      <c r="BL51" s="7"/>
    </row>
    <row r="52" spans="1:64">
      <c r="A52" s="13"/>
      <c r="B52" s="13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7"/>
      <c r="AD52" s="7"/>
      <c r="AE52" s="7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7"/>
      <c r="BE52" s="7"/>
      <c r="BF52" s="13"/>
      <c r="BG52" s="13"/>
      <c r="BH52" s="7"/>
      <c r="BI52" s="13"/>
      <c r="BJ52" s="13"/>
      <c r="BK52" s="7"/>
      <c r="BL52" s="7"/>
    </row>
    <row r="53" spans="1:64">
      <c r="A53" s="13"/>
      <c r="B53" s="13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7"/>
      <c r="AD53" s="7"/>
      <c r="AE53" s="7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7"/>
      <c r="BE53" s="7"/>
      <c r="BF53" s="13"/>
      <c r="BG53" s="13"/>
      <c r="BH53" s="7"/>
      <c r="BI53" s="13"/>
      <c r="BJ53" s="13"/>
      <c r="BK53" s="7"/>
      <c r="BL53" s="7"/>
    </row>
    <row r="54" spans="1:64">
      <c r="A54" s="13"/>
      <c r="B54" s="13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7"/>
      <c r="AD54" s="7"/>
      <c r="AE54" s="7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7"/>
      <c r="BE54" s="7"/>
      <c r="BF54" s="13"/>
      <c r="BG54" s="13"/>
      <c r="BH54" s="7"/>
      <c r="BI54" s="13"/>
      <c r="BJ54" s="13"/>
      <c r="BK54" s="7"/>
      <c r="BL54" s="7"/>
    </row>
    <row r="55" spans="1:64">
      <c r="A55" s="13"/>
      <c r="B55" s="13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7"/>
      <c r="AD55" s="7"/>
      <c r="AE55" s="7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7"/>
      <c r="BE55" s="7"/>
      <c r="BF55" s="13"/>
      <c r="BG55" s="13"/>
      <c r="BH55" s="7"/>
      <c r="BI55" s="13"/>
      <c r="BJ55" s="13"/>
      <c r="BK55" s="7"/>
      <c r="BL55" s="7"/>
    </row>
    <row r="56" spans="1:64">
      <c r="A56" s="13"/>
      <c r="B56" s="13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7"/>
      <c r="AD56" s="7"/>
      <c r="AE56" s="7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7"/>
      <c r="BE56" s="7"/>
      <c r="BF56" s="13"/>
      <c r="BG56" s="13"/>
      <c r="BH56" s="7"/>
      <c r="BI56" s="13"/>
      <c r="BJ56" s="13"/>
      <c r="BK56" s="7"/>
      <c r="BL56" s="7"/>
    </row>
    <row r="57" spans="1:64">
      <c r="A57" s="13"/>
      <c r="B57" s="13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7"/>
      <c r="AD57" s="7"/>
      <c r="AE57" s="7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7"/>
      <c r="BE57" s="7"/>
      <c r="BF57" s="13"/>
      <c r="BG57" s="13"/>
      <c r="BH57" s="7"/>
      <c r="BI57" s="13"/>
      <c r="BJ57" s="13"/>
      <c r="BK57" s="7"/>
      <c r="BL57" s="7"/>
    </row>
    <row r="58" spans="1:64">
      <c r="A58" s="13"/>
      <c r="B58" s="13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7"/>
      <c r="AD58" s="7"/>
      <c r="AE58" s="7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7"/>
      <c r="BE58" s="7"/>
      <c r="BF58" s="13"/>
      <c r="BG58" s="13"/>
      <c r="BH58" s="7"/>
      <c r="BI58" s="13"/>
      <c r="BJ58" s="13"/>
      <c r="BK58" s="7"/>
      <c r="BL58" s="7"/>
    </row>
    <row r="59" spans="1:64">
      <c r="A59" s="13"/>
      <c r="B59" s="13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7"/>
      <c r="AD59" s="7"/>
      <c r="AE59" s="7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7"/>
      <c r="BE59" s="7"/>
      <c r="BF59" s="13"/>
      <c r="BG59" s="13"/>
      <c r="BH59" s="7"/>
      <c r="BI59" s="13"/>
      <c r="BJ59" s="13"/>
      <c r="BK59" s="7"/>
      <c r="BL59" s="7"/>
    </row>
    <row r="60" spans="1:64">
      <c r="A60" s="13"/>
      <c r="B60" s="13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7"/>
      <c r="AD60" s="7"/>
      <c r="AE60" s="7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7"/>
      <c r="BE60" s="7"/>
      <c r="BF60" s="13"/>
      <c r="BG60" s="13"/>
      <c r="BH60" s="7"/>
      <c r="BI60" s="13"/>
      <c r="BJ60" s="13"/>
      <c r="BK60" s="7"/>
      <c r="BL60" s="7"/>
    </row>
    <row r="61" spans="1:64">
      <c r="A61" s="13"/>
      <c r="B61" s="13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7"/>
      <c r="AD61" s="7"/>
      <c r="AE61" s="7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7"/>
      <c r="BE61" s="7"/>
      <c r="BF61" s="13"/>
      <c r="BG61" s="13"/>
      <c r="BH61" s="7"/>
      <c r="BI61" s="13"/>
      <c r="BJ61" s="13"/>
      <c r="BK61" s="7"/>
      <c r="BL61" s="7"/>
    </row>
    <row r="62" spans="1:64">
      <c r="A62" s="13"/>
      <c r="B62" s="13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"/>
      <c r="AD62" s="7"/>
      <c r="AE62" s="7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7"/>
      <c r="BE62" s="7"/>
      <c r="BF62" s="13"/>
      <c r="BG62" s="13"/>
      <c r="BH62" s="7"/>
      <c r="BI62" s="13"/>
      <c r="BJ62" s="13"/>
      <c r="BK62" s="7"/>
      <c r="BL62" s="7"/>
    </row>
    <row r="63" spans="1:64">
      <c r="A63" s="13"/>
      <c r="B63" s="13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7"/>
      <c r="AD63" s="7"/>
      <c r="AE63" s="7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7"/>
      <c r="BE63" s="7"/>
      <c r="BF63" s="13"/>
      <c r="BG63" s="13"/>
      <c r="BH63" s="7"/>
      <c r="BI63" s="13"/>
      <c r="BJ63" s="13"/>
      <c r="BK63" s="7"/>
      <c r="BL63" s="7"/>
    </row>
    <row r="64" spans="1:64">
      <c r="A64" s="13"/>
      <c r="B64" s="13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7"/>
      <c r="AD64" s="7"/>
      <c r="AE64" s="7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7"/>
      <c r="BE64" s="7"/>
      <c r="BF64" s="13"/>
      <c r="BG64" s="13"/>
      <c r="BH64" s="7"/>
      <c r="BI64" s="13"/>
      <c r="BJ64" s="13"/>
      <c r="BK64" s="7"/>
      <c r="BL64" s="7"/>
    </row>
    <row r="65" spans="1:64">
      <c r="A65" s="13"/>
      <c r="B65" s="13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7"/>
      <c r="AD65" s="7"/>
      <c r="AE65" s="7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7"/>
      <c r="BE65" s="7"/>
      <c r="BF65" s="13"/>
      <c r="BG65" s="13"/>
      <c r="BH65" s="7"/>
      <c r="BI65" s="13"/>
      <c r="BJ65" s="13"/>
      <c r="BK65" s="7"/>
      <c r="BL65" s="7"/>
    </row>
    <row r="66" spans="1:64">
      <c r="A66" s="13"/>
      <c r="B66" s="13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7"/>
      <c r="AD66" s="7"/>
      <c r="AE66" s="7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7"/>
      <c r="BE66" s="7"/>
      <c r="BF66" s="13"/>
      <c r="BG66" s="13"/>
      <c r="BH66" s="7"/>
      <c r="BI66" s="13"/>
      <c r="BJ66" s="13"/>
      <c r="BK66" s="7"/>
      <c r="BL66" s="7"/>
    </row>
    <row r="67" spans="1:6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7"/>
      <c r="AD67" s="7"/>
      <c r="AE67" s="7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7"/>
      <c r="BE67" s="7"/>
      <c r="BF67" s="13"/>
      <c r="BG67" s="13"/>
      <c r="BH67" s="7"/>
      <c r="BI67" s="13"/>
      <c r="BJ67" s="13"/>
      <c r="BK67" s="7"/>
      <c r="BL67" s="7"/>
    </row>
    <row r="68" spans="1:6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7"/>
      <c r="AD68" s="7"/>
      <c r="AE68" s="7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7"/>
      <c r="BE68" s="7"/>
      <c r="BF68" s="13"/>
      <c r="BG68" s="13"/>
      <c r="BH68" s="7"/>
      <c r="BI68" s="13"/>
      <c r="BJ68" s="13"/>
      <c r="BK68" s="7"/>
      <c r="BL68" s="7"/>
    </row>
    <row r="69" spans="1:6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7"/>
      <c r="AD69" s="7"/>
      <c r="AE69" s="7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7"/>
      <c r="BE69" s="7"/>
      <c r="BF69" s="13"/>
      <c r="BG69" s="13"/>
      <c r="BH69" s="7"/>
      <c r="BI69" s="13"/>
      <c r="BJ69" s="13"/>
      <c r="BK69" s="7"/>
      <c r="BL69" s="7"/>
    </row>
    <row r="70" spans="1:6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7"/>
      <c r="AD70" s="7"/>
      <c r="AE70" s="7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7"/>
      <c r="BE70" s="7"/>
      <c r="BF70" s="13"/>
      <c r="BG70" s="13"/>
      <c r="BH70" s="7"/>
      <c r="BI70" s="13"/>
      <c r="BJ70" s="13"/>
      <c r="BK70" s="7"/>
      <c r="BL70" s="7"/>
    </row>
    <row r="71" spans="1:6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7"/>
      <c r="AD71" s="7"/>
      <c r="AE71" s="7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7"/>
      <c r="BE71" s="7"/>
      <c r="BF71" s="13"/>
      <c r="BG71" s="13"/>
      <c r="BH71" s="7"/>
      <c r="BI71" s="13"/>
      <c r="BJ71" s="13"/>
      <c r="BK71" s="7"/>
      <c r="BL71" s="7"/>
    </row>
    <row r="72" spans="1:6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7"/>
      <c r="AD72" s="7"/>
      <c r="AE72" s="7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7"/>
      <c r="BE72" s="7"/>
      <c r="BF72" s="13"/>
      <c r="BG72" s="13"/>
      <c r="BH72" s="7"/>
      <c r="BI72" s="13"/>
      <c r="BJ72" s="13"/>
      <c r="BK72" s="7"/>
      <c r="BL72" s="7"/>
    </row>
    <row r="73" spans="1:6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7"/>
      <c r="AD73" s="7"/>
      <c r="AE73" s="7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7"/>
      <c r="BE73" s="7"/>
      <c r="BF73" s="13"/>
      <c r="BG73" s="13"/>
      <c r="BH73" s="7"/>
      <c r="BI73" s="13"/>
      <c r="BJ73" s="13"/>
      <c r="BK73" s="7"/>
      <c r="BL73" s="7"/>
    </row>
    <row r="74" spans="1:64">
      <c r="A74" s="13"/>
      <c r="B74" s="7"/>
      <c r="C74" s="7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7"/>
      <c r="AD74" s="7"/>
      <c r="AE74" s="7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7"/>
      <c r="BE74" s="7"/>
      <c r="BF74" s="13"/>
      <c r="BG74" s="13"/>
      <c r="BH74" s="7"/>
      <c r="BI74" s="13"/>
      <c r="BJ74" s="13"/>
      <c r="BK74" s="7"/>
      <c r="BL74" s="7"/>
    </row>
    <row r="75" spans="1:64">
      <c r="A75" s="13"/>
      <c r="B75" s="7"/>
      <c r="C75" s="7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7"/>
      <c r="AD75" s="7"/>
      <c r="AE75" s="7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7"/>
      <c r="BE75" s="7"/>
      <c r="BF75" s="13"/>
      <c r="BG75" s="13"/>
      <c r="BH75" s="7"/>
      <c r="BI75" s="13"/>
      <c r="BJ75" s="13"/>
      <c r="BK75" s="7"/>
      <c r="BL75" s="7"/>
    </row>
    <row r="76" spans="1:64">
      <c r="A76" s="13"/>
      <c r="B76" s="7"/>
      <c r="C76" s="7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7"/>
      <c r="AD76" s="7"/>
      <c r="AE76" s="7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7"/>
      <c r="BE76" s="7"/>
      <c r="BF76" s="13"/>
      <c r="BG76" s="13"/>
      <c r="BH76" s="7"/>
      <c r="BI76" s="13"/>
      <c r="BJ76" s="13"/>
      <c r="BK76" s="7"/>
      <c r="BL76" s="7"/>
    </row>
    <row r="77" spans="1:64">
      <c r="A77" s="13"/>
      <c r="B77" s="7"/>
      <c r="C77" s="7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7"/>
      <c r="AD77" s="7"/>
      <c r="AE77" s="7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7"/>
      <c r="BE77" s="7"/>
      <c r="BF77" s="13"/>
      <c r="BG77" s="13"/>
      <c r="BH77" s="7"/>
      <c r="BI77" s="13"/>
      <c r="BJ77" s="13"/>
      <c r="BK77" s="7"/>
      <c r="BL77" s="7"/>
    </row>
    <row r="78" spans="1:64">
      <c r="A78" s="13"/>
      <c r="B78" s="7"/>
      <c r="C78" s="7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7"/>
      <c r="AD78" s="7"/>
      <c r="AE78" s="7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7"/>
      <c r="BE78" s="7"/>
      <c r="BF78" s="13"/>
      <c r="BG78" s="13"/>
      <c r="BH78" s="7"/>
      <c r="BI78" s="13"/>
      <c r="BJ78" s="13"/>
      <c r="BK78" s="7"/>
      <c r="BL78" s="7"/>
    </row>
    <row r="79" spans="1:64">
      <c r="A79" s="13"/>
      <c r="B79" s="7"/>
      <c r="C79" s="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7"/>
      <c r="AD79" s="7"/>
      <c r="AE79" s="7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7"/>
      <c r="BE79" s="7"/>
      <c r="BF79" s="13"/>
      <c r="BG79" s="13"/>
      <c r="BH79" s="7"/>
      <c r="BI79" s="13"/>
      <c r="BJ79" s="13"/>
      <c r="BK79" s="7"/>
      <c r="BL79" s="7"/>
    </row>
    <row r="80" spans="1:64">
      <c r="A80" s="13"/>
      <c r="B80" s="7"/>
      <c r="C80" s="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7"/>
      <c r="AD80" s="7"/>
      <c r="AE80" s="7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7"/>
      <c r="BE80" s="7"/>
      <c r="BF80" s="13"/>
      <c r="BG80" s="13"/>
      <c r="BH80" s="7"/>
      <c r="BI80" s="13"/>
      <c r="BJ80" s="13"/>
      <c r="BK80" s="7"/>
      <c r="BL80" s="7"/>
    </row>
    <row r="81" spans="1:64">
      <c r="A81" s="13"/>
      <c r="B81" s="7"/>
      <c r="C81" s="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7"/>
      <c r="AD81" s="7"/>
      <c r="AE81" s="7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7"/>
      <c r="BE81" s="7"/>
      <c r="BF81" s="13"/>
      <c r="BG81" s="13"/>
      <c r="BH81" s="7"/>
      <c r="BI81" s="13"/>
      <c r="BJ81" s="13"/>
      <c r="BK81" s="7"/>
      <c r="BL81" s="7"/>
    </row>
    <row r="82" spans="1:64">
      <c r="A82" s="13"/>
      <c r="B82" s="7"/>
      <c r="C82" s="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7"/>
      <c r="AD82" s="7"/>
      <c r="AE82" s="7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7"/>
      <c r="BE82" s="7"/>
      <c r="BF82" s="13"/>
      <c r="BG82" s="13"/>
      <c r="BH82" s="7"/>
      <c r="BI82" s="13"/>
      <c r="BJ82" s="13"/>
      <c r="BK82" s="7"/>
      <c r="BL82" s="7"/>
    </row>
    <row r="83" spans="1:64">
      <c r="A83" s="13"/>
      <c r="B83" s="7"/>
      <c r="C83" s="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7"/>
      <c r="AD83" s="7"/>
      <c r="AE83" s="7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7"/>
      <c r="BE83" s="7"/>
      <c r="BF83" s="13"/>
      <c r="BG83" s="13"/>
      <c r="BH83" s="7"/>
      <c r="BI83" s="13"/>
      <c r="BJ83" s="13"/>
      <c r="BK83" s="7"/>
      <c r="BL83" s="7"/>
    </row>
    <row r="84" spans="1:64">
      <c r="A84" s="13"/>
      <c r="B84" s="7"/>
      <c r="C84" s="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7"/>
      <c r="AD84" s="7"/>
      <c r="AE84" s="7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7"/>
      <c r="BE84" s="7"/>
      <c r="BF84" s="13"/>
      <c r="BG84" s="13"/>
      <c r="BH84" s="7"/>
      <c r="BI84" s="13"/>
      <c r="BJ84" s="13"/>
      <c r="BK84" s="7"/>
      <c r="BL84" s="7"/>
    </row>
    <row r="85" spans="1:64">
      <c r="A85" s="13"/>
      <c r="B85" s="7"/>
      <c r="C85" s="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7"/>
      <c r="AD85" s="7"/>
      <c r="AE85" s="7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7"/>
      <c r="BE85" s="7"/>
      <c r="BF85" s="13"/>
      <c r="BG85" s="13"/>
      <c r="BH85" s="7"/>
      <c r="BI85" s="13"/>
      <c r="BJ85" s="13"/>
      <c r="BK85" s="7"/>
      <c r="BL85" s="7"/>
    </row>
    <row r="86" spans="1:64">
      <c r="A86" s="13"/>
      <c r="B86" s="7"/>
      <c r="C86" s="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7"/>
      <c r="AD86" s="7"/>
      <c r="AE86" s="7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7"/>
      <c r="BE86" s="7"/>
      <c r="BF86" s="13"/>
      <c r="BG86" s="13"/>
      <c r="BH86" s="7"/>
      <c r="BI86" s="13"/>
      <c r="BJ86" s="13"/>
      <c r="BK86" s="7"/>
      <c r="BL86" s="7"/>
    </row>
    <row r="87" spans="1:64">
      <c r="A87" s="13"/>
      <c r="B87" s="7"/>
      <c r="C87" s="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7"/>
      <c r="AD87" s="7"/>
      <c r="AE87" s="7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7"/>
      <c r="BE87" s="7"/>
      <c r="BF87" s="13"/>
      <c r="BG87" s="13"/>
      <c r="BH87" s="7"/>
      <c r="BI87" s="13"/>
      <c r="BJ87" s="13"/>
      <c r="BK87" s="7"/>
      <c r="BL87" s="7"/>
    </row>
    <row r="88" spans="1:64">
      <c r="A88" s="13"/>
      <c r="B88" s="7"/>
      <c r="C88" s="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7"/>
      <c r="AD88" s="7"/>
      <c r="AE88" s="7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7"/>
      <c r="BE88" s="7"/>
      <c r="BF88" s="13"/>
      <c r="BG88" s="13"/>
      <c r="BH88" s="7"/>
      <c r="BI88" s="13"/>
      <c r="BJ88" s="13"/>
      <c r="BK88" s="7"/>
      <c r="BL88" s="7"/>
    </row>
    <row r="89" spans="1:64">
      <c r="A89" s="13"/>
      <c r="B89" s="7"/>
      <c r="C89" s="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7"/>
      <c r="AD89" s="7"/>
      <c r="AE89" s="7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7"/>
      <c r="BE89" s="7"/>
      <c r="BF89" s="13"/>
      <c r="BG89" s="13"/>
      <c r="BH89" s="7"/>
      <c r="BI89" s="13"/>
      <c r="BJ89" s="13"/>
      <c r="BK89" s="7"/>
      <c r="BL89" s="7"/>
    </row>
    <row r="90" spans="1:64">
      <c r="A90" s="13"/>
      <c r="B90" s="7"/>
      <c r="C90" s="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7"/>
      <c r="AD90" s="7"/>
      <c r="AE90" s="7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7"/>
      <c r="BE90" s="7"/>
      <c r="BF90" s="13"/>
      <c r="BG90" s="13"/>
      <c r="BH90" s="7"/>
      <c r="BI90" s="13"/>
      <c r="BJ90" s="13"/>
      <c r="BK90" s="7"/>
      <c r="BL90" s="7"/>
    </row>
    <row r="91" spans="1:64">
      <c r="A91" s="13"/>
      <c r="B91" s="7"/>
      <c r="C91" s="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7"/>
      <c r="AD91" s="7"/>
      <c r="AE91" s="7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7"/>
      <c r="BE91" s="7"/>
      <c r="BF91" s="13"/>
      <c r="BG91" s="13"/>
      <c r="BH91" s="7"/>
      <c r="BI91" s="13"/>
      <c r="BJ91" s="13"/>
      <c r="BK91" s="7"/>
      <c r="BL91" s="7"/>
    </row>
    <row r="92" spans="1:64">
      <c r="A92" s="13"/>
      <c r="B92" s="7"/>
      <c r="C92" s="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7"/>
      <c r="AD92" s="7"/>
      <c r="AE92" s="7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7"/>
      <c r="BE92" s="7"/>
      <c r="BF92" s="13"/>
      <c r="BG92" s="13"/>
      <c r="BH92" s="7"/>
      <c r="BI92" s="13"/>
      <c r="BJ92" s="13"/>
      <c r="BK92" s="7"/>
      <c r="BL92" s="7"/>
    </row>
    <row r="93" spans="1:64">
      <c r="A93" s="13"/>
      <c r="B93" s="7"/>
      <c r="C93" s="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7"/>
      <c r="AD93" s="7"/>
      <c r="AE93" s="7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7"/>
      <c r="BE93" s="7"/>
      <c r="BF93" s="13"/>
      <c r="BG93" s="13"/>
      <c r="BH93" s="7"/>
      <c r="BI93" s="13"/>
      <c r="BJ93" s="13"/>
      <c r="BK93" s="7"/>
      <c r="BL93" s="7"/>
    </row>
    <row r="94" spans="1:64">
      <c r="A94" s="13"/>
      <c r="B94" s="7"/>
      <c r="C94" s="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7"/>
      <c r="AD94" s="7"/>
      <c r="AE94" s="7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7"/>
      <c r="BE94" s="7"/>
      <c r="BF94" s="13"/>
      <c r="BG94" s="13"/>
      <c r="BH94" s="7"/>
      <c r="BI94" s="13"/>
      <c r="BJ94" s="13"/>
      <c r="BK94" s="7"/>
      <c r="BL94" s="7"/>
    </row>
    <row r="95" spans="1:64">
      <c r="A95" s="13"/>
      <c r="B95" s="7"/>
      <c r="C95" s="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7"/>
      <c r="AD95" s="7"/>
      <c r="AE95" s="7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7"/>
      <c r="BE95" s="7"/>
      <c r="BF95" s="13"/>
      <c r="BG95" s="13"/>
      <c r="BH95" s="7"/>
      <c r="BI95" s="13"/>
      <c r="BJ95" s="13"/>
      <c r="BK95" s="7"/>
      <c r="BL95" s="7"/>
    </row>
    <row r="96" spans="1:64">
      <c r="A96" s="13"/>
      <c r="B96" s="7"/>
      <c r="C96" s="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7"/>
      <c r="AD96" s="7"/>
      <c r="AE96" s="7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7"/>
      <c r="BE96" s="7"/>
      <c r="BF96" s="13"/>
      <c r="BG96" s="13"/>
      <c r="BH96" s="7"/>
      <c r="BI96" s="13"/>
      <c r="BJ96" s="13"/>
      <c r="BK96" s="7"/>
      <c r="BL96" s="7"/>
    </row>
    <row r="97" spans="1:64">
      <c r="A97" s="13"/>
      <c r="B97" s="7"/>
      <c r="C97" s="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7"/>
      <c r="AD97" s="7"/>
      <c r="AE97" s="7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7"/>
      <c r="BE97" s="7"/>
      <c r="BF97" s="13"/>
      <c r="BG97" s="13"/>
      <c r="BH97" s="7"/>
      <c r="BI97" s="13"/>
      <c r="BJ97" s="13"/>
      <c r="BK97" s="7"/>
      <c r="BL97" s="7"/>
    </row>
    <row r="98" spans="1:64">
      <c r="A98" s="13"/>
      <c r="B98" s="7"/>
      <c r="C98" s="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7"/>
      <c r="AD98" s="7"/>
      <c r="AE98" s="7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7"/>
      <c r="BE98" s="7"/>
      <c r="BF98" s="13"/>
      <c r="BG98" s="13"/>
      <c r="BH98" s="7"/>
      <c r="BI98" s="13"/>
      <c r="BJ98" s="13"/>
      <c r="BK98" s="7"/>
      <c r="BL98" s="7"/>
    </row>
    <row r="99" spans="1:64">
      <c r="A99" s="13"/>
      <c r="B99" s="7"/>
      <c r="C99" s="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7"/>
      <c r="AD99" s="7"/>
      <c r="AE99" s="7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7"/>
      <c r="BE99" s="7"/>
      <c r="BF99" s="13"/>
      <c r="BG99" s="13"/>
      <c r="BH99" s="7"/>
      <c r="BI99" s="13"/>
      <c r="BJ99" s="13"/>
      <c r="BK99" s="7"/>
      <c r="BL99" s="7"/>
    </row>
    <row r="100" spans="1:64">
      <c r="A100" s="13"/>
      <c r="B100" s="7"/>
      <c r="C100" s="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7"/>
      <c r="AD100" s="7"/>
      <c r="AE100" s="7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7"/>
      <c r="BE100" s="7"/>
      <c r="BF100" s="13"/>
      <c r="BG100" s="13"/>
      <c r="BH100" s="7"/>
      <c r="BI100" s="13"/>
      <c r="BJ100" s="13"/>
      <c r="BK100" s="7"/>
      <c r="BL100" s="7"/>
    </row>
    <row r="101" spans="1:64">
      <c r="A101" s="13"/>
      <c r="B101" s="7"/>
      <c r="C101" s="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7"/>
      <c r="AD101" s="7"/>
      <c r="AE101" s="7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7"/>
      <c r="BE101" s="7"/>
      <c r="BF101" s="13"/>
      <c r="BG101" s="13"/>
      <c r="BH101" s="7"/>
      <c r="BI101" s="13"/>
      <c r="BJ101" s="13"/>
      <c r="BK101" s="7"/>
      <c r="BL101" s="7"/>
    </row>
    <row r="102" spans="1:64">
      <c r="A102" s="13"/>
      <c r="B102" s="7"/>
      <c r="C102" s="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7"/>
      <c r="AD102" s="7"/>
      <c r="AE102" s="7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7"/>
      <c r="BE102" s="7"/>
      <c r="BF102" s="13"/>
      <c r="BG102" s="13"/>
      <c r="BH102" s="7"/>
      <c r="BI102" s="13"/>
      <c r="BJ102" s="13"/>
      <c r="BK102" s="7"/>
      <c r="BL102" s="7"/>
    </row>
    <row r="103" spans="1:64">
      <c r="A103" s="13"/>
      <c r="B103" s="7"/>
      <c r="C103" s="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7"/>
      <c r="AD103" s="7"/>
      <c r="AE103" s="7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7"/>
      <c r="BE103" s="7"/>
      <c r="BF103" s="13"/>
      <c r="BG103" s="13"/>
      <c r="BH103" s="7"/>
      <c r="BI103" s="13"/>
      <c r="BJ103" s="13"/>
      <c r="BK103" s="7"/>
      <c r="BL103" s="7"/>
    </row>
    <row r="104" spans="1:64">
      <c r="A104" s="13"/>
      <c r="B104" s="7"/>
      <c r="C104" s="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7"/>
      <c r="AD104" s="7"/>
      <c r="AE104" s="7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7"/>
      <c r="BE104" s="7"/>
      <c r="BF104" s="13"/>
      <c r="BG104" s="13"/>
      <c r="BH104" s="7"/>
      <c r="BI104" s="13"/>
      <c r="BJ104" s="13"/>
      <c r="BK104" s="7"/>
      <c r="BL104" s="7"/>
    </row>
    <row r="105" spans="1:64">
      <c r="A105" s="13"/>
      <c r="B105" s="7"/>
      <c r="C105" s="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7"/>
      <c r="AD105" s="7"/>
      <c r="AE105" s="7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7"/>
      <c r="BE105" s="7"/>
      <c r="BF105" s="13"/>
      <c r="BG105" s="13"/>
      <c r="BH105" s="7"/>
      <c r="BI105" s="13"/>
      <c r="BJ105" s="13"/>
      <c r="BK105" s="7"/>
      <c r="BL105" s="7"/>
    </row>
    <row r="106" spans="1:64">
      <c r="A106" s="13"/>
      <c r="B106" s="7"/>
      <c r="C106" s="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7"/>
      <c r="AD106" s="7"/>
      <c r="AE106" s="7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7"/>
      <c r="BE106" s="7"/>
      <c r="BF106" s="13"/>
      <c r="BG106" s="13"/>
      <c r="BH106" s="7"/>
      <c r="BI106" s="13"/>
      <c r="BJ106" s="13"/>
      <c r="BK106" s="7"/>
      <c r="BL106" s="7"/>
    </row>
    <row r="107" spans="1:64">
      <c r="A107" s="13"/>
      <c r="B107" s="7"/>
      <c r="C107" s="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7"/>
      <c r="AD107" s="7"/>
      <c r="AE107" s="7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7"/>
      <c r="BE107" s="7"/>
      <c r="BF107" s="13"/>
      <c r="BG107" s="13"/>
      <c r="BH107" s="7"/>
      <c r="BI107" s="13"/>
      <c r="BJ107" s="13"/>
      <c r="BK107" s="7"/>
      <c r="BL107" s="7"/>
    </row>
    <row r="108" spans="1:64">
      <c r="A108" s="13"/>
      <c r="B108" s="7"/>
      <c r="C108" s="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7"/>
      <c r="AD108" s="7"/>
      <c r="AE108" s="7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7"/>
      <c r="BE108" s="7"/>
      <c r="BF108" s="13"/>
      <c r="BG108" s="13"/>
      <c r="BH108" s="7"/>
      <c r="BI108" s="13"/>
      <c r="BJ108" s="13"/>
      <c r="BK108" s="7"/>
      <c r="BL108" s="7"/>
    </row>
    <row r="109" spans="1:64">
      <c r="A109" s="13"/>
      <c r="B109" s="7"/>
      <c r="C109" s="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7"/>
      <c r="AD109" s="7"/>
      <c r="AE109" s="7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7"/>
      <c r="BE109" s="7"/>
      <c r="BF109" s="13"/>
      <c r="BG109" s="13"/>
      <c r="BH109" s="7"/>
      <c r="BI109" s="13"/>
      <c r="BJ109" s="13"/>
      <c r="BK109" s="7"/>
      <c r="BL109" s="7"/>
    </row>
    <row r="110" spans="1:64">
      <c r="A110" s="13"/>
      <c r="B110" s="7"/>
      <c r="C110" s="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7"/>
      <c r="AD110" s="7"/>
      <c r="AE110" s="7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7"/>
      <c r="BE110" s="7"/>
      <c r="BF110" s="13"/>
      <c r="BG110" s="13"/>
      <c r="BH110" s="7"/>
      <c r="BI110" s="13"/>
      <c r="BJ110" s="13"/>
      <c r="BK110" s="7"/>
      <c r="BL110" s="7"/>
    </row>
    <row r="111" spans="1:64">
      <c r="A111" s="13"/>
      <c r="B111" s="7"/>
      <c r="C111" s="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7"/>
      <c r="AD111" s="7"/>
      <c r="AE111" s="7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7"/>
      <c r="BE111" s="7"/>
      <c r="BF111" s="13"/>
      <c r="BG111" s="13"/>
      <c r="BH111" s="7"/>
      <c r="BI111" s="13"/>
      <c r="BJ111" s="13"/>
      <c r="BK111" s="7"/>
      <c r="BL111" s="7"/>
    </row>
    <row r="112" spans="1:64">
      <c r="A112" s="13"/>
      <c r="B112" s="7"/>
      <c r="C112" s="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7"/>
      <c r="AD112" s="7"/>
      <c r="AE112" s="7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7"/>
      <c r="BE112" s="7"/>
      <c r="BF112" s="13"/>
      <c r="BG112" s="13"/>
      <c r="BH112" s="7"/>
      <c r="BI112" s="13"/>
      <c r="BJ112" s="13"/>
      <c r="BK112" s="7"/>
      <c r="BL112" s="7"/>
    </row>
    <row r="113" spans="1:64">
      <c r="A113" s="13"/>
      <c r="B113" s="7"/>
      <c r="C113" s="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7"/>
      <c r="AD113" s="7"/>
      <c r="AE113" s="7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7"/>
      <c r="BE113" s="7"/>
      <c r="BF113" s="13"/>
      <c r="BG113" s="13"/>
      <c r="BH113" s="7"/>
      <c r="BI113" s="13"/>
      <c r="BJ113" s="13"/>
      <c r="BK113" s="7"/>
      <c r="BL113" s="7"/>
    </row>
    <row r="114" spans="1:64">
      <c r="A114" s="13"/>
      <c r="B114" s="7"/>
      <c r="C114" s="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7"/>
      <c r="AD114" s="7"/>
      <c r="AE114" s="7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7"/>
      <c r="BE114" s="7"/>
      <c r="BF114" s="13"/>
      <c r="BG114" s="13"/>
      <c r="BH114" s="7"/>
      <c r="BI114" s="13"/>
      <c r="BJ114" s="13"/>
      <c r="BK114" s="7"/>
      <c r="BL114" s="7"/>
    </row>
    <row r="115" spans="1:64">
      <c r="A115" s="13"/>
      <c r="B115" s="7"/>
      <c r="C115" s="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7"/>
      <c r="AD115" s="7"/>
      <c r="AE115" s="7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7"/>
      <c r="BE115" s="7"/>
      <c r="BF115" s="13"/>
      <c r="BG115" s="13"/>
      <c r="BH115" s="7"/>
      <c r="BI115" s="13"/>
      <c r="BJ115" s="13"/>
      <c r="BK115" s="7"/>
      <c r="BL115" s="7"/>
    </row>
    <row r="116" spans="1:64">
      <c r="A116" s="13"/>
      <c r="B116" s="7"/>
      <c r="C116" s="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7"/>
      <c r="AD116" s="7"/>
      <c r="AE116" s="7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7"/>
      <c r="BE116" s="7"/>
      <c r="BF116" s="13"/>
      <c r="BG116" s="13"/>
      <c r="BH116" s="7"/>
      <c r="BI116" s="13"/>
      <c r="BJ116" s="13"/>
      <c r="BK116" s="7"/>
      <c r="BL116" s="7"/>
    </row>
    <row r="117" spans="1:64">
      <c r="A117" s="13"/>
      <c r="B117" s="7"/>
      <c r="C117" s="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7"/>
      <c r="AD117" s="7"/>
      <c r="AE117" s="7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7"/>
      <c r="BE117" s="7"/>
      <c r="BF117" s="13"/>
      <c r="BG117" s="13"/>
      <c r="BH117" s="7"/>
      <c r="BI117" s="13"/>
      <c r="BJ117" s="13"/>
      <c r="BK117" s="7"/>
      <c r="BL117" s="7"/>
    </row>
    <row r="118" spans="1:64">
      <c r="A118" s="13"/>
      <c r="B118" s="7"/>
      <c r="C118" s="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7"/>
      <c r="AD118" s="7"/>
      <c r="AE118" s="7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7"/>
      <c r="BE118" s="7"/>
      <c r="BF118" s="13"/>
      <c r="BG118" s="13"/>
      <c r="BH118" s="7"/>
      <c r="BI118" s="13"/>
      <c r="BJ118" s="13"/>
      <c r="BK118" s="7"/>
      <c r="BL118" s="7"/>
    </row>
    <row r="119" spans="1:64">
      <c r="A119" s="13"/>
      <c r="B119" s="7"/>
      <c r="C119" s="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7"/>
      <c r="AD119" s="7"/>
      <c r="AE119" s="7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7"/>
      <c r="BE119" s="7"/>
      <c r="BF119" s="13"/>
      <c r="BG119" s="13"/>
      <c r="BH119" s="7"/>
      <c r="BI119" s="13"/>
      <c r="BJ119" s="13"/>
      <c r="BK119" s="7"/>
      <c r="BL119" s="7"/>
    </row>
    <row r="120" spans="1:64">
      <c r="A120" s="13"/>
      <c r="B120" s="7"/>
      <c r="C120" s="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7"/>
      <c r="AD120" s="7"/>
      <c r="AE120" s="7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7"/>
      <c r="BE120" s="7"/>
      <c r="BF120" s="13"/>
      <c r="BG120" s="13"/>
      <c r="BH120" s="7"/>
      <c r="BI120" s="13"/>
      <c r="BJ120" s="13"/>
      <c r="BK120" s="7"/>
      <c r="BL120" s="7"/>
    </row>
    <row r="121" spans="1:64">
      <c r="A121" s="13"/>
      <c r="B121" s="7"/>
      <c r="C121" s="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7"/>
      <c r="AD121" s="7"/>
      <c r="AE121" s="7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7"/>
      <c r="BE121" s="7"/>
      <c r="BF121" s="13"/>
      <c r="BG121" s="13"/>
      <c r="BH121" s="7"/>
      <c r="BI121" s="13"/>
      <c r="BJ121" s="13"/>
      <c r="BK121" s="7"/>
      <c r="BL121" s="7"/>
    </row>
    <row r="122" spans="1:64">
      <c r="A122" s="13"/>
      <c r="B122" s="7"/>
      <c r="C122" s="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7"/>
      <c r="AD122" s="7"/>
      <c r="AE122" s="7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7"/>
      <c r="BE122" s="7"/>
      <c r="BF122" s="13"/>
      <c r="BG122" s="13"/>
      <c r="BH122" s="7"/>
      <c r="BI122" s="13"/>
      <c r="BJ122" s="13"/>
      <c r="BK122" s="7"/>
      <c r="BL122" s="7"/>
    </row>
    <row r="123" spans="1:64">
      <c r="A123" s="13"/>
      <c r="B123" s="7"/>
      <c r="C123" s="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7"/>
      <c r="AD123" s="7"/>
      <c r="AE123" s="7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7"/>
      <c r="BE123" s="7"/>
      <c r="BF123" s="13"/>
      <c r="BG123" s="13"/>
      <c r="BH123" s="7"/>
      <c r="BI123" s="13"/>
      <c r="BJ123" s="13"/>
      <c r="BK123" s="7"/>
      <c r="BL123" s="7"/>
    </row>
    <row r="124" spans="1:64">
      <c r="A124" s="13"/>
      <c r="B124" s="7"/>
      <c r="C124" s="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7"/>
      <c r="AD124" s="7"/>
      <c r="AE124" s="7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7"/>
      <c r="BE124" s="7"/>
      <c r="BF124" s="13"/>
      <c r="BG124" s="13"/>
      <c r="BH124" s="7"/>
      <c r="BI124" s="13"/>
      <c r="BJ124" s="13"/>
      <c r="BK124" s="7"/>
      <c r="BL124" s="7"/>
    </row>
    <row r="125" spans="1:64">
      <c r="A125" s="13"/>
      <c r="B125" s="7"/>
      <c r="C125" s="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7"/>
      <c r="AD125" s="7"/>
      <c r="AE125" s="7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7"/>
      <c r="BE125" s="7"/>
      <c r="BF125" s="13"/>
      <c r="BG125" s="13"/>
      <c r="BH125" s="7"/>
      <c r="BI125" s="13"/>
      <c r="BJ125" s="13"/>
      <c r="BK125" s="7"/>
      <c r="BL125" s="7"/>
    </row>
    <row r="126" spans="1:64">
      <c r="A126" s="13"/>
      <c r="B126" s="7"/>
      <c r="C126" s="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7"/>
      <c r="AD126" s="7"/>
      <c r="AE126" s="7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7"/>
      <c r="BE126" s="7"/>
      <c r="BF126" s="13"/>
      <c r="BG126" s="13"/>
      <c r="BH126" s="7"/>
      <c r="BI126" s="13"/>
      <c r="BJ126" s="13"/>
      <c r="BK126" s="7"/>
      <c r="BL126" s="7"/>
    </row>
    <row r="127" spans="1:64">
      <c r="A127" s="13"/>
      <c r="B127" s="7"/>
      <c r="C127" s="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7"/>
      <c r="AD127" s="7"/>
      <c r="AE127" s="7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7"/>
      <c r="BE127" s="7"/>
      <c r="BF127" s="13"/>
      <c r="BG127" s="13"/>
      <c r="BH127" s="7"/>
      <c r="BI127" s="13"/>
      <c r="BJ127" s="13"/>
      <c r="BK127" s="7"/>
      <c r="BL127" s="7"/>
    </row>
    <row r="128" spans="1:64">
      <c r="A128" s="13"/>
      <c r="B128" s="7"/>
      <c r="C128" s="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7"/>
      <c r="AD128" s="7"/>
      <c r="AE128" s="7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7"/>
      <c r="BE128" s="7"/>
      <c r="BF128" s="13"/>
      <c r="BG128" s="13"/>
      <c r="BH128" s="7"/>
      <c r="BI128" s="13"/>
      <c r="BJ128" s="13"/>
      <c r="BK128" s="7"/>
      <c r="BL128" s="7"/>
    </row>
    <row r="129" spans="1:64">
      <c r="A129" s="13"/>
      <c r="B129" s="7"/>
      <c r="C129" s="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7"/>
      <c r="AD129" s="7"/>
      <c r="AE129" s="7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7"/>
      <c r="BE129" s="7"/>
      <c r="BF129" s="13"/>
      <c r="BG129" s="13"/>
      <c r="BH129" s="7"/>
      <c r="BI129" s="13"/>
      <c r="BJ129" s="13"/>
      <c r="BK129" s="7"/>
      <c r="BL129" s="7"/>
    </row>
    <row r="130" spans="1:64">
      <c r="A130" s="13"/>
      <c r="B130" s="7"/>
      <c r="C130" s="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7"/>
      <c r="AD130" s="7"/>
      <c r="AE130" s="7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7"/>
      <c r="BE130" s="7"/>
      <c r="BF130" s="13"/>
      <c r="BG130" s="13"/>
      <c r="BH130" s="7"/>
      <c r="BI130" s="13"/>
      <c r="BJ130" s="13"/>
      <c r="BK130" s="7"/>
      <c r="BL130" s="7"/>
    </row>
    <row r="131" spans="1:64">
      <c r="A131" s="13"/>
      <c r="B131" s="7"/>
      <c r="C131" s="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7"/>
      <c r="AD131" s="7"/>
      <c r="AE131" s="7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7"/>
      <c r="BE131" s="7"/>
      <c r="BF131" s="13"/>
      <c r="BG131" s="13"/>
      <c r="BH131" s="7"/>
      <c r="BI131" s="13"/>
      <c r="BJ131" s="13"/>
      <c r="BK131" s="7"/>
      <c r="BL131" s="7"/>
    </row>
    <row r="132" spans="1:64">
      <c r="A132" s="13"/>
      <c r="B132" s="7"/>
      <c r="C132" s="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7"/>
      <c r="AD132" s="7"/>
      <c r="AE132" s="7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7"/>
      <c r="BE132" s="7"/>
      <c r="BF132" s="13"/>
      <c r="BG132" s="13"/>
      <c r="BH132" s="7"/>
      <c r="BI132" s="13"/>
      <c r="BJ132" s="13"/>
      <c r="BK132" s="7"/>
      <c r="BL132" s="7"/>
    </row>
    <row r="133" spans="1:64">
      <c r="A133" s="13"/>
      <c r="B133" s="7"/>
      <c r="C133" s="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7"/>
      <c r="AD133" s="7"/>
      <c r="AE133" s="7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7"/>
      <c r="BE133" s="7"/>
      <c r="BF133" s="13"/>
      <c r="BG133" s="13"/>
      <c r="BH133" s="7"/>
      <c r="BI133" s="13"/>
      <c r="BJ133" s="13"/>
      <c r="BK133" s="7"/>
      <c r="BL133" s="7"/>
    </row>
    <row r="134" spans="1:64">
      <c r="A134" s="13"/>
      <c r="B134" s="7"/>
      <c r="C134" s="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7"/>
      <c r="AD134" s="7"/>
      <c r="AE134" s="7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7"/>
      <c r="BE134" s="7"/>
      <c r="BF134" s="13"/>
      <c r="BG134" s="13"/>
      <c r="BH134" s="7"/>
      <c r="BI134" s="13"/>
      <c r="BJ134" s="13"/>
      <c r="BK134" s="7"/>
      <c r="BL134" s="7"/>
    </row>
    <row r="135" spans="1:64">
      <c r="A135" s="13"/>
      <c r="B135" s="7"/>
      <c r="C135" s="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7"/>
      <c r="AD135" s="7"/>
      <c r="AE135" s="7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7"/>
      <c r="BE135" s="7"/>
      <c r="BF135" s="13"/>
      <c r="BG135" s="13"/>
      <c r="BH135" s="7"/>
      <c r="BI135" s="13"/>
      <c r="BJ135" s="13"/>
      <c r="BK135" s="7"/>
      <c r="BL135" s="7"/>
    </row>
    <row r="136" spans="1:64">
      <c r="A136" s="13"/>
      <c r="B136" s="7"/>
      <c r="C136" s="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7"/>
      <c r="AD136" s="7"/>
      <c r="AE136" s="7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7"/>
      <c r="BE136" s="7"/>
      <c r="BF136" s="13"/>
      <c r="BG136" s="13"/>
      <c r="BH136" s="7"/>
      <c r="BI136" s="13"/>
      <c r="BJ136" s="13"/>
      <c r="BK136" s="7"/>
      <c r="BL136" s="7"/>
    </row>
    <row r="137" spans="1:64">
      <c r="A137" s="13"/>
      <c r="B137" s="7"/>
      <c r="C137" s="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7"/>
      <c r="AD137" s="7"/>
      <c r="AE137" s="7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7"/>
      <c r="BE137" s="7"/>
      <c r="BF137" s="13"/>
      <c r="BG137" s="13"/>
      <c r="BH137" s="7"/>
      <c r="BI137" s="13"/>
      <c r="BJ137" s="13"/>
      <c r="BK137" s="7"/>
      <c r="BL137" s="7"/>
    </row>
    <row r="138" spans="1:64">
      <c r="A138" s="13"/>
      <c r="B138" s="7"/>
      <c r="C138" s="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7"/>
      <c r="AD138" s="7"/>
      <c r="AE138" s="7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7"/>
      <c r="BE138" s="7"/>
      <c r="BF138" s="13"/>
      <c r="BG138" s="13"/>
      <c r="BH138" s="7"/>
      <c r="BI138" s="13"/>
      <c r="BJ138" s="13"/>
      <c r="BK138" s="7"/>
      <c r="BL138" s="7"/>
    </row>
    <row r="139" spans="1:64">
      <c r="A139" s="13"/>
      <c r="B139" s="7"/>
      <c r="C139" s="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7"/>
      <c r="AD139" s="7"/>
      <c r="AE139" s="7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7"/>
      <c r="BE139" s="7"/>
      <c r="BF139" s="13"/>
      <c r="BG139" s="13"/>
      <c r="BH139" s="7"/>
      <c r="BI139" s="13"/>
      <c r="BJ139" s="13"/>
      <c r="BK139" s="7"/>
      <c r="BL139" s="7"/>
    </row>
    <row r="140" spans="1:64">
      <c r="A140" s="13"/>
      <c r="B140" s="7"/>
      <c r="C140" s="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7"/>
      <c r="AD140" s="7"/>
      <c r="AE140" s="7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7"/>
      <c r="BE140" s="7"/>
      <c r="BF140" s="13"/>
      <c r="BG140" s="13"/>
      <c r="BH140" s="7"/>
      <c r="BI140" s="13"/>
      <c r="BJ140" s="13"/>
      <c r="BK140" s="7"/>
      <c r="BL140" s="7"/>
    </row>
    <row r="141" spans="1:64">
      <c r="A141" s="13"/>
      <c r="B141" s="7"/>
      <c r="C141" s="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7"/>
      <c r="AD141" s="7"/>
      <c r="AE141" s="7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7"/>
      <c r="BE141" s="7"/>
      <c r="BF141" s="13"/>
      <c r="BG141" s="13"/>
      <c r="BH141" s="7"/>
      <c r="BI141" s="13"/>
      <c r="BJ141" s="13"/>
      <c r="BK141" s="7"/>
      <c r="BL141" s="7"/>
    </row>
    <row r="142" spans="1:64">
      <c r="A142" s="13"/>
      <c r="B142" s="7"/>
      <c r="C142" s="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7"/>
      <c r="AD142" s="7"/>
      <c r="AE142" s="7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7"/>
      <c r="BE142" s="7"/>
      <c r="BF142" s="13"/>
      <c r="BG142" s="13"/>
      <c r="BH142" s="7"/>
      <c r="BI142" s="13"/>
      <c r="BJ142" s="13"/>
      <c r="BK142" s="7"/>
      <c r="BL142" s="7"/>
    </row>
    <row r="143" spans="1:64">
      <c r="A143" s="13"/>
      <c r="B143" s="7"/>
      <c r="C143" s="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7"/>
      <c r="AD143" s="7"/>
      <c r="AE143" s="7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7"/>
      <c r="BE143" s="7"/>
      <c r="BF143" s="13"/>
      <c r="BG143" s="13"/>
      <c r="BH143" s="7"/>
      <c r="BI143" s="13"/>
      <c r="BJ143" s="13"/>
      <c r="BK143" s="7"/>
      <c r="BL143" s="7"/>
    </row>
    <row r="144" spans="1:64">
      <c r="A144" s="13"/>
      <c r="B144" s="7"/>
      <c r="C144" s="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7"/>
      <c r="AD144" s="7"/>
      <c r="AE144" s="7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7"/>
      <c r="BE144" s="7"/>
      <c r="BF144" s="13"/>
      <c r="BG144" s="13"/>
      <c r="BH144" s="7"/>
      <c r="BI144" s="13"/>
      <c r="BJ144" s="13"/>
      <c r="BK144" s="7"/>
      <c r="BL144" s="7"/>
    </row>
    <row r="145" spans="1:64">
      <c r="A145" s="13"/>
      <c r="B145" s="7"/>
      <c r="C145" s="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7"/>
      <c r="AD145" s="7"/>
      <c r="AE145" s="7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7"/>
      <c r="BE145" s="7"/>
      <c r="BF145" s="13"/>
      <c r="BG145" s="13"/>
      <c r="BH145" s="7"/>
      <c r="BI145" s="13"/>
      <c r="BJ145" s="13"/>
      <c r="BK145" s="7"/>
      <c r="BL145" s="7"/>
    </row>
    <row r="146" spans="1:64">
      <c r="A146" s="13"/>
      <c r="B146" s="7"/>
      <c r="C146" s="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7"/>
      <c r="AD146" s="7"/>
      <c r="AE146" s="7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7"/>
      <c r="BE146" s="7"/>
      <c r="BF146" s="13"/>
      <c r="BG146" s="13"/>
      <c r="BH146" s="7"/>
      <c r="BI146" s="13"/>
      <c r="BJ146" s="13"/>
      <c r="BK146" s="7"/>
      <c r="BL146" s="7"/>
    </row>
    <row r="147" spans="1:64">
      <c r="A147" s="13"/>
      <c r="B147" s="7"/>
      <c r="C147" s="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7"/>
      <c r="AD147" s="7"/>
      <c r="AE147" s="7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7"/>
      <c r="BE147" s="7"/>
      <c r="BF147" s="13"/>
      <c r="BG147" s="13"/>
      <c r="BH147" s="7"/>
      <c r="BI147" s="13"/>
      <c r="BJ147" s="13"/>
      <c r="BK147" s="7"/>
      <c r="BL147" s="7"/>
    </row>
    <row r="148" spans="1:64">
      <c r="A148" s="13"/>
      <c r="B148" s="7"/>
      <c r="C148" s="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7"/>
      <c r="AD148" s="7"/>
      <c r="AE148" s="7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7"/>
      <c r="BE148" s="7"/>
      <c r="BF148" s="13"/>
      <c r="BG148" s="13"/>
      <c r="BH148" s="7"/>
      <c r="BI148" s="13"/>
      <c r="BJ148" s="13"/>
      <c r="BK148" s="7"/>
      <c r="BL148" s="7"/>
    </row>
    <row r="149" spans="1:64">
      <c r="A149" s="13"/>
      <c r="B149" s="7"/>
      <c r="C149" s="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7"/>
      <c r="AD149" s="7"/>
      <c r="AE149" s="7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7"/>
      <c r="BE149" s="7"/>
      <c r="BF149" s="13"/>
      <c r="BG149" s="13"/>
      <c r="BH149" s="7"/>
      <c r="BI149" s="13"/>
      <c r="BJ149" s="13"/>
      <c r="BK149" s="7"/>
      <c r="BL149" s="7"/>
    </row>
    <row r="150" spans="1:64">
      <c r="A150" s="13"/>
      <c r="B150" s="7"/>
      <c r="C150" s="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7"/>
      <c r="AD150" s="7"/>
      <c r="AE150" s="7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7"/>
      <c r="BE150" s="7"/>
      <c r="BF150" s="13"/>
      <c r="BG150" s="13"/>
      <c r="BH150" s="7"/>
      <c r="BI150" s="13"/>
      <c r="BJ150" s="13"/>
      <c r="BK150" s="7"/>
      <c r="BL150" s="7"/>
    </row>
    <row r="151" spans="1:64">
      <c r="A151" s="13"/>
      <c r="B151" s="7"/>
      <c r="C151" s="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7"/>
      <c r="AD151" s="7"/>
      <c r="AE151" s="7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7"/>
      <c r="BE151" s="7"/>
      <c r="BF151" s="13"/>
      <c r="BG151" s="13"/>
      <c r="BH151" s="7"/>
      <c r="BI151" s="13"/>
      <c r="BJ151" s="13"/>
      <c r="BK151" s="7"/>
      <c r="BL151" s="7"/>
    </row>
    <row r="152" spans="1:64">
      <c r="A152" s="13"/>
      <c r="B152" s="7"/>
      <c r="C152" s="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7"/>
      <c r="AD152" s="7"/>
      <c r="AE152" s="7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7"/>
      <c r="BE152" s="7"/>
      <c r="BF152" s="13"/>
      <c r="BG152" s="13"/>
      <c r="BH152" s="7"/>
      <c r="BI152" s="13"/>
      <c r="BJ152" s="13"/>
      <c r="BK152" s="7"/>
      <c r="BL152" s="7"/>
    </row>
    <row r="153" spans="1:64">
      <c r="A153" s="13"/>
      <c r="B153" s="7"/>
      <c r="C153" s="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7"/>
      <c r="AD153" s="7"/>
      <c r="AE153" s="7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7"/>
      <c r="BE153" s="7"/>
      <c r="BF153" s="13"/>
      <c r="BG153" s="13"/>
      <c r="BH153" s="7"/>
      <c r="BI153" s="13"/>
      <c r="BJ153" s="13"/>
      <c r="BK153" s="7"/>
      <c r="BL153" s="7"/>
    </row>
    <row r="154" spans="1:64">
      <c r="A154" s="13"/>
      <c r="B154" s="7"/>
      <c r="C154" s="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7"/>
      <c r="AD154" s="7"/>
      <c r="AE154" s="7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7"/>
      <c r="BE154" s="7"/>
      <c r="BF154" s="13"/>
      <c r="BG154" s="13"/>
      <c r="BH154" s="7"/>
      <c r="BI154" s="13"/>
      <c r="BJ154" s="13"/>
      <c r="BK154" s="7"/>
      <c r="BL154" s="7"/>
    </row>
    <row r="155" spans="1:64">
      <c r="A155" s="13"/>
      <c r="B155" s="7"/>
      <c r="C155" s="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7"/>
      <c r="AD155" s="7"/>
      <c r="AE155" s="7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7"/>
      <c r="BE155" s="7"/>
      <c r="BF155" s="13"/>
      <c r="BG155" s="13"/>
      <c r="BH155" s="7"/>
      <c r="BI155" s="13"/>
      <c r="BJ155" s="13"/>
      <c r="BK155" s="7"/>
      <c r="BL155" s="7"/>
    </row>
    <row r="156" spans="1:64">
      <c r="A156" s="13"/>
      <c r="B156" s="7"/>
      <c r="C156" s="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7"/>
      <c r="AD156" s="7"/>
      <c r="AE156" s="7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7"/>
      <c r="BE156" s="7"/>
      <c r="BF156" s="13"/>
      <c r="BG156" s="13"/>
      <c r="BH156" s="7"/>
      <c r="BI156" s="13"/>
      <c r="BJ156" s="13"/>
      <c r="BK156" s="7"/>
      <c r="BL156" s="7"/>
    </row>
    <row r="157" spans="1:64">
      <c r="A157" s="13"/>
      <c r="B157" s="7"/>
      <c r="C157" s="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7"/>
      <c r="AD157" s="7"/>
      <c r="AE157" s="7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7"/>
      <c r="BE157" s="7"/>
      <c r="BF157" s="13"/>
      <c r="BG157" s="13"/>
      <c r="BH157" s="7"/>
      <c r="BI157" s="13"/>
      <c r="BJ157" s="13"/>
      <c r="BK157" s="7"/>
      <c r="BL157" s="7"/>
    </row>
    <row r="158" spans="1:64">
      <c r="A158" s="13"/>
      <c r="B158" s="7"/>
      <c r="C158" s="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7"/>
      <c r="AD158" s="7"/>
      <c r="AE158" s="7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7"/>
      <c r="BE158" s="7"/>
      <c r="BF158" s="13"/>
      <c r="BG158" s="13"/>
      <c r="BH158" s="7"/>
      <c r="BI158" s="13"/>
      <c r="BJ158" s="13"/>
      <c r="BK158" s="7"/>
      <c r="BL158" s="7"/>
    </row>
    <row r="159" spans="1:64">
      <c r="A159" s="13"/>
      <c r="B159" s="7"/>
      <c r="C159" s="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7"/>
      <c r="AD159" s="7"/>
      <c r="AE159" s="7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7"/>
      <c r="BE159" s="7"/>
      <c r="BF159" s="13"/>
      <c r="BG159" s="13"/>
      <c r="BH159" s="7"/>
      <c r="BI159" s="13"/>
      <c r="BJ159" s="13"/>
      <c r="BK159" s="7"/>
      <c r="BL159" s="7"/>
    </row>
    <row r="160" spans="1:64">
      <c r="A160" s="13"/>
      <c r="B160" s="7"/>
      <c r="C160" s="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7"/>
      <c r="AD160" s="7"/>
      <c r="AE160" s="7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7"/>
      <c r="BE160" s="7"/>
      <c r="BF160" s="13"/>
      <c r="BG160" s="13"/>
      <c r="BH160" s="7"/>
      <c r="BI160" s="13"/>
      <c r="BJ160" s="13"/>
      <c r="BK160" s="7"/>
      <c r="BL160" s="7"/>
    </row>
    <row r="161" spans="1:64">
      <c r="A161" s="13"/>
      <c r="B161" s="7"/>
      <c r="C161" s="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7"/>
      <c r="AD161" s="7"/>
      <c r="AE161" s="7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7"/>
      <c r="BE161" s="7"/>
      <c r="BF161" s="13"/>
      <c r="BG161" s="13"/>
      <c r="BH161" s="7"/>
      <c r="BI161" s="13"/>
      <c r="BJ161" s="13"/>
      <c r="BK161" s="7"/>
      <c r="BL161" s="7"/>
    </row>
    <row r="162" spans="1:64">
      <c r="A162" s="13"/>
      <c r="B162" s="7"/>
      <c r="C162" s="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7"/>
      <c r="AD162" s="7"/>
      <c r="AE162" s="7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7"/>
      <c r="BE162" s="7"/>
      <c r="BF162" s="13"/>
      <c r="BG162" s="13"/>
      <c r="BH162" s="7"/>
      <c r="BI162" s="13"/>
      <c r="BJ162" s="13"/>
      <c r="BK162" s="7"/>
      <c r="BL162" s="7"/>
    </row>
    <row r="163" spans="1:64">
      <c r="A163" s="13"/>
      <c r="B163" s="7"/>
      <c r="C163" s="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7"/>
      <c r="AD163" s="7"/>
      <c r="AE163" s="7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7"/>
      <c r="BE163" s="7"/>
      <c r="BF163" s="13"/>
      <c r="BG163" s="13"/>
      <c r="BH163" s="7"/>
      <c r="BI163" s="13"/>
      <c r="BJ163" s="13"/>
      <c r="BK163" s="7"/>
      <c r="BL163" s="7"/>
    </row>
    <row r="164" spans="1:64">
      <c r="A164" s="13"/>
      <c r="B164" s="7"/>
      <c r="C164" s="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7"/>
      <c r="AD164" s="7"/>
      <c r="AE164" s="7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7"/>
      <c r="BE164" s="7"/>
      <c r="BF164" s="13"/>
      <c r="BG164" s="13"/>
      <c r="BH164" s="7"/>
      <c r="BI164" s="13"/>
      <c r="BJ164" s="13"/>
      <c r="BK164" s="7"/>
      <c r="BL164" s="7"/>
    </row>
    <row r="165" spans="1:64">
      <c r="A165" s="13"/>
      <c r="B165" s="7"/>
      <c r="C165" s="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7"/>
      <c r="AD165" s="7"/>
      <c r="AE165" s="7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7"/>
      <c r="BE165" s="7"/>
      <c r="BF165" s="13"/>
      <c r="BG165" s="13"/>
      <c r="BH165" s="7"/>
      <c r="BI165" s="13"/>
      <c r="BJ165" s="13"/>
      <c r="BK165" s="7"/>
      <c r="BL165" s="7"/>
    </row>
    <row r="166" spans="1:64">
      <c r="A166" s="13"/>
      <c r="B166" s="7"/>
      <c r="C166" s="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7"/>
      <c r="AD166" s="7"/>
      <c r="AE166" s="7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7"/>
      <c r="BE166" s="7"/>
      <c r="BF166" s="13"/>
      <c r="BG166" s="13"/>
      <c r="BH166" s="7"/>
      <c r="BI166" s="13"/>
      <c r="BJ166" s="13"/>
      <c r="BK166" s="7"/>
      <c r="BL166" s="7"/>
    </row>
    <row r="167" spans="1:64">
      <c r="A167" s="13"/>
      <c r="B167" s="7"/>
      <c r="C167" s="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7"/>
      <c r="AD167" s="7"/>
      <c r="AE167" s="7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7"/>
      <c r="BE167" s="7"/>
      <c r="BF167" s="13"/>
      <c r="BG167" s="13"/>
      <c r="BH167" s="7"/>
      <c r="BI167" s="13"/>
      <c r="BJ167" s="13"/>
      <c r="BK167" s="7"/>
      <c r="BL167" s="7"/>
    </row>
    <row r="168" spans="1:64">
      <c r="A168" s="13"/>
      <c r="B168" s="7"/>
      <c r="C168" s="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7"/>
      <c r="AD168" s="7"/>
      <c r="AE168" s="7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7"/>
      <c r="BE168" s="7"/>
      <c r="BF168" s="13"/>
      <c r="BG168" s="13"/>
      <c r="BH168" s="7"/>
      <c r="BI168" s="13"/>
      <c r="BJ168" s="13"/>
      <c r="BK168" s="7"/>
      <c r="BL168" s="7"/>
    </row>
    <row r="169" spans="1:64">
      <c r="A169" s="13"/>
      <c r="B169" s="7"/>
      <c r="C169" s="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7"/>
      <c r="AD169" s="7"/>
      <c r="AE169" s="7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7"/>
      <c r="BE169" s="7"/>
      <c r="BF169" s="13"/>
      <c r="BG169" s="13"/>
      <c r="BH169" s="7"/>
      <c r="BI169" s="13"/>
      <c r="BJ169" s="13"/>
      <c r="BK169" s="7"/>
      <c r="BL169" s="7"/>
    </row>
    <row r="170" spans="1:64">
      <c r="A170" s="13"/>
      <c r="B170" s="7"/>
      <c r="C170" s="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7"/>
      <c r="AD170" s="7"/>
      <c r="AE170" s="7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7"/>
      <c r="BE170" s="7"/>
      <c r="BF170" s="13"/>
      <c r="BG170" s="13"/>
      <c r="BH170" s="7"/>
      <c r="BI170" s="13"/>
      <c r="BJ170" s="13"/>
      <c r="BK170" s="7"/>
      <c r="BL170" s="7"/>
    </row>
    <row r="171" spans="1:64">
      <c r="A171" s="13"/>
      <c r="B171" s="7"/>
      <c r="C171" s="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7"/>
      <c r="AD171" s="7"/>
      <c r="AE171" s="7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7"/>
      <c r="BE171" s="7"/>
      <c r="BF171" s="13"/>
      <c r="BG171" s="13"/>
      <c r="BH171" s="7"/>
      <c r="BI171" s="13"/>
      <c r="BJ171" s="13"/>
      <c r="BK171" s="7"/>
      <c r="BL171" s="7"/>
    </row>
    <row r="172" spans="1:64">
      <c r="A172" s="13"/>
      <c r="B172" s="7"/>
      <c r="C172" s="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7"/>
      <c r="AD172" s="7"/>
      <c r="AE172" s="7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7"/>
      <c r="BE172" s="7"/>
      <c r="BF172" s="13"/>
      <c r="BG172" s="13"/>
      <c r="BH172" s="7"/>
      <c r="BI172" s="13"/>
      <c r="BJ172" s="13"/>
      <c r="BK172" s="7"/>
      <c r="BL172" s="7"/>
    </row>
    <row r="173" spans="1:64">
      <c r="A173" s="13"/>
      <c r="B173" s="7"/>
      <c r="C173" s="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7"/>
      <c r="AD173" s="7"/>
      <c r="AE173" s="7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7"/>
      <c r="BE173" s="7"/>
      <c r="BF173" s="13"/>
      <c r="BG173" s="13"/>
      <c r="BH173" s="7"/>
      <c r="BI173" s="13"/>
      <c r="BJ173" s="13"/>
      <c r="BK173" s="7"/>
      <c r="BL173" s="7"/>
    </row>
    <row r="174" spans="1:64">
      <c r="A174" s="13"/>
      <c r="B174" s="7"/>
      <c r="C174" s="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7"/>
      <c r="AD174" s="7"/>
      <c r="AE174" s="7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7"/>
      <c r="BE174" s="7"/>
      <c r="BF174" s="13"/>
      <c r="BG174" s="13"/>
      <c r="BH174" s="7"/>
      <c r="BI174" s="13"/>
      <c r="BJ174" s="13"/>
      <c r="BK174" s="7"/>
      <c r="BL174" s="7"/>
    </row>
    <row r="175" spans="1:64">
      <c r="A175" s="13"/>
      <c r="B175" s="7"/>
      <c r="C175" s="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7"/>
      <c r="AD175" s="7"/>
      <c r="AE175" s="7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7"/>
      <c r="BE175" s="7"/>
      <c r="BF175" s="13"/>
      <c r="BG175" s="13"/>
      <c r="BH175" s="7"/>
      <c r="BI175" s="13"/>
      <c r="BJ175" s="13"/>
      <c r="BK175" s="7"/>
      <c r="BL175" s="7"/>
    </row>
    <row r="176" spans="1:64">
      <c r="A176" s="13"/>
      <c r="B176" s="7"/>
      <c r="C176" s="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7"/>
      <c r="AD176" s="7"/>
      <c r="AE176" s="7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7"/>
      <c r="BE176" s="7"/>
      <c r="BF176" s="13"/>
      <c r="BG176" s="13"/>
      <c r="BH176" s="7"/>
      <c r="BI176" s="13"/>
      <c r="BJ176" s="13"/>
      <c r="BK176" s="7"/>
      <c r="BL176" s="7"/>
    </row>
    <row r="177" spans="1:64">
      <c r="A177" s="13"/>
      <c r="B177" s="7"/>
      <c r="C177" s="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7"/>
      <c r="AD177" s="7"/>
      <c r="AE177" s="7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7"/>
      <c r="BE177" s="7"/>
      <c r="BF177" s="13"/>
      <c r="BG177" s="13"/>
      <c r="BH177" s="7"/>
      <c r="BI177" s="13"/>
      <c r="BJ177" s="13"/>
      <c r="BK177" s="7"/>
      <c r="BL177" s="7"/>
    </row>
    <row r="178" spans="1:64">
      <c r="A178" s="13"/>
      <c r="B178" s="7"/>
      <c r="C178" s="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7"/>
      <c r="AD178" s="7"/>
      <c r="AE178" s="7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7"/>
      <c r="BE178" s="7"/>
      <c r="BF178" s="13"/>
      <c r="BG178" s="13"/>
      <c r="BH178" s="7"/>
      <c r="BI178" s="13"/>
      <c r="BJ178" s="13"/>
      <c r="BK178" s="7"/>
      <c r="BL178" s="7"/>
    </row>
    <row r="179" spans="1:64">
      <c r="A179" s="13"/>
      <c r="B179" s="7"/>
      <c r="C179" s="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7"/>
      <c r="AD179" s="7"/>
      <c r="AE179" s="7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7"/>
      <c r="BE179" s="7"/>
      <c r="BF179" s="13"/>
      <c r="BG179" s="13"/>
      <c r="BH179" s="7"/>
      <c r="BI179" s="13"/>
      <c r="BJ179" s="13"/>
      <c r="BK179" s="7"/>
      <c r="BL179" s="7"/>
    </row>
    <row r="180" spans="1:64">
      <c r="A180" s="13"/>
      <c r="B180" s="7"/>
      <c r="C180" s="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7"/>
      <c r="AD180" s="7"/>
      <c r="AE180" s="7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7"/>
      <c r="BE180" s="7"/>
      <c r="BF180" s="13"/>
      <c r="BG180" s="13"/>
      <c r="BH180" s="7"/>
      <c r="BI180" s="13"/>
      <c r="BJ180" s="13"/>
      <c r="BK180" s="7"/>
      <c r="BL180" s="7"/>
    </row>
    <row r="181" spans="1:64">
      <c r="A181" s="13"/>
      <c r="B181" s="7"/>
      <c r="C181" s="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7"/>
      <c r="AD181" s="7"/>
      <c r="AE181" s="7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7"/>
      <c r="BE181" s="7"/>
      <c r="BF181" s="13"/>
      <c r="BG181" s="13"/>
      <c r="BH181" s="7"/>
      <c r="BI181" s="13"/>
      <c r="BJ181" s="13"/>
      <c r="BK181" s="7"/>
      <c r="BL181" s="7"/>
    </row>
    <row r="182" spans="1:64">
      <c r="A182" s="13"/>
      <c r="B182" s="7"/>
      <c r="C182" s="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7"/>
      <c r="AD182" s="7"/>
      <c r="AE182" s="7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7"/>
      <c r="BE182" s="7"/>
      <c r="BF182" s="13"/>
      <c r="BG182" s="13"/>
      <c r="BH182" s="7"/>
      <c r="BI182" s="13"/>
      <c r="BJ182" s="13"/>
      <c r="BK182" s="7"/>
      <c r="BL182" s="7"/>
    </row>
    <row r="183" spans="1:64">
      <c r="A183" s="13"/>
      <c r="B183" s="7"/>
      <c r="C183" s="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7"/>
      <c r="AD183" s="7"/>
      <c r="AE183" s="7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7"/>
      <c r="BE183" s="7"/>
      <c r="BF183" s="13"/>
      <c r="BG183" s="13"/>
      <c r="BH183" s="7"/>
      <c r="BI183" s="13"/>
      <c r="BJ183" s="13"/>
      <c r="BK183" s="7"/>
      <c r="BL183" s="7"/>
    </row>
    <row r="184" spans="1:64">
      <c r="A184" s="13"/>
      <c r="B184" s="7"/>
      <c r="C184" s="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7"/>
      <c r="AD184" s="7"/>
      <c r="AE184" s="7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7"/>
      <c r="BE184" s="7"/>
      <c r="BF184" s="13"/>
      <c r="BG184" s="13"/>
      <c r="BH184" s="7"/>
      <c r="BI184" s="13"/>
      <c r="BJ184" s="13"/>
      <c r="BK184" s="7"/>
      <c r="BL184" s="7"/>
    </row>
    <row r="185" spans="1:64">
      <c r="A185" s="13"/>
      <c r="B185" s="7"/>
      <c r="C185" s="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7"/>
      <c r="AD185" s="7"/>
      <c r="AE185" s="7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7"/>
      <c r="BE185" s="7"/>
      <c r="BF185" s="13"/>
      <c r="BG185" s="13"/>
      <c r="BH185" s="7"/>
      <c r="BI185" s="13"/>
      <c r="BJ185" s="13"/>
      <c r="BK185" s="7"/>
      <c r="BL185" s="7"/>
    </row>
    <row r="186" spans="1:64">
      <c r="A186" s="13"/>
      <c r="B186" s="7"/>
      <c r="C186" s="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7"/>
      <c r="AD186" s="7"/>
      <c r="AE186" s="7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7"/>
      <c r="BE186" s="7"/>
      <c r="BF186" s="13"/>
      <c r="BG186" s="13"/>
      <c r="BH186" s="7"/>
      <c r="BI186" s="13"/>
      <c r="BJ186" s="13"/>
      <c r="BK186" s="7"/>
      <c r="BL186" s="7"/>
    </row>
    <row r="187" spans="1:64">
      <c r="A187" s="13"/>
      <c r="B187" s="7"/>
      <c r="C187" s="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7"/>
      <c r="AD187" s="7"/>
      <c r="AE187" s="7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7"/>
      <c r="BE187" s="7"/>
      <c r="BF187" s="13"/>
      <c r="BG187" s="13"/>
      <c r="BH187" s="7"/>
      <c r="BI187" s="13"/>
      <c r="BJ187" s="13"/>
      <c r="BK187" s="7"/>
      <c r="BL187" s="7"/>
    </row>
    <row r="188" spans="1:64">
      <c r="A188" s="13"/>
      <c r="B188" s="7"/>
      <c r="C188" s="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7"/>
      <c r="AD188" s="7"/>
      <c r="AE188" s="7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7"/>
      <c r="BE188" s="7"/>
      <c r="BF188" s="13"/>
      <c r="BG188" s="13"/>
      <c r="BH188" s="7"/>
      <c r="BI188" s="13"/>
      <c r="BJ188" s="13"/>
      <c r="BK188" s="7"/>
      <c r="BL188" s="7"/>
    </row>
    <row r="189" spans="1:64">
      <c r="A189" s="13"/>
      <c r="B189" s="7"/>
      <c r="C189" s="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7"/>
      <c r="AD189" s="7"/>
      <c r="AE189" s="7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7"/>
      <c r="BE189" s="7"/>
      <c r="BF189" s="13"/>
      <c r="BG189" s="13"/>
      <c r="BH189" s="7"/>
      <c r="BI189" s="13"/>
      <c r="BJ189" s="13"/>
      <c r="BK189" s="7"/>
      <c r="BL189" s="7"/>
    </row>
    <row r="190" spans="1:64">
      <c r="A190" s="13"/>
      <c r="B190" s="7"/>
      <c r="C190" s="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7"/>
      <c r="AD190" s="7"/>
      <c r="AE190" s="7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7"/>
      <c r="BE190" s="7"/>
      <c r="BF190" s="13"/>
      <c r="BG190" s="13"/>
      <c r="BH190" s="7"/>
      <c r="BI190" s="13"/>
      <c r="BJ190" s="13"/>
      <c r="BK190" s="7"/>
      <c r="BL190" s="7"/>
    </row>
    <row r="191" spans="1:64">
      <c r="A191" s="13"/>
      <c r="B191" s="7"/>
      <c r="C191" s="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7"/>
      <c r="AD191" s="7"/>
      <c r="AE191" s="7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7"/>
      <c r="BE191" s="7"/>
      <c r="BF191" s="13"/>
      <c r="BG191" s="13"/>
      <c r="BH191" s="7"/>
      <c r="BI191" s="13"/>
      <c r="BJ191" s="13"/>
      <c r="BK191" s="7"/>
      <c r="BL191" s="7"/>
    </row>
    <row r="192" spans="1:64">
      <c r="A192" s="13"/>
      <c r="B192" s="7"/>
      <c r="C192" s="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7"/>
      <c r="AD192" s="7"/>
      <c r="AE192" s="7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7"/>
      <c r="BE192" s="7"/>
      <c r="BF192" s="13"/>
      <c r="BG192" s="13"/>
      <c r="BH192" s="7"/>
      <c r="BI192" s="13"/>
      <c r="BJ192" s="13"/>
      <c r="BK192" s="7"/>
      <c r="BL192" s="7"/>
    </row>
    <row r="193" spans="1:64">
      <c r="A193" s="13"/>
      <c r="B193" s="7"/>
      <c r="C193" s="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7"/>
      <c r="AD193" s="7"/>
      <c r="AE193" s="7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7"/>
      <c r="BE193" s="7"/>
      <c r="BF193" s="13"/>
      <c r="BG193" s="13"/>
      <c r="BH193" s="7"/>
      <c r="BI193" s="13"/>
      <c r="BJ193" s="13"/>
      <c r="BK193" s="7"/>
      <c r="BL193" s="7"/>
    </row>
    <row r="194" spans="1:64">
      <c r="A194" s="13"/>
      <c r="B194" s="7"/>
      <c r="C194" s="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7"/>
      <c r="AD194" s="7"/>
      <c r="AE194" s="7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7"/>
      <c r="BE194" s="7"/>
      <c r="BF194" s="13"/>
      <c r="BG194" s="13"/>
      <c r="BH194" s="7"/>
      <c r="BI194" s="13"/>
      <c r="BJ194" s="13"/>
      <c r="BK194" s="7"/>
      <c r="BL194" s="7"/>
    </row>
    <row r="195" spans="1:64">
      <c r="A195" s="13"/>
      <c r="B195" s="7"/>
      <c r="C195" s="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7"/>
      <c r="AD195" s="7"/>
      <c r="AE195" s="7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7"/>
      <c r="BE195" s="7"/>
      <c r="BF195" s="13"/>
      <c r="BG195" s="13"/>
      <c r="BH195" s="7"/>
      <c r="BI195" s="13"/>
      <c r="BJ195" s="13"/>
      <c r="BK195" s="7"/>
      <c r="BL195" s="7"/>
    </row>
    <row r="196" spans="1:64">
      <c r="A196" s="13"/>
      <c r="B196" s="7"/>
      <c r="C196" s="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7"/>
      <c r="AD196" s="7"/>
      <c r="AE196" s="7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7"/>
      <c r="BE196" s="7"/>
      <c r="BF196" s="13"/>
      <c r="BG196" s="13"/>
      <c r="BH196" s="7"/>
      <c r="BI196" s="13"/>
      <c r="BJ196" s="13"/>
      <c r="BK196" s="7"/>
      <c r="BL196" s="7"/>
    </row>
    <row r="197" spans="1:64">
      <c r="A197" s="13"/>
      <c r="B197" s="7"/>
      <c r="C197" s="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7"/>
      <c r="AD197" s="7"/>
      <c r="AE197" s="7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7"/>
      <c r="BE197" s="7"/>
      <c r="BF197" s="13"/>
      <c r="BG197" s="13"/>
      <c r="BH197" s="7"/>
      <c r="BI197" s="13"/>
      <c r="BJ197" s="13"/>
      <c r="BK197" s="7"/>
      <c r="BL197" s="7"/>
    </row>
    <row r="198" spans="1:64">
      <c r="A198" s="13"/>
      <c r="B198" s="7"/>
      <c r="C198" s="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7"/>
      <c r="AD198" s="7"/>
      <c r="AE198" s="7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7"/>
      <c r="BE198" s="7"/>
      <c r="BF198" s="13"/>
      <c r="BG198" s="13"/>
      <c r="BH198" s="7"/>
      <c r="BI198" s="13"/>
      <c r="BJ198" s="13"/>
      <c r="BK198" s="7"/>
      <c r="BL198" s="7"/>
    </row>
    <row r="199" spans="1:64">
      <c r="A199" s="13"/>
      <c r="B199" s="7"/>
      <c r="C199" s="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7"/>
      <c r="AD199" s="7"/>
      <c r="AE199" s="7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7"/>
      <c r="BE199" s="7"/>
      <c r="BF199" s="13"/>
      <c r="BG199" s="13"/>
      <c r="BH199" s="7"/>
      <c r="BI199" s="13"/>
      <c r="BJ199" s="13"/>
      <c r="BK199" s="7"/>
      <c r="BL199" s="7"/>
    </row>
    <row r="200" spans="1:64">
      <c r="A200" s="13"/>
      <c r="B200" s="7"/>
      <c r="C200" s="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7"/>
      <c r="AD200" s="7"/>
      <c r="AE200" s="7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7"/>
      <c r="BE200" s="7"/>
      <c r="BF200" s="13"/>
      <c r="BG200" s="13"/>
      <c r="BH200" s="7"/>
      <c r="BI200" s="13"/>
      <c r="BJ200" s="13"/>
      <c r="BK200" s="7"/>
      <c r="BL200" s="7"/>
    </row>
    <row r="201" spans="1:64">
      <c r="A201" s="13"/>
      <c r="B201" s="7"/>
      <c r="C201" s="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7"/>
      <c r="AD201" s="7"/>
      <c r="AE201" s="7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7"/>
      <c r="BE201" s="7"/>
      <c r="BF201" s="13"/>
      <c r="BG201" s="13"/>
      <c r="BH201" s="7"/>
      <c r="BI201" s="13"/>
      <c r="BJ201" s="13"/>
      <c r="BK201" s="7"/>
      <c r="BL201" s="7"/>
    </row>
    <row r="202" spans="1:64">
      <c r="A202" s="13"/>
      <c r="B202" s="7"/>
      <c r="C202" s="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7"/>
      <c r="AD202" s="7"/>
      <c r="AE202" s="7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7"/>
      <c r="BE202" s="7"/>
      <c r="BF202" s="13"/>
      <c r="BG202" s="13"/>
      <c r="BH202" s="7"/>
      <c r="BI202" s="13"/>
      <c r="BJ202" s="13"/>
      <c r="BK202" s="7"/>
      <c r="BL202" s="7"/>
    </row>
    <row r="203" spans="1:64">
      <c r="A203" s="13"/>
      <c r="B203" s="7"/>
      <c r="C203" s="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7"/>
      <c r="AD203" s="7"/>
      <c r="AE203" s="7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7"/>
      <c r="BE203" s="7"/>
      <c r="BF203" s="13"/>
      <c r="BG203" s="13"/>
      <c r="BH203" s="7"/>
      <c r="BI203" s="13"/>
      <c r="BJ203" s="13"/>
      <c r="BK203" s="7"/>
      <c r="BL203" s="7"/>
    </row>
    <row r="204" spans="1:64">
      <c r="A204" s="13"/>
      <c r="B204" s="7"/>
      <c r="C204" s="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7"/>
      <c r="AD204" s="7"/>
      <c r="AE204" s="7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7"/>
      <c r="BE204" s="7"/>
      <c r="BF204" s="13"/>
      <c r="BG204" s="13"/>
      <c r="BH204" s="7"/>
      <c r="BI204" s="13"/>
      <c r="BJ204" s="13"/>
      <c r="BK204" s="7"/>
      <c r="BL204" s="7"/>
    </row>
    <row r="205" spans="1:64">
      <c r="A205" s="13"/>
      <c r="B205" s="7"/>
      <c r="C205" s="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7"/>
      <c r="AD205" s="7"/>
      <c r="AE205" s="7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7"/>
      <c r="BE205" s="7"/>
      <c r="BF205" s="13"/>
      <c r="BG205" s="13"/>
      <c r="BH205" s="7"/>
      <c r="BI205" s="13"/>
      <c r="BJ205" s="13"/>
      <c r="BK205" s="7"/>
      <c r="BL205" s="7"/>
    </row>
    <row r="206" spans="1:64">
      <c r="A206" s="13"/>
      <c r="B206" s="7"/>
      <c r="C206" s="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7"/>
      <c r="AD206" s="7"/>
      <c r="AE206" s="7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7"/>
      <c r="BE206" s="7"/>
      <c r="BF206" s="13"/>
      <c r="BG206" s="13"/>
      <c r="BH206" s="7"/>
      <c r="BI206" s="13"/>
      <c r="BJ206" s="13"/>
      <c r="BK206" s="7"/>
      <c r="BL206" s="7"/>
    </row>
    <row r="207" spans="1:64">
      <c r="A207" s="13"/>
      <c r="B207" s="7"/>
      <c r="C207" s="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7"/>
      <c r="AD207" s="7"/>
      <c r="AE207" s="7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7"/>
      <c r="BE207" s="7"/>
      <c r="BF207" s="7"/>
      <c r="BG207" s="13"/>
      <c r="BH207" s="7"/>
      <c r="BI207" s="13"/>
      <c r="BJ207" s="13"/>
      <c r="BK207" s="7"/>
      <c r="BL207" s="7"/>
    </row>
    <row r="208" spans="1:64">
      <c r="A208" s="13"/>
      <c r="B208" s="7"/>
      <c r="C208" s="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7"/>
      <c r="AD208" s="7"/>
      <c r="AE208" s="7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7"/>
      <c r="BE208" s="7"/>
      <c r="BF208" s="7"/>
      <c r="BG208" s="13"/>
      <c r="BH208" s="7"/>
      <c r="BI208" s="13"/>
      <c r="BJ208" s="13"/>
      <c r="BK208" s="7"/>
      <c r="BL208" s="7"/>
    </row>
    <row r="209" spans="1:64">
      <c r="A209" s="13"/>
      <c r="B209" s="7"/>
      <c r="C209" s="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7"/>
      <c r="AD209" s="7"/>
      <c r="AE209" s="7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7"/>
      <c r="BE209" s="7"/>
      <c r="BF209" s="7"/>
      <c r="BG209" s="13"/>
      <c r="BH209" s="7"/>
      <c r="BI209" s="13"/>
      <c r="BJ209" s="13"/>
      <c r="BK209" s="7"/>
      <c r="BL209" s="7"/>
    </row>
    <row r="210" spans="1:64">
      <c r="A210" s="13"/>
      <c r="B210" s="7"/>
      <c r="C210" s="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7"/>
      <c r="AD210" s="7"/>
      <c r="AE210" s="7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7"/>
      <c r="BE210" s="7"/>
      <c r="BF210" s="7"/>
      <c r="BG210" s="7"/>
      <c r="BH210" s="7"/>
      <c r="BI210" s="13"/>
      <c r="BJ210" s="13"/>
      <c r="BK210" s="7"/>
      <c r="BL210" s="7"/>
    </row>
    <row r="211" spans="1:64">
      <c r="A211" s="13"/>
      <c r="B211" s="7"/>
      <c r="C211" s="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7"/>
      <c r="AD211" s="7"/>
      <c r="AE211" s="7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7"/>
      <c r="BE211" s="7"/>
      <c r="BF211" s="7"/>
      <c r="BG211" s="7"/>
      <c r="BH211" s="7"/>
      <c r="BI211" s="13"/>
      <c r="BJ211" s="13"/>
      <c r="BK211" s="7"/>
      <c r="BL211" s="7"/>
    </row>
    <row r="212" spans="1:64">
      <c r="A212" s="13"/>
      <c r="B212" s="7"/>
      <c r="C212" s="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7"/>
      <c r="AD212" s="7"/>
      <c r="AE212" s="7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7"/>
      <c r="BE212" s="7"/>
      <c r="BF212" s="7"/>
      <c r="BG212" s="7"/>
      <c r="BH212" s="7"/>
      <c r="BI212" s="13"/>
      <c r="BJ212" s="13"/>
      <c r="BK212" s="7"/>
      <c r="BL212" s="7"/>
    </row>
    <row r="213" spans="1:64">
      <c r="A213" s="13"/>
      <c r="B213" s="7"/>
      <c r="C213" s="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7"/>
      <c r="AD213" s="7"/>
      <c r="AE213" s="7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7"/>
      <c r="BE213" s="7"/>
      <c r="BF213" s="7"/>
      <c r="BG213" s="7"/>
      <c r="BH213" s="7"/>
      <c r="BI213" s="13"/>
      <c r="BJ213" s="13"/>
      <c r="BK213" s="7"/>
      <c r="BL213" s="7"/>
    </row>
    <row r="214" spans="1:64">
      <c r="A214" s="13"/>
      <c r="B214" s="7"/>
      <c r="C214" s="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7"/>
      <c r="AD214" s="7"/>
      <c r="AE214" s="7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7"/>
      <c r="BE214" s="7"/>
      <c r="BF214" s="7"/>
      <c r="BG214" s="7"/>
      <c r="BH214" s="7"/>
      <c r="BI214" s="13"/>
      <c r="BJ214" s="13"/>
      <c r="BK214" s="7"/>
      <c r="BL214" s="7"/>
    </row>
    <row r="215" spans="1:64">
      <c r="A215" s="13"/>
      <c r="B215" s="7"/>
      <c r="C215" s="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7"/>
      <c r="AD215" s="7"/>
      <c r="AE215" s="7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7"/>
      <c r="BE215" s="7"/>
      <c r="BF215" s="7"/>
      <c r="BG215" s="7"/>
      <c r="BH215" s="7"/>
      <c r="BI215" s="7"/>
      <c r="BJ215" s="13"/>
      <c r="BK215" s="7"/>
      <c r="BL215" s="7"/>
    </row>
    <row r="216" spans="1:64">
      <c r="A216" s="13"/>
      <c r="B216" s="7"/>
      <c r="C216" s="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7"/>
      <c r="AD216" s="7"/>
      <c r="AE216" s="7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7"/>
      <c r="BE216" s="7"/>
      <c r="BF216" s="7"/>
      <c r="BG216" s="7"/>
      <c r="BH216" s="7"/>
      <c r="BI216" s="7"/>
      <c r="BJ216" s="13"/>
      <c r="BK216" s="7"/>
      <c r="BL216" s="7"/>
    </row>
    <row r="217" spans="1:64">
      <c r="A217" s="13"/>
      <c r="B217" s="7"/>
      <c r="C217" s="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7"/>
      <c r="AD217" s="7"/>
      <c r="AE217" s="7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1:64">
      <c r="A218" s="13"/>
      <c r="B218" s="7"/>
      <c r="C218" s="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7"/>
      <c r="AD218" s="7"/>
      <c r="AE218" s="7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1:64">
      <c r="A219" s="13"/>
      <c r="B219" s="7"/>
      <c r="C219" s="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7"/>
      <c r="AD219" s="7"/>
      <c r="AE219" s="7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1:64">
      <c r="A220" s="13"/>
      <c r="B220" s="7"/>
      <c r="C220" s="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7"/>
      <c r="AD220" s="7"/>
      <c r="AE220" s="7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1:64">
      <c r="A221" s="13"/>
      <c r="B221" s="7"/>
      <c r="C221" s="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7"/>
      <c r="AD221" s="7"/>
      <c r="AE221" s="7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1:64">
      <c r="A222" s="13"/>
      <c r="B222" s="7"/>
      <c r="C222" s="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7"/>
      <c r="AD222" s="7"/>
      <c r="AE222" s="7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7"/>
      <c r="BE222" s="7"/>
      <c r="BF222" s="7"/>
      <c r="BG222" s="7"/>
      <c r="BH222" s="7"/>
      <c r="BI222" s="7"/>
      <c r="BJ222" s="7"/>
      <c r="BK222" s="7"/>
      <c r="BL222" s="7"/>
    </row>
    <row r="223" spans="1:64">
      <c r="A223" s="13"/>
      <c r="B223" s="7"/>
      <c r="C223" s="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7"/>
      <c r="AD223" s="7"/>
      <c r="AE223" s="7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7"/>
      <c r="BE223" s="7"/>
      <c r="BF223" s="7"/>
      <c r="BG223" s="7"/>
      <c r="BH223" s="7"/>
      <c r="BI223" s="7"/>
      <c r="BJ223" s="7"/>
      <c r="BK223" s="7"/>
      <c r="BL223" s="7"/>
    </row>
    <row r="224" spans="1:64">
      <c r="A224" s="13"/>
      <c r="B224" s="7"/>
      <c r="C224" s="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7"/>
      <c r="AD224" s="7"/>
      <c r="AE224" s="7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7"/>
      <c r="BE224" s="7"/>
      <c r="BF224" s="7"/>
      <c r="BG224" s="7"/>
      <c r="BH224" s="7"/>
      <c r="BI224" s="7"/>
      <c r="BJ224" s="7"/>
      <c r="BK224" s="7"/>
      <c r="BL224" s="7"/>
    </row>
    <row r="225" spans="1:64">
      <c r="A225" s="13"/>
      <c r="B225" s="7"/>
      <c r="C225" s="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7"/>
      <c r="AD225" s="7"/>
      <c r="AE225" s="7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7"/>
      <c r="BE225" s="7"/>
      <c r="BF225" s="7"/>
      <c r="BG225" s="7"/>
      <c r="BH225" s="7"/>
      <c r="BI225" s="7"/>
      <c r="BJ225" s="7"/>
      <c r="BK225" s="7"/>
      <c r="BL225" s="7"/>
    </row>
    <row r="226" spans="1:64">
      <c r="A226" s="13"/>
      <c r="B226" s="7"/>
      <c r="C226" s="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7"/>
      <c r="AD226" s="7"/>
      <c r="AE226" s="7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7"/>
      <c r="BE226" s="7"/>
      <c r="BF226" s="7"/>
      <c r="BG226" s="7"/>
      <c r="BH226" s="7"/>
      <c r="BI226" s="7"/>
      <c r="BJ226" s="7"/>
      <c r="BK226" s="7"/>
      <c r="BL226" s="7"/>
    </row>
    <row r="227" spans="1:64">
      <c r="A227" s="13"/>
      <c r="B227" s="7"/>
      <c r="C227" s="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7"/>
      <c r="AD227" s="7"/>
      <c r="AE227" s="7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7"/>
      <c r="BE227" s="7"/>
      <c r="BF227" s="7"/>
      <c r="BG227" s="7"/>
      <c r="BH227" s="7"/>
      <c r="BI227" s="7"/>
      <c r="BJ227" s="7"/>
      <c r="BK227" s="7"/>
      <c r="BL227" s="7"/>
    </row>
    <row r="228" spans="1:64">
      <c r="A228" s="13"/>
      <c r="B228" s="7"/>
      <c r="C228" s="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7"/>
      <c r="AD228" s="7"/>
      <c r="AE228" s="7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7"/>
      <c r="BE228" s="7"/>
      <c r="BF228" s="7"/>
      <c r="BG228" s="7"/>
      <c r="BH228" s="7"/>
      <c r="BI228" s="7"/>
      <c r="BJ228" s="7"/>
      <c r="BK228" s="7"/>
      <c r="BL228" s="7"/>
    </row>
    <row r="229" spans="1:64">
      <c r="A229" s="13"/>
      <c r="B229" s="7"/>
      <c r="C229" s="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7"/>
      <c r="AD229" s="7"/>
      <c r="AE229" s="7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7"/>
      <c r="BE229" s="7"/>
      <c r="BF229" s="7"/>
      <c r="BG229" s="7"/>
      <c r="BH229" s="7"/>
      <c r="BI229" s="7"/>
      <c r="BJ229" s="7"/>
      <c r="BK229" s="7"/>
      <c r="BL229" s="7"/>
    </row>
    <row r="230" spans="1:64">
      <c r="A230" s="13"/>
      <c r="B230" s="7"/>
      <c r="C230" s="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7"/>
      <c r="AD230" s="7"/>
      <c r="AE230" s="7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7"/>
      <c r="BE230" s="7"/>
      <c r="BF230" s="7"/>
      <c r="BG230" s="7"/>
      <c r="BH230" s="7"/>
      <c r="BI230" s="7"/>
      <c r="BJ230" s="7"/>
      <c r="BK230" s="7"/>
      <c r="BL230" s="7"/>
    </row>
    <row r="231" spans="1:64">
      <c r="A231" s="13"/>
      <c r="B231" s="7"/>
      <c r="C231" s="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7"/>
      <c r="AD231" s="7"/>
      <c r="AE231" s="7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7"/>
      <c r="BE231" s="7"/>
      <c r="BF231" s="7"/>
      <c r="BG231" s="7"/>
      <c r="BH231" s="7"/>
      <c r="BI231" s="7"/>
      <c r="BJ231" s="7"/>
      <c r="BK231" s="7"/>
      <c r="BL231" s="7"/>
    </row>
    <row r="232" spans="1:64">
      <c r="A232" s="13"/>
      <c r="B232" s="7"/>
      <c r="C232" s="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7"/>
      <c r="AD232" s="7"/>
      <c r="AE232" s="7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7"/>
      <c r="BE232" s="7"/>
      <c r="BF232" s="7"/>
      <c r="BG232" s="7"/>
      <c r="BH232" s="7"/>
      <c r="BI232" s="7"/>
      <c r="BJ232" s="7"/>
      <c r="BK232" s="7"/>
      <c r="BL232" s="7"/>
    </row>
    <row r="233" spans="1:64">
      <c r="A233" s="13"/>
      <c r="B233" s="7"/>
      <c r="C233" s="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7"/>
      <c r="AD233" s="7"/>
      <c r="AE233" s="7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7"/>
      <c r="BE233" s="7"/>
      <c r="BF233" s="7"/>
      <c r="BG233" s="7"/>
      <c r="BH233" s="7"/>
      <c r="BI233" s="7"/>
      <c r="BJ233" s="7"/>
      <c r="BK233" s="7"/>
      <c r="BL233" s="7"/>
    </row>
    <row r="234" spans="1:64">
      <c r="A234" s="13"/>
      <c r="B234" s="7"/>
      <c r="C234" s="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7"/>
      <c r="AD234" s="7"/>
      <c r="AE234" s="7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1:64">
      <c r="A235" s="13"/>
      <c r="B235" s="7"/>
      <c r="C235" s="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7"/>
      <c r="AD235" s="7"/>
      <c r="AE235" s="7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7"/>
      <c r="BE235" s="7"/>
      <c r="BF235" s="7"/>
      <c r="BG235" s="7"/>
      <c r="BH235" s="7"/>
      <c r="BI235" s="7"/>
      <c r="BJ235" s="7"/>
      <c r="BK235" s="7"/>
      <c r="BL235" s="7"/>
    </row>
    <row r="236" spans="1:64">
      <c r="A236" s="13"/>
      <c r="B236" s="7"/>
      <c r="C236" s="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7"/>
      <c r="AD236" s="7"/>
      <c r="AE236" s="7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7"/>
      <c r="BE236" s="7"/>
      <c r="BF236" s="7"/>
      <c r="BG236" s="7"/>
      <c r="BH236" s="7"/>
      <c r="BI236" s="7"/>
      <c r="BJ236" s="7"/>
      <c r="BK236" s="7"/>
      <c r="BL236" s="7"/>
    </row>
    <row r="237" spans="1:64">
      <c r="A237" s="13"/>
      <c r="B237" s="7"/>
      <c r="C237" s="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7"/>
      <c r="AD237" s="7"/>
      <c r="AE237" s="7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7"/>
      <c r="BE237" s="7"/>
      <c r="BF237" s="7"/>
      <c r="BG237" s="7"/>
      <c r="BH237" s="7"/>
      <c r="BI237" s="7"/>
      <c r="BJ237" s="7"/>
      <c r="BK237" s="7"/>
      <c r="BL237" s="7"/>
    </row>
    <row r="238" spans="1:64">
      <c r="A238" s="13"/>
      <c r="B238" s="7"/>
      <c r="C238" s="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7"/>
      <c r="AD238" s="7"/>
      <c r="AE238" s="7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7"/>
      <c r="BE238" s="7"/>
      <c r="BF238" s="7"/>
      <c r="BG238" s="7"/>
      <c r="BH238" s="7"/>
      <c r="BI238" s="7"/>
      <c r="BJ238" s="7"/>
      <c r="BK238" s="7"/>
      <c r="BL238" s="7"/>
    </row>
    <row r="239" spans="1:64">
      <c r="A239" s="13"/>
      <c r="B239" s="7"/>
      <c r="C239" s="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7"/>
      <c r="AD239" s="7"/>
      <c r="AE239" s="7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7"/>
      <c r="BE239" s="7"/>
      <c r="BF239" s="7"/>
      <c r="BG239" s="7"/>
      <c r="BH239" s="7"/>
      <c r="BI239" s="7"/>
      <c r="BJ239" s="7"/>
      <c r="BK239" s="7"/>
      <c r="BL239" s="7"/>
    </row>
    <row r="240" spans="1:64">
      <c r="A240" s="13"/>
      <c r="B240" s="7"/>
      <c r="C240" s="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7"/>
      <c r="AD240" s="7"/>
      <c r="AE240" s="7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7"/>
      <c r="BE240" s="7"/>
      <c r="BF240" s="7"/>
      <c r="BG240" s="7"/>
      <c r="BH240" s="7"/>
      <c r="BI240" s="7"/>
      <c r="BJ240" s="7"/>
      <c r="BK240" s="7"/>
      <c r="BL240" s="7"/>
    </row>
    <row r="241" spans="1:64">
      <c r="A241" s="13"/>
      <c r="B241" s="7"/>
      <c r="C241" s="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7"/>
      <c r="AD241" s="7"/>
      <c r="AE241" s="7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7"/>
      <c r="BE241" s="7"/>
      <c r="BF241" s="7"/>
      <c r="BG241" s="7"/>
      <c r="BH241" s="7"/>
      <c r="BI241" s="7"/>
      <c r="BJ241" s="7"/>
      <c r="BK241" s="7"/>
      <c r="BL241" s="7"/>
    </row>
    <row r="242" spans="1:64">
      <c r="A242" s="13"/>
      <c r="B242" s="7"/>
      <c r="C242" s="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7"/>
      <c r="AD242" s="7"/>
      <c r="AE242" s="7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7"/>
      <c r="BE242" s="7"/>
      <c r="BF242" s="7"/>
      <c r="BG242" s="7"/>
      <c r="BH242" s="7"/>
      <c r="BI242" s="7"/>
      <c r="BJ242" s="7"/>
      <c r="BK242" s="7"/>
      <c r="BL242" s="7"/>
    </row>
    <row r="243" spans="1:64">
      <c r="A243" s="13"/>
      <c r="B243" s="7"/>
      <c r="C243" s="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7"/>
      <c r="AD243" s="7"/>
      <c r="AE243" s="7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7"/>
      <c r="BE243" s="7"/>
      <c r="BF243" s="7"/>
      <c r="BG243" s="7"/>
      <c r="BH243" s="7"/>
      <c r="BI243" s="7"/>
      <c r="BJ243" s="7"/>
      <c r="BK243" s="7"/>
      <c r="BL243" s="7"/>
    </row>
    <row r="244" spans="1:64">
      <c r="A244" s="13"/>
      <c r="B244" s="7"/>
      <c r="C244" s="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7"/>
      <c r="AD244" s="7"/>
      <c r="AE244" s="7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7"/>
      <c r="BE244" s="7"/>
      <c r="BF244" s="7"/>
      <c r="BG244" s="7"/>
      <c r="BH244" s="7"/>
      <c r="BI244" s="7"/>
      <c r="BJ244" s="7"/>
      <c r="BK244" s="7"/>
      <c r="BL244" s="7"/>
    </row>
    <row r="245" spans="1:64">
      <c r="A245" s="13"/>
      <c r="B245" s="7"/>
      <c r="C245" s="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7"/>
      <c r="AD245" s="7"/>
      <c r="AE245" s="7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7"/>
      <c r="BE245" s="7"/>
      <c r="BF245" s="7"/>
      <c r="BG245" s="7"/>
      <c r="BH245" s="7"/>
      <c r="BI245" s="7"/>
      <c r="BJ245" s="7"/>
      <c r="BK245" s="7"/>
      <c r="BL245" s="7"/>
    </row>
    <row r="246" spans="1:64">
      <c r="A246" s="13"/>
      <c r="B246" s="7"/>
      <c r="C246" s="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7"/>
      <c r="AD246" s="7"/>
      <c r="AE246" s="7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7"/>
      <c r="BE246" s="7"/>
      <c r="BF246" s="7"/>
      <c r="BG246" s="7"/>
      <c r="BH246" s="7"/>
      <c r="BI246" s="7"/>
      <c r="BJ246" s="7"/>
      <c r="BK246" s="7"/>
      <c r="BL246" s="7"/>
    </row>
    <row r="247" spans="1:64">
      <c r="A247" s="13"/>
      <c r="B247" s="7"/>
      <c r="C247" s="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7"/>
      <c r="AD247" s="7"/>
      <c r="AE247" s="7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7"/>
      <c r="BE247" s="7"/>
      <c r="BF247" s="7"/>
      <c r="BG247" s="7"/>
      <c r="BH247" s="7"/>
      <c r="BI247" s="7"/>
      <c r="BJ247" s="7"/>
      <c r="BK247" s="7"/>
      <c r="BL247" s="7"/>
    </row>
    <row r="248" spans="1:64">
      <c r="A248" s="13"/>
      <c r="B248" s="7"/>
      <c r="C248" s="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7"/>
      <c r="AD248" s="7"/>
      <c r="AE248" s="7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7"/>
      <c r="BE248" s="7"/>
      <c r="BF248" s="7"/>
      <c r="BG248" s="7"/>
      <c r="BH248" s="7"/>
      <c r="BI248" s="7"/>
      <c r="BJ248" s="7"/>
      <c r="BK248" s="7"/>
      <c r="BL248" s="7"/>
    </row>
    <row r="249" spans="1:64">
      <c r="A249" s="13"/>
      <c r="B249" s="7"/>
      <c r="C249" s="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7"/>
      <c r="AD249" s="7"/>
      <c r="AE249" s="7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7"/>
      <c r="BE249" s="7"/>
      <c r="BF249" s="7"/>
      <c r="BG249" s="7"/>
      <c r="BH249" s="7"/>
      <c r="BI249" s="7"/>
      <c r="BJ249" s="7"/>
      <c r="BK249" s="7"/>
      <c r="BL249" s="7"/>
    </row>
    <row r="250" spans="1:64">
      <c r="A250" s="13"/>
      <c r="B250" s="7"/>
      <c r="C250" s="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7"/>
      <c r="AD250" s="7"/>
      <c r="AE250" s="7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7"/>
      <c r="BE250" s="7"/>
      <c r="BF250" s="7"/>
      <c r="BG250" s="7"/>
      <c r="BH250" s="7"/>
      <c r="BI250" s="7"/>
      <c r="BJ250" s="7"/>
      <c r="BK250" s="7"/>
      <c r="BL250" s="7"/>
    </row>
    <row r="251" spans="1:64">
      <c r="A251" s="13"/>
      <c r="B251" s="7"/>
      <c r="C251" s="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7"/>
      <c r="AD251" s="7"/>
      <c r="AE251" s="7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7"/>
      <c r="BE251" s="7"/>
      <c r="BF251" s="7"/>
      <c r="BG251" s="7"/>
      <c r="BH251" s="7"/>
      <c r="BI251" s="7"/>
      <c r="BJ251" s="7"/>
      <c r="BK251" s="7"/>
      <c r="BL251" s="7"/>
    </row>
    <row r="252" spans="1:64">
      <c r="A252" s="13"/>
      <c r="B252" s="7"/>
      <c r="C252" s="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7"/>
      <c r="AD252" s="7"/>
      <c r="AE252" s="7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7"/>
      <c r="BE252" s="7"/>
      <c r="BF252" s="7"/>
      <c r="BG252" s="7"/>
      <c r="BH252" s="7"/>
      <c r="BI252" s="7"/>
      <c r="BJ252" s="7"/>
      <c r="BK252" s="7"/>
      <c r="BL252" s="7"/>
    </row>
    <row r="253" spans="1:64">
      <c r="A253" s="13"/>
      <c r="B253" s="7"/>
      <c r="C253" s="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7"/>
      <c r="AD253" s="7"/>
      <c r="AE253" s="7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7"/>
      <c r="BE253" s="7"/>
      <c r="BF253" s="7"/>
      <c r="BG253" s="7"/>
      <c r="BH253" s="7"/>
      <c r="BI253" s="7"/>
      <c r="BJ253" s="7"/>
      <c r="BK253" s="7"/>
      <c r="BL253" s="7"/>
    </row>
    <row r="254" spans="1:64">
      <c r="A254" s="13"/>
      <c r="B254" s="7"/>
      <c r="C254" s="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7"/>
      <c r="AD254" s="7"/>
      <c r="AE254" s="7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7"/>
      <c r="BE254" s="7"/>
      <c r="BF254" s="7"/>
      <c r="BG254" s="7"/>
      <c r="BH254" s="7"/>
      <c r="BI254" s="7"/>
      <c r="BJ254" s="7"/>
      <c r="BK254" s="7"/>
      <c r="BL254" s="7"/>
    </row>
    <row r="255" spans="1:64">
      <c r="A255" s="13"/>
      <c r="B255" s="7"/>
      <c r="C255" s="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7"/>
      <c r="AD255" s="7"/>
      <c r="AE255" s="7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7"/>
      <c r="BE255" s="7"/>
      <c r="BF255" s="7"/>
      <c r="BG255" s="7"/>
      <c r="BH255" s="7"/>
      <c r="BI255" s="7"/>
      <c r="BJ255" s="7"/>
      <c r="BK255" s="7"/>
      <c r="BL255" s="7"/>
    </row>
    <row r="256" spans="1:64">
      <c r="A256" s="13"/>
      <c r="B256" s="7"/>
      <c r="C256" s="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7"/>
      <c r="AD256" s="7"/>
      <c r="AE256" s="7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7"/>
      <c r="BE256" s="7"/>
      <c r="BF256" s="7"/>
      <c r="BG256" s="7"/>
      <c r="BH256" s="7"/>
      <c r="BI256" s="7"/>
      <c r="BJ256" s="7"/>
      <c r="BK256" s="7"/>
      <c r="BL256" s="7"/>
    </row>
    <row r="257" spans="1:64">
      <c r="A257" s="13"/>
      <c r="B257" s="7"/>
      <c r="C257" s="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7"/>
      <c r="AD257" s="7"/>
      <c r="AE257" s="7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7"/>
      <c r="BE257" s="7"/>
      <c r="BF257" s="7"/>
      <c r="BG257" s="7"/>
      <c r="BH257" s="7"/>
      <c r="BI257" s="7"/>
      <c r="BJ257" s="7"/>
      <c r="BK257" s="7"/>
      <c r="BL257" s="7"/>
    </row>
    <row r="258" spans="1:64">
      <c r="A258" s="13"/>
      <c r="B258" s="7"/>
      <c r="C258" s="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7"/>
      <c r="AD258" s="7"/>
      <c r="AE258" s="7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7"/>
      <c r="BE258" s="7"/>
      <c r="BF258" s="7"/>
      <c r="BG258" s="7"/>
      <c r="BH258" s="7"/>
      <c r="BI258" s="7"/>
      <c r="BJ258" s="7"/>
      <c r="BK258" s="7"/>
      <c r="BL258" s="7"/>
    </row>
    <row r="259" spans="1:64">
      <c r="A259" s="13"/>
      <c r="B259" s="7"/>
      <c r="C259" s="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7"/>
      <c r="AD259" s="7"/>
      <c r="AE259" s="7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7"/>
      <c r="BE259" s="7"/>
      <c r="BF259" s="7"/>
      <c r="BG259" s="7"/>
      <c r="BH259" s="7"/>
      <c r="BI259" s="7"/>
      <c r="BJ259" s="7"/>
      <c r="BK259" s="7"/>
      <c r="BL259" s="7"/>
    </row>
    <row r="260" spans="1:64">
      <c r="A260" s="13"/>
      <c r="B260" s="7"/>
      <c r="C260" s="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7"/>
      <c r="AD260" s="7"/>
      <c r="AE260" s="7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7"/>
      <c r="BE260" s="7"/>
      <c r="BF260" s="7"/>
      <c r="BG260" s="7"/>
      <c r="BH260" s="7"/>
      <c r="BI260" s="7"/>
      <c r="BJ260" s="7"/>
      <c r="BK260" s="7"/>
      <c r="BL260" s="7"/>
    </row>
    <row r="261" spans="1:64">
      <c r="A261" s="13"/>
      <c r="B261" s="7"/>
      <c r="C261" s="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7"/>
      <c r="AD261" s="7"/>
      <c r="AE261" s="7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7"/>
      <c r="BE261" s="7"/>
      <c r="BF261" s="7"/>
      <c r="BG261" s="7"/>
      <c r="BH261" s="7"/>
      <c r="BI261" s="7"/>
      <c r="BJ261" s="7"/>
      <c r="BK261" s="7"/>
      <c r="BL261" s="7"/>
    </row>
    <row r="262" spans="1:64">
      <c r="A262" s="13"/>
      <c r="B262" s="7"/>
      <c r="C262" s="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7"/>
      <c r="AD262" s="7"/>
      <c r="AE262" s="7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7"/>
      <c r="BE262" s="7"/>
      <c r="BF262" s="7"/>
      <c r="BG262" s="7"/>
      <c r="BH262" s="7"/>
      <c r="BI262" s="7"/>
      <c r="BJ262" s="7"/>
      <c r="BK262" s="7"/>
      <c r="BL262" s="7"/>
    </row>
    <row r="263" spans="1:64">
      <c r="A263" s="13"/>
      <c r="B263" s="7"/>
      <c r="C263" s="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7"/>
      <c r="AD263" s="7"/>
      <c r="AE263" s="7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7"/>
      <c r="BE263" s="7"/>
      <c r="BF263" s="7"/>
      <c r="BG263" s="7"/>
      <c r="BH263" s="7"/>
      <c r="BI263" s="7"/>
      <c r="BJ263" s="7"/>
      <c r="BK263" s="7"/>
      <c r="BL263" s="7"/>
    </row>
    <row r="264" spans="1:64">
      <c r="A264" s="13"/>
      <c r="B264" s="7"/>
      <c r="C264" s="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7"/>
      <c r="AD264" s="7"/>
      <c r="AE264" s="7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7"/>
      <c r="BE264" s="7"/>
      <c r="BF264" s="7"/>
      <c r="BG264" s="7"/>
      <c r="BH264" s="7"/>
      <c r="BI264" s="7"/>
      <c r="BJ264" s="7"/>
      <c r="BK264" s="7"/>
      <c r="BL264" s="7"/>
    </row>
    <row r="265" spans="1:64">
      <c r="A265" s="13"/>
      <c r="B265" s="7"/>
      <c r="C265" s="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7"/>
      <c r="AD265" s="7"/>
      <c r="AE265" s="7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7"/>
      <c r="BE265" s="7"/>
      <c r="BF265" s="7"/>
      <c r="BG265" s="7"/>
      <c r="BH265" s="7"/>
      <c r="BI265" s="7"/>
      <c r="BJ265" s="7"/>
      <c r="BK265" s="7"/>
      <c r="BL265" s="7"/>
    </row>
    <row r="266" spans="1:64">
      <c r="A266" s="13"/>
      <c r="B266" s="7"/>
      <c r="C266" s="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7"/>
      <c r="AD266" s="7"/>
      <c r="AE266" s="7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7"/>
      <c r="BE266" s="7"/>
      <c r="BF266" s="7"/>
      <c r="BG266" s="7"/>
      <c r="BH266" s="7"/>
      <c r="BI266" s="7"/>
      <c r="BJ266" s="7"/>
      <c r="BK266" s="7"/>
      <c r="BL266" s="7"/>
    </row>
    <row r="267" spans="1:64">
      <c r="A267" s="13"/>
      <c r="B267" s="7"/>
      <c r="C267" s="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7"/>
      <c r="AD267" s="7"/>
      <c r="AE267" s="7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7"/>
      <c r="BE267" s="7"/>
      <c r="BF267" s="7"/>
      <c r="BG267" s="7"/>
      <c r="BH267" s="7"/>
      <c r="BI267" s="7"/>
      <c r="BJ267" s="7"/>
      <c r="BK267" s="7"/>
      <c r="BL267" s="7"/>
    </row>
    <row r="268" spans="1:64">
      <c r="A268" s="13"/>
      <c r="B268" s="7"/>
      <c r="C268" s="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7"/>
      <c r="AD268" s="7"/>
      <c r="AE268" s="7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7"/>
      <c r="BE268" s="7"/>
      <c r="BF268" s="7"/>
      <c r="BG268" s="7"/>
      <c r="BH268" s="7"/>
      <c r="BI268" s="7"/>
      <c r="BJ268" s="7"/>
      <c r="BK268" s="7"/>
      <c r="BL268" s="7"/>
    </row>
    <row r="269" spans="1:64">
      <c r="A269" s="13"/>
      <c r="B269" s="7"/>
      <c r="C269" s="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7"/>
      <c r="AD269" s="7"/>
      <c r="AE269" s="7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7"/>
      <c r="BE269" s="7"/>
      <c r="BF269" s="7"/>
      <c r="BG269" s="7"/>
      <c r="BH269" s="7"/>
      <c r="BI269" s="7"/>
      <c r="BJ269" s="7"/>
      <c r="BK269" s="7"/>
      <c r="BL269" s="7"/>
    </row>
    <row r="270" spans="1:64">
      <c r="A270" s="13"/>
      <c r="B270" s="7"/>
      <c r="C270" s="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7"/>
      <c r="AD270" s="7"/>
      <c r="AE270" s="7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7"/>
      <c r="BE270" s="7"/>
      <c r="BF270" s="7"/>
      <c r="BG270" s="7"/>
      <c r="BH270" s="7"/>
      <c r="BI270" s="7"/>
      <c r="BJ270" s="7"/>
      <c r="BK270" s="7"/>
      <c r="BL270" s="7"/>
    </row>
    <row r="271" spans="1:64">
      <c r="A271" s="13"/>
      <c r="B271" s="7"/>
      <c r="C271" s="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7"/>
      <c r="AD271" s="7"/>
      <c r="AE271" s="7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7"/>
      <c r="BE271" s="7"/>
      <c r="BF271" s="7"/>
      <c r="BG271" s="7"/>
      <c r="BH271" s="7"/>
      <c r="BI271" s="7"/>
      <c r="BJ271" s="7"/>
      <c r="BK271" s="7"/>
      <c r="BL271" s="7"/>
    </row>
    <row r="272" spans="1:64">
      <c r="A272" s="13"/>
      <c r="B272" s="7"/>
      <c r="C272" s="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7"/>
      <c r="AD272" s="7"/>
      <c r="AE272" s="7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7"/>
      <c r="BE272" s="7"/>
      <c r="BF272" s="7"/>
      <c r="BG272" s="7"/>
      <c r="BH272" s="7"/>
      <c r="BI272" s="7"/>
      <c r="BJ272" s="7"/>
      <c r="BK272" s="7"/>
      <c r="BL272" s="7"/>
    </row>
    <row r="273" spans="1:64">
      <c r="A273" s="13"/>
      <c r="B273" s="7"/>
      <c r="C273" s="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7"/>
      <c r="AD273" s="7"/>
      <c r="AE273" s="7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7"/>
      <c r="BE273" s="7"/>
      <c r="BF273" s="7"/>
      <c r="BG273" s="7"/>
      <c r="BH273" s="7"/>
      <c r="BI273" s="7"/>
      <c r="BJ273" s="7"/>
      <c r="BK273" s="7"/>
      <c r="BL273" s="7"/>
    </row>
    <row r="274" spans="1:64">
      <c r="A274" s="13"/>
      <c r="B274" s="7"/>
      <c r="C274" s="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7"/>
      <c r="AD274" s="7"/>
      <c r="AE274" s="7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7"/>
      <c r="BE274" s="7"/>
      <c r="BF274" s="7"/>
      <c r="BG274" s="7"/>
      <c r="BH274" s="7"/>
      <c r="BI274" s="7"/>
      <c r="BJ274" s="7"/>
      <c r="BK274" s="7"/>
      <c r="BL274" s="7"/>
    </row>
    <row r="275" spans="1:64">
      <c r="A275" s="13"/>
      <c r="B275" s="7"/>
      <c r="C275" s="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7"/>
      <c r="AD275" s="7"/>
      <c r="AE275" s="7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7"/>
      <c r="BE275" s="7"/>
      <c r="BF275" s="7"/>
      <c r="BG275" s="7"/>
      <c r="BH275" s="7"/>
      <c r="BI275" s="7"/>
      <c r="BJ275" s="7"/>
      <c r="BK275" s="7"/>
      <c r="BL275" s="7"/>
    </row>
    <row r="276" spans="1:64">
      <c r="A276" s="13"/>
      <c r="B276" s="7"/>
      <c r="C276" s="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7"/>
      <c r="AD276" s="7"/>
      <c r="AE276" s="7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7"/>
      <c r="BE276" s="7"/>
      <c r="BF276" s="7"/>
      <c r="BG276" s="7"/>
      <c r="BH276" s="7"/>
      <c r="BI276" s="7"/>
      <c r="BJ276" s="7"/>
      <c r="BK276" s="7"/>
      <c r="BL276" s="7"/>
    </row>
    <row r="277" spans="1:64">
      <c r="A277" s="13"/>
      <c r="B277" s="7"/>
      <c r="C277" s="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7"/>
      <c r="AD277" s="7"/>
      <c r="AE277" s="7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7"/>
      <c r="BE277" s="7"/>
      <c r="BF277" s="7"/>
      <c r="BG277" s="7"/>
      <c r="BH277" s="7"/>
      <c r="BI277" s="7"/>
      <c r="BJ277" s="7"/>
      <c r="BK277" s="7"/>
      <c r="BL277" s="7"/>
    </row>
    <row r="278" spans="1:64">
      <c r="A278" s="13"/>
      <c r="B278" s="7"/>
      <c r="C278" s="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7"/>
      <c r="AD278" s="7"/>
      <c r="AE278" s="7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7"/>
      <c r="BE278" s="7"/>
      <c r="BF278" s="7"/>
      <c r="BG278" s="7"/>
      <c r="BH278" s="7"/>
      <c r="BI278" s="7"/>
      <c r="BJ278" s="7"/>
      <c r="BK278" s="7"/>
      <c r="BL278" s="7"/>
    </row>
    <row r="279" spans="1:64">
      <c r="A279" s="13"/>
      <c r="B279" s="7"/>
      <c r="C279" s="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7"/>
      <c r="AD279" s="7"/>
      <c r="AE279" s="7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7"/>
      <c r="BE279" s="7"/>
      <c r="BF279" s="7"/>
      <c r="BG279" s="7"/>
      <c r="BH279" s="7"/>
      <c r="BI279" s="7"/>
      <c r="BJ279" s="7"/>
      <c r="BK279" s="7"/>
      <c r="BL279" s="7"/>
    </row>
    <row r="280" spans="1:64">
      <c r="A280" s="13"/>
      <c r="B280" s="7"/>
      <c r="C280" s="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7"/>
      <c r="AD280" s="7"/>
      <c r="AE280" s="7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7"/>
      <c r="BE280" s="7"/>
      <c r="BF280" s="7"/>
      <c r="BG280" s="7"/>
      <c r="BH280" s="7"/>
      <c r="BI280" s="7"/>
      <c r="BJ280" s="7"/>
      <c r="BK280" s="7"/>
      <c r="BL280" s="7"/>
    </row>
    <row r="281" spans="1:64">
      <c r="A281" s="13"/>
      <c r="B281" s="7"/>
      <c r="C281" s="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7"/>
      <c r="AD281" s="7"/>
      <c r="AE281" s="7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7"/>
      <c r="BE281" s="7"/>
      <c r="BF281" s="7"/>
      <c r="BG281" s="7"/>
      <c r="BH281" s="7"/>
      <c r="BI281" s="7"/>
      <c r="BJ281" s="7"/>
      <c r="BK281" s="7"/>
      <c r="BL281" s="7"/>
    </row>
    <row r="282" spans="1:64">
      <c r="A282" s="13"/>
      <c r="B282" s="7"/>
      <c r="C282" s="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7"/>
      <c r="AD282" s="7"/>
      <c r="AE282" s="7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7"/>
      <c r="BE282" s="7"/>
      <c r="BF282" s="7"/>
      <c r="BG282" s="7"/>
      <c r="BH282" s="7"/>
      <c r="BI282" s="7"/>
      <c r="BJ282" s="7"/>
      <c r="BK282" s="7"/>
      <c r="BL282" s="7"/>
    </row>
    <row r="283" spans="1:64">
      <c r="A283" s="13"/>
      <c r="B283" s="7"/>
      <c r="C283" s="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7"/>
      <c r="AD283" s="7"/>
      <c r="AE283" s="7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7"/>
      <c r="BE283" s="7"/>
      <c r="BF283" s="7"/>
      <c r="BG283" s="7"/>
      <c r="BH283" s="7"/>
      <c r="BI283" s="7"/>
      <c r="BJ283" s="7"/>
      <c r="BK283" s="7"/>
      <c r="BL283" s="7"/>
    </row>
    <row r="284" spans="1:64">
      <c r="A284" s="13"/>
      <c r="B284" s="7"/>
      <c r="C284" s="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7"/>
      <c r="AD284" s="7"/>
      <c r="AE284" s="7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7"/>
      <c r="BE284" s="7"/>
      <c r="BF284" s="7"/>
      <c r="BG284" s="7"/>
      <c r="BH284" s="7"/>
      <c r="BI284" s="7"/>
      <c r="BJ284" s="7"/>
      <c r="BK284" s="7"/>
      <c r="BL284" s="7"/>
    </row>
    <row r="285" spans="1:64">
      <c r="A285" s="13"/>
      <c r="B285" s="7"/>
      <c r="C285" s="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7"/>
      <c r="AD285" s="7"/>
      <c r="AE285" s="7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7"/>
      <c r="BE285" s="7"/>
      <c r="BF285" s="7"/>
      <c r="BG285" s="7"/>
      <c r="BH285" s="7"/>
      <c r="BI285" s="7"/>
      <c r="BJ285" s="7"/>
      <c r="BK285" s="7"/>
      <c r="BL285" s="7"/>
    </row>
    <row r="286" spans="1:64">
      <c r="A286" s="13"/>
      <c r="B286" s="7"/>
      <c r="C286" s="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7"/>
      <c r="AD286" s="7"/>
      <c r="AE286" s="7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7"/>
      <c r="BE286" s="7"/>
      <c r="BF286" s="7"/>
      <c r="BG286" s="7"/>
      <c r="BH286" s="7"/>
      <c r="BI286" s="7"/>
      <c r="BJ286" s="7"/>
      <c r="BK286" s="7"/>
      <c r="BL286" s="7"/>
    </row>
    <row r="287" spans="1:64">
      <c r="A287" s="13"/>
      <c r="B287" s="7"/>
      <c r="C287" s="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7"/>
      <c r="AD287" s="7"/>
      <c r="AE287" s="7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7"/>
      <c r="BE287" s="7"/>
      <c r="BF287" s="7"/>
      <c r="BG287" s="7"/>
      <c r="BH287" s="7"/>
      <c r="BI287" s="7"/>
      <c r="BJ287" s="7"/>
      <c r="BK287" s="7"/>
      <c r="BL287" s="7"/>
    </row>
    <row r="288" spans="1:64">
      <c r="A288" s="13"/>
      <c r="B288" s="7"/>
      <c r="C288" s="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7"/>
      <c r="AD288" s="7"/>
      <c r="AE288" s="7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7"/>
      <c r="BE288" s="7"/>
      <c r="BF288" s="7"/>
      <c r="BG288" s="7"/>
      <c r="BH288" s="7"/>
      <c r="BI288" s="7"/>
      <c r="BJ288" s="7"/>
      <c r="BK288" s="7"/>
      <c r="BL288" s="7"/>
    </row>
    <row r="289" spans="1:64">
      <c r="A289" s="13"/>
      <c r="B289" s="7"/>
      <c r="C289" s="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7"/>
      <c r="AD289" s="7"/>
      <c r="AE289" s="7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7"/>
      <c r="BE289" s="7"/>
      <c r="BF289" s="7"/>
      <c r="BG289" s="7"/>
      <c r="BH289" s="7"/>
      <c r="BI289" s="7"/>
      <c r="BJ289" s="7"/>
      <c r="BK289" s="7"/>
      <c r="BL289" s="7"/>
    </row>
    <row r="290" spans="1:64">
      <c r="A290" s="13"/>
      <c r="B290" s="7"/>
      <c r="C290" s="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7"/>
      <c r="AD290" s="7"/>
      <c r="AE290" s="7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7"/>
      <c r="BE290" s="7"/>
      <c r="BF290" s="7"/>
      <c r="BG290" s="7"/>
      <c r="BH290" s="7"/>
      <c r="BI290" s="7"/>
      <c r="BJ290" s="7"/>
      <c r="BK290" s="7"/>
      <c r="BL290" s="7"/>
    </row>
    <row r="291" spans="1:64">
      <c r="A291" s="13"/>
      <c r="B291" s="7"/>
      <c r="C291" s="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7"/>
      <c r="AD291" s="7"/>
      <c r="AE291" s="7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7"/>
      <c r="BE291" s="7"/>
      <c r="BF291" s="7"/>
      <c r="BG291" s="7"/>
      <c r="BH291" s="7"/>
      <c r="BI291" s="7"/>
      <c r="BJ291" s="7"/>
      <c r="BK291" s="7"/>
      <c r="BL291" s="7"/>
    </row>
    <row r="292" spans="1:64">
      <c r="A292" s="13"/>
      <c r="B292" s="7"/>
      <c r="C292" s="7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7"/>
      <c r="AD292" s="7"/>
      <c r="AE292" s="7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7"/>
      <c r="BE292" s="7"/>
      <c r="BF292" s="7"/>
      <c r="BG292" s="7"/>
      <c r="BH292" s="7"/>
      <c r="BI292" s="7"/>
      <c r="BJ292" s="7"/>
      <c r="BK292" s="7"/>
      <c r="BL292" s="7"/>
    </row>
    <row r="293" spans="1:64">
      <c r="A293" s="13"/>
      <c r="B293" s="7"/>
      <c r="C293" s="7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7"/>
      <c r="AD293" s="7"/>
      <c r="AE293" s="7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7"/>
      <c r="BE293" s="7"/>
      <c r="BF293" s="7"/>
      <c r="BG293" s="7"/>
      <c r="BH293" s="7"/>
      <c r="BI293" s="7"/>
      <c r="BJ293" s="7"/>
      <c r="BK293" s="7"/>
      <c r="BL293" s="7"/>
    </row>
    <row r="294" spans="1:64">
      <c r="A294" s="13"/>
      <c r="B294" s="7"/>
      <c r="C294" s="7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7"/>
      <c r="AD294" s="7"/>
      <c r="AE294" s="7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7"/>
      <c r="BE294" s="7"/>
      <c r="BF294" s="7"/>
      <c r="BG294" s="7"/>
      <c r="BH294" s="7"/>
      <c r="BI294" s="7"/>
      <c r="BJ294" s="7"/>
      <c r="BK294" s="7"/>
      <c r="BL294" s="7"/>
    </row>
    <row r="295" spans="1:64">
      <c r="A295" s="13"/>
      <c r="B295" s="7"/>
      <c r="C295" s="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7"/>
      <c r="AD295" s="7"/>
      <c r="AE295" s="7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7"/>
      <c r="BE295" s="7"/>
      <c r="BF295" s="7"/>
      <c r="BG295" s="7"/>
      <c r="BH295" s="7"/>
      <c r="BI295" s="7"/>
      <c r="BJ295" s="7"/>
      <c r="BK295" s="7"/>
      <c r="BL295" s="7"/>
    </row>
    <row r="296" spans="1:64">
      <c r="A296" s="13"/>
      <c r="B296" s="7"/>
      <c r="C296" s="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7"/>
      <c r="AD296" s="7"/>
      <c r="AE296" s="7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7"/>
      <c r="BE296" s="7"/>
      <c r="BF296" s="7"/>
      <c r="BG296" s="7"/>
      <c r="BH296" s="7"/>
      <c r="BI296" s="7"/>
      <c r="BJ296" s="7"/>
      <c r="BK296" s="7"/>
      <c r="BL296" s="7"/>
    </row>
    <row r="297" spans="1:64">
      <c r="A297" s="13"/>
      <c r="B297" s="7"/>
      <c r="C297" s="7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7"/>
      <c r="AD297" s="7"/>
      <c r="AE297" s="7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7"/>
      <c r="BE297" s="7"/>
      <c r="BF297" s="7"/>
      <c r="BG297" s="7"/>
      <c r="BH297" s="7"/>
      <c r="BI297" s="7"/>
      <c r="BJ297" s="7"/>
      <c r="BK297" s="7"/>
      <c r="BL297" s="7"/>
    </row>
    <row r="298" spans="1:64">
      <c r="A298" s="13"/>
      <c r="B298" s="7"/>
      <c r="C298" s="7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7"/>
      <c r="AD298" s="7"/>
      <c r="AE298" s="7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7"/>
      <c r="BE298" s="7"/>
      <c r="BF298" s="7"/>
      <c r="BG298" s="7"/>
      <c r="BH298" s="7"/>
      <c r="BI298" s="7"/>
      <c r="BJ298" s="7"/>
      <c r="BK298" s="7"/>
      <c r="BL298" s="7"/>
    </row>
    <row r="299" spans="1:64">
      <c r="A299" s="13"/>
      <c r="B299" s="7"/>
      <c r="C299" s="7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7"/>
      <c r="AD299" s="7"/>
      <c r="AE299" s="7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7"/>
      <c r="BE299" s="7"/>
      <c r="BF299" s="7"/>
      <c r="BG299" s="7"/>
      <c r="BH299" s="7"/>
      <c r="BI299" s="7"/>
      <c r="BJ299" s="7"/>
      <c r="BK299" s="7"/>
      <c r="BL299" s="7"/>
    </row>
    <row r="300" spans="1:64">
      <c r="A300" s="13"/>
      <c r="B300" s="7"/>
      <c r="C300" s="7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7"/>
      <c r="AD300" s="7"/>
      <c r="AE300" s="7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7"/>
      <c r="BE300" s="7"/>
      <c r="BF300" s="7"/>
      <c r="BG300" s="7"/>
      <c r="BH300" s="7"/>
      <c r="BI300" s="7"/>
      <c r="BJ300" s="7"/>
      <c r="BK300" s="7"/>
      <c r="BL300" s="7"/>
    </row>
    <row r="301" spans="1:64">
      <c r="A301" s="13"/>
      <c r="B301" s="7"/>
      <c r="C301" s="7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7"/>
      <c r="AD301" s="7"/>
      <c r="AE301" s="7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7"/>
      <c r="BE301" s="7"/>
      <c r="BF301" s="7"/>
      <c r="BG301" s="7"/>
      <c r="BH301" s="7"/>
      <c r="BI301" s="7"/>
      <c r="BJ301" s="7"/>
      <c r="BK301" s="7"/>
      <c r="BL301" s="7"/>
    </row>
    <row r="302" spans="1:64">
      <c r="A302" s="13"/>
      <c r="B302" s="7"/>
      <c r="C302" s="7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7"/>
      <c r="AD302" s="7"/>
      <c r="AE302" s="7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7"/>
      <c r="BE302" s="7"/>
      <c r="BF302" s="7"/>
      <c r="BG302" s="7"/>
      <c r="BH302" s="7"/>
      <c r="BI302" s="7"/>
      <c r="BJ302" s="7"/>
      <c r="BK302" s="7"/>
      <c r="BL302" s="7"/>
    </row>
    <row r="303" spans="1:64">
      <c r="A303" s="13"/>
      <c r="B303" s="7"/>
      <c r="C303" s="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7"/>
      <c r="AD303" s="7"/>
      <c r="AE303" s="7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7"/>
      <c r="BE303" s="7"/>
      <c r="BF303" s="7"/>
      <c r="BG303" s="7"/>
      <c r="BH303" s="7"/>
      <c r="BI303" s="7"/>
      <c r="BJ303" s="7"/>
      <c r="BK303" s="7"/>
      <c r="BL303" s="7"/>
    </row>
    <row r="304" spans="1:64">
      <c r="A304" s="13"/>
      <c r="B304" s="7"/>
      <c r="C304" s="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7"/>
      <c r="AD304" s="7"/>
      <c r="AE304" s="7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7"/>
      <c r="BE304" s="7"/>
      <c r="BF304" s="7"/>
      <c r="BG304" s="7"/>
      <c r="BH304" s="7"/>
      <c r="BI304" s="7"/>
      <c r="BJ304" s="7"/>
      <c r="BK304" s="7"/>
      <c r="BL304" s="7"/>
    </row>
    <row r="305" spans="1:64">
      <c r="A305" s="13"/>
      <c r="B305" s="7"/>
      <c r="C305" s="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7"/>
      <c r="AD305" s="7"/>
      <c r="AE305" s="7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7"/>
      <c r="BE305" s="7"/>
      <c r="BF305" s="7"/>
      <c r="BG305" s="7"/>
      <c r="BH305" s="7"/>
      <c r="BI305" s="7"/>
      <c r="BJ305" s="7"/>
      <c r="BK305" s="7"/>
      <c r="BL305" s="7"/>
    </row>
    <row r="306" spans="1:64">
      <c r="A306" s="13"/>
      <c r="B306" s="7"/>
      <c r="C306" s="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7"/>
      <c r="AD306" s="7"/>
      <c r="AE306" s="7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7"/>
      <c r="BE306" s="7"/>
      <c r="BF306" s="7"/>
      <c r="BG306" s="7"/>
      <c r="BH306" s="7"/>
      <c r="BI306" s="7"/>
      <c r="BJ306" s="7"/>
      <c r="BK306" s="7"/>
      <c r="BL306" s="7"/>
    </row>
    <row r="307" spans="1:64">
      <c r="A307" s="13"/>
      <c r="B307" s="7"/>
      <c r="C307" s="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7"/>
      <c r="AD307" s="7"/>
      <c r="AE307" s="7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7"/>
      <c r="BE307" s="7"/>
      <c r="BF307" s="7"/>
      <c r="BG307" s="7"/>
      <c r="BH307" s="7"/>
      <c r="BI307" s="7"/>
      <c r="BJ307" s="7"/>
      <c r="BK307" s="7"/>
      <c r="BL307" s="7"/>
    </row>
    <row r="308" spans="1:64">
      <c r="A308" s="13"/>
      <c r="B308" s="7"/>
      <c r="C308" s="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7"/>
      <c r="AD308" s="7"/>
      <c r="AE308" s="7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7"/>
      <c r="BE308" s="7"/>
      <c r="BF308" s="7"/>
      <c r="BG308" s="7"/>
      <c r="BH308" s="7"/>
      <c r="BI308" s="7"/>
      <c r="BJ308" s="7"/>
      <c r="BK308" s="7"/>
      <c r="BL308" s="7"/>
    </row>
    <row r="309" spans="1:64">
      <c r="A309" s="13"/>
      <c r="B309" s="7"/>
      <c r="C309" s="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7"/>
      <c r="AD309" s="7"/>
      <c r="AE309" s="7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7"/>
      <c r="BE309" s="7"/>
      <c r="BF309" s="7"/>
      <c r="BG309" s="7"/>
      <c r="BH309" s="7"/>
      <c r="BI309" s="7"/>
      <c r="BJ309" s="7"/>
      <c r="BK309" s="7"/>
      <c r="BL309" s="7"/>
    </row>
    <row r="310" spans="1:64">
      <c r="A310" s="13"/>
      <c r="B310" s="7"/>
      <c r="C310" s="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7"/>
      <c r="AD310" s="7"/>
      <c r="AE310" s="7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7"/>
      <c r="BE310" s="7"/>
      <c r="BF310" s="7"/>
      <c r="BG310" s="7"/>
      <c r="BH310" s="7"/>
      <c r="BI310" s="7"/>
      <c r="BJ310" s="7"/>
      <c r="BK310" s="7"/>
      <c r="BL310" s="7"/>
    </row>
    <row r="311" spans="1:64">
      <c r="A311" s="13"/>
      <c r="B311" s="7"/>
      <c r="C311" s="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7"/>
      <c r="AD311" s="7"/>
      <c r="AE311" s="7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7"/>
      <c r="BE311" s="7"/>
      <c r="BF311" s="7"/>
      <c r="BG311" s="7"/>
      <c r="BH311" s="7"/>
      <c r="BI311" s="7"/>
      <c r="BJ311" s="7"/>
      <c r="BK311" s="7"/>
      <c r="BL311" s="7"/>
    </row>
    <row r="312" spans="1:64">
      <c r="A312" s="13"/>
      <c r="B312" s="7"/>
      <c r="C312" s="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7"/>
      <c r="AD312" s="7"/>
      <c r="AE312" s="7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7"/>
      <c r="BE312" s="7"/>
      <c r="BF312" s="7"/>
      <c r="BG312" s="7"/>
      <c r="BH312" s="7"/>
      <c r="BI312" s="7"/>
      <c r="BJ312" s="7"/>
      <c r="BK312" s="7"/>
      <c r="BL312" s="7"/>
    </row>
    <row r="313" spans="1:64">
      <c r="A313" s="13"/>
      <c r="B313" s="7"/>
      <c r="C313" s="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7"/>
      <c r="AD313" s="7"/>
      <c r="AE313" s="7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7"/>
      <c r="BE313" s="7"/>
      <c r="BF313" s="7"/>
      <c r="BG313" s="7"/>
      <c r="BH313" s="7"/>
      <c r="BI313" s="7"/>
      <c r="BJ313" s="7"/>
      <c r="BK313" s="7"/>
      <c r="BL313" s="7"/>
    </row>
    <row r="314" spans="1:64">
      <c r="A314" s="13"/>
      <c r="B314" s="7"/>
      <c r="C314" s="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7"/>
      <c r="AD314" s="7"/>
      <c r="AE314" s="7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7"/>
      <c r="BE314" s="7"/>
      <c r="BF314" s="7"/>
      <c r="BG314" s="7"/>
      <c r="BH314" s="7"/>
      <c r="BI314" s="7"/>
      <c r="BJ314" s="7"/>
      <c r="BK314" s="7"/>
      <c r="BL314" s="7"/>
    </row>
    <row r="315" spans="1:64">
      <c r="A315" s="13"/>
      <c r="B315" s="7"/>
      <c r="C315" s="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7"/>
      <c r="AD315" s="7"/>
      <c r="AE315" s="7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7"/>
      <c r="BE315" s="7"/>
      <c r="BF315" s="7"/>
      <c r="BG315" s="7"/>
      <c r="BH315" s="7"/>
      <c r="BI315" s="7"/>
      <c r="BJ315" s="7"/>
      <c r="BK315" s="7"/>
      <c r="BL315" s="7"/>
    </row>
    <row r="316" spans="1:64">
      <c r="A316" s="13"/>
      <c r="B316" s="7"/>
      <c r="C316" s="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7"/>
      <c r="AD316" s="7"/>
      <c r="AE316" s="7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7"/>
      <c r="BE316" s="7"/>
      <c r="BF316" s="7"/>
      <c r="BG316" s="7"/>
      <c r="BH316" s="7"/>
      <c r="BI316" s="7"/>
      <c r="BJ316" s="7"/>
      <c r="BK316" s="7"/>
      <c r="BL316" s="7"/>
    </row>
    <row r="317" spans="1:64">
      <c r="A317" s="13"/>
      <c r="B317" s="7"/>
      <c r="C317" s="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7"/>
      <c r="AD317" s="7"/>
      <c r="AE317" s="7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7"/>
      <c r="BE317" s="7"/>
      <c r="BF317" s="7"/>
      <c r="BG317" s="7"/>
      <c r="BH317" s="7"/>
      <c r="BI317" s="7"/>
      <c r="BJ317" s="7"/>
      <c r="BK317" s="7"/>
      <c r="BL317" s="7"/>
    </row>
    <row r="318" spans="1:64">
      <c r="A318" s="13"/>
      <c r="B318" s="7"/>
      <c r="C318" s="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7"/>
      <c r="AD318" s="7"/>
      <c r="AE318" s="7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7"/>
      <c r="BE318" s="7"/>
      <c r="BF318" s="7"/>
      <c r="BG318" s="7"/>
      <c r="BH318" s="7"/>
      <c r="BI318" s="7"/>
      <c r="BJ318" s="7"/>
      <c r="BK318" s="7"/>
      <c r="BL318" s="7"/>
    </row>
    <row r="319" spans="1:64">
      <c r="A319" s="13"/>
      <c r="B319" s="7"/>
      <c r="C319" s="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7"/>
      <c r="AD319" s="7"/>
      <c r="AE319" s="7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7"/>
      <c r="BE319" s="7"/>
      <c r="BF319" s="7"/>
      <c r="BG319" s="7"/>
      <c r="BH319" s="7"/>
      <c r="BI319" s="7"/>
      <c r="BJ319" s="7"/>
      <c r="BK319" s="7"/>
      <c r="BL319" s="7"/>
    </row>
    <row r="320" spans="1:64">
      <c r="A320" s="13"/>
      <c r="B320" s="7"/>
      <c r="C320" s="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7"/>
      <c r="AD320" s="7"/>
      <c r="AE320" s="7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7"/>
      <c r="BE320" s="7"/>
      <c r="BF320" s="7"/>
      <c r="BG320" s="7"/>
      <c r="BH320" s="7"/>
      <c r="BI320" s="7"/>
      <c r="BJ320" s="7"/>
      <c r="BK320" s="7"/>
      <c r="BL320" s="7"/>
    </row>
    <row r="321" spans="1:64">
      <c r="A321" s="13"/>
      <c r="B321" s="7"/>
      <c r="C321" s="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7"/>
      <c r="AD321" s="7"/>
      <c r="AE321" s="7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7"/>
      <c r="BE321" s="7"/>
      <c r="BF321" s="7"/>
      <c r="BG321" s="7"/>
      <c r="BH321" s="7"/>
      <c r="BI321" s="7"/>
      <c r="BJ321" s="7"/>
      <c r="BK321" s="7"/>
      <c r="BL321" s="7"/>
    </row>
    <row r="322" spans="1:64">
      <c r="A322" s="13"/>
      <c r="B322" s="7"/>
      <c r="C322" s="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7"/>
      <c r="AD322" s="7"/>
      <c r="AE322" s="7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7"/>
      <c r="BE322" s="7"/>
      <c r="BF322" s="7"/>
      <c r="BG322" s="7"/>
      <c r="BH322" s="7"/>
      <c r="BI322" s="7"/>
      <c r="BJ322" s="7"/>
      <c r="BK322" s="7"/>
      <c r="BL322" s="7"/>
    </row>
    <row r="323" spans="1:64">
      <c r="A323" s="13"/>
      <c r="B323" s="7"/>
      <c r="C323" s="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7"/>
      <c r="AD323" s="7"/>
      <c r="AE323" s="7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7"/>
      <c r="BE323" s="7"/>
      <c r="BF323" s="7"/>
      <c r="BG323" s="7"/>
      <c r="BH323" s="7"/>
      <c r="BI323" s="7"/>
      <c r="BJ323" s="7"/>
      <c r="BK323" s="7"/>
      <c r="BL323" s="7"/>
    </row>
    <row r="324" spans="1:64">
      <c r="A324" s="13"/>
      <c r="B324" s="7"/>
      <c r="C324" s="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7"/>
      <c r="AD324" s="7"/>
      <c r="AE324" s="7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7"/>
      <c r="BE324" s="7"/>
      <c r="BF324" s="7"/>
      <c r="BG324" s="7"/>
      <c r="BH324" s="7"/>
      <c r="BI324" s="7"/>
      <c r="BJ324" s="7"/>
      <c r="BK324" s="7"/>
      <c r="BL324" s="7"/>
    </row>
    <row r="325" spans="1:64">
      <c r="A325" s="13"/>
      <c r="B325" s="7"/>
      <c r="C325" s="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7"/>
      <c r="AD325" s="7"/>
      <c r="AE325" s="7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7"/>
      <c r="BE325" s="7"/>
      <c r="BF325" s="7"/>
      <c r="BG325" s="7"/>
      <c r="BH325" s="7"/>
      <c r="BI325" s="7"/>
      <c r="BJ325" s="7"/>
      <c r="BK325" s="7"/>
      <c r="BL325" s="7"/>
    </row>
    <row r="326" spans="1:64">
      <c r="A326" s="13"/>
      <c r="B326" s="7"/>
      <c r="C326" s="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7"/>
      <c r="AD326" s="7"/>
      <c r="AE326" s="7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7"/>
      <c r="BE326" s="7"/>
      <c r="BF326" s="7"/>
      <c r="BG326" s="7"/>
      <c r="BH326" s="7"/>
      <c r="BI326" s="7"/>
      <c r="BJ326" s="7"/>
      <c r="BK326" s="7"/>
      <c r="BL326" s="7"/>
    </row>
    <row r="327" spans="1:64">
      <c r="A327" s="13"/>
      <c r="B327" s="7"/>
      <c r="C327" s="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7"/>
      <c r="AD327" s="7"/>
      <c r="AE327" s="7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7"/>
      <c r="BE327" s="7"/>
      <c r="BF327" s="7"/>
      <c r="BG327" s="7"/>
      <c r="BH327" s="7"/>
      <c r="BI327" s="7"/>
      <c r="BJ327" s="7"/>
      <c r="BK327" s="7"/>
      <c r="BL327" s="7"/>
    </row>
    <row r="328" spans="1:64">
      <c r="A328" s="13"/>
      <c r="B328" s="7"/>
      <c r="C328" s="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7"/>
      <c r="AD328" s="7"/>
      <c r="AE328" s="7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7"/>
      <c r="BE328" s="7"/>
      <c r="BF328" s="7"/>
      <c r="BG328" s="7"/>
      <c r="BH328" s="7"/>
      <c r="BI328" s="7"/>
      <c r="BJ328" s="7"/>
      <c r="BK328" s="7"/>
      <c r="BL328" s="7"/>
    </row>
    <row r="329" spans="1:64">
      <c r="A329" s="13"/>
      <c r="B329" s="7"/>
      <c r="C329" s="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7"/>
      <c r="AD329" s="7"/>
      <c r="AE329" s="7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7"/>
      <c r="BE329" s="7"/>
      <c r="BF329" s="7"/>
      <c r="BG329" s="7"/>
      <c r="BH329" s="7"/>
      <c r="BI329" s="7"/>
      <c r="BJ329" s="7"/>
      <c r="BK329" s="7"/>
      <c r="BL329" s="7"/>
    </row>
    <row r="330" spans="1:64">
      <c r="A330" s="13"/>
      <c r="B330" s="7"/>
      <c r="C330" s="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7"/>
      <c r="AD330" s="7"/>
      <c r="AE330" s="7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7"/>
      <c r="BE330" s="7"/>
      <c r="BF330" s="7"/>
      <c r="BG330" s="7"/>
      <c r="BH330" s="7"/>
      <c r="BI330" s="7"/>
      <c r="BJ330" s="7"/>
      <c r="BK330" s="7"/>
      <c r="BL330" s="7"/>
    </row>
    <row r="331" spans="1:64">
      <c r="A331" s="13"/>
      <c r="B331" s="7"/>
      <c r="C331" s="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7"/>
      <c r="AD331" s="7"/>
      <c r="AE331" s="7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7"/>
      <c r="BE331" s="7"/>
      <c r="BF331" s="7"/>
      <c r="BG331" s="7"/>
      <c r="BH331" s="7"/>
      <c r="BI331" s="7"/>
      <c r="BJ331" s="7"/>
      <c r="BK331" s="7"/>
      <c r="BL331" s="7"/>
    </row>
    <row r="332" spans="1:64">
      <c r="A332" s="13"/>
      <c r="B332" s="7"/>
      <c r="C332" s="7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7"/>
      <c r="AD332" s="7"/>
      <c r="AE332" s="7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7"/>
      <c r="BE332" s="7"/>
      <c r="BF332" s="7"/>
      <c r="BG332" s="7"/>
      <c r="BH332" s="7"/>
      <c r="BI332" s="7"/>
      <c r="BJ332" s="7"/>
      <c r="BK332" s="7"/>
      <c r="BL332" s="7"/>
    </row>
    <row r="333" spans="1:64">
      <c r="A333" s="13"/>
      <c r="B333" s="7"/>
      <c r="C333" s="7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7"/>
      <c r="AD333" s="7"/>
      <c r="AE333" s="7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7"/>
      <c r="BE333" s="7"/>
      <c r="BF333" s="7"/>
      <c r="BG333" s="7"/>
      <c r="BH333" s="7"/>
      <c r="BI333" s="7"/>
      <c r="BJ333" s="7"/>
      <c r="BK333" s="7"/>
      <c r="BL333" s="7"/>
    </row>
    <row r="334" spans="1:64">
      <c r="A334" s="13"/>
      <c r="B334" s="7"/>
      <c r="C334" s="7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7"/>
      <c r="AD334" s="7"/>
      <c r="AE334" s="7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7"/>
      <c r="BE334" s="7"/>
      <c r="BF334" s="7"/>
      <c r="BG334" s="7"/>
      <c r="BH334" s="7"/>
      <c r="BI334" s="7"/>
      <c r="BJ334" s="7"/>
      <c r="BK334" s="7"/>
      <c r="BL334" s="7"/>
    </row>
    <row r="335" spans="1:64">
      <c r="A335" s="13"/>
      <c r="B335" s="7"/>
      <c r="C335" s="7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7"/>
      <c r="AD335" s="7"/>
      <c r="AE335" s="7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7"/>
      <c r="BE335" s="7"/>
      <c r="BF335" s="7"/>
      <c r="BG335" s="7"/>
      <c r="BH335" s="7"/>
      <c r="BI335" s="7"/>
      <c r="BJ335" s="7"/>
      <c r="BK335" s="7"/>
      <c r="BL335" s="7"/>
    </row>
    <row r="336" spans="1:64">
      <c r="A336" s="13"/>
      <c r="B336" s="7"/>
      <c r="C336" s="7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7"/>
      <c r="AD336" s="7"/>
      <c r="AE336" s="7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7"/>
      <c r="BE336" s="7"/>
      <c r="BF336" s="7"/>
      <c r="BG336" s="7"/>
      <c r="BH336" s="7"/>
      <c r="BI336" s="7"/>
      <c r="BJ336" s="7"/>
      <c r="BK336" s="7"/>
      <c r="BL336" s="7"/>
    </row>
    <row r="337" spans="1:64">
      <c r="A337" s="13"/>
      <c r="B337" s="7"/>
      <c r="C337" s="7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7"/>
      <c r="AD337" s="7"/>
      <c r="AE337" s="7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7"/>
      <c r="BE337" s="7"/>
      <c r="BF337" s="7"/>
      <c r="BG337" s="7"/>
      <c r="BH337" s="7"/>
      <c r="BI337" s="7"/>
      <c r="BJ337" s="7"/>
      <c r="BK337" s="7"/>
      <c r="BL337" s="7"/>
    </row>
    <row r="338" spans="1:64">
      <c r="A338" s="13"/>
      <c r="B338" s="7"/>
      <c r="C338" s="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7"/>
      <c r="AD338" s="7"/>
      <c r="AE338" s="7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7"/>
      <c r="BE338" s="7"/>
      <c r="BF338" s="7"/>
      <c r="BG338" s="7"/>
      <c r="BH338" s="7"/>
      <c r="BI338" s="7"/>
      <c r="BJ338" s="7"/>
      <c r="BK338" s="7"/>
      <c r="BL338" s="7"/>
    </row>
    <row r="339" spans="1:64">
      <c r="A339" s="13"/>
      <c r="B339" s="7"/>
      <c r="C339" s="7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7"/>
      <c r="AD339" s="7"/>
      <c r="AE339" s="7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7"/>
      <c r="BE339" s="7"/>
      <c r="BF339" s="7"/>
      <c r="BG339" s="7"/>
      <c r="BH339" s="7"/>
      <c r="BI339" s="7"/>
      <c r="BJ339" s="7"/>
      <c r="BK339" s="7"/>
      <c r="BL339" s="7"/>
    </row>
    <row r="340" spans="1:64">
      <c r="A340" s="13"/>
      <c r="B340" s="7"/>
      <c r="C340" s="7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7"/>
      <c r="AD340" s="7"/>
      <c r="AE340" s="7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7"/>
      <c r="BE340" s="7"/>
      <c r="BF340" s="7"/>
      <c r="BG340" s="7"/>
      <c r="BH340" s="7"/>
      <c r="BI340" s="7"/>
      <c r="BJ340" s="7"/>
      <c r="BK340" s="7"/>
      <c r="BL340" s="7"/>
    </row>
    <row r="341" spans="1:64">
      <c r="A341" s="13"/>
      <c r="B341" s="7"/>
      <c r="C341" s="7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7"/>
      <c r="AD341" s="7"/>
      <c r="AE341" s="7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7"/>
      <c r="BE341" s="7"/>
      <c r="BF341" s="7"/>
      <c r="BG341" s="7"/>
      <c r="BH341" s="7"/>
      <c r="BI341" s="7"/>
      <c r="BJ341" s="7"/>
      <c r="BK341" s="7"/>
      <c r="BL341" s="7"/>
    </row>
    <row r="342" spans="1:64">
      <c r="A342" s="13"/>
      <c r="B342" s="7"/>
      <c r="C342" s="7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7"/>
      <c r="AD342" s="7"/>
      <c r="AE342" s="7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7"/>
      <c r="BE342" s="7"/>
      <c r="BF342" s="7"/>
      <c r="BG342" s="7"/>
      <c r="BH342" s="7"/>
      <c r="BI342" s="7"/>
      <c r="BJ342" s="7"/>
      <c r="BK342" s="7"/>
      <c r="BL342" s="7"/>
    </row>
    <row r="343" spans="1:64">
      <c r="A343" s="13"/>
      <c r="B343" s="7"/>
      <c r="C343" s="7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7"/>
      <c r="AD343" s="7"/>
      <c r="AE343" s="7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7"/>
      <c r="BE343" s="7"/>
      <c r="BF343" s="7"/>
      <c r="BG343" s="7"/>
      <c r="BH343" s="7"/>
      <c r="BI343" s="7"/>
      <c r="BJ343" s="7"/>
      <c r="BK343" s="7"/>
      <c r="BL343" s="7"/>
    </row>
    <row r="344" spans="1:64">
      <c r="A344" s="13"/>
      <c r="B344" s="7"/>
      <c r="C344" s="7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7"/>
      <c r="AD344" s="7"/>
      <c r="AE344" s="7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7"/>
      <c r="BE344" s="7"/>
      <c r="BF344" s="7"/>
      <c r="BG344" s="7"/>
      <c r="BH344" s="7"/>
      <c r="BI344" s="7"/>
      <c r="BJ344" s="7"/>
      <c r="BK344" s="7"/>
      <c r="BL344" s="7"/>
    </row>
    <row r="345" spans="1:64">
      <c r="A345" s="13"/>
      <c r="B345" s="7"/>
      <c r="C345" s="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7"/>
      <c r="AD345" s="7"/>
      <c r="AE345" s="7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7"/>
      <c r="BE345" s="7"/>
      <c r="BF345" s="7"/>
      <c r="BG345" s="7"/>
      <c r="BH345" s="7"/>
      <c r="BI345" s="7"/>
      <c r="BJ345" s="7"/>
      <c r="BK345" s="7"/>
      <c r="BL345" s="7"/>
    </row>
    <row r="346" spans="1:64">
      <c r="A346" s="13"/>
      <c r="B346" s="7"/>
      <c r="C346" s="7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7"/>
      <c r="AD346" s="7"/>
      <c r="AE346" s="7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7"/>
      <c r="BE346" s="7"/>
      <c r="BF346" s="7"/>
      <c r="BG346" s="7"/>
      <c r="BH346" s="7"/>
      <c r="BI346" s="7"/>
      <c r="BJ346" s="7"/>
      <c r="BK346" s="7"/>
      <c r="BL346" s="7"/>
    </row>
    <row r="347" spans="1:64">
      <c r="A347" s="13"/>
      <c r="B347" s="7"/>
      <c r="C347" s="7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7"/>
      <c r="AD347" s="7"/>
      <c r="AE347" s="7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7"/>
      <c r="BE347" s="7"/>
      <c r="BF347" s="7"/>
      <c r="BG347" s="7"/>
      <c r="BH347" s="7"/>
      <c r="BI347" s="7"/>
      <c r="BJ347" s="7"/>
      <c r="BK347" s="7"/>
      <c r="BL347" s="7"/>
    </row>
    <row r="348" spans="1:64">
      <c r="A348" s="13"/>
      <c r="B348" s="7"/>
      <c r="C348" s="7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7"/>
      <c r="AD348" s="7"/>
      <c r="AE348" s="7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7"/>
      <c r="BE348" s="7"/>
      <c r="BF348" s="7"/>
      <c r="BG348" s="7"/>
      <c r="BH348" s="7"/>
      <c r="BI348" s="7"/>
      <c r="BJ348" s="7"/>
      <c r="BK348" s="7"/>
      <c r="BL348" s="7"/>
    </row>
    <row r="349" spans="1:64">
      <c r="A349" s="13"/>
      <c r="B349" s="7"/>
      <c r="C349" s="7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7"/>
      <c r="AD349" s="7"/>
      <c r="AE349" s="7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7"/>
      <c r="BE349" s="7"/>
      <c r="BF349" s="7"/>
      <c r="BG349" s="7"/>
      <c r="BH349" s="7"/>
      <c r="BI349" s="7"/>
      <c r="BJ349" s="7"/>
      <c r="BK349" s="7"/>
      <c r="BL349" s="7"/>
    </row>
    <row r="350" spans="1:64">
      <c r="A350" s="13"/>
      <c r="B350" s="7"/>
      <c r="C350" s="7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7"/>
      <c r="AD350" s="7"/>
      <c r="AE350" s="7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7"/>
      <c r="BE350" s="7"/>
      <c r="BF350" s="7"/>
      <c r="BG350" s="7"/>
      <c r="BH350" s="7"/>
      <c r="BI350" s="7"/>
      <c r="BJ350" s="7"/>
      <c r="BK350" s="7"/>
      <c r="BL350" s="7"/>
    </row>
    <row r="351" spans="1:64">
      <c r="A351" s="13"/>
      <c r="B351" s="7"/>
      <c r="C351" s="7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7"/>
      <c r="AD351" s="7"/>
      <c r="AE351" s="7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7"/>
      <c r="BE351" s="7"/>
      <c r="BF351" s="7"/>
      <c r="BG351" s="7"/>
      <c r="BH351" s="7"/>
      <c r="BI351" s="7"/>
      <c r="BJ351" s="7"/>
      <c r="BK351" s="7"/>
      <c r="BL351" s="7"/>
    </row>
    <row r="352" spans="1:64">
      <c r="A352" s="13"/>
      <c r="B352" s="7"/>
      <c r="C352" s="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7"/>
      <c r="AD352" s="7"/>
      <c r="AE352" s="7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7"/>
      <c r="BE352" s="7"/>
      <c r="BF352" s="7"/>
      <c r="BG352" s="7"/>
      <c r="BH352" s="7"/>
      <c r="BI352" s="7"/>
      <c r="BJ352" s="7"/>
      <c r="BK352" s="7"/>
      <c r="BL352" s="7"/>
    </row>
    <row r="353" spans="1:64">
      <c r="A353" s="13"/>
      <c r="B353" s="7"/>
      <c r="C353" s="7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7"/>
      <c r="AD353" s="7"/>
      <c r="AE353" s="7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7"/>
      <c r="BE353" s="7"/>
      <c r="BF353" s="7"/>
      <c r="BG353" s="7"/>
      <c r="BH353" s="7"/>
      <c r="BI353" s="7"/>
      <c r="BJ353" s="7"/>
      <c r="BK353" s="7"/>
      <c r="BL353" s="7"/>
    </row>
    <row r="354" spans="1:64">
      <c r="A354" s="13"/>
      <c r="B354" s="7"/>
      <c r="C354" s="7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7"/>
      <c r="AD354" s="7"/>
      <c r="AE354" s="7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7"/>
      <c r="BE354" s="7"/>
      <c r="BF354" s="7"/>
      <c r="BG354" s="7"/>
      <c r="BH354" s="7"/>
      <c r="BI354" s="7"/>
      <c r="BJ354" s="7"/>
      <c r="BK354" s="7"/>
      <c r="BL354" s="7"/>
    </row>
    <row r="355" spans="1:64">
      <c r="A355" s="13"/>
      <c r="B355" s="7"/>
      <c r="C355" s="7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7"/>
      <c r="AD355" s="7"/>
      <c r="AE355" s="7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7"/>
      <c r="BE355" s="7"/>
      <c r="BF355" s="7"/>
      <c r="BG355" s="7"/>
      <c r="BH355" s="7"/>
      <c r="BI355" s="7"/>
      <c r="BJ355" s="7"/>
      <c r="BK355" s="7"/>
      <c r="BL355" s="7"/>
    </row>
    <row r="356" spans="1:64">
      <c r="A356" s="13"/>
      <c r="B356" s="7"/>
      <c r="C356" s="7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7"/>
      <c r="AD356" s="7"/>
      <c r="AE356" s="7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7"/>
      <c r="BE356" s="7"/>
      <c r="BF356" s="7"/>
      <c r="BG356" s="7"/>
      <c r="BH356" s="7"/>
      <c r="BI356" s="7"/>
      <c r="BJ356" s="7"/>
      <c r="BK356" s="7"/>
      <c r="BL356" s="7"/>
    </row>
    <row r="357" spans="1:64">
      <c r="A357" s="13"/>
      <c r="B357" s="7"/>
      <c r="C357" s="7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7"/>
      <c r="AD357" s="7"/>
      <c r="AE357" s="7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7"/>
      <c r="BE357" s="7"/>
      <c r="BF357" s="7"/>
      <c r="BG357" s="7"/>
      <c r="BH357" s="7"/>
      <c r="BI357" s="7"/>
      <c r="BJ357" s="7"/>
      <c r="BK357" s="7"/>
      <c r="BL357" s="7"/>
    </row>
    <row r="358" spans="1:64">
      <c r="A358" s="13"/>
      <c r="B358" s="7"/>
      <c r="C358" s="7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7"/>
      <c r="AD358" s="7"/>
      <c r="AE358" s="7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7"/>
      <c r="BE358" s="7"/>
      <c r="BF358" s="7"/>
      <c r="BG358" s="7"/>
      <c r="BH358" s="7"/>
      <c r="BI358" s="7"/>
      <c r="BJ358" s="7"/>
      <c r="BK358" s="7"/>
      <c r="BL358" s="7"/>
    </row>
    <row r="359" spans="1:64">
      <c r="A359" s="13"/>
      <c r="B359" s="7"/>
      <c r="C359" s="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7"/>
      <c r="AD359" s="7"/>
      <c r="AE359" s="7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7"/>
      <c r="BE359" s="7"/>
      <c r="BF359" s="7"/>
      <c r="BG359" s="7"/>
      <c r="BH359" s="7"/>
      <c r="BI359" s="7"/>
      <c r="BJ359" s="7"/>
      <c r="BK359" s="7"/>
      <c r="BL359" s="7"/>
    </row>
    <row r="360" spans="1:64">
      <c r="A360" s="13"/>
      <c r="B360" s="7"/>
      <c r="C360" s="7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7"/>
      <c r="AD360" s="7"/>
      <c r="AE360" s="7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7"/>
      <c r="BE360" s="7"/>
      <c r="BF360" s="7"/>
      <c r="BG360" s="7"/>
      <c r="BH360" s="7"/>
      <c r="BI360" s="7"/>
      <c r="BJ360" s="7"/>
      <c r="BK360" s="7"/>
      <c r="BL360" s="7"/>
    </row>
    <row r="361" spans="1:64">
      <c r="A361" s="13"/>
      <c r="B361" s="7"/>
      <c r="C361" s="7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7"/>
      <c r="AD361" s="7"/>
      <c r="AE361" s="7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7"/>
      <c r="BE361" s="7"/>
      <c r="BF361" s="7"/>
      <c r="BG361" s="7"/>
      <c r="BH361" s="7"/>
      <c r="BI361" s="7"/>
      <c r="BJ361" s="7"/>
      <c r="BK361" s="7"/>
      <c r="BL361" s="7"/>
    </row>
    <row r="362" spans="1:64">
      <c r="A362" s="13"/>
      <c r="B362" s="7"/>
      <c r="C362" s="7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7"/>
      <c r="AD362" s="7"/>
      <c r="AE362" s="7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7"/>
      <c r="BE362" s="7"/>
      <c r="BF362" s="7"/>
      <c r="BG362" s="7"/>
      <c r="BH362" s="7"/>
      <c r="BI362" s="7"/>
      <c r="BJ362" s="7"/>
      <c r="BK362" s="7"/>
      <c r="BL362" s="7"/>
    </row>
    <row r="363" spans="1:64">
      <c r="A363" s="13"/>
      <c r="B363" s="7"/>
      <c r="C363" s="7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7"/>
      <c r="AD363" s="7"/>
      <c r="AE363" s="7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7"/>
      <c r="BE363" s="7"/>
      <c r="BF363" s="7"/>
      <c r="BG363" s="7"/>
      <c r="BH363" s="7"/>
      <c r="BI363" s="7"/>
      <c r="BJ363" s="7"/>
      <c r="BK363" s="7"/>
      <c r="BL363" s="7"/>
    </row>
    <row r="364" spans="1:64">
      <c r="A364" s="13"/>
      <c r="B364" s="7"/>
      <c r="C364" s="7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7"/>
      <c r="AD364" s="7"/>
      <c r="AE364" s="7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7"/>
      <c r="BE364" s="7"/>
      <c r="BF364" s="7"/>
      <c r="BG364" s="7"/>
      <c r="BH364" s="7"/>
      <c r="BI364" s="7"/>
      <c r="BJ364" s="7"/>
      <c r="BK364" s="7"/>
      <c r="BL364" s="7"/>
    </row>
    <row r="365" spans="1:64">
      <c r="A365" s="13"/>
      <c r="B365" s="7"/>
      <c r="C365" s="7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7"/>
      <c r="AD365" s="7"/>
      <c r="AE365" s="7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7"/>
      <c r="BE365" s="7"/>
      <c r="BF365" s="7"/>
      <c r="BG365" s="7"/>
      <c r="BH365" s="7"/>
      <c r="BI365" s="7"/>
      <c r="BJ365" s="7"/>
      <c r="BK365" s="7"/>
      <c r="BL365" s="7"/>
    </row>
    <row r="366" spans="1:64">
      <c r="A366" s="13"/>
      <c r="B366" s="7"/>
      <c r="C366" s="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7"/>
      <c r="AD366" s="7"/>
      <c r="AE366" s="7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7"/>
      <c r="BE366" s="7"/>
      <c r="BF366" s="7"/>
      <c r="BG366" s="7"/>
      <c r="BH366" s="7"/>
      <c r="BI366" s="7"/>
      <c r="BJ366" s="7"/>
      <c r="BK366" s="7"/>
      <c r="BL366" s="7"/>
    </row>
    <row r="367" spans="1:64">
      <c r="A367" s="13"/>
      <c r="B367" s="7"/>
      <c r="C367" s="7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7"/>
      <c r="AD367" s="7"/>
      <c r="AE367" s="7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7"/>
      <c r="BE367" s="7"/>
      <c r="BF367" s="7"/>
      <c r="BG367" s="7"/>
      <c r="BH367" s="7"/>
      <c r="BI367" s="7"/>
      <c r="BJ367" s="7"/>
      <c r="BK367" s="7"/>
      <c r="BL367" s="7"/>
    </row>
    <row r="368" spans="1:64">
      <c r="A368" s="13"/>
      <c r="B368" s="7"/>
      <c r="C368" s="7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7"/>
      <c r="AD368" s="7"/>
      <c r="AE368" s="7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7"/>
      <c r="BE368" s="7"/>
      <c r="BF368" s="7"/>
      <c r="BG368" s="7"/>
      <c r="BH368" s="7"/>
      <c r="BI368" s="7"/>
      <c r="BJ368" s="7"/>
      <c r="BK368" s="7"/>
      <c r="BL368" s="7"/>
    </row>
    <row r="369" spans="1:64">
      <c r="A369" s="13"/>
      <c r="B369" s="7"/>
      <c r="C369" s="7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7"/>
      <c r="AD369" s="7"/>
      <c r="AE369" s="7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7"/>
      <c r="BE369" s="7"/>
      <c r="BF369" s="7"/>
      <c r="BG369" s="7"/>
      <c r="BH369" s="7"/>
      <c r="BI369" s="7"/>
      <c r="BJ369" s="7"/>
      <c r="BK369" s="7"/>
      <c r="BL369" s="7"/>
    </row>
    <row r="370" spans="1:64">
      <c r="A370" s="13"/>
      <c r="B370" s="7"/>
      <c r="C370" s="7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7"/>
      <c r="AD370" s="7"/>
      <c r="AE370" s="7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7"/>
      <c r="BE370" s="7"/>
      <c r="BF370" s="7"/>
      <c r="BG370" s="7"/>
      <c r="BH370" s="7"/>
      <c r="BI370" s="7"/>
      <c r="BJ370" s="7"/>
      <c r="BK370" s="7"/>
      <c r="BL370" s="7"/>
    </row>
    <row r="371" spans="1:64">
      <c r="A371" s="13"/>
      <c r="B371" s="7"/>
      <c r="C371" s="7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7"/>
      <c r="AD371" s="7"/>
      <c r="AE371" s="7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7"/>
      <c r="BE371" s="7"/>
      <c r="BF371" s="7"/>
      <c r="BG371" s="7"/>
      <c r="BH371" s="7"/>
      <c r="BI371" s="7"/>
      <c r="BJ371" s="7"/>
      <c r="BK371" s="7"/>
      <c r="BL371" s="7"/>
    </row>
    <row r="372" spans="1:64">
      <c r="A372" s="13"/>
      <c r="B372" s="7"/>
      <c r="C372" s="7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7"/>
      <c r="AD372" s="7"/>
      <c r="AE372" s="7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7"/>
      <c r="BE372" s="7"/>
      <c r="BF372" s="7"/>
      <c r="BG372" s="7"/>
      <c r="BH372" s="7"/>
      <c r="BI372" s="7"/>
      <c r="BJ372" s="7"/>
      <c r="BK372" s="7"/>
      <c r="BL372" s="7"/>
    </row>
    <row r="373" spans="1:64">
      <c r="A373" s="13"/>
      <c r="B373" s="7"/>
      <c r="C373" s="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7"/>
      <c r="AD373" s="7"/>
      <c r="AE373" s="7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7"/>
      <c r="BE373" s="7"/>
      <c r="BF373" s="7"/>
      <c r="BG373" s="7"/>
      <c r="BH373" s="7"/>
      <c r="BI373" s="7"/>
      <c r="BJ373" s="7"/>
      <c r="BK373" s="7"/>
      <c r="BL373" s="7"/>
    </row>
    <row r="374" spans="1:64">
      <c r="A374" s="13"/>
      <c r="B374" s="7"/>
      <c r="C374" s="7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7"/>
      <c r="AD374" s="7"/>
      <c r="AE374" s="7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7"/>
      <c r="BE374" s="7"/>
      <c r="BF374" s="7"/>
      <c r="BG374" s="7"/>
      <c r="BH374" s="7"/>
      <c r="BI374" s="7"/>
      <c r="BJ374" s="7"/>
      <c r="BK374" s="7"/>
      <c r="BL374" s="7"/>
    </row>
    <row r="384" spans="2:4">
      <c r="B384" s="10"/>
      <c r="C384" s="10"/>
      <c r="D384" s="10"/>
    </row>
    <row r="385" spans="2:4">
      <c r="B385" s="10"/>
      <c r="C385" s="10"/>
      <c r="D385" s="10"/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98"/>
  <sheetViews>
    <sheetView workbookViewId="0">
      <selection activeCell="C1" sqref="C1:C6"/>
    </sheetView>
  </sheetViews>
  <sheetFormatPr defaultColWidth="9" defaultRowHeight="15"/>
  <cols>
    <col min="1" max="1" width="8.72666666666667" style="10"/>
  </cols>
  <sheetData>
    <row r="1" spans="1:6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7"/>
    </row>
    <row r="2" spans="1:64">
      <c r="A2" s="11">
        <v>0</v>
      </c>
      <c r="B2" s="11">
        <v>0</v>
      </c>
      <c r="C2" s="11"/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7"/>
    </row>
    <row r="3" spans="1:64">
      <c r="A3" s="11">
        <v>0.14091914656322</v>
      </c>
      <c r="B3" s="12">
        <v>9.2072814344169e-13</v>
      </c>
      <c r="C3" s="12">
        <f>(B3-B2)/(A3-A2)</f>
        <v>6.5337334627458e-12</v>
      </c>
      <c r="D3" s="12">
        <v>1.0292745394494e-12</v>
      </c>
      <c r="E3" s="12">
        <v>1.0166329680517e-12</v>
      </c>
      <c r="F3" s="12">
        <v>1.0166329680517e-12</v>
      </c>
      <c r="G3" s="12">
        <v>1.0166329680517e-12</v>
      </c>
      <c r="H3" s="12">
        <v>1.0292745394494e-12</v>
      </c>
      <c r="I3" s="12">
        <v>1.0292745394494e-12</v>
      </c>
      <c r="J3" s="12">
        <v>1.0292745394494e-12</v>
      </c>
      <c r="K3" s="12">
        <v>1.0480457008505e-12</v>
      </c>
      <c r="L3" s="12">
        <v>1.0480457008505e-12</v>
      </c>
      <c r="M3" s="12">
        <v>1.0480457008505e-12</v>
      </c>
      <c r="N3" s="12">
        <v>7.0674662485784e-13</v>
      </c>
      <c r="O3" s="12">
        <v>1.0292745394494e-12</v>
      </c>
      <c r="P3" s="12">
        <v>7.0674662485784e-13</v>
      </c>
      <c r="Q3" s="12">
        <v>7.0674662485784e-13</v>
      </c>
      <c r="R3" s="12">
        <v>1.0166329680517e-12</v>
      </c>
      <c r="S3" s="12">
        <v>1.0166329680517e-12</v>
      </c>
      <c r="T3" s="12">
        <v>1.0166329680517e-12</v>
      </c>
      <c r="U3" s="12">
        <v>1.0292745394494e-12</v>
      </c>
      <c r="V3" s="12">
        <v>1.0480457008505e-12</v>
      </c>
      <c r="W3" s="12">
        <v>1.0480457008505e-12</v>
      </c>
      <c r="X3" s="12">
        <v>1.0480457008505e-12</v>
      </c>
      <c r="Y3" s="12">
        <v>7.0674662485784e-13</v>
      </c>
      <c r="Z3" s="12">
        <v>7.0674662485784e-13</v>
      </c>
      <c r="AA3" s="12">
        <v>7.0674662485784e-13</v>
      </c>
      <c r="AB3" s="11">
        <v>0.99999998137279</v>
      </c>
      <c r="AC3" s="11">
        <v>0.99999049910394</v>
      </c>
      <c r="AD3" s="12">
        <v>2.8697474076759e-7</v>
      </c>
      <c r="AE3" s="12">
        <v>2.3411910790559e-18</v>
      </c>
      <c r="AF3" s="12">
        <v>-1.0170950168713e-18</v>
      </c>
      <c r="AG3" s="12">
        <v>-7.1759350973973e-18</v>
      </c>
      <c r="AH3" s="12">
        <v>3.0664779946544e-18</v>
      </c>
      <c r="AI3" s="12">
        <v>1.3297540680651e-18</v>
      </c>
      <c r="AJ3" s="12">
        <v>1.188032355462e-18</v>
      </c>
      <c r="AK3" s="12">
        <v>9.1062944726257e-18</v>
      </c>
      <c r="AL3" s="12">
        <v>-2.7981488740072e-18</v>
      </c>
      <c r="AM3" s="12">
        <v>9.1493548891619e-18</v>
      </c>
      <c r="AN3" s="12">
        <v>2.5072263805979e-18</v>
      </c>
      <c r="AO3" s="12">
        <v>3.1712563072407e-18</v>
      </c>
      <c r="AP3" s="12">
        <v>-1.2723826064418e-18</v>
      </c>
      <c r="AQ3" s="12">
        <v>5.5764568990336e-18</v>
      </c>
      <c r="AR3" s="12">
        <v>2.267846870335e-18</v>
      </c>
      <c r="AS3" s="12">
        <v>1.8596582593381e-18</v>
      </c>
      <c r="AT3" s="12">
        <v>2.436085707506e-18</v>
      </c>
      <c r="AU3" s="12">
        <v>9.9892726082859e-18</v>
      </c>
      <c r="AV3" s="12">
        <v>-5.2687801544718e-18</v>
      </c>
      <c r="AW3" s="12">
        <v>4.2410551113847e-18</v>
      </c>
      <c r="AX3" s="12">
        <v>-6.4062820245399e-18</v>
      </c>
      <c r="AY3" s="12">
        <v>2.8121965674387e-18</v>
      </c>
      <c r="AZ3" s="12">
        <v>-7.1188881550721e-19</v>
      </c>
      <c r="BA3" s="12">
        <v>4.0835153953907e-19</v>
      </c>
      <c r="BB3" s="12">
        <v>2.8742412377234e-20</v>
      </c>
      <c r="BC3" s="11">
        <v>15999999.99961</v>
      </c>
      <c r="BD3" s="11">
        <v>3999999.9998763</v>
      </c>
      <c r="BE3" s="12">
        <v>-8.6376607599912e-8</v>
      </c>
      <c r="BF3" s="12">
        <v>-7.7046584605903e-8</v>
      </c>
      <c r="BG3" s="12">
        <v>3.1029820663092e-7</v>
      </c>
      <c r="BH3" s="12">
        <v>-2.9404529138878e-10</v>
      </c>
      <c r="BI3" s="12">
        <v>-3.220386801335e-10</v>
      </c>
      <c r="BJ3" s="11">
        <v>0.061064963615485</v>
      </c>
      <c r="BK3" s="11">
        <v>0.066548766170879</v>
      </c>
      <c r="BL3" s="7"/>
    </row>
    <row r="4" spans="1:64">
      <c r="A4" s="11">
        <v>0.44562546906687</v>
      </c>
      <c r="B4" s="12">
        <v>1.0401118104005e-11</v>
      </c>
      <c r="C4" s="12">
        <f>(B4-B3)/(A4-A3)</f>
        <v>3.11132039619878e-11</v>
      </c>
      <c r="D4" s="12">
        <v>3.2550227757262e-12</v>
      </c>
      <c r="E4" s="12">
        <v>3.2150498296575e-12</v>
      </c>
      <c r="F4" s="12">
        <v>3.2150498296575e-12</v>
      </c>
      <c r="G4" s="12">
        <v>3.2150498296575e-12</v>
      </c>
      <c r="H4" s="12">
        <v>3.2550227757262e-12</v>
      </c>
      <c r="I4" s="12">
        <v>3.2550227757262e-12</v>
      </c>
      <c r="J4" s="12">
        <v>3.2550227757262e-12</v>
      </c>
      <c r="K4" s="12">
        <v>3.3144063726345e-12</v>
      </c>
      <c r="L4" s="12">
        <v>3.3144063726345e-12</v>
      </c>
      <c r="M4" s="12">
        <v>3.3144063726345e-12</v>
      </c>
      <c r="N4" s="12">
        <v>2.235040669773e-12</v>
      </c>
      <c r="O4" s="12">
        <v>3.2550227757262e-12</v>
      </c>
      <c r="P4" s="12">
        <v>2.235040669773e-12</v>
      </c>
      <c r="Q4" s="12">
        <v>2.235040669773e-12</v>
      </c>
      <c r="R4" s="12">
        <v>3.2150498296575e-12</v>
      </c>
      <c r="S4" s="12">
        <v>3.2150498296575e-12</v>
      </c>
      <c r="T4" s="12">
        <v>3.2150498296575e-12</v>
      </c>
      <c r="U4" s="12">
        <v>3.2550227757262e-12</v>
      </c>
      <c r="V4" s="12">
        <v>3.3144063726345e-12</v>
      </c>
      <c r="W4" s="12">
        <v>3.3144063726345e-12</v>
      </c>
      <c r="X4" s="12">
        <v>3.3144063726345e-12</v>
      </c>
      <c r="Y4" s="12">
        <v>2.235040669773e-12</v>
      </c>
      <c r="Z4" s="12">
        <v>2.235040669773e-12</v>
      </c>
      <c r="AA4" s="12">
        <v>2.235040669773e-12</v>
      </c>
      <c r="AB4" s="11">
        <v>0.99999999211889</v>
      </c>
      <c r="AC4" s="11">
        <v>0.99999590470067</v>
      </c>
      <c r="AD4" s="12">
        <v>9.0749758226788e-7</v>
      </c>
      <c r="AE4" s="12">
        <v>4.0069310007166e-18</v>
      </c>
      <c r="AF4" s="12">
        <v>-8.9073215768843e-19</v>
      </c>
      <c r="AG4" s="12">
        <v>-9.0852127122613e-18</v>
      </c>
      <c r="AH4" s="12">
        <v>4.4094344270691e-18</v>
      </c>
      <c r="AI4" s="12">
        <v>2.5964681104245e-19</v>
      </c>
      <c r="AJ4" s="12">
        <v>6.5463569424531e-19</v>
      </c>
      <c r="AK4" s="12">
        <v>1.1812148775274e-17</v>
      </c>
      <c r="AL4" s="12">
        <v>-4.399834636114e-18</v>
      </c>
      <c r="AM4" s="12">
        <v>1.1771692746722e-17</v>
      </c>
      <c r="AN4" s="12">
        <v>2.3136598962586e-18</v>
      </c>
      <c r="AO4" s="12">
        <v>3.598050675395e-18</v>
      </c>
      <c r="AP4" s="12">
        <v>-1.0654079764554e-18</v>
      </c>
      <c r="AQ4" s="12">
        <v>6.1825356833758e-18</v>
      </c>
      <c r="AR4" s="12">
        <v>2.2864781374989e-18</v>
      </c>
      <c r="AS4" s="12">
        <v>1.182107375406e-18</v>
      </c>
      <c r="AT4" s="12">
        <v>2.1906988177776e-18</v>
      </c>
      <c r="AU4" s="12">
        <v>1.2273429829425e-17</v>
      </c>
      <c r="AV4" s="12">
        <v>-7.4814369756857e-18</v>
      </c>
      <c r="AW4" s="12">
        <v>5.8979465077333e-18</v>
      </c>
      <c r="AX4" s="12">
        <v>-8.7757216642026e-18</v>
      </c>
      <c r="AY4" s="12">
        <v>3.6073755374765e-18</v>
      </c>
      <c r="AZ4" s="12">
        <v>-7.7801532320978e-19</v>
      </c>
      <c r="BA4" s="12">
        <v>6.4218543548222e-19</v>
      </c>
      <c r="BB4" s="12">
        <v>-1.3782415748371e-19</v>
      </c>
      <c r="BC4" s="11">
        <v>15999999.996411</v>
      </c>
      <c r="BD4" s="11">
        <v>3999999.9986019</v>
      </c>
      <c r="BE4" s="12">
        <v>-2.7314530400461e-7</v>
      </c>
      <c r="BF4" s="12">
        <v>-2.4364097247504e-7</v>
      </c>
      <c r="BG4" s="12">
        <v>9.8125451709685e-7</v>
      </c>
      <c r="BH4" s="12">
        <v>-2.9348254806726e-9</v>
      </c>
      <c r="BI4" s="12">
        <v>-3.2177538092652e-9</v>
      </c>
      <c r="BJ4" s="11">
        <v>0.19310437098596</v>
      </c>
      <c r="BK4" s="11">
        <v>0.21044548835237</v>
      </c>
      <c r="BL4" s="7"/>
    </row>
    <row r="5" spans="1:64">
      <c r="A5" s="11">
        <v>1.4091914656322</v>
      </c>
      <c r="B5" s="12">
        <v>1.052187602522e-10</v>
      </c>
      <c r="C5" s="12">
        <f>(B5-B4)/(A5-A4)</f>
        <v>9.8402851995791e-11</v>
      </c>
      <c r="D5" s="12">
        <v>1.0294999371233e-11</v>
      </c>
      <c r="E5" s="12">
        <v>1.0168626872732e-11</v>
      </c>
      <c r="F5" s="12">
        <v>1.0168626872732e-11</v>
      </c>
      <c r="G5" s="12">
        <v>1.0168626872732e-11</v>
      </c>
      <c r="H5" s="12">
        <v>1.0294999371233e-11</v>
      </c>
      <c r="I5" s="12">
        <v>1.0294999371233e-11</v>
      </c>
      <c r="J5" s="12">
        <v>1.0294999371233e-11</v>
      </c>
      <c r="K5" s="12">
        <v>1.0483028739661e-11</v>
      </c>
      <c r="L5" s="12">
        <v>1.0483028739661e-11</v>
      </c>
      <c r="M5" s="12">
        <v>1.0483028739661e-11</v>
      </c>
      <c r="N5" s="12">
        <v>7.0689419731603e-12</v>
      </c>
      <c r="O5" s="12">
        <v>1.0294999371233e-11</v>
      </c>
      <c r="P5" s="12">
        <v>7.0689419731602e-12</v>
      </c>
      <c r="Q5" s="12">
        <v>7.0689419731603e-12</v>
      </c>
      <c r="R5" s="12">
        <v>1.0168626872732e-11</v>
      </c>
      <c r="S5" s="12">
        <v>1.0168626872732e-11</v>
      </c>
      <c r="T5" s="12">
        <v>1.0168626872732e-11</v>
      </c>
      <c r="U5" s="12">
        <v>1.0294999371233e-11</v>
      </c>
      <c r="V5" s="12">
        <v>1.0483028739661e-11</v>
      </c>
      <c r="W5" s="12">
        <v>1.0483028739661e-11</v>
      </c>
      <c r="X5" s="12">
        <v>1.0483028739661e-11</v>
      </c>
      <c r="Y5" s="12">
        <v>7.0689419731602e-12</v>
      </c>
      <c r="Z5" s="12">
        <v>7.0689419731603e-12</v>
      </c>
      <c r="AA5" s="12">
        <v>7.0689419731603e-12</v>
      </c>
      <c r="AB5" s="11">
        <v>0.99999999572609</v>
      </c>
      <c r="AC5" s="11">
        <v>0.99999768268214</v>
      </c>
      <c r="AD5" s="12">
        <v>2.8697946586451e-6</v>
      </c>
      <c r="AE5" s="12">
        <v>9.5604847696455e-18</v>
      </c>
      <c r="AF5" s="12">
        <v>8.0199004402356e-20</v>
      </c>
      <c r="AG5" s="12">
        <v>-1.4185645925485e-17</v>
      </c>
      <c r="AH5" s="12">
        <v>8.3263115195649e-18</v>
      </c>
      <c r="AI5" s="12">
        <v>-5.1093358187963e-18</v>
      </c>
      <c r="AJ5" s="12">
        <v>-2.3142381764512e-18</v>
      </c>
      <c r="AK5" s="12">
        <v>1.8662740803499e-17</v>
      </c>
      <c r="AL5" s="12">
        <v>-9.7665892606343e-18</v>
      </c>
      <c r="AM5" s="12">
        <v>1.8158054420513e-17</v>
      </c>
      <c r="AN5" s="12">
        <v>6.4349835492618e-19</v>
      </c>
      <c r="AO5" s="12">
        <v>3.6995156265323e-18</v>
      </c>
      <c r="AP5" s="12">
        <v>3.0458025022021e-19</v>
      </c>
      <c r="AQ5" s="12">
        <v>6.4073025407588e-18</v>
      </c>
      <c r="AR5" s="12">
        <v>1.1349034464221e-18</v>
      </c>
      <c r="AS5" s="12">
        <v>-2.5394407632946e-18</v>
      </c>
      <c r="AT5" s="12">
        <v>1.7449287916486e-19</v>
      </c>
      <c r="AU5" s="12">
        <v>1.7105115537219e-17</v>
      </c>
      <c r="AV5" s="12">
        <v>-1.4535425931454e-17</v>
      </c>
      <c r="AW5" s="12">
        <v>1.0509468714185e-17</v>
      </c>
      <c r="AX5" s="12">
        <v>-1.5550485010378e-17</v>
      </c>
      <c r="AY5" s="12">
        <v>5.6587741748602e-18</v>
      </c>
      <c r="AZ5" s="12">
        <v>-9.144525060014e-19</v>
      </c>
      <c r="BA5" s="12">
        <v>1.3433331451369e-18</v>
      </c>
      <c r="BB5" s="12">
        <v>-7.3716790478651e-19</v>
      </c>
      <c r="BC5" s="11">
        <v>15999999.970996</v>
      </c>
      <c r="BD5" s="11">
        <v>3999999.9858564</v>
      </c>
      <c r="BE5" s="12">
        <v>-8.6374654573608e-7</v>
      </c>
      <c r="BF5" s="12">
        <v>-7.7044365632313e-7</v>
      </c>
      <c r="BG5" s="12">
        <v>3.1030502239323e-6</v>
      </c>
      <c r="BH5" s="12">
        <v>-2.9340764190712e-8</v>
      </c>
      <c r="BI5" s="12">
        <v>-3.2173849938828e-8</v>
      </c>
      <c r="BJ5" s="11">
        <v>0.61064964569307</v>
      </c>
      <c r="BK5" s="11">
        <v>0.66548521808432</v>
      </c>
      <c r="BL5" s="7"/>
    </row>
    <row r="6" spans="1:64">
      <c r="A6" s="11">
        <v>4.4562546906687</v>
      </c>
      <c r="B6" s="12">
        <v>1.0538326592593e-9</v>
      </c>
      <c r="C6" s="12">
        <f t="shared" ref="C6:C32" si="0">(B6-B5)/(A6-A5)</f>
        <v>3.11320714060909e-10</v>
      </c>
      <c r="D6" s="12">
        <v>3.2572794790376e-11</v>
      </c>
      <c r="E6" s="12">
        <v>3.2173501759821e-11</v>
      </c>
      <c r="F6" s="12">
        <v>3.2173501759822e-11</v>
      </c>
      <c r="G6" s="12">
        <v>3.217350175982e-11</v>
      </c>
      <c r="H6" s="12">
        <v>3.2572794790382e-11</v>
      </c>
      <c r="I6" s="12">
        <v>3.257279479038e-11</v>
      </c>
      <c r="J6" s="12">
        <v>3.2572794790377e-11</v>
      </c>
      <c r="K6" s="12">
        <v>3.3169819454961e-11</v>
      </c>
      <c r="L6" s="12">
        <v>3.3169819454956e-11</v>
      </c>
      <c r="M6" s="12">
        <v>3.3169819454959e-11</v>
      </c>
      <c r="N6" s="12">
        <v>2.2365197202464e-11</v>
      </c>
      <c r="O6" s="12">
        <v>3.2572794790383e-11</v>
      </c>
      <c r="P6" s="12">
        <v>2.2365197202463e-11</v>
      </c>
      <c r="Q6" s="12">
        <v>2.2365197202465e-11</v>
      </c>
      <c r="R6" s="12">
        <v>3.2173501759823e-11</v>
      </c>
      <c r="S6" s="12">
        <v>3.2173501759821e-11</v>
      </c>
      <c r="T6" s="12">
        <v>3.2173501759821e-11</v>
      </c>
      <c r="U6" s="12">
        <v>3.2572794790378e-11</v>
      </c>
      <c r="V6" s="12">
        <v>3.3169819454956e-11</v>
      </c>
      <c r="W6" s="12">
        <v>3.3169819454958e-11</v>
      </c>
      <c r="X6" s="12">
        <v>3.3169819454961e-11</v>
      </c>
      <c r="Y6" s="12">
        <v>2.2365197202462e-11</v>
      </c>
      <c r="Z6" s="12">
        <v>2.2365197202464e-11</v>
      </c>
      <c r="AA6" s="12">
        <v>2.2365197202464e-11</v>
      </c>
      <c r="AB6" s="11">
        <v>0.99999999625748</v>
      </c>
      <c r="AC6" s="11">
        <v>0.99999776614631</v>
      </c>
      <c r="AD6" s="12">
        <v>9.0754388801165e-6</v>
      </c>
      <c r="AE6" s="12">
        <v>3.9366717679462e-17</v>
      </c>
      <c r="AF6" s="12">
        <v>9.3390278158603e-18</v>
      </c>
      <c r="AG6" s="12">
        <v>-3.4266654767356e-17</v>
      </c>
      <c r="AH6" s="12">
        <v>2.5116171807303e-17</v>
      </c>
      <c r="AI6" s="12">
        <v>-4.8354815318592e-17</v>
      </c>
      <c r="AJ6" s="12">
        <v>-2.7748694994805e-17</v>
      </c>
      <c r="AK6" s="12">
        <v>4.0894134375342e-17</v>
      </c>
      <c r="AL6" s="12">
        <v>-3.9514774581365e-17</v>
      </c>
      <c r="AM6" s="12">
        <v>3.6165959833971e-17</v>
      </c>
      <c r="AN6" s="12">
        <v>-1.4857042632311e-17</v>
      </c>
      <c r="AO6" s="12">
        <v>-5.5021728487697e-18</v>
      </c>
      <c r="AP6" s="12">
        <v>1.2469713296903e-17</v>
      </c>
      <c r="AQ6" s="12">
        <v>-3.8274870394623e-18</v>
      </c>
      <c r="AR6" s="12">
        <v>-1.3938984847289e-17</v>
      </c>
      <c r="AS6" s="12">
        <v>-3.3304318231159e-17</v>
      </c>
      <c r="AT6" s="12">
        <v>-1.8350392370852e-17</v>
      </c>
      <c r="AU6" s="12">
        <v>2.4331719097904e-17</v>
      </c>
      <c r="AV6" s="12">
        <v>-5.118376630795e-17</v>
      </c>
      <c r="AW6" s="12">
        <v>2.8690485992701e-17</v>
      </c>
      <c r="AX6" s="12">
        <v>-4.431922171387e-17</v>
      </c>
      <c r="AY6" s="12">
        <v>1.2956422287811e-17</v>
      </c>
      <c r="AZ6" s="12">
        <v>-1.2463735096625e-18</v>
      </c>
      <c r="BA6" s="12">
        <v>4.5058418677285e-18</v>
      </c>
      <c r="BB6" s="12">
        <v>-4.0421807578113e-18</v>
      </c>
      <c r="BC6" s="11">
        <v>15999999.769054</v>
      </c>
      <c r="BD6" s="11">
        <v>3999999.8583479</v>
      </c>
      <c r="BE6" s="12">
        <v>-2.731259310231e-6</v>
      </c>
      <c r="BF6" s="12">
        <v>-2.4361897242784e-6</v>
      </c>
      <c r="BG6" s="12">
        <v>9.8132135037699e-6</v>
      </c>
      <c r="BH6" s="12">
        <v>-2.9320489418826e-7</v>
      </c>
      <c r="BI6" s="12">
        <v>-3.2152346296964e-7</v>
      </c>
      <c r="BJ6" s="11">
        <v>1.9310438055418</v>
      </c>
      <c r="BK6" s="11">
        <v>2.1044305849255</v>
      </c>
      <c r="BL6" s="7"/>
    </row>
    <row r="7" spans="1:64">
      <c r="A7" s="11">
        <v>14.091914656322</v>
      </c>
      <c r="B7" s="12">
        <v>1.0553840958875e-8</v>
      </c>
      <c r="C7" s="12">
        <f t="shared" si="0"/>
        <v>9.85921912300648e-10</v>
      </c>
      <c r="D7" s="12">
        <v>1.0317596967718e-10</v>
      </c>
      <c r="E7" s="12">
        <v>1.0191662745477e-10</v>
      </c>
      <c r="F7" s="12">
        <v>1.0191662745484e-10</v>
      </c>
      <c r="G7" s="12">
        <v>1.0191662745466e-10</v>
      </c>
      <c r="H7" s="12">
        <v>1.0317596967756e-10</v>
      </c>
      <c r="I7" s="12">
        <v>1.0317596967746e-10</v>
      </c>
      <c r="J7" s="12">
        <v>1.031759696771e-10</v>
      </c>
      <c r="K7" s="12">
        <v>1.0508822785849e-10</v>
      </c>
      <c r="L7" s="12">
        <v>1.0508822785822e-10</v>
      </c>
      <c r="M7" s="12">
        <v>1.0508822785834e-10</v>
      </c>
      <c r="N7" s="12">
        <v>7.0837541011727e-11</v>
      </c>
      <c r="O7" s="12">
        <v>1.0317596967763e-10</v>
      </c>
      <c r="P7" s="12">
        <v>7.0837541011686e-11</v>
      </c>
      <c r="Q7" s="12">
        <v>7.0837541011852e-11</v>
      </c>
      <c r="R7" s="12">
        <v>1.0191662745487e-10</v>
      </c>
      <c r="S7" s="12">
        <v>1.0191662745468e-10</v>
      </c>
      <c r="T7" s="12">
        <v>1.0191662745476e-10</v>
      </c>
      <c r="U7" s="12">
        <v>1.0317596967727e-10</v>
      </c>
      <c r="V7" s="12">
        <v>1.050882278582e-10</v>
      </c>
      <c r="W7" s="12">
        <v>1.0508822785836e-10</v>
      </c>
      <c r="X7" s="12">
        <v>1.0508822785848e-10</v>
      </c>
      <c r="Y7" s="12">
        <v>7.0837541011654e-11</v>
      </c>
      <c r="Z7" s="12">
        <v>7.0837541011819e-11</v>
      </c>
      <c r="AA7" s="12">
        <v>7.0837541011774e-11</v>
      </c>
      <c r="AB7" s="11">
        <v>0.99999999167097</v>
      </c>
      <c r="AC7" s="11">
        <v>0.99999399765725</v>
      </c>
      <c r="AD7" s="12">
        <v>2.8702583189879e-5</v>
      </c>
      <c r="AE7" s="12">
        <v>4.1726656620777e-16</v>
      </c>
      <c r="AF7" s="12">
        <v>1.9129506248257e-16</v>
      </c>
      <c r="AG7" s="12">
        <v>-2.1670013730006e-16</v>
      </c>
      <c r="AH7" s="12">
        <v>1.6844670544427e-16</v>
      </c>
      <c r="AI7" s="12">
        <v>-8.6557640126786e-16</v>
      </c>
      <c r="AJ7" s="12">
        <v>-5.2446897037865e-16</v>
      </c>
      <c r="AK7" s="12">
        <v>1.3114278541861e-16</v>
      </c>
      <c r="AL7" s="12">
        <v>-4.5007321166318e-16</v>
      </c>
      <c r="AM7" s="12">
        <v>3.1120843523708e-17</v>
      </c>
      <c r="AN7" s="12">
        <v>-2.8722484654955e-16</v>
      </c>
      <c r="AO7" s="12">
        <v>-2.7574036028236e-16</v>
      </c>
      <c r="AP7" s="12">
        <v>2.3960156735791e-16</v>
      </c>
      <c r="AQ7" s="12">
        <v>-2.6970676505298e-16</v>
      </c>
      <c r="AR7" s="12">
        <v>-3.43275569988e-16</v>
      </c>
      <c r="AS7" s="12">
        <v>-5.9807343480181e-16</v>
      </c>
      <c r="AT7" s="12">
        <v>-3.4164747433817e-16</v>
      </c>
      <c r="AU7" s="12">
        <v>-1.346484579021e-16</v>
      </c>
      <c r="AV7" s="12">
        <v>-5.1933338984475e-16</v>
      </c>
      <c r="AW7" s="12">
        <v>1.5863743130226e-16</v>
      </c>
      <c r="AX7" s="12">
        <v>-3.0295155622121e-16</v>
      </c>
      <c r="AY7" s="12">
        <v>6.4766906794723e-17</v>
      </c>
      <c r="AZ7" s="12">
        <v>-3.7545759039848e-18</v>
      </c>
      <c r="BA7" s="12">
        <v>3.640781671785e-17</v>
      </c>
      <c r="BB7" s="12">
        <v>-4.1998114939816e-17</v>
      </c>
      <c r="BC7" s="11">
        <v>15999998.163374</v>
      </c>
      <c r="BD7" s="11">
        <v>3999998.5816169</v>
      </c>
      <c r="BE7" s="12">
        <v>-8.6355296561545e-6</v>
      </c>
      <c r="BF7" s="12">
        <v>-7.7022378603951e-6</v>
      </c>
      <c r="BG7" s="12">
        <v>3.1037191991652e-5</v>
      </c>
      <c r="BH7" s="12">
        <v>-2.925130894022e-6</v>
      </c>
      <c r="BI7" s="12">
        <v>-3.2083574935508e-6</v>
      </c>
      <c r="BJ7" s="11">
        <v>6.1064974264744</v>
      </c>
      <c r="BK7" s="11">
        <v>6.6546092264787</v>
      </c>
      <c r="BL7" s="7"/>
    </row>
    <row r="8" spans="1:64">
      <c r="A8" s="11">
        <v>44.562546906687</v>
      </c>
      <c r="B8" s="12">
        <v>1.0599618539415e-7</v>
      </c>
      <c r="C8" s="12">
        <f t="shared" si="0"/>
        <v>3.13227318852669e-9</v>
      </c>
      <c r="D8" s="12">
        <v>3.2799688364427e-10</v>
      </c>
      <c r="E8" s="12">
        <v>3.240482104938e-10</v>
      </c>
      <c r="F8" s="12">
        <v>3.240482105143e-10</v>
      </c>
      <c r="G8" s="12">
        <v>3.2404821044744e-10</v>
      </c>
      <c r="H8" s="12">
        <v>3.2799688377612e-10</v>
      </c>
      <c r="I8" s="12">
        <v>3.2799688374681e-10</v>
      </c>
      <c r="J8" s="12">
        <v>3.2799688358173e-10</v>
      </c>
      <c r="K8" s="12">
        <v>3.342889213023e-10</v>
      </c>
      <c r="L8" s="12">
        <v>3.3428892124574e-10</v>
      </c>
      <c r="M8" s="12">
        <v>3.3428892125777e-10</v>
      </c>
      <c r="N8" s="12">
        <v>2.2513936726263e-10</v>
      </c>
      <c r="O8" s="12">
        <v>3.2799688378635e-10</v>
      </c>
      <c r="P8" s="12">
        <v>2.2513936725499e-10</v>
      </c>
      <c r="Q8" s="12">
        <v>2.251393673202e-10</v>
      </c>
      <c r="R8" s="12">
        <v>3.2404821054402e-10</v>
      </c>
      <c r="S8" s="12">
        <v>3.240482104412e-10</v>
      </c>
      <c r="T8" s="12">
        <v>3.2404821048263e-10</v>
      </c>
      <c r="U8" s="12">
        <v>3.2799688365532e-10</v>
      </c>
      <c r="V8" s="12">
        <v>3.3428892123223e-10</v>
      </c>
      <c r="W8" s="12">
        <v>3.3428892127981e-10</v>
      </c>
      <c r="X8" s="12">
        <v>3.3428892128751e-10</v>
      </c>
      <c r="Y8" s="12">
        <v>2.2513936724847e-10</v>
      </c>
      <c r="Z8" s="12">
        <v>2.2513936730862e-10</v>
      </c>
      <c r="AA8" s="12">
        <v>2.2513936727363e-10</v>
      </c>
      <c r="AB8" s="11">
        <v>0.9999998921833</v>
      </c>
      <c r="AC8" s="11">
        <v>0.99989923944052</v>
      </c>
      <c r="AD8" s="12">
        <v>9.0801256236093e-5</v>
      </c>
      <c r="AE8" s="12">
        <v>2.3540510669264e-14</v>
      </c>
      <c r="AF8" s="12">
        <v>1.5903603685384e-14</v>
      </c>
      <c r="AG8" s="12">
        <v>-9.5693889971472e-15</v>
      </c>
      <c r="AH8" s="12">
        <v>4.341976838508e-15</v>
      </c>
      <c r="AI8" s="12">
        <v>-7.6733029341981e-14</v>
      </c>
      <c r="AJ8" s="12">
        <v>-4.6794628035192e-14</v>
      </c>
      <c r="AK8" s="12">
        <v>-3.2337990104955e-15</v>
      </c>
      <c r="AL8" s="12">
        <v>-3.0125371389959e-14</v>
      </c>
      <c r="AM8" s="12">
        <v>-1.4332827575043e-14</v>
      </c>
      <c r="AN8" s="12">
        <v>-1.9350039666171e-14</v>
      </c>
      <c r="AO8" s="12">
        <v>-2.6969568600569e-14</v>
      </c>
      <c r="AP8" s="12">
        <v>1.8941137185359e-14</v>
      </c>
      <c r="AQ8" s="12">
        <v>-2.1791315125614e-14</v>
      </c>
      <c r="AR8" s="12">
        <v>-2.9780010756956e-14</v>
      </c>
      <c r="AS8" s="12">
        <v>-4.8994526802403e-14</v>
      </c>
      <c r="AT8" s="12">
        <v>-2.2447723633712e-14</v>
      </c>
      <c r="AU8" s="12">
        <v>-2.2446475833176e-14</v>
      </c>
      <c r="AV8" s="12">
        <v>-3.1037865414383e-14</v>
      </c>
      <c r="AW8" s="12">
        <v>1.6616736282376e-15</v>
      </c>
      <c r="AX8" s="12">
        <v>-9.9945602288068e-15</v>
      </c>
      <c r="AY8" s="12">
        <v>2.0966424633713e-15</v>
      </c>
      <c r="AZ8" s="12">
        <v>-4.5242092119226e-16</v>
      </c>
      <c r="BA8" s="12">
        <v>2.0028805105958e-15</v>
      </c>
      <c r="BB8" s="12">
        <v>-1.668146856876e-15</v>
      </c>
      <c r="BC8" s="11">
        <v>15999985.368547</v>
      </c>
      <c r="BD8" s="11">
        <v>3999985.7649931</v>
      </c>
      <c r="BE8" s="12">
        <v>-2.7293236141546e-5</v>
      </c>
      <c r="BF8" s="12">
        <v>-2.4339894532363e-5</v>
      </c>
      <c r="BG8" s="12">
        <v>9.8199667014327e-5</v>
      </c>
      <c r="BH8" s="12">
        <v>-2.9027533637611e-5</v>
      </c>
      <c r="BI8" s="12">
        <v>-3.1861093719549e-5</v>
      </c>
      <c r="BJ8" s="11">
        <v>19.310448166988</v>
      </c>
      <c r="BK8" s="11">
        <v>21.041872985929</v>
      </c>
      <c r="BL8" s="7"/>
    </row>
    <row r="9" spans="1:64">
      <c r="A9" s="11">
        <v>140.91914656322</v>
      </c>
      <c r="B9" s="12">
        <v>1.0787959496684e-6</v>
      </c>
      <c r="C9" s="12">
        <f t="shared" si="0"/>
        <v>1.00958291154092e-8</v>
      </c>
      <c r="D9" s="12">
        <v>1.049453773458e-9</v>
      </c>
      <c r="E9" s="12">
        <v>1.0387198077234e-9</v>
      </c>
      <c r="F9" s="12">
        <v>1.0387199029734e-9</v>
      </c>
      <c r="G9" s="12">
        <v>1.0387196208098e-9</v>
      </c>
      <c r="H9" s="12">
        <v>1.04945437843e-9</v>
      </c>
      <c r="I9" s="12">
        <v>1.0494543242782e-9</v>
      </c>
      <c r="J9" s="12">
        <v>1.049453469533e-9</v>
      </c>
      <c r="K9" s="12">
        <v>1.0722812095088e-9</v>
      </c>
      <c r="L9" s="12">
        <v>1.0722810430752e-9</v>
      </c>
      <c r="M9" s="12">
        <v>1.0722810412609e-9</v>
      </c>
      <c r="N9" s="12">
        <v>7.2218309632447e-10</v>
      </c>
      <c r="O9" s="12">
        <v>1.0494542512525e-9</v>
      </c>
      <c r="P9" s="12">
        <v>7.2218312724894e-10</v>
      </c>
      <c r="Q9" s="12">
        <v>7.2218353805714e-10</v>
      </c>
      <c r="R9" s="12">
        <v>1.0387201336425e-9</v>
      </c>
      <c r="S9" s="12">
        <v>1.0387195958564e-9</v>
      </c>
      <c r="T9" s="12">
        <v>1.0387198987321e-9</v>
      </c>
      <c r="U9" s="12">
        <v>1.0494536958608e-9</v>
      </c>
      <c r="V9" s="12">
        <v>1.0722809532208e-9</v>
      </c>
      <c r="W9" s="12">
        <v>1.0722810485693e-9</v>
      </c>
      <c r="X9" s="12">
        <v>1.0722810875054e-9</v>
      </c>
      <c r="Y9" s="12">
        <v>7.2218304245947e-10</v>
      </c>
      <c r="Z9" s="12">
        <v>7.2218334497274e-10</v>
      </c>
      <c r="AA9" s="12">
        <v>7.2218313161045e-10</v>
      </c>
      <c r="AB9" s="11">
        <v>0.99997602068853</v>
      </c>
      <c r="AC9" s="11">
        <v>0.97330737482498</v>
      </c>
      <c r="AD9" s="11">
        <v>0.00028752026757295</v>
      </c>
      <c r="AE9" s="12">
        <v>1.9293562480051e-11</v>
      </c>
      <c r="AF9" s="12">
        <v>1.3678390670021e-11</v>
      </c>
      <c r="AG9" s="12">
        <v>-3.4990156036568e-12</v>
      </c>
      <c r="AH9" s="12">
        <v>-1.018490296396e-12</v>
      </c>
      <c r="AI9" s="12">
        <v>-8.5846608110177e-11</v>
      </c>
      <c r="AJ9" s="12">
        <v>-5.5121815983604e-11</v>
      </c>
      <c r="AK9" s="12">
        <v>-6.6803035019698e-12</v>
      </c>
      <c r="AL9" s="12">
        <v>-3.1166886777861e-11</v>
      </c>
      <c r="AM9" s="12">
        <v>-2.2459548757467e-11</v>
      </c>
      <c r="AN9" s="12">
        <v>-1.7691116309545e-11</v>
      </c>
      <c r="AO9" s="12">
        <v>-3.0097536654021e-11</v>
      </c>
      <c r="AP9" s="12">
        <v>2.0017914709934e-11</v>
      </c>
      <c r="AQ9" s="12">
        <v>-2.149693507633e-11</v>
      </c>
      <c r="AR9" s="12">
        <v>-3.5815314735117e-11</v>
      </c>
      <c r="AS9" s="12">
        <v>-4.9028695165493e-11</v>
      </c>
      <c r="AT9" s="12">
        <v>-1.6902788192769e-11</v>
      </c>
      <c r="AU9" s="12">
        <v>-2.9226814692394e-11</v>
      </c>
      <c r="AV9" s="12">
        <v>-2.1746034627512e-11</v>
      </c>
      <c r="AW9" s="12">
        <v>-4.0473010496827e-12</v>
      </c>
      <c r="AX9" s="12">
        <v>-3.5250834754543e-12</v>
      </c>
      <c r="AY9" s="12">
        <v>5.3744282145102e-13</v>
      </c>
      <c r="AZ9" s="12">
        <v>-1.2668254235883e-12</v>
      </c>
      <c r="BA9" s="12">
        <v>2.657929376463e-12</v>
      </c>
      <c r="BB9" s="12">
        <v>-6.9833866908421e-13</v>
      </c>
      <c r="BC9" s="11">
        <v>15999882.690892</v>
      </c>
      <c r="BD9" s="11">
        <v>3999863.1545619</v>
      </c>
      <c r="BE9" s="12">
        <v>-8.6166636257283e-5</v>
      </c>
      <c r="BF9" s="12">
        <v>-7.6806390248918e-5</v>
      </c>
      <c r="BG9" s="11">
        <v>0.00031107679747492</v>
      </c>
      <c r="BH9" s="11">
        <v>-0.00028232434498262</v>
      </c>
      <c r="BI9" s="11">
        <v>-0.00031077209060434</v>
      </c>
      <c r="BJ9" s="11">
        <v>61.065090323111</v>
      </c>
      <c r="BK9" s="11">
        <v>66.52171357494</v>
      </c>
      <c r="BL9" s="7"/>
    </row>
    <row r="10" spans="1:64">
      <c r="A10" s="11">
        <v>445.62546906687</v>
      </c>
      <c r="B10" s="12">
        <v>6.6545542144521e-6</v>
      </c>
      <c r="C10" s="12">
        <f t="shared" si="0"/>
        <v>1.8298794127309e-8</v>
      </c>
      <c r="D10" s="12">
        <v>1.2644972616811e-9</v>
      </c>
      <c r="E10" s="12">
        <v>1.2501270795944e-9</v>
      </c>
      <c r="F10" s="12">
        <v>1.2501316433404e-9</v>
      </c>
      <c r="G10" s="12">
        <v>1.2500831281699e-9</v>
      </c>
      <c r="H10" s="12">
        <v>1.2646735719498e-9</v>
      </c>
      <c r="I10" s="12">
        <v>1.2646294678505e-9</v>
      </c>
      <c r="J10" s="12">
        <v>1.2644498132736e-9</v>
      </c>
      <c r="K10" s="12">
        <v>1.2919843289781e-9</v>
      </c>
      <c r="L10" s="12">
        <v>1.2919711834503e-9</v>
      </c>
      <c r="M10" s="12">
        <v>1.2919468051955e-9</v>
      </c>
      <c r="N10" s="12">
        <v>8.6705875697211e-10</v>
      </c>
      <c r="O10" s="12">
        <v>1.2646014443276e-9</v>
      </c>
      <c r="P10" s="12">
        <v>8.6705263698218e-10</v>
      </c>
      <c r="Q10" s="12">
        <v>8.6711298912097e-10</v>
      </c>
      <c r="R10" s="12">
        <v>1.2502200915964e-9</v>
      </c>
      <c r="S10" s="12">
        <v>1.2500878017073e-9</v>
      </c>
      <c r="T10" s="12">
        <v>1.2501191229994e-9</v>
      </c>
      <c r="U10" s="12">
        <v>1.2645040512876e-9</v>
      </c>
      <c r="V10" s="12">
        <v>1.2919377443689e-9</v>
      </c>
      <c r="W10" s="12">
        <v>1.2919651970144e-9</v>
      </c>
      <c r="X10" s="12">
        <v>1.2919515447753e-9</v>
      </c>
      <c r="Y10" s="12">
        <v>8.6703949875716e-10</v>
      </c>
      <c r="Z10" s="12">
        <v>8.6708662240816e-10</v>
      </c>
      <c r="AA10" s="12">
        <v>8.670481348717e-10</v>
      </c>
      <c r="AB10" s="11">
        <v>0.99721879757232</v>
      </c>
      <c r="AC10" s="11">
        <v>0.9029917571052</v>
      </c>
      <c r="AD10" s="11">
        <v>0.00031140083439889</v>
      </c>
      <c r="AE10" s="12">
        <v>8.920591186128e-11</v>
      </c>
      <c r="AF10" s="12">
        <v>8.5529664588227e-11</v>
      </c>
      <c r="AG10" s="12">
        <v>-3.7442078751577e-11</v>
      </c>
      <c r="AH10" s="12">
        <v>2.4877084280985e-12</v>
      </c>
      <c r="AI10" s="12">
        <v>-5.4039102636615e-10</v>
      </c>
      <c r="AJ10" s="12">
        <v>-3.134922176347e-10</v>
      </c>
      <c r="AK10" s="12">
        <v>-2.8499065075618e-11</v>
      </c>
      <c r="AL10" s="12">
        <v>-1.6543599839566e-10</v>
      </c>
      <c r="AM10" s="12">
        <v>-1.202015463093e-10</v>
      </c>
      <c r="AN10" s="12">
        <v>-7.4153221881193e-11</v>
      </c>
      <c r="AO10" s="12">
        <v>-1.4851037229269e-10</v>
      </c>
      <c r="AP10" s="12">
        <v>9.3440602324395e-11</v>
      </c>
      <c r="AQ10" s="12">
        <v>-9.3884383336299e-11</v>
      </c>
      <c r="AR10" s="12">
        <v>-1.6761961892666e-10</v>
      </c>
      <c r="AS10" s="12">
        <v>-3.0136009542409e-10</v>
      </c>
      <c r="AT10" s="12">
        <v>-7.9483529381107e-11</v>
      </c>
      <c r="AU10" s="12">
        <v>-1.2156093413412e-10</v>
      </c>
      <c r="AV10" s="12">
        <v>-1.3984394001344e-10</v>
      </c>
      <c r="AW10" s="12">
        <v>-1.9849490079311e-11</v>
      </c>
      <c r="AX10" s="12">
        <v>-1.5421549822548e-11</v>
      </c>
      <c r="AY10" s="12">
        <v>7.2361394160771e-12</v>
      </c>
      <c r="AZ10" s="12">
        <v>-4.7224829388292e-12</v>
      </c>
      <c r="BA10" s="12">
        <v>1.7715484972075e-11</v>
      </c>
      <c r="BB10" s="12">
        <v>-1.6178379624238e-12</v>
      </c>
      <c r="BC10" s="11">
        <v>15999378.427085</v>
      </c>
      <c r="BD10" s="11">
        <v>3999525.8017067</v>
      </c>
      <c r="BE10" s="12">
        <v>-9.1242707541721e-5</v>
      </c>
      <c r="BF10" s="12">
        <v>-8.1099235260466e-5</v>
      </c>
      <c r="BG10" s="11">
        <v>0.00033831545214815</v>
      </c>
      <c r="BH10" s="11">
        <v>-0.00033055759189745</v>
      </c>
      <c r="BI10" s="11">
        <v>-0.00036345607023228</v>
      </c>
      <c r="BJ10" s="11">
        <v>65.000150461727</v>
      </c>
      <c r="BK10" s="11">
        <v>70.742918309481</v>
      </c>
      <c r="BL10" s="7"/>
    </row>
    <row r="11" spans="1:64">
      <c r="A11" s="11">
        <v>1409.1914656322</v>
      </c>
      <c r="B11" s="12">
        <v>2.4303656253605e-5</v>
      </c>
      <c r="C11" s="12">
        <f t="shared" si="0"/>
        <v>1.83164434009334e-8</v>
      </c>
      <c r="D11" s="12">
        <v>1.2611829729477e-9</v>
      </c>
      <c r="E11" s="12">
        <v>1.2468631731535e-9</v>
      </c>
      <c r="F11" s="12">
        <v>1.2468863284742e-9</v>
      </c>
      <c r="G11" s="12">
        <v>1.2466743602545e-9</v>
      </c>
      <c r="H11" s="12">
        <v>1.2619308635446e-9</v>
      </c>
      <c r="I11" s="12">
        <v>1.2617418325676e-9</v>
      </c>
      <c r="J11" s="12">
        <v>1.2609819380815e-9</v>
      </c>
      <c r="K11" s="12">
        <v>1.2882122963949e-9</v>
      </c>
      <c r="L11" s="12">
        <v>1.2881504329902e-9</v>
      </c>
      <c r="M11" s="12">
        <v>1.2880506615676e-9</v>
      </c>
      <c r="N11" s="12">
        <v>8.6464817427206e-10</v>
      </c>
      <c r="O11" s="12">
        <v>1.2616252243437e-9</v>
      </c>
      <c r="P11" s="12">
        <v>8.6462796058833e-10</v>
      </c>
      <c r="Q11" s="12">
        <v>8.6489009085826e-10</v>
      </c>
      <c r="R11" s="12">
        <v>1.2472679789804e-9</v>
      </c>
      <c r="S11" s="12">
        <v>1.2466942743639e-9</v>
      </c>
      <c r="T11" s="12">
        <v>1.2468348310985e-9</v>
      </c>
      <c r="U11" s="12">
        <v>1.2612112919724e-9</v>
      </c>
      <c r="V11" s="12">
        <v>1.288009289742e-9</v>
      </c>
      <c r="W11" s="12">
        <v>1.2881286514537e-9</v>
      </c>
      <c r="X11" s="12">
        <v>1.2880717150451e-9</v>
      </c>
      <c r="Y11" s="12">
        <v>8.6456884255133e-10</v>
      </c>
      <c r="Z11" s="12">
        <v>8.6477106824551e-10</v>
      </c>
      <c r="AA11" s="12">
        <v>8.6460906808555e-10</v>
      </c>
      <c r="AB11" s="11">
        <v>0.99901939900963</v>
      </c>
      <c r="AC11" s="11">
        <v>0.90358402759065</v>
      </c>
      <c r="AD11" s="11">
        <v>0.00032884790249279</v>
      </c>
      <c r="AE11" s="12">
        <v>8.7117047420607e-11</v>
      </c>
      <c r="AF11" s="12">
        <v>8.2435621020586e-11</v>
      </c>
      <c r="AG11" s="12">
        <v>-3.3982920143048e-11</v>
      </c>
      <c r="AH11" s="12">
        <v>1.1448697895737e-12</v>
      </c>
      <c r="AI11" s="12">
        <v>-5.1193366681695e-10</v>
      </c>
      <c r="AJ11" s="12">
        <v>-2.971065785701e-10</v>
      </c>
      <c r="AK11" s="12">
        <v>-2.7380666115823e-11</v>
      </c>
      <c r="AL11" s="12">
        <v>-1.5708013421785e-10</v>
      </c>
      <c r="AM11" s="12">
        <v>-1.1322726435794e-10</v>
      </c>
      <c r="AN11" s="12">
        <v>-7.2235407496911e-11</v>
      </c>
      <c r="AO11" s="12">
        <v>-1.3839825610094e-10</v>
      </c>
      <c r="AP11" s="12">
        <v>9.1939336341044e-11</v>
      </c>
      <c r="AQ11" s="12">
        <v>-9.0462287530921e-11</v>
      </c>
      <c r="AR11" s="12">
        <v>-1.6500684651863e-10</v>
      </c>
      <c r="AS11" s="12">
        <v>-2.9139260609947e-10</v>
      </c>
      <c r="AT11" s="12">
        <v>-7.6454126874669e-11</v>
      </c>
      <c r="AU11" s="12">
        <v>-1.2175055056987e-10</v>
      </c>
      <c r="AV11" s="12">
        <v>-1.3225768662943e-10</v>
      </c>
      <c r="AW11" s="12">
        <v>-1.8999070697449e-11</v>
      </c>
      <c r="AX11" s="12">
        <v>-1.6523589702621e-11</v>
      </c>
      <c r="AY11" s="12">
        <v>5.1994855880265e-12</v>
      </c>
      <c r="AZ11" s="12">
        <v>-4.7487904619265e-12</v>
      </c>
      <c r="BA11" s="12">
        <v>1.9898268598722e-11</v>
      </c>
      <c r="BB11" s="12">
        <v>-2.5254152167875e-12</v>
      </c>
      <c r="BC11" s="11">
        <v>15997780.384934</v>
      </c>
      <c r="BD11" s="11">
        <v>3998449.1425845</v>
      </c>
      <c r="BE11" s="12">
        <v>-8.9692982159296e-5</v>
      </c>
      <c r="BF11" s="12">
        <v>-7.8972677748145e-5</v>
      </c>
      <c r="BG11" s="11">
        <v>0.00036160504856796</v>
      </c>
      <c r="BH11" s="11">
        <v>-0.00033541570578914</v>
      </c>
      <c r="BI11" s="11">
        <v>-0.00037082396533267</v>
      </c>
      <c r="BJ11" s="11">
        <v>65.000231816235</v>
      </c>
      <c r="BK11" s="11">
        <v>70.541861003097</v>
      </c>
      <c r="BL11" s="7"/>
    </row>
    <row r="12" spans="1:64">
      <c r="A12" s="11">
        <v>4456.2546906687</v>
      </c>
      <c r="B12" s="12">
        <v>7.9449908787753e-5</v>
      </c>
      <c r="C12" s="12">
        <f t="shared" si="0"/>
        <v>1.80981648431294e-8</v>
      </c>
      <c r="D12" s="12">
        <v>1.2513392621204e-9</v>
      </c>
      <c r="E12" s="12">
        <v>1.236857553218e-9</v>
      </c>
      <c r="F12" s="12">
        <v>1.2369735413228e-9</v>
      </c>
      <c r="G12" s="12">
        <v>1.2362409240516e-9</v>
      </c>
      <c r="H12" s="12">
        <v>1.253736802027e-9</v>
      </c>
      <c r="I12" s="12">
        <v>1.2530964393374e-9</v>
      </c>
      <c r="J12" s="12">
        <v>1.2506980809434e-9</v>
      </c>
      <c r="K12" s="12">
        <v>1.2770297519882e-9</v>
      </c>
      <c r="L12" s="12">
        <v>1.276776601748e-9</v>
      </c>
      <c r="M12" s="12">
        <v>1.2764960664085e-9</v>
      </c>
      <c r="N12" s="12">
        <v>8.5778400495424e-10</v>
      </c>
      <c r="O12" s="12">
        <v>1.2527654517791e-9</v>
      </c>
      <c r="P12" s="12">
        <v>8.5776701040396e-10</v>
      </c>
      <c r="Q12" s="12">
        <v>8.5866012238142e-10</v>
      </c>
      <c r="R12" s="12">
        <v>1.2382198644655e-9</v>
      </c>
      <c r="S12" s="12">
        <v>1.2362991717462e-9</v>
      </c>
      <c r="T12" s="12">
        <v>1.2368282649466e-9</v>
      </c>
      <c r="U12" s="12">
        <v>1.2514308600859e-9</v>
      </c>
      <c r="V12" s="12">
        <v>1.276336407774e-9</v>
      </c>
      <c r="W12" s="12">
        <v>1.2767454022899e-9</v>
      </c>
      <c r="X12" s="12">
        <v>1.2765733704379e-9</v>
      </c>
      <c r="Y12" s="12">
        <v>8.5755033736853e-10</v>
      </c>
      <c r="Z12" s="12">
        <v>8.5822290632154e-10</v>
      </c>
      <c r="AA12" s="12">
        <v>8.5771282440353e-10</v>
      </c>
      <c r="AB12" s="11">
        <v>0.99969382042639</v>
      </c>
      <c r="AC12" s="11">
        <v>0.90433964633759</v>
      </c>
      <c r="AD12" s="11">
        <v>0.00038383160601572</v>
      </c>
      <c r="AE12" s="12">
        <v>8.2990498910702e-11</v>
      </c>
      <c r="AF12" s="12">
        <v>7.4813416389506e-11</v>
      </c>
      <c r="AG12" s="12">
        <v>-2.4822509878064e-11</v>
      </c>
      <c r="AH12" s="12">
        <v>-1.5301417754064e-12</v>
      </c>
      <c r="AI12" s="12">
        <v>-4.5721700841173e-10</v>
      </c>
      <c r="AJ12" s="12">
        <v>-2.6316601018858e-10</v>
      </c>
      <c r="AK12" s="12">
        <v>-2.5194741664266e-11</v>
      </c>
      <c r="AL12" s="12">
        <v>-1.396133513889e-10</v>
      </c>
      <c r="AM12" s="12">
        <v>-9.7902725940919e-11</v>
      </c>
      <c r="AN12" s="12">
        <v>-6.8718965808301e-11</v>
      </c>
      <c r="AO12" s="12">
        <v>-1.167993447824e-10</v>
      </c>
      <c r="AP12" s="12">
        <v>9.1320788633666e-11</v>
      </c>
      <c r="AQ12" s="12">
        <v>-8.246376261341e-11</v>
      </c>
      <c r="AR12" s="12">
        <v>-1.6069567211211e-10</v>
      </c>
      <c r="AS12" s="12">
        <v>-2.6938936937771e-10</v>
      </c>
      <c r="AT12" s="12">
        <v>-6.9815724552765e-11</v>
      </c>
      <c r="AU12" s="12">
        <v>-1.2401045995594e-10</v>
      </c>
      <c r="AV12" s="12">
        <v>-1.1665897255026e-10</v>
      </c>
      <c r="AW12" s="12">
        <v>-1.7047002411807e-11</v>
      </c>
      <c r="AX12" s="12">
        <v>-2.0372962471112e-11</v>
      </c>
      <c r="AY12" s="12">
        <v>1.6029884190794e-13</v>
      </c>
      <c r="AZ12" s="12">
        <v>-4.5557024624848e-12</v>
      </c>
      <c r="BA12" s="12">
        <v>2.5344732561518e-11</v>
      </c>
      <c r="BB12" s="12">
        <v>-4.8386193143249e-12</v>
      </c>
      <c r="BC12" s="11">
        <v>15992738.144081</v>
      </c>
      <c r="BD12" s="11">
        <v>3994852.134466</v>
      </c>
      <c r="BE12" s="12">
        <v>-8.4370862423637e-5</v>
      </c>
      <c r="BF12" s="12">
        <v>-7.1884810268174e-5</v>
      </c>
      <c r="BG12" s="11">
        <v>0.00043397964050815</v>
      </c>
      <c r="BH12" s="11">
        <v>-0.00049271389112568</v>
      </c>
      <c r="BI12" s="11">
        <v>-0.00054295517254823</v>
      </c>
      <c r="BJ12" s="11">
        <v>65.000313095814</v>
      </c>
      <c r="BK12" s="11">
        <v>69.941912646658</v>
      </c>
      <c r="BL12" s="7"/>
    </row>
    <row r="13" spans="1:64">
      <c r="A13" s="11">
        <v>5610.0922715098</v>
      </c>
      <c r="B13" s="11">
        <v>0.00010008095771794</v>
      </c>
      <c r="C13" s="12">
        <f t="shared" si="0"/>
        <v>1.78803752562365e-8</v>
      </c>
      <c r="D13" s="12">
        <v>1.246037177342e-9</v>
      </c>
      <c r="E13" s="12">
        <v>1.2313753329723e-9</v>
      </c>
      <c r="F13" s="12">
        <v>1.2315641809167e-9</v>
      </c>
      <c r="G13" s="12">
        <v>1.2305382071834e-9</v>
      </c>
      <c r="H13" s="12">
        <v>1.2493024644263e-9</v>
      </c>
      <c r="I13" s="12">
        <v>1.2483929295687e-9</v>
      </c>
      <c r="J13" s="12">
        <v>1.2451726164617e-9</v>
      </c>
      <c r="K13" s="12">
        <v>1.2711168079518e-9</v>
      </c>
      <c r="L13" s="12">
        <v>1.2707399437538e-9</v>
      </c>
      <c r="M13" s="12">
        <v>1.2703861549894e-9</v>
      </c>
      <c r="N13" s="12">
        <v>8.5415592089875e-10</v>
      </c>
      <c r="O13" s="12">
        <v>1.2479821997277e-9</v>
      </c>
      <c r="P13" s="12">
        <v>8.5416216583296e-10</v>
      </c>
      <c r="Q13" s="12">
        <v>8.5540798437084e-10</v>
      </c>
      <c r="R13" s="12">
        <v>1.2332536753687e-9</v>
      </c>
      <c r="S13" s="12">
        <v>1.2306104637366e-9</v>
      </c>
      <c r="T13" s="12">
        <v>1.231384558824e-9</v>
      </c>
      <c r="U13" s="12">
        <v>1.2461685690105e-9</v>
      </c>
      <c r="V13" s="12">
        <v>1.2701512620609e-9</v>
      </c>
      <c r="W13" s="12">
        <v>1.2707252459987e-9</v>
      </c>
      <c r="X13" s="12">
        <v>1.2704969822278e-9</v>
      </c>
      <c r="Y13" s="12">
        <v>8.5385179273284e-10</v>
      </c>
      <c r="Z13" s="12">
        <v>8.5478221501879e-10</v>
      </c>
      <c r="AA13" s="12">
        <v>8.540944749323e-10</v>
      </c>
      <c r="AB13" s="11">
        <v>0.99893733595294</v>
      </c>
      <c r="AC13" s="11">
        <v>0.90427559054362</v>
      </c>
      <c r="AD13" s="11">
        <v>0.00040450756270886</v>
      </c>
      <c r="AE13" s="12">
        <v>8.1687688846643e-11</v>
      </c>
      <c r="AF13" s="12">
        <v>7.1515539550726e-11</v>
      </c>
      <c r="AG13" s="12">
        <v>-2.0696130998568e-11</v>
      </c>
      <c r="AH13" s="12">
        <v>-2.3035083263565e-12</v>
      </c>
      <c r="AI13" s="12">
        <v>-4.3882481408237e-10</v>
      </c>
      <c r="AJ13" s="12">
        <v>-2.512319964615e-10</v>
      </c>
      <c r="AK13" s="12">
        <v>-2.4536008244642e-11</v>
      </c>
      <c r="AL13" s="12">
        <v>-1.3367893408311e-10</v>
      </c>
      <c r="AM13" s="12">
        <v>-9.2167977610067e-11</v>
      </c>
      <c r="AN13" s="12">
        <v>-6.7849898592779e-11</v>
      </c>
      <c r="AO13" s="12">
        <v>-1.0842894668026e-10</v>
      </c>
      <c r="AP13" s="12">
        <v>9.1975208387806e-11</v>
      </c>
      <c r="AQ13" s="12">
        <v>-7.9283377963304e-11</v>
      </c>
      <c r="AR13" s="12">
        <v>-1.5973524288274e-10</v>
      </c>
      <c r="AS13" s="12">
        <v>-2.6110005075358e-10</v>
      </c>
      <c r="AT13" s="12">
        <v>-6.7442049174824e-11</v>
      </c>
      <c r="AU13" s="12">
        <v>-1.2566984130271e-10</v>
      </c>
      <c r="AV13" s="12">
        <v>-1.1089731314277e-10</v>
      </c>
      <c r="AW13" s="12">
        <v>-1.6310771593106e-11</v>
      </c>
      <c r="AX13" s="12">
        <v>-2.2779197068358e-11</v>
      </c>
      <c r="AY13" s="12">
        <v>-2.0902342263571e-12</v>
      </c>
      <c r="AZ13" s="12">
        <v>-4.4664117835162e-12</v>
      </c>
      <c r="BA13" s="12">
        <v>2.8072158525886e-11</v>
      </c>
      <c r="BB13" s="12">
        <v>-5.8126742556432e-12</v>
      </c>
      <c r="BC13" s="11">
        <v>15990834.999612</v>
      </c>
      <c r="BD13" s="11">
        <v>3993441.8932831</v>
      </c>
      <c r="BE13" s="12">
        <v>-8.2205212945736e-5</v>
      </c>
      <c r="BF13" s="12">
        <v>-6.9080946474792e-5</v>
      </c>
      <c r="BG13" s="11">
        <v>0.00046090788022084</v>
      </c>
      <c r="BH13" s="11">
        <v>-0.00031228461614742</v>
      </c>
      <c r="BI13" s="11">
        <v>-0.00035578075089325</v>
      </c>
      <c r="BJ13" s="11">
        <v>65.000596195845</v>
      </c>
      <c r="BK13" s="11">
        <v>69.728468920427</v>
      </c>
      <c r="BL13" s="7"/>
    </row>
    <row r="14" spans="1:64">
      <c r="A14" s="11">
        <v>7062.6877231137</v>
      </c>
      <c r="B14" s="11">
        <v>0.00012589351974826</v>
      </c>
      <c r="C14" s="12">
        <f t="shared" si="0"/>
        <v>1.77699592834459e-8</v>
      </c>
      <c r="D14" s="12">
        <v>1.2412150189001e-9</v>
      </c>
      <c r="E14" s="12">
        <v>1.2263571411708e-9</v>
      </c>
      <c r="F14" s="12">
        <v>1.2266262892222e-9</v>
      </c>
      <c r="G14" s="12">
        <v>1.2253222079328e-9</v>
      </c>
      <c r="H14" s="12">
        <v>1.2452887257097e-9</v>
      </c>
      <c r="I14" s="12">
        <v>1.2441048580217e-9</v>
      </c>
      <c r="J14" s="12">
        <v>1.2401499196602e-9</v>
      </c>
      <c r="K14" s="12">
        <v>1.2658088273684e-9</v>
      </c>
      <c r="L14" s="12">
        <v>1.2653083905186e-9</v>
      </c>
      <c r="M14" s="12">
        <v>1.2648972984672e-9</v>
      </c>
      <c r="N14" s="12">
        <v>8.50742738322e-10</v>
      </c>
      <c r="O14" s="12">
        <v>1.2436407792038e-9</v>
      </c>
      <c r="P14" s="12">
        <v>8.5077972097165e-10</v>
      </c>
      <c r="Q14" s="12">
        <v>8.5236176258845e-10</v>
      </c>
      <c r="R14" s="12">
        <v>1.2287117995792e-9</v>
      </c>
      <c r="S14" s="12">
        <v>1.2254029383922e-9</v>
      </c>
      <c r="T14" s="12">
        <v>1.2264238683011e-9</v>
      </c>
      <c r="U14" s="12">
        <v>1.2413912393954e-9</v>
      </c>
      <c r="V14" s="12">
        <v>1.2645863900046e-9</v>
      </c>
      <c r="W14" s="12">
        <v>1.2653204374903e-9</v>
      </c>
      <c r="X14" s="12">
        <v>1.2650405649186e-9</v>
      </c>
      <c r="Y14" s="12">
        <v>8.5037872893808e-10</v>
      </c>
      <c r="Z14" s="12">
        <v>8.5155335238144e-10</v>
      </c>
      <c r="AA14" s="12">
        <v>8.5070338987085e-10</v>
      </c>
      <c r="AB14" s="11">
        <v>0.99915128871187</v>
      </c>
      <c r="AC14" s="11">
        <v>0.90401108045663</v>
      </c>
      <c r="AD14" s="11">
        <v>0.00043044759826479</v>
      </c>
      <c r="AE14" s="12">
        <v>8.0848047633169e-11</v>
      </c>
      <c r="AF14" s="12">
        <v>6.8818986736312e-11</v>
      </c>
      <c r="AG14" s="12">
        <v>-1.735073399991e-11</v>
      </c>
      <c r="AH14" s="12">
        <v>-2.7021091267058e-12</v>
      </c>
      <c r="AI14" s="12">
        <v>-4.2561263563138e-10</v>
      </c>
      <c r="AJ14" s="12">
        <v>-2.4261082047023e-10</v>
      </c>
      <c r="AK14" s="12">
        <v>-2.4136060520084e-11</v>
      </c>
      <c r="AL14" s="12">
        <v>-1.2959185591702e-10</v>
      </c>
      <c r="AM14" s="12">
        <v>-8.7863669793828e-11</v>
      </c>
      <c r="AN14" s="12">
        <v>-6.7483888958858e-11</v>
      </c>
      <c r="AO14" s="12">
        <v>-1.0189595452549e-10</v>
      </c>
      <c r="AP14" s="12">
        <v>9.2821472553494e-11</v>
      </c>
      <c r="AQ14" s="12">
        <v>-7.687025226659e-11</v>
      </c>
      <c r="AR14" s="12">
        <v>-1.593007764784e-10</v>
      </c>
      <c r="AS14" s="12">
        <v>-2.5494145449339e-10</v>
      </c>
      <c r="AT14" s="12">
        <v>-6.5787583080927e-11</v>
      </c>
      <c r="AU14" s="12">
        <v>-1.2723442421031e-10</v>
      </c>
      <c r="AV14" s="12">
        <v>-1.0647702098746e-10</v>
      </c>
      <c r="AW14" s="12">
        <v>-1.5767652414811e-11</v>
      </c>
      <c r="AX14" s="12">
        <v>-2.5203783788575e-11</v>
      </c>
      <c r="AY14" s="12">
        <v>-4.020173508106e-12</v>
      </c>
      <c r="AZ14" s="12">
        <v>-4.4320815654432e-12</v>
      </c>
      <c r="BA14" s="12">
        <v>3.0547785521262e-11</v>
      </c>
      <c r="BB14" s="12">
        <v>-6.5449075867998e-12</v>
      </c>
      <c r="BC14" s="11">
        <v>15988444.256808</v>
      </c>
      <c r="BD14" s="11">
        <v>3991649.3508468</v>
      </c>
      <c r="BE14" s="12">
        <v>-7.9389851863e-5</v>
      </c>
      <c r="BF14" s="12">
        <v>-6.5486104430902e-5</v>
      </c>
      <c r="BG14" s="11">
        <v>0.00049450867679184</v>
      </c>
      <c r="BH14" s="11">
        <v>-0.00030635203263996</v>
      </c>
      <c r="BI14" s="11">
        <v>-0.00035179390363196</v>
      </c>
      <c r="BJ14" s="11">
        <v>65.000705182592</v>
      </c>
      <c r="BK14" s="11">
        <v>69.470446998229</v>
      </c>
      <c r="BL14" s="7"/>
    </row>
    <row r="15" spans="1:64">
      <c r="A15" s="11">
        <v>8891.3970501945</v>
      </c>
      <c r="B15" s="11">
        <v>0.00015815477497657</v>
      </c>
      <c r="C15" s="12">
        <f t="shared" si="0"/>
        <v>1.76415435468956e-8</v>
      </c>
      <c r="D15" s="12">
        <v>1.2352830889754e-9</v>
      </c>
      <c r="E15" s="12">
        <v>1.2205331052715e-9</v>
      </c>
      <c r="F15" s="12">
        <v>1.2209176877366e-9</v>
      </c>
      <c r="G15" s="12">
        <v>1.2192602758915e-9</v>
      </c>
      <c r="H15" s="12">
        <v>1.2403653251822e-9</v>
      </c>
      <c r="I15" s="12">
        <v>1.2388180088579e-9</v>
      </c>
      <c r="J15" s="12">
        <v>1.2339746676551e-9</v>
      </c>
      <c r="K15" s="12">
        <v>1.2594586852958e-9</v>
      </c>
      <c r="L15" s="12">
        <v>1.2587951034145e-9</v>
      </c>
      <c r="M15" s="12">
        <v>1.2583237829503e-9</v>
      </c>
      <c r="N15" s="12">
        <v>8.4664664007522e-10</v>
      </c>
      <c r="O15" s="12">
        <v>1.238309528864e-9</v>
      </c>
      <c r="P15" s="12">
        <v>8.4673093805668e-10</v>
      </c>
      <c r="Q15" s="12">
        <v>8.4874475426539e-10</v>
      </c>
      <c r="R15" s="12">
        <v>1.223478682375e-9</v>
      </c>
      <c r="S15" s="12">
        <v>1.2193457432667e-9</v>
      </c>
      <c r="T15" s="12">
        <v>1.2206965038993e-9</v>
      </c>
      <c r="U15" s="12">
        <v>1.235521835651e-9</v>
      </c>
      <c r="V15" s="12">
        <v>1.2579103130701e-9</v>
      </c>
      <c r="W15" s="12">
        <v>1.2588539620899e-9</v>
      </c>
      <c r="X15" s="12">
        <v>1.258508434572e-9</v>
      </c>
      <c r="Y15" s="12">
        <v>8.4621321085333e-10</v>
      </c>
      <c r="Z15" s="12">
        <v>8.477006548312e-10</v>
      </c>
      <c r="AA15" s="12">
        <v>8.4664874317372e-10</v>
      </c>
      <c r="AB15" s="11">
        <v>0.99932208474015</v>
      </c>
      <c r="AC15" s="11">
        <v>0.90346490199143</v>
      </c>
      <c r="AD15" s="11">
        <v>0.00046295359081988</v>
      </c>
      <c r="AE15" s="12">
        <v>8.0145221349774e-11</v>
      </c>
      <c r="AF15" s="12">
        <v>6.5823318285582e-11</v>
      </c>
      <c r="AG15" s="12">
        <v>-1.3724576873281e-11</v>
      </c>
      <c r="AH15" s="12">
        <v>-2.8605784479271e-12</v>
      </c>
      <c r="AI15" s="12">
        <v>-4.125973662411e-10</v>
      </c>
      <c r="AJ15" s="12">
        <v>-2.3411952910391e-10</v>
      </c>
      <c r="AK15" s="12">
        <v>-2.3828100988874e-11</v>
      </c>
      <c r="AL15" s="12">
        <v>-1.2583260874933e-10</v>
      </c>
      <c r="AM15" s="12">
        <v>-8.3445862165817e-11</v>
      </c>
      <c r="AN15" s="12">
        <v>-6.7470875448018e-11</v>
      </c>
      <c r="AO15" s="12">
        <v>-9.4928620253526e-11</v>
      </c>
      <c r="AP15" s="12">
        <v>9.4079851973305e-11</v>
      </c>
      <c r="AQ15" s="12">
        <v>-7.4461234219409e-11</v>
      </c>
      <c r="AR15" s="12">
        <v>-1.5911777836431e-10</v>
      </c>
      <c r="AS15" s="12">
        <v>-2.487772799076e-10</v>
      </c>
      <c r="AT15" s="12">
        <v>-6.4287736200849e-11</v>
      </c>
      <c r="AU15" s="12">
        <v>-1.2913324084642e-10</v>
      </c>
      <c r="AV15" s="12">
        <v>-1.0181558788539e-10</v>
      </c>
      <c r="AW15" s="12">
        <v>-1.5219799544403e-11</v>
      </c>
      <c r="AX15" s="12">
        <v>-2.8460544020671e-11</v>
      </c>
      <c r="AY15" s="12">
        <v>-6.3106067732969e-12</v>
      </c>
      <c r="AZ15" s="12">
        <v>-4.4628108550499e-12</v>
      </c>
      <c r="BA15" s="12">
        <v>3.3555650393584e-11</v>
      </c>
      <c r="BB15" s="12">
        <v>-7.2172673851121e-12</v>
      </c>
      <c r="BC15" s="11">
        <v>15985442.80034</v>
      </c>
      <c r="BD15" s="11">
        <v>3989378.3708089</v>
      </c>
      <c r="BE15" s="12">
        <v>-7.5718575316479e-5</v>
      </c>
      <c r="BF15" s="12">
        <v>-6.0874101791825e-5</v>
      </c>
      <c r="BG15" s="11">
        <v>0.00053637338713849</v>
      </c>
      <c r="BH15" s="11">
        <v>-0.00029998411212777</v>
      </c>
      <c r="BI15" s="11">
        <v>-0.00034729716515039</v>
      </c>
      <c r="BJ15" s="11">
        <v>65.000832430331</v>
      </c>
      <c r="BK15" s="11">
        <v>69.162064600412</v>
      </c>
      <c r="BL15" s="7"/>
    </row>
    <row r="16" spans="1:64">
      <c r="A16" s="11">
        <v>11193.605692842</v>
      </c>
      <c r="B16" s="11">
        <v>0.00019842731835415</v>
      </c>
      <c r="C16" s="12">
        <f t="shared" si="0"/>
        <v>1.74930032975931e-8</v>
      </c>
      <c r="D16" s="12">
        <v>1.2282269313136e-9</v>
      </c>
      <c r="E16" s="12">
        <v>1.213437268973e-9</v>
      </c>
      <c r="F16" s="12">
        <v>1.2139866429777e-9</v>
      </c>
      <c r="G16" s="12">
        <v>1.211881297758e-9</v>
      </c>
      <c r="H16" s="12">
        <v>1.2345867345683e-9</v>
      </c>
      <c r="I16" s="12">
        <v>1.2325433446878e-9</v>
      </c>
      <c r="J16" s="12">
        <v>1.2266226253225e-9</v>
      </c>
      <c r="K16" s="12">
        <v>1.2517595098991e-9</v>
      </c>
      <c r="L16" s="12">
        <v>1.2508828092855e-9</v>
      </c>
      <c r="M16" s="12">
        <v>1.2503473105931e-9</v>
      </c>
      <c r="N16" s="12">
        <v>8.4166832669905e-10</v>
      </c>
      <c r="O16" s="12">
        <v>1.2320113338769e-9</v>
      </c>
      <c r="P16" s="12">
        <v>8.41818352569e-10</v>
      </c>
      <c r="Q16" s="12">
        <v>8.4438670612223e-10</v>
      </c>
      <c r="R16" s="12">
        <v>1.2171144346476e-9</v>
      </c>
      <c r="S16" s="12">
        <v>1.2119637371306e-9</v>
      </c>
      <c r="T16" s="12">
        <v>1.2137551794088e-9</v>
      </c>
      <c r="U16" s="12">
        <v>1.2285612708876e-9</v>
      </c>
      <c r="V16" s="12">
        <v>1.2497956783217e-9</v>
      </c>
      <c r="W16" s="12">
        <v>1.2510191347729e-9</v>
      </c>
      <c r="X16" s="12">
        <v>1.2505860244917e-9</v>
      </c>
      <c r="Y16" s="12">
        <v>8.4115104831598e-10</v>
      </c>
      <c r="Z16" s="12">
        <v>8.4304412954312e-10</v>
      </c>
      <c r="AA16" s="12">
        <v>8.4173527397437e-10</v>
      </c>
      <c r="AB16" s="11">
        <v>0.99945705465049</v>
      </c>
      <c r="AC16" s="11">
        <v>0.90251273727065</v>
      </c>
      <c r="AD16" s="11">
        <v>0.00050362961758756</v>
      </c>
      <c r="AE16" s="12">
        <v>7.9644828730052e-11</v>
      </c>
      <c r="AF16" s="12">
        <v>6.2517233052715e-11</v>
      </c>
      <c r="AG16" s="12">
        <v>-9.9199043169938e-12</v>
      </c>
      <c r="AH16" s="12">
        <v>-2.6310013786195e-12</v>
      </c>
      <c r="AI16" s="12">
        <v>-4.0002560951863e-10</v>
      </c>
      <c r="AJ16" s="12">
        <v>-2.2597310755931e-10</v>
      </c>
      <c r="AK16" s="12">
        <v>-2.3626878050505e-11</v>
      </c>
      <c r="AL16" s="12">
        <v>-1.2257783007394e-10</v>
      </c>
      <c r="AM16" s="12">
        <v>-7.8960357091897e-11</v>
      </c>
      <c r="AN16" s="12">
        <v>-6.7969395933614e-11</v>
      </c>
      <c r="AO16" s="12">
        <v>-8.7578647267366e-11</v>
      </c>
      <c r="AP16" s="12">
        <v>9.5850885988219e-11</v>
      </c>
      <c r="AQ16" s="12">
        <v>-7.2243888618117e-11</v>
      </c>
      <c r="AR16" s="12">
        <v>-1.5916955842155e-10</v>
      </c>
      <c r="AS16" s="12">
        <v>-2.4279694720777e-10</v>
      </c>
      <c r="AT16" s="12">
        <v>-6.3068373624393e-11</v>
      </c>
      <c r="AU16" s="12">
        <v>-1.3129994899224e-10</v>
      </c>
      <c r="AV16" s="12">
        <v>-9.6943480217172e-11</v>
      </c>
      <c r="AW16" s="12">
        <v>-1.467882626534e-11</v>
      </c>
      <c r="AX16" s="12">
        <v>-3.2848984714863e-11</v>
      </c>
      <c r="AY16" s="12">
        <v>-9.1007689471866e-12</v>
      </c>
      <c r="AZ16" s="12">
        <v>-4.6072695431019e-12</v>
      </c>
      <c r="BA16" s="12">
        <v>3.7160104137163e-11</v>
      </c>
      <c r="BB16" s="12">
        <v>-7.6627286409969e-12</v>
      </c>
      <c r="BC16" s="11">
        <v>15981677.471461</v>
      </c>
      <c r="BD16" s="11">
        <v>3986515.1525235</v>
      </c>
      <c r="BE16" s="12">
        <v>-7.091952580206e-5</v>
      </c>
      <c r="BF16" s="12">
        <v>-5.4956103430845e-5</v>
      </c>
      <c r="BG16" s="11">
        <v>0.00058845116069159</v>
      </c>
      <c r="BH16" s="11">
        <v>-0.00029459586146002</v>
      </c>
      <c r="BI16" s="11">
        <v>-0.00034356539379545</v>
      </c>
      <c r="BJ16" s="11">
        <v>65.000976990615</v>
      </c>
      <c r="BK16" s="11">
        <v>68.799072252052</v>
      </c>
      <c r="BL16" s="7"/>
    </row>
    <row r="17" spans="1:64">
      <c r="A17" s="11">
        <v>14091.914656322</v>
      </c>
      <c r="B17" s="11">
        <v>0.00024863200345066</v>
      </c>
      <c r="C17" s="12">
        <f t="shared" si="0"/>
        <v>1.73220611498331e-8</v>
      </c>
      <c r="D17" s="12">
        <v>1.2196837209759e-9</v>
      </c>
      <c r="E17" s="12">
        <v>1.204657874406e-9</v>
      </c>
      <c r="F17" s="12">
        <v>1.205441023992e-9</v>
      </c>
      <c r="G17" s="12">
        <v>1.2027678010297e-9</v>
      </c>
      <c r="H17" s="12">
        <v>1.2276506119981e-9</v>
      </c>
      <c r="I17" s="12">
        <v>1.2249523087723e-9</v>
      </c>
      <c r="J17" s="12">
        <v>1.2177109733628e-9</v>
      </c>
      <c r="K17" s="12">
        <v>1.2423534558546e-9</v>
      </c>
      <c r="L17" s="12">
        <v>1.2412039771543e-9</v>
      </c>
      <c r="M17" s="12">
        <v>1.2405971879701e-9</v>
      </c>
      <c r="N17" s="12">
        <v>8.3585047555967e-10</v>
      </c>
      <c r="O17" s="12">
        <v>1.2244251297443e-9</v>
      </c>
      <c r="P17" s="12">
        <v>8.360869566823e-10</v>
      </c>
      <c r="Q17" s="12">
        <v>8.3936908122071e-10</v>
      </c>
      <c r="R17" s="12">
        <v>1.2092404373121e-9</v>
      </c>
      <c r="S17" s="12">
        <v>1.2028335412662e-9</v>
      </c>
      <c r="T17" s="12">
        <v>1.2052112110873e-9</v>
      </c>
      <c r="U17" s="12">
        <v>1.2201471523076e-9</v>
      </c>
      <c r="V17" s="12">
        <v>1.2398591382981e-9</v>
      </c>
      <c r="W17" s="12">
        <v>1.2414634480758e-9</v>
      </c>
      <c r="X17" s="12">
        <v>1.240907502815e-9</v>
      </c>
      <c r="Y17" s="12">
        <v>8.3522898375377e-10</v>
      </c>
      <c r="Z17" s="12">
        <v>8.3765294048722e-10</v>
      </c>
      <c r="AA17" s="12">
        <v>8.3601202851137e-10</v>
      </c>
      <c r="AB17" s="11">
        <v>0.99956268951127</v>
      </c>
      <c r="AC17" s="11">
        <v>0.90097149133609</v>
      </c>
      <c r="AD17" s="11">
        <v>0.0005544433391506</v>
      </c>
      <c r="AE17" s="12">
        <v>7.9410416169365e-11</v>
      </c>
      <c r="AF17" s="12">
        <v>5.8889836561122e-11</v>
      </c>
      <c r="AG17" s="12">
        <v>-6.0440525255411e-12</v>
      </c>
      <c r="AH17" s="12">
        <v>-1.8314285307888e-12</v>
      </c>
      <c r="AI17" s="12">
        <v>-3.8813497765536e-10</v>
      </c>
      <c r="AJ17" s="12">
        <v>-2.1831591959492e-10</v>
      </c>
      <c r="AK17" s="12">
        <v>-2.3543422340598e-11</v>
      </c>
      <c r="AL17" s="12">
        <v>-1.1997704739263e-10</v>
      </c>
      <c r="AM17" s="12">
        <v>-7.4388256035013e-11</v>
      </c>
      <c r="AN17" s="12">
        <v>-6.9170114345849e-11</v>
      </c>
      <c r="AO17" s="12">
        <v>-7.9894745440909e-11</v>
      </c>
      <c r="AP17" s="12">
        <v>9.8303693327922e-11</v>
      </c>
      <c r="AQ17" s="12">
        <v>-7.0499713538759e-11</v>
      </c>
      <c r="AR17" s="12">
        <v>-1.5933906971415e-10</v>
      </c>
      <c r="AS17" s="12">
        <v>-2.3712939633872e-10</v>
      </c>
      <c r="AT17" s="12">
        <v>-6.2248462586608e-11</v>
      </c>
      <c r="AU17" s="12">
        <v>-1.3362793428327e-10</v>
      </c>
      <c r="AV17" s="12">
        <v>-9.1893297948324e-11</v>
      </c>
      <c r="AW17" s="12">
        <v>-1.4151854024919e-11</v>
      </c>
      <c r="AX17" s="12">
        <v>-3.879002303199e-11</v>
      </c>
      <c r="AY17" s="12">
        <v>-1.2609529106406e-11</v>
      </c>
      <c r="AZ17" s="12">
        <v>-4.9350375051858e-12</v>
      </c>
      <c r="BA17" s="12">
        <v>4.1385645679913e-11</v>
      </c>
      <c r="BB17" s="12">
        <v>-7.5979937768414e-12</v>
      </c>
      <c r="BC17" s="11">
        <v>15976958.374603</v>
      </c>
      <c r="BD17" s="11">
        <v>3982929.8823915</v>
      </c>
      <c r="BE17" s="12">
        <v>-6.463199426815e-5</v>
      </c>
      <c r="BF17" s="12">
        <v>-4.7372195416278e-5</v>
      </c>
      <c r="BG17" s="11">
        <v>0.00065312084634508</v>
      </c>
      <c r="BH17" s="11">
        <v>-0.00029450505275273</v>
      </c>
      <c r="BI17" s="11">
        <v>-0.00034526280280188</v>
      </c>
      <c r="BJ17" s="11">
        <v>65.001134451323</v>
      </c>
      <c r="BK17" s="11">
        <v>68.379883761211</v>
      </c>
      <c r="BL17" s="7"/>
    </row>
    <row r="18" spans="1:64">
      <c r="A18" s="11">
        <v>17740.669461679</v>
      </c>
      <c r="B18" s="11">
        <v>0.00031112351844237</v>
      </c>
      <c r="C18" s="12">
        <f t="shared" si="0"/>
        <v>1.71268058078229e-8</v>
      </c>
      <c r="D18" s="12">
        <v>1.2092197988449e-9</v>
      </c>
      <c r="E18" s="12">
        <v>1.1938742644546e-9</v>
      </c>
      <c r="F18" s="12">
        <v>1.194984479441e-9</v>
      </c>
      <c r="G18" s="12">
        <v>1.1915958340045e-9</v>
      </c>
      <c r="H18" s="12">
        <v>1.219199459444e-9</v>
      </c>
      <c r="I18" s="12">
        <v>1.2156596222803e-9</v>
      </c>
      <c r="J18" s="12">
        <v>1.2067826866907e-9</v>
      </c>
      <c r="K18" s="12">
        <v>1.2309514936673e-9</v>
      </c>
      <c r="L18" s="12">
        <v>1.2294624701516e-9</v>
      </c>
      <c r="M18" s="12">
        <v>1.2287712355031e-9</v>
      </c>
      <c r="N18" s="12">
        <v>8.2882018300942e-10</v>
      </c>
      <c r="O18" s="12">
        <v>1.215177040836e-9</v>
      </c>
      <c r="P18" s="12">
        <v>8.2916710569774e-10</v>
      </c>
      <c r="Q18" s="12">
        <v>8.333648291656e-10</v>
      </c>
      <c r="R18" s="12">
        <v>1.1995739037344e-9</v>
      </c>
      <c r="S18" s="12">
        <v>1.1916223981058e-9</v>
      </c>
      <c r="T18" s="12">
        <v>1.1947733910631e-9</v>
      </c>
      <c r="U18" s="12">
        <v>1.2098499068044e-9</v>
      </c>
      <c r="V18" s="12">
        <v>1.2277806218791e-9</v>
      </c>
      <c r="W18" s="12">
        <v>1.229913178601e-9</v>
      </c>
      <c r="X18" s="12">
        <v>1.2291781557503e-9</v>
      </c>
      <c r="Y18" s="12">
        <v>8.2806708912345e-10</v>
      </c>
      <c r="Z18" s="12">
        <v>8.3118806022304e-10</v>
      </c>
      <c r="AA18" s="12">
        <v>8.2911458906757e-10</v>
      </c>
      <c r="AB18" s="11">
        <v>0.9996444395596</v>
      </c>
      <c r="AC18" s="11">
        <v>0.89854714763225</v>
      </c>
      <c r="AD18" s="11">
        <v>0.000617804203497</v>
      </c>
      <c r="AE18" s="12">
        <v>7.951917075276e-11</v>
      </c>
      <c r="AF18" s="12">
        <v>5.4924965272321e-11</v>
      </c>
      <c r="AG18" s="12">
        <v>-2.1553493541171e-12</v>
      </c>
      <c r="AH18" s="12">
        <v>-2.1472136563692e-13</v>
      </c>
      <c r="AI18" s="12">
        <v>-3.7727723376305e-10</v>
      </c>
      <c r="AJ18" s="12">
        <v>-2.1115820707993e-10</v>
      </c>
      <c r="AK18" s="12">
        <v>-2.351835383064e-11</v>
      </c>
      <c r="AL18" s="12">
        <v>-1.1817732733094e-10</v>
      </c>
      <c r="AM18" s="12">
        <v>-6.9556521067274e-11</v>
      </c>
      <c r="AN18" s="12">
        <v>-7.1279833671678e-11</v>
      </c>
      <c r="AO18" s="12">
        <v>-7.1877469472593e-11</v>
      </c>
      <c r="AP18" s="12">
        <v>1.0179391611731e-10</v>
      </c>
      <c r="AQ18" s="12">
        <v>-6.960751719117e-11</v>
      </c>
      <c r="AR18" s="12">
        <v>-1.5942345126062e-10</v>
      </c>
      <c r="AS18" s="12">
        <v>-2.3176129051517e-10</v>
      </c>
      <c r="AT18" s="12">
        <v>-6.1907413541754e-11</v>
      </c>
      <c r="AU18" s="12">
        <v>-1.3601253326275e-10</v>
      </c>
      <c r="AV18" s="12">
        <v>-8.6799551748915e-11</v>
      </c>
      <c r="AW18" s="12">
        <v>-1.365001725761e-11</v>
      </c>
      <c r="AX18" s="12">
        <v>-4.6910464816333e-11</v>
      </c>
      <c r="AY18" s="12">
        <v>-1.7151780716559e-11</v>
      </c>
      <c r="AZ18" s="12">
        <v>-5.5686844061881e-12</v>
      </c>
      <c r="BA18" s="12">
        <v>4.6234842578061e-11</v>
      </c>
      <c r="BB18" s="12">
        <v>-6.6169274692022e-12</v>
      </c>
      <c r="BC18" s="11">
        <v>15971051.197708</v>
      </c>
      <c r="BD18" s="11">
        <v>3978484.0099169</v>
      </c>
      <c r="BE18" s="12">
        <v>-5.6388513665392e-5</v>
      </c>
      <c r="BF18" s="12">
        <v>-3.7679999880007e-5</v>
      </c>
      <c r="BG18" s="11">
        <v>0.0007332791995135</v>
      </c>
      <c r="BH18" s="11">
        <v>-0.00030983058911028</v>
      </c>
      <c r="BI18" s="11">
        <v>-0.00036127593324884</v>
      </c>
      <c r="BJ18" s="11">
        <v>65.001291787148</v>
      </c>
      <c r="BK18" s="11">
        <v>67.907380196366</v>
      </c>
      <c r="BL18" s="7"/>
    </row>
    <row r="19" spans="1:64">
      <c r="A19" s="11">
        <v>22334.179607548</v>
      </c>
      <c r="B19" s="11">
        <v>0.00038878210486495</v>
      </c>
      <c r="C19" s="12">
        <f t="shared" si="0"/>
        <v>1.69061532371751e-8</v>
      </c>
      <c r="D19" s="12">
        <v>1.1964560389961e-9</v>
      </c>
      <c r="E19" s="12">
        <v>1.1806224560352e-9</v>
      </c>
      <c r="F19" s="12">
        <v>1.1821843687491e-9</v>
      </c>
      <c r="G19" s="12">
        <v>1.1779005153334e-9</v>
      </c>
      <c r="H19" s="12">
        <v>1.2089538594255e-9</v>
      </c>
      <c r="I19" s="12">
        <v>1.2043518202848e-9</v>
      </c>
      <c r="J19" s="12">
        <v>1.1934303865119e-9</v>
      </c>
      <c r="K19" s="12">
        <v>1.2173644973076e-9</v>
      </c>
      <c r="L19" s="12">
        <v>1.2154734638694e-9</v>
      </c>
      <c r="M19" s="12">
        <v>1.2146697396337e-9</v>
      </c>
      <c r="N19" s="12">
        <v>8.2027034442491e-10</v>
      </c>
      <c r="O19" s="12">
        <v>1.203976609783e-9</v>
      </c>
      <c r="P19" s="12">
        <v>8.2075599139283e-10</v>
      </c>
      <c r="Q19" s="12">
        <v>8.2611430954911e-10</v>
      </c>
      <c r="R19" s="12">
        <v>1.187692921243e-9</v>
      </c>
      <c r="S19" s="12">
        <v>1.1778539567071e-9</v>
      </c>
      <c r="T19" s="12">
        <v>1.1820106868489e-9</v>
      </c>
      <c r="U19" s="12">
        <v>1.1972971049128e-9</v>
      </c>
      <c r="V19" s="12">
        <v>1.2133368814449e-9</v>
      </c>
      <c r="W19" s="12">
        <v>1.2162143292532e-9</v>
      </c>
      <c r="X19" s="12">
        <v>1.2152105860776e-9</v>
      </c>
      <c r="Y19" s="12">
        <v>8.1934748092086e-10</v>
      </c>
      <c r="Z19" s="12">
        <v>8.2338221411366e-10</v>
      </c>
      <c r="AA19" s="12">
        <v>8.2074715913267e-10</v>
      </c>
      <c r="AB19" s="11">
        <v>0.99970670769703</v>
      </c>
      <c r="AC19" s="11">
        <v>0.89476401105648</v>
      </c>
      <c r="AD19" s="11">
        <v>0.00069666295666364</v>
      </c>
      <c r="AE19" s="12">
        <v>8.0089760004411e-11</v>
      </c>
      <c r="AF19" s="12">
        <v>5.0660959338919e-11</v>
      </c>
      <c r="AG19" s="12">
        <v>1.7619490010271e-12</v>
      </c>
      <c r="AH19" s="12">
        <v>2.616125230977e-12</v>
      </c>
      <c r="AI19" s="12">
        <v>-3.6778893733593e-10</v>
      </c>
      <c r="AJ19" s="12">
        <v>-2.0430159486944e-10</v>
      </c>
      <c r="AK19" s="12">
        <v>-2.3352533010644e-11</v>
      </c>
      <c r="AL19" s="12">
        <v>-1.1723673807565e-10</v>
      </c>
      <c r="AM19" s="12">
        <v>-6.3979306465622e-11</v>
      </c>
      <c r="AN19" s="12">
        <v>-7.4457701938364e-11</v>
      </c>
      <c r="AO19" s="12">
        <v>-6.3446557090738e-11</v>
      </c>
      <c r="AP19" s="12">
        <v>1.0696639439684e-10</v>
      </c>
      <c r="AQ19" s="12">
        <v>-6.995743422077e-11</v>
      </c>
      <c r="AR19" s="12">
        <v>-1.5912189162091e-10</v>
      </c>
      <c r="AS19" s="12">
        <v>-2.2655078296657e-10</v>
      </c>
      <c r="AT19" s="12">
        <v>-6.2076991375325e-11</v>
      </c>
      <c r="AU19" s="12">
        <v>-1.3834025168232e-10</v>
      </c>
      <c r="AV19" s="12">
        <v>-8.1887809200876e-11</v>
      </c>
      <c r="AW19" s="12">
        <v>-1.3174187656483e-11</v>
      </c>
      <c r="AX19" s="12">
        <v>-5.8006397112265e-11</v>
      </c>
      <c r="AY19" s="12">
        <v>-2.3126789851511e-11</v>
      </c>
      <c r="AZ19" s="12">
        <v>-6.673062229141e-12</v>
      </c>
      <c r="BA19" s="12">
        <v>5.1696269504599e-11</v>
      </c>
      <c r="BB19" s="12">
        <v>-4.1161416191745e-12</v>
      </c>
      <c r="BC19" s="11">
        <v>15963668.440391</v>
      </c>
      <c r="BD19" s="11">
        <v>3973049.1043521</v>
      </c>
      <c r="BE19" s="12">
        <v>-4.5604893853576e-5</v>
      </c>
      <c r="BF19" s="12">
        <v>-2.5343606565903e-5</v>
      </c>
      <c r="BG19" s="11">
        <v>0.00083245071446263</v>
      </c>
      <c r="BH19" s="11">
        <v>-0.00035286912869367</v>
      </c>
      <c r="BI19" s="11">
        <v>-0.00040597058495408</v>
      </c>
      <c r="BJ19" s="11">
        <v>65.001430526793</v>
      </c>
      <c r="BK19" s="11">
        <v>67.391490242555</v>
      </c>
      <c r="BL19" s="7"/>
    </row>
    <row r="20" spans="1:64">
      <c r="A20" s="11">
        <v>28117.066259517</v>
      </c>
      <c r="B20" s="11">
        <v>0.00048513341920901</v>
      </c>
      <c r="C20" s="12">
        <f t="shared" si="0"/>
        <v>1.66614564909817e-8</v>
      </c>
      <c r="D20" s="12">
        <v>1.1809980102763e-9</v>
      </c>
      <c r="E20" s="12">
        <v>1.1649923246684e-9</v>
      </c>
      <c r="F20" s="12">
        <v>1.1671734741654e-9</v>
      </c>
      <c r="G20" s="12">
        <v>1.1617771725682e-9</v>
      </c>
      <c r="H20" s="12">
        <v>1.196628009886e-9</v>
      </c>
      <c r="I20" s="12">
        <v>1.1907262091846e-9</v>
      </c>
      <c r="J20" s="12">
        <v>1.1772126874923e-9</v>
      </c>
      <c r="K20" s="12">
        <v>1.2020033794364e-9</v>
      </c>
      <c r="L20" s="12">
        <v>1.1996756827886e-9</v>
      </c>
      <c r="M20" s="12">
        <v>1.1987027397902e-9</v>
      </c>
      <c r="N20" s="12">
        <v>8.0999331426119e-10</v>
      </c>
      <c r="O20" s="12">
        <v>1.1905471393775e-9</v>
      </c>
      <c r="P20" s="12">
        <v>8.1065984285392e-10</v>
      </c>
      <c r="Q20" s="12">
        <v>8.1746284341794e-10</v>
      </c>
      <c r="R20" s="12">
        <v>1.1737315011363e-9</v>
      </c>
      <c r="S20" s="12">
        <v>1.1616085136938e-9</v>
      </c>
      <c r="T20" s="12">
        <v>1.1670528033394e-9</v>
      </c>
      <c r="U20" s="12">
        <v>1.1820858471554e-9</v>
      </c>
      <c r="V20" s="12">
        <v>1.1969076124476e-9</v>
      </c>
      <c r="W20" s="12">
        <v>1.2008474778466e-9</v>
      </c>
      <c r="X20" s="12">
        <v>1.1994367453728e-9</v>
      </c>
      <c r="Y20" s="12">
        <v>8.0885172217749e-10</v>
      </c>
      <c r="Z20" s="12">
        <v>8.1408184422446e-10</v>
      </c>
      <c r="AA20" s="12">
        <v>8.1072654982128e-10</v>
      </c>
      <c r="AB20" s="11">
        <v>0.9997527747298</v>
      </c>
      <c r="AC20" s="11">
        <v>0.88884017973246</v>
      </c>
      <c r="AD20" s="11">
        <v>0.00079462577434848</v>
      </c>
      <c r="AE20" s="12">
        <v>8.1292513954276e-11</v>
      </c>
      <c r="AF20" s="12">
        <v>4.6289586760411e-11</v>
      </c>
      <c r="AG20" s="12">
        <v>5.7659612512842e-12</v>
      </c>
      <c r="AH20" s="12">
        <v>7.2586651593221e-12</v>
      </c>
      <c r="AI20" s="12">
        <v>-3.5990839547933e-10</v>
      </c>
      <c r="AJ20" s="12">
        <v>-1.9705917919273e-10</v>
      </c>
      <c r="AK20" s="12">
        <v>-2.2509067261213e-11</v>
      </c>
      <c r="AL20" s="12">
        <v>-1.1715629163923e-10</v>
      </c>
      <c r="AM20" s="12">
        <v>-5.6635693618154e-11</v>
      </c>
      <c r="AN20" s="12">
        <v>-7.8776498940357e-11</v>
      </c>
      <c r="AO20" s="12">
        <v>-5.4230053658654e-11</v>
      </c>
      <c r="AP20" s="12">
        <v>1.1500381946132e-10</v>
      </c>
      <c r="AQ20" s="12">
        <v>-7.1860446040137e-11</v>
      </c>
      <c r="AR20" s="12">
        <v>-1.5801677678348e-10</v>
      </c>
      <c r="AS20" s="12">
        <v>-2.2107320658535e-10</v>
      </c>
      <c r="AT20" s="12">
        <v>-6.2616863399575e-11</v>
      </c>
      <c r="AU20" s="12">
        <v>-1.4039798988755e-10</v>
      </c>
      <c r="AV20" s="12">
        <v>-7.7512692148668e-11</v>
      </c>
      <c r="AW20" s="12">
        <v>-1.2752305068934e-11</v>
      </c>
      <c r="AX20" s="12">
        <v>-7.31727001345e-11</v>
      </c>
      <c r="AY20" s="12">
        <v>-3.1027765295872e-11</v>
      </c>
      <c r="AZ20" s="12">
        <v>-8.4962550667643e-12</v>
      </c>
      <c r="BA20" s="12">
        <v>5.7902452316641e-11</v>
      </c>
      <c r="BB20" s="12">
        <v>7.9051323933913e-13</v>
      </c>
      <c r="BC20" s="11">
        <v>15954456.724975</v>
      </c>
      <c r="BD20" s="11">
        <v>3966546.8531403</v>
      </c>
      <c r="BE20" s="12">
        <v>-3.154035789666e-5</v>
      </c>
      <c r="BF20" s="12">
        <v>-9.7194570115251e-6</v>
      </c>
      <c r="BG20" s="11">
        <v>0.00095492284372276</v>
      </c>
      <c r="BH20" s="11">
        <v>-0.00044821095702025</v>
      </c>
      <c r="BI20" s="11">
        <v>-0.00050488440390956</v>
      </c>
      <c r="BJ20" s="11">
        <v>65.001521505653</v>
      </c>
      <c r="BK20" s="11">
        <v>66.851154827223</v>
      </c>
      <c r="BL20" s="7"/>
    </row>
    <row r="21" spans="1:64">
      <c r="A21" s="11">
        <v>35397.289219207</v>
      </c>
      <c r="B21" s="11">
        <v>0.00060451281805038</v>
      </c>
      <c r="C21" s="12">
        <f t="shared" si="0"/>
        <v>1.63977668681803e-8</v>
      </c>
      <c r="D21" s="12">
        <v>1.1623669820063e-9</v>
      </c>
      <c r="E21" s="12">
        <v>1.146826970118e-9</v>
      </c>
      <c r="F21" s="12">
        <v>1.1498623039764e-9</v>
      </c>
      <c r="G21" s="12">
        <v>1.1430862877618e-9</v>
      </c>
      <c r="H21" s="12">
        <v>1.1818341140713e-9</v>
      </c>
      <c r="I21" s="12">
        <v>1.174434029425e-9</v>
      </c>
      <c r="J21" s="12">
        <v>1.1575770828698e-9</v>
      </c>
      <c r="K21" s="12">
        <v>1.1847500867861e-9</v>
      </c>
      <c r="L21" s="12">
        <v>1.1820205736614e-9</v>
      </c>
      <c r="M21" s="12">
        <v>1.1807540500139e-9</v>
      </c>
      <c r="N21" s="12">
        <v>7.9817302246976e-10</v>
      </c>
      <c r="O21" s="12">
        <v>1.1745640369501e-9</v>
      </c>
      <c r="P21" s="12">
        <v>7.9906093580798e-10</v>
      </c>
      <c r="Q21" s="12">
        <v>8.0761522601225e-10</v>
      </c>
      <c r="R21" s="12">
        <v>1.1575827435852e-9</v>
      </c>
      <c r="S21" s="12">
        <v>1.1427237552598e-9</v>
      </c>
      <c r="T21" s="12">
        <v>1.1497971551538e-9</v>
      </c>
      <c r="U21" s="12">
        <v>1.1636925968843e-9</v>
      </c>
      <c r="V21" s="12">
        <v>1.1783278455438e-9</v>
      </c>
      <c r="W21" s="12">
        <v>1.1838231218828e-9</v>
      </c>
      <c r="X21" s="12">
        <v>1.1817967592678e-9</v>
      </c>
      <c r="Y21" s="12">
        <v>7.9674084300692e-10</v>
      </c>
      <c r="Z21" s="12">
        <v>8.0351433554577e-10</v>
      </c>
      <c r="AA21" s="12">
        <v>7.9925466564912e-10</v>
      </c>
      <c r="AB21" s="11">
        <v>0.99978488094627</v>
      </c>
      <c r="AC21" s="11">
        <v>0.87953025814904</v>
      </c>
      <c r="AD21" s="11">
        <v>0.00091614151317019</v>
      </c>
      <c r="AE21" s="12">
        <v>8.3380083163063e-11</v>
      </c>
      <c r="AF21" s="12">
        <v>4.2377722386591e-11</v>
      </c>
      <c r="AG21" s="12">
        <v>9.9120510312519e-12</v>
      </c>
      <c r="AH21" s="12">
        <v>1.4786024687895e-11</v>
      </c>
      <c r="AI21" s="12">
        <v>-3.5362434951388e-10</v>
      </c>
      <c r="AJ21" s="12">
        <v>-1.8782320545663e-10</v>
      </c>
      <c r="AK21" s="12">
        <v>-1.9569074333712e-11</v>
      </c>
      <c r="AL21" s="12">
        <v>-1.1774603842031e-10</v>
      </c>
      <c r="AM21" s="12">
        <v>-4.577885482218e-11</v>
      </c>
      <c r="AN21" s="12">
        <v>-8.4187136611086e-11</v>
      </c>
      <c r="AO21" s="12">
        <v>-4.3232185412316e-11</v>
      </c>
      <c r="AP21" s="12">
        <v>1.2788158866641e-10</v>
      </c>
      <c r="AQ21" s="12">
        <v>-7.5334572064837e-11</v>
      </c>
      <c r="AR21" s="12">
        <v>-1.5558525376298e-10</v>
      </c>
      <c r="AS21" s="12">
        <v>-2.1443732464022e-10</v>
      </c>
      <c r="AT21" s="12">
        <v>-6.2926650464436e-11</v>
      </c>
      <c r="AU21" s="12">
        <v>-1.4147583119409e-10</v>
      </c>
      <c r="AV21" s="12">
        <v>-7.428623583928e-11</v>
      </c>
      <c r="AW21" s="12">
        <v>-1.2466083618282e-11</v>
      </c>
      <c r="AX21" s="12">
        <v>-9.3603973713007e-11</v>
      </c>
      <c r="AY21" s="12">
        <v>-4.1594276382888e-11</v>
      </c>
      <c r="AZ21" s="12">
        <v>-1.1501145598687e-11</v>
      </c>
      <c r="BA21" s="12">
        <v>6.5392116331713e-11</v>
      </c>
      <c r="BB21" s="12">
        <v>9.341265903786e-12</v>
      </c>
      <c r="BC21" s="11">
        <v>15942983.341107</v>
      </c>
      <c r="BD21" s="11">
        <v>3959043.633992</v>
      </c>
      <c r="BE21" s="12">
        <v>-1.3285823573533e-5</v>
      </c>
      <c r="BF21" s="12">
        <v>9.9208415941293e-6</v>
      </c>
      <c r="BG21" s="11">
        <v>0.0011059502788998</v>
      </c>
      <c r="BH21" s="11">
        <v>-0.00062374977261498</v>
      </c>
      <c r="BI21" s="11">
        <v>-0.00068804670345438</v>
      </c>
      <c r="BJ21" s="11">
        <v>65.001528387811</v>
      </c>
      <c r="BK21" s="11">
        <v>66.316100903555</v>
      </c>
      <c r="BL21" s="7"/>
    </row>
    <row r="22" spans="1:64">
      <c r="A22" s="11">
        <v>44562.546906687</v>
      </c>
      <c r="B22" s="11">
        <v>0.00075232570818544</v>
      </c>
      <c r="C22" s="12">
        <f t="shared" si="0"/>
        <v>1.61275214702339e-8</v>
      </c>
      <c r="D22" s="12">
        <v>1.1408449719867e-9</v>
      </c>
      <c r="E22" s="12">
        <v>1.1263538586813e-9</v>
      </c>
      <c r="F22" s="12">
        <v>1.130602639779e-9</v>
      </c>
      <c r="G22" s="12">
        <v>1.1220942495099e-9</v>
      </c>
      <c r="H22" s="12">
        <v>1.1649099946821e-9</v>
      </c>
      <c r="I22" s="12">
        <v>1.1559700847991e-9</v>
      </c>
      <c r="J22" s="12">
        <v>1.1346796292907e-9</v>
      </c>
      <c r="K22" s="12">
        <v>1.164760786524e-9</v>
      </c>
      <c r="L22" s="12">
        <v>1.1618045514765e-9</v>
      </c>
      <c r="M22" s="12">
        <v>1.1599881189628e-9</v>
      </c>
      <c r="N22" s="12">
        <v>7.8504306511106e-10</v>
      </c>
      <c r="O22" s="12">
        <v>1.1565212504504e-9</v>
      </c>
      <c r="P22" s="12">
        <v>7.8618292829646e-10</v>
      </c>
      <c r="Q22" s="12">
        <v>7.9683751417019e-10</v>
      </c>
      <c r="R22" s="12">
        <v>1.1395572620645e-9</v>
      </c>
      <c r="S22" s="12">
        <v>1.1214257762907e-9</v>
      </c>
      <c r="T22" s="12">
        <v>1.1305549394388e-9</v>
      </c>
      <c r="U22" s="12">
        <v>1.1422744791585e-9</v>
      </c>
      <c r="V22" s="12">
        <v>1.1566892331894e-9</v>
      </c>
      <c r="W22" s="12">
        <v>1.1645056105589e-9</v>
      </c>
      <c r="X22" s="12">
        <v>1.1615741798543e-9</v>
      </c>
      <c r="Y22" s="12">
        <v>7.8322284745323e-10</v>
      </c>
      <c r="Z22" s="12">
        <v>7.9198516430402e-10</v>
      </c>
      <c r="AA22" s="12">
        <v>7.8660727752778e-10</v>
      </c>
      <c r="AB22" s="11">
        <v>0.99980456314065</v>
      </c>
      <c r="AC22" s="11">
        <v>0.86518153054289</v>
      </c>
      <c r="AD22" s="11">
        <v>0.0010667809119921</v>
      </c>
      <c r="AE22" s="12">
        <v>8.6669586766873e-11</v>
      </c>
      <c r="AF22" s="12">
        <v>3.9939887455357e-11</v>
      </c>
      <c r="AG22" s="12">
        <v>1.4204481520597e-11</v>
      </c>
      <c r="AH22" s="12">
        <v>2.7020792269194e-11</v>
      </c>
      <c r="AI22" s="12">
        <v>-3.4828653262113e-10</v>
      </c>
      <c r="AJ22" s="12">
        <v>-1.7350597661355e-10</v>
      </c>
      <c r="AK22" s="12">
        <v>-1.145021093718e-11</v>
      </c>
      <c r="AL22" s="12">
        <v>-1.1812466438477e-10</v>
      </c>
      <c r="AM22" s="12">
        <v>-2.8957995123282e-11</v>
      </c>
      <c r="AN22" s="12">
        <v>-9.0529029888085e-11</v>
      </c>
      <c r="AO22" s="12">
        <v>-2.8538929000516e-11</v>
      </c>
      <c r="AP22" s="12">
        <v>1.4805100825538e-10</v>
      </c>
      <c r="AQ22" s="12">
        <v>-7.9892978338559e-11</v>
      </c>
      <c r="AR22" s="12">
        <v>-1.5079920906065e-10</v>
      </c>
      <c r="AS22" s="12">
        <v>-2.0479791784999e-10</v>
      </c>
      <c r="AT22" s="12">
        <v>-6.1944785159183e-11</v>
      </c>
      <c r="AU22" s="12">
        <v>-1.4003217339233e-10</v>
      </c>
      <c r="AV22" s="12">
        <v>-7.33878757743e-11</v>
      </c>
      <c r="AW22" s="12">
        <v>-1.2418679268301e-11</v>
      </c>
      <c r="AX22" s="12">
        <v>-1.1987200867876e-10</v>
      </c>
      <c r="AY22" s="12">
        <v>-5.5848204222714e-11</v>
      </c>
      <c r="AZ22" s="12">
        <v>-1.6326667126919e-11</v>
      </c>
      <c r="BA22" s="12">
        <v>7.510811173649e-11</v>
      </c>
      <c r="BB22" s="12">
        <v>2.317573344446e-11</v>
      </c>
      <c r="BC22" s="11">
        <v>15928717.764636</v>
      </c>
      <c r="BD22" s="11">
        <v>3950948.6892343</v>
      </c>
      <c r="BE22" s="12">
        <v>1.0208093943919e-5</v>
      </c>
      <c r="BF22" s="12">
        <v>3.4368079905752e-5</v>
      </c>
      <c r="BG22" s="11">
        <v>0.0012920798707748</v>
      </c>
      <c r="BH22" s="11">
        <v>-0.00098468647270961</v>
      </c>
      <c r="BI22" s="11">
        <v>-0.0010681898009941</v>
      </c>
      <c r="BJ22" s="11">
        <v>65.001381121588</v>
      </c>
      <c r="BK22" s="11">
        <v>65.829506670422</v>
      </c>
      <c r="BL22" s="7"/>
    </row>
    <row r="23" spans="1:64">
      <c r="A23" s="11">
        <v>56100.922715098</v>
      </c>
      <c r="B23" s="11">
        <v>0.00093549808281267</v>
      </c>
      <c r="C23" s="12">
        <f t="shared" si="0"/>
        <v>1.58750570850453e-8</v>
      </c>
      <c r="D23" s="12">
        <v>1.1169436116425e-9</v>
      </c>
      <c r="E23" s="12">
        <v>1.104986690192e-9</v>
      </c>
      <c r="F23" s="12">
        <v>1.111057687274e-9</v>
      </c>
      <c r="G23" s="12">
        <v>1.1003119006856e-9</v>
      </c>
      <c r="H23" s="12">
        <v>1.1463053275436e-9</v>
      </c>
      <c r="I23" s="12">
        <v>1.1362068265242e-9</v>
      </c>
      <c r="J23" s="12">
        <v>1.1088256616575e-9</v>
      </c>
      <c r="K23" s="12">
        <v>1.1437131793039e-9</v>
      </c>
      <c r="L23" s="12">
        <v>1.1409196854559e-9</v>
      </c>
      <c r="M23" s="12">
        <v>1.1380683590964e-9</v>
      </c>
      <c r="N23" s="12">
        <v>7.7167411719351e-10</v>
      </c>
      <c r="O23" s="12">
        <v>1.1371599272348e-9</v>
      </c>
      <c r="P23" s="12">
        <v>7.7302194529591e-10</v>
      </c>
      <c r="Q23" s="12">
        <v>7.8625911413488e-10</v>
      </c>
      <c r="R23" s="12">
        <v>1.1212579909304e-9</v>
      </c>
      <c r="S23" s="12">
        <v>1.0991144016238e-9</v>
      </c>
      <c r="T23" s="12">
        <v>1.1108948712079e-9</v>
      </c>
      <c r="U23" s="12">
        <v>1.1180809246136e-9</v>
      </c>
      <c r="V23" s="12">
        <v>1.1335544744521e-9</v>
      </c>
      <c r="W23" s="12">
        <v>1.1448433895713e-9</v>
      </c>
      <c r="X23" s="12">
        <v>1.140676785138e-9</v>
      </c>
      <c r="Y23" s="12">
        <v>7.6930682492932e-10</v>
      </c>
      <c r="Z23" s="12">
        <v>7.8068034709422e-10</v>
      </c>
      <c r="AA23" s="12">
        <v>7.7390960481644e-10</v>
      </c>
      <c r="AB23" s="11">
        <v>0.99981408060856</v>
      </c>
      <c r="AC23" s="11">
        <v>0.84461593129697</v>
      </c>
      <c r="AD23" s="11">
        <v>0.0012537212549897</v>
      </c>
      <c r="AE23" s="12">
        <v>9.0818280488576e-11</v>
      </c>
      <c r="AF23" s="12">
        <v>3.9454521464078e-11</v>
      </c>
      <c r="AG23" s="12">
        <v>1.8879724625979e-11</v>
      </c>
      <c r="AH23" s="12">
        <v>4.6315147295569e-11</v>
      </c>
      <c r="AI23" s="12">
        <v>-3.4336989105584e-10</v>
      </c>
      <c r="AJ23" s="12">
        <v>-1.5114829948879e-10</v>
      </c>
      <c r="AK23" s="12">
        <v>5.423083029017e-12</v>
      </c>
      <c r="AL23" s="12">
        <v>-1.1713992208225e-10</v>
      </c>
      <c r="AM23" s="12">
        <v>-3.7734109011288e-12</v>
      </c>
      <c r="AN23" s="12">
        <v>-9.7912305710494e-11</v>
      </c>
      <c r="AO23" s="12">
        <v>-7.1694837363224e-12</v>
      </c>
      <c r="AP23" s="12">
        <v>1.762937759567e-10</v>
      </c>
      <c r="AQ23" s="12">
        <v>-8.4705595524357e-11</v>
      </c>
      <c r="AR23" s="12">
        <v>-1.4215228307667e-10</v>
      </c>
      <c r="AS23" s="12">
        <v>-1.8896122711043e-10</v>
      </c>
      <c r="AT23" s="12">
        <v>-5.9495744764258e-11</v>
      </c>
      <c r="AU23" s="12">
        <v>-1.3470672124239e-10</v>
      </c>
      <c r="AV23" s="12">
        <v>-7.6402567046224e-11</v>
      </c>
      <c r="AW23" s="12">
        <v>-1.2472028249874e-11</v>
      </c>
      <c r="AX23" s="12">
        <v>-1.5048576419126e-10</v>
      </c>
      <c r="AY23" s="12">
        <v>-7.4559700330607e-11</v>
      </c>
      <c r="AZ23" s="12">
        <v>-2.3475536129247e-11</v>
      </c>
      <c r="BA23" s="12">
        <v>8.827775752136e-11</v>
      </c>
      <c r="BB23" s="12">
        <v>4.4220408555178e-11</v>
      </c>
      <c r="BC23" s="11">
        <v>15911010.684022</v>
      </c>
      <c r="BD23" s="11">
        <v>3943363.9585899</v>
      </c>
      <c r="BE23" s="12">
        <v>3.9982439452816e-5</v>
      </c>
      <c r="BF23" s="12">
        <v>6.442826530355e-5</v>
      </c>
      <c r="BG23" s="11">
        <v>0.0015217126456615</v>
      </c>
      <c r="BH23" s="11">
        <v>-0.0014102345870071</v>
      </c>
      <c r="BI23" s="11">
        <v>-0.001541520854711</v>
      </c>
      <c r="BJ23" s="11">
        <v>65.001154189014</v>
      </c>
      <c r="BK23" s="11">
        <v>65.444291464096</v>
      </c>
      <c r="BL23" s="7"/>
    </row>
    <row r="24" spans="1:64">
      <c r="A24" s="11">
        <v>70626.877231137</v>
      </c>
      <c r="B24" s="11">
        <v>0.0011632930389295</v>
      </c>
      <c r="C24" s="12">
        <f t="shared" si="0"/>
        <v>1.56819268479264e-8</v>
      </c>
      <c r="D24" s="12">
        <v>1.0935151095699e-9</v>
      </c>
      <c r="E24" s="12">
        <v>1.0850563546412e-9</v>
      </c>
      <c r="F24" s="12">
        <v>1.0940222944856e-9</v>
      </c>
      <c r="G24" s="12">
        <v>1.080297575243e-9</v>
      </c>
      <c r="H24" s="12">
        <v>1.1286582325618e-9</v>
      </c>
      <c r="I24" s="12">
        <v>1.1185822347256e-9</v>
      </c>
      <c r="J24" s="12">
        <v>1.0824948408389e-9</v>
      </c>
      <c r="K24" s="12">
        <v>1.1249151953298e-9</v>
      </c>
      <c r="L24" s="12">
        <v>1.1228951407061e-9</v>
      </c>
      <c r="M24" s="12">
        <v>1.1181916948599e-9</v>
      </c>
      <c r="N24" s="12">
        <v>7.6000817084543e-10</v>
      </c>
      <c r="O24" s="12">
        <v>1.1194846078772e-9</v>
      </c>
      <c r="P24" s="12">
        <v>7.6125328684507e-10</v>
      </c>
      <c r="Q24" s="12">
        <v>7.7787084931837e-10</v>
      </c>
      <c r="R24" s="12">
        <v>1.1054601114408e-9</v>
      </c>
      <c r="S24" s="12">
        <v>1.0780352237381e-9</v>
      </c>
      <c r="T24" s="12">
        <v>1.0934034191931e-9</v>
      </c>
      <c r="U24" s="12">
        <v>1.0935544744945e-9</v>
      </c>
      <c r="V24" s="12">
        <v>1.1120052022439e-9</v>
      </c>
      <c r="W24" s="12">
        <v>1.1283690122293e-9</v>
      </c>
      <c r="X24" s="12">
        <v>1.1227503291731e-9</v>
      </c>
      <c r="Y24" s="12">
        <v>7.5675233441527e-10</v>
      </c>
      <c r="Z24" s="12">
        <v>7.7166693034435e-10</v>
      </c>
      <c r="AA24" s="12">
        <v>7.6311007988959e-10</v>
      </c>
      <c r="AB24" s="11">
        <v>0.99981897663348</v>
      </c>
      <c r="AC24" s="11">
        <v>0.8189360776995</v>
      </c>
      <c r="AD24" s="11">
        <v>0.0014863616459071</v>
      </c>
      <c r="AE24" s="12">
        <v>9.38436047924e-11</v>
      </c>
      <c r="AF24" s="12">
        <v>3.9172582910638e-11</v>
      </c>
      <c r="AG24" s="12">
        <v>2.3279482807459e-11</v>
      </c>
      <c r="AH24" s="12">
        <v>7.3624679339847e-11</v>
      </c>
      <c r="AI24" s="12">
        <v>-3.4206998011126e-10</v>
      </c>
      <c r="AJ24" s="12">
        <v>-1.2610575143771e-10</v>
      </c>
      <c r="AK24" s="12">
        <v>2.6959300805983e-11</v>
      </c>
      <c r="AL24" s="12">
        <v>-1.1606627393556e-10</v>
      </c>
      <c r="AM24" s="12">
        <v>2.971891700516e-11</v>
      </c>
      <c r="AN24" s="12">
        <v>-1.0770311489629e-10</v>
      </c>
      <c r="AO24" s="12">
        <v>2.2027412733229e-11</v>
      </c>
      <c r="AP24" s="12">
        <v>2.0816400953122e-10</v>
      </c>
      <c r="AQ24" s="12">
        <v>-8.9788287550831e-11</v>
      </c>
      <c r="AR24" s="12">
        <v>-1.3067364403457e-10</v>
      </c>
      <c r="AS24" s="12">
        <v>-1.6666637303602e-10</v>
      </c>
      <c r="AT24" s="12">
        <v>-5.916994101071e-11</v>
      </c>
      <c r="AU24" s="12">
        <v>-1.2807804536285e-10</v>
      </c>
      <c r="AV24" s="12">
        <v>-8.4495227818817e-11</v>
      </c>
      <c r="AW24" s="12">
        <v>-1.219675769524e-11</v>
      </c>
      <c r="AX24" s="12">
        <v>-1.8064119802277e-10</v>
      </c>
      <c r="AY24" s="12">
        <v>-9.6888684456848e-11</v>
      </c>
      <c r="AZ24" s="12">
        <v>-3.1626096740568e-11</v>
      </c>
      <c r="BA24" s="12">
        <v>1.049201541194e-10</v>
      </c>
      <c r="BB24" s="12">
        <v>7.4256692354227e-11</v>
      </c>
      <c r="BC24" s="11">
        <v>15889039.73213</v>
      </c>
      <c r="BD24" s="11">
        <v>3938363.6899662</v>
      </c>
      <c r="BE24" s="12">
        <v>7.7239983324666e-5</v>
      </c>
      <c r="BF24" s="11">
        <v>0.0001011200728606</v>
      </c>
      <c r="BG24" s="11">
        <v>0.0018058467049054</v>
      </c>
      <c r="BH24" s="11">
        <v>-0.0018072963321267</v>
      </c>
      <c r="BI24" s="11">
        <v>-0.0019633940817098</v>
      </c>
      <c r="BJ24" s="11">
        <v>65.000884067</v>
      </c>
      <c r="BK24" s="11">
        <v>65.212893270652</v>
      </c>
      <c r="BL24" s="7"/>
    </row>
    <row r="25" spans="1:64">
      <c r="A25" s="11">
        <v>88913.970501945</v>
      </c>
      <c r="B25" s="11">
        <v>0.0014482285379065</v>
      </c>
      <c r="C25" s="12">
        <f t="shared" si="0"/>
        <v>1.5581235068771e-8</v>
      </c>
      <c r="D25" s="12">
        <v>1.0724258953835e-9</v>
      </c>
      <c r="E25" s="12">
        <v>1.0703624748459e-9</v>
      </c>
      <c r="F25" s="12">
        <v>1.0840207835309e-9</v>
      </c>
      <c r="G25" s="12">
        <v>1.0662872533739e-9</v>
      </c>
      <c r="H25" s="12">
        <v>1.1136158665076e-9</v>
      </c>
      <c r="I25" s="12">
        <v>1.1057801556503e-9</v>
      </c>
      <c r="J25" s="12">
        <v>1.0568548950753e-9</v>
      </c>
      <c r="K25" s="12">
        <v>1.1109289155724e-9</v>
      </c>
      <c r="L25" s="12">
        <v>1.1104695587541e-9</v>
      </c>
      <c r="M25" s="12">
        <v>1.10266683772e-9</v>
      </c>
      <c r="N25" s="12">
        <v>7.515219022999e-10</v>
      </c>
      <c r="O25" s="12">
        <v>1.1054061450838e-9</v>
      </c>
      <c r="P25" s="12">
        <v>7.5203212325722e-10</v>
      </c>
      <c r="Q25" s="12">
        <v>7.7325621442062e-10</v>
      </c>
      <c r="R25" s="12">
        <v>1.0966491888994e-9</v>
      </c>
      <c r="S25" s="12">
        <v>1.061746559681e-9</v>
      </c>
      <c r="T25" s="12">
        <v>1.082192166963e-9</v>
      </c>
      <c r="U25" s="12">
        <v>1.0702236992888e-9</v>
      </c>
      <c r="V25" s="12">
        <v>1.0943366667434e-9</v>
      </c>
      <c r="W25" s="12">
        <v>1.1177021953267e-9</v>
      </c>
      <c r="X25" s="12">
        <v>1.1107864936916e-9</v>
      </c>
      <c r="Y25" s="12">
        <v>7.4681371347664e-10</v>
      </c>
      <c r="Z25" s="12">
        <v>7.6651351614618e-10</v>
      </c>
      <c r="AA25" s="12">
        <v>7.5579820565109e-10</v>
      </c>
      <c r="AB25" s="11">
        <v>0.99982643490192</v>
      </c>
      <c r="AC25" s="11">
        <v>0.79112903186891</v>
      </c>
      <c r="AD25" s="11">
        <v>0.00177696179955</v>
      </c>
      <c r="AE25" s="12">
        <v>9.5468376541044e-11</v>
      </c>
      <c r="AF25" s="12">
        <v>3.872646980852e-11</v>
      </c>
      <c r="AG25" s="12">
        <v>2.495261705715e-11</v>
      </c>
      <c r="AH25" s="12">
        <v>1.066463320526e-10</v>
      </c>
      <c r="AI25" s="12">
        <v>-3.5181800763962e-10</v>
      </c>
      <c r="AJ25" s="12">
        <v>-1.1394311093759e-10</v>
      </c>
      <c r="AK25" s="12">
        <v>4.2067628665139e-11</v>
      </c>
      <c r="AL25" s="12">
        <v>-1.2102623211804e-10</v>
      </c>
      <c r="AM25" s="12">
        <v>6.498618250542e-11</v>
      </c>
      <c r="AN25" s="12">
        <v>-1.2035284341198e-10</v>
      </c>
      <c r="AO25" s="12">
        <v>5.1857280416762e-11</v>
      </c>
      <c r="AP25" s="12">
        <v>2.3637012962414e-10</v>
      </c>
      <c r="AQ25" s="12">
        <v>-9.6460752518218e-11</v>
      </c>
      <c r="AR25" s="12">
        <v>-1.2275445751034e-10</v>
      </c>
      <c r="AS25" s="12">
        <v>-1.4644913044159e-10</v>
      </c>
      <c r="AT25" s="12">
        <v>-6.5594823288879e-11</v>
      </c>
      <c r="AU25" s="12">
        <v>-1.280993784365e-10</v>
      </c>
      <c r="AV25" s="12">
        <v>-9.865187839255e-11</v>
      </c>
      <c r="AW25" s="12">
        <v>-1.2593281418142e-11</v>
      </c>
      <c r="AX25" s="12">
        <v>-2.0225046014025e-10</v>
      </c>
      <c r="AY25" s="12">
        <v>-1.1865508938735e-10</v>
      </c>
      <c r="AZ25" s="12">
        <v>-3.5656163125967e-11</v>
      </c>
      <c r="BA25" s="12">
        <v>1.2104811116664e-10</v>
      </c>
      <c r="BB25" s="12">
        <v>1.1301277799736e-10</v>
      </c>
      <c r="BC25" s="11">
        <v>15861743.912706</v>
      </c>
      <c r="BD25" s="11">
        <v>3938731.3328897</v>
      </c>
      <c r="BE25" s="11">
        <v>0.00012362551366019</v>
      </c>
      <c r="BF25" s="11">
        <v>0.00014603103075771</v>
      </c>
      <c r="BG25" s="11">
        <v>0.0021587948734475</v>
      </c>
      <c r="BH25" s="11">
        <v>-0.0018433310314747</v>
      </c>
      <c r="BI25" s="11">
        <v>-0.0020879255612173</v>
      </c>
      <c r="BJ25" s="11">
        <v>65.000609445306</v>
      </c>
      <c r="BK25" s="11">
        <v>65.167357463376</v>
      </c>
      <c r="BL25" s="7"/>
    </row>
    <row r="26" spans="1:64">
      <c r="A26" s="11">
        <v>111936.05692842</v>
      </c>
      <c r="B26" s="11">
        <v>0.0018065416480364</v>
      </c>
      <c r="C26" s="12">
        <f t="shared" si="0"/>
        <v>1.55638851966886e-8</v>
      </c>
      <c r="D26" s="12">
        <v>1.0563389895374e-9</v>
      </c>
      <c r="E26" s="12">
        <v>1.0592052498053e-9</v>
      </c>
      <c r="F26" s="12">
        <v>1.0803964888146e-9</v>
      </c>
      <c r="G26" s="12">
        <v>1.05733311982e-9</v>
      </c>
      <c r="H26" s="12">
        <v>1.1042332195758e-9</v>
      </c>
      <c r="I26" s="12">
        <v>1.1013120022644e-9</v>
      </c>
      <c r="J26" s="12">
        <v>1.0337216393622e-9</v>
      </c>
      <c r="K26" s="12">
        <v>1.102438586812e-9</v>
      </c>
      <c r="L26" s="12">
        <v>1.1042736602092e-9</v>
      </c>
      <c r="M26" s="12">
        <v>1.0917280314029e-9</v>
      </c>
      <c r="N26" s="12">
        <v>7.4860671428573e-10</v>
      </c>
      <c r="O26" s="12">
        <v>1.0976964719672e-9</v>
      </c>
      <c r="P26" s="12">
        <v>7.4757061863052e-10</v>
      </c>
      <c r="Q26" s="12">
        <v>7.7510037832547e-10</v>
      </c>
      <c r="R26" s="12">
        <v>1.0936256748742e-9</v>
      </c>
      <c r="S26" s="12">
        <v>1.0482097908374e-9</v>
      </c>
      <c r="T26" s="12">
        <v>1.0761872893335e-9</v>
      </c>
      <c r="U26" s="12">
        <v>1.0510136796092e-9</v>
      </c>
      <c r="V26" s="12">
        <v>1.0808797089481e-9</v>
      </c>
      <c r="W26" s="12">
        <v>1.1131767962332e-9</v>
      </c>
      <c r="X26" s="12">
        <v>1.1059591986909e-9</v>
      </c>
      <c r="Y26" s="12">
        <v>7.4175915172046e-10</v>
      </c>
      <c r="Z26" s="12">
        <v>7.6774298407188e-10</v>
      </c>
      <c r="AA26" s="12">
        <v>7.5475827440376e-10</v>
      </c>
      <c r="AB26" s="11">
        <v>0.99983897289983</v>
      </c>
      <c r="AC26" s="11">
        <v>0.76373091225219</v>
      </c>
      <c r="AD26" s="11">
        <v>0.0021412702806237</v>
      </c>
      <c r="AE26" s="12">
        <v>1.0176581338069e-10</v>
      </c>
      <c r="AF26" s="12">
        <v>4.1785039656945e-11</v>
      </c>
      <c r="AG26" s="12">
        <v>2.0883824640124e-11</v>
      </c>
      <c r="AH26" s="12">
        <v>1.4042224305783e-10</v>
      </c>
      <c r="AI26" s="12">
        <v>-3.7396851382899e-10</v>
      </c>
      <c r="AJ26" s="12">
        <v>-1.2356244964676e-10</v>
      </c>
      <c r="AK26" s="12">
        <v>5.0926913887365e-11</v>
      </c>
      <c r="AL26" s="12">
        <v>-1.3432818758758e-10</v>
      </c>
      <c r="AM26" s="12">
        <v>9.2510589936042e-11</v>
      </c>
      <c r="AN26" s="12">
        <v>-1.3121717302396e-10</v>
      </c>
      <c r="AO26" s="12">
        <v>7.2618945234457e-11</v>
      </c>
      <c r="AP26" s="12">
        <v>2.5511790483865e-10</v>
      </c>
      <c r="AQ26" s="12">
        <v>-1.0309557579185e-10</v>
      </c>
      <c r="AR26" s="12">
        <v>-1.2265453954839e-10</v>
      </c>
      <c r="AS26" s="12">
        <v>-1.3734251403973e-10</v>
      </c>
      <c r="AT26" s="12">
        <v>-7.6023568768909e-11</v>
      </c>
      <c r="AU26" s="12">
        <v>-1.3727167386588e-10</v>
      </c>
      <c r="AV26" s="12">
        <v>-1.196432151525e-10</v>
      </c>
      <c r="AW26" s="12">
        <v>-1.7568076005459e-11</v>
      </c>
      <c r="AX26" s="12">
        <v>-2.0819277184771e-10</v>
      </c>
      <c r="AY26" s="12">
        <v>-1.3192013985574e-10</v>
      </c>
      <c r="AZ26" s="12">
        <v>-3.0841563524427e-11</v>
      </c>
      <c r="BA26" s="12">
        <v>1.3353693790628e-10</v>
      </c>
      <c r="BB26" s="12">
        <v>1.5587097712165e-10</v>
      </c>
      <c r="BC26" s="11">
        <v>15827735.730816</v>
      </c>
      <c r="BD26" s="11">
        <v>3947384.223043</v>
      </c>
      <c r="BE26" s="11">
        <v>0.00018189471286284</v>
      </c>
      <c r="BF26" s="11">
        <v>0.00020142128048234</v>
      </c>
      <c r="BG26" s="11">
        <v>0.0025988401338139</v>
      </c>
      <c r="BH26" s="11">
        <v>-0.00094744154111728</v>
      </c>
      <c r="BI26" s="11">
        <v>-0.0012473285687204</v>
      </c>
      <c r="BJ26" s="11">
        <v>65.000416231426</v>
      </c>
      <c r="BK26" s="11">
        <v>65.298048725475</v>
      </c>
      <c r="BL26" s="7"/>
    </row>
    <row r="27" spans="1:64">
      <c r="A27" s="11">
        <v>140919.14656322</v>
      </c>
      <c r="B27" s="11">
        <v>0.0022585219167261</v>
      </c>
      <c r="C27" s="12">
        <f t="shared" si="0"/>
        <v>1.55946199796107e-8</v>
      </c>
      <c r="D27" s="12">
        <v>1.0456313242309e-9</v>
      </c>
      <c r="E27" s="12">
        <v>1.0501057286211e-9</v>
      </c>
      <c r="F27" s="12">
        <v>1.0829084642693e-9</v>
      </c>
      <c r="G27" s="12">
        <v>1.0529432326775e-9</v>
      </c>
      <c r="H27" s="12">
        <v>1.1020098475988e-9</v>
      </c>
      <c r="I27" s="12">
        <v>1.1061399837015e-9</v>
      </c>
      <c r="J27" s="12">
        <v>1.0129280017962e-9</v>
      </c>
      <c r="K27" s="12">
        <v>1.0985922222102e-9</v>
      </c>
      <c r="L27" s="12">
        <v>1.1029945844664e-9</v>
      </c>
      <c r="M27" s="12">
        <v>1.0838455328504e-9</v>
      </c>
      <c r="N27" s="12">
        <v>7.5154658306281e-10</v>
      </c>
      <c r="O27" s="12">
        <v>1.0967451599029e-9</v>
      </c>
      <c r="P27" s="12">
        <v>7.4823382657582e-10</v>
      </c>
      <c r="Q27" s="12">
        <v>7.8460084948278e-10</v>
      </c>
      <c r="R27" s="12">
        <v>1.0948881025244e-9</v>
      </c>
      <c r="S27" s="12">
        <v>1.0357142068617e-9</v>
      </c>
      <c r="T27" s="12">
        <v>1.0751372522738e-9</v>
      </c>
      <c r="U27" s="12">
        <v>1.0372266302035e-9</v>
      </c>
      <c r="V27" s="12">
        <v>1.0701559789042e-9</v>
      </c>
      <c r="W27" s="12">
        <v>1.1130810483481e-9</v>
      </c>
      <c r="X27" s="12">
        <v>1.1077069545958e-9</v>
      </c>
      <c r="Y27" s="12">
        <v>7.4202722391016e-10</v>
      </c>
      <c r="Z27" s="12">
        <v>7.7622146032348e-10</v>
      </c>
      <c r="AA27" s="12">
        <v>7.60881726341e-10</v>
      </c>
      <c r="AB27" s="11">
        <v>0.99985563634617</v>
      </c>
      <c r="AC27" s="11">
        <v>0.73969268108402</v>
      </c>
      <c r="AD27" s="11">
        <v>0.0025990134831157</v>
      </c>
      <c r="AE27" s="12">
        <v>1.1418384466414e-10</v>
      </c>
      <c r="AF27" s="12">
        <v>4.7073039915601e-11</v>
      </c>
      <c r="AG27" s="12">
        <v>1.1177415138114e-11</v>
      </c>
      <c r="AH27" s="12">
        <v>1.6616266261905e-10</v>
      </c>
      <c r="AI27" s="12">
        <v>-3.9876173759872e-10</v>
      </c>
      <c r="AJ27" s="12">
        <v>-1.475147978129e-10</v>
      </c>
      <c r="AK27" s="12">
        <v>5.9782054014686e-11</v>
      </c>
      <c r="AL27" s="12">
        <v>-1.5086597573708e-10</v>
      </c>
      <c r="AM27" s="12">
        <v>1.1170863753373e-10</v>
      </c>
      <c r="AN27" s="12">
        <v>-1.3574811704386e-10</v>
      </c>
      <c r="AO27" s="12">
        <v>8.1960056252152e-11</v>
      </c>
      <c r="AP27" s="12">
        <v>2.6054866630185e-10</v>
      </c>
      <c r="AQ27" s="12">
        <v>-1.062332423877e-10</v>
      </c>
      <c r="AR27" s="12">
        <v>-1.2456929809702e-10</v>
      </c>
      <c r="AS27" s="12">
        <v>-1.3749221852843e-10</v>
      </c>
      <c r="AT27" s="12">
        <v>-8.4984984083537e-11</v>
      </c>
      <c r="AU27" s="12">
        <v>-1.4897372702826e-10</v>
      </c>
      <c r="AV27" s="12">
        <v>-1.4630251946447e-10</v>
      </c>
      <c r="AW27" s="12">
        <v>-2.708658994054e-11</v>
      </c>
      <c r="AX27" s="12">
        <v>-2.0235898045194e-10</v>
      </c>
      <c r="AY27" s="12">
        <v>-1.3415839544994e-10</v>
      </c>
      <c r="AZ27" s="12">
        <v>-1.7642807852772e-11</v>
      </c>
      <c r="BA27" s="12">
        <v>1.4191737074309e-10</v>
      </c>
      <c r="BB27" s="12">
        <v>1.9376506843921e-10</v>
      </c>
      <c r="BC27" s="11">
        <v>15785203.976437</v>
      </c>
      <c r="BD27" s="11">
        <v>3967129.3909703</v>
      </c>
      <c r="BE27" s="11">
        <v>0.00025639886147814</v>
      </c>
      <c r="BF27" s="11">
        <v>0.00027109195304549</v>
      </c>
      <c r="BG27" s="11">
        <v>0.0031487017620943</v>
      </c>
      <c r="BH27" s="11">
        <v>0.00013032553077458</v>
      </c>
      <c r="BI27" s="11">
        <v>-0.00017814872032577</v>
      </c>
      <c r="BJ27" s="11">
        <v>64.999885373516</v>
      </c>
      <c r="BK27" s="11">
        <v>65.549409498518</v>
      </c>
      <c r="BL27" s="7"/>
    </row>
    <row r="28" spans="1:64">
      <c r="A28" s="11">
        <v>177406.69461679</v>
      </c>
      <c r="B28" s="11">
        <v>0.0028290020245696</v>
      </c>
      <c r="C28" s="12">
        <f t="shared" si="0"/>
        <v>1.5634925838424e-8</v>
      </c>
      <c r="D28" s="12">
        <v>1.0383593515621e-9</v>
      </c>
      <c r="E28" s="12">
        <v>1.0403910197938e-9</v>
      </c>
      <c r="F28" s="12">
        <v>1.0898989370111e-9</v>
      </c>
      <c r="G28" s="12">
        <v>1.0512008113206e-9</v>
      </c>
      <c r="H28" s="12">
        <v>1.1066109503302e-9</v>
      </c>
      <c r="I28" s="12">
        <v>1.1183916889163e-9</v>
      </c>
      <c r="J28" s="12">
        <v>9.9224582398222e-10</v>
      </c>
      <c r="K28" s="12">
        <v>1.0964673555988e-9</v>
      </c>
      <c r="L28" s="12">
        <v>1.1030261606131e-9</v>
      </c>
      <c r="M28" s="12">
        <v>1.0755594588215e-9</v>
      </c>
      <c r="N28" s="12">
        <v>7.5598806466416e-10</v>
      </c>
      <c r="O28" s="12">
        <v>1.1007411127268e-9</v>
      </c>
      <c r="P28" s="12">
        <v>7.5005381611962e-10</v>
      </c>
      <c r="Q28" s="12">
        <v>7.9809337325408e-10</v>
      </c>
      <c r="R28" s="12">
        <v>1.0974965770241e-9</v>
      </c>
      <c r="S28" s="12">
        <v>1.0215034024227e-9</v>
      </c>
      <c r="T28" s="12">
        <v>1.0777055664111e-9</v>
      </c>
      <c r="U28" s="12">
        <v>1.027974354608e-9</v>
      </c>
      <c r="V28" s="12">
        <v>1.0585385657907e-9</v>
      </c>
      <c r="W28" s="12">
        <v>1.1134500892995e-9</v>
      </c>
      <c r="X28" s="12">
        <v>1.1129993380591e-9</v>
      </c>
      <c r="Y28" s="12">
        <v>7.4363928629901e-10</v>
      </c>
      <c r="Z28" s="12">
        <v>7.881746035908e-10</v>
      </c>
      <c r="AA28" s="12">
        <v>7.7015278240793e-10</v>
      </c>
      <c r="AB28" s="11">
        <v>0.99987468904753</v>
      </c>
      <c r="AC28" s="11">
        <v>0.72081799837686</v>
      </c>
      <c r="AD28" s="11">
        <v>0.0031747010019163</v>
      </c>
      <c r="AE28" s="12">
        <v>1.289418244206e-10</v>
      </c>
      <c r="AF28" s="12">
        <v>4.9436367736448e-11</v>
      </c>
      <c r="AG28" s="12">
        <v>-2.552034446767e-12</v>
      </c>
      <c r="AH28" s="12">
        <v>1.7637639795466e-10</v>
      </c>
      <c r="AI28" s="12">
        <v>-4.1898038368109e-10</v>
      </c>
      <c r="AJ28" s="12">
        <v>-1.7530167198885e-10</v>
      </c>
      <c r="AK28" s="12">
        <v>6.8380348951816e-11</v>
      </c>
      <c r="AL28" s="12">
        <v>-1.6526112939903e-10</v>
      </c>
      <c r="AM28" s="12">
        <v>1.2662637761485e-10</v>
      </c>
      <c r="AN28" s="12">
        <v>-1.3426541634217e-10</v>
      </c>
      <c r="AO28" s="12">
        <v>8.2710628158796e-11</v>
      </c>
      <c r="AP28" s="12">
        <v>2.5505820271414e-10</v>
      </c>
      <c r="AQ28" s="12">
        <v>-1.0488305071846e-10</v>
      </c>
      <c r="AR28" s="12">
        <v>-1.2433132826595e-10</v>
      </c>
      <c r="AS28" s="12">
        <v>-1.4135573231783e-10</v>
      </c>
      <c r="AT28" s="12">
        <v>-9.0150909157767e-11</v>
      </c>
      <c r="AU28" s="12">
        <v>-1.6155293523251e-10</v>
      </c>
      <c r="AV28" s="12">
        <v>-1.7590593917271e-10</v>
      </c>
      <c r="AW28" s="12">
        <v>-3.7210736601697e-11</v>
      </c>
      <c r="AX28" s="12">
        <v>-1.9155773632767e-10</v>
      </c>
      <c r="AY28" s="12">
        <v>-1.2897634394226e-10</v>
      </c>
      <c r="AZ28" s="12">
        <v>6.5364011799565e-13</v>
      </c>
      <c r="BA28" s="12">
        <v>1.4843220387759e-10</v>
      </c>
      <c r="BB28" s="12">
        <v>2.1949114174832e-10</v>
      </c>
      <c r="BC28" s="11">
        <v>15731940.503554</v>
      </c>
      <c r="BD28" s="11">
        <v>4000259.4357631</v>
      </c>
      <c r="BE28" s="11">
        <v>0.00035268052743022</v>
      </c>
      <c r="BF28" s="11">
        <v>0.00035999262403781</v>
      </c>
      <c r="BG28" s="11">
        <v>0.0038364453611872</v>
      </c>
      <c r="BH28" s="11">
        <v>0.0018073031054808</v>
      </c>
      <c r="BI28" s="11">
        <v>0.0013402781515822</v>
      </c>
      <c r="BJ28" s="11">
        <v>64.998593194912</v>
      </c>
      <c r="BK28" s="11">
        <v>65.849838948785</v>
      </c>
      <c r="BL28" s="7"/>
    </row>
    <row r="29" spans="1:64">
      <c r="A29" s="11">
        <v>223341.79607548</v>
      </c>
      <c r="B29" s="11">
        <v>0.0035481285585676</v>
      </c>
      <c r="C29" s="12">
        <f t="shared" si="0"/>
        <v>1.5655272572865e-8</v>
      </c>
      <c r="D29" s="12">
        <v>1.0325429194043e-9</v>
      </c>
      <c r="E29" s="12">
        <v>1.0288554849397e-9</v>
      </c>
      <c r="F29" s="12">
        <v>1.1007057098573e-9</v>
      </c>
      <c r="G29" s="12">
        <v>1.051187898877e-9</v>
      </c>
      <c r="H29" s="12">
        <v>1.1175295241601e-9</v>
      </c>
      <c r="I29" s="12">
        <v>1.1350808907901e-9</v>
      </c>
      <c r="J29" s="12">
        <v>9.6986959221098e-10</v>
      </c>
      <c r="K29" s="12">
        <v>1.0937761482703e-9</v>
      </c>
      <c r="L29" s="12">
        <v>1.1015113714576e-9</v>
      </c>
      <c r="M29" s="12">
        <v>1.0644448329034e-9</v>
      </c>
      <c r="N29" s="12">
        <v>7.5966221813606e-10</v>
      </c>
      <c r="O29" s="12">
        <v>1.1078037218216e-9</v>
      </c>
      <c r="P29" s="12">
        <v>7.513974447257e-10</v>
      </c>
      <c r="Q29" s="12">
        <v>8.1325980798417e-10</v>
      </c>
      <c r="R29" s="12">
        <v>1.10004789778e-9</v>
      </c>
      <c r="S29" s="12">
        <v>1.0046874155149e-9</v>
      </c>
      <c r="T29" s="12">
        <v>1.0835733144797e-9</v>
      </c>
      <c r="U29" s="12">
        <v>1.0222643289699e-9</v>
      </c>
      <c r="V29" s="12">
        <v>1.0435305258121e-9</v>
      </c>
      <c r="W29" s="12">
        <v>1.111120476248e-9</v>
      </c>
      <c r="X29" s="12">
        <v>1.119110333866e-9</v>
      </c>
      <c r="Y29" s="12">
        <v>7.4470373321568e-10</v>
      </c>
      <c r="Z29" s="12">
        <v>8.0153267519656e-10</v>
      </c>
      <c r="AA29" s="12">
        <v>7.8035756281139e-10</v>
      </c>
      <c r="AB29" s="11">
        <v>0.99989401713563</v>
      </c>
      <c r="AC29" s="11">
        <v>0.70705675025208</v>
      </c>
      <c r="AD29" s="11">
        <v>0.0038983328349809</v>
      </c>
      <c r="AE29" s="12">
        <v>1.4438344820955e-10</v>
      </c>
      <c r="AF29" s="12">
        <v>4.7837257857249e-11</v>
      </c>
      <c r="AG29" s="12">
        <v>-1.5765374747888e-11</v>
      </c>
      <c r="AH29" s="12">
        <v>1.7083565784193e-10</v>
      </c>
      <c r="AI29" s="12">
        <v>-4.3764487610096e-10</v>
      </c>
      <c r="AJ29" s="12">
        <v>-2.0164697397526e-10</v>
      </c>
      <c r="AK29" s="12">
        <v>7.3718677608792e-11</v>
      </c>
      <c r="AL29" s="12">
        <v>-1.7503751844047e-10</v>
      </c>
      <c r="AM29" s="12">
        <v>1.3696996253827e-10</v>
      </c>
      <c r="AN29" s="12">
        <v>-1.3105714988511e-10</v>
      </c>
      <c r="AO29" s="12">
        <v>7.8490372417193e-11</v>
      </c>
      <c r="AP29" s="12">
        <v>2.4580478641777e-10</v>
      </c>
      <c r="AQ29" s="12">
        <v>-1.0148501036613e-10</v>
      </c>
      <c r="AR29" s="12">
        <v>-1.2268460646696e-10</v>
      </c>
      <c r="AS29" s="12">
        <v>-1.4356245274872e-10</v>
      </c>
      <c r="AT29" s="12">
        <v>-9.2034191250651e-11</v>
      </c>
      <c r="AU29" s="12">
        <v>-1.7521396682516e-10</v>
      </c>
      <c r="AV29" s="12">
        <v>-2.0581456511126e-10</v>
      </c>
      <c r="AW29" s="12">
        <v>-4.5505297003839e-11</v>
      </c>
      <c r="AX29" s="12">
        <v>-1.7924150550101e-10</v>
      </c>
      <c r="AY29" s="12">
        <v>-1.210308835819e-10</v>
      </c>
      <c r="AZ29" s="12">
        <v>1.9810862662173e-11</v>
      </c>
      <c r="BA29" s="12">
        <v>1.54952793213e-10</v>
      </c>
      <c r="BB29" s="12">
        <v>2.3205832155737e-10</v>
      </c>
      <c r="BC29" s="11">
        <v>15665302.202217</v>
      </c>
      <c r="BD29" s="11">
        <v>4048059.1965039</v>
      </c>
      <c r="BE29" s="11">
        <v>0.000477779091038</v>
      </c>
      <c r="BF29" s="11">
        <v>0.00047445569029826</v>
      </c>
      <c r="BG29" s="11">
        <v>0.0046962109965094</v>
      </c>
      <c r="BH29" s="11">
        <v>0.0028028237060353</v>
      </c>
      <c r="BI29" s="11">
        <v>0.0019561989438253</v>
      </c>
      <c r="BJ29" s="11">
        <v>64.996990908033</v>
      </c>
      <c r="BK29" s="11">
        <v>66.160822165994</v>
      </c>
      <c r="BL29" s="7"/>
    </row>
    <row r="30" spans="1:64">
      <c r="A30" s="11">
        <v>281170.66259517</v>
      </c>
      <c r="B30" s="11">
        <v>0.0044521454710519</v>
      </c>
      <c r="C30" s="12">
        <f t="shared" si="0"/>
        <v>1.56326237550669e-8</v>
      </c>
      <c r="D30" s="12">
        <v>1.0271720767519e-9</v>
      </c>
      <c r="E30" s="12">
        <v>1.0155276373911e-9</v>
      </c>
      <c r="F30" s="12">
        <v>1.1150512220721e-9</v>
      </c>
      <c r="G30" s="12">
        <v>1.0526784866558e-9</v>
      </c>
      <c r="H30" s="12">
        <v>1.1342925915998e-9</v>
      </c>
      <c r="I30" s="12">
        <v>1.1532816459067e-9</v>
      </c>
      <c r="J30" s="12">
        <v>9.4547890521458e-10</v>
      </c>
      <c r="K30" s="12">
        <v>1.0904514941671e-9</v>
      </c>
      <c r="L30" s="12">
        <v>1.0988583252791e-9</v>
      </c>
      <c r="M30" s="12">
        <v>1.0510668200477e-9</v>
      </c>
      <c r="N30" s="12">
        <v>7.6293053850261e-10</v>
      </c>
      <c r="O30" s="12">
        <v>1.1166978643623e-9</v>
      </c>
      <c r="P30" s="12">
        <v>7.5310276860853e-10</v>
      </c>
      <c r="Q30" s="12">
        <v>8.2941795702571e-10</v>
      </c>
      <c r="R30" s="12">
        <v>1.1022006767913e-9</v>
      </c>
      <c r="S30" s="12">
        <v>9.8592536057902e-10</v>
      </c>
      <c r="T30" s="12">
        <v>1.0928795284952e-9</v>
      </c>
      <c r="U30" s="12">
        <v>1.0199156665431e-9</v>
      </c>
      <c r="V30" s="12">
        <v>1.0259696326524e-9</v>
      </c>
      <c r="W30" s="12">
        <v>1.1059791548974e-9</v>
      </c>
      <c r="X30" s="12">
        <v>1.1254374077336e-9</v>
      </c>
      <c r="Y30" s="12">
        <v>7.4567956273295e-10</v>
      </c>
      <c r="Z30" s="12">
        <v>8.162195147721e-10</v>
      </c>
      <c r="AA30" s="12">
        <v>7.9154881676764e-10</v>
      </c>
      <c r="AB30" s="11">
        <v>0.99991213630255</v>
      </c>
      <c r="AC30" s="11">
        <v>0.6978282346791</v>
      </c>
      <c r="AD30" s="11">
        <v>0.0048059965556151</v>
      </c>
      <c r="AE30" s="12">
        <v>1.5849035582621e-10</v>
      </c>
      <c r="AF30" s="12">
        <v>4.3295124560809e-11</v>
      </c>
      <c r="AG30" s="12">
        <v>-2.6302562711092e-11</v>
      </c>
      <c r="AH30" s="12">
        <v>1.5402411224036e-10</v>
      </c>
      <c r="AI30" s="12">
        <v>-4.5580842374006e-10</v>
      </c>
      <c r="AJ30" s="12">
        <v>-2.2295103180571e-10</v>
      </c>
      <c r="AK30" s="12">
        <v>7.3750080892001e-11</v>
      </c>
      <c r="AL30" s="12">
        <v>-1.8135108126041e-10</v>
      </c>
      <c r="AM30" s="12">
        <v>1.4087142783509e-10</v>
      </c>
      <c r="AN30" s="12">
        <v>-1.3003266556562e-10</v>
      </c>
      <c r="AO30" s="12">
        <v>7.0859719729889e-11</v>
      </c>
      <c r="AP30" s="12">
        <v>2.3782658033873e-10</v>
      </c>
      <c r="AQ30" s="12">
        <v>-9.8807498387945e-11</v>
      </c>
      <c r="AR30" s="12">
        <v>-1.2089675041811e-10</v>
      </c>
      <c r="AS30" s="12">
        <v>-1.4280632527441e-10</v>
      </c>
      <c r="AT30" s="12">
        <v>-9.2817153124649e-11</v>
      </c>
      <c r="AU30" s="12">
        <v>-1.8968708190963e-10</v>
      </c>
      <c r="AV30" s="12">
        <v>-2.3219923827813e-10</v>
      </c>
      <c r="AW30" s="12">
        <v>-5.1471558562698e-11</v>
      </c>
      <c r="AX30" s="12">
        <v>-1.6718920226006e-10</v>
      </c>
      <c r="AY30" s="12">
        <v>-1.1194456041919e-10</v>
      </c>
      <c r="AZ30" s="12">
        <v>3.7643290294532e-11</v>
      </c>
      <c r="BA30" s="12">
        <v>1.6069269609311e-10</v>
      </c>
      <c r="BB30" s="12">
        <v>2.3386944740851e-10</v>
      </c>
      <c r="BC30" s="11">
        <v>15582107.532063</v>
      </c>
      <c r="BD30" s="11">
        <v>4110091.3067759</v>
      </c>
      <c r="BE30" s="11">
        <v>0.00064132815557353</v>
      </c>
      <c r="BF30" s="11">
        <v>0.00062352554245017</v>
      </c>
      <c r="BG30" s="11">
        <v>0.0057684472653911</v>
      </c>
      <c r="BH30" s="12">
        <v>3.5383508865136e-6</v>
      </c>
      <c r="BI30" s="11">
        <v>-0.00029476866725536</v>
      </c>
      <c r="BJ30" s="11">
        <v>64.991494946962</v>
      </c>
      <c r="BK30" s="11">
        <v>66.477107109153</v>
      </c>
      <c r="BL30" s="7"/>
    </row>
    <row r="31" spans="1:64">
      <c r="A31" s="11">
        <v>353972.89219206</v>
      </c>
      <c r="B31" s="11">
        <v>0.0055833395398544</v>
      </c>
      <c r="C31" s="12">
        <f t="shared" si="0"/>
        <v>1.55379041969729e-8</v>
      </c>
      <c r="D31" s="12">
        <v>1.0177769209794e-9</v>
      </c>
      <c r="E31" s="12">
        <v>9.9704299761086e-10</v>
      </c>
      <c r="F31" s="12">
        <v>1.1276426013053e-9</v>
      </c>
      <c r="G31" s="12">
        <v>1.0512011392328e-9</v>
      </c>
      <c r="H31" s="12">
        <v>1.1508990413384e-9</v>
      </c>
      <c r="I31" s="12">
        <v>1.1654620065004e-9</v>
      </c>
      <c r="J31" s="12">
        <v>9.1599687978279e-10</v>
      </c>
      <c r="K31" s="12">
        <v>1.081934037984e-9</v>
      </c>
      <c r="L31" s="12">
        <v>1.0916858685274e-9</v>
      </c>
      <c r="M31" s="12">
        <v>1.0323783543562e-9</v>
      </c>
      <c r="N31" s="12">
        <v>7.6301770614744e-10</v>
      </c>
      <c r="O31" s="12">
        <v>1.1218566793942e-9</v>
      </c>
      <c r="P31" s="12">
        <v>7.5247191428568e-10</v>
      </c>
      <c r="Q31" s="12">
        <v>8.4151286159942e-10</v>
      </c>
      <c r="R31" s="12">
        <v>1.099854641588e-9</v>
      </c>
      <c r="S31" s="12">
        <v>9.6269127388042e-10</v>
      </c>
      <c r="T31" s="12">
        <v>1.100578198456e-9</v>
      </c>
      <c r="U31" s="12">
        <v>1.0168547872752e-9</v>
      </c>
      <c r="V31" s="12">
        <v>1.0032998294898e-9</v>
      </c>
      <c r="W31" s="12">
        <v>1.0939334234364e-9</v>
      </c>
      <c r="X31" s="12">
        <v>1.1267536184828e-9</v>
      </c>
      <c r="Y31" s="12">
        <v>7.4375256158215e-10</v>
      </c>
      <c r="Z31" s="12">
        <v>8.2771344548895e-10</v>
      </c>
      <c r="AA31" s="12">
        <v>7.9999530747666e-10</v>
      </c>
      <c r="AB31" s="11">
        <v>0.9999279340146</v>
      </c>
      <c r="AC31" s="11">
        <v>0.69139234704995</v>
      </c>
      <c r="AD31" s="11">
        <v>0.0059398795000782</v>
      </c>
      <c r="AE31" s="12">
        <v>1.7069265625148e-10</v>
      </c>
      <c r="AF31" s="12">
        <v>3.7435453820574e-11</v>
      </c>
      <c r="AG31" s="12">
        <v>-3.5928272239114e-11</v>
      </c>
      <c r="AH31" s="12">
        <v>1.3202311016046e-10</v>
      </c>
      <c r="AI31" s="12">
        <v>-4.7298589890966e-10</v>
      </c>
      <c r="AJ31" s="12">
        <v>-2.3951884119063e-10</v>
      </c>
      <c r="AK31" s="12">
        <v>6.9519938167152e-11</v>
      </c>
      <c r="AL31" s="12">
        <v>-1.861193459807e-10</v>
      </c>
      <c r="AM31" s="12">
        <v>1.3775838192734e-10</v>
      </c>
      <c r="AN31" s="12">
        <v>-1.3223832960448e-10</v>
      </c>
      <c r="AO31" s="12">
        <v>5.9276973480598e-11</v>
      </c>
      <c r="AP31" s="12">
        <v>2.3170774585973e-10</v>
      </c>
      <c r="AQ31" s="12">
        <v>-9.8346976910962e-11</v>
      </c>
      <c r="AR31" s="12">
        <v>-1.2121758318383e-10</v>
      </c>
      <c r="AS31" s="12">
        <v>-1.4211497495971e-10</v>
      </c>
      <c r="AT31" s="12">
        <v>-9.4332078541987e-11</v>
      </c>
      <c r="AU31" s="12">
        <v>-2.042813809055e-10</v>
      </c>
      <c r="AV31" s="12">
        <v>-2.5364019911359e-10</v>
      </c>
      <c r="AW31" s="12">
        <v>-5.5061193628488e-11</v>
      </c>
      <c r="AX31" s="12">
        <v>-1.5645380917867e-10</v>
      </c>
      <c r="AY31" s="12">
        <v>-1.0174132157894e-10</v>
      </c>
      <c r="AZ31" s="12">
        <v>5.439251075721e-11</v>
      </c>
      <c r="BA31" s="12">
        <v>1.6375679799403e-10</v>
      </c>
      <c r="BB31" s="12">
        <v>2.2669747469852e-10</v>
      </c>
      <c r="BC31" s="11">
        <v>15478688.378473</v>
      </c>
      <c r="BD31" s="11">
        <v>4183870.4261768</v>
      </c>
      <c r="BE31" s="11">
        <v>0.00085637046275262</v>
      </c>
      <c r="BF31" s="11">
        <v>0.00081893513871208</v>
      </c>
      <c r="BG31" s="11">
        <v>0.0070993221229415</v>
      </c>
      <c r="BH31" s="11">
        <v>-0.00063847156461707</v>
      </c>
      <c r="BI31" s="11">
        <v>-0.00058336818391323</v>
      </c>
      <c r="BJ31" s="11">
        <v>64.992794486041</v>
      </c>
      <c r="BK31" s="11">
        <v>66.824534022594</v>
      </c>
      <c r="BL31" s="7"/>
    </row>
    <row r="32" spans="1:64">
      <c r="A32" s="11">
        <v>445625.46906687</v>
      </c>
      <c r="B32" s="11">
        <v>0.006990370602007</v>
      </c>
      <c r="C32" s="12">
        <f t="shared" si="0"/>
        <v>1.53517894436781e-8</v>
      </c>
      <c r="D32" s="12">
        <v>1.0030162944446e-9</v>
      </c>
      <c r="E32" s="12">
        <v>9.7372838779795e-10</v>
      </c>
      <c r="F32" s="12">
        <v>1.1362414469607e-9</v>
      </c>
      <c r="G32" s="12">
        <v>1.0452943647534e-9</v>
      </c>
      <c r="H32" s="12">
        <v>1.1637716396176e-9</v>
      </c>
      <c r="I32" s="12">
        <v>1.1679047266208e-9</v>
      </c>
      <c r="J32" s="12">
        <v>8.8213605040613e-10</v>
      </c>
      <c r="K32" s="12">
        <v>1.0665088144871e-9</v>
      </c>
      <c r="L32" s="12">
        <v>1.0795247936334e-9</v>
      </c>
      <c r="M32" s="12">
        <v>1.0081001393459e-9</v>
      </c>
      <c r="N32" s="12">
        <v>7.6090556887876e-10</v>
      </c>
      <c r="O32" s="12">
        <v>1.1216458652431e-9</v>
      </c>
      <c r="P32" s="12">
        <v>7.5048221491314e-10</v>
      </c>
      <c r="Q32" s="12">
        <v>8.4800220869881e-10</v>
      </c>
      <c r="R32" s="12">
        <v>1.0928340480008e-9</v>
      </c>
      <c r="S32" s="12">
        <v>9.3587030503427e-10</v>
      </c>
      <c r="T32" s="12">
        <v>1.1047115629795e-9</v>
      </c>
      <c r="U32" s="12">
        <v>1.0118052666617e-9</v>
      </c>
      <c r="V32" s="12">
        <v>9.758032927058e-10</v>
      </c>
      <c r="W32" s="12">
        <v>1.0742907988344e-9</v>
      </c>
      <c r="X32" s="12">
        <v>1.1203354797199e-9</v>
      </c>
      <c r="Y32" s="12">
        <v>7.3980069749508e-10</v>
      </c>
      <c r="Z32" s="12">
        <v>8.3471817641939e-10</v>
      </c>
      <c r="AA32" s="12">
        <v>8.0545499246985e-10</v>
      </c>
      <c r="AB32" s="11">
        <v>0.99994115272206</v>
      </c>
      <c r="AC32" s="11">
        <v>0.68667364720263</v>
      </c>
      <c r="AD32" s="11">
        <v>0.0073485262573308</v>
      </c>
      <c r="AE32" s="12">
        <v>1.8007571127503e-10</v>
      </c>
      <c r="AF32" s="12">
        <v>3.1105649414534e-11</v>
      </c>
      <c r="AG32" s="12">
        <v>-4.5271830107439e-11</v>
      </c>
      <c r="AH32" s="12">
        <v>1.0859258802114e-10</v>
      </c>
      <c r="AI32" s="12">
        <v>-4.8819155343774e-10</v>
      </c>
      <c r="AJ32" s="12">
        <v>-2.5222619817492e-10</v>
      </c>
      <c r="AK32" s="12">
        <v>6.1726134140528e-11</v>
      </c>
      <c r="AL32" s="12">
        <v>-1.896971754819e-10</v>
      </c>
      <c r="AM32" s="12">
        <v>1.2798710663703e-10</v>
      </c>
      <c r="AN32" s="12">
        <v>-1.3747658286195e-10</v>
      </c>
      <c r="AO32" s="12">
        <v>4.2742403548364e-11</v>
      </c>
      <c r="AP32" s="12">
        <v>2.2634976647134e-10</v>
      </c>
      <c r="AQ32" s="12">
        <v>-9.9398165343094e-11</v>
      </c>
      <c r="AR32" s="12">
        <v>-1.2424903042333e-10</v>
      </c>
      <c r="AS32" s="12">
        <v>-1.4393311208963e-10</v>
      </c>
      <c r="AT32" s="12">
        <v>-9.8075462547096e-11</v>
      </c>
      <c r="AU32" s="12">
        <v>-2.1881107031493e-10</v>
      </c>
      <c r="AV32" s="12">
        <v>-2.6902044688884e-10</v>
      </c>
      <c r="AW32" s="12">
        <v>-5.6675798338233e-11</v>
      </c>
      <c r="AX32" s="12">
        <v>-1.4659206336426e-10</v>
      </c>
      <c r="AY32" s="12">
        <v>-9.0999971410051e-11</v>
      </c>
      <c r="AZ32" s="12">
        <v>7.1079931867332e-11</v>
      </c>
      <c r="BA32" s="12">
        <v>1.6277641419654e-10</v>
      </c>
      <c r="BB32" s="12">
        <v>2.1200958163158e-10</v>
      </c>
      <c r="BC32" s="11">
        <v>15350971.100021</v>
      </c>
      <c r="BD32" s="11">
        <v>4264820.0535269</v>
      </c>
      <c r="BE32" s="11">
        <v>0.0011397366774933</v>
      </c>
      <c r="BF32" s="11">
        <v>0.0010753495706811</v>
      </c>
      <c r="BG32" s="11">
        <v>0.0087402962480023</v>
      </c>
      <c r="BH32" s="11">
        <v>-0.0023189099217553</v>
      </c>
      <c r="BI32" s="11">
        <v>-0.001758998080987</v>
      </c>
      <c r="BJ32" s="11">
        <v>64.991765407967</v>
      </c>
      <c r="BK32" s="11">
        <v>67.225693657389</v>
      </c>
      <c r="BL32" s="7"/>
    </row>
    <row r="33" spans="1:64">
      <c r="A33" s="7"/>
      <c r="B33" s="13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7"/>
      <c r="AD33" s="7"/>
      <c r="AE33" s="7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7"/>
      <c r="BE33" s="7"/>
      <c r="BF33" s="13"/>
      <c r="BG33" s="13"/>
      <c r="BH33" s="7"/>
      <c r="BI33" s="13"/>
      <c r="BJ33" s="13"/>
      <c r="BK33" s="7"/>
      <c r="BL33" s="7"/>
    </row>
    <row r="34" spans="1:64">
      <c r="A34" s="7"/>
      <c r="B34" s="13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7"/>
      <c r="AD34" s="7"/>
      <c r="AE34" s="7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7"/>
      <c r="BE34" s="7"/>
      <c r="BF34" s="13"/>
      <c r="BG34" s="13"/>
      <c r="BH34" s="7"/>
      <c r="BI34" s="13"/>
      <c r="BJ34" s="13"/>
      <c r="BK34" s="7"/>
      <c r="BL34" s="7"/>
    </row>
    <row r="35" spans="1:64">
      <c r="A35" s="7"/>
      <c r="B35" s="13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7"/>
      <c r="AD35" s="7"/>
      <c r="AE35" s="7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7"/>
      <c r="BE35" s="7"/>
      <c r="BF35" s="13"/>
      <c r="BG35" s="13"/>
      <c r="BH35" s="7"/>
      <c r="BI35" s="13"/>
      <c r="BJ35" s="13"/>
      <c r="BK35" s="7"/>
      <c r="BL35" s="7"/>
    </row>
    <row r="36" spans="1:64">
      <c r="A36" s="7"/>
      <c r="B36" s="13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7"/>
      <c r="AD36" s="7"/>
      <c r="AE36" s="7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7"/>
      <c r="BE36" s="7"/>
      <c r="BF36" s="13"/>
      <c r="BG36" s="13"/>
      <c r="BH36" s="7"/>
      <c r="BI36" s="13"/>
      <c r="BJ36" s="13"/>
      <c r="BK36" s="7"/>
      <c r="BL36" s="7"/>
    </row>
    <row r="37" spans="1:64">
      <c r="A37" s="7"/>
      <c r="B37" s="13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7"/>
      <c r="AD37" s="7"/>
      <c r="AE37" s="7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7"/>
      <c r="BE37" s="7"/>
      <c r="BF37" s="13"/>
      <c r="BG37" s="13"/>
      <c r="BH37" s="7"/>
      <c r="BI37" s="13"/>
      <c r="BJ37" s="13"/>
      <c r="BK37" s="7"/>
      <c r="BL37" s="7"/>
    </row>
    <row r="38" spans="1:64">
      <c r="A38" s="7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"/>
      <c r="AD38" s="7"/>
      <c r="AE38" s="7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7"/>
      <c r="BE38" s="7"/>
      <c r="BF38" s="13"/>
      <c r="BG38" s="13"/>
      <c r="BH38" s="7"/>
      <c r="BI38" s="13"/>
      <c r="BJ38" s="13"/>
      <c r="BK38" s="7"/>
      <c r="BL38" s="7"/>
    </row>
    <row r="39" spans="1:64">
      <c r="A39" s="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7"/>
      <c r="AD39" s="7"/>
      <c r="AE39" s="7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7"/>
      <c r="BE39" s="7"/>
      <c r="BF39" s="13"/>
      <c r="BG39" s="13"/>
      <c r="BH39" s="7"/>
      <c r="BI39" s="13"/>
      <c r="BJ39" s="13"/>
      <c r="BK39" s="7"/>
      <c r="BL39" s="7"/>
    </row>
    <row r="40" spans="1:64">
      <c r="A40" s="7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7"/>
      <c r="AD40" s="7"/>
      <c r="AE40" s="7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7"/>
      <c r="BE40" s="7"/>
      <c r="BF40" s="7"/>
      <c r="BG40" s="7"/>
      <c r="BH40" s="7"/>
      <c r="BI40" s="13"/>
      <c r="BJ40" s="13"/>
      <c r="BK40" s="7"/>
      <c r="BL40" s="7"/>
    </row>
    <row r="41" spans="1:64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7"/>
      <c r="AD41" s="7"/>
      <c r="AE41" s="7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7"/>
      <c r="BE41" s="7"/>
      <c r="BF41" s="7"/>
      <c r="BG41" s="7"/>
      <c r="BH41" s="7"/>
      <c r="BI41" s="13"/>
      <c r="BJ41" s="13"/>
      <c r="BK41" s="7"/>
      <c r="BL41" s="7"/>
    </row>
    <row r="42" spans="1:64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7"/>
      <c r="AD42" s="7"/>
      <c r="AE42" s="7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7"/>
      <c r="BE42" s="7"/>
      <c r="BF42" s="7"/>
      <c r="BG42" s="7"/>
      <c r="BH42" s="7"/>
      <c r="BI42" s="13"/>
      <c r="BJ42" s="13"/>
      <c r="BK42" s="7"/>
      <c r="BL42" s="7"/>
    </row>
    <row r="43" spans="1:64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7"/>
      <c r="AD43" s="7"/>
      <c r="AE43" s="7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7"/>
      <c r="BE43" s="7"/>
      <c r="BF43" s="7"/>
      <c r="BG43" s="7"/>
      <c r="BH43" s="7"/>
      <c r="BI43" s="13"/>
      <c r="BJ43" s="13"/>
      <c r="BK43" s="7"/>
      <c r="BL43" s="7"/>
    </row>
    <row r="44" spans="1:64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7"/>
      <c r="AD44" s="7"/>
      <c r="AE44" s="7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7"/>
      <c r="BE44" s="7"/>
      <c r="BF44" s="7"/>
      <c r="BG44" s="7"/>
      <c r="BH44" s="7"/>
      <c r="BI44" s="13"/>
      <c r="BJ44" s="13"/>
      <c r="BK44" s="7"/>
      <c r="BL44" s="7"/>
    </row>
    <row r="45" spans="1:64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7"/>
      <c r="AD45" s="7"/>
      <c r="AE45" s="7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7"/>
      <c r="BE45" s="7"/>
      <c r="BF45" s="7"/>
      <c r="BG45" s="7"/>
      <c r="BH45" s="7"/>
      <c r="BI45" s="13"/>
      <c r="BJ45" s="13"/>
      <c r="BK45" s="7"/>
      <c r="BL45" s="7"/>
    </row>
    <row r="46" spans="1:64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7"/>
      <c r="AD46" s="7"/>
      <c r="AE46" s="7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7"/>
      <c r="BE46" s="7"/>
      <c r="BF46" s="7"/>
      <c r="BG46" s="7"/>
      <c r="BH46" s="7"/>
      <c r="BI46" s="13"/>
      <c r="BJ46" s="13"/>
      <c r="BK46" s="7"/>
      <c r="BL46" s="7"/>
    </row>
    <row r="47" spans="1:64">
      <c r="A47" s="7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7"/>
      <c r="AD47" s="7"/>
      <c r="AE47" s="7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7"/>
      <c r="BE47" s="7"/>
      <c r="BF47" s="7"/>
      <c r="BG47" s="7"/>
      <c r="BH47" s="7"/>
      <c r="BI47" s="13"/>
      <c r="BJ47" s="13"/>
      <c r="BK47" s="7"/>
      <c r="BL47" s="7"/>
    </row>
    <row r="48" spans="1:64">
      <c r="A48" s="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"/>
      <c r="AD48" s="7"/>
      <c r="AE48" s="7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7"/>
      <c r="BE48" s="7"/>
      <c r="BF48" s="7"/>
      <c r="BG48" s="7"/>
      <c r="BH48" s="7"/>
      <c r="BI48" s="13"/>
      <c r="BJ48" s="13"/>
      <c r="BK48" s="7"/>
      <c r="BL48" s="7"/>
    </row>
    <row r="49" spans="1:64">
      <c r="A49" s="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7"/>
      <c r="AD49" s="7"/>
      <c r="AE49" s="7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7"/>
      <c r="BE49" s="7"/>
      <c r="BF49" s="7"/>
      <c r="BG49" s="7"/>
      <c r="BH49" s="7"/>
      <c r="BI49" s="13"/>
      <c r="BJ49" s="13"/>
      <c r="BK49" s="7"/>
      <c r="BL49" s="7"/>
    </row>
    <row r="50" spans="1:64">
      <c r="A50" s="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7"/>
      <c r="AD50" s="7"/>
      <c r="AE50" s="7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7"/>
      <c r="BE50" s="7"/>
      <c r="BF50" s="7"/>
      <c r="BG50" s="7"/>
      <c r="BH50" s="7"/>
      <c r="BI50" s="13"/>
      <c r="BJ50" s="13"/>
      <c r="BK50" s="7"/>
      <c r="BL50" s="7"/>
    </row>
    <row r="51" spans="1:64">
      <c r="A51" s="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7"/>
      <c r="AD51" s="7"/>
      <c r="AE51" s="7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7"/>
      <c r="BE51" s="7"/>
      <c r="BF51" s="7"/>
      <c r="BG51" s="7"/>
      <c r="BH51" s="7"/>
      <c r="BI51" s="13"/>
      <c r="BJ51" s="13"/>
      <c r="BK51" s="7"/>
      <c r="BL51" s="7"/>
    </row>
    <row r="52" spans="1:64">
      <c r="A52" s="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7"/>
      <c r="AD52" s="7"/>
      <c r="AE52" s="7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7"/>
      <c r="BE52" s="7"/>
      <c r="BF52" s="7"/>
      <c r="BG52" s="7"/>
      <c r="BH52" s="7"/>
      <c r="BI52" s="13"/>
      <c r="BJ52" s="13"/>
      <c r="BK52" s="7"/>
      <c r="BL52" s="7"/>
    </row>
    <row r="53" spans="1:64">
      <c r="A53" s="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7"/>
      <c r="AD53" s="7"/>
      <c r="AE53" s="7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7"/>
      <c r="BE53" s="7"/>
      <c r="BF53" s="7"/>
      <c r="BG53" s="7"/>
      <c r="BH53" s="7"/>
      <c r="BI53" s="13"/>
      <c r="BJ53" s="13"/>
      <c r="BK53" s="7"/>
      <c r="BL53" s="7"/>
    </row>
    <row r="54" spans="1:64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7"/>
      <c r="AD54" s="7"/>
      <c r="AE54" s="7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7"/>
      <c r="BE54" s="7"/>
      <c r="BF54" s="7"/>
      <c r="BG54" s="7"/>
      <c r="BH54" s="7"/>
      <c r="BI54" s="13"/>
      <c r="BJ54" s="13"/>
      <c r="BK54" s="7"/>
      <c r="BL54" s="7"/>
    </row>
    <row r="55" spans="1:64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7"/>
      <c r="AD55" s="7"/>
      <c r="AE55" s="7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7"/>
      <c r="BE55" s="7"/>
      <c r="BF55" s="7"/>
      <c r="BG55" s="7"/>
      <c r="BH55" s="7"/>
      <c r="BI55" s="13"/>
      <c r="BJ55" s="13"/>
      <c r="BK55" s="7"/>
      <c r="BL55" s="7"/>
    </row>
    <row r="56" spans="1:64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7"/>
      <c r="AD56" s="7"/>
      <c r="AE56" s="7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7"/>
      <c r="BE56" s="7"/>
      <c r="BF56" s="7"/>
      <c r="BG56" s="7"/>
      <c r="BH56" s="7"/>
      <c r="BI56" s="13"/>
      <c r="BJ56" s="13"/>
      <c r="BK56" s="7"/>
      <c r="BL56" s="7"/>
    </row>
    <row r="57" spans="1:64">
      <c r="A57" s="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7"/>
      <c r="AD57" s="7"/>
      <c r="AE57" s="7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7"/>
      <c r="BE57" s="7"/>
      <c r="BF57" s="7"/>
      <c r="BG57" s="7"/>
      <c r="BH57" s="7"/>
      <c r="BI57" s="13"/>
      <c r="BJ57" s="13"/>
      <c r="BK57" s="7"/>
      <c r="BL57" s="7"/>
    </row>
    <row r="58" spans="1:64">
      <c r="A58" s="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7"/>
      <c r="AD58" s="7"/>
      <c r="AE58" s="7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7"/>
      <c r="BE58" s="7"/>
      <c r="BF58" s="7"/>
      <c r="BG58" s="7"/>
      <c r="BH58" s="7"/>
      <c r="BI58" s="13"/>
      <c r="BJ58" s="13"/>
      <c r="BK58" s="7"/>
      <c r="BL58" s="7"/>
    </row>
    <row r="59" spans="1:64">
      <c r="A59" s="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7"/>
      <c r="AD59" s="7"/>
      <c r="AE59" s="7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7"/>
      <c r="BE59" s="7"/>
      <c r="BF59" s="7"/>
      <c r="BG59" s="7"/>
      <c r="BH59" s="7"/>
      <c r="BI59" s="13"/>
      <c r="BJ59" s="13"/>
      <c r="BK59" s="7"/>
      <c r="BL59" s="7"/>
    </row>
    <row r="60" spans="1:64">
      <c r="A60" s="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7"/>
      <c r="AD60" s="7"/>
      <c r="AE60" s="7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7"/>
      <c r="BE60" s="7"/>
      <c r="BF60" s="7"/>
      <c r="BG60" s="7"/>
      <c r="BH60" s="7"/>
      <c r="BI60" s="13"/>
      <c r="BJ60" s="13"/>
      <c r="BK60" s="7"/>
      <c r="BL60" s="7"/>
    </row>
    <row r="61" spans="1:64">
      <c r="A61" s="7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7"/>
      <c r="AD61" s="7"/>
      <c r="AE61" s="7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7"/>
      <c r="BE61" s="7"/>
      <c r="BF61" s="7"/>
      <c r="BG61" s="7"/>
      <c r="BH61" s="7"/>
      <c r="BI61" s="13"/>
      <c r="BJ61" s="13"/>
      <c r="BK61" s="7"/>
      <c r="BL61" s="7"/>
    </row>
    <row r="62" spans="1:64">
      <c r="A62" s="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"/>
      <c r="AD62" s="7"/>
      <c r="AE62" s="7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7"/>
      <c r="BE62" s="7"/>
      <c r="BF62" s="7"/>
      <c r="BG62" s="7"/>
      <c r="BH62" s="7"/>
      <c r="BI62" s="13"/>
      <c r="BJ62" s="13"/>
      <c r="BK62" s="7"/>
      <c r="BL62" s="7"/>
    </row>
    <row r="63" spans="1:64">
      <c r="A63" s="7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7"/>
      <c r="AD63" s="7"/>
      <c r="AE63" s="7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7"/>
      <c r="BE63" s="7"/>
      <c r="BF63" s="7"/>
      <c r="BG63" s="7"/>
      <c r="BH63" s="7"/>
      <c r="BI63" s="13"/>
      <c r="BJ63" s="13"/>
      <c r="BK63" s="7"/>
      <c r="BL63" s="7"/>
    </row>
    <row r="64" spans="1:64">
      <c r="A64" s="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7"/>
      <c r="AD64" s="7"/>
      <c r="AE64" s="7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7"/>
      <c r="BE64" s="7"/>
      <c r="BF64" s="7"/>
      <c r="BG64" s="7"/>
      <c r="BH64" s="7"/>
      <c r="BI64" s="13"/>
      <c r="BJ64" s="13"/>
      <c r="BK64" s="7"/>
      <c r="BL64" s="7"/>
    </row>
    <row r="65" spans="1:64">
      <c r="A65" s="7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7"/>
      <c r="AD65" s="7"/>
      <c r="AE65" s="7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7"/>
      <c r="BE65" s="7"/>
      <c r="BF65" s="7"/>
      <c r="BG65" s="7"/>
      <c r="BH65" s="7"/>
      <c r="BI65" s="13"/>
      <c r="BJ65" s="13"/>
      <c r="BK65" s="7"/>
      <c r="BL65" s="7"/>
    </row>
    <row r="66" spans="1:64">
      <c r="A66" s="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7"/>
      <c r="AD66" s="7"/>
      <c r="AE66" s="7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7"/>
      <c r="BE66" s="7"/>
      <c r="BF66" s="7"/>
      <c r="BG66" s="7"/>
      <c r="BH66" s="7"/>
      <c r="BI66" s="13"/>
      <c r="BJ66" s="13"/>
      <c r="BK66" s="7"/>
      <c r="BL66" s="7"/>
    </row>
    <row r="67" spans="1:64">
      <c r="A67" s="7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7"/>
      <c r="AD67" s="7"/>
      <c r="AE67" s="7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7"/>
      <c r="BE67" s="7"/>
      <c r="BF67" s="7"/>
      <c r="BG67" s="7"/>
      <c r="BH67" s="7"/>
      <c r="BI67" s="13"/>
      <c r="BJ67" s="13"/>
      <c r="BK67" s="7"/>
      <c r="BL67" s="7"/>
    </row>
    <row r="68" spans="1:64">
      <c r="A68" s="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7"/>
      <c r="AD68" s="7"/>
      <c r="AE68" s="7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7"/>
      <c r="BE68" s="7"/>
      <c r="BF68" s="7"/>
      <c r="BG68" s="7"/>
      <c r="BH68" s="7"/>
      <c r="BI68" s="13"/>
      <c r="BJ68" s="13"/>
      <c r="BK68" s="7"/>
      <c r="BL68" s="7"/>
    </row>
    <row r="69" spans="1:64">
      <c r="A69" s="7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7"/>
      <c r="AD69" s="7"/>
      <c r="AE69" s="7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7"/>
      <c r="BE69" s="7"/>
      <c r="BF69" s="7"/>
      <c r="BG69" s="7"/>
      <c r="BH69" s="7"/>
      <c r="BI69" s="13"/>
      <c r="BJ69" s="13"/>
      <c r="BK69" s="7"/>
      <c r="BL69" s="7"/>
    </row>
    <row r="70" spans="1:64">
      <c r="A70" s="7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7"/>
      <c r="AD70" s="7"/>
      <c r="AE70" s="7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7"/>
      <c r="BE70" s="7"/>
      <c r="BF70" s="7"/>
      <c r="BG70" s="7"/>
      <c r="BH70" s="7"/>
      <c r="BI70" s="13"/>
      <c r="BJ70" s="13"/>
      <c r="BK70" s="7"/>
      <c r="BL70" s="7"/>
    </row>
    <row r="71" spans="1:64">
      <c r="A71" s="7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7"/>
      <c r="AD71" s="7"/>
      <c r="AE71" s="7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7"/>
      <c r="BE71" s="7"/>
      <c r="BF71" s="7"/>
      <c r="BG71" s="7"/>
      <c r="BH71" s="7"/>
      <c r="BI71" s="13"/>
      <c r="BJ71" s="13"/>
      <c r="BK71" s="7"/>
      <c r="BL71" s="7"/>
    </row>
    <row r="72" spans="1:64">
      <c r="A72" s="7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7"/>
      <c r="AD72" s="7"/>
      <c r="AE72" s="7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7"/>
      <c r="BE72" s="7"/>
      <c r="BF72" s="7"/>
      <c r="BG72" s="7"/>
      <c r="BH72" s="7"/>
      <c r="BI72" s="13"/>
      <c r="BJ72" s="13"/>
      <c r="BK72" s="7"/>
      <c r="BL72" s="7"/>
    </row>
    <row r="73" spans="1:64">
      <c r="A73" s="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7"/>
      <c r="AD73" s="7"/>
      <c r="AE73" s="7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7"/>
      <c r="BE73" s="7"/>
      <c r="BF73" s="7"/>
      <c r="BG73" s="7"/>
      <c r="BH73" s="7"/>
      <c r="BI73" s="13"/>
      <c r="BJ73" s="13"/>
      <c r="BK73" s="7"/>
      <c r="BL73" s="7"/>
    </row>
    <row r="74" spans="1:64">
      <c r="A74" s="7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7"/>
      <c r="AD74" s="7"/>
      <c r="AE74" s="7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7"/>
      <c r="BE74" s="7"/>
      <c r="BF74" s="7"/>
      <c r="BG74" s="7"/>
      <c r="BH74" s="7"/>
      <c r="BI74" s="13"/>
      <c r="BJ74" s="13"/>
      <c r="BK74" s="7"/>
      <c r="BL74" s="7"/>
    </row>
    <row r="75" spans="1:64">
      <c r="A75" s="7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7"/>
      <c r="AD75" s="7"/>
      <c r="AE75" s="7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7"/>
      <c r="BE75" s="7"/>
      <c r="BF75" s="7"/>
      <c r="BG75" s="7"/>
      <c r="BH75" s="7"/>
      <c r="BI75" s="13"/>
      <c r="BJ75" s="13"/>
      <c r="BK75" s="7"/>
      <c r="BL75" s="7"/>
    </row>
    <row r="76" spans="1:64">
      <c r="A76" s="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7"/>
      <c r="AD76" s="7"/>
      <c r="AE76" s="7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7"/>
      <c r="BE76" s="7"/>
      <c r="BF76" s="7"/>
      <c r="BG76" s="7"/>
      <c r="BH76" s="7"/>
      <c r="BI76" s="13"/>
      <c r="BJ76" s="13"/>
      <c r="BK76" s="7"/>
      <c r="BL76" s="7"/>
    </row>
    <row r="77" spans="1:64">
      <c r="A77" s="7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7"/>
      <c r="AD77" s="7"/>
      <c r="AE77" s="7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7"/>
      <c r="BE77" s="7"/>
      <c r="BF77" s="7"/>
      <c r="BG77" s="7"/>
      <c r="BH77" s="7"/>
      <c r="BI77" s="13"/>
      <c r="BJ77" s="13"/>
      <c r="BK77" s="7"/>
      <c r="BL77" s="7"/>
    </row>
    <row r="78" spans="1:64">
      <c r="A78" s="7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7"/>
      <c r="AD78" s="7"/>
      <c r="AE78" s="7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7"/>
      <c r="BE78" s="7"/>
      <c r="BF78" s="7"/>
      <c r="BG78" s="7"/>
      <c r="BH78" s="7"/>
      <c r="BI78" s="13"/>
      <c r="BJ78" s="13"/>
      <c r="BK78" s="7"/>
      <c r="BL78" s="7"/>
    </row>
    <row r="79" spans="1:64">
      <c r="A79" s="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7"/>
      <c r="AD79" s="7"/>
      <c r="AE79" s="7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7"/>
      <c r="BE79" s="7"/>
      <c r="BF79" s="7"/>
      <c r="BG79" s="7"/>
      <c r="BH79" s="7"/>
      <c r="BI79" s="13"/>
      <c r="BJ79" s="13"/>
      <c r="BK79" s="7"/>
      <c r="BL79" s="7"/>
    </row>
    <row r="80" spans="1:64">
      <c r="A80" s="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7"/>
      <c r="AD80" s="7"/>
      <c r="AE80" s="7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7"/>
      <c r="BE80" s="7"/>
      <c r="BF80" s="7"/>
      <c r="BG80" s="7"/>
      <c r="BH80" s="7"/>
      <c r="BI80" s="13"/>
      <c r="BJ80" s="13"/>
      <c r="BK80" s="7"/>
      <c r="BL80" s="7"/>
    </row>
    <row r="81" spans="1:64">
      <c r="A81" s="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7"/>
      <c r="AD81" s="7"/>
      <c r="AE81" s="7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7"/>
      <c r="BE81" s="7"/>
      <c r="BF81" s="7"/>
      <c r="BG81" s="7"/>
      <c r="BH81" s="7"/>
      <c r="BI81" s="13"/>
      <c r="BJ81" s="13"/>
      <c r="BK81" s="7"/>
      <c r="BL81" s="7"/>
    </row>
    <row r="82" spans="1:64">
      <c r="A82" s="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7"/>
      <c r="AD82" s="7"/>
      <c r="AE82" s="7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7"/>
      <c r="BE82" s="7"/>
      <c r="BF82" s="7"/>
      <c r="BG82" s="7"/>
      <c r="BH82" s="7"/>
      <c r="BI82" s="13"/>
      <c r="BJ82" s="13"/>
      <c r="BK82" s="7"/>
      <c r="BL82" s="7"/>
    </row>
    <row r="83" spans="1:64">
      <c r="A83" s="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7"/>
      <c r="AD83" s="7"/>
      <c r="AE83" s="7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7"/>
      <c r="BE83" s="7"/>
      <c r="BF83" s="7"/>
      <c r="BG83" s="7"/>
      <c r="BH83" s="7"/>
      <c r="BI83" s="13"/>
      <c r="BJ83" s="13"/>
      <c r="BK83" s="7"/>
      <c r="BL83" s="7"/>
    </row>
    <row r="84" spans="1:64">
      <c r="A84" s="7"/>
      <c r="B84" s="7"/>
      <c r="C84" s="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7"/>
      <c r="AD84" s="7"/>
      <c r="AE84" s="7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7"/>
      <c r="BE84" s="7"/>
      <c r="BF84" s="7"/>
      <c r="BG84" s="7"/>
      <c r="BH84" s="7"/>
      <c r="BI84" s="13"/>
      <c r="BJ84" s="13"/>
      <c r="BK84" s="7"/>
      <c r="BL84" s="7"/>
    </row>
    <row r="85" spans="1:64">
      <c r="A85" s="7"/>
      <c r="B85" s="7"/>
      <c r="C85" s="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7"/>
      <c r="AD85" s="7"/>
      <c r="AE85" s="7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7"/>
      <c r="BE85" s="7"/>
      <c r="BF85" s="7"/>
      <c r="BG85" s="7"/>
      <c r="BH85" s="7"/>
      <c r="BI85" s="13"/>
      <c r="BJ85" s="13"/>
      <c r="BK85" s="7"/>
      <c r="BL85" s="7"/>
    </row>
    <row r="86" spans="1:64">
      <c r="A86" s="7"/>
      <c r="B86" s="7"/>
      <c r="C86" s="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7"/>
      <c r="AD86" s="7"/>
      <c r="AE86" s="7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7"/>
      <c r="BE86" s="7"/>
      <c r="BF86" s="7"/>
      <c r="BG86" s="7"/>
      <c r="BH86" s="7"/>
      <c r="BI86" s="13"/>
      <c r="BJ86" s="13"/>
      <c r="BK86" s="7"/>
      <c r="BL86" s="7"/>
    </row>
    <row r="87" spans="1:64">
      <c r="A87" s="7"/>
      <c r="B87" s="7"/>
      <c r="C87" s="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7"/>
      <c r="AD87" s="7"/>
      <c r="AE87" s="7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7"/>
      <c r="BE87" s="7"/>
      <c r="BF87" s="7"/>
      <c r="BG87" s="7"/>
      <c r="BH87" s="7"/>
      <c r="BI87" s="13"/>
      <c r="BJ87" s="13"/>
      <c r="BK87" s="7"/>
      <c r="BL87" s="7"/>
    </row>
    <row r="88" spans="1:64">
      <c r="A88" s="7"/>
      <c r="B88" s="7"/>
      <c r="C88" s="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7"/>
      <c r="AD88" s="7"/>
      <c r="AE88" s="7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7"/>
      <c r="BE88" s="7"/>
      <c r="BF88" s="7"/>
      <c r="BG88" s="7"/>
      <c r="BH88" s="7"/>
      <c r="BI88" s="13"/>
      <c r="BJ88" s="13"/>
      <c r="BK88" s="7"/>
      <c r="BL88" s="7"/>
    </row>
    <row r="89" spans="1:64">
      <c r="A89" s="7"/>
      <c r="B89" s="7"/>
      <c r="C89" s="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7"/>
      <c r="AD89" s="7"/>
      <c r="AE89" s="7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7"/>
      <c r="BE89" s="7"/>
      <c r="BF89" s="7"/>
      <c r="BG89" s="7"/>
      <c r="BH89" s="7"/>
      <c r="BI89" s="13"/>
      <c r="BJ89" s="13"/>
      <c r="BK89" s="7"/>
      <c r="BL89" s="7"/>
    </row>
    <row r="90" spans="1:64">
      <c r="A90" s="7"/>
      <c r="B90" s="7"/>
      <c r="C90" s="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7"/>
      <c r="AD90" s="7"/>
      <c r="AE90" s="7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7"/>
      <c r="BE90" s="7"/>
      <c r="BF90" s="7"/>
      <c r="BG90" s="7"/>
      <c r="BH90" s="7"/>
      <c r="BI90" s="13"/>
      <c r="BJ90" s="13"/>
      <c r="BK90" s="7"/>
      <c r="BL90" s="7"/>
    </row>
    <row r="91" spans="1:64">
      <c r="A91" s="7"/>
      <c r="B91" s="7"/>
      <c r="C91" s="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7"/>
      <c r="AD91" s="7"/>
      <c r="AE91" s="7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7"/>
      <c r="BE91" s="7"/>
      <c r="BF91" s="7"/>
      <c r="BG91" s="7"/>
      <c r="BH91" s="7"/>
      <c r="BI91" s="13"/>
      <c r="BJ91" s="13"/>
      <c r="BK91" s="7"/>
      <c r="BL91" s="7"/>
    </row>
    <row r="92" spans="1:64">
      <c r="A92" s="7"/>
      <c r="B92" s="7"/>
      <c r="C92" s="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7"/>
      <c r="AD92" s="7"/>
      <c r="AE92" s="7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7"/>
      <c r="BE92" s="7"/>
      <c r="BF92" s="7"/>
      <c r="BG92" s="7"/>
      <c r="BH92" s="7"/>
      <c r="BI92" s="13"/>
      <c r="BJ92" s="13"/>
      <c r="BK92" s="7"/>
      <c r="BL92" s="7"/>
    </row>
    <row r="93" spans="1:64">
      <c r="A93" s="7"/>
      <c r="B93" s="7"/>
      <c r="C93" s="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7"/>
      <c r="AD93" s="7"/>
      <c r="AE93" s="7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7"/>
      <c r="BE93" s="7"/>
      <c r="BF93" s="7"/>
      <c r="BG93" s="7"/>
      <c r="BH93" s="7"/>
      <c r="BI93" s="13"/>
      <c r="BJ93" s="13"/>
      <c r="BK93" s="7"/>
      <c r="BL93" s="7"/>
    </row>
    <row r="94" spans="1:64">
      <c r="A94" s="7"/>
      <c r="B94" s="7"/>
      <c r="C94" s="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7"/>
      <c r="AD94" s="7"/>
      <c r="AE94" s="7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7"/>
      <c r="BE94" s="7"/>
      <c r="BF94" s="7"/>
      <c r="BG94" s="7"/>
      <c r="BH94" s="7"/>
      <c r="BI94" s="13"/>
      <c r="BJ94" s="13"/>
      <c r="BK94" s="7"/>
      <c r="BL94" s="7"/>
    </row>
    <row r="95" spans="1:64">
      <c r="A95" s="7"/>
      <c r="B95" s="7"/>
      <c r="C95" s="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7"/>
      <c r="AD95" s="7"/>
      <c r="AE95" s="7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7"/>
      <c r="BE95" s="7"/>
      <c r="BF95" s="7"/>
      <c r="BG95" s="7"/>
      <c r="BH95" s="7"/>
      <c r="BI95" s="13"/>
      <c r="BJ95" s="13"/>
      <c r="BK95" s="7"/>
      <c r="BL95" s="7"/>
    </row>
    <row r="96" spans="1:64">
      <c r="A96" s="7"/>
      <c r="B96" s="7"/>
      <c r="C96" s="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7"/>
      <c r="AD96" s="7"/>
      <c r="AE96" s="7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7"/>
      <c r="BE96" s="7"/>
      <c r="BF96" s="7"/>
      <c r="BG96" s="7"/>
      <c r="BH96" s="7"/>
      <c r="BI96" s="13"/>
      <c r="BJ96" s="13"/>
      <c r="BK96" s="7"/>
      <c r="BL96" s="7"/>
    </row>
    <row r="97" spans="1:64">
      <c r="A97" s="7"/>
      <c r="B97" s="7"/>
      <c r="C97" s="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7"/>
      <c r="AD97" s="7"/>
      <c r="AE97" s="7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7"/>
      <c r="BE97" s="7"/>
      <c r="BF97" s="7"/>
      <c r="BG97" s="7"/>
      <c r="BH97" s="7"/>
      <c r="BI97" s="13"/>
      <c r="BJ97" s="13"/>
      <c r="BK97" s="7"/>
      <c r="BL97" s="7"/>
    </row>
    <row r="98" spans="1:64">
      <c r="A98" s="7"/>
      <c r="B98" s="7"/>
      <c r="C98" s="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7"/>
      <c r="AD98" s="7"/>
      <c r="AE98" s="7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7"/>
      <c r="BE98" s="7"/>
      <c r="BF98" s="7"/>
      <c r="BG98" s="7"/>
      <c r="BH98" s="7"/>
      <c r="BI98" s="13"/>
      <c r="BJ98" s="13"/>
      <c r="BK98" s="7"/>
      <c r="BL98" s="7"/>
    </row>
    <row r="99" spans="1:64">
      <c r="A99" s="7"/>
      <c r="B99" s="7"/>
      <c r="C99" s="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7"/>
      <c r="AD99" s="7"/>
      <c r="AE99" s="7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7"/>
      <c r="BE99" s="7"/>
      <c r="BF99" s="7"/>
      <c r="BG99" s="7"/>
      <c r="BH99" s="7"/>
      <c r="BI99" s="13"/>
      <c r="BJ99" s="13"/>
      <c r="BK99" s="7"/>
      <c r="BL99" s="7"/>
    </row>
    <row r="100" spans="1:64">
      <c r="A100" s="7"/>
      <c r="B100" s="7"/>
      <c r="C100" s="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7"/>
      <c r="AD100" s="7"/>
      <c r="AE100" s="7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7"/>
      <c r="BE100" s="7"/>
      <c r="BF100" s="7"/>
      <c r="BG100" s="7"/>
      <c r="BH100" s="7"/>
      <c r="BI100" s="13"/>
      <c r="BJ100" s="13"/>
      <c r="BK100" s="7"/>
      <c r="BL100" s="7"/>
    </row>
    <row r="101" spans="1:64">
      <c r="A101" s="7"/>
      <c r="B101" s="7"/>
      <c r="C101" s="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7"/>
      <c r="AD101" s="7"/>
      <c r="AE101" s="7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7"/>
      <c r="BE101" s="7"/>
      <c r="BF101" s="7"/>
      <c r="BG101" s="7"/>
      <c r="BH101" s="7"/>
      <c r="BI101" s="13"/>
      <c r="BJ101" s="13"/>
      <c r="BK101" s="7"/>
      <c r="BL101" s="7"/>
    </row>
    <row r="102" spans="1:64">
      <c r="A102" s="7"/>
      <c r="B102" s="7"/>
      <c r="C102" s="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7"/>
      <c r="AD102" s="7"/>
      <c r="AE102" s="7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7"/>
      <c r="BE102" s="7"/>
      <c r="BF102" s="7"/>
      <c r="BG102" s="7"/>
      <c r="BH102" s="7"/>
      <c r="BI102" s="13"/>
      <c r="BJ102" s="13"/>
      <c r="BK102" s="7"/>
      <c r="BL102" s="7"/>
    </row>
    <row r="103" spans="1:64">
      <c r="A103" s="7"/>
      <c r="B103" s="7"/>
      <c r="C103" s="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7"/>
      <c r="AD103" s="7"/>
      <c r="AE103" s="7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7"/>
      <c r="BE103" s="7"/>
      <c r="BF103" s="7"/>
      <c r="BG103" s="7"/>
      <c r="BH103" s="7"/>
      <c r="BI103" s="13"/>
      <c r="BJ103" s="13"/>
      <c r="BK103" s="7"/>
      <c r="BL103" s="7"/>
    </row>
    <row r="104" spans="1:64">
      <c r="A104" s="7"/>
      <c r="B104" s="7"/>
      <c r="C104" s="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7"/>
      <c r="AD104" s="7"/>
      <c r="AE104" s="7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7"/>
      <c r="BE104" s="7"/>
      <c r="BF104" s="7"/>
      <c r="BG104" s="7"/>
      <c r="BH104" s="7"/>
      <c r="BI104" s="13"/>
      <c r="BJ104" s="13"/>
      <c r="BK104" s="7"/>
      <c r="BL104" s="7"/>
    </row>
    <row r="105" spans="1:64">
      <c r="A105" s="7"/>
      <c r="B105" s="7"/>
      <c r="C105" s="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7"/>
      <c r="AD105" s="7"/>
      <c r="AE105" s="7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7"/>
      <c r="BE105" s="7"/>
      <c r="BF105" s="7"/>
      <c r="BG105" s="7"/>
      <c r="BH105" s="7"/>
      <c r="BI105" s="13"/>
      <c r="BJ105" s="13"/>
      <c r="BK105" s="7"/>
      <c r="BL105" s="7"/>
    </row>
    <row r="106" spans="1:64">
      <c r="A106" s="7"/>
      <c r="B106" s="7"/>
      <c r="C106" s="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7"/>
      <c r="AD106" s="7"/>
      <c r="AE106" s="7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7"/>
      <c r="BE106" s="7"/>
      <c r="BF106" s="7"/>
      <c r="BG106" s="7"/>
      <c r="BH106" s="7"/>
      <c r="BI106" s="13"/>
      <c r="BJ106" s="13"/>
      <c r="BK106" s="7"/>
      <c r="BL106" s="7"/>
    </row>
    <row r="107" spans="1:64">
      <c r="A107" s="7"/>
      <c r="B107" s="7"/>
      <c r="C107" s="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7"/>
      <c r="AD107" s="7"/>
      <c r="AE107" s="7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7"/>
      <c r="BE107" s="7"/>
      <c r="BF107" s="7"/>
      <c r="BG107" s="7"/>
      <c r="BH107" s="7"/>
      <c r="BI107" s="13"/>
      <c r="BJ107" s="13"/>
      <c r="BK107" s="7"/>
      <c r="BL107" s="7"/>
    </row>
    <row r="108" spans="1:64">
      <c r="A108" s="7"/>
      <c r="B108" s="7"/>
      <c r="C108" s="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7"/>
      <c r="AD108" s="7"/>
      <c r="AE108" s="7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7"/>
      <c r="BE108" s="7"/>
      <c r="BF108" s="7"/>
      <c r="BG108" s="7"/>
      <c r="BH108" s="7"/>
      <c r="BI108" s="13"/>
      <c r="BJ108" s="13"/>
      <c r="BK108" s="7"/>
      <c r="BL108" s="7"/>
    </row>
    <row r="109" spans="1:64">
      <c r="A109" s="7"/>
      <c r="B109" s="7"/>
      <c r="C109" s="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7"/>
      <c r="AD109" s="7"/>
      <c r="AE109" s="7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7"/>
      <c r="BE109" s="7"/>
      <c r="BF109" s="7"/>
      <c r="BG109" s="7"/>
      <c r="BH109" s="7"/>
      <c r="BI109" s="13"/>
      <c r="BJ109" s="13"/>
      <c r="BK109" s="7"/>
      <c r="BL109" s="7"/>
    </row>
    <row r="110" spans="1:64">
      <c r="A110" s="7"/>
      <c r="B110" s="7"/>
      <c r="C110" s="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7"/>
      <c r="AD110" s="7"/>
      <c r="AE110" s="7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7"/>
      <c r="BE110" s="7"/>
      <c r="BF110" s="7"/>
      <c r="BG110" s="7"/>
      <c r="BH110" s="7"/>
      <c r="BI110" s="13"/>
      <c r="BJ110" s="13"/>
      <c r="BK110" s="7"/>
      <c r="BL110" s="7"/>
    </row>
    <row r="111" spans="1:64">
      <c r="A111" s="7"/>
      <c r="B111" s="7"/>
      <c r="C111" s="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7"/>
      <c r="AD111" s="7"/>
      <c r="AE111" s="7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7"/>
      <c r="BE111" s="7"/>
      <c r="BF111" s="7"/>
      <c r="BG111" s="7"/>
      <c r="BH111" s="7"/>
      <c r="BI111" s="13"/>
      <c r="BJ111" s="13"/>
      <c r="BK111" s="7"/>
      <c r="BL111" s="7"/>
    </row>
    <row r="112" spans="1:64">
      <c r="A112" s="7"/>
      <c r="B112" s="7"/>
      <c r="C112" s="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7"/>
      <c r="AD112" s="7"/>
      <c r="AE112" s="7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7"/>
      <c r="BE112" s="7"/>
      <c r="BF112" s="7"/>
      <c r="BG112" s="7"/>
      <c r="BH112" s="7"/>
      <c r="BI112" s="13"/>
      <c r="BJ112" s="13"/>
      <c r="BK112" s="7"/>
      <c r="BL112" s="7"/>
    </row>
    <row r="113" spans="1:64">
      <c r="A113" s="7"/>
      <c r="B113" s="7"/>
      <c r="C113" s="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7"/>
      <c r="AD113" s="7"/>
      <c r="AE113" s="7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7"/>
      <c r="BE113" s="7"/>
      <c r="BF113" s="7"/>
      <c r="BG113" s="7"/>
      <c r="BH113" s="7"/>
      <c r="BI113" s="13"/>
      <c r="BJ113" s="13"/>
      <c r="BK113" s="7"/>
      <c r="BL113" s="7"/>
    </row>
    <row r="114" spans="1:64">
      <c r="A114" s="7"/>
      <c r="B114" s="7"/>
      <c r="C114" s="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7"/>
      <c r="AD114" s="7"/>
      <c r="AE114" s="7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7"/>
      <c r="BE114" s="7"/>
      <c r="BF114" s="7"/>
      <c r="BG114" s="7"/>
      <c r="BH114" s="7"/>
      <c r="BI114" s="13"/>
      <c r="BJ114" s="13"/>
      <c r="BK114" s="7"/>
      <c r="BL114" s="7"/>
    </row>
    <row r="115" spans="1:64">
      <c r="A115" s="7"/>
      <c r="B115" s="7"/>
      <c r="C115" s="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7"/>
      <c r="AD115" s="7"/>
      <c r="AE115" s="7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7"/>
      <c r="BE115" s="7"/>
      <c r="BF115" s="7"/>
      <c r="BG115" s="7"/>
      <c r="BH115" s="7"/>
      <c r="BI115" s="13"/>
      <c r="BJ115" s="13"/>
      <c r="BK115" s="7"/>
      <c r="BL115" s="7"/>
    </row>
    <row r="116" spans="1:64">
      <c r="A116" s="7"/>
      <c r="B116" s="7"/>
      <c r="C116" s="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7"/>
      <c r="AD116" s="7"/>
      <c r="AE116" s="7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7"/>
      <c r="BE116" s="7"/>
      <c r="BF116" s="7"/>
      <c r="BG116" s="7"/>
      <c r="BH116" s="7"/>
      <c r="BI116" s="13"/>
      <c r="BJ116" s="13"/>
      <c r="BK116" s="7"/>
      <c r="BL116" s="7"/>
    </row>
    <row r="117" spans="1:64">
      <c r="A117" s="7"/>
      <c r="B117" s="7"/>
      <c r="C117" s="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7"/>
      <c r="AD117" s="7"/>
      <c r="AE117" s="7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7"/>
      <c r="BE117" s="7"/>
      <c r="BF117" s="7"/>
      <c r="BG117" s="7"/>
      <c r="BH117" s="7"/>
      <c r="BI117" s="13"/>
      <c r="BJ117" s="13"/>
      <c r="BK117" s="7"/>
      <c r="BL117" s="7"/>
    </row>
    <row r="118" spans="1:64">
      <c r="A118" s="7"/>
      <c r="B118" s="7"/>
      <c r="C118" s="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7"/>
      <c r="AD118" s="7"/>
      <c r="AE118" s="7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7"/>
      <c r="BE118" s="7"/>
      <c r="BF118" s="7"/>
      <c r="BG118" s="7"/>
      <c r="BH118" s="7"/>
      <c r="BI118" s="13"/>
      <c r="BJ118" s="13"/>
      <c r="BK118" s="7"/>
      <c r="BL118" s="7"/>
    </row>
    <row r="119" spans="1:64">
      <c r="A119" s="7"/>
      <c r="B119" s="7"/>
      <c r="C119" s="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7"/>
      <c r="AD119" s="7"/>
      <c r="AE119" s="7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7"/>
      <c r="BE119" s="7"/>
      <c r="BF119" s="7"/>
      <c r="BG119" s="7"/>
      <c r="BH119" s="7"/>
      <c r="BI119" s="13"/>
      <c r="BJ119" s="13"/>
      <c r="BK119" s="7"/>
      <c r="BL119" s="7"/>
    </row>
    <row r="120" spans="1:64">
      <c r="A120" s="7"/>
      <c r="B120" s="7"/>
      <c r="C120" s="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7"/>
      <c r="AD120" s="7"/>
      <c r="AE120" s="7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7"/>
      <c r="BE120" s="7"/>
      <c r="BF120" s="7"/>
      <c r="BG120" s="7"/>
      <c r="BH120" s="7"/>
      <c r="BI120" s="13"/>
      <c r="BJ120" s="13"/>
      <c r="BK120" s="7"/>
      <c r="BL120" s="7"/>
    </row>
    <row r="121" spans="1:64">
      <c r="A121" s="7"/>
      <c r="B121" s="7"/>
      <c r="C121" s="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7"/>
      <c r="AD121" s="7"/>
      <c r="AE121" s="7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7"/>
      <c r="BE121" s="7"/>
      <c r="BF121" s="7"/>
      <c r="BG121" s="7"/>
      <c r="BH121" s="7"/>
      <c r="BI121" s="13"/>
      <c r="BJ121" s="13"/>
      <c r="BK121" s="7"/>
      <c r="BL121" s="7"/>
    </row>
    <row r="122" spans="1:64">
      <c r="A122" s="7"/>
      <c r="B122" s="7"/>
      <c r="C122" s="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7"/>
      <c r="AD122" s="7"/>
      <c r="AE122" s="7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7"/>
      <c r="BE122" s="7"/>
      <c r="BF122" s="7"/>
      <c r="BG122" s="7"/>
      <c r="BH122" s="7"/>
      <c r="BI122" s="13"/>
      <c r="BJ122" s="13"/>
      <c r="BK122" s="7"/>
      <c r="BL122" s="7"/>
    </row>
    <row r="123" spans="1:64">
      <c r="A123" s="7"/>
      <c r="B123" s="7"/>
      <c r="C123" s="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7"/>
      <c r="AD123" s="7"/>
      <c r="AE123" s="7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7"/>
      <c r="BE123" s="7"/>
      <c r="BF123" s="7"/>
      <c r="BG123" s="7"/>
      <c r="BH123" s="7"/>
      <c r="BI123" s="13"/>
      <c r="BJ123" s="13"/>
      <c r="BK123" s="7"/>
      <c r="BL123" s="7"/>
    </row>
    <row r="124" spans="1:64">
      <c r="A124" s="7"/>
      <c r="B124" s="7"/>
      <c r="C124" s="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7"/>
      <c r="AD124" s="7"/>
      <c r="AE124" s="7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7"/>
      <c r="BE124" s="7"/>
      <c r="BF124" s="7"/>
      <c r="BG124" s="7"/>
      <c r="BH124" s="7"/>
      <c r="BI124" s="13"/>
      <c r="BJ124" s="13"/>
      <c r="BK124" s="7"/>
      <c r="BL124" s="7"/>
    </row>
    <row r="125" spans="1:64">
      <c r="A125" s="7"/>
      <c r="B125" s="7"/>
      <c r="C125" s="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7"/>
      <c r="AD125" s="7"/>
      <c r="AE125" s="7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7"/>
      <c r="BE125" s="7"/>
      <c r="BF125" s="7"/>
      <c r="BG125" s="7"/>
      <c r="BH125" s="7"/>
      <c r="BI125" s="13"/>
      <c r="BJ125" s="13"/>
      <c r="BK125" s="7"/>
      <c r="BL125" s="7"/>
    </row>
    <row r="126" spans="1:64">
      <c r="A126" s="7"/>
      <c r="B126" s="7"/>
      <c r="C126" s="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7"/>
      <c r="AD126" s="7"/>
      <c r="AE126" s="7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7"/>
      <c r="BE126" s="7"/>
      <c r="BF126" s="7"/>
      <c r="BG126" s="7"/>
      <c r="BH126" s="7"/>
      <c r="BI126" s="13"/>
      <c r="BJ126" s="13"/>
      <c r="BK126" s="7"/>
      <c r="BL126" s="7"/>
    </row>
    <row r="127" spans="1:64">
      <c r="A127" s="7"/>
      <c r="B127" s="7"/>
      <c r="C127" s="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7"/>
      <c r="AD127" s="7"/>
      <c r="AE127" s="7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7"/>
      <c r="BE127" s="7"/>
      <c r="BF127" s="7"/>
      <c r="BG127" s="7"/>
      <c r="BH127" s="7"/>
      <c r="BI127" s="13"/>
      <c r="BJ127" s="13"/>
      <c r="BK127" s="7"/>
      <c r="BL127" s="7"/>
    </row>
    <row r="128" spans="1:64">
      <c r="A128" s="7"/>
      <c r="B128" s="7"/>
      <c r="C128" s="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7"/>
      <c r="AD128" s="7"/>
      <c r="AE128" s="7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7"/>
      <c r="BE128" s="7"/>
      <c r="BF128" s="7"/>
      <c r="BG128" s="7"/>
      <c r="BH128" s="7"/>
      <c r="BI128" s="13"/>
      <c r="BJ128" s="13"/>
      <c r="BK128" s="7"/>
      <c r="BL128" s="7"/>
    </row>
    <row r="129" spans="1:64">
      <c r="A129" s="7"/>
      <c r="B129" s="7"/>
      <c r="C129" s="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7"/>
      <c r="AD129" s="7"/>
      <c r="AE129" s="7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7"/>
      <c r="BE129" s="7"/>
      <c r="BF129" s="7"/>
      <c r="BG129" s="7"/>
      <c r="BH129" s="7"/>
      <c r="BI129" s="13"/>
      <c r="BJ129" s="13"/>
      <c r="BK129" s="7"/>
      <c r="BL129" s="7"/>
    </row>
    <row r="130" spans="1:64">
      <c r="A130" s="7"/>
      <c r="B130" s="7"/>
      <c r="C130" s="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7"/>
      <c r="AD130" s="7"/>
      <c r="AE130" s="7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7"/>
      <c r="BE130" s="7"/>
      <c r="BF130" s="7"/>
      <c r="BG130" s="7"/>
      <c r="BH130" s="7"/>
      <c r="BI130" s="13"/>
      <c r="BJ130" s="13"/>
      <c r="BK130" s="7"/>
      <c r="BL130" s="7"/>
    </row>
    <row r="131" spans="1:64">
      <c r="A131" s="7"/>
      <c r="B131" s="7"/>
      <c r="C131" s="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7"/>
      <c r="AD131" s="7"/>
      <c r="AE131" s="7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7"/>
      <c r="BE131" s="7"/>
      <c r="BF131" s="7"/>
      <c r="BG131" s="7"/>
      <c r="BH131" s="7"/>
      <c r="BI131" s="13"/>
      <c r="BJ131" s="13"/>
      <c r="BK131" s="7"/>
      <c r="BL131" s="7"/>
    </row>
    <row r="132" spans="1:64">
      <c r="A132" s="7"/>
      <c r="B132" s="7"/>
      <c r="C132" s="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7"/>
      <c r="AD132" s="7"/>
      <c r="AE132" s="7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7"/>
      <c r="BE132" s="7"/>
      <c r="BF132" s="7"/>
      <c r="BG132" s="7"/>
      <c r="BH132" s="7"/>
      <c r="BI132" s="13"/>
      <c r="BJ132" s="13"/>
      <c r="BK132" s="7"/>
      <c r="BL132" s="7"/>
    </row>
    <row r="133" spans="1:64">
      <c r="A133" s="7"/>
      <c r="B133" s="7"/>
      <c r="C133" s="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7"/>
      <c r="AD133" s="7"/>
      <c r="AE133" s="7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7"/>
      <c r="BE133" s="7"/>
      <c r="BF133" s="7"/>
      <c r="BG133" s="7"/>
      <c r="BH133" s="7"/>
      <c r="BI133" s="13"/>
      <c r="BJ133" s="13"/>
      <c r="BK133" s="7"/>
      <c r="BL133" s="7"/>
    </row>
    <row r="134" spans="1:64">
      <c r="A134" s="7"/>
      <c r="B134" s="7"/>
      <c r="C134" s="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7"/>
      <c r="AD134" s="7"/>
      <c r="AE134" s="7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7"/>
      <c r="BE134" s="7"/>
      <c r="BF134" s="7"/>
      <c r="BG134" s="7"/>
      <c r="BH134" s="7"/>
      <c r="BI134" s="13"/>
      <c r="BJ134" s="13"/>
      <c r="BK134" s="7"/>
      <c r="BL134" s="7"/>
    </row>
    <row r="135" spans="1:64">
      <c r="A135" s="7"/>
      <c r="B135" s="7"/>
      <c r="C135" s="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7"/>
      <c r="AD135" s="7"/>
      <c r="AE135" s="7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7"/>
      <c r="BE135" s="7"/>
      <c r="BF135" s="7"/>
      <c r="BG135" s="7"/>
      <c r="BH135" s="7"/>
      <c r="BI135" s="13"/>
      <c r="BJ135" s="13"/>
      <c r="BK135" s="7"/>
      <c r="BL135" s="7"/>
    </row>
    <row r="136" spans="1:64">
      <c r="A136" s="7"/>
      <c r="B136" s="7"/>
      <c r="C136" s="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7"/>
      <c r="AD136" s="7"/>
      <c r="AE136" s="7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7"/>
      <c r="BE136" s="7"/>
      <c r="BF136" s="7"/>
      <c r="BG136" s="7"/>
      <c r="BH136" s="7"/>
      <c r="BI136" s="13"/>
      <c r="BJ136" s="13"/>
      <c r="BK136" s="7"/>
      <c r="BL136" s="7"/>
    </row>
    <row r="137" spans="1:64">
      <c r="A137" s="7"/>
      <c r="B137" s="7"/>
      <c r="C137" s="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7"/>
      <c r="AD137" s="7"/>
      <c r="AE137" s="7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7"/>
      <c r="BE137" s="7"/>
      <c r="BF137" s="7"/>
      <c r="BG137" s="7"/>
      <c r="BH137" s="7"/>
      <c r="BI137" s="13"/>
      <c r="BJ137" s="13"/>
      <c r="BK137" s="7"/>
      <c r="BL137" s="7"/>
    </row>
    <row r="138" spans="1:64">
      <c r="A138" s="7"/>
      <c r="B138" s="7"/>
      <c r="C138" s="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7"/>
      <c r="AD138" s="7"/>
      <c r="AE138" s="7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7"/>
      <c r="BE138" s="7"/>
      <c r="BF138" s="7"/>
      <c r="BG138" s="7"/>
      <c r="BH138" s="7"/>
      <c r="BI138" s="13"/>
      <c r="BJ138" s="13"/>
      <c r="BK138" s="7"/>
      <c r="BL138" s="7"/>
    </row>
    <row r="139" spans="1:64">
      <c r="A139" s="7"/>
      <c r="B139" s="7"/>
      <c r="C139" s="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7"/>
      <c r="AD139" s="7"/>
      <c r="AE139" s="7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7"/>
      <c r="BE139" s="7"/>
      <c r="BF139" s="7"/>
      <c r="BG139" s="7"/>
      <c r="BH139" s="7"/>
      <c r="BI139" s="13"/>
      <c r="BJ139" s="13"/>
      <c r="BK139" s="7"/>
      <c r="BL139" s="7"/>
    </row>
    <row r="140" spans="1:64">
      <c r="A140" s="7"/>
      <c r="B140" s="7"/>
      <c r="C140" s="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7"/>
      <c r="AD140" s="7"/>
      <c r="AE140" s="7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7"/>
      <c r="BE140" s="7"/>
      <c r="BF140" s="7"/>
      <c r="BG140" s="7"/>
      <c r="BH140" s="7"/>
      <c r="BI140" s="13"/>
      <c r="BJ140" s="13"/>
      <c r="BK140" s="7"/>
      <c r="BL140" s="7"/>
    </row>
    <row r="141" spans="1:64">
      <c r="A141" s="7"/>
      <c r="B141" s="7"/>
      <c r="C141" s="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7"/>
      <c r="AD141" s="7"/>
      <c r="AE141" s="7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7"/>
      <c r="BE141" s="7"/>
      <c r="BF141" s="7"/>
      <c r="BG141" s="7"/>
      <c r="BH141" s="7"/>
      <c r="BI141" s="13"/>
      <c r="BJ141" s="13"/>
      <c r="BK141" s="7"/>
      <c r="BL141" s="7"/>
    </row>
    <row r="142" spans="1:64">
      <c r="A142" s="7"/>
      <c r="B142" s="7"/>
      <c r="C142" s="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7"/>
      <c r="AD142" s="7"/>
      <c r="AE142" s="7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7"/>
      <c r="BE142" s="7"/>
      <c r="BF142" s="7"/>
      <c r="BG142" s="7"/>
      <c r="BH142" s="7"/>
      <c r="BI142" s="13"/>
      <c r="BJ142" s="13"/>
      <c r="BK142" s="7"/>
      <c r="BL142" s="7"/>
    </row>
    <row r="143" spans="1:64">
      <c r="A143" s="7"/>
      <c r="B143" s="7"/>
      <c r="C143" s="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7"/>
      <c r="AD143" s="7"/>
      <c r="AE143" s="7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7"/>
      <c r="BE143" s="7"/>
      <c r="BF143" s="7"/>
      <c r="BG143" s="7"/>
      <c r="BH143" s="7"/>
      <c r="BI143" s="13"/>
      <c r="BJ143" s="13"/>
      <c r="BK143" s="7"/>
      <c r="BL143" s="7"/>
    </row>
    <row r="144" spans="1:64">
      <c r="A144" s="7"/>
      <c r="B144" s="7"/>
      <c r="C144" s="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7"/>
      <c r="AD144" s="7"/>
      <c r="AE144" s="7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7"/>
      <c r="BE144" s="7"/>
      <c r="BF144" s="7"/>
      <c r="BG144" s="7"/>
      <c r="BH144" s="7"/>
      <c r="BI144" s="13"/>
      <c r="BJ144" s="13"/>
      <c r="BK144" s="7"/>
      <c r="BL144" s="7"/>
    </row>
    <row r="145" spans="1:64">
      <c r="A145" s="7"/>
      <c r="B145" s="7"/>
      <c r="C145" s="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7"/>
      <c r="AD145" s="7"/>
      <c r="AE145" s="7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7"/>
      <c r="BE145" s="7"/>
      <c r="BF145" s="7"/>
      <c r="BG145" s="7"/>
      <c r="BH145" s="7"/>
      <c r="BI145" s="13"/>
      <c r="BJ145" s="13"/>
      <c r="BK145" s="7"/>
      <c r="BL145" s="7"/>
    </row>
    <row r="146" spans="1:64">
      <c r="A146" s="7"/>
      <c r="B146" s="7"/>
      <c r="C146" s="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7"/>
      <c r="AD146" s="7"/>
      <c r="AE146" s="7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7"/>
      <c r="BE146" s="7"/>
      <c r="BF146" s="7"/>
      <c r="BG146" s="7"/>
      <c r="BH146" s="7"/>
      <c r="BI146" s="13"/>
      <c r="BJ146" s="13"/>
      <c r="BK146" s="7"/>
      <c r="BL146" s="7"/>
    </row>
    <row r="147" spans="1:64">
      <c r="A147" s="7"/>
      <c r="B147" s="7"/>
      <c r="C147" s="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7"/>
      <c r="AD147" s="7"/>
      <c r="AE147" s="7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7"/>
      <c r="BE147" s="7"/>
      <c r="BF147" s="7"/>
      <c r="BG147" s="7"/>
      <c r="BH147" s="7"/>
      <c r="BI147" s="13"/>
      <c r="BJ147" s="13"/>
      <c r="BK147" s="7"/>
      <c r="BL147" s="7"/>
    </row>
    <row r="148" spans="1:64">
      <c r="A148" s="7"/>
      <c r="B148" s="7"/>
      <c r="C148" s="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7"/>
      <c r="AD148" s="7"/>
      <c r="AE148" s="7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7"/>
      <c r="BE148" s="7"/>
      <c r="BF148" s="7"/>
      <c r="BG148" s="7"/>
      <c r="BH148" s="7"/>
      <c r="BI148" s="13"/>
      <c r="BJ148" s="13"/>
      <c r="BK148" s="7"/>
      <c r="BL148" s="7"/>
    </row>
    <row r="149" spans="1:64">
      <c r="A149" s="7"/>
      <c r="B149" s="7"/>
      <c r="C149" s="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7"/>
      <c r="AD149" s="7"/>
      <c r="AE149" s="7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7"/>
      <c r="BE149" s="7"/>
      <c r="BF149" s="7"/>
      <c r="BG149" s="7"/>
      <c r="BH149" s="7"/>
      <c r="BI149" s="13"/>
      <c r="BJ149" s="13"/>
      <c r="BK149" s="7"/>
      <c r="BL149" s="7"/>
    </row>
    <row r="150" spans="1:64">
      <c r="A150" s="7"/>
      <c r="B150" s="7"/>
      <c r="C150" s="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7"/>
      <c r="AD150" s="7"/>
      <c r="AE150" s="7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7"/>
      <c r="BE150" s="7"/>
      <c r="BF150" s="7"/>
      <c r="BG150" s="7"/>
      <c r="BH150" s="7"/>
      <c r="BI150" s="13"/>
      <c r="BJ150" s="13"/>
      <c r="BK150" s="7"/>
      <c r="BL150" s="7"/>
    </row>
    <row r="151" spans="1:64">
      <c r="A151" s="7"/>
      <c r="B151" s="7"/>
      <c r="C151" s="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7"/>
      <c r="AD151" s="7"/>
      <c r="AE151" s="7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7"/>
      <c r="BE151" s="7"/>
      <c r="BF151" s="7"/>
      <c r="BG151" s="7"/>
      <c r="BH151" s="7"/>
      <c r="BI151" s="13"/>
      <c r="BJ151" s="13"/>
      <c r="BK151" s="7"/>
      <c r="BL151" s="7"/>
    </row>
    <row r="152" spans="1:64">
      <c r="A152" s="7"/>
      <c r="B152" s="7"/>
      <c r="C152" s="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7"/>
      <c r="AD152" s="7"/>
      <c r="AE152" s="7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7"/>
      <c r="BE152" s="7"/>
      <c r="BF152" s="7"/>
      <c r="BG152" s="7"/>
      <c r="BH152" s="7"/>
      <c r="BI152" s="13"/>
      <c r="BJ152" s="13"/>
      <c r="BK152" s="7"/>
      <c r="BL152" s="7"/>
    </row>
    <row r="153" spans="1:64">
      <c r="A153" s="7"/>
      <c r="B153" s="7"/>
      <c r="C153" s="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7"/>
      <c r="AD153" s="7"/>
      <c r="AE153" s="7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7"/>
      <c r="BE153" s="7"/>
      <c r="BF153" s="7"/>
      <c r="BG153" s="7"/>
      <c r="BH153" s="7"/>
      <c r="BI153" s="13"/>
      <c r="BJ153" s="13"/>
      <c r="BK153" s="7"/>
      <c r="BL153" s="7"/>
    </row>
    <row r="154" spans="1:64">
      <c r="A154" s="7"/>
      <c r="B154" s="7"/>
      <c r="C154" s="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7"/>
      <c r="AD154" s="7"/>
      <c r="AE154" s="7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7"/>
      <c r="BE154" s="7"/>
      <c r="BF154" s="7"/>
      <c r="BG154" s="7"/>
      <c r="BH154" s="7"/>
      <c r="BI154" s="13"/>
      <c r="BJ154" s="13"/>
      <c r="BK154" s="7"/>
      <c r="BL154" s="7"/>
    </row>
    <row r="155" spans="1:64">
      <c r="A155" s="7"/>
      <c r="B155" s="7"/>
      <c r="C155" s="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7"/>
      <c r="AD155" s="7"/>
      <c r="AE155" s="7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7"/>
      <c r="BE155" s="7"/>
      <c r="BF155" s="7"/>
      <c r="BG155" s="7"/>
      <c r="BH155" s="7"/>
      <c r="BI155" s="13"/>
      <c r="BJ155" s="13"/>
      <c r="BK155" s="7"/>
      <c r="BL155" s="7"/>
    </row>
    <row r="156" spans="1:64">
      <c r="A156" s="7"/>
      <c r="B156" s="7"/>
      <c r="C156" s="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7"/>
      <c r="AD156" s="7"/>
      <c r="AE156" s="7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7"/>
      <c r="BE156" s="7"/>
      <c r="BF156" s="7"/>
      <c r="BG156" s="7"/>
      <c r="BH156" s="7"/>
      <c r="BI156" s="13"/>
      <c r="BJ156" s="13"/>
      <c r="BK156" s="7"/>
      <c r="BL156" s="7"/>
    </row>
    <row r="157" spans="1:64">
      <c r="A157" s="7"/>
      <c r="B157" s="7"/>
      <c r="C157" s="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7"/>
      <c r="AD157" s="7"/>
      <c r="AE157" s="7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7"/>
      <c r="BE157" s="7"/>
      <c r="BF157" s="7"/>
      <c r="BG157" s="7"/>
      <c r="BH157" s="7"/>
      <c r="BI157" s="13"/>
      <c r="BJ157" s="13"/>
      <c r="BK157" s="7"/>
      <c r="BL157" s="7"/>
    </row>
    <row r="158" spans="1:64">
      <c r="A158" s="7"/>
      <c r="B158" s="7"/>
      <c r="C158" s="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7"/>
      <c r="AD158" s="7"/>
      <c r="AE158" s="7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7"/>
      <c r="BE158" s="7"/>
      <c r="BF158" s="7"/>
      <c r="BG158" s="7"/>
      <c r="BH158" s="7"/>
      <c r="BI158" s="13"/>
      <c r="BJ158" s="13"/>
      <c r="BK158" s="7"/>
      <c r="BL158" s="7"/>
    </row>
    <row r="159" spans="1:64">
      <c r="A159" s="7"/>
      <c r="B159" s="7"/>
      <c r="C159" s="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7"/>
      <c r="AD159" s="7"/>
      <c r="AE159" s="7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7"/>
      <c r="BE159" s="7"/>
      <c r="BF159" s="7"/>
      <c r="BG159" s="7"/>
      <c r="BH159" s="7"/>
      <c r="BI159" s="13"/>
      <c r="BJ159" s="13"/>
      <c r="BK159" s="7"/>
      <c r="BL159" s="7"/>
    </row>
    <row r="160" spans="1:64">
      <c r="A160" s="7"/>
      <c r="B160" s="7"/>
      <c r="C160" s="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7"/>
      <c r="AD160" s="7"/>
      <c r="AE160" s="7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7"/>
      <c r="BE160" s="7"/>
      <c r="BF160" s="7"/>
      <c r="BG160" s="7"/>
      <c r="BH160" s="7"/>
      <c r="BI160" s="13"/>
      <c r="BJ160" s="13"/>
      <c r="BK160" s="7"/>
      <c r="BL160" s="7"/>
    </row>
    <row r="161" spans="1:64">
      <c r="A161" s="7"/>
      <c r="B161" s="7"/>
      <c r="C161" s="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7"/>
      <c r="AD161" s="7"/>
      <c r="AE161" s="7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7"/>
      <c r="BE161" s="7"/>
      <c r="BF161" s="7"/>
      <c r="BG161" s="7"/>
      <c r="BH161" s="7"/>
      <c r="BI161" s="13"/>
      <c r="BJ161" s="13"/>
      <c r="BK161" s="7"/>
      <c r="BL161" s="7"/>
    </row>
    <row r="162" spans="1:64">
      <c r="A162" s="7"/>
      <c r="B162" s="7"/>
      <c r="C162" s="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7"/>
      <c r="AD162" s="7"/>
      <c r="AE162" s="7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7"/>
      <c r="BE162" s="7"/>
      <c r="BF162" s="7"/>
      <c r="BG162" s="7"/>
      <c r="BH162" s="7"/>
      <c r="BI162" s="13"/>
      <c r="BJ162" s="7"/>
      <c r="BK162" s="7"/>
      <c r="BL162" s="7"/>
    </row>
    <row r="163" spans="1:64">
      <c r="A163" s="7"/>
      <c r="B163" s="7"/>
      <c r="C163" s="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7"/>
      <c r="AD163" s="7"/>
      <c r="AE163" s="7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7"/>
      <c r="BE163" s="7"/>
      <c r="BF163" s="7"/>
      <c r="BG163" s="7"/>
      <c r="BH163" s="7"/>
      <c r="BI163" s="13"/>
      <c r="BJ163" s="7"/>
      <c r="BK163" s="7"/>
      <c r="BL163" s="7"/>
    </row>
    <row r="164" spans="1:64">
      <c r="A164" s="7"/>
      <c r="B164" s="7"/>
      <c r="C164" s="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7"/>
      <c r="AD164" s="7"/>
      <c r="AE164" s="7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7"/>
      <c r="BE164" s="7"/>
      <c r="BF164" s="7"/>
      <c r="BG164" s="7"/>
      <c r="BH164" s="7"/>
      <c r="BI164" s="13"/>
      <c r="BJ164" s="7"/>
      <c r="BK164" s="7"/>
      <c r="BL164" s="7"/>
    </row>
    <row r="165" spans="1:64">
      <c r="A165" s="7"/>
      <c r="B165" s="7"/>
      <c r="C165" s="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7"/>
      <c r="AD165" s="7"/>
      <c r="AE165" s="7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7"/>
      <c r="BE165" s="7"/>
      <c r="BF165" s="7"/>
      <c r="BG165" s="7"/>
      <c r="BH165" s="7"/>
      <c r="BI165" s="13"/>
      <c r="BJ165" s="7"/>
      <c r="BK165" s="7"/>
      <c r="BL165" s="7"/>
    </row>
    <row r="166" spans="1:64">
      <c r="A166" s="7"/>
      <c r="B166" s="7"/>
      <c r="C166" s="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7"/>
      <c r="AD166" s="7"/>
      <c r="AE166" s="7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7"/>
      <c r="BE166" s="7"/>
      <c r="BF166" s="7"/>
      <c r="BG166" s="7"/>
      <c r="BH166" s="7"/>
      <c r="BI166" s="13"/>
      <c r="BJ166" s="7"/>
      <c r="BK166" s="7"/>
      <c r="BL166" s="7"/>
    </row>
    <row r="167" spans="1:64">
      <c r="A167" s="7"/>
      <c r="B167" s="7"/>
      <c r="C167" s="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7"/>
      <c r="AD167" s="7"/>
      <c r="AE167" s="7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7"/>
      <c r="BE167" s="7"/>
      <c r="BF167" s="7"/>
      <c r="BG167" s="7"/>
      <c r="BH167" s="7"/>
      <c r="BI167" s="7"/>
      <c r="BJ167" s="7"/>
      <c r="BK167" s="7"/>
      <c r="BL167" s="7"/>
    </row>
    <row r="168" spans="1:64">
      <c r="A168" s="7"/>
      <c r="B168" s="7"/>
      <c r="C168" s="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7"/>
      <c r="AD168" s="7"/>
      <c r="AE168" s="7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1:64">
      <c r="A169" s="7"/>
      <c r="B169" s="7"/>
      <c r="C169" s="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7"/>
      <c r="AD169" s="7"/>
      <c r="AE169" s="7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7"/>
      <c r="BE169" s="7"/>
      <c r="BF169" s="7"/>
      <c r="BG169" s="7"/>
      <c r="BH169" s="7"/>
      <c r="BI169" s="7"/>
      <c r="BJ169" s="7"/>
      <c r="BK169" s="7"/>
      <c r="BL169" s="7"/>
    </row>
    <row r="170" spans="1:64">
      <c r="A170" s="7"/>
      <c r="B170" s="7"/>
      <c r="C170" s="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7"/>
      <c r="AD170" s="7"/>
      <c r="AE170" s="7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1:64">
      <c r="A171" s="7"/>
      <c r="B171" s="7"/>
      <c r="C171" s="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7"/>
      <c r="AD171" s="7"/>
      <c r="AE171" s="7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1:64">
      <c r="A172" s="7"/>
      <c r="B172" s="7"/>
      <c r="C172" s="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7"/>
      <c r="AD172" s="7"/>
      <c r="AE172" s="7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1:64">
      <c r="A173" s="7"/>
      <c r="B173" s="7"/>
      <c r="C173" s="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7"/>
      <c r="AD173" s="7"/>
      <c r="AE173" s="7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7"/>
      <c r="BE173" s="7"/>
      <c r="BF173" s="7"/>
      <c r="BG173" s="7"/>
      <c r="BH173" s="7"/>
      <c r="BI173" s="7"/>
      <c r="BJ173" s="7"/>
      <c r="BK173" s="7"/>
      <c r="BL173" s="7"/>
    </row>
    <row r="174" spans="1:64">
      <c r="A174" s="7"/>
      <c r="B174" s="7"/>
      <c r="C174" s="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7"/>
      <c r="AD174" s="7"/>
      <c r="AE174" s="7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7"/>
      <c r="BE174" s="7"/>
      <c r="BF174" s="7"/>
      <c r="BG174" s="7"/>
      <c r="BH174" s="7"/>
      <c r="BI174" s="7"/>
      <c r="BJ174" s="7"/>
      <c r="BK174" s="7"/>
      <c r="BL174" s="7"/>
    </row>
    <row r="175" spans="1:64">
      <c r="A175" s="7"/>
      <c r="B175" s="7"/>
      <c r="C175" s="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7"/>
      <c r="AD175" s="7"/>
      <c r="AE175" s="7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7"/>
      <c r="BE175" s="7"/>
      <c r="BF175" s="7"/>
      <c r="BG175" s="7"/>
      <c r="BH175" s="7"/>
      <c r="BI175" s="7"/>
      <c r="BJ175" s="7"/>
      <c r="BK175" s="7"/>
      <c r="BL175" s="7"/>
    </row>
    <row r="176" spans="1:64">
      <c r="A176" s="7"/>
      <c r="B176" s="7"/>
      <c r="C176" s="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7"/>
      <c r="AD176" s="7"/>
      <c r="AE176" s="7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7"/>
      <c r="BE176" s="7"/>
      <c r="BF176" s="7"/>
      <c r="BG176" s="7"/>
      <c r="BH176" s="7"/>
      <c r="BI176" s="7"/>
      <c r="BJ176" s="7"/>
      <c r="BK176" s="7"/>
      <c r="BL176" s="7"/>
    </row>
    <row r="177" spans="1:64">
      <c r="A177" s="7"/>
      <c r="B177" s="7"/>
      <c r="C177" s="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7"/>
      <c r="AD177" s="7"/>
      <c r="AE177" s="7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7"/>
      <c r="BE177" s="7"/>
      <c r="BF177" s="7"/>
      <c r="BG177" s="7"/>
      <c r="BH177" s="7"/>
      <c r="BI177" s="7"/>
      <c r="BJ177" s="7"/>
      <c r="BK177" s="7"/>
      <c r="BL177" s="7"/>
    </row>
    <row r="178" spans="1:64">
      <c r="A178" s="7"/>
      <c r="B178" s="7"/>
      <c r="C178" s="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7"/>
      <c r="AD178" s="7"/>
      <c r="AE178" s="7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7"/>
      <c r="BE178" s="7"/>
      <c r="BF178" s="7"/>
      <c r="BG178" s="7"/>
      <c r="BH178" s="7"/>
      <c r="BI178" s="7"/>
      <c r="BJ178" s="7"/>
      <c r="BK178" s="7"/>
      <c r="BL178" s="7"/>
    </row>
    <row r="179" spans="1:64">
      <c r="A179" s="7"/>
      <c r="B179" s="7"/>
      <c r="C179" s="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7"/>
      <c r="AD179" s="7"/>
      <c r="AE179" s="7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1:64">
      <c r="A180" s="7"/>
      <c r="B180" s="7"/>
      <c r="C180" s="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7"/>
      <c r="AD180" s="7"/>
      <c r="AE180" s="7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7"/>
      <c r="BE180" s="7"/>
      <c r="BF180" s="7"/>
      <c r="BG180" s="7"/>
      <c r="BH180" s="7"/>
      <c r="BI180" s="7"/>
      <c r="BJ180" s="7"/>
      <c r="BK180" s="7"/>
      <c r="BL180" s="7"/>
    </row>
    <row r="181" spans="1:64">
      <c r="A181" s="7"/>
      <c r="B181" s="7"/>
      <c r="C181" s="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7"/>
      <c r="AD181" s="7"/>
      <c r="AE181" s="7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7"/>
      <c r="BE181" s="7"/>
      <c r="BF181" s="7"/>
      <c r="BG181" s="7"/>
      <c r="BH181" s="7"/>
      <c r="BI181" s="7"/>
      <c r="BJ181" s="7"/>
      <c r="BK181" s="7"/>
      <c r="BL181" s="7"/>
    </row>
    <row r="182" spans="1:64">
      <c r="A182" s="7"/>
      <c r="B182" s="7"/>
      <c r="C182" s="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7"/>
      <c r="AD182" s="7"/>
      <c r="AE182" s="7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7"/>
      <c r="BE182" s="7"/>
      <c r="BF182" s="7"/>
      <c r="BG182" s="7"/>
      <c r="BH182" s="7"/>
      <c r="BI182" s="7"/>
      <c r="BJ182" s="7"/>
      <c r="BK182" s="7"/>
      <c r="BL182" s="7"/>
    </row>
    <row r="183" spans="1:64">
      <c r="A183" s="7"/>
      <c r="B183" s="7"/>
      <c r="C183" s="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7"/>
      <c r="AD183" s="7"/>
      <c r="AE183" s="7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7"/>
      <c r="BE183" s="7"/>
      <c r="BF183" s="7"/>
      <c r="BG183" s="7"/>
      <c r="BH183" s="7"/>
      <c r="BI183" s="7"/>
      <c r="BJ183" s="7"/>
      <c r="BK183" s="7"/>
      <c r="BL183" s="7"/>
    </row>
    <row r="184" spans="1:64">
      <c r="A184" s="7"/>
      <c r="B184" s="7"/>
      <c r="C184" s="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7"/>
      <c r="AD184" s="7"/>
      <c r="AE184" s="7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7"/>
      <c r="BE184" s="7"/>
      <c r="BF184" s="7"/>
      <c r="BG184" s="7"/>
      <c r="BH184" s="7"/>
      <c r="BI184" s="7"/>
      <c r="BJ184" s="7"/>
      <c r="BK184" s="7"/>
      <c r="BL184" s="7"/>
    </row>
    <row r="185" spans="1:64">
      <c r="A185" s="7"/>
      <c r="B185" s="7"/>
      <c r="C185" s="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7"/>
      <c r="AD185" s="7"/>
      <c r="AE185" s="7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7"/>
      <c r="BE185" s="7"/>
      <c r="BF185" s="7"/>
      <c r="BG185" s="7"/>
      <c r="BH185" s="7"/>
      <c r="BI185" s="7"/>
      <c r="BJ185" s="7"/>
      <c r="BK185" s="7"/>
      <c r="BL185" s="7"/>
    </row>
    <row r="186" spans="1:64">
      <c r="A186" s="7"/>
      <c r="B186" s="7"/>
      <c r="C186" s="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7"/>
      <c r="AD186" s="7"/>
      <c r="AE186" s="7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7"/>
      <c r="BE186" s="7"/>
      <c r="BF186" s="7"/>
      <c r="BG186" s="7"/>
      <c r="BH186" s="7"/>
      <c r="BI186" s="7"/>
      <c r="BJ186" s="7"/>
      <c r="BK186" s="7"/>
      <c r="BL186" s="7"/>
    </row>
    <row r="187" spans="1:64">
      <c r="A187" s="7"/>
      <c r="B187" s="7"/>
      <c r="C187" s="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7"/>
      <c r="AD187" s="7"/>
      <c r="AE187" s="7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7"/>
      <c r="BE187" s="7"/>
      <c r="BF187" s="7"/>
      <c r="BG187" s="7"/>
      <c r="BH187" s="7"/>
      <c r="BI187" s="7"/>
      <c r="BJ187" s="7"/>
      <c r="BK187" s="7"/>
      <c r="BL187" s="7"/>
    </row>
    <row r="188" spans="1:64">
      <c r="A188" s="7"/>
      <c r="B188" s="7"/>
      <c r="C188" s="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7"/>
      <c r="AD188" s="7"/>
      <c r="AE188" s="7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7"/>
      <c r="BE188" s="7"/>
      <c r="BF188" s="7"/>
      <c r="BG188" s="7"/>
      <c r="BH188" s="7"/>
      <c r="BI188" s="7"/>
      <c r="BJ188" s="7"/>
      <c r="BK188" s="7"/>
      <c r="BL188" s="7"/>
    </row>
    <row r="189" spans="1:64">
      <c r="A189" s="7"/>
      <c r="B189" s="7"/>
      <c r="C189" s="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7"/>
      <c r="AD189" s="7"/>
      <c r="AE189" s="7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7"/>
      <c r="BE189" s="7"/>
      <c r="BF189" s="7"/>
      <c r="BG189" s="7"/>
      <c r="BH189" s="7"/>
      <c r="BI189" s="7"/>
      <c r="BJ189" s="7"/>
      <c r="BK189" s="7"/>
      <c r="BL189" s="7"/>
    </row>
    <row r="190" spans="1:64">
      <c r="A190" s="7"/>
      <c r="B190" s="7"/>
      <c r="C190" s="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7"/>
      <c r="AD190" s="7"/>
      <c r="AE190" s="7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7"/>
      <c r="BE190" s="7"/>
      <c r="BF190" s="7"/>
      <c r="BG190" s="7"/>
      <c r="BH190" s="7"/>
      <c r="BI190" s="7"/>
      <c r="BJ190" s="7"/>
      <c r="BK190" s="7"/>
      <c r="BL190" s="7"/>
    </row>
    <row r="191" spans="1:64">
      <c r="A191" s="7"/>
      <c r="B191" s="7"/>
      <c r="C191" s="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7"/>
      <c r="AD191" s="7"/>
      <c r="AE191" s="7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7"/>
      <c r="BE191" s="7"/>
      <c r="BF191" s="7"/>
      <c r="BG191" s="7"/>
      <c r="BH191" s="7"/>
      <c r="BI191" s="7"/>
      <c r="BJ191" s="7"/>
      <c r="BK191" s="7"/>
      <c r="BL191" s="7"/>
    </row>
    <row r="192" spans="1:64">
      <c r="A192" s="7"/>
      <c r="B192" s="7"/>
      <c r="C192" s="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7"/>
      <c r="AD192" s="7"/>
      <c r="AE192" s="7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1:64">
      <c r="A193" s="7"/>
      <c r="B193" s="7"/>
      <c r="C193" s="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7"/>
      <c r="AD193" s="7"/>
      <c r="AE193" s="7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1:64">
      <c r="A194" s="7"/>
      <c r="B194" s="7"/>
      <c r="C194" s="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7"/>
      <c r="AD194" s="7"/>
      <c r="AE194" s="7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1:64">
      <c r="A195" s="7"/>
      <c r="B195" s="7"/>
      <c r="C195" s="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7"/>
      <c r="AD195" s="7"/>
      <c r="AE195" s="7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7"/>
      <c r="BE195" s="7"/>
      <c r="BF195" s="7"/>
      <c r="BG195" s="7"/>
      <c r="BH195" s="7"/>
      <c r="BI195" s="7"/>
      <c r="BJ195" s="7"/>
      <c r="BK195" s="7"/>
      <c r="BL195" s="7"/>
    </row>
    <row r="196" spans="1:64">
      <c r="A196" s="7"/>
      <c r="B196" s="7"/>
      <c r="C196" s="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7"/>
      <c r="AD196" s="7"/>
      <c r="AE196" s="7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7"/>
      <c r="BE196" s="7"/>
      <c r="BF196" s="7"/>
      <c r="BG196" s="7"/>
      <c r="BH196" s="7"/>
      <c r="BI196" s="7"/>
      <c r="BJ196" s="7"/>
      <c r="BK196" s="7"/>
      <c r="BL196" s="7"/>
    </row>
    <row r="197" spans="1:64">
      <c r="A197" s="7"/>
      <c r="B197" s="7"/>
      <c r="C197" s="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7"/>
      <c r="AD197" s="7"/>
      <c r="AE197" s="7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7"/>
      <c r="BE197" s="7"/>
      <c r="BF197" s="7"/>
      <c r="BG197" s="7"/>
      <c r="BH197" s="7"/>
      <c r="BI197" s="7"/>
      <c r="BJ197" s="7"/>
      <c r="BK197" s="7"/>
      <c r="BL197" s="7"/>
    </row>
    <row r="198" spans="1:64">
      <c r="A198" s="7"/>
      <c r="B198" s="7"/>
      <c r="C198" s="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7"/>
      <c r="AD198" s="7"/>
      <c r="AE198" s="7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7"/>
      <c r="BE198" s="7"/>
      <c r="BF198" s="7"/>
      <c r="BG198" s="7"/>
      <c r="BH198" s="7"/>
      <c r="BI198" s="7"/>
      <c r="BJ198" s="7"/>
      <c r="BK198" s="7"/>
      <c r="BL198" s="7"/>
    </row>
    <row r="199" spans="1:64">
      <c r="A199" s="7"/>
      <c r="B199" s="7"/>
      <c r="C199" s="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7"/>
      <c r="AD199" s="7"/>
      <c r="AE199" s="7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7"/>
      <c r="BE199" s="7"/>
      <c r="BF199" s="7"/>
      <c r="BG199" s="7"/>
      <c r="BH199" s="7"/>
      <c r="BI199" s="7"/>
      <c r="BJ199" s="7"/>
      <c r="BK199" s="7"/>
      <c r="BL199" s="7"/>
    </row>
    <row r="200" spans="1:64">
      <c r="A200" s="7"/>
      <c r="B200" s="7"/>
      <c r="C200" s="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7"/>
      <c r="AD200" s="7"/>
      <c r="AE200" s="7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7"/>
      <c r="BE200" s="7"/>
      <c r="BF200" s="7"/>
      <c r="BG200" s="7"/>
      <c r="BH200" s="7"/>
      <c r="BI200" s="7"/>
      <c r="BJ200" s="7"/>
      <c r="BK200" s="7"/>
      <c r="BL200" s="7"/>
    </row>
    <row r="201" spans="1:64">
      <c r="A201" s="7"/>
      <c r="B201" s="7"/>
      <c r="C201" s="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7"/>
      <c r="AD201" s="7"/>
      <c r="AE201" s="7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7"/>
      <c r="BE201" s="7"/>
      <c r="BF201" s="7"/>
      <c r="BG201" s="7"/>
      <c r="BH201" s="7"/>
      <c r="BI201" s="7"/>
      <c r="BJ201" s="7"/>
      <c r="BK201" s="7"/>
      <c r="BL201" s="7"/>
    </row>
    <row r="202" spans="1:64">
      <c r="A202" s="7"/>
      <c r="B202" s="7"/>
      <c r="C202" s="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7"/>
      <c r="AD202" s="7"/>
      <c r="AE202" s="7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7"/>
      <c r="BE202" s="7"/>
      <c r="BF202" s="7"/>
      <c r="BG202" s="7"/>
      <c r="BH202" s="7"/>
      <c r="BI202" s="7"/>
      <c r="BJ202" s="7"/>
      <c r="BK202" s="7"/>
      <c r="BL202" s="7"/>
    </row>
    <row r="203" spans="1:64">
      <c r="A203" s="7"/>
      <c r="B203" s="7"/>
      <c r="C203" s="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7"/>
      <c r="AD203" s="7"/>
      <c r="AE203" s="7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7"/>
      <c r="BE203" s="7"/>
      <c r="BF203" s="7"/>
      <c r="BG203" s="7"/>
      <c r="BH203" s="7"/>
      <c r="BI203" s="7"/>
      <c r="BJ203" s="7"/>
      <c r="BK203" s="7"/>
      <c r="BL203" s="7"/>
    </row>
    <row r="204" spans="1:64">
      <c r="A204" s="7"/>
      <c r="B204" s="7"/>
      <c r="C204" s="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7"/>
      <c r="AD204" s="7"/>
      <c r="AE204" s="7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7"/>
      <c r="BE204" s="7"/>
      <c r="BF204" s="7"/>
      <c r="BG204" s="7"/>
      <c r="BH204" s="7"/>
      <c r="BI204" s="7"/>
      <c r="BJ204" s="7"/>
      <c r="BK204" s="7"/>
      <c r="BL204" s="7"/>
    </row>
    <row r="205" spans="1:64">
      <c r="A205" s="7"/>
      <c r="B205" s="7"/>
      <c r="C205" s="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7"/>
      <c r="AD205" s="7"/>
      <c r="AE205" s="7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7"/>
      <c r="BE205" s="7"/>
      <c r="BF205" s="7"/>
      <c r="BG205" s="7"/>
      <c r="BH205" s="7"/>
      <c r="BI205" s="7"/>
      <c r="BJ205" s="7"/>
      <c r="BK205" s="7"/>
      <c r="BL205" s="7"/>
    </row>
    <row r="206" spans="1:64">
      <c r="A206" s="7"/>
      <c r="B206" s="7"/>
      <c r="C206" s="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7"/>
      <c r="AD206" s="7"/>
      <c r="AE206" s="7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7"/>
      <c r="BE206" s="7"/>
      <c r="BF206" s="7"/>
      <c r="BG206" s="7"/>
      <c r="BH206" s="7"/>
      <c r="BI206" s="7"/>
      <c r="BJ206" s="7"/>
      <c r="BK206" s="7"/>
      <c r="BL206" s="7"/>
    </row>
    <row r="207" spans="1:64">
      <c r="A207" s="7"/>
      <c r="B207" s="7"/>
      <c r="C207" s="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7"/>
      <c r="AD207" s="7"/>
      <c r="AE207" s="7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7"/>
      <c r="BE207" s="7"/>
      <c r="BF207" s="7"/>
      <c r="BG207" s="7"/>
      <c r="BH207" s="7"/>
      <c r="BI207" s="7"/>
      <c r="BJ207" s="7"/>
      <c r="BK207" s="7"/>
      <c r="BL207" s="7"/>
    </row>
    <row r="208" spans="1:64">
      <c r="A208" s="7"/>
      <c r="B208" s="7"/>
      <c r="C208" s="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7"/>
      <c r="AD208" s="7"/>
      <c r="AE208" s="7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7"/>
      <c r="BE208" s="7"/>
      <c r="BF208" s="7"/>
      <c r="BG208" s="7"/>
      <c r="BH208" s="7"/>
      <c r="BI208" s="7"/>
      <c r="BJ208" s="7"/>
      <c r="BK208" s="7"/>
      <c r="BL208" s="7"/>
    </row>
    <row r="209" spans="1:64">
      <c r="A209" s="7"/>
      <c r="B209" s="7"/>
      <c r="C209" s="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7"/>
      <c r="AD209" s="7"/>
      <c r="AE209" s="7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7"/>
      <c r="BE209" s="7"/>
      <c r="BF209" s="7"/>
      <c r="BG209" s="7"/>
      <c r="BH209" s="7"/>
      <c r="BI209" s="7"/>
      <c r="BJ209" s="7"/>
      <c r="BK209" s="7"/>
      <c r="BL209" s="7"/>
    </row>
    <row r="210" spans="1:64">
      <c r="A210" s="7"/>
      <c r="B210" s="7"/>
      <c r="C210" s="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7"/>
      <c r="AD210" s="7"/>
      <c r="AE210" s="7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7"/>
      <c r="BE210" s="7"/>
      <c r="BF210" s="7"/>
      <c r="BG210" s="7"/>
      <c r="BH210" s="7"/>
      <c r="BI210" s="7"/>
      <c r="BJ210" s="7"/>
      <c r="BK210" s="7"/>
      <c r="BL210" s="7"/>
    </row>
    <row r="211" spans="1:64">
      <c r="A211" s="7"/>
      <c r="B211" s="7"/>
      <c r="C211" s="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7"/>
      <c r="AD211" s="7"/>
      <c r="AE211" s="7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7"/>
      <c r="BE211" s="7"/>
      <c r="BF211" s="7"/>
      <c r="BG211" s="7"/>
      <c r="BH211" s="7"/>
      <c r="BI211" s="7"/>
      <c r="BJ211" s="7"/>
      <c r="BK211" s="7"/>
      <c r="BL211" s="7"/>
    </row>
    <row r="212" spans="1:64">
      <c r="A212" s="7"/>
      <c r="B212" s="7"/>
      <c r="C212" s="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7"/>
      <c r="AD212" s="7"/>
      <c r="AE212" s="7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7"/>
      <c r="BE212" s="7"/>
      <c r="BF212" s="7"/>
      <c r="BG212" s="7"/>
      <c r="BH212" s="7"/>
      <c r="BI212" s="7"/>
      <c r="BJ212" s="7"/>
      <c r="BK212" s="7"/>
      <c r="BL212" s="7"/>
    </row>
    <row r="213" spans="1:64">
      <c r="A213" s="7"/>
      <c r="B213" s="7"/>
      <c r="C213" s="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7"/>
      <c r="AD213" s="7"/>
      <c r="AE213" s="7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7"/>
      <c r="BE213" s="7"/>
      <c r="BF213" s="7"/>
      <c r="BG213" s="7"/>
      <c r="BH213" s="7"/>
      <c r="BI213" s="7"/>
      <c r="BJ213" s="7"/>
      <c r="BK213" s="7"/>
      <c r="BL213" s="7"/>
    </row>
    <row r="214" spans="1:64">
      <c r="A214" s="7"/>
      <c r="B214" s="7"/>
      <c r="C214" s="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7"/>
      <c r="AD214" s="7"/>
      <c r="AE214" s="7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7"/>
      <c r="BE214" s="7"/>
      <c r="BF214" s="7"/>
      <c r="BG214" s="7"/>
      <c r="BH214" s="7"/>
      <c r="BI214" s="7"/>
      <c r="BJ214" s="7"/>
      <c r="BK214" s="7"/>
      <c r="BL214" s="7"/>
    </row>
    <row r="215" spans="1:64">
      <c r="A215" s="7"/>
      <c r="B215" s="7"/>
      <c r="C215" s="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7"/>
      <c r="AD215" s="7"/>
      <c r="AE215" s="7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7"/>
      <c r="BE215" s="7"/>
      <c r="BF215" s="7"/>
      <c r="BG215" s="7"/>
      <c r="BH215" s="7"/>
      <c r="BI215" s="7"/>
      <c r="BJ215" s="7"/>
      <c r="BK215" s="7"/>
      <c r="BL215" s="7"/>
    </row>
    <row r="216" spans="1:64">
      <c r="A216" s="7"/>
      <c r="B216" s="7"/>
      <c r="C216" s="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7"/>
      <c r="AD216" s="7"/>
      <c r="AE216" s="7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7"/>
      <c r="BE216" s="7"/>
      <c r="BF216" s="7"/>
      <c r="BG216" s="7"/>
      <c r="BH216" s="7"/>
      <c r="BI216" s="7"/>
      <c r="BJ216" s="7"/>
      <c r="BK216" s="7"/>
      <c r="BL216" s="7"/>
    </row>
    <row r="217" spans="1:64">
      <c r="A217" s="7"/>
      <c r="B217" s="7"/>
      <c r="C217" s="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7"/>
      <c r="AD217" s="7"/>
      <c r="AE217" s="7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1:64">
      <c r="A218" s="7"/>
      <c r="B218" s="7"/>
      <c r="C218" s="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7"/>
      <c r="AD218" s="7"/>
      <c r="AE218" s="7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1:64">
      <c r="A219" s="7"/>
      <c r="B219" s="7"/>
      <c r="C219" s="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7"/>
      <c r="AD219" s="7"/>
      <c r="AE219" s="7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1:64">
      <c r="A220" s="7"/>
      <c r="B220" s="7"/>
      <c r="C220" s="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7"/>
      <c r="AD220" s="7"/>
      <c r="AE220" s="7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1:64">
      <c r="A221" s="7"/>
      <c r="B221" s="7"/>
      <c r="C221" s="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7"/>
      <c r="AD221" s="7"/>
      <c r="AE221" s="7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1:64">
      <c r="A222" s="7"/>
      <c r="B222" s="7"/>
      <c r="C222" s="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7"/>
      <c r="AD222" s="7"/>
      <c r="AE222" s="7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7"/>
      <c r="BE222" s="7"/>
      <c r="BF222" s="7"/>
      <c r="BG222" s="7"/>
      <c r="BH222" s="7"/>
      <c r="BI222" s="7"/>
      <c r="BJ222" s="7"/>
      <c r="BK222" s="7"/>
      <c r="BL222" s="7"/>
    </row>
    <row r="223" spans="1:64">
      <c r="A223" s="7"/>
      <c r="B223" s="7"/>
      <c r="C223" s="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7"/>
      <c r="AD223" s="7"/>
      <c r="AE223" s="7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7"/>
      <c r="BE223" s="7"/>
      <c r="BF223" s="7"/>
      <c r="BG223" s="7"/>
      <c r="BH223" s="7"/>
      <c r="BI223" s="7"/>
      <c r="BJ223" s="7"/>
      <c r="BK223" s="7"/>
      <c r="BL223" s="7"/>
    </row>
    <row r="224" spans="1:64">
      <c r="A224" s="7"/>
      <c r="B224" s="7"/>
      <c r="C224" s="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7"/>
      <c r="AD224" s="7"/>
      <c r="AE224" s="7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7"/>
      <c r="BE224" s="7"/>
      <c r="BF224" s="7"/>
      <c r="BG224" s="7"/>
      <c r="BH224" s="7"/>
      <c r="BI224" s="7"/>
      <c r="BJ224" s="7"/>
      <c r="BK224" s="7"/>
      <c r="BL224" s="7"/>
    </row>
    <row r="225" spans="1:64">
      <c r="A225" s="7"/>
      <c r="B225" s="7"/>
      <c r="C225" s="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7"/>
      <c r="AD225" s="7"/>
      <c r="AE225" s="7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7"/>
      <c r="BE225" s="7"/>
      <c r="BF225" s="7"/>
      <c r="BG225" s="7"/>
      <c r="BH225" s="7"/>
      <c r="BI225" s="7"/>
      <c r="BJ225" s="7"/>
      <c r="BK225" s="7"/>
      <c r="BL225" s="7"/>
    </row>
    <row r="226" spans="1:64">
      <c r="A226" s="7"/>
      <c r="B226" s="7"/>
      <c r="C226" s="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7"/>
      <c r="AD226" s="7"/>
      <c r="AE226" s="7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7"/>
      <c r="BE226" s="7"/>
      <c r="BF226" s="7"/>
      <c r="BG226" s="7"/>
      <c r="BH226" s="7"/>
      <c r="BI226" s="7"/>
      <c r="BJ226" s="7"/>
      <c r="BK226" s="7"/>
      <c r="BL226" s="7"/>
    </row>
    <row r="227" spans="1:64">
      <c r="A227" s="7"/>
      <c r="B227" s="7"/>
      <c r="C227" s="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7"/>
      <c r="AD227" s="7"/>
      <c r="AE227" s="7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7"/>
      <c r="BE227" s="7"/>
      <c r="BF227" s="7"/>
      <c r="BG227" s="7"/>
      <c r="BH227" s="7"/>
      <c r="BI227" s="7"/>
      <c r="BJ227" s="7"/>
      <c r="BK227" s="7"/>
      <c r="BL227" s="7"/>
    </row>
    <row r="228" spans="1:64">
      <c r="A228" s="7"/>
      <c r="B228" s="7"/>
      <c r="C228" s="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7"/>
      <c r="AD228" s="7"/>
      <c r="AE228" s="7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7"/>
      <c r="BE228" s="7"/>
      <c r="BF228" s="7"/>
      <c r="BG228" s="7"/>
      <c r="BH228" s="7"/>
      <c r="BI228" s="7"/>
      <c r="BJ228" s="7"/>
      <c r="BK228" s="7"/>
      <c r="BL228" s="7"/>
    </row>
    <row r="229" spans="1:64">
      <c r="A229" s="7"/>
      <c r="B229" s="7"/>
      <c r="C229" s="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7"/>
      <c r="AD229" s="7"/>
      <c r="AE229" s="7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7"/>
      <c r="BE229" s="7"/>
      <c r="BF229" s="7"/>
      <c r="BG229" s="7"/>
      <c r="BH229" s="7"/>
      <c r="BI229" s="7"/>
      <c r="BJ229" s="7"/>
      <c r="BK229" s="7"/>
      <c r="BL229" s="7"/>
    </row>
    <row r="230" spans="1:64">
      <c r="A230" s="7"/>
      <c r="B230" s="7"/>
      <c r="C230" s="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7"/>
      <c r="AD230" s="7"/>
      <c r="AE230" s="7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7"/>
      <c r="BE230" s="7"/>
      <c r="BF230" s="7"/>
      <c r="BG230" s="7"/>
      <c r="BH230" s="7"/>
      <c r="BI230" s="7"/>
      <c r="BJ230" s="7"/>
      <c r="BK230" s="7"/>
      <c r="BL230" s="7"/>
    </row>
    <row r="231" spans="1:64">
      <c r="A231" s="7"/>
      <c r="B231" s="7"/>
      <c r="C231" s="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7"/>
      <c r="AD231" s="7"/>
      <c r="AE231" s="7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7"/>
      <c r="BE231" s="7"/>
      <c r="BF231" s="7"/>
      <c r="BG231" s="7"/>
      <c r="BH231" s="7"/>
      <c r="BI231" s="7"/>
      <c r="BJ231" s="7"/>
      <c r="BK231" s="7"/>
      <c r="BL231" s="7"/>
    </row>
    <row r="232" spans="1:64">
      <c r="A232" s="7"/>
      <c r="B232" s="7"/>
      <c r="C232" s="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7"/>
      <c r="AD232" s="7"/>
      <c r="AE232" s="7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7"/>
      <c r="BE232" s="7"/>
      <c r="BF232" s="7"/>
      <c r="BG232" s="7"/>
      <c r="BH232" s="7"/>
      <c r="BI232" s="7"/>
      <c r="BJ232" s="7"/>
      <c r="BK232" s="7"/>
      <c r="BL232" s="7"/>
    </row>
    <row r="233" spans="1:64">
      <c r="A233" s="7"/>
      <c r="B233" s="7"/>
      <c r="C233" s="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7"/>
      <c r="AD233" s="7"/>
      <c r="AE233" s="7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7"/>
      <c r="BE233" s="7"/>
      <c r="BF233" s="7"/>
      <c r="BG233" s="7"/>
      <c r="BH233" s="7"/>
      <c r="BI233" s="7"/>
      <c r="BJ233" s="7"/>
      <c r="BK233" s="7"/>
      <c r="BL233" s="7"/>
    </row>
    <row r="234" spans="1:64">
      <c r="A234" s="7"/>
      <c r="B234" s="7"/>
      <c r="C234" s="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7"/>
      <c r="AD234" s="7"/>
      <c r="AE234" s="7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1:64">
      <c r="A235" s="7"/>
      <c r="B235" s="7"/>
      <c r="C235" s="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7"/>
      <c r="AD235" s="7"/>
      <c r="AE235" s="7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7"/>
      <c r="BE235" s="7"/>
      <c r="BF235" s="7"/>
      <c r="BG235" s="7"/>
      <c r="BH235" s="7"/>
      <c r="BI235" s="7"/>
      <c r="BJ235" s="7"/>
      <c r="BK235" s="7"/>
      <c r="BL235" s="7"/>
    </row>
    <row r="236" spans="1:64">
      <c r="A236" s="7"/>
      <c r="B236" s="7"/>
      <c r="C236" s="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7"/>
      <c r="AD236" s="7"/>
      <c r="AE236" s="7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7"/>
      <c r="BE236" s="7"/>
      <c r="BF236" s="7"/>
      <c r="BG236" s="7"/>
      <c r="BH236" s="7"/>
      <c r="BI236" s="7"/>
      <c r="BJ236" s="7"/>
      <c r="BK236" s="7"/>
      <c r="BL236" s="7"/>
    </row>
    <row r="237" spans="1:64">
      <c r="A237" s="7"/>
      <c r="B237" s="7"/>
      <c r="C237" s="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7"/>
      <c r="AD237" s="7"/>
      <c r="AE237" s="7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7"/>
      <c r="BE237" s="7"/>
      <c r="BF237" s="7"/>
      <c r="BG237" s="7"/>
      <c r="BH237" s="7"/>
      <c r="BI237" s="7"/>
      <c r="BJ237" s="7"/>
      <c r="BK237" s="7"/>
      <c r="BL237" s="7"/>
    </row>
    <row r="238" spans="1:64">
      <c r="A238" s="7"/>
      <c r="B238" s="7"/>
      <c r="C238" s="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7"/>
      <c r="AD238" s="7"/>
      <c r="AE238" s="7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7"/>
      <c r="BE238" s="7"/>
      <c r="BF238" s="7"/>
      <c r="BG238" s="7"/>
      <c r="BH238" s="7"/>
      <c r="BI238" s="7"/>
      <c r="BJ238" s="7"/>
      <c r="BK238" s="7"/>
      <c r="BL238" s="7"/>
    </row>
    <row r="239" spans="1:64">
      <c r="A239" s="7"/>
      <c r="B239" s="7"/>
      <c r="C239" s="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7"/>
      <c r="AD239" s="7"/>
      <c r="AE239" s="7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7"/>
      <c r="BE239" s="7"/>
      <c r="BF239" s="7"/>
      <c r="BG239" s="7"/>
      <c r="BH239" s="7"/>
      <c r="BI239" s="7"/>
      <c r="BJ239" s="7"/>
      <c r="BK239" s="7"/>
      <c r="BL239" s="7"/>
    </row>
    <row r="240" spans="1:64">
      <c r="A240" s="7"/>
      <c r="B240" s="7"/>
      <c r="C240" s="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7"/>
      <c r="AD240" s="7"/>
      <c r="AE240" s="7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7"/>
      <c r="BE240" s="7"/>
      <c r="BF240" s="7"/>
      <c r="BG240" s="7"/>
      <c r="BH240" s="7"/>
      <c r="BI240" s="7"/>
      <c r="BJ240" s="7"/>
      <c r="BK240" s="7"/>
      <c r="BL240" s="7"/>
    </row>
    <row r="241" spans="1:64">
      <c r="A241" s="7"/>
      <c r="B241" s="7"/>
      <c r="C241" s="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7"/>
      <c r="AD241" s="7"/>
      <c r="AE241" s="7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7"/>
      <c r="BE241" s="7"/>
      <c r="BF241" s="7"/>
      <c r="BG241" s="7"/>
      <c r="BH241" s="7"/>
      <c r="BI241" s="7"/>
      <c r="BJ241" s="7"/>
      <c r="BK241" s="7"/>
      <c r="BL241" s="7"/>
    </row>
    <row r="242" spans="1:64">
      <c r="A242" s="7"/>
      <c r="B242" s="7"/>
      <c r="C242" s="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7"/>
      <c r="AD242" s="7"/>
      <c r="AE242" s="7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7"/>
      <c r="BE242" s="7"/>
      <c r="BF242" s="7"/>
      <c r="BG242" s="7"/>
      <c r="BH242" s="7"/>
      <c r="BI242" s="7"/>
      <c r="BJ242" s="7"/>
      <c r="BK242" s="7"/>
      <c r="BL242" s="7"/>
    </row>
    <row r="243" spans="1:64">
      <c r="A243" s="7"/>
      <c r="B243" s="7"/>
      <c r="C243" s="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7"/>
      <c r="AD243" s="7"/>
      <c r="AE243" s="7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7"/>
      <c r="BE243" s="7"/>
      <c r="BF243" s="7"/>
      <c r="BG243" s="7"/>
      <c r="BH243" s="7"/>
      <c r="BI243" s="7"/>
      <c r="BJ243" s="7"/>
      <c r="BK243" s="7"/>
      <c r="BL243" s="7"/>
    </row>
    <row r="244" spans="1:64">
      <c r="A244" s="7"/>
      <c r="B244" s="7"/>
      <c r="C244" s="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7"/>
      <c r="AD244" s="7"/>
      <c r="AE244" s="7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7"/>
      <c r="BE244" s="7"/>
      <c r="BF244" s="7"/>
      <c r="BG244" s="7"/>
      <c r="BH244" s="7"/>
      <c r="BI244" s="7"/>
      <c r="BJ244" s="7"/>
      <c r="BK244" s="7"/>
      <c r="BL244" s="7"/>
    </row>
    <row r="245" spans="1:64">
      <c r="A245" s="7"/>
      <c r="B245" s="7"/>
      <c r="C245" s="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7"/>
      <c r="AD245" s="7"/>
      <c r="AE245" s="7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7"/>
      <c r="BE245" s="7"/>
      <c r="BF245" s="7"/>
      <c r="BG245" s="7"/>
      <c r="BH245" s="7"/>
      <c r="BI245" s="7"/>
      <c r="BJ245" s="7"/>
      <c r="BK245" s="7"/>
      <c r="BL245" s="7"/>
    </row>
    <row r="246" spans="1:64">
      <c r="A246" s="7"/>
      <c r="B246" s="7"/>
      <c r="C246" s="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7"/>
      <c r="AD246" s="7"/>
      <c r="AE246" s="7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7"/>
      <c r="BE246" s="7"/>
      <c r="BF246" s="7"/>
      <c r="BG246" s="7"/>
      <c r="BH246" s="7"/>
      <c r="BI246" s="7"/>
      <c r="BJ246" s="7"/>
      <c r="BK246" s="7"/>
      <c r="BL246" s="7"/>
    </row>
    <row r="247" spans="1:64">
      <c r="A247" s="7"/>
      <c r="B247" s="7"/>
      <c r="C247" s="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7"/>
      <c r="AD247" s="7"/>
      <c r="AE247" s="7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7"/>
      <c r="BE247" s="7"/>
      <c r="BF247" s="7"/>
      <c r="BG247" s="7"/>
      <c r="BH247" s="7"/>
      <c r="BI247" s="7"/>
      <c r="BJ247" s="7"/>
      <c r="BK247" s="7"/>
      <c r="BL247" s="7"/>
    </row>
    <row r="248" spans="1:64">
      <c r="A248" s="7"/>
      <c r="B248" s="7"/>
      <c r="C248" s="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7"/>
      <c r="AD248" s="7"/>
      <c r="AE248" s="7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7"/>
      <c r="BE248" s="7"/>
      <c r="BF248" s="7"/>
      <c r="BG248" s="7"/>
      <c r="BH248" s="7"/>
      <c r="BI248" s="7"/>
      <c r="BJ248" s="7"/>
      <c r="BK248" s="7"/>
      <c r="BL248" s="7"/>
    </row>
    <row r="249" spans="1:64">
      <c r="A249" s="7"/>
      <c r="B249" s="7"/>
      <c r="C249" s="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7"/>
      <c r="AD249" s="7"/>
      <c r="AE249" s="7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7"/>
      <c r="BE249" s="7"/>
      <c r="BF249" s="7"/>
      <c r="BG249" s="7"/>
      <c r="BH249" s="7"/>
      <c r="BI249" s="7"/>
      <c r="BJ249" s="7"/>
      <c r="BK249" s="7"/>
      <c r="BL249" s="7"/>
    </row>
    <row r="250" spans="1:64">
      <c r="A250" s="7"/>
      <c r="B250" s="7"/>
      <c r="C250" s="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7"/>
      <c r="AD250" s="7"/>
      <c r="AE250" s="7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7"/>
      <c r="BE250" s="7"/>
      <c r="BF250" s="7"/>
      <c r="BG250" s="7"/>
      <c r="BH250" s="7"/>
      <c r="BI250" s="7"/>
      <c r="BJ250" s="7"/>
      <c r="BK250" s="7"/>
      <c r="BL250" s="7"/>
    </row>
    <row r="251" spans="1:64">
      <c r="A251" s="7"/>
      <c r="B251" s="7"/>
      <c r="C251" s="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7"/>
      <c r="AD251" s="7"/>
      <c r="AE251" s="7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7"/>
      <c r="BE251" s="7"/>
      <c r="BF251" s="7"/>
      <c r="BG251" s="7"/>
      <c r="BH251" s="7"/>
      <c r="BI251" s="7"/>
      <c r="BJ251" s="7"/>
      <c r="BK251" s="7"/>
      <c r="BL251" s="7"/>
    </row>
    <row r="252" spans="1:64">
      <c r="A252" s="7"/>
      <c r="B252" s="7"/>
      <c r="C252" s="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7"/>
      <c r="AD252" s="7"/>
      <c r="AE252" s="7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7"/>
      <c r="BE252" s="7"/>
      <c r="BF252" s="7"/>
      <c r="BG252" s="7"/>
      <c r="BH252" s="7"/>
      <c r="BI252" s="7"/>
      <c r="BJ252" s="7"/>
      <c r="BK252" s="7"/>
      <c r="BL252" s="7"/>
    </row>
    <row r="253" spans="1:64">
      <c r="A253" s="7"/>
      <c r="B253" s="7"/>
      <c r="C253" s="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7"/>
      <c r="AD253" s="7"/>
      <c r="AE253" s="7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7"/>
      <c r="BE253" s="7"/>
      <c r="BF253" s="7"/>
      <c r="BG253" s="7"/>
      <c r="BH253" s="7"/>
      <c r="BI253" s="7"/>
      <c r="BJ253" s="7"/>
      <c r="BK253" s="7"/>
      <c r="BL253" s="7"/>
    </row>
    <row r="254" spans="1:64">
      <c r="A254" s="7"/>
      <c r="B254" s="7"/>
      <c r="C254" s="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7"/>
      <c r="AD254" s="7"/>
      <c r="AE254" s="7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7"/>
      <c r="BE254" s="7"/>
      <c r="BF254" s="7"/>
      <c r="BG254" s="7"/>
      <c r="BH254" s="7"/>
      <c r="BI254" s="7"/>
      <c r="BJ254" s="7"/>
      <c r="BK254" s="7"/>
      <c r="BL254" s="7"/>
    </row>
    <row r="255" spans="1:64">
      <c r="A255" s="7"/>
      <c r="B255" s="7"/>
      <c r="C255" s="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7"/>
      <c r="AD255" s="7"/>
      <c r="AE255" s="7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7"/>
      <c r="BE255" s="7"/>
      <c r="BF255" s="7"/>
      <c r="BG255" s="7"/>
      <c r="BH255" s="7"/>
      <c r="BI255" s="7"/>
      <c r="BJ255" s="7"/>
      <c r="BK255" s="7"/>
      <c r="BL255" s="7"/>
    </row>
    <row r="256" spans="1:64">
      <c r="A256" s="7"/>
      <c r="B256" s="7"/>
      <c r="C256" s="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7"/>
      <c r="AD256" s="7"/>
      <c r="AE256" s="7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7"/>
      <c r="BE256" s="7"/>
      <c r="BF256" s="7"/>
      <c r="BG256" s="7"/>
      <c r="BH256" s="7"/>
      <c r="BI256" s="7"/>
      <c r="BJ256" s="7"/>
      <c r="BK256" s="7"/>
      <c r="BL256" s="7"/>
    </row>
    <row r="257" spans="1:64">
      <c r="A257" s="7"/>
      <c r="B257" s="7"/>
      <c r="C257" s="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7"/>
      <c r="AD257" s="7"/>
      <c r="AE257" s="7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7"/>
      <c r="BE257" s="7"/>
      <c r="BF257" s="7"/>
      <c r="BG257" s="7"/>
      <c r="BH257" s="7"/>
      <c r="BI257" s="7"/>
      <c r="BJ257" s="7"/>
      <c r="BK257" s="7"/>
      <c r="BL257" s="7"/>
    </row>
    <row r="258" spans="1:64">
      <c r="A258" s="7"/>
      <c r="B258" s="7"/>
      <c r="C258" s="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7"/>
      <c r="AD258" s="7"/>
      <c r="AE258" s="7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7"/>
      <c r="BE258" s="7"/>
      <c r="BF258" s="7"/>
      <c r="BG258" s="7"/>
      <c r="BH258" s="7"/>
      <c r="BI258" s="7"/>
      <c r="BJ258" s="7"/>
      <c r="BK258" s="7"/>
      <c r="BL258" s="7"/>
    </row>
    <row r="259" spans="1:64">
      <c r="A259" s="7"/>
      <c r="B259" s="7"/>
      <c r="C259" s="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7"/>
      <c r="AD259" s="7"/>
      <c r="AE259" s="7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7"/>
      <c r="BE259" s="7"/>
      <c r="BF259" s="7"/>
      <c r="BG259" s="7"/>
      <c r="BH259" s="7"/>
      <c r="BI259" s="7"/>
      <c r="BJ259" s="7"/>
      <c r="BK259" s="7"/>
      <c r="BL259" s="7"/>
    </row>
    <row r="260" spans="1:64">
      <c r="A260" s="7"/>
      <c r="B260" s="7"/>
      <c r="C260" s="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7"/>
      <c r="AD260" s="7"/>
      <c r="AE260" s="7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7"/>
      <c r="BE260" s="7"/>
      <c r="BF260" s="7"/>
      <c r="BG260" s="7"/>
      <c r="BH260" s="7"/>
      <c r="BI260" s="7"/>
      <c r="BJ260" s="7"/>
      <c r="BK260" s="7"/>
      <c r="BL260" s="7"/>
    </row>
    <row r="261" spans="1:64">
      <c r="A261" s="7"/>
      <c r="B261" s="7"/>
      <c r="C261" s="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7"/>
      <c r="AD261" s="7"/>
      <c r="AE261" s="7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7"/>
      <c r="BE261" s="7"/>
      <c r="BF261" s="7"/>
      <c r="BG261" s="7"/>
      <c r="BH261" s="7"/>
      <c r="BI261" s="7"/>
      <c r="BJ261" s="7"/>
      <c r="BK261" s="7"/>
      <c r="BL261" s="7"/>
    </row>
    <row r="262" spans="1:64">
      <c r="A262" s="7"/>
      <c r="B262" s="7"/>
      <c r="C262" s="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7"/>
      <c r="AD262" s="7"/>
      <c r="AE262" s="7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7"/>
      <c r="BE262" s="7"/>
      <c r="BF262" s="7"/>
      <c r="BG262" s="7"/>
      <c r="BH262" s="7"/>
      <c r="BI262" s="7"/>
      <c r="BJ262" s="7"/>
      <c r="BK262" s="7"/>
      <c r="BL262" s="7"/>
    </row>
    <row r="263" spans="1:64">
      <c r="A263" s="7"/>
      <c r="B263" s="7"/>
      <c r="C263" s="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7"/>
      <c r="AD263" s="7"/>
      <c r="AE263" s="7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7"/>
      <c r="BE263" s="7"/>
      <c r="BF263" s="7"/>
      <c r="BG263" s="7"/>
      <c r="BH263" s="7"/>
      <c r="BI263" s="7"/>
      <c r="BJ263" s="7"/>
      <c r="BK263" s="7"/>
      <c r="BL263" s="7"/>
    </row>
    <row r="264" spans="1:64">
      <c r="A264" s="7"/>
      <c r="B264" s="7"/>
      <c r="C264" s="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7"/>
      <c r="AD264" s="7"/>
      <c r="AE264" s="7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7"/>
      <c r="BE264" s="7"/>
      <c r="BF264" s="7"/>
      <c r="BG264" s="7"/>
      <c r="BH264" s="7"/>
      <c r="BI264" s="7"/>
      <c r="BJ264" s="7"/>
      <c r="BK264" s="7"/>
      <c r="BL264" s="7"/>
    </row>
    <row r="265" spans="1:64">
      <c r="A265" s="7"/>
      <c r="B265" s="7"/>
      <c r="C265" s="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7"/>
      <c r="AD265" s="7"/>
      <c r="AE265" s="7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7"/>
      <c r="BE265" s="7"/>
      <c r="BF265" s="7"/>
      <c r="BG265" s="7"/>
      <c r="BH265" s="7"/>
      <c r="BI265" s="7"/>
      <c r="BJ265" s="7"/>
      <c r="BK265" s="7"/>
      <c r="BL265" s="7"/>
    </row>
    <row r="266" spans="1:64">
      <c r="A266" s="7"/>
      <c r="B266" s="7"/>
      <c r="C266" s="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7"/>
      <c r="AD266" s="7"/>
      <c r="AE266" s="7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7"/>
      <c r="BE266" s="7"/>
      <c r="BF266" s="7"/>
      <c r="BG266" s="7"/>
      <c r="BH266" s="7"/>
      <c r="BI266" s="7"/>
      <c r="BJ266" s="7"/>
      <c r="BK266" s="7"/>
      <c r="BL266" s="7"/>
    </row>
    <row r="267" spans="1:64">
      <c r="A267" s="7"/>
      <c r="B267" s="7"/>
      <c r="C267" s="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7"/>
      <c r="AD267" s="7"/>
      <c r="AE267" s="7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7"/>
      <c r="BE267" s="7"/>
      <c r="BF267" s="7"/>
      <c r="BG267" s="7"/>
      <c r="BH267" s="7"/>
      <c r="BI267" s="7"/>
      <c r="BJ267" s="7"/>
      <c r="BK267" s="7"/>
      <c r="BL267" s="7"/>
    </row>
    <row r="268" spans="1:64">
      <c r="A268" s="7"/>
      <c r="B268" s="7"/>
      <c r="C268" s="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7"/>
      <c r="AD268" s="7"/>
      <c r="AE268" s="7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7"/>
      <c r="BE268" s="7"/>
      <c r="BF268" s="7"/>
      <c r="BG268" s="7"/>
      <c r="BH268" s="7"/>
      <c r="BI268" s="7"/>
      <c r="BJ268" s="7"/>
      <c r="BK268" s="7"/>
      <c r="BL268" s="7"/>
    </row>
    <row r="269" spans="1:64">
      <c r="A269" s="7"/>
      <c r="B269" s="7"/>
      <c r="C269" s="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7"/>
      <c r="AD269" s="7"/>
      <c r="AE269" s="7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7"/>
      <c r="BE269" s="7"/>
      <c r="BF269" s="7"/>
      <c r="BG269" s="7"/>
      <c r="BH269" s="7"/>
      <c r="BI269" s="7"/>
      <c r="BJ269" s="7"/>
      <c r="BK269" s="7"/>
      <c r="BL269" s="7"/>
    </row>
    <row r="270" spans="1:64">
      <c r="A270" s="7"/>
      <c r="B270" s="7"/>
      <c r="C270" s="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7"/>
      <c r="AD270" s="7"/>
      <c r="AE270" s="7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7"/>
      <c r="BE270" s="7"/>
      <c r="BF270" s="7"/>
      <c r="BG270" s="7"/>
      <c r="BH270" s="7"/>
      <c r="BI270" s="7"/>
      <c r="BJ270" s="7"/>
      <c r="BK270" s="7"/>
      <c r="BL270" s="7"/>
    </row>
    <row r="271" spans="1:64">
      <c r="A271" s="7"/>
      <c r="B271" s="7"/>
      <c r="C271" s="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7"/>
      <c r="AD271" s="7"/>
      <c r="AE271" s="7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7"/>
      <c r="BE271" s="7"/>
      <c r="BF271" s="7"/>
      <c r="BG271" s="7"/>
      <c r="BH271" s="7"/>
      <c r="BI271" s="7"/>
      <c r="BJ271" s="7"/>
      <c r="BK271" s="7"/>
      <c r="BL271" s="7"/>
    </row>
    <row r="272" spans="1:64">
      <c r="A272" s="7"/>
      <c r="B272" s="7"/>
      <c r="C272" s="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7"/>
      <c r="AD272" s="7"/>
      <c r="AE272" s="7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7"/>
      <c r="BE272" s="7"/>
      <c r="BF272" s="7"/>
      <c r="BG272" s="7"/>
      <c r="BH272" s="7"/>
      <c r="BI272" s="7"/>
      <c r="BJ272" s="7"/>
      <c r="BK272" s="7"/>
      <c r="BL272" s="7"/>
    </row>
    <row r="273" spans="1:64">
      <c r="A273" s="7"/>
      <c r="B273" s="7"/>
      <c r="C273" s="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7"/>
      <c r="AD273" s="7"/>
      <c r="AE273" s="7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7"/>
      <c r="BE273" s="7"/>
      <c r="BF273" s="7"/>
      <c r="BG273" s="7"/>
      <c r="BH273" s="7"/>
      <c r="BI273" s="7"/>
      <c r="BJ273" s="7"/>
      <c r="BK273" s="7"/>
      <c r="BL273" s="7"/>
    </row>
    <row r="274" spans="1:64">
      <c r="A274" s="7"/>
      <c r="B274" s="7"/>
      <c r="C274" s="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7"/>
      <c r="AD274" s="7"/>
      <c r="AE274" s="7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7"/>
      <c r="BE274" s="7"/>
      <c r="BF274" s="7"/>
      <c r="BG274" s="7"/>
      <c r="BH274" s="7"/>
      <c r="BI274" s="7"/>
      <c r="BJ274" s="7"/>
      <c r="BK274" s="7"/>
      <c r="BL274" s="7"/>
    </row>
    <row r="275" spans="1:64">
      <c r="A275" s="7"/>
      <c r="B275" s="7"/>
      <c r="C275" s="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7"/>
      <c r="AD275" s="7"/>
      <c r="AE275" s="7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7"/>
      <c r="BE275" s="7"/>
      <c r="BF275" s="7"/>
      <c r="BG275" s="7"/>
      <c r="BH275" s="7"/>
      <c r="BI275" s="7"/>
      <c r="BJ275" s="7"/>
      <c r="BK275" s="7"/>
      <c r="BL275" s="7"/>
    </row>
    <row r="276" spans="1:64">
      <c r="A276" s="7"/>
      <c r="B276" s="7"/>
      <c r="C276" s="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7"/>
      <c r="AD276" s="7"/>
      <c r="AE276" s="7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7"/>
      <c r="BE276" s="7"/>
      <c r="BF276" s="7"/>
      <c r="BG276" s="7"/>
      <c r="BH276" s="7"/>
      <c r="BI276" s="7"/>
      <c r="BJ276" s="7"/>
      <c r="BK276" s="7"/>
      <c r="BL276" s="7"/>
    </row>
    <row r="277" spans="1:64">
      <c r="A277" s="7"/>
      <c r="B277" s="7"/>
      <c r="C277" s="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7"/>
      <c r="AD277" s="7"/>
      <c r="AE277" s="7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7"/>
      <c r="BE277" s="7"/>
      <c r="BF277" s="7"/>
      <c r="BG277" s="7"/>
      <c r="BH277" s="7"/>
      <c r="BI277" s="7"/>
      <c r="BJ277" s="7"/>
      <c r="BK277" s="7"/>
      <c r="BL277" s="7"/>
    </row>
    <row r="278" spans="1:64">
      <c r="A278" s="7"/>
      <c r="B278" s="7"/>
      <c r="C278" s="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7"/>
      <c r="AD278" s="7"/>
      <c r="AE278" s="7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7"/>
      <c r="BE278" s="7"/>
      <c r="BF278" s="7"/>
      <c r="BG278" s="7"/>
      <c r="BH278" s="7"/>
      <c r="BI278" s="7"/>
      <c r="BJ278" s="7"/>
      <c r="BK278" s="7"/>
      <c r="BL278" s="7"/>
    </row>
    <row r="279" spans="1:64">
      <c r="A279" s="7"/>
      <c r="B279" s="7"/>
      <c r="C279" s="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7"/>
      <c r="AD279" s="7"/>
      <c r="AE279" s="7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7"/>
      <c r="BE279" s="7"/>
      <c r="BF279" s="7"/>
      <c r="BG279" s="7"/>
      <c r="BH279" s="7"/>
      <c r="BI279" s="7"/>
      <c r="BJ279" s="7"/>
      <c r="BK279" s="7"/>
      <c r="BL279" s="7"/>
    </row>
    <row r="280" spans="1:64">
      <c r="A280" s="7"/>
      <c r="B280" s="7"/>
      <c r="C280" s="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7"/>
      <c r="AD280" s="7"/>
      <c r="AE280" s="7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7"/>
      <c r="BE280" s="7"/>
      <c r="BF280" s="7"/>
      <c r="BG280" s="7"/>
      <c r="BH280" s="7"/>
      <c r="BI280" s="7"/>
      <c r="BJ280" s="7"/>
      <c r="BK280" s="7"/>
      <c r="BL280" s="7"/>
    </row>
    <row r="281" spans="1:64">
      <c r="A281" s="7"/>
      <c r="B281" s="7"/>
      <c r="C281" s="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7"/>
      <c r="AD281" s="7"/>
      <c r="AE281" s="7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7"/>
      <c r="BE281" s="7"/>
      <c r="BF281" s="7"/>
      <c r="BG281" s="7"/>
      <c r="BH281" s="7"/>
      <c r="BI281" s="7"/>
      <c r="BJ281" s="7"/>
      <c r="BK281" s="7"/>
      <c r="BL281" s="7"/>
    </row>
    <row r="282" spans="1:64">
      <c r="A282" s="7"/>
      <c r="B282" s="7"/>
      <c r="C282" s="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7"/>
      <c r="AD282" s="7"/>
      <c r="AE282" s="7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7"/>
      <c r="BE282" s="7"/>
      <c r="BF282" s="7"/>
      <c r="BG282" s="7"/>
      <c r="BH282" s="7"/>
      <c r="BI282" s="7"/>
      <c r="BJ282" s="7"/>
      <c r="BK282" s="7"/>
      <c r="BL282" s="7"/>
    </row>
    <row r="283" spans="1:64">
      <c r="A283" s="7"/>
      <c r="B283" s="7"/>
      <c r="C283" s="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7"/>
      <c r="AD283" s="7"/>
      <c r="AE283" s="7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7"/>
      <c r="BE283" s="7"/>
      <c r="BF283" s="7"/>
      <c r="BG283" s="7"/>
      <c r="BH283" s="7"/>
      <c r="BI283" s="7"/>
      <c r="BJ283" s="7"/>
      <c r="BK283" s="7"/>
      <c r="BL283" s="7"/>
    </row>
    <row r="284" spans="1:64">
      <c r="A284" s="7"/>
      <c r="B284" s="7"/>
      <c r="C284" s="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7"/>
      <c r="AD284" s="7"/>
      <c r="AE284" s="7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7"/>
      <c r="BE284" s="7"/>
      <c r="BF284" s="7"/>
      <c r="BG284" s="7"/>
      <c r="BH284" s="7"/>
      <c r="BI284" s="7"/>
      <c r="BJ284" s="7"/>
      <c r="BK284" s="7"/>
      <c r="BL284" s="7"/>
    </row>
    <row r="285" spans="1:64">
      <c r="A285" s="7"/>
      <c r="B285" s="7"/>
      <c r="C285" s="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7"/>
      <c r="AD285" s="7"/>
      <c r="AE285" s="7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7"/>
      <c r="BE285" s="7"/>
      <c r="BF285" s="7"/>
      <c r="BG285" s="7"/>
      <c r="BH285" s="7"/>
      <c r="BI285" s="7"/>
      <c r="BJ285" s="7"/>
      <c r="BK285" s="7"/>
      <c r="BL285" s="7"/>
    </row>
    <row r="286" spans="1:64">
      <c r="A286" s="7"/>
      <c r="B286" s="7"/>
      <c r="C286" s="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7"/>
      <c r="AD286" s="7"/>
      <c r="AE286" s="7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7"/>
      <c r="BE286" s="7"/>
      <c r="BF286" s="7"/>
      <c r="BG286" s="7"/>
      <c r="BH286" s="7"/>
      <c r="BI286" s="7"/>
      <c r="BJ286" s="7"/>
      <c r="BK286" s="7"/>
      <c r="BL286" s="7"/>
    </row>
    <row r="287" spans="1:64">
      <c r="A287" s="7"/>
      <c r="B287" s="7"/>
      <c r="C287" s="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7"/>
      <c r="AD287" s="7"/>
      <c r="AE287" s="7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7"/>
      <c r="BE287" s="7"/>
      <c r="BF287" s="7"/>
      <c r="BG287" s="7"/>
      <c r="BH287" s="7"/>
      <c r="BI287" s="7"/>
      <c r="BJ287" s="7"/>
      <c r="BK287" s="7"/>
      <c r="BL287" s="7"/>
    </row>
    <row r="288" spans="1:64">
      <c r="A288" s="7"/>
      <c r="B288" s="7"/>
      <c r="C288" s="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7"/>
      <c r="AD288" s="7"/>
      <c r="AE288" s="7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7"/>
      <c r="BE288" s="7"/>
      <c r="BF288" s="7"/>
      <c r="BG288" s="7"/>
      <c r="BH288" s="7"/>
      <c r="BI288" s="7"/>
      <c r="BJ288" s="7"/>
      <c r="BK288" s="7"/>
      <c r="BL288" s="7"/>
    </row>
    <row r="289" spans="1:64">
      <c r="A289" s="7"/>
      <c r="B289" s="7"/>
      <c r="C289" s="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7"/>
      <c r="AD289" s="7"/>
      <c r="AE289" s="7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7"/>
      <c r="BE289" s="7"/>
      <c r="BF289" s="7"/>
      <c r="BG289" s="7"/>
      <c r="BH289" s="7"/>
      <c r="BI289" s="7"/>
      <c r="BJ289" s="7"/>
      <c r="BK289" s="7"/>
      <c r="BL289" s="7"/>
    </row>
    <row r="290" spans="1:64">
      <c r="A290" s="7"/>
      <c r="B290" s="7"/>
      <c r="C290" s="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7"/>
      <c r="AD290" s="7"/>
      <c r="AE290" s="7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7"/>
      <c r="BE290" s="7"/>
      <c r="BF290" s="7"/>
      <c r="BG290" s="7"/>
      <c r="BH290" s="7"/>
      <c r="BI290" s="7"/>
      <c r="BJ290" s="7"/>
      <c r="BK290" s="7"/>
      <c r="BL290" s="7"/>
    </row>
    <row r="291" spans="1:64">
      <c r="A291" s="7"/>
      <c r="B291" s="7"/>
      <c r="C291" s="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7"/>
      <c r="AD291" s="7"/>
      <c r="AE291" s="7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7"/>
      <c r="BE291" s="7"/>
      <c r="BF291" s="7"/>
      <c r="BG291" s="7"/>
      <c r="BH291" s="7"/>
      <c r="BI291" s="7"/>
      <c r="BJ291" s="7"/>
      <c r="BK291" s="7"/>
      <c r="BL291" s="7"/>
    </row>
    <row r="297" spans="2:4">
      <c r="B297" s="10"/>
      <c r="C297" s="10"/>
      <c r="D297" s="10"/>
    </row>
    <row r="298" spans="2:4">
      <c r="B298" s="10"/>
      <c r="C298" s="10"/>
      <c r="D298" s="10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G11" sqref="G11"/>
    </sheetView>
  </sheetViews>
  <sheetFormatPr defaultColWidth="9" defaultRowHeight="15" outlineLevelCol="6"/>
  <cols>
    <col min="2" max="3" width="26" customWidth="1"/>
    <col min="4" max="5" width="13.54" customWidth="1"/>
    <col min="6" max="6" width="14" customWidth="1"/>
    <col min="7" max="7" width="8.72666666666667" style="5"/>
  </cols>
  <sheetData>
    <row r="1" spans="1:6">
      <c r="A1" s="6" t="s">
        <v>63</v>
      </c>
      <c r="B1" s="7"/>
      <c r="C1" s="7"/>
      <c r="D1" s="7"/>
      <c r="E1" s="7"/>
      <c r="F1" s="7"/>
    </row>
    <row r="2" spans="1:6">
      <c r="A2" s="8" t="s">
        <v>64</v>
      </c>
      <c r="B2" s="8" t="s">
        <v>65</v>
      </c>
      <c r="C2" s="8"/>
      <c r="D2" s="8" t="s">
        <v>66</v>
      </c>
      <c r="E2" s="8" t="s">
        <v>67</v>
      </c>
      <c r="F2" s="8" t="s">
        <v>68</v>
      </c>
    </row>
    <row r="3" spans="1:7">
      <c r="A3" s="1">
        <v>35</v>
      </c>
      <c r="B3" s="9" t="s">
        <v>69</v>
      </c>
      <c r="C3" s="9" t="s">
        <v>66</v>
      </c>
      <c r="D3" s="10">
        <v>1.02323e-8</v>
      </c>
      <c r="E3" s="10"/>
      <c r="F3" s="2">
        <v>2.94e-9</v>
      </c>
      <c r="G3" s="5">
        <f>F3/D3</f>
        <v>0.287325430255172</v>
      </c>
    </row>
    <row r="4" spans="1:7">
      <c r="A4" s="1">
        <v>50</v>
      </c>
      <c r="B4" s="9" t="s">
        <v>69</v>
      </c>
      <c r="C4" s="9" t="s">
        <v>66</v>
      </c>
      <c r="D4" s="10">
        <v>1.57363e-8</v>
      </c>
      <c r="E4" s="10"/>
      <c r="F4" s="3">
        <v>8e-9</v>
      </c>
      <c r="G4" s="5">
        <f t="shared" ref="G4:G6" si="0">F4/D4</f>
        <v>0.508378716725024</v>
      </c>
    </row>
    <row r="5" spans="1:7">
      <c r="A5" s="1">
        <v>65</v>
      </c>
      <c r="B5" s="9" t="s">
        <v>69</v>
      </c>
      <c r="C5" s="9" t="s">
        <v>66</v>
      </c>
      <c r="D5" s="10">
        <v>2.83211e-8</v>
      </c>
      <c r="E5" s="10"/>
      <c r="F5" s="3">
        <v>1.55e-8</v>
      </c>
      <c r="G5" s="5">
        <f t="shared" si="0"/>
        <v>0.547295126248627</v>
      </c>
    </row>
    <row r="6" spans="1:7">
      <c r="A6" s="1">
        <v>80</v>
      </c>
      <c r="B6" s="9" t="s">
        <v>69</v>
      </c>
      <c r="C6" s="9" t="s">
        <v>66</v>
      </c>
      <c r="D6" s="10">
        <v>1.25773e-7</v>
      </c>
      <c r="E6" s="10"/>
      <c r="F6" s="3">
        <v>2.55e-8</v>
      </c>
      <c r="G6" s="5">
        <f t="shared" si="0"/>
        <v>0.20274621739165</v>
      </c>
    </row>
    <row r="7" spans="1:7">
      <c r="A7" s="1">
        <v>80</v>
      </c>
      <c r="B7" s="9" t="s">
        <v>70</v>
      </c>
      <c r="C7" s="9" t="s">
        <v>67</v>
      </c>
      <c r="E7" s="10">
        <v>4.37e-7</v>
      </c>
      <c r="F7" s="3">
        <v>2.55e-8</v>
      </c>
      <c r="G7" s="5">
        <f>F7/E7</f>
        <v>0.0583524027459954</v>
      </c>
    </row>
    <row r="8" spans="1:7">
      <c r="A8" s="1">
        <v>100</v>
      </c>
      <c r="B8" s="9" t="s">
        <v>69</v>
      </c>
      <c r="C8" s="9" t="s">
        <v>66</v>
      </c>
      <c r="D8" s="10">
        <v>1.5953e-6</v>
      </c>
      <c r="E8" s="10"/>
      <c r="F8" s="4">
        <v>5.21e-8</v>
      </c>
      <c r="G8" s="5">
        <f>F8/D8</f>
        <v>0.0326584341503166</v>
      </c>
    </row>
    <row r="9" spans="1:7">
      <c r="A9" s="1">
        <v>100</v>
      </c>
      <c r="B9" s="9" t="s">
        <v>70</v>
      </c>
      <c r="C9" s="9" t="s">
        <v>67</v>
      </c>
      <c r="E9" s="10">
        <v>1.58e-6</v>
      </c>
      <c r="F9" s="4">
        <v>5.21e-8</v>
      </c>
      <c r="G9" s="5">
        <f>F9/E9</f>
        <v>0.0329746835443038</v>
      </c>
    </row>
    <row r="10" spans="1:7">
      <c r="A10" s="1">
        <v>150</v>
      </c>
      <c r="B10" s="9" t="s">
        <v>69</v>
      </c>
      <c r="C10" s="9" t="s">
        <v>66</v>
      </c>
      <c r="D10" s="10">
        <v>6.33771e-5</v>
      </c>
      <c r="E10" s="10"/>
      <c r="F10" s="4">
        <v>1.28e-6</v>
      </c>
      <c r="G10" s="5">
        <f>F10/D10</f>
        <v>0.0201965694233406</v>
      </c>
    </row>
    <row r="11" spans="1:7">
      <c r="A11" s="1">
        <v>150</v>
      </c>
      <c r="B11" s="9" t="s">
        <v>70</v>
      </c>
      <c r="C11" s="9" t="s">
        <v>67</v>
      </c>
      <c r="E11" s="10">
        <v>9.71e-5</v>
      </c>
      <c r="F11" s="4">
        <v>1.28e-6</v>
      </c>
      <c r="G11" s="5">
        <f>F11/E11</f>
        <v>0.0131822863027806</v>
      </c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9" spans="1:2">
      <c r="A29" s="10"/>
      <c r="B29" s="10"/>
    </row>
    <row r="30" spans="1:2">
      <c r="A30" s="10"/>
      <c r="B30" s="10"/>
    </row>
    <row r="31" spans="1:2">
      <c r="A31" s="10"/>
      <c r="B31" s="10"/>
    </row>
    <row r="32" spans="1:2">
      <c r="A32" s="10"/>
      <c r="B32" s="10"/>
    </row>
  </sheetData>
  <mergeCells count="1">
    <mergeCell ref="A1:F1"/>
  </mergeCells>
  <hyperlinks>
    <hyperlink ref="B3" r:id="rId1" display="10.1016/j.jnucmat.2012.01.005"/>
    <hyperlink ref="B4:B6" r:id="rId1" display="10.1016/j.jnucmat.2012.01.005"/>
    <hyperlink ref="B8" r:id="rId1" display="10.1016/j.jnucmat.2012.01.005"/>
    <hyperlink ref="B10" r:id="rId1" display="10.1016/j.jnucmat.2012.01.005"/>
  </hyperlink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6" sqref="$A6:$XFD7"/>
    </sheetView>
  </sheetViews>
  <sheetFormatPr defaultColWidth="9" defaultRowHeight="15" outlineLevelRow="5" outlineLevelCol="1"/>
  <sheetData>
    <row r="1" spans="1:2">
      <c r="A1" s="1">
        <v>35</v>
      </c>
      <c r="B1" s="2">
        <v>1.22e-9</v>
      </c>
    </row>
    <row r="2" spans="1:2">
      <c r="A2" s="1">
        <v>50</v>
      </c>
      <c r="B2" s="3">
        <v>3.49e-9</v>
      </c>
    </row>
    <row r="3" spans="1:2">
      <c r="A3" s="1">
        <v>65</v>
      </c>
      <c r="B3" s="3">
        <v>7.33e-9</v>
      </c>
    </row>
    <row r="4" spans="1:2">
      <c r="A4" s="1">
        <v>80</v>
      </c>
      <c r="B4" s="3">
        <v>1.58e-8</v>
      </c>
    </row>
    <row r="5" spans="1:2">
      <c r="A5" s="1">
        <v>100</v>
      </c>
      <c r="B5" s="4">
        <v>6.16e-8</v>
      </c>
    </row>
    <row r="6" spans="1:2">
      <c r="A6" s="1">
        <v>150</v>
      </c>
      <c r="B6" s="4">
        <v>2.28e-6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973K_80MPa_64g</vt:lpstr>
      <vt:lpstr>973K_100MPa_64g</vt:lpstr>
      <vt:lpstr>973K_150MPa_512g</vt:lpstr>
      <vt:lpstr>973K_35MPa_64g</vt:lpstr>
      <vt:lpstr>973K_50MPa_64g</vt:lpstr>
      <vt:lpstr>973K_65MPa_64g</vt:lpstr>
      <vt:lpstr>Compiled</vt:lpstr>
      <vt:lpstr>Compiled_Sim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2025-02-03T10:51:00Z</dcterms:created>
  <dcterms:modified xsi:type="dcterms:W3CDTF">2025-04-20T12:34:07Z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