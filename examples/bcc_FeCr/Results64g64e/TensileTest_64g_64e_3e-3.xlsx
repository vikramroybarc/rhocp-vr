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 activeTab="10"/>
  </bookViews>
  <sheets>
    <sheet name="Exp" sheetId="1" r:id="rId1"/>
    <sheet name="Graph" sheetId="3" r:id="rId2"/>
    <sheet name="923K" sheetId="7" r:id="rId3"/>
    <sheet name="873K" sheetId="2" r:id="rId4"/>
    <sheet name="823K" sheetId="4" r:id="rId5"/>
    <sheet name="773K" sheetId="5" r:id="rId6"/>
    <sheet name="723K" sheetId="6" r:id="rId7"/>
    <sheet name="673K" sheetId="8" r:id="rId8"/>
    <sheet name="573K" sheetId="9" r:id="rId9"/>
    <sheet name="473K" sheetId="10" r:id="rId10"/>
    <sheet name="props-723to923" sheetId="11" r:id="rId11"/>
  </sheets>
  <calcPr calcId="144525"/>
</workbook>
</file>

<file path=xl/sharedStrings.xml><?xml version="1.0" encoding="utf-8"?>
<sst xmlns="http://schemas.openxmlformats.org/spreadsheetml/2006/main" count="131" uniqueCount="26">
  <si>
    <t>Strain Rate 3e-3/s</t>
  </si>
  <si>
    <t>923K 2014 Singh</t>
  </si>
  <si>
    <t>873K 2014 Singh</t>
  </si>
  <si>
    <t>823K 2014 Singh</t>
  </si>
  <si>
    <t>773K 2014 Singh</t>
  </si>
  <si>
    <t>723K 2014 Singh</t>
  </si>
  <si>
    <t>673K 2014 Singh</t>
  </si>
  <si>
    <t>573K 2014 Singh</t>
  </si>
  <si>
    <t>473K 2014 Singh</t>
  </si>
  <si>
    <t>300K 2014 Singh</t>
  </si>
  <si>
    <t>473K 2008 MatijaSevic</t>
  </si>
  <si>
    <t>time</t>
  </si>
  <si>
    <t>Ep_eff</t>
  </si>
  <si>
    <t>Phi</t>
  </si>
  <si>
    <t>eeq</t>
  </si>
  <si>
    <t>phi_1</t>
  </si>
  <si>
    <t>phi_2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</si>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</sst>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8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Exp!$S$2</c:f>
              <c:strCache>
                <c:ptCount val="1"/>
                <c:pt idx="0">
                  <c:v>573K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Exp!$S$3:$S$19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Exp!$T$3:$T$19</c:f>
              <c:numCache>
                <c:formatCode>General</c:formatCode>
                <c:ptCount val="17"/>
                <c:pt idx="0">
                  <c:v>474.289681235917</c:v>
                </c:pt>
                <c:pt idx="1">
                  <c:v>527.883459464422</c:v>
                </c:pt>
                <c:pt idx="2">
                  <c:v>547.26300261885</c:v>
                </c:pt>
                <c:pt idx="3">
                  <c:v>561.442961094595</c:v>
                </c:pt>
                <c:pt idx="4">
                  <c:v>572.694325207371</c:v>
                </c:pt>
                <c:pt idx="5">
                  <c:v>582.05453339944</c:v>
                </c:pt>
                <c:pt idx="6">
                  <c:v>590.087730607861</c:v>
                </c:pt>
                <c:pt idx="7">
                  <c:v>597.135964219224</c:v>
                </c:pt>
                <c:pt idx="8">
                  <c:v>603.422793279546</c:v>
                </c:pt>
                <c:pt idx="9">
                  <c:v>609.102619113544</c:v>
                </c:pt>
                <c:pt idx="10">
                  <c:v>614.28668876971</c:v>
                </c:pt>
                <c:pt idx="11">
                  <c:v>619.057890318952</c:v>
                </c:pt>
                <c:pt idx="12">
                  <c:v>623.479688622804</c:v>
                </c:pt>
                <c:pt idx="13">
                  <c:v>627.601787550224</c:v>
                </c:pt>
                <c:pt idx="14">
                  <c:v>631.463862454191</c:v>
                </c:pt>
                <c:pt idx="15">
                  <c:v>635.098103409913</c:v>
                </c:pt>
                <c:pt idx="16">
                  <c:v>638.530997640319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'573K'!$K$2:$K$280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7.7492133262395e-6</c:v>
                </c:pt>
                <c:pt idx="2" c:formatCode="0.00E+00">
                  <c:v>5.5330619976925e-5</c:v>
                </c:pt>
                <c:pt idx="3">
                  <c:v>0.00029995442567448</c:v>
                </c:pt>
                <c:pt idx="4">
                  <c:v>0.00061986017284069</c:v>
                </c:pt>
                <c:pt idx="5">
                  <c:v>0.0012193015256204</c:v>
                </c:pt>
                <c:pt idx="6">
                  <c:v>0.0018183789379283</c:v>
                </c:pt>
                <c:pt idx="7">
                  <c:v>0.002417091890769</c:v>
                </c:pt>
                <c:pt idx="8">
                  <c:v>0.0030154415514307</c:v>
                </c:pt>
                <c:pt idx="9">
                  <c:v>0.0036134265063224</c:v>
                </c:pt>
                <c:pt idx="10">
                  <c:v>0.0042110451610025</c:v>
                </c:pt>
                <c:pt idx="11">
                  <c:v>0.0048082991394792</c:v>
                </c:pt>
                <c:pt idx="12">
                  <c:v>0.0054051894827613</c:v>
                </c:pt>
                <c:pt idx="13">
                  <c:v>0.0060017172708263</c:v>
                </c:pt>
                <c:pt idx="14">
                  <c:v>0.006597884294791</c:v>
                </c:pt>
                <c:pt idx="15">
                  <c:v>0.0071936911731359</c:v>
                </c:pt>
                <c:pt idx="16">
                  <c:v>0.0077891378574936</c:v>
                </c:pt>
                <c:pt idx="17">
                  <c:v>0.0083842245741067</c:v>
                </c:pt>
                <c:pt idx="18">
                  <c:v>0.0089789518549643</c:v>
                </c:pt>
                <c:pt idx="19">
                  <c:v>0.0095733203316283</c:v>
                </c:pt>
                <c:pt idx="20">
                  <c:v>0.010167330385009</c:v>
                </c:pt>
                <c:pt idx="21">
                  <c:v>0.010760982332296</c:v>
                </c:pt>
                <c:pt idx="22">
                  <c:v>0.011354276664808</c:v>
                </c:pt>
                <c:pt idx="23">
                  <c:v>0.011947214002507</c:v>
                </c:pt>
                <c:pt idx="24">
                  <c:v>0.012539794912481</c:v>
                </c:pt>
                <c:pt idx="25">
                  <c:v>0.013132019934785</c:v>
                </c:pt>
                <c:pt idx="26">
                  <c:v>0.013723889747406</c:v>
                </c:pt>
                <c:pt idx="27">
                  <c:v>0.014315404939531</c:v>
                </c:pt>
                <c:pt idx="28">
                  <c:v>0.014906565920669</c:v>
                </c:pt>
                <c:pt idx="29">
                  <c:v>0.015497373101231</c:v>
                </c:pt>
                <c:pt idx="30">
                  <c:v>0.016087826808789</c:v>
                </c:pt>
                <c:pt idx="31">
                  <c:v>0.01667792736792</c:v>
                </c:pt>
                <c:pt idx="32">
                  <c:v>0.017267675069325</c:v>
                </c:pt>
                <c:pt idx="33">
                  <c:v>0.017857070204312</c:v>
                </c:pt>
                <c:pt idx="34">
                  <c:v>0.018446113079356</c:v>
                </c:pt>
                <c:pt idx="35">
                  <c:v>0.019034804032859</c:v>
                </c:pt>
                <c:pt idx="36">
                  <c:v>0.019623143434081</c:v>
                </c:pt>
                <c:pt idx="37">
                  <c:v>0.020211131649138</c:v>
                </c:pt>
                <c:pt idx="38">
                  <c:v>0.020798769105117</c:v>
                </c:pt>
                <c:pt idx="39">
                  <c:v>0.021386056196138</c:v>
                </c:pt>
                <c:pt idx="40">
                  <c:v>0.021972993328618</c:v>
                </c:pt>
                <c:pt idx="41">
                  <c:v>0.022559580904749</c:v>
                </c:pt>
                <c:pt idx="42">
                  <c:v>0.023145819316671</c:v>
                </c:pt>
                <c:pt idx="43">
                  <c:v>0.023731708987898</c:v>
                </c:pt>
                <c:pt idx="44">
                  <c:v>0.024317250320102</c:v>
                </c:pt>
                <c:pt idx="45">
                  <c:v>0.024902443716389</c:v>
                </c:pt>
                <c:pt idx="46">
                  <c:v>0.025487289584539</c:v>
                </c:pt>
                <c:pt idx="47">
                  <c:v>0.026071788326845</c:v>
                </c:pt>
                <c:pt idx="48">
                  <c:v>0.026655940329656</c:v>
                </c:pt>
                <c:pt idx="49">
                  <c:v>0.027239745963009</c:v>
                </c:pt>
                <c:pt idx="50">
                  <c:v>0.027823205584449</c:v>
                </c:pt>
                <c:pt idx="51">
                  <c:v>0.028406319562431</c:v>
                </c:pt>
                <c:pt idx="52">
                  <c:v>0.028989088243503</c:v>
                </c:pt>
                <c:pt idx="53">
                  <c:v>0.029571512012215</c:v>
                </c:pt>
                <c:pt idx="54">
                  <c:v>0.030153591246983</c:v>
                </c:pt>
                <c:pt idx="55">
                  <c:v>0.030735326356528</c:v>
                </c:pt>
                <c:pt idx="56">
                  <c:v>0.031316717731712</c:v>
                </c:pt>
                <c:pt idx="57">
                  <c:v>0.031897765798027</c:v>
                </c:pt>
                <c:pt idx="58">
                  <c:v>0.032478470975171</c:v>
                </c:pt>
                <c:pt idx="59">
                  <c:v>0.033058833691384</c:v>
                </c:pt>
                <c:pt idx="60">
                  <c:v>0.033638854366644</c:v>
                </c:pt>
                <c:pt idx="61">
                  <c:v>0.034218533403054</c:v>
                </c:pt>
                <c:pt idx="62">
                  <c:v>0.0347978711992</c:v>
                </c:pt>
                <c:pt idx="63">
                  <c:v>0.035376868163043</c:v>
                </c:pt>
                <c:pt idx="64">
                  <c:v>0.035955524680949</c:v>
                </c:pt>
                <c:pt idx="65">
                  <c:v>0.036533841142384</c:v>
                </c:pt>
                <c:pt idx="66">
                  <c:v>0.037111817937837</c:v>
                </c:pt>
                <c:pt idx="67">
                  <c:v>0.037689455466571</c:v>
                </c:pt>
                <c:pt idx="68">
                  <c:v>0.038266754132578</c:v>
                </c:pt>
                <c:pt idx="69">
                  <c:v>0.038843714332878</c:v>
                </c:pt>
                <c:pt idx="70">
                  <c:v>0.039420336442963</c:v>
                </c:pt>
                <c:pt idx="71">
                  <c:v>0.039996620874851</c:v>
                </c:pt>
                <c:pt idx="72">
                  <c:v>0.04057256802915</c:v>
                </c:pt>
                <c:pt idx="73">
                  <c:v>0.041148178302063</c:v>
                </c:pt>
                <c:pt idx="74">
                  <c:v>0.041723452092928</c:v>
                </c:pt>
                <c:pt idx="75">
                  <c:v>0.042298389795083</c:v>
                </c:pt>
                <c:pt idx="76">
                  <c:v>0.042872991809411</c:v>
                </c:pt>
                <c:pt idx="77">
                  <c:v>0.043447258542173</c:v>
                </c:pt>
                <c:pt idx="78">
                  <c:v>0.044021190391461</c:v>
                </c:pt>
                <c:pt idx="79">
                  <c:v>0.044594787755875</c:v>
                </c:pt>
                <c:pt idx="80">
                  <c:v>0.045168051028433</c:v>
                </c:pt>
                <c:pt idx="81">
                  <c:v>0.045740980627114</c:v>
                </c:pt>
                <c:pt idx="82">
                  <c:v>0.046313576942772</c:v>
                </c:pt>
                <c:pt idx="83">
                  <c:v>0.046885840375739</c:v>
                </c:pt>
                <c:pt idx="84">
                  <c:v>0.047457771328507</c:v>
                </c:pt>
                <c:pt idx="85">
                  <c:v>0.048029370198759</c:v>
                </c:pt>
                <c:pt idx="86">
                  <c:v>0.048600637387236</c:v>
                </c:pt>
                <c:pt idx="87">
                  <c:v>0.049171573273374</c:v>
                </c:pt>
                <c:pt idx="88">
                  <c:v>0.049723111356618</c:v>
                </c:pt>
              </c:numCache>
            </c:numRef>
          </c:xVal>
          <c:yVal>
            <c:numRef>
              <c:f>'573K'!$N$2:$N$230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1.7694987586654</c:v>
                </c:pt>
                <c:pt idx="2">
                  <c:v>12.63811932424</c:v>
                </c:pt>
                <c:pt idx="3">
                  <c:v>68.6249120697</c:v>
                </c:pt>
                <c:pt idx="4">
                  <c:v>142.08960225838</c:v>
                </c:pt>
                <c:pt idx="5">
                  <c:v>280.62322067128</c:v>
                </c:pt>
                <c:pt idx="6">
                  <c:v>416.24673479051</c:v>
                </c:pt>
                <c:pt idx="7">
                  <c:v>482.86201128663</c:v>
                </c:pt>
                <c:pt idx="8">
                  <c:v>506.32158394002</c:v>
                </c:pt>
                <c:pt idx="9">
                  <c:v>519.97926456085</c:v>
                </c:pt>
                <c:pt idx="10">
                  <c:v>529.16204429346</c:v>
                </c:pt>
                <c:pt idx="11">
                  <c:v>535.49342980853</c:v>
                </c:pt>
                <c:pt idx="12">
                  <c:v>540.27752621504</c:v>
                </c:pt>
                <c:pt idx="13">
                  <c:v>544.17405454924</c:v>
                </c:pt>
                <c:pt idx="14">
                  <c:v>547.50587661487</c:v>
                </c:pt>
                <c:pt idx="15">
                  <c:v>550.48146762786</c:v>
                </c:pt>
                <c:pt idx="16">
                  <c:v>553.21702164379</c:v>
                </c:pt>
                <c:pt idx="17">
                  <c:v>555.77508339021</c:v>
                </c:pt>
                <c:pt idx="18">
                  <c:v>558.19639693849</c:v>
                </c:pt>
                <c:pt idx="19">
                  <c:v>560.50645980028</c:v>
                </c:pt>
                <c:pt idx="20">
                  <c:v>562.73379318397</c:v>
                </c:pt>
                <c:pt idx="21">
                  <c:v>564.89789861027</c:v>
                </c:pt>
                <c:pt idx="22">
                  <c:v>567.01192471502</c:v>
                </c:pt>
                <c:pt idx="23">
                  <c:v>569.08041077446</c:v>
                </c:pt>
                <c:pt idx="24">
                  <c:v>571.10859618372</c:v>
                </c:pt>
                <c:pt idx="25">
                  <c:v>573.10314059654</c:v>
                </c:pt>
                <c:pt idx="26">
                  <c:v>575.06515242691</c:v>
                </c:pt>
                <c:pt idx="27">
                  <c:v>576.99683109233</c:v>
                </c:pt>
                <c:pt idx="28">
                  <c:v>578.90098349674</c:v>
                </c:pt>
                <c:pt idx="29">
                  <c:v>580.78265438314</c:v>
                </c:pt>
                <c:pt idx="30">
                  <c:v>582.64043754902</c:v>
                </c:pt>
                <c:pt idx="31">
                  <c:v>584.4791073811</c:v>
                </c:pt>
                <c:pt idx="32">
                  <c:v>586.29778063351</c:v>
                </c:pt>
                <c:pt idx="33">
                  <c:v>588.10071241986</c:v>
                </c:pt>
                <c:pt idx="34">
                  <c:v>589.88784032919</c:v>
                </c:pt>
                <c:pt idx="35">
                  <c:v>591.66065445944</c:v>
                </c:pt>
                <c:pt idx="36">
                  <c:v>593.4193180708</c:v>
                </c:pt>
                <c:pt idx="37">
                  <c:v>595.16253655335</c:v>
                </c:pt>
                <c:pt idx="38">
                  <c:v>596.89489993914</c:v>
                </c:pt>
                <c:pt idx="39">
                  <c:v>598.61488202048</c:v>
                </c:pt>
                <c:pt idx="40">
                  <c:v>600.32331748224</c:v>
                </c:pt>
                <c:pt idx="41">
                  <c:v>602.02164278223</c:v>
                </c:pt>
                <c:pt idx="42">
                  <c:v>603.70782418307</c:v>
                </c:pt>
                <c:pt idx="43">
                  <c:v>605.38353541872</c:v>
                </c:pt>
                <c:pt idx="44">
                  <c:v>607.04877468058</c:v>
                </c:pt>
                <c:pt idx="45">
                  <c:v>608.70355598888</c:v>
                </c:pt>
                <c:pt idx="46">
                  <c:v>610.34796549335</c:v>
                </c:pt>
                <c:pt idx="47">
                  <c:v>611.98212113789</c:v>
                </c:pt>
                <c:pt idx="48">
                  <c:v>613.60636054335</c:v>
                </c:pt>
                <c:pt idx="49">
                  <c:v>615.22112005365</c:v>
                </c:pt>
                <c:pt idx="50">
                  <c:v>616.82702736177</c:v>
                </c:pt>
                <c:pt idx="51">
                  <c:v>618.42383853753</c:v>
                </c:pt>
                <c:pt idx="52">
                  <c:v>620.01109078355</c:v>
                </c:pt>
                <c:pt idx="53">
                  <c:v>621.59047635368</c:v>
                </c:pt>
                <c:pt idx="54">
                  <c:v>623.16119481415</c:v>
                </c:pt>
                <c:pt idx="55">
                  <c:v>624.72355340344</c:v>
                </c:pt>
                <c:pt idx="56">
                  <c:v>626.27822898022</c:v>
                </c:pt>
                <c:pt idx="57">
                  <c:v>627.82510043804</c:v>
                </c:pt>
                <c:pt idx="58">
                  <c:v>629.36385178669</c:v>
                </c:pt>
                <c:pt idx="59">
                  <c:v>630.89533221254</c:v>
                </c:pt>
                <c:pt idx="60">
                  <c:v>632.41944637173</c:v>
                </c:pt>
                <c:pt idx="61">
                  <c:v>633.93650111397</c:v>
                </c:pt>
                <c:pt idx="62">
                  <c:v>635.44583423615</c:v>
                </c:pt>
                <c:pt idx="63">
                  <c:v>636.9479947174</c:v>
                </c:pt>
                <c:pt idx="64">
                  <c:v>638.44345877474</c:v>
                </c:pt>
                <c:pt idx="65">
                  <c:v>639.93208416433</c:v>
                </c:pt>
                <c:pt idx="66">
                  <c:v>641.41414384292</c:v>
                </c:pt>
                <c:pt idx="67">
                  <c:v>642.88972421184</c:v>
                </c:pt>
                <c:pt idx="68">
                  <c:v>644.3585915454</c:v>
                </c:pt>
                <c:pt idx="69">
                  <c:v>645.82098516842</c:v>
                </c:pt>
                <c:pt idx="70">
                  <c:v>647.2765689583</c:v>
                </c:pt>
                <c:pt idx="71">
                  <c:v>648.72578241794</c:v>
                </c:pt>
                <c:pt idx="72">
                  <c:v>650.16904529547</c:v>
                </c:pt>
                <c:pt idx="73">
                  <c:v>651.60583807753</c:v>
                </c:pt>
                <c:pt idx="74">
                  <c:v>653.03681508986</c:v>
                </c:pt>
                <c:pt idx="75">
                  <c:v>654.4615287416</c:v>
                </c:pt>
                <c:pt idx="76">
                  <c:v>655.88019897689</c:v>
                </c:pt>
                <c:pt idx="77">
                  <c:v>657.2934679915</c:v>
                </c:pt>
                <c:pt idx="78">
                  <c:v>658.70092257083</c:v>
                </c:pt>
                <c:pt idx="79">
                  <c:v>660.10186066172</c:v>
                </c:pt>
                <c:pt idx="80">
                  <c:v>661.49732956516</c:v>
                </c:pt>
                <c:pt idx="81">
                  <c:v>662.88705837164</c:v>
                </c:pt>
                <c:pt idx="82">
                  <c:v>664.27065614265</c:v>
                </c:pt>
                <c:pt idx="83">
                  <c:v>665.64891304305</c:v>
                </c:pt>
                <c:pt idx="84">
                  <c:v>667.02157348817</c:v>
                </c:pt>
                <c:pt idx="85">
                  <c:v>668.38850981939</c:v>
                </c:pt>
                <c:pt idx="86">
                  <c:v>669.75047624568</c:v>
                </c:pt>
                <c:pt idx="87">
                  <c:v>671.10699760439</c:v>
                </c:pt>
                <c:pt idx="88">
                  <c:v>672.43520735717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Exp!$D$2</c:f>
              <c:strCache>
                <c:ptCount val="1"/>
                <c:pt idx="0">
                  <c:v>873K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Exp!$D$3:$D$26</c:f>
              <c:numCache>
                <c:formatCode>General</c:formatCode>
                <c:ptCount val="24"/>
                <c:pt idx="0">
                  <c:v>0.0024</c:v>
                </c:pt>
                <c:pt idx="1">
                  <c:v>0.00271</c:v>
                </c:pt>
                <c:pt idx="2">
                  <c:v>0.00303</c:v>
                </c:pt>
                <c:pt idx="3">
                  <c:v>0.00339</c:v>
                </c:pt>
                <c:pt idx="4">
                  <c:v>0.00379</c:v>
                </c:pt>
                <c:pt idx="5">
                  <c:v>0.00424</c:v>
                </c:pt>
                <c:pt idx="6">
                  <c:v>0.00475</c:v>
                </c:pt>
                <c:pt idx="7">
                  <c:v>0.00531</c:v>
                </c:pt>
                <c:pt idx="8">
                  <c:v>0.00594</c:v>
                </c:pt>
                <c:pt idx="9">
                  <c:v>0.00665</c:v>
                </c:pt>
                <c:pt idx="10">
                  <c:v>0.00743</c:v>
                </c:pt>
                <c:pt idx="11">
                  <c:v>0.00832</c:v>
                </c:pt>
                <c:pt idx="12">
                  <c:v>0.0093</c:v>
                </c:pt>
                <c:pt idx="13">
                  <c:v>0.01041</c:v>
                </c:pt>
                <c:pt idx="14">
                  <c:v>0.01164</c:v>
                </c:pt>
                <c:pt idx="15">
                  <c:v>0.01303</c:v>
                </c:pt>
                <c:pt idx="16">
                  <c:v>0.01457</c:v>
                </c:pt>
                <c:pt idx="17">
                  <c:v>0.0163</c:v>
                </c:pt>
                <c:pt idx="18">
                  <c:v>0.01824</c:v>
                </c:pt>
                <c:pt idx="19">
                  <c:v>0.0204</c:v>
                </c:pt>
                <c:pt idx="20">
                  <c:v>0.02283</c:v>
                </c:pt>
                <c:pt idx="21">
                  <c:v>0.02554</c:v>
                </c:pt>
                <c:pt idx="22">
                  <c:v>0.02857</c:v>
                </c:pt>
                <c:pt idx="23">
                  <c:v>0.03069</c:v>
                </c:pt>
              </c:numCache>
            </c:numRef>
          </c:xVal>
          <c:yVal>
            <c:numRef>
              <c:f>Exp!$E$3:$E$26</c:f>
              <c:numCache>
                <c:formatCode>General</c:formatCode>
                <c:ptCount val="24"/>
                <c:pt idx="0">
                  <c:v>345.07187</c:v>
                </c:pt>
                <c:pt idx="1">
                  <c:v>348.62585</c:v>
                </c:pt>
                <c:pt idx="2">
                  <c:v>351.53479</c:v>
                </c:pt>
                <c:pt idx="3">
                  <c:v>354.33207</c:v>
                </c:pt>
                <c:pt idx="4">
                  <c:v>357.39352</c:v>
                </c:pt>
                <c:pt idx="5">
                  <c:v>359.81189</c:v>
                </c:pt>
                <c:pt idx="6">
                  <c:v>362.70428</c:v>
                </c:pt>
                <c:pt idx="7">
                  <c:v>365.23203</c:v>
                </c:pt>
                <c:pt idx="8">
                  <c:v>367.88623</c:v>
                </c:pt>
                <c:pt idx="9">
                  <c:v>370.04803</c:v>
                </c:pt>
                <c:pt idx="10">
                  <c:v>372.93002</c:v>
                </c:pt>
                <c:pt idx="11">
                  <c:v>375.59997</c:v>
                </c:pt>
                <c:pt idx="12">
                  <c:v>377.9656</c:v>
                </c:pt>
                <c:pt idx="13">
                  <c:v>380.00619</c:v>
                </c:pt>
                <c:pt idx="14">
                  <c:v>381.27192</c:v>
                </c:pt>
                <c:pt idx="15">
                  <c:v>383.65398</c:v>
                </c:pt>
                <c:pt idx="16">
                  <c:v>385.54</c:v>
                </c:pt>
                <c:pt idx="17">
                  <c:v>387.96265</c:v>
                </c:pt>
                <c:pt idx="18">
                  <c:v>389.80265</c:v>
                </c:pt>
                <c:pt idx="19">
                  <c:v>391.88548</c:v>
                </c:pt>
                <c:pt idx="20">
                  <c:v>393.70789</c:v>
                </c:pt>
                <c:pt idx="21">
                  <c:v>395.48788</c:v>
                </c:pt>
                <c:pt idx="22">
                  <c:v>396.45457</c:v>
                </c:pt>
                <c:pt idx="23">
                  <c:v>397.33305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"Sim_873"</c:f>
              <c:strCache>
                <c:ptCount val="1"/>
                <c:pt idx="0">
                  <c:v>Sim_873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'873K'!$B$2:$B$280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1.2667300649071e-23</c:v>
                </c:pt>
                <c:pt idx="2" c:formatCode="0.00E+00">
                  <c:v>7.1696723668774e-21</c:v>
                </c:pt>
                <c:pt idx="3" c:formatCode="0.00E+00">
                  <c:v>8.1604125547642e-15</c:v>
                </c:pt>
                <c:pt idx="4" c:formatCode="0.00E+00">
                  <c:v>5.1276232579976e-11</c:v>
                </c:pt>
                <c:pt idx="5" c:formatCode="0.00E+00">
                  <c:v>4.939551686041e-6</c:v>
                </c:pt>
                <c:pt idx="6">
                  <c:v>0.00029464945924597</c:v>
                </c:pt>
                <c:pt idx="7">
                  <c:v>0.00087630131566173</c:v>
                </c:pt>
                <c:pt idx="8">
                  <c:v>0.0014865521805894</c:v>
                </c:pt>
                <c:pt idx="9">
                  <c:v>0.0020943227914909</c:v>
                </c:pt>
                <c:pt idx="10">
                  <c:v>0.0027002077325421</c:v>
                </c:pt>
                <c:pt idx="11">
                  <c:v>0.0033054715925307</c:v>
                </c:pt>
                <c:pt idx="12">
                  <c:v>0.0039105451739223</c:v>
                </c:pt>
                <c:pt idx="13">
                  <c:v>0.0045157089512884</c:v>
                </c:pt>
                <c:pt idx="14">
                  <c:v>0.0051211081478396</c:v>
                </c:pt>
                <c:pt idx="15">
                  <c:v>0.0057267996019765</c:v>
                </c:pt>
                <c:pt idx="16">
                  <c:v>0.0063327961107321</c:v>
                </c:pt>
                <c:pt idx="17">
                  <c:v>0.0069390350352432</c:v>
                </c:pt>
                <c:pt idx="18">
                  <c:v>0.0075454375361065</c:v>
                </c:pt>
                <c:pt idx="19">
                  <c:v>0.008151923270336</c:v>
                </c:pt>
                <c:pt idx="20">
                  <c:v>0.00875843122544</c:v>
                </c:pt>
                <c:pt idx="21">
                  <c:v>0.0093649185519061</c:v>
                </c:pt>
                <c:pt idx="22">
                  <c:v>0.0099713935422513</c:v>
                </c:pt>
                <c:pt idx="23">
                  <c:v>0.010577859197024</c:v>
                </c:pt>
                <c:pt idx="24">
                  <c:v>0.011184313139405</c:v>
                </c:pt>
                <c:pt idx="25">
                  <c:v>0.01179074408907</c:v>
                </c:pt>
                <c:pt idx="26">
                  <c:v>0.012397157897972</c:v>
                </c:pt>
                <c:pt idx="27">
                  <c:v>0.013003532429246</c:v>
                </c:pt>
                <c:pt idx="28">
                  <c:v>0.013609855075978</c:v>
                </c:pt>
                <c:pt idx="29">
                  <c:v>0.014216112013396</c:v>
                </c:pt>
                <c:pt idx="30">
                  <c:v>0.01482229660032</c:v>
                </c:pt>
                <c:pt idx="31">
                  <c:v>0.015428396022249</c:v>
                </c:pt>
                <c:pt idx="32">
                  <c:v>0.016034402290012</c:v>
                </c:pt>
                <c:pt idx="33">
                  <c:v>0.016640311041415</c:v>
                </c:pt>
                <c:pt idx="34">
                  <c:v>0.017246131301581</c:v>
                </c:pt>
                <c:pt idx="35">
                  <c:v>0.017851862879147</c:v>
                </c:pt>
                <c:pt idx="36">
                  <c:v>0.018457513195173</c:v>
                </c:pt>
                <c:pt idx="37">
                  <c:v>0.019063082400481</c:v>
                </c:pt>
                <c:pt idx="38">
                  <c:v>0.019668572726503</c:v>
                </c:pt>
                <c:pt idx="39">
                  <c:v>0.020273992220807</c:v>
                </c:pt>
                <c:pt idx="40">
                  <c:v>0.020879340348774</c:v>
                </c:pt>
                <c:pt idx="41">
                  <c:v>0.021484625303554</c:v>
                </c:pt>
                <c:pt idx="42">
                  <c:v>0.022089851166958</c:v>
                </c:pt>
                <c:pt idx="43">
                  <c:v>0.022695018449664</c:v>
                </c:pt>
                <c:pt idx="44">
                  <c:v>0.023300132365266</c:v>
                </c:pt>
                <c:pt idx="45">
                  <c:v>0.023905194360201</c:v>
                </c:pt>
                <c:pt idx="46">
                  <c:v>0.024510206938438</c:v>
                </c:pt>
                <c:pt idx="47">
                  <c:v>0.025115172764506</c:v>
                </c:pt>
                <c:pt idx="48">
                  <c:v>0.025720095318988</c:v>
                </c:pt>
                <c:pt idx="49">
                  <c:v>0.026324979478738</c:v>
                </c:pt>
                <c:pt idx="50">
                  <c:v>0.026929834141617</c:v>
                </c:pt>
                <c:pt idx="51">
                  <c:v>0.027534653965934</c:v>
                </c:pt>
                <c:pt idx="52">
                  <c:v>0.028139443267094</c:v>
                </c:pt>
                <c:pt idx="53">
                  <c:v>0.028744200012835</c:v>
                </c:pt>
                <c:pt idx="54">
                  <c:v>0.029348934212087</c:v>
                </c:pt>
                <c:pt idx="55">
                  <c:v>0.029953648468618</c:v>
                </c:pt>
                <c:pt idx="56">
                  <c:v>0.030558336773705</c:v>
                </c:pt>
                <c:pt idx="57">
                  <c:v>0.031163002517181</c:v>
                </c:pt>
                <c:pt idx="58">
                  <c:v>0.031767656748073</c:v>
                </c:pt>
                <c:pt idx="59">
                  <c:v>0.032372293559112</c:v>
                </c:pt>
                <c:pt idx="60">
                  <c:v>0.032976914156257</c:v>
                </c:pt>
                <c:pt idx="61">
                  <c:v>0.03358152998526</c:v>
                </c:pt>
                <c:pt idx="62">
                  <c:v>0.034186137029633</c:v>
                </c:pt>
                <c:pt idx="63">
                  <c:v>0.034790736958101</c:v>
                </c:pt>
                <c:pt idx="64">
                  <c:v>0.035395333037038</c:v>
                </c:pt>
                <c:pt idx="65">
                  <c:v>0.035999918928618</c:v>
                </c:pt>
                <c:pt idx="66">
                  <c:v>0.036604505381228</c:v>
                </c:pt>
                <c:pt idx="67">
                  <c:v>0.037209090123494</c:v>
                </c:pt>
                <c:pt idx="68">
                  <c:v>0.037813673955886</c:v>
                </c:pt>
                <c:pt idx="69">
                  <c:v>0.038418258949479</c:v>
                </c:pt>
                <c:pt idx="70">
                  <c:v>0.039022850264338</c:v>
                </c:pt>
                <c:pt idx="71">
                  <c:v>0.03962744361312</c:v>
                </c:pt>
                <c:pt idx="72">
                  <c:v>0.040232041744946</c:v>
                </c:pt>
                <c:pt idx="73">
                  <c:v>0.040836645253972</c:v>
                </c:pt>
                <c:pt idx="74">
                  <c:v>0.041441257451566</c:v>
                </c:pt>
                <c:pt idx="75">
                  <c:v>0.042045880219272</c:v>
                </c:pt>
                <c:pt idx="76">
                  <c:v>0.042650511950013</c:v>
                </c:pt>
                <c:pt idx="77">
                  <c:v>0.043255158499177</c:v>
                </c:pt>
                <c:pt idx="78">
                  <c:v>0.043859814985346</c:v>
                </c:pt>
                <c:pt idx="79">
                  <c:v>0.044464481653599</c:v>
                </c:pt>
                <c:pt idx="80">
                  <c:v>0.045069167802346</c:v>
                </c:pt>
                <c:pt idx="81">
                  <c:v>0.045673872752868</c:v>
                </c:pt>
                <c:pt idx="82">
                  <c:v>0.046278585051134</c:v>
                </c:pt>
                <c:pt idx="83">
                  <c:v>0.046883320925192</c:v>
                </c:pt>
                <c:pt idx="84">
                  <c:v>0.047488071865377</c:v>
                </c:pt>
                <c:pt idx="85">
                  <c:v>0.048092849131151</c:v>
                </c:pt>
                <c:pt idx="86">
                  <c:v>0.048697648097702</c:v>
                </c:pt>
                <c:pt idx="87">
                  <c:v>0.049302471316192</c:v>
                </c:pt>
                <c:pt idx="88">
                  <c:v>0.049886957723175</c:v>
                </c:pt>
              </c:numCache>
            </c:numRef>
          </c:xVal>
          <c:yVal>
            <c:numRef>
              <c:f>'873K'!$N$2:$N$230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1.5981953552448</c:v>
                </c:pt>
                <c:pt idx="2">
                  <c:v>11.414705110833</c:v>
                </c:pt>
                <c:pt idx="3">
                  <c:v>61.983911854815</c:v>
                </c:pt>
                <c:pt idx="4">
                  <c:v>128.34451857236</c:v>
                </c:pt>
                <c:pt idx="5">
                  <c:v>252.54949705858</c:v>
                </c:pt>
                <c:pt idx="6">
                  <c:v>324.98925369242</c:v>
                </c:pt>
                <c:pt idx="7">
                  <c:v>343.66876888585</c:v>
                </c:pt>
                <c:pt idx="8">
                  <c:v>352.31067902539</c:v>
                </c:pt>
                <c:pt idx="9">
                  <c:v>357.45532726428</c:v>
                </c:pt>
                <c:pt idx="10">
                  <c:v>360.91466710839</c:v>
                </c:pt>
                <c:pt idx="11">
                  <c:v>363.51622660773</c:v>
                </c:pt>
                <c:pt idx="12">
                  <c:v>365.64273730342</c:v>
                </c:pt>
                <c:pt idx="13">
                  <c:v>367.47818768938</c:v>
                </c:pt>
                <c:pt idx="14">
                  <c:v>369.12610374326</c:v>
                </c:pt>
                <c:pt idx="15">
                  <c:v>370.64932442708</c:v>
                </c:pt>
                <c:pt idx="16">
                  <c:v>372.08767178748</c:v>
                </c:pt>
                <c:pt idx="17">
                  <c:v>373.46479110564</c:v>
                </c:pt>
                <c:pt idx="18">
                  <c:v>374.79405011241</c:v>
                </c:pt>
                <c:pt idx="19">
                  <c:v>376.08471111441</c:v>
                </c:pt>
                <c:pt idx="20">
                  <c:v>377.34178654456</c:v>
                </c:pt>
                <c:pt idx="21">
                  <c:v>378.57125130238</c:v>
                </c:pt>
                <c:pt idx="22">
                  <c:v>379.7767233748</c:v>
                </c:pt>
                <c:pt idx="23">
                  <c:v>380.96229285963</c:v>
                </c:pt>
                <c:pt idx="24">
                  <c:v>382.13085867622</c:v>
                </c:pt>
                <c:pt idx="25">
                  <c:v>383.28385934657</c:v>
                </c:pt>
                <c:pt idx="26">
                  <c:v>384.4213883523</c:v>
                </c:pt>
                <c:pt idx="27">
                  <c:v>385.54635118071</c:v>
                </c:pt>
                <c:pt idx="28">
                  <c:v>386.65923912272</c:v>
                </c:pt>
                <c:pt idx="29">
                  <c:v>387.76163895809</c:v>
                </c:pt>
                <c:pt idx="30">
                  <c:v>388.8527839584</c:v>
                </c:pt>
                <c:pt idx="31">
                  <c:v>389.93388138734</c:v>
                </c:pt>
                <c:pt idx="32">
                  <c:v>391.0057296561</c:v>
                </c:pt>
                <c:pt idx="33">
                  <c:v>392.06929369742</c:v>
                </c:pt>
                <c:pt idx="34">
                  <c:v>393.1242505528</c:v>
                </c:pt>
                <c:pt idx="35">
                  <c:v>394.17140551245</c:v>
                </c:pt>
                <c:pt idx="36">
                  <c:v>395.21010337561</c:v>
                </c:pt>
                <c:pt idx="37">
                  <c:v>396.24162498838</c:v>
                </c:pt>
                <c:pt idx="38">
                  <c:v>397.26662249605</c:v>
                </c:pt>
                <c:pt idx="39">
                  <c:v>398.2847068814</c:v>
                </c:pt>
                <c:pt idx="40">
                  <c:v>399.29700830081</c:v>
                </c:pt>
                <c:pt idx="41">
                  <c:v>400.30233595341</c:v>
                </c:pt>
                <c:pt idx="42">
                  <c:v>401.30124006022</c:v>
                </c:pt>
                <c:pt idx="43">
                  <c:v>402.29470458817</c:v>
                </c:pt>
                <c:pt idx="44">
                  <c:v>403.28237506711</c:v>
                </c:pt>
                <c:pt idx="45">
                  <c:v>404.26473187713</c:v>
                </c:pt>
                <c:pt idx="46">
                  <c:v>405.24220557596</c:v>
                </c:pt>
                <c:pt idx="47">
                  <c:v>406.21518285639</c:v>
                </c:pt>
                <c:pt idx="48">
                  <c:v>407.18344934816</c:v>
                </c:pt>
                <c:pt idx="49">
                  <c:v>408.14666776322</c:v>
                </c:pt>
                <c:pt idx="50">
                  <c:v>409.10369913204</c:v>
                </c:pt>
                <c:pt idx="51">
                  <c:v>410.056418944</c:v>
                </c:pt>
                <c:pt idx="52">
                  <c:v>411.00448704795</c:v>
                </c:pt>
                <c:pt idx="53">
                  <c:v>411.94866857285</c:v>
                </c:pt>
                <c:pt idx="54">
                  <c:v>412.88814177646</c:v>
                </c:pt>
                <c:pt idx="55">
                  <c:v>413.82263120323</c:v>
                </c:pt>
                <c:pt idx="56">
                  <c:v>414.75355464041</c:v>
                </c:pt>
                <c:pt idx="57">
                  <c:v>415.68109087505</c:v>
                </c:pt>
                <c:pt idx="58">
                  <c:v>416.60365357377</c:v>
                </c:pt>
                <c:pt idx="59">
                  <c:v>417.52307807531</c:v>
                </c:pt>
                <c:pt idx="60">
                  <c:v>418.43837631935</c:v>
                </c:pt>
                <c:pt idx="61">
                  <c:v>419.3488852029</c:v>
                </c:pt>
                <c:pt idx="62">
                  <c:v>420.2554293875</c:v>
                </c:pt>
                <c:pt idx="63">
                  <c:v>421.15811751907</c:v>
                </c:pt>
                <c:pt idx="64">
                  <c:v>422.05666367955</c:v>
                </c:pt>
                <c:pt idx="65">
                  <c:v>422.95287713187</c:v>
                </c:pt>
                <c:pt idx="66">
                  <c:v>423.84454586144</c:v>
                </c:pt>
                <c:pt idx="67">
                  <c:v>424.73269435847</c:v>
                </c:pt>
                <c:pt idx="68">
                  <c:v>425.61737793981</c:v>
                </c:pt>
                <c:pt idx="69">
                  <c:v>426.49869448437</c:v>
                </c:pt>
                <c:pt idx="70">
                  <c:v>427.37574563332</c:v>
                </c:pt>
                <c:pt idx="71">
                  <c:v>428.24985972229</c:v>
                </c:pt>
                <c:pt idx="72">
                  <c:v>429.12067121193</c:v>
                </c:pt>
                <c:pt idx="73">
                  <c:v>429.98848584197</c:v>
                </c:pt>
                <c:pt idx="74">
                  <c:v>430.852849972</c:v>
                </c:pt>
                <c:pt idx="75">
                  <c:v>431.71359571306</c:v>
                </c:pt>
                <c:pt idx="76">
                  <c:v>432.57136061843</c:v>
                </c:pt>
                <c:pt idx="77">
                  <c:v>433.4252859131</c:v>
                </c:pt>
                <c:pt idx="78">
                  <c:v>434.27656158283</c:v>
                </c:pt>
                <c:pt idx="79">
                  <c:v>435.12530298054</c:v>
                </c:pt>
                <c:pt idx="80">
                  <c:v>435.97010710356</c:v>
                </c:pt>
                <c:pt idx="81">
                  <c:v>436.81089301106</c:v>
                </c:pt>
                <c:pt idx="82">
                  <c:v>437.65066440032</c:v>
                </c:pt>
                <c:pt idx="83">
                  <c:v>438.48675835118</c:v>
                </c:pt>
                <c:pt idx="84">
                  <c:v>439.32052989121</c:v>
                </c:pt>
                <c:pt idx="85">
                  <c:v>440.15052605134</c:v>
                </c:pt>
                <c:pt idx="86">
                  <c:v>440.97769127269</c:v>
                </c:pt>
                <c:pt idx="87">
                  <c:v>441.80170291497</c:v>
                </c:pt>
                <c:pt idx="88">
                  <c:v>442.61919192457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Exp!$G$2</c:f>
              <c:strCache>
                <c:ptCount val="1"/>
                <c:pt idx="0">
                  <c:v>823K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Exp!$G$3:$G$28</c:f>
              <c:numCache>
                <c:formatCode>General</c:formatCode>
                <c:ptCount val="26"/>
                <c:pt idx="0">
                  <c:v>0.00257</c:v>
                </c:pt>
                <c:pt idx="1">
                  <c:v>0.00288</c:v>
                </c:pt>
                <c:pt idx="2">
                  <c:v>0.00321</c:v>
                </c:pt>
                <c:pt idx="3">
                  <c:v>0.0036</c:v>
                </c:pt>
                <c:pt idx="4">
                  <c:v>0.00402</c:v>
                </c:pt>
                <c:pt idx="5">
                  <c:v>0.0045</c:v>
                </c:pt>
                <c:pt idx="6">
                  <c:v>0.00503</c:v>
                </c:pt>
                <c:pt idx="7">
                  <c:v>0.00563</c:v>
                </c:pt>
                <c:pt idx="8">
                  <c:v>0.0063</c:v>
                </c:pt>
                <c:pt idx="9">
                  <c:v>0.00705</c:v>
                </c:pt>
                <c:pt idx="10">
                  <c:v>0.00789</c:v>
                </c:pt>
                <c:pt idx="11">
                  <c:v>0.00882</c:v>
                </c:pt>
                <c:pt idx="12">
                  <c:v>0.00987</c:v>
                </c:pt>
                <c:pt idx="13">
                  <c:v>0.01104</c:v>
                </c:pt>
                <c:pt idx="14">
                  <c:v>0.01235</c:v>
                </c:pt>
                <c:pt idx="15">
                  <c:v>0.01382</c:v>
                </c:pt>
                <c:pt idx="16">
                  <c:v>0.01545</c:v>
                </c:pt>
                <c:pt idx="17">
                  <c:v>0.01729</c:v>
                </c:pt>
                <c:pt idx="18">
                  <c:v>0.01934</c:v>
                </c:pt>
                <c:pt idx="19">
                  <c:v>0.02164</c:v>
                </c:pt>
                <c:pt idx="20">
                  <c:v>0.02421</c:v>
                </c:pt>
                <c:pt idx="21">
                  <c:v>0.02708</c:v>
                </c:pt>
                <c:pt idx="22">
                  <c:v>0.03029</c:v>
                </c:pt>
                <c:pt idx="23">
                  <c:v>0.03389</c:v>
                </c:pt>
                <c:pt idx="24">
                  <c:v>0.03791</c:v>
                </c:pt>
                <c:pt idx="25">
                  <c:v>0.04114</c:v>
                </c:pt>
              </c:numCache>
            </c:numRef>
          </c:xVal>
          <c:yVal>
            <c:numRef>
              <c:f>Exp!$H$3:$H$28</c:f>
              <c:numCache>
                <c:formatCode>General</c:formatCode>
                <c:ptCount val="26"/>
                <c:pt idx="0">
                  <c:v>403.8299</c:v>
                </c:pt>
                <c:pt idx="1">
                  <c:v>406.36375</c:v>
                </c:pt>
                <c:pt idx="2">
                  <c:v>408.43995</c:v>
                </c:pt>
                <c:pt idx="3">
                  <c:v>411.55532</c:v>
                </c:pt>
                <c:pt idx="4">
                  <c:v>414.21106</c:v>
                </c:pt>
                <c:pt idx="5">
                  <c:v>416.91328</c:v>
                </c:pt>
                <c:pt idx="6">
                  <c:v>419.94125</c:v>
                </c:pt>
                <c:pt idx="7">
                  <c:v>422.52788</c:v>
                </c:pt>
                <c:pt idx="8">
                  <c:v>425.47316</c:v>
                </c:pt>
                <c:pt idx="9">
                  <c:v>428.29775</c:v>
                </c:pt>
                <c:pt idx="10">
                  <c:v>430.91264</c:v>
                </c:pt>
                <c:pt idx="11">
                  <c:v>434.36473</c:v>
                </c:pt>
                <c:pt idx="12">
                  <c:v>437.61184</c:v>
                </c:pt>
                <c:pt idx="13">
                  <c:v>440.57302</c:v>
                </c:pt>
                <c:pt idx="14">
                  <c:v>443.75498</c:v>
                </c:pt>
                <c:pt idx="15">
                  <c:v>446.82512</c:v>
                </c:pt>
                <c:pt idx="16">
                  <c:v>449.76384</c:v>
                </c:pt>
                <c:pt idx="17">
                  <c:v>452.89263</c:v>
                </c:pt>
                <c:pt idx="18">
                  <c:v>455.81969</c:v>
                </c:pt>
                <c:pt idx="19">
                  <c:v>458.76568</c:v>
                </c:pt>
                <c:pt idx="20">
                  <c:v>461.38264</c:v>
                </c:pt>
                <c:pt idx="21">
                  <c:v>464.08453</c:v>
                </c:pt>
                <c:pt idx="22">
                  <c:v>466.80223</c:v>
                </c:pt>
                <c:pt idx="23">
                  <c:v>469.39424</c:v>
                </c:pt>
                <c:pt idx="24">
                  <c:v>471.78712</c:v>
                </c:pt>
                <c:pt idx="25">
                  <c:v>472.94071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"Sim_823"</c:f>
              <c:strCache>
                <c:ptCount val="1"/>
                <c:pt idx="0">
                  <c:v>Sim_823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'823K'!$B$2:$B$280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4.4901358807698e-26</c:v>
                </c:pt>
                <c:pt idx="2" c:formatCode="0.00E+00">
                  <c:v>4.1330963820022e-23</c:v>
                </c:pt>
                <c:pt idx="3" c:formatCode="0.00E+00">
                  <c:v>1.752356714105e-16</c:v>
                </c:pt>
                <c:pt idx="4" c:formatCode="0.00E+00">
                  <c:v>2.7442360531391e-12</c:v>
                </c:pt>
                <c:pt idx="5" c:formatCode="0.00E+00">
                  <c:v>7.5588964712506e-7</c:v>
                </c:pt>
                <c:pt idx="6">
                  <c:v>0.00018691567475019</c:v>
                </c:pt>
                <c:pt idx="7">
                  <c:v>0.00073963604686367</c:v>
                </c:pt>
                <c:pt idx="8">
                  <c:v>0.0013506234296254</c:v>
                </c:pt>
                <c:pt idx="9">
                  <c:v>0.0019621127150062</c:v>
                </c:pt>
                <c:pt idx="10">
                  <c:v>0.0025702468458981</c:v>
                </c:pt>
                <c:pt idx="11">
                  <c:v>0.0031768020560378</c:v>
                </c:pt>
                <c:pt idx="12">
                  <c:v>0.003782609217753</c:v>
                </c:pt>
                <c:pt idx="13">
                  <c:v>0.004388159926845</c:v>
                </c:pt>
                <c:pt idx="14">
                  <c:v>0.0049936973477588</c:v>
                </c:pt>
                <c:pt idx="15">
                  <c:v>0.0055993114409152</c:v>
                </c:pt>
                <c:pt idx="16">
                  <c:v>0.0062050617558919</c:v>
                </c:pt>
                <c:pt idx="17">
                  <c:v>0.0068110017898167</c:v>
                </c:pt>
                <c:pt idx="18">
                  <c:v>0.007417122374358</c:v>
                </c:pt>
                <c:pt idx="19">
                  <c:v>0.008023369370258</c:v>
                </c:pt>
                <c:pt idx="20">
                  <c:v>0.0086296701163082</c:v>
                </c:pt>
                <c:pt idx="21">
                  <c:v>0.0092359755247573</c:v>
                </c:pt>
                <c:pt idx="22">
                  <c:v>0.0098422273304153</c:v>
                </c:pt>
                <c:pt idx="23">
                  <c:v>0.01044842260056</c:v>
                </c:pt>
                <c:pt idx="24">
                  <c:v>0.011054570936434</c:v>
                </c:pt>
                <c:pt idx="25">
                  <c:v>0.011660701962862</c:v>
                </c:pt>
                <c:pt idx="26">
                  <c:v>0.012266807556823</c:v>
                </c:pt>
                <c:pt idx="27">
                  <c:v>0.012872894941186</c:v>
                </c:pt>
                <c:pt idx="28">
                  <c:v>0.013478959302863</c:v>
                </c:pt>
                <c:pt idx="29">
                  <c:v>0.014084988039166</c:v>
                </c:pt>
                <c:pt idx="30">
                  <c:v>0.014690983585567</c:v>
                </c:pt>
                <c:pt idx="31">
                  <c:v>0.015296934069621</c:v>
                </c:pt>
                <c:pt idx="32">
                  <c:v>0.015902824134102</c:v>
                </c:pt>
                <c:pt idx="33">
                  <c:v>0.016508652320218</c:v>
                </c:pt>
                <c:pt idx="34">
                  <c:v>0.017114410824435</c:v>
                </c:pt>
                <c:pt idx="35">
                  <c:v>0.017720092106829</c:v>
                </c:pt>
                <c:pt idx="36">
                  <c:v>0.018325695499434</c:v>
                </c:pt>
                <c:pt idx="37">
                  <c:v>0.018931210111544</c:v>
                </c:pt>
                <c:pt idx="38">
                  <c:v>0.01953664368089</c:v>
                </c:pt>
                <c:pt idx="39">
                  <c:v>0.020141998985831</c:v>
                </c:pt>
                <c:pt idx="40">
                  <c:v>0.020747282928185</c:v>
                </c:pt>
                <c:pt idx="41">
                  <c:v>0.021352495222565</c:v>
                </c:pt>
                <c:pt idx="42">
                  <c:v>0.021957644374351</c:v>
                </c:pt>
                <c:pt idx="43">
                  <c:v>0.022562734218255</c:v>
                </c:pt>
                <c:pt idx="44">
                  <c:v>0.023167759194426</c:v>
                </c:pt>
                <c:pt idx="45">
                  <c:v>0.023772730008414</c:v>
                </c:pt>
                <c:pt idx="46">
                  <c:v>0.024377645942139</c:v>
                </c:pt>
                <c:pt idx="47">
                  <c:v>0.024982519003712</c:v>
                </c:pt>
                <c:pt idx="48">
                  <c:v>0.025587347994782</c:v>
                </c:pt>
                <c:pt idx="49">
                  <c:v>0.026192126480467</c:v>
                </c:pt>
                <c:pt idx="50">
                  <c:v>0.026796874199869</c:v>
                </c:pt>
                <c:pt idx="51">
                  <c:v>0.027401584760796</c:v>
                </c:pt>
                <c:pt idx="52">
                  <c:v>0.028006258273177</c:v>
                </c:pt>
                <c:pt idx="53">
                  <c:v>0.028610901866998</c:v>
                </c:pt>
                <c:pt idx="54">
                  <c:v>0.029215517229491</c:v>
                </c:pt>
                <c:pt idx="55">
                  <c:v>0.029820103997148</c:v>
                </c:pt>
                <c:pt idx="56">
                  <c:v>0.030424670555006</c:v>
                </c:pt>
                <c:pt idx="57">
                  <c:v>0.031029209748983</c:v>
                </c:pt>
                <c:pt idx="58">
                  <c:v>0.031633734698865</c:v>
                </c:pt>
                <c:pt idx="59">
                  <c:v>0.032238241292035</c:v>
                </c:pt>
                <c:pt idx="60">
                  <c:v>0.032842730559082</c:v>
                </c:pt>
                <c:pt idx="61">
                  <c:v>0.033447204759592</c:v>
                </c:pt>
                <c:pt idx="62">
                  <c:v>0.034051674182841</c:v>
                </c:pt>
                <c:pt idx="63">
                  <c:v>0.034656136125482</c:v>
                </c:pt>
                <c:pt idx="64">
                  <c:v>0.035260589507255</c:v>
                </c:pt>
                <c:pt idx="65">
                  <c:v>0.035865037719219</c:v>
                </c:pt>
                <c:pt idx="66">
                  <c:v>0.036469482011392</c:v>
                </c:pt>
                <c:pt idx="67">
                  <c:v>0.037073921491474</c:v>
                </c:pt>
                <c:pt idx="68">
                  <c:v>0.037678358884413</c:v>
                </c:pt>
                <c:pt idx="69">
                  <c:v>0.038282799961983</c:v>
                </c:pt>
                <c:pt idx="70">
                  <c:v>0.038887240580685</c:v>
                </c:pt>
                <c:pt idx="71">
                  <c:v>0.03949168554494</c:v>
                </c:pt>
                <c:pt idx="72">
                  <c:v>0.04009613704833</c:v>
                </c:pt>
                <c:pt idx="73">
                  <c:v>0.0407005952682</c:v>
                </c:pt>
                <c:pt idx="74">
                  <c:v>0.041305059801113</c:v>
                </c:pt>
                <c:pt idx="75">
                  <c:v>0.04190953552532</c:v>
                </c:pt>
                <c:pt idx="76">
                  <c:v>0.042514019885979</c:v>
                </c:pt>
                <c:pt idx="77">
                  <c:v>0.043118515509653</c:v>
                </c:pt>
                <c:pt idx="78">
                  <c:v>0.043723025068447</c:v>
                </c:pt>
                <c:pt idx="79">
                  <c:v>0.044327548949201</c:v>
                </c:pt>
                <c:pt idx="80">
                  <c:v>0.044932082981498</c:v>
                </c:pt>
                <c:pt idx="81">
                  <c:v>0.045536637567083</c:v>
                </c:pt>
                <c:pt idx="82">
                  <c:v>0.046141209277411</c:v>
                </c:pt>
                <c:pt idx="83">
                  <c:v>0.046745798899766</c:v>
                </c:pt>
                <c:pt idx="84">
                  <c:v>0.047350408207746</c:v>
                </c:pt>
                <c:pt idx="85">
                  <c:v>0.047955039797095</c:v>
                </c:pt>
                <c:pt idx="86">
                  <c:v>0.048559691443333</c:v>
                </c:pt>
                <c:pt idx="87">
                  <c:v>0.049164366469417</c:v>
                </c:pt>
                <c:pt idx="88">
                  <c:v>0.049748722450891</c:v>
                </c:pt>
              </c:numCache>
            </c:numRef>
          </c:xVal>
          <c:yVal>
            <c:numRef>
              <c:f>'823K'!$N$2:$N$230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1.6278583382669</c:v>
                </c:pt>
                <c:pt idx="2">
                  <c:v>11.626550267611</c:v>
                </c:pt>
                <c:pt idx="3">
                  <c:v>63.133803619598</c:v>
                </c:pt>
                <c:pt idx="4">
                  <c:v>130.72435102523</c:v>
                </c:pt>
                <c:pt idx="5">
                  <c:v>258.04790104522</c:v>
                </c:pt>
                <c:pt idx="6">
                  <c:v>351.68038395268</c:v>
                </c:pt>
                <c:pt idx="7">
                  <c:v>378.22453528716</c:v>
                </c:pt>
                <c:pt idx="8">
                  <c:v>389.71956833935</c:v>
                </c:pt>
                <c:pt idx="9">
                  <c:v>396.48357589455</c:v>
                </c:pt>
                <c:pt idx="10">
                  <c:v>400.90220065759</c:v>
                </c:pt>
                <c:pt idx="11">
                  <c:v>404.1381014458</c:v>
                </c:pt>
                <c:pt idx="12">
                  <c:v>406.73272695808</c:v>
                </c:pt>
                <c:pt idx="13">
                  <c:v>408.94384105874</c:v>
                </c:pt>
                <c:pt idx="14">
                  <c:v>410.90352237712</c:v>
                </c:pt>
                <c:pt idx="15">
                  <c:v>412.69654045388</c:v>
                </c:pt>
                <c:pt idx="16">
                  <c:v>414.37492292548</c:v>
                </c:pt>
                <c:pt idx="17">
                  <c:v>415.97095889412</c:v>
                </c:pt>
                <c:pt idx="18">
                  <c:v>417.5073644434</c:v>
                </c:pt>
                <c:pt idx="19">
                  <c:v>418.99540354898</c:v>
                </c:pt>
                <c:pt idx="20">
                  <c:v>420.44475585046</c:v>
                </c:pt>
                <c:pt idx="21">
                  <c:v>421.85967453118</c:v>
                </c:pt>
                <c:pt idx="22">
                  <c:v>423.24586229238</c:v>
                </c:pt>
                <c:pt idx="23">
                  <c:v>424.60612893788</c:v>
                </c:pt>
                <c:pt idx="24">
                  <c:v>425.94499694864</c:v>
                </c:pt>
                <c:pt idx="25">
                  <c:v>427.26332068841</c:v>
                </c:pt>
                <c:pt idx="26">
                  <c:v>428.56543391132</c:v>
                </c:pt>
                <c:pt idx="27">
                  <c:v>429.85094795941</c:v>
                </c:pt>
                <c:pt idx="28">
                  <c:v>431.12195902203</c:v>
                </c:pt>
                <c:pt idx="29">
                  <c:v>432.38080280345</c:v>
                </c:pt>
                <c:pt idx="30">
                  <c:v>433.62620769894</c:v>
                </c:pt>
                <c:pt idx="31">
                  <c:v>434.85992259171</c:v>
                </c:pt>
                <c:pt idx="32">
                  <c:v>436.08429508861</c:v>
                </c:pt>
                <c:pt idx="33">
                  <c:v>437.29833759347</c:v>
                </c:pt>
                <c:pt idx="34">
                  <c:v>438.50218532653</c:v>
                </c:pt>
                <c:pt idx="35">
                  <c:v>439.69604703185</c:v>
                </c:pt>
                <c:pt idx="36">
                  <c:v>440.87994953714</c:v>
                </c:pt>
                <c:pt idx="37">
                  <c:v>442.05616024963</c:v>
                </c:pt>
                <c:pt idx="38">
                  <c:v>443.22424235666</c:v>
                </c:pt>
                <c:pt idx="39">
                  <c:v>444.38474108189</c:v>
                </c:pt>
                <c:pt idx="40">
                  <c:v>445.53730788968</c:v>
                </c:pt>
                <c:pt idx="41">
                  <c:v>446.68277974955</c:v>
                </c:pt>
                <c:pt idx="42">
                  <c:v>447.82072195866</c:v>
                </c:pt>
                <c:pt idx="43">
                  <c:v>448.95119620608</c:v>
                </c:pt>
                <c:pt idx="44">
                  <c:v>450.07623707871</c:v>
                </c:pt>
                <c:pt idx="45">
                  <c:v>451.19440218794</c:v>
                </c:pt>
                <c:pt idx="46">
                  <c:v>452.3072489925</c:v>
                </c:pt>
                <c:pt idx="47">
                  <c:v>453.41271968443</c:v>
                </c:pt>
                <c:pt idx="48">
                  <c:v>454.51180713305</c:v>
                </c:pt>
                <c:pt idx="49">
                  <c:v>455.60711771869</c:v>
                </c:pt>
                <c:pt idx="50">
                  <c:v>456.6947016623</c:v>
                </c:pt>
                <c:pt idx="51">
                  <c:v>457.77676913434</c:v>
                </c:pt>
                <c:pt idx="52">
                  <c:v>458.85402898561</c:v>
                </c:pt>
                <c:pt idx="53">
                  <c:v>459.92566469916</c:v>
                </c:pt>
                <c:pt idx="54">
                  <c:v>460.99199623351</c:v>
                </c:pt>
                <c:pt idx="55">
                  <c:v>462.054073017</c:v>
                </c:pt>
                <c:pt idx="56">
                  <c:v>463.11005239486</c:v>
                </c:pt>
                <c:pt idx="57">
                  <c:v>464.16231854225</c:v>
                </c:pt>
                <c:pt idx="58">
                  <c:v>465.20893175471</c:v>
                </c:pt>
                <c:pt idx="59">
                  <c:v>466.25097466505</c:v>
                </c:pt>
                <c:pt idx="60">
                  <c:v>467.28866494374</c:v>
                </c:pt>
                <c:pt idx="61">
                  <c:v>468.32227397852</c:v>
                </c:pt>
                <c:pt idx="62">
                  <c:v>469.35028039342</c:v>
                </c:pt>
                <c:pt idx="63">
                  <c:v>470.37348450314</c:v>
                </c:pt>
                <c:pt idx="64">
                  <c:v>471.39260303231</c:v>
                </c:pt>
                <c:pt idx="65">
                  <c:v>472.40768651267</c:v>
                </c:pt>
                <c:pt idx="66">
                  <c:v>473.4184790304</c:v>
                </c:pt>
                <c:pt idx="67">
                  <c:v>474.4254369637</c:v>
                </c:pt>
                <c:pt idx="68">
                  <c:v>475.4282219772</c:v>
                </c:pt>
                <c:pt idx="69">
                  <c:v>476.42650839965</c:v>
                </c:pt>
                <c:pt idx="70">
                  <c:v>477.42101062744</c:v>
                </c:pt>
                <c:pt idx="71">
                  <c:v>478.41140883079</c:v>
                </c:pt>
                <c:pt idx="72">
                  <c:v>479.39754172367</c:v>
                </c:pt>
                <c:pt idx="73">
                  <c:v>480.37970827078</c:v>
                </c:pt>
                <c:pt idx="74">
                  <c:v>481.35833120351</c:v>
                </c:pt>
                <c:pt idx="75">
                  <c:v>482.33269491656</c:v>
                </c:pt>
                <c:pt idx="76">
                  <c:v>483.30379141263</c:v>
                </c:pt>
                <c:pt idx="77">
                  <c:v>484.27086291091</c:v>
                </c:pt>
                <c:pt idx="78">
                  <c:v>485.23421954878</c:v>
                </c:pt>
                <c:pt idx="79">
                  <c:v>486.19349961541</c:v>
                </c:pt>
                <c:pt idx="80">
                  <c:v>487.14982597599</c:v>
                </c:pt>
                <c:pt idx="81">
                  <c:v>488.10207587916</c:v>
                </c:pt>
                <c:pt idx="82">
                  <c:v>489.0509793963</c:v>
                </c:pt>
                <c:pt idx="83">
                  <c:v>489.99646481856</c:v>
                </c:pt>
                <c:pt idx="84">
                  <c:v>490.9384148648</c:v>
                </c:pt>
                <c:pt idx="85">
                  <c:v>491.87662385759</c:v>
                </c:pt>
                <c:pt idx="86">
                  <c:v>492.81163604047</c:v>
                </c:pt>
                <c:pt idx="87">
                  <c:v>493.74318169261</c:v>
                </c:pt>
                <c:pt idx="88">
                  <c:v>494.66192045433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Exp!$J$2</c:f>
              <c:strCache>
                <c:ptCount val="1"/>
                <c:pt idx="0">
                  <c:v>773K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Exp!$J$3:$J$34</c:f>
              <c:numCache>
                <c:formatCode>General</c:formatCode>
                <c:ptCount val="32"/>
                <c:pt idx="0">
                  <c:v>0.00232</c:v>
                </c:pt>
                <c:pt idx="1">
                  <c:v>0.00266</c:v>
                </c:pt>
                <c:pt idx="2">
                  <c:v>0.00297</c:v>
                </c:pt>
                <c:pt idx="3">
                  <c:v>0.0033</c:v>
                </c:pt>
                <c:pt idx="4">
                  <c:v>0.0037</c:v>
                </c:pt>
                <c:pt idx="5">
                  <c:v>0.00418</c:v>
                </c:pt>
                <c:pt idx="6">
                  <c:v>0.0048</c:v>
                </c:pt>
                <c:pt idx="7">
                  <c:v>0.00535</c:v>
                </c:pt>
                <c:pt idx="8">
                  <c:v>0.00598</c:v>
                </c:pt>
                <c:pt idx="9">
                  <c:v>0.00669</c:v>
                </c:pt>
                <c:pt idx="10">
                  <c:v>0.00748</c:v>
                </c:pt>
                <c:pt idx="11">
                  <c:v>0.00837</c:v>
                </c:pt>
                <c:pt idx="12">
                  <c:v>0.00937</c:v>
                </c:pt>
                <c:pt idx="13">
                  <c:v>0.01048</c:v>
                </c:pt>
                <c:pt idx="14">
                  <c:v>0.01172</c:v>
                </c:pt>
                <c:pt idx="15">
                  <c:v>0.01311</c:v>
                </c:pt>
                <c:pt idx="16">
                  <c:v>0.01467</c:v>
                </c:pt>
                <c:pt idx="17">
                  <c:v>0.01641</c:v>
                </c:pt>
                <c:pt idx="18">
                  <c:v>0.01835</c:v>
                </c:pt>
                <c:pt idx="19">
                  <c:v>0.02053</c:v>
                </c:pt>
                <c:pt idx="20">
                  <c:v>0.02297</c:v>
                </c:pt>
                <c:pt idx="21">
                  <c:v>0.02569</c:v>
                </c:pt>
                <c:pt idx="22">
                  <c:v>0.02874</c:v>
                </c:pt>
                <c:pt idx="23">
                  <c:v>0.03215</c:v>
                </c:pt>
                <c:pt idx="24">
                  <c:v>0.03597</c:v>
                </c:pt>
                <c:pt idx="25">
                  <c:v>0.04024</c:v>
                </c:pt>
                <c:pt idx="26">
                  <c:v>0.04501</c:v>
                </c:pt>
                <c:pt idx="27">
                  <c:v>0.05035</c:v>
                </c:pt>
                <c:pt idx="28">
                  <c:v>0.05633</c:v>
                </c:pt>
                <c:pt idx="29">
                  <c:v>0.06301</c:v>
                </c:pt>
                <c:pt idx="30">
                  <c:v>0.07049</c:v>
                </c:pt>
                <c:pt idx="31">
                  <c:v>0.07886</c:v>
                </c:pt>
              </c:numCache>
            </c:numRef>
          </c:xVal>
          <c:yVal>
            <c:numRef>
              <c:f>Exp!$K$3:$K$34</c:f>
              <c:numCache>
                <c:formatCode>General</c:formatCode>
                <c:ptCount val="32"/>
                <c:pt idx="0">
                  <c:v>429.74229</c:v>
                </c:pt>
                <c:pt idx="1">
                  <c:v>435.39068</c:v>
                </c:pt>
                <c:pt idx="2">
                  <c:v>437.97853</c:v>
                </c:pt>
                <c:pt idx="3">
                  <c:v>440.511</c:v>
                </c:pt>
                <c:pt idx="4">
                  <c:v>443.71927</c:v>
                </c:pt>
                <c:pt idx="5">
                  <c:v>448.91837</c:v>
                </c:pt>
                <c:pt idx="6">
                  <c:v>452.71912</c:v>
                </c:pt>
                <c:pt idx="7">
                  <c:v>455.1512</c:v>
                </c:pt>
                <c:pt idx="8">
                  <c:v>458.30018</c:v>
                </c:pt>
                <c:pt idx="9">
                  <c:v>461.9584</c:v>
                </c:pt>
                <c:pt idx="10">
                  <c:v>465.36499</c:v>
                </c:pt>
                <c:pt idx="11">
                  <c:v>468.65532</c:v>
                </c:pt>
                <c:pt idx="12">
                  <c:v>472.3962</c:v>
                </c:pt>
                <c:pt idx="13">
                  <c:v>475.30592</c:v>
                </c:pt>
                <c:pt idx="14">
                  <c:v>479.24442</c:v>
                </c:pt>
                <c:pt idx="15">
                  <c:v>483.9449</c:v>
                </c:pt>
                <c:pt idx="16">
                  <c:v>488.17582</c:v>
                </c:pt>
                <c:pt idx="17">
                  <c:v>492.22097</c:v>
                </c:pt>
                <c:pt idx="18">
                  <c:v>496.37449</c:v>
                </c:pt>
                <c:pt idx="19">
                  <c:v>500.41209</c:v>
                </c:pt>
                <c:pt idx="20">
                  <c:v>504.25433</c:v>
                </c:pt>
                <c:pt idx="21">
                  <c:v>508.43271</c:v>
                </c:pt>
                <c:pt idx="22">
                  <c:v>512.87771</c:v>
                </c:pt>
                <c:pt idx="23">
                  <c:v>516.89362</c:v>
                </c:pt>
                <c:pt idx="24">
                  <c:v>521.01954</c:v>
                </c:pt>
                <c:pt idx="25">
                  <c:v>525.25761</c:v>
                </c:pt>
                <c:pt idx="26">
                  <c:v>529.61002</c:v>
                </c:pt>
                <c:pt idx="27">
                  <c:v>533.75694</c:v>
                </c:pt>
                <c:pt idx="28">
                  <c:v>538.09862</c:v>
                </c:pt>
                <c:pt idx="29">
                  <c:v>542.39381</c:v>
                </c:pt>
                <c:pt idx="30">
                  <c:v>546.64083</c:v>
                </c:pt>
                <c:pt idx="31">
                  <c:v>550.75495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"Sim_773"</c:f>
              <c:strCache>
                <c:ptCount val="1"/>
                <c:pt idx="0">
                  <c:v>Sim_773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'773K'!$B$2:$B$280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8.0905728566801e-29</c:v>
                </c:pt>
                <c:pt idx="2" c:formatCode="0.00E+00">
                  <c:v>1.4716739026031e-25</c:v>
                </c:pt>
                <c:pt idx="3" c:formatCode="0.00E+00">
                  <c:v>1.141068755891e-18</c:v>
                </c:pt>
                <c:pt idx="4" c:formatCode="0.00E+00">
                  <c:v>1.0037432741851e-13</c:v>
                </c:pt>
                <c:pt idx="5" c:formatCode="0.00E+00">
                  <c:v>7.4034848422655e-8</c:v>
                </c:pt>
                <c:pt idx="6">
                  <c:v>0.00010158375003655</c:v>
                </c:pt>
                <c:pt idx="7">
                  <c:v>0.00060517369391234</c:v>
                </c:pt>
                <c:pt idx="8">
                  <c:v>0.0012128310500262</c:v>
                </c:pt>
                <c:pt idx="9">
                  <c:v>0.0018273868551374</c:v>
                </c:pt>
                <c:pt idx="10">
                  <c:v>0.0024380332251076</c:v>
                </c:pt>
                <c:pt idx="11">
                  <c:v>0.0030460116749226</c:v>
                </c:pt>
                <c:pt idx="12">
                  <c:v>0.0036525772481769</c:v>
                </c:pt>
                <c:pt idx="13">
                  <c:v>0.0042584732128469</c:v>
                </c:pt>
                <c:pt idx="14">
                  <c:v>0.0048641517557825</c:v>
                </c:pt>
                <c:pt idx="15">
                  <c:v>0.0054697712930115</c:v>
                </c:pt>
                <c:pt idx="16">
                  <c:v>0.0060753843217315</c:v>
                </c:pt>
                <c:pt idx="17">
                  <c:v>0.0066810303464748</c:v>
                </c:pt>
                <c:pt idx="18">
                  <c:v>0.0072867651171403</c:v>
                </c:pt>
                <c:pt idx="19">
                  <c:v>0.0078926215623599</c:v>
                </c:pt>
                <c:pt idx="20">
                  <c:v>0.0084985753012526</c:v>
                </c:pt>
                <c:pt idx="21">
                  <c:v>0.0091045791950549</c:v>
                </c:pt>
                <c:pt idx="22">
                  <c:v>0.0097105723563373</c:v>
                </c:pt>
                <c:pt idx="23">
                  <c:v>0.010316518244774</c:v>
                </c:pt>
                <c:pt idx="24">
                  <c:v>0.010922387099602</c:v>
                </c:pt>
                <c:pt idx="25">
                  <c:v>0.011528182723373</c:v>
                </c:pt>
                <c:pt idx="26">
                  <c:v>0.012133923539958</c:v>
                </c:pt>
                <c:pt idx="27">
                  <c:v>0.012739629683662</c:v>
                </c:pt>
                <c:pt idx="28">
                  <c:v>0.013345309037955</c:v>
                </c:pt>
                <c:pt idx="29">
                  <c:v>0.013950959715314</c:v>
                </c:pt>
                <c:pt idx="30">
                  <c:v>0.014556593572788</c:v>
                </c:pt>
                <c:pt idx="31">
                  <c:v>0.015162198425828</c:v>
                </c:pt>
                <c:pt idx="32">
                  <c:v>0.015767777888441</c:v>
                </c:pt>
                <c:pt idx="33">
                  <c:v>0.01637332283874</c:v>
                </c:pt>
                <c:pt idx="34">
                  <c:v>0.016978838572244</c:v>
                </c:pt>
                <c:pt idx="35">
                  <c:v>0.01758430696707</c:v>
                </c:pt>
                <c:pt idx="36">
                  <c:v>0.0181897296797</c:v>
                </c:pt>
                <c:pt idx="37">
                  <c:v>0.018795104773873</c:v>
                </c:pt>
                <c:pt idx="38">
                  <c:v>0.019400417542711</c:v>
                </c:pt>
                <c:pt idx="39">
                  <c:v>0.020005662928937</c:v>
                </c:pt>
                <c:pt idx="40">
                  <c:v>0.020610837353294</c:v>
                </c:pt>
                <c:pt idx="41">
                  <c:v>0.021215933227351</c:v>
                </c:pt>
                <c:pt idx="42">
                  <c:v>0.02182096438066</c:v>
                </c:pt>
                <c:pt idx="43">
                  <c:v>0.022425926276011</c:v>
                </c:pt>
                <c:pt idx="44">
                  <c:v>0.023030821932883</c:v>
                </c:pt>
                <c:pt idx="45">
                  <c:v>0.023635663536448</c:v>
                </c:pt>
                <c:pt idx="46">
                  <c:v>0.024240453040991</c:v>
                </c:pt>
                <c:pt idx="47">
                  <c:v>0.024845189537664</c:v>
                </c:pt>
                <c:pt idx="48">
                  <c:v>0.025449880767503</c:v>
                </c:pt>
                <c:pt idx="49">
                  <c:v>0.026054519365312</c:v>
                </c:pt>
                <c:pt idx="50">
                  <c:v>0.026659118132513</c:v>
                </c:pt>
                <c:pt idx="51">
                  <c:v>0.027263677870519</c:v>
                </c:pt>
                <c:pt idx="52">
                  <c:v>0.027868202397471</c:v>
                </c:pt>
                <c:pt idx="53">
                  <c:v>0.028472690283313</c:v>
                </c:pt>
                <c:pt idx="54">
                  <c:v>0.029077147374897</c:v>
                </c:pt>
                <c:pt idx="55">
                  <c:v>0.029681574641179</c:v>
                </c:pt>
                <c:pt idx="56">
                  <c:v>0.030285976737032</c:v>
                </c:pt>
                <c:pt idx="57">
                  <c:v>0.030890358367797</c:v>
                </c:pt>
                <c:pt idx="58">
                  <c:v>0.031494710594043</c:v>
                </c:pt>
                <c:pt idx="59">
                  <c:v>0.03209904203151</c:v>
                </c:pt>
                <c:pt idx="60">
                  <c:v>0.032703361120731</c:v>
                </c:pt>
                <c:pt idx="61">
                  <c:v>0.033307667262269</c:v>
                </c:pt>
                <c:pt idx="62">
                  <c:v>0.033911954061566</c:v>
                </c:pt>
                <c:pt idx="63">
                  <c:v>0.034516238361904</c:v>
                </c:pt>
                <c:pt idx="64">
                  <c:v>0.035120511567164</c:v>
                </c:pt>
                <c:pt idx="65">
                  <c:v>0.035724779928841</c:v>
                </c:pt>
                <c:pt idx="66">
                  <c:v>0.03632904042582</c:v>
                </c:pt>
                <c:pt idx="67">
                  <c:v>0.036933295713618</c:v>
                </c:pt>
                <c:pt idx="68">
                  <c:v>0.037537553057002</c:v>
                </c:pt>
                <c:pt idx="69">
                  <c:v>0.038141809365061</c:v>
                </c:pt>
                <c:pt idx="70">
                  <c:v>0.038746063583125</c:v>
                </c:pt>
                <c:pt idx="71">
                  <c:v>0.039350321324554</c:v>
                </c:pt>
                <c:pt idx="72">
                  <c:v>0.039954585665544</c:v>
                </c:pt>
                <c:pt idx="73">
                  <c:v>0.0405588543191</c:v>
                </c:pt>
                <c:pt idx="74">
                  <c:v>0.041163129809793</c:v>
                </c:pt>
                <c:pt idx="75">
                  <c:v>0.041767417424966</c:v>
                </c:pt>
                <c:pt idx="76">
                  <c:v>0.042371709289524</c:v>
                </c:pt>
                <c:pt idx="77">
                  <c:v>0.042976015906849</c:v>
                </c:pt>
                <c:pt idx="78">
                  <c:v>0.043580333260355</c:v>
                </c:pt>
                <c:pt idx="79">
                  <c:v>0.04418466701378</c:v>
                </c:pt>
                <c:pt idx="80">
                  <c:v>0.0447890143663</c:v>
                </c:pt>
                <c:pt idx="81">
                  <c:v>0.045393381805669</c:v>
                </c:pt>
                <c:pt idx="82">
                  <c:v>0.045997762635654</c:v>
                </c:pt>
                <c:pt idx="83">
                  <c:v>0.046602163606991</c:v>
                </c:pt>
                <c:pt idx="84">
                  <c:v>0.04720658049641</c:v>
                </c:pt>
                <c:pt idx="85">
                  <c:v>0.047811018031082</c:v>
                </c:pt>
                <c:pt idx="86">
                  <c:v>0.048415475588307</c:v>
                </c:pt>
                <c:pt idx="87">
                  <c:v>0.049019959412776</c:v>
                </c:pt>
                <c:pt idx="88">
                  <c:v>0.049604129961246</c:v>
                </c:pt>
              </c:numCache>
            </c:numRef>
          </c:xVal>
          <c:yVal>
            <c:numRef>
              <c:f>'773K'!$N$2:$N$230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1.657021400466</c:v>
                </c:pt>
                <c:pt idx="2">
                  <c:v>11.834825957964</c:v>
                </c:pt>
                <c:pt idx="3">
                  <c:v>64.264346019855</c:v>
                </c:pt>
                <c:pt idx="4">
                  <c:v>133.064192804</c:v>
                </c:pt>
                <c:pt idx="5">
                  <c:v>262.79697629922</c:v>
                </c:pt>
                <c:pt idx="6">
                  <c:v>374.30741911937</c:v>
                </c:pt>
                <c:pt idx="7">
                  <c:v>411.99299696801</c:v>
                </c:pt>
                <c:pt idx="8">
                  <c:v>427.00522127512</c:v>
                </c:pt>
                <c:pt idx="9">
                  <c:v>435.76204941164</c:v>
                </c:pt>
                <c:pt idx="10">
                  <c:v>441.427848193</c:v>
                </c:pt>
                <c:pt idx="11">
                  <c:v>445.45235942275</c:v>
                </c:pt>
                <c:pt idx="12">
                  <c:v>448.61399115016</c:v>
                </c:pt>
                <c:pt idx="13">
                  <c:v>451.26771572508</c:v>
                </c:pt>
                <c:pt idx="14">
                  <c:v>453.59739574754</c:v>
                </c:pt>
                <c:pt idx="15">
                  <c:v>455.70612877214</c:v>
                </c:pt>
                <c:pt idx="16">
                  <c:v>457.66044724805</c:v>
                </c:pt>
                <c:pt idx="17">
                  <c:v>459.50256756732</c:v>
                </c:pt>
                <c:pt idx="18">
                  <c:v>461.26518800425</c:v>
                </c:pt>
                <c:pt idx="19">
                  <c:v>462.96850076915</c:v>
                </c:pt>
                <c:pt idx="20">
                  <c:v>464.62416640265</c:v>
                </c:pt>
                <c:pt idx="21">
                  <c:v>466.23886782838</c:v>
                </c:pt>
                <c:pt idx="22">
                  <c:v>467.82051189022</c:v>
                </c:pt>
                <c:pt idx="23">
                  <c:v>469.37110548611</c:v>
                </c:pt>
                <c:pt idx="24">
                  <c:v>470.89269253866</c:v>
                </c:pt>
                <c:pt idx="25">
                  <c:v>472.38994284741</c:v>
                </c:pt>
                <c:pt idx="26">
                  <c:v>473.86592789128</c:v>
                </c:pt>
                <c:pt idx="27">
                  <c:v>475.32253489358</c:v>
                </c:pt>
                <c:pt idx="28">
                  <c:v>476.76249966251</c:v>
                </c:pt>
                <c:pt idx="29">
                  <c:v>478.18791018709</c:v>
                </c:pt>
                <c:pt idx="30">
                  <c:v>479.59799777589</c:v>
                </c:pt>
                <c:pt idx="31">
                  <c:v>480.99528083034</c:v>
                </c:pt>
                <c:pt idx="32">
                  <c:v>482.3789646773</c:v>
                </c:pt>
                <c:pt idx="33">
                  <c:v>483.75122728381</c:v>
                </c:pt>
                <c:pt idx="34">
                  <c:v>485.11113061876</c:v>
                </c:pt>
                <c:pt idx="35">
                  <c:v>486.46161010653</c:v>
                </c:pt>
                <c:pt idx="36">
                  <c:v>487.80181181131</c:v>
                </c:pt>
                <c:pt idx="37">
                  <c:v>489.13163306291</c:v>
                </c:pt>
                <c:pt idx="38">
                  <c:v>490.45209583922</c:v>
                </c:pt>
                <c:pt idx="39">
                  <c:v>491.76304206814</c:v>
                </c:pt>
                <c:pt idx="40">
                  <c:v>493.06462264329</c:v>
                </c:pt>
                <c:pt idx="41">
                  <c:v>494.35839554161</c:v>
                </c:pt>
                <c:pt idx="42">
                  <c:v>495.64260822383</c:v>
                </c:pt>
                <c:pt idx="43">
                  <c:v>496.91918493243</c:v>
                </c:pt>
                <c:pt idx="44">
                  <c:v>498.18916299111</c:v>
                </c:pt>
                <c:pt idx="45">
                  <c:v>499.45115631892</c:v>
                </c:pt>
                <c:pt idx="46">
                  <c:v>500.70534881023</c:v>
                </c:pt>
                <c:pt idx="47">
                  <c:v>501.95255726957</c:v>
                </c:pt>
                <c:pt idx="48">
                  <c:v>503.19256149911</c:v>
                </c:pt>
                <c:pt idx="49">
                  <c:v>504.42652883873</c:v>
                </c:pt>
                <c:pt idx="50">
                  <c:v>505.65328766548</c:v>
                </c:pt>
                <c:pt idx="51">
                  <c:v>506.87384009453</c:v>
                </c:pt>
                <c:pt idx="52">
                  <c:v>508.08744834114</c:v>
                </c:pt>
                <c:pt idx="53">
                  <c:v>509.29527472218</c:v>
                </c:pt>
                <c:pt idx="54">
                  <c:v>510.49735339658</c:v>
                </c:pt>
                <c:pt idx="55">
                  <c:v>511.69379589932</c:v>
                </c:pt>
                <c:pt idx="56">
                  <c:v>512.88436950388</c:v>
                </c:pt>
                <c:pt idx="57">
                  <c:v>514.06831491766</c:v>
                </c:pt>
                <c:pt idx="58">
                  <c:v>515.24807745977</c:v>
                </c:pt>
                <c:pt idx="59">
                  <c:v>516.4223799309</c:v>
                </c:pt>
                <c:pt idx="60">
                  <c:v>517.59043972362</c:v>
                </c:pt>
                <c:pt idx="61">
                  <c:v>518.75251261315</c:v>
                </c:pt>
                <c:pt idx="62">
                  <c:v>519.91042574848</c:v>
                </c:pt>
                <c:pt idx="63">
                  <c:v>521.06171576824</c:v>
                </c:pt>
                <c:pt idx="64">
                  <c:v>522.20844454501</c:v>
                </c:pt>
                <c:pt idx="65">
                  <c:v>523.34952824243</c:v>
                </c:pt>
                <c:pt idx="66">
                  <c:v>524.48629823017</c:v>
                </c:pt>
                <c:pt idx="67">
                  <c:v>525.61862883922</c:v>
                </c:pt>
                <c:pt idx="68">
                  <c:v>526.74526801652</c:v>
                </c:pt>
                <c:pt idx="69">
                  <c:v>527.86730960525</c:v>
                </c:pt>
                <c:pt idx="70">
                  <c:v>528.98541624268</c:v>
                </c:pt>
                <c:pt idx="71">
                  <c:v>530.09853208456</c:v>
                </c:pt>
                <c:pt idx="72">
                  <c:v>531.20663624861</c:v>
                </c:pt>
                <c:pt idx="73">
                  <c:v>532.31073812519</c:v>
                </c:pt>
                <c:pt idx="74">
                  <c:v>533.41013982193</c:v>
                </c:pt>
                <c:pt idx="75">
                  <c:v>534.50459201199</c:v>
                </c:pt>
                <c:pt idx="76">
                  <c:v>535.59615035091</c:v>
                </c:pt>
                <c:pt idx="77">
                  <c:v>536.68233997632</c:v>
                </c:pt>
                <c:pt idx="78">
                  <c:v>537.76455526801</c:v>
                </c:pt>
                <c:pt idx="79">
                  <c:v>538.84211050657</c:v>
                </c:pt>
                <c:pt idx="80">
                  <c:v>539.91572257493</c:v>
                </c:pt>
                <c:pt idx="81">
                  <c:v>540.98433025954</c:v>
                </c:pt>
                <c:pt idx="82">
                  <c:v>542.04938224034</c:v>
                </c:pt>
                <c:pt idx="83">
                  <c:v>543.1100870563</c:v>
                </c:pt>
                <c:pt idx="84">
                  <c:v>544.16722094423</c:v>
                </c:pt>
                <c:pt idx="85">
                  <c:v>545.22047034255</c:v>
                </c:pt>
                <c:pt idx="86">
                  <c:v>546.26995542731</c:v>
                </c:pt>
                <c:pt idx="87">
                  <c:v>547.31469382967</c:v>
                </c:pt>
                <c:pt idx="88">
                  <c:v>548.34280112797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Exp!$M$2</c:f>
              <c:strCache>
                <c:ptCount val="1"/>
                <c:pt idx="0">
                  <c:v>723K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Exp!$M$3:$M$35</c:f>
              <c:numCache>
                <c:formatCode>General</c:formatCode>
                <c:ptCount val="33"/>
                <c:pt idx="0">
                  <c:v>0.00231</c:v>
                </c:pt>
                <c:pt idx="1">
                  <c:v>0.00259</c:v>
                </c:pt>
                <c:pt idx="2">
                  <c:v>0.00291</c:v>
                </c:pt>
                <c:pt idx="3">
                  <c:v>0.00324</c:v>
                </c:pt>
                <c:pt idx="4">
                  <c:v>0.00363</c:v>
                </c:pt>
                <c:pt idx="5">
                  <c:v>0.00406</c:v>
                </c:pt>
                <c:pt idx="6">
                  <c:v>0.00454</c:v>
                </c:pt>
                <c:pt idx="7">
                  <c:v>0.00508</c:v>
                </c:pt>
                <c:pt idx="8">
                  <c:v>0.00568</c:v>
                </c:pt>
                <c:pt idx="9">
                  <c:v>0.00635</c:v>
                </c:pt>
                <c:pt idx="10">
                  <c:v>0.00711</c:v>
                </c:pt>
                <c:pt idx="11">
                  <c:v>0.00795</c:v>
                </c:pt>
                <c:pt idx="12">
                  <c:v>0.00889</c:v>
                </c:pt>
                <c:pt idx="13">
                  <c:v>0.00995</c:v>
                </c:pt>
                <c:pt idx="14">
                  <c:v>0.01113</c:v>
                </c:pt>
                <c:pt idx="15">
                  <c:v>0.01245</c:v>
                </c:pt>
                <c:pt idx="16">
                  <c:v>0.01392</c:v>
                </c:pt>
                <c:pt idx="17">
                  <c:v>0.01558</c:v>
                </c:pt>
                <c:pt idx="18">
                  <c:v>0.01742</c:v>
                </c:pt>
                <c:pt idx="19">
                  <c:v>0.01949</c:v>
                </c:pt>
                <c:pt idx="20">
                  <c:v>0.0218</c:v>
                </c:pt>
                <c:pt idx="21">
                  <c:v>0.02439</c:v>
                </c:pt>
                <c:pt idx="22">
                  <c:v>0.02728</c:v>
                </c:pt>
                <c:pt idx="23">
                  <c:v>0.03052</c:v>
                </c:pt>
                <c:pt idx="24">
                  <c:v>0.03414</c:v>
                </c:pt>
                <c:pt idx="25">
                  <c:v>0.03819</c:v>
                </c:pt>
                <c:pt idx="26">
                  <c:v>0.04272</c:v>
                </c:pt>
                <c:pt idx="27">
                  <c:v>0.04779</c:v>
                </c:pt>
                <c:pt idx="28">
                  <c:v>0.05346</c:v>
                </c:pt>
                <c:pt idx="29">
                  <c:v>0.0598</c:v>
                </c:pt>
                <c:pt idx="30">
                  <c:v>0.0669</c:v>
                </c:pt>
                <c:pt idx="31">
                  <c:v>0.07467</c:v>
                </c:pt>
                <c:pt idx="32">
                  <c:v>0.08182</c:v>
                </c:pt>
              </c:numCache>
            </c:numRef>
          </c:xVal>
          <c:yVal>
            <c:numRef>
              <c:f>Exp!$N$3:$N$35</c:f>
              <c:numCache>
                <c:formatCode>General</c:formatCode>
                <c:ptCount val="33"/>
                <c:pt idx="0">
                  <c:v>448.23921</c:v>
                </c:pt>
                <c:pt idx="1">
                  <c:v>452.40283</c:v>
                </c:pt>
                <c:pt idx="2">
                  <c:v>457.36345</c:v>
                </c:pt>
                <c:pt idx="3">
                  <c:v>460.4656</c:v>
                </c:pt>
                <c:pt idx="4">
                  <c:v>465.00311</c:v>
                </c:pt>
                <c:pt idx="5">
                  <c:v>468.78553</c:v>
                </c:pt>
                <c:pt idx="6">
                  <c:v>472.95524</c:v>
                </c:pt>
                <c:pt idx="7">
                  <c:v>476.58667</c:v>
                </c:pt>
                <c:pt idx="8">
                  <c:v>480.02872</c:v>
                </c:pt>
                <c:pt idx="9">
                  <c:v>483.95422</c:v>
                </c:pt>
                <c:pt idx="10">
                  <c:v>489.56507</c:v>
                </c:pt>
                <c:pt idx="11">
                  <c:v>493.47286</c:v>
                </c:pt>
                <c:pt idx="12">
                  <c:v>497.712</c:v>
                </c:pt>
                <c:pt idx="13">
                  <c:v>502.21475</c:v>
                </c:pt>
                <c:pt idx="14">
                  <c:v>505.8419</c:v>
                </c:pt>
                <c:pt idx="15">
                  <c:v>510.57218</c:v>
                </c:pt>
                <c:pt idx="16">
                  <c:v>514.88056</c:v>
                </c:pt>
                <c:pt idx="17">
                  <c:v>519.46027</c:v>
                </c:pt>
                <c:pt idx="18">
                  <c:v>524.23883</c:v>
                </c:pt>
                <c:pt idx="19">
                  <c:v>529.30078</c:v>
                </c:pt>
                <c:pt idx="20">
                  <c:v>534.65347</c:v>
                </c:pt>
                <c:pt idx="21">
                  <c:v>539.97884</c:v>
                </c:pt>
                <c:pt idx="22">
                  <c:v>545.275</c:v>
                </c:pt>
                <c:pt idx="23">
                  <c:v>551.20474</c:v>
                </c:pt>
                <c:pt idx="24">
                  <c:v>557.03091</c:v>
                </c:pt>
                <c:pt idx="25">
                  <c:v>562.57917</c:v>
                </c:pt>
                <c:pt idx="26">
                  <c:v>568.52557</c:v>
                </c:pt>
                <c:pt idx="27">
                  <c:v>574.01515</c:v>
                </c:pt>
                <c:pt idx="28">
                  <c:v>579.82002</c:v>
                </c:pt>
                <c:pt idx="29">
                  <c:v>585.77193</c:v>
                </c:pt>
                <c:pt idx="30">
                  <c:v>592.3207</c:v>
                </c:pt>
                <c:pt idx="31">
                  <c:v>597.33227</c:v>
                </c:pt>
                <c:pt idx="32">
                  <c:v>601.62688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"Sim_723"</c:f>
              <c:strCache>
                <c:ptCount val="1"/>
                <c:pt idx="0">
                  <c:v>Sim_723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'723K'!$B$2:$B$280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6.3529717571166e-32</c:v>
                </c:pt>
                <c:pt idx="2" c:formatCode="0.00E+00">
                  <c:v>2.2159457893483e-28</c:v>
                </c:pt>
                <c:pt idx="3" c:formatCode="0.00E+00">
                  <c:v>8.4926769441762e-21</c:v>
                </c:pt>
                <c:pt idx="4" c:formatCode="0.00E+00">
                  <c:v>2.5691089753214e-15</c:v>
                </c:pt>
                <c:pt idx="5" c:formatCode="0.00E+00">
                  <c:v>4.7855984504067e-9</c:v>
                </c:pt>
                <c:pt idx="6" c:formatCode="0.00E+00">
                  <c:v>4.4777935412245e-5</c:v>
                </c:pt>
                <c:pt idx="7">
                  <c:v>0.00047527713416616</c:v>
                </c:pt>
                <c:pt idx="8">
                  <c:v>0.001074565984001</c:v>
                </c:pt>
                <c:pt idx="9">
                  <c:v>0.0016904613819207</c:v>
                </c:pt>
                <c:pt idx="10">
                  <c:v>0.0023037827909891</c:v>
                </c:pt>
                <c:pt idx="11">
                  <c:v>0.0029132935087791</c:v>
                </c:pt>
                <c:pt idx="12">
                  <c:v>0.0035207163154769</c:v>
                </c:pt>
                <c:pt idx="13">
                  <c:v>0.0041269450617261</c:v>
                </c:pt>
                <c:pt idx="14">
                  <c:v>0.0047326716697471</c:v>
                </c:pt>
                <c:pt idx="15">
                  <c:v>0.0053382447643863</c:v>
                </c:pt>
                <c:pt idx="16">
                  <c:v>0.00594376303394</c:v>
                </c:pt>
                <c:pt idx="17">
                  <c:v>0.0065492333824892</c:v>
                </c:pt>
                <c:pt idx="18">
                  <c:v>0.0071546438974485</c:v>
                </c:pt>
                <c:pt idx="19">
                  <c:v>0.0077600546214412</c:v>
                </c:pt>
                <c:pt idx="20">
                  <c:v>0.0083655336993972</c:v>
                </c:pt>
                <c:pt idx="21">
                  <c:v>0.008971085118143</c:v>
                </c:pt>
                <c:pt idx="22">
                  <c:v>0.0095766803553613</c:v>
                </c:pt>
                <c:pt idx="23">
                  <c:v>0.010182278053391</c:v>
                </c:pt>
                <c:pt idx="24">
                  <c:v>0.010787841448655</c:v>
                </c:pt>
                <c:pt idx="25">
                  <c:v>0.01139332613751</c:v>
                </c:pt>
                <c:pt idx="26">
                  <c:v>0.011998718991863</c:v>
                </c:pt>
                <c:pt idx="27">
                  <c:v>0.012604033892837</c:v>
                </c:pt>
                <c:pt idx="28">
                  <c:v>0.013209286964558</c:v>
                </c:pt>
                <c:pt idx="29">
                  <c:v>0.013814501840223</c:v>
                </c:pt>
                <c:pt idx="30">
                  <c:v>0.014419686534375</c:v>
                </c:pt>
                <c:pt idx="31">
                  <c:v>0.015024850483367</c:v>
                </c:pt>
                <c:pt idx="32">
                  <c:v>0.015629992727615</c:v>
                </c:pt>
                <c:pt idx="33">
                  <c:v>0.016235115490548</c:v>
                </c:pt>
                <c:pt idx="34">
                  <c:v>0.016840214223224</c:v>
                </c:pt>
                <c:pt idx="35">
                  <c:v>0.017445290600719</c:v>
                </c:pt>
                <c:pt idx="36">
                  <c:v>0.018050344411189</c:v>
                </c:pt>
                <c:pt idx="37">
                  <c:v>0.018655376898445</c:v>
                </c:pt>
                <c:pt idx="38">
                  <c:v>0.01926037743365</c:v>
                </c:pt>
                <c:pt idx="39">
                  <c:v>0.019865351932702</c:v>
                </c:pt>
                <c:pt idx="40">
                  <c:v>0.02047029054992</c:v>
                </c:pt>
                <c:pt idx="41">
                  <c:v>0.021075192417446</c:v>
                </c:pt>
                <c:pt idx="42">
                  <c:v>0.021680041303279</c:v>
                </c:pt>
                <c:pt idx="43">
                  <c:v>0.022284832634977</c:v>
                </c:pt>
                <c:pt idx="44">
                  <c:v>0.02288956063234</c:v>
                </c:pt>
                <c:pt idx="45">
                  <c:v>0.023494228299498</c:v>
                </c:pt>
                <c:pt idx="46">
                  <c:v>0.024098832494884</c:v>
                </c:pt>
                <c:pt idx="47">
                  <c:v>0.024703386039171</c:v>
                </c:pt>
                <c:pt idx="48">
                  <c:v>0.025307887801256</c:v>
                </c:pt>
                <c:pt idx="49">
                  <c:v>0.025912346128372</c:v>
                </c:pt>
                <c:pt idx="50">
                  <c:v>0.026516752281261</c:v>
                </c:pt>
                <c:pt idx="51">
                  <c:v>0.027121121486575</c:v>
                </c:pt>
                <c:pt idx="52">
                  <c:v>0.027725452900418</c:v>
                </c:pt>
                <c:pt idx="53">
                  <c:v>0.028329752515698</c:v>
                </c:pt>
                <c:pt idx="54">
                  <c:v>0.028934015829473</c:v>
                </c:pt>
                <c:pt idx="55">
                  <c:v>0.029538247849023</c:v>
                </c:pt>
                <c:pt idx="56">
                  <c:v>0.030142453710842</c:v>
                </c:pt>
                <c:pt idx="57">
                  <c:v>0.030746633418739</c:v>
                </c:pt>
                <c:pt idx="58">
                  <c:v>0.03135079008772</c:v>
                </c:pt>
                <c:pt idx="59">
                  <c:v>0.031954928282036</c:v>
                </c:pt>
                <c:pt idx="60">
                  <c:v>0.032559046439809</c:v>
                </c:pt>
                <c:pt idx="61">
                  <c:v>0.033163146935377</c:v>
                </c:pt>
                <c:pt idx="62">
                  <c:v>0.0337672352817</c:v>
                </c:pt>
                <c:pt idx="63">
                  <c:v>0.034371308226454</c:v>
                </c:pt>
                <c:pt idx="64">
                  <c:v>0.034975367830335</c:v>
                </c:pt>
                <c:pt idx="65">
                  <c:v>0.035579422793125</c:v>
                </c:pt>
                <c:pt idx="66">
                  <c:v>0.036183465348079</c:v>
                </c:pt>
                <c:pt idx="67">
                  <c:v>0.036787506361413</c:v>
                </c:pt>
                <c:pt idx="68">
                  <c:v>0.037391544510068</c:v>
                </c:pt>
                <c:pt idx="69">
                  <c:v>0.037995576427668</c:v>
                </c:pt>
                <c:pt idx="70">
                  <c:v>0.038599608919805</c:v>
                </c:pt>
                <c:pt idx="71">
                  <c:v>0.039203646619551</c:v>
                </c:pt>
                <c:pt idx="72">
                  <c:v>0.039807688771372</c:v>
                </c:pt>
                <c:pt idx="73">
                  <c:v>0.040411732569697</c:v>
                </c:pt>
                <c:pt idx="74">
                  <c:v>0.041015785531276</c:v>
                </c:pt>
                <c:pt idx="75">
                  <c:v>0.041619845108422</c:v>
                </c:pt>
                <c:pt idx="76">
                  <c:v>0.042223916735098</c:v>
                </c:pt>
                <c:pt idx="77">
                  <c:v>0.04282799260475</c:v>
                </c:pt>
                <c:pt idx="78">
                  <c:v>0.043432078681725</c:v>
                </c:pt>
                <c:pt idx="79">
                  <c:v>0.044036180047017</c:v>
                </c:pt>
                <c:pt idx="80">
                  <c:v>0.044640297036841</c:v>
                </c:pt>
                <c:pt idx="81">
                  <c:v>0.045244431929122</c:v>
                </c:pt>
                <c:pt idx="82">
                  <c:v>0.04584858248962</c:v>
                </c:pt>
                <c:pt idx="83">
                  <c:v>0.046452753185628</c:v>
                </c:pt>
                <c:pt idx="84">
                  <c:v>0.047056943127593</c:v>
                </c:pt>
                <c:pt idx="85">
                  <c:v>0.047661141807733</c:v>
                </c:pt>
                <c:pt idx="86">
                  <c:v>0.048265370547289</c:v>
                </c:pt>
                <c:pt idx="87">
                  <c:v>0.048869620248425</c:v>
                </c:pt>
                <c:pt idx="88">
                  <c:v>0.049453572882311</c:v>
                </c:pt>
              </c:numCache>
            </c:numRef>
          </c:xVal>
          <c:yVal>
            <c:numRef>
              <c:f>'723K'!$N$2:$N$230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1.6857299647675</c:v>
                </c:pt>
                <c:pt idx="2">
                  <c:v>12.039856479517</c:v>
                </c:pt>
                <c:pt idx="3">
                  <c:v>65.377296233659</c:v>
                </c:pt>
                <c:pt idx="4">
                  <c:v>135.36768115488</c:v>
                </c:pt>
                <c:pt idx="5">
                  <c:v>267.3561830442</c:v>
                </c:pt>
                <c:pt idx="6">
                  <c:v>391.7211608278</c:v>
                </c:pt>
                <c:pt idx="7">
                  <c:v>444.7456303133</c:v>
                </c:pt>
                <c:pt idx="8">
                  <c:v>464.05412024406</c:v>
                </c:pt>
                <c:pt idx="9">
                  <c:v>475.11678252755</c:v>
                </c:pt>
                <c:pt idx="10">
                  <c:v>482.37092789765</c:v>
                </c:pt>
                <c:pt idx="11">
                  <c:v>487.39047577465</c:v>
                </c:pt>
                <c:pt idx="12">
                  <c:v>491.24275868698</c:v>
                </c:pt>
                <c:pt idx="13">
                  <c:v>494.42091155304</c:v>
                </c:pt>
                <c:pt idx="14">
                  <c:v>497.17668032694</c:v>
                </c:pt>
                <c:pt idx="15">
                  <c:v>499.64952120026</c:v>
                </c:pt>
                <c:pt idx="16">
                  <c:v>501.92237134196</c:v>
                </c:pt>
                <c:pt idx="17">
                  <c:v>504.04957606124</c:v>
                </c:pt>
                <c:pt idx="18">
                  <c:v>506.06861137223</c:v>
                </c:pt>
                <c:pt idx="19">
                  <c:v>508.00807872496</c:v>
                </c:pt>
                <c:pt idx="20">
                  <c:v>509.88735929699</c:v>
                </c:pt>
                <c:pt idx="21">
                  <c:v>511.71895179294</c:v>
                </c:pt>
                <c:pt idx="22">
                  <c:v>513.50871499378</c:v>
                </c:pt>
                <c:pt idx="23">
                  <c:v>515.26268020584</c:v>
                </c:pt>
                <c:pt idx="24">
                  <c:v>516.98460246339</c:v>
                </c:pt>
                <c:pt idx="25">
                  <c:v>518.67691408977</c:v>
                </c:pt>
                <c:pt idx="26">
                  <c:v>520.3424978651</c:v>
                </c:pt>
                <c:pt idx="27">
                  <c:v>521.98382498497</c:v>
                </c:pt>
                <c:pt idx="28">
                  <c:v>523.60471620283</c:v>
                </c:pt>
                <c:pt idx="29">
                  <c:v>525.20596238175</c:v>
                </c:pt>
                <c:pt idx="30">
                  <c:v>526.79034983627</c:v>
                </c:pt>
                <c:pt idx="31">
                  <c:v>528.35889545682</c:v>
                </c:pt>
                <c:pt idx="32">
                  <c:v>529.91274092303</c:v>
                </c:pt>
                <c:pt idx="33">
                  <c:v>531.45297949656</c:v>
                </c:pt>
                <c:pt idx="34">
                  <c:v>532.98054360511</c:v>
                </c:pt>
                <c:pt idx="35">
                  <c:v>534.4958069626</c:v>
                </c:pt>
                <c:pt idx="36">
                  <c:v>535.99884151236</c:v>
                </c:pt>
                <c:pt idx="37">
                  <c:v>537.49040963267</c:v>
                </c:pt>
                <c:pt idx="38">
                  <c:v>538.97164246546</c:v>
                </c:pt>
                <c:pt idx="39">
                  <c:v>540.44227237822</c:v>
                </c:pt>
                <c:pt idx="40">
                  <c:v>541.90327536203</c:v>
                </c:pt>
                <c:pt idx="41">
                  <c:v>543.35346981591</c:v>
                </c:pt>
                <c:pt idx="42">
                  <c:v>544.79488414469</c:v>
                </c:pt>
                <c:pt idx="43">
                  <c:v>546.22686114734</c:v>
                </c:pt>
                <c:pt idx="44">
                  <c:v>547.64970269391</c:v>
                </c:pt>
                <c:pt idx="45">
                  <c:v>549.06323575033</c:v>
                </c:pt>
                <c:pt idx="46">
                  <c:v>550.46908132779</c:v>
                </c:pt>
                <c:pt idx="47">
                  <c:v>551.86591524835</c:v>
                </c:pt>
                <c:pt idx="48">
                  <c:v>553.25526902183</c:v>
                </c:pt>
                <c:pt idx="49">
                  <c:v>554.63615613697</c:v>
                </c:pt>
                <c:pt idx="50">
                  <c:v>556.01113986747</c:v>
                </c:pt>
                <c:pt idx="51">
                  <c:v>557.37802711435</c:v>
                </c:pt>
                <c:pt idx="52">
                  <c:v>558.73761480123</c:v>
                </c:pt>
                <c:pt idx="53">
                  <c:v>560.08931978277</c:v>
                </c:pt>
                <c:pt idx="54">
                  <c:v>561.43467092409</c:v>
                </c:pt>
                <c:pt idx="55">
                  <c:v>562.77319739919</c:v>
                </c:pt>
                <c:pt idx="56">
                  <c:v>564.10466151268</c:v>
                </c:pt>
                <c:pt idx="57">
                  <c:v>565.42990837986</c:v>
                </c:pt>
                <c:pt idx="58">
                  <c:v>566.7486351839</c:v>
                </c:pt>
                <c:pt idx="59">
                  <c:v>568.06033425578</c:v>
                </c:pt>
                <c:pt idx="60">
                  <c:v>569.36609191697</c:v>
                </c:pt>
                <c:pt idx="61">
                  <c:v>570.66608928189</c:v>
                </c:pt>
                <c:pt idx="62">
                  <c:v>571.95955760314</c:v>
                </c:pt>
                <c:pt idx="63">
                  <c:v>573.24768695637</c:v>
                </c:pt>
                <c:pt idx="64">
                  <c:v>574.53022236597</c:v>
                </c:pt>
                <c:pt idx="65">
                  <c:v>575.80650056352</c:v>
                </c:pt>
                <c:pt idx="66">
                  <c:v>577.07841198149</c:v>
                </c:pt>
                <c:pt idx="67">
                  <c:v>578.34373940443</c:v>
                </c:pt>
                <c:pt idx="68">
                  <c:v>579.60333545528</c:v>
                </c:pt>
                <c:pt idx="69">
                  <c:v>580.8583676703</c:v>
                </c:pt>
                <c:pt idx="70">
                  <c:v>582.10793792446</c:v>
                </c:pt>
                <c:pt idx="71">
                  <c:v>583.35148232362</c:v>
                </c:pt>
                <c:pt idx="72">
                  <c:v>584.58920457856</c:v>
                </c:pt>
                <c:pt idx="73">
                  <c:v>585.82212714471</c:v>
                </c:pt>
                <c:pt idx="74">
                  <c:v>587.04959631188</c:v>
                </c:pt>
                <c:pt idx="75">
                  <c:v>588.27223082186</c:v>
                </c:pt>
                <c:pt idx="76">
                  <c:v>589.48920212012</c:v>
                </c:pt>
                <c:pt idx="77">
                  <c:v>590.70257419939</c:v>
                </c:pt>
                <c:pt idx="78">
                  <c:v>591.91092508587</c:v>
                </c:pt>
                <c:pt idx="79">
                  <c:v>593.11455134376</c:v>
                </c:pt>
                <c:pt idx="80">
                  <c:v>594.31304492733</c:v>
                </c:pt>
                <c:pt idx="81">
                  <c:v>595.50640166949</c:v>
                </c:pt>
                <c:pt idx="82">
                  <c:v>596.69534268915</c:v>
                </c:pt>
                <c:pt idx="83">
                  <c:v>597.87894849027</c:v>
                </c:pt>
                <c:pt idx="84">
                  <c:v>599.05781088218</c:v>
                </c:pt>
                <c:pt idx="85">
                  <c:v>600.23401465979</c:v>
                </c:pt>
                <c:pt idx="86">
                  <c:v>601.40425105797</c:v>
                </c:pt>
                <c:pt idx="87">
                  <c:v>602.57014466484</c:v>
                </c:pt>
                <c:pt idx="88">
                  <c:v>603.71369722366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Exp!$A$2</c:f>
              <c:strCache>
                <c:ptCount val="1"/>
                <c:pt idx="0">
                  <c:v>923K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Exp!$A$3:$A$24</c:f>
              <c:numCache>
                <c:formatCode>General</c:formatCode>
                <c:ptCount val="22"/>
                <c:pt idx="0">
                  <c:v>0.00243</c:v>
                </c:pt>
                <c:pt idx="1">
                  <c:v>0.00272</c:v>
                </c:pt>
                <c:pt idx="2">
                  <c:v>0.00304</c:v>
                </c:pt>
                <c:pt idx="3">
                  <c:v>0.0034</c:v>
                </c:pt>
                <c:pt idx="4">
                  <c:v>0.0038</c:v>
                </c:pt>
                <c:pt idx="5">
                  <c:v>0.00426</c:v>
                </c:pt>
                <c:pt idx="6">
                  <c:v>0.00476</c:v>
                </c:pt>
                <c:pt idx="7">
                  <c:v>0.00533</c:v>
                </c:pt>
                <c:pt idx="8">
                  <c:v>0.00596</c:v>
                </c:pt>
                <c:pt idx="9">
                  <c:v>0.00667</c:v>
                </c:pt>
                <c:pt idx="10">
                  <c:v>0.00746</c:v>
                </c:pt>
                <c:pt idx="11">
                  <c:v>0.00834</c:v>
                </c:pt>
                <c:pt idx="12">
                  <c:v>0.00933</c:v>
                </c:pt>
                <c:pt idx="13">
                  <c:v>0.01044</c:v>
                </c:pt>
                <c:pt idx="14">
                  <c:v>0.01168</c:v>
                </c:pt>
                <c:pt idx="15">
                  <c:v>0.01307</c:v>
                </c:pt>
                <c:pt idx="16">
                  <c:v>0.01462</c:v>
                </c:pt>
                <c:pt idx="17">
                  <c:v>0.01636</c:v>
                </c:pt>
                <c:pt idx="18">
                  <c:v>0.0183</c:v>
                </c:pt>
                <c:pt idx="19">
                  <c:v>0.02047</c:v>
                </c:pt>
                <c:pt idx="20">
                  <c:v>0.0229</c:v>
                </c:pt>
                <c:pt idx="21">
                  <c:v>0.02485</c:v>
                </c:pt>
              </c:numCache>
            </c:numRef>
          </c:xVal>
          <c:yVal>
            <c:numRef>
              <c:f>Exp!$B$3:$B$24</c:f>
              <c:numCache>
                <c:formatCode>General</c:formatCode>
                <c:ptCount val="22"/>
                <c:pt idx="0">
                  <c:v>287.54627</c:v>
                </c:pt>
                <c:pt idx="1">
                  <c:v>290.5856</c:v>
                </c:pt>
                <c:pt idx="2">
                  <c:v>292.9537</c:v>
                </c:pt>
                <c:pt idx="3">
                  <c:v>294.97606</c:v>
                </c:pt>
                <c:pt idx="4">
                  <c:v>297.23668</c:v>
                </c:pt>
                <c:pt idx="5">
                  <c:v>298.57603</c:v>
                </c:pt>
                <c:pt idx="6">
                  <c:v>300.50574</c:v>
                </c:pt>
                <c:pt idx="7">
                  <c:v>302.7674</c:v>
                </c:pt>
                <c:pt idx="8">
                  <c:v>305.13811</c:v>
                </c:pt>
                <c:pt idx="9">
                  <c:v>306.97131</c:v>
                </c:pt>
                <c:pt idx="10">
                  <c:v>309.18836</c:v>
                </c:pt>
                <c:pt idx="11">
                  <c:v>310.48345</c:v>
                </c:pt>
                <c:pt idx="12">
                  <c:v>311.97212</c:v>
                </c:pt>
                <c:pt idx="13">
                  <c:v>313.5625</c:v>
                </c:pt>
                <c:pt idx="14">
                  <c:v>314.68601</c:v>
                </c:pt>
                <c:pt idx="15">
                  <c:v>316.00413</c:v>
                </c:pt>
                <c:pt idx="16">
                  <c:v>317.23207</c:v>
                </c:pt>
                <c:pt idx="17">
                  <c:v>318.36874</c:v>
                </c:pt>
                <c:pt idx="18">
                  <c:v>319.75051</c:v>
                </c:pt>
                <c:pt idx="19">
                  <c:v>320.75103</c:v>
                </c:pt>
                <c:pt idx="20">
                  <c:v>321.65765</c:v>
                </c:pt>
                <c:pt idx="21">
                  <c:v>322.01648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"Sim_923"</c:f>
              <c:strCache>
                <c:ptCount val="1"/>
                <c:pt idx="0">
                  <c:v>Sim_923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'923K'!$B$2:$B$280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1.9976580863321e-21</c:v>
                </c:pt>
                <c:pt idx="2" c:formatCode="0.00E+00">
                  <c:v>8.3470414830773e-19</c:v>
                </c:pt>
                <c:pt idx="3" c:formatCode="0.00E+00">
                  <c:v>2.4057483144833e-13</c:v>
                </c:pt>
                <c:pt idx="4" c:formatCode="0.00E+00">
                  <c:v>7.1450922529774e-10</c:v>
                </c:pt>
                <c:pt idx="5" c:formatCode="0.00E+00">
                  <c:v>2.1450304643885e-5</c:v>
                </c:pt>
                <c:pt idx="6">
                  <c:v>0.00041694953565771</c:v>
                </c:pt>
                <c:pt idx="7">
                  <c:v>0.0010128084096161</c:v>
                </c:pt>
                <c:pt idx="8">
                  <c:v>0.0016194447726108</c:v>
                </c:pt>
                <c:pt idx="9">
                  <c:v>0.0022236872104259</c:v>
                </c:pt>
                <c:pt idx="10">
                  <c:v>0.0028275395572812</c:v>
                </c:pt>
                <c:pt idx="11">
                  <c:v>0.003431577655515</c:v>
                </c:pt>
                <c:pt idx="12">
                  <c:v>0.0040359751399879</c:v>
                </c:pt>
                <c:pt idx="13">
                  <c:v>0.0046408424296919</c:v>
                </c:pt>
                <c:pt idx="14">
                  <c:v>0.0052462131048298</c:v>
                </c:pt>
                <c:pt idx="15">
                  <c:v>0.0058520393050297</c:v>
                </c:pt>
                <c:pt idx="16">
                  <c:v>0.0064582205047523</c:v>
                </c:pt>
                <c:pt idx="17">
                  <c:v>0.0070646279541068</c:v>
                </c:pt>
                <c:pt idx="18">
                  <c:v>0.0076711718918478</c:v>
                </c:pt>
                <c:pt idx="19">
                  <c:v>0.0082777686759253</c:v>
                </c:pt>
                <c:pt idx="20">
                  <c:v>0.0088844122113811</c:v>
                </c:pt>
                <c:pt idx="21">
                  <c:v>0.0094910820538223</c:v>
                </c:pt>
                <c:pt idx="22">
                  <c:v>0.010097768269219</c:v>
                </c:pt>
                <c:pt idx="23">
                  <c:v>0.010704441265921</c:v>
                </c:pt>
                <c:pt idx="24">
                  <c:v>0.01131109918141</c:v>
                </c:pt>
                <c:pt idx="25">
                  <c:v>0.01191771013851</c:v>
                </c:pt>
                <c:pt idx="26">
                  <c:v>0.012524249742012</c:v>
                </c:pt>
                <c:pt idx="27">
                  <c:v>0.013130709487574</c:v>
                </c:pt>
                <c:pt idx="28">
                  <c:v>0.013737083961991</c:v>
                </c:pt>
                <c:pt idx="29">
                  <c:v>0.014343365505548</c:v>
                </c:pt>
                <c:pt idx="30">
                  <c:v>0.014949548383219</c:v>
                </c:pt>
                <c:pt idx="31">
                  <c:v>0.015555632270061</c:v>
                </c:pt>
                <c:pt idx="32">
                  <c:v>0.016161622670703</c:v>
                </c:pt>
                <c:pt idx="33">
                  <c:v>0.016767525043559</c:v>
                </c:pt>
                <c:pt idx="34">
                  <c:v>0.017373336985892</c:v>
                </c:pt>
                <c:pt idx="35">
                  <c:v>0.017979064716836</c:v>
                </c:pt>
                <c:pt idx="36">
                  <c:v>0.018584716136754</c:v>
                </c:pt>
                <c:pt idx="37">
                  <c:v>0.019190289204036</c:v>
                </c:pt>
                <c:pt idx="38">
                  <c:v>0.01979579336008</c:v>
                </c:pt>
                <c:pt idx="39">
                  <c:v>0.020401230980233</c:v>
                </c:pt>
                <c:pt idx="40">
                  <c:v>0.021006605170718</c:v>
                </c:pt>
                <c:pt idx="41">
                  <c:v>0.021611921068867</c:v>
                </c:pt>
                <c:pt idx="42">
                  <c:v>0.022217178960855</c:v>
                </c:pt>
                <c:pt idx="43">
                  <c:v>0.022822384327466</c:v>
                </c:pt>
                <c:pt idx="44">
                  <c:v>0.02342754360689</c:v>
                </c:pt>
                <c:pt idx="45">
                  <c:v>0.02403265482602</c:v>
                </c:pt>
                <c:pt idx="46">
                  <c:v>0.024637723371176</c:v>
                </c:pt>
                <c:pt idx="47">
                  <c:v>0.025242743497317</c:v>
                </c:pt>
                <c:pt idx="48">
                  <c:v>0.025847731413402</c:v>
                </c:pt>
                <c:pt idx="49">
                  <c:v>0.026452685546695</c:v>
                </c:pt>
                <c:pt idx="50">
                  <c:v>0.027057611277809</c:v>
                </c:pt>
                <c:pt idx="51">
                  <c:v>0.027662505383478</c:v>
                </c:pt>
                <c:pt idx="52">
                  <c:v>0.028267366466433</c:v>
                </c:pt>
                <c:pt idx="53">
                  <c:v>0.028872204563214</c:v>
                </c:pt>
                <c:pt idx="54">
                  <c:v>0.029477022174752</c:v>
                </c:pt>
                <c:pt idx="55">
                  <c:v>0.030081819438014</c:v>
                </c:pt>
                <c:pt idx="56">
                  <c:v>0.030686594950644</c:v>
                </c:pt>
                <c:pt idx="57">
                  <c:v>0.031291355824035</c:v>
                </c:pt>
                <c:pt idx="58">
                  <c:v>0.0318961038328</c:v>
                </c:pt>
                <c:pt idx="59">
                  <c:v>0.032500832749716</c:v>
                </c:pt>
                <c:pt idx="60">
                  <c:v>0.033105552560179</c:v>
                </c:pt>
                <c:pt idx="61">
                  <c:v>0.033710249844255</c:v>
                </c:pt>
                <c:pt idx="62">
                  <c:v>0.034314938131288</c:v>
                </c:pt>
                <c:pt idx="63">
                  <c:v>0.034919629882826</c:v>
                </c:pt>
                <c:pt idx="64">
                  <c:v>0.035524313680763</c:v>
                </c:pt>
                <c:pt idx="65">
                  <c:v>0.036128995530591</c:v>
                </c:pt>
                <c:pt idx="66">
                  <c:v>0.036733665534087</c:v>
                </c:pt>
                <c:pt idx="67">
                  <c:v>0.037338343512303</c:v>
                </c:pt>
                <c:pt idx="68">
                  <c:v>0.037943023632644</c:v>
                </c:pt>
                <c:pt idx="69">
                  <c:v>0.038547705912646</c:v>
                </c:pt>
                <c:pt idx="70">
                  <c:v>0.039152388244309</c:v>
                </c:pt>
                <c:pt idx="71">
                  <c:v>0.03975707527845</c:v>
                </c:pt>
                <c:pt idx="72">
                  <c:v>0.040361767673434</c:v>
                </c:pt>
                <c:pt idx="73">
                  <c:v>0.040966469301617</c:v>
                </c:pt>
                <c:pt idx="74">
                  <c:v>0.04157117336821</c:v>
                </c:pt>
                <c:pt idx="75">
                  <c:v>0.042175893078766</c:v>
                </c:pt>
                <c:pt idx="76">
                  <c:v>0.042780625436151</c:v>
                </c:pt>
                <c:pt idx="77">
                  <c:v>0.043385370675316</c:v>
                </c:pt>
                <c:pt idx="78">
                  <c:v>0.043990129892823</c:v>
                </c:pt>
                <c:pt idx="79">
                  <c:v>0.044594901095439</c:v>
                </c:pt>
                <c:pt idx="80">
                  <c:v>0.045199680360023</c:v>
                </c:pt>
                <c:pt idx="81">
                  <c:v>0.045804479907045</c:v>
                </c:pt>
                <c:pt idx="82">
                  <c:v>0.046409297695015</c:v>
                </c:pt>
                <c:pt idx="83">
                  <c:v>0.047014136980816</c:v>
                </c:pt>
                <c:pt idx="84">
                  <c:v>0.047618997702716</c:v>
                </c:pt>
                <c:pt idx="85">
                  <c:v>0.048223876371217</c:v>
                </c:pt>
                <c:pt idx="86">
                  <c:v>0.048828778634691</c:v>
                </c:pt>
                <c:pt idx="87">
                  <c:v>0.049433708253238</c:v>
                </c:pt>
                <c:pt idx="88">
                  <c:v>0.050018292496097</c:v>
                </c:pt>
              </c:numCache>
            </c:numRef>
          </c:xVal>
          <c:yVal>
            <c:numRef>
              <c:f>'923K'!$N$2:$N$230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1.567979671108</c:v>
                </c:pt>
                <c:pt idx="2">
                  <c:v>11.198913666838</c:v>
                </c:pt>
                <c:pt idx="3">
                  <c:v>60.812629067879</c:v>
                </c:pt>
                <c:pt idx="4">
                  <c:v>125.92036968484</c:v>
                </c:pt>
                <c:pt idx="5">
                  <c:v>244.61818001477</c:v>
                </c:pt>
                <c:pt idx="6">
                  <c:v>295.54109931812</c:v>
                </c:pt>
                <c:pt idx="7">
                  <c:v>308.58189858898</c:v>
                </c:pt>
                <c:pt idx="8">
                  <c:v>314.95787138428</c:v>
                </c:pt>
                <c:pt idx="9">
                  <c:v>318.86891679879</c:v>
                </c:pt>
                <c:pt idx="10">
                  <c:v>321.58670948532</c:v>
                </c:pt>
                <c:pt idx="11">
                  <c:v>323.6786324312</c:v>
                </c:pt>
                <c:pt idx="12">
                  <c:v>325.41444603243</c:v>
                </c:pt>
                <c:pt idx="13">
                  <c:v>326.93508000873</c:v>
                </c:pt>
                <c:pt idx="14">
                  <c:v>328.31825594562</c:v>
                </c:pt>
                <c:pt idx="15">
                  <c:v>329.6097277003</c:v>
                </c:pt>
                <c:pt idx="16">
                  <c:v>330.83525398664</c:v>
                </c:pt>
                <c:pt idx="17">
                  <c:v>332.01312720086</c:v>
                </c:pt>
                <c:pt idx="18">
                  <c:v>333.15074962553</c:v>
                </c:pt>
                <c:pt idx="19">
                  <c:v>334.25847756828</c:v>
                </c:pt>
                <c:pt idx="20">
                  <c:v>335.33814218242</c:v>
                </c:pt>
                <c:pt idx="21">
                  <c:v>336.39639268153</c:v>
                </c:pt>
                <c:pt idx="22">
                  <c:v>337.43579032519</c:v>
                </c:pt>
                <c:pt idx="23">
                  <c:v>338.46075866814</c:v>
                </c:pt>
                <c:pt idx="24">
                  <c:v>339.4693952506</c:v>
                </c:pt>
                <c:pt idx="25">
                  <c:v>340.46561827589</c:v>
                </c:pt>
                <c:pt idx="26">
                  <c:v>341.45121691112</c:v>
                </c:pt>
                <c:pt idx="27">
                  <c:v>342.42592341164</c:v>
                </c:pt>
                <c:pt idx="28">
                  <c:v>343.38923090919</c:v>
                </c:pt>
                <c:pt idx="29">
                  <c:v>344.34217845288</c:v>
                </c:pt>
                <c:pt idx="30">
                  <c:v>345.28646340772</c:v>
                </c:pt>
                <c:pt idx="31">
                  <c:v>346.22299973138</c:v>
                </c:pt>
                <c:pt idx="32">
                  <c:v>347.15163400587</c:v>
                </c:pt>
                <c:pt idx="33">
                  <c:v>348.07255259356</c:v>
                </c:pt>
                <c:pt idx="34">
                  <c:v>348.98738799103</c:v>
                </c:pt>
                <c:pt idx="35">
                  <c:v>349.89596617817</c:v>
                </c:pt>
                <c:pt idx="36">
                  <c:v>350.79758734972</c:v>
                </c:pt>
                <c:pt idx="37">
                  <c:v>351.69402994142</c:v>
                </c:pt>
                <c:pt idx="38">
                  <c:v>352.58452655298</c:v>
                </c:pt>
                <c:pt idx="39">
                  <c:v>353.46973679757</c:v>
                </c:pt>
                <c:pt idx="40">
                  <c:v>354.34975604579</c:v>
                </c:pt>
                <c:pt idx="41">
                  <c:v>355.22450494594</c:v>
                </c:pt>
                <c:pt idx="42">
                  <c:v>356.09440312909</c:v>
                </c:pt>
                <c:pt idx="43">
                  <c:v>356.95925659722</c:v>
                </c:pt>
                <c:pt idx="44">
                  <c:v>357.81907788463</c:v>
                </c:pt>
                <c:pt idx="45">
                  <c:v>358.67446268875</c:v>
                </c:pt>
                <c:pt idx="46">
                  <c:v>359.52533574721</c:v>
                </c:pt>
                <c:pt idx="47">
                  <c:v>360.37234011726</c:v>
                </c:pt>
                <c:pt idx="48">
                  <c:v>361.21511379687</c:v>
                </c:pt>
                <c:pt idx="49">
                  <c:v>362.05378007996</c:v>
                </c:pt>
                <c:pt idx="50">
                  <c:v>362.88775424233</c:v>
                </c:pt>
                <c:pt idx="51">
                  <c:v>363.71827849235</c:v>
                </c:pt>
                <c:pt idx="52">
                  <c:v>364.54626765276</c:v>
                </c:pt>
                <c:pt idx="53">
                  <c:v>365.36966320266</c:v>
                </c:pt>
                <c:pt idx="54">
                  <c:v>366.18889632533</c:v>
                </c:pt>
                <c:pt idx="55">
                  <c:v>367.00454863935</c:v>
                </c:pt>
                <c:pt idx="56">
                  <c:v>367.81721291484</c:v>
                </c:pt>
                <c:pt idx="57">
                  <c:v>368.62576697158</c:v>
                </c:pt>
                <c:pt idx="58">
                  <c:v>369.43031459324</c:v>
                </c:pt>
                <c:pt idx="59">
                  <c:v>370.23270193723</c:v>
                </c:pt>
                <c:pt idx="60">
                  <c:v>371.03079188907</c:v>
                </c:pt>
                <c:pt idx="61">
                  <c:v>371.82700352945</c:v>
                </c:pt>
                <c:pt idx="62">
                  <c:v>372.6197434306</c:v>
                </c:pt>
                <c:pt idx="63">
                  <c:v>373.40821016086</c:v>
                </c:pt>
                <c:pt idx="64">
                  <c:v>374.19441595058</c:v>
                </c:pt>
                <c:pt idx="65">
                  <c:v>374.97678250605</c:v>
                </c:pt>
                <c:pt idx="66">
                  <c:v>375.75784406887</c:v>
                </c:pt>
                <c:pt idx="67">
                  <c:v>376.53413608591</c:v>
                </c:pt>
                <c:pt idx="68">
                  <c:v>377.30746578978</c:v>
                </c:pt>
                <c:pt idx="69">
                  <c:v>378.07780616798</c:v>
                </c:pt>
                <c:pt idx="70">
                  <c:v>378.84517112797</c:v>
                </c:pt>
                <c:pt idx="71">
                  <c:v>379.60992712445</c:v>
                </c:pt>
                <c:pt idx="72">
                  <c:v>380.37205178871</c:v>
                </c:pt>
                <c:pt idx="73">
                  <c:v>381.13081312682</c:v>
                </c:pt>
                <c:pt idx="74">
                  <c:v>381.88743810349</c:v>
                </c:pt>
                <c:pt idx="75">
                  <c:v>382.64072782405</c:v>
                </c:pt>
                <c:pt idx="76">
                  <c:v>383.39100066086</c:v>
                </c:pt>
                <c:pt idx="77">
                  <c:v>384.13854845946</c:v>
                </c:pt>
                <c:pt idx="78">
                  <c:v>384.88327971936</c:v>
                </c:pt>
                <c:pt idx="79">
                  <c:v>385.62602014028</c:v>
                </c:pt>
                <c:pt idx="80">
                  <c:v>386.36669188219</c:v>
                </c:pt>
                <c:pt idx="81">
                  <c:v>387.10458320767</c:v>
                </c:pt>
                <c:pt idx="82">
                  <c:v>387.83997501295</c:v>
                </c:pt>
                <c:pt idx="83">
                  <c:v>388.57245727545</c:v>
                </c:pt>
                <c:pt idx="84">
                  <c:v>389.30223298624</c:v>
                </c:pt>
                <c:pt idx="85">
                  <c:v>390.02937508006</c:v>
                </c:pt>
                <c:pt idx="86">
                  <c:v>390.75418567286</c:v>
                </c:pt>
                <c:pt idx="87">
                  <c:v>391.47579008552</c:v>
                </c:pt>
                <c:pt idx="88">
                  <c:v>392.19588192666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Exp!$P$2</c:f>
              <c:strCache>
                <c:ptCount val="1"/>
                <c:pt idx="0">
                  <c:v>673K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Exp!$P$3:$P$19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Exp!$Q$3:$Q$19</c:f>
              <c:numCache>
                <c:formatCode>General</c:formatCode>
                <c:ptCount val="17"/>
                <c:pt idx="0">
                  <c:v>462.167963485811</c:v>
                </c:pt>
                <c:pt idx="1">
                  <c:v>516.303040216597</c:v>
                </c:pt>
                <c:pt idx="2">
                  <c:v>535.926310003873</c:v>
                </c:pt>
                <c:pt idx="3">
                  <c:v>550.299910236815</c:v>
                </c:pt>
                <c:pt idx="4">
                  <c:v>561.713889963145</c:v>
                </c:pt>
                <c:pt idx="5">
                  <c:v>571.215308290564</c:v>
                </c:pt>
                <c:pt idx="6">
                  <c:v>579.373920694223</c:v>
                </c:pt>
                <c:pt idx="7">
                  <c:v>586.535363184391</c:v>
                </c:pt>
                <c:pt idx="8">
                  <c:v>592.925643555112</c:v>
                </c:pt>
                <c:pt idx="9">
                  <c:v>598.700916221245</c:v>
                </c:pt>
                <c:pt idx="10">
                  <c:v>603.973730731917</c:v>
                </c:pt>
                <c:pt idx="11">
                  <c:v>608.827971933541</c:v>
                </c:pt>
                <c:pt idx="12">
                  <c:v>613.327886146323</c:v>
                </c:pt>
                <c:pt idx="13">
                  <c:v>617.523802334824</c:v>
                </c:pt>
                <c:pt idx="14">
                  <c:v>621.455904446707</c:v>
                </c:pt>
                <c:pt idx="15">
                  <c:v>625.156802438509</c:v>
                </c:pt>
                <c:pt idx="16">
                  <c:v>628.653334582081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"Sim_673K"</c:f>
              <c:strCache>
                <c:ptCount val="1"/>
                <c:pt idx="0">
                  <c:v>Sim_673K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'673K'!$K$2:$K$280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7.749213245188e-6</c:v>
                </c:pt>
                <c:pt idx="2" c:formatCode="0.00E+00">
                  <c:v>5.5330615847005e-5</c:v>
                </c:pt>
                <c:pt idx="3">
                  <c:v>0.00029995430434372</c:v>
                </c:pt>
                <c:pt idx="4">
                  <c:v>0.00061985965497355</c:v>
                </c:pt>
                <c:pt idx="5">
                  <c:v>0.0012192995235674</c:v>
                </c:pt>
                <c:pt idx="6">
                  <c:v>0.00181837429829</c:v>
                </c:pt>
                <c:pt idx="7">
                  <c:v>0.0024170842016953</c:v>
                </c:pt>
                <c:pt idx="8">
                  <c:v>0.0030154305913513</c:v>
                </c:pt>
                <c:pt idx="9">
                  <c:v>0.0036134111345805</c:v>
                </c:pt>
                <c:pt idx="10">
                  <c:v>0.0042110262469634</c:v>
                </c:pt>
                <c:pt idx="11">
                  <c:v>0.0048082774032905</c:v>
                </c:pt>
                <c:pt idx="12">
                  <c:v>0.0054051655215627</c:v>
                </c:pt>
                <c:pt idx="13">
                  <c:v>0.006001692070492</c:v>
                </c:pt>
                <c:pt idx="14">
                  <c:v>0.0065978579384189</c:v>
                </c:pt>
                <c:pt idx="15">
                  <c:v>0.0071936633324589</c:v>
                </c:pt>
                <c:pt idx="16">
                  <c:v>0.0077891085185689</c:v>
                </c:pt>
                <c:pt idx="17">
                  <c:v>0.0083841940050606</c:v>
                </c:pt>
                <c:pt idx="18">
                  <c:v>0.0089789202499542</c:v>
                </c:pt>
                <c:pt idx="19">
                  <c:v>0.0095732875838248</c:v>
                </c:pt>
                <c:pt idx="20">
                  <c:v>0.010167296410328</c:v>
                </c:pt>
                <c:pt idx="21">
                  <c:v>0.010760947310864</c:v>
                </c:pt>
                <c:pt idx="22">
                  <c:v>0.011354240938465</c:v>
                </c:pt>
                <c:pt idx="23">
                  <c:v>0.011947177863442</c:v>
                </c:pt>
                <c:pt idx="24">
                  <c:v>0.012539758756447</c:v>
                </c:pt>
                <c:pt idx="25">
                  <c:v>0.013131984197824</c:v>
                </c:pt>
                <c:pt idx="26">
                  <c:v>0.01372385456537</c:v>
                </c:pt>
                <c:pt idx="27">
                  <c:v>0.014315370183535</c:v>
                </c:pt>
                <c:pt idx="28">
                  <c:v>0.014906531369043</c:v>
                </c:pt>
                <c:pt idx="29">
                  <c:v>0.015497338419444</c:v>
                </c:pt>
                <c:pt idx="30">
                  <c:v>0.016087791631782</c:v>
                </c:pt>
                <c:pt idx="31">
                  <c:v>0.016677891324119</c:v>
                </c:pt>
                <c:pt idx="32">
                  <c:v>0.017267637833005</c:v>
                </c:pt>
                <c:pt idx="33">
                  <c:v>0.017857031514436</c:v>
                </c:pt>
                <c:pt idx="34">
                  <c:v>0.018446072751989</c:v>
                </c:pt>
                <c:pt idx="35">
                  <c:v>0.019034761935906</c:v>
                </c:pt>
                <c:pt idx="36">
                  <c:v>0.019623099463239</c:v>
                </c:pt>
                <c:pt idx="37">
                  <c:v>0.020211085731527</c:v>
                </c:pt>
                <c:pt idx="38">
                  <c:v>0.020798721147131</c:v>
                </c:pt>
                <c:pt idx="39">
                  <c:v>0.021386006127352</c:v>
                </c:pt>
                <c:pt idx="40">
                  <c:v>0.021972941072078</c:v>
                </c:pt>
                <c:pt idx="41">
                  <c:v>0.022559526391755</c:v>
                </c:pt>
                <c:pt idx="42">
                  <c:v>0.023145762493014</c:v>
                </c:pt>
                <c:pt idx="43">
                  <c:v>0.023731649765126</c:v>
                </c:pt>
                <c:pt idx="44">
                  <c:v>0.024317188579451</c:v>
                </c:pt>
                <c:pt idx="45">
                  <c:v>0.024902379301352</c:v>
                </c:pt>
                <c:pt idx="46">
                  <c:v>0.02548722229775</c:v>
                </c:pt>
                <c:pt idx="47">
                  <c:v>0.026071717934184</c:v>
                </c:pt>
                <c:pt idx="48">
                  <c:v>0.026655866612064</c:v>
                </c:pt>
                <c:pt idx="49">
                  <c:v>0.027239668728031</c:v>
                </c:pt>
                <c:pt idx="50">
                  <c:v>0.027823124692141</c:v>
                </c:pt>
                <c:pt idx="51">
                  <c:v>0.02840623493018</c:v>
                </c:pt>
                <c:pt idx="52">
                  <c:v>0.028988999861603</c:v>
                </c:pt>
                <c:pt idx="53">
                  <c:v>0.029571419904763</c:v>
                </c:pt>
                <c:pt idx="54">
                  <c:v>0.03015349547992</c:v>
                </c:pt>
                <c:pt idx="55">
                  <c:v>0.030735226990659</c:v>
                </c:pt>
                <c:pt idx="56">
                  <c:v>0.031316614837766</c:v>
                </c:pt>
                <c:pt idx="57">
                  <c:v>0.031897659425081</c:v>
                </c:pt>
              </c:numCache>
            </c:numRef>
          </c:xVal>
          <c:yVal>
            <c:numRef>
              <c:f>'673K'!$N$2:$N$230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1.714023442138</c:v>
                </c:pt>
                <c:pt idx="2">
                  <c:v>12.241923210628</c:v>
                </c:pt>
                <c:pt idx="3">
                  <c:v>66.47417898324</c:v>
                </c:pt>
                <c:pt idx="4">
                  <c:v>137.63796568834</c:v>
                </c:pt>
                <c:pt idx="5">
                  <c:v>271.83674080884</c:v>
                </c:pt>
                <c:pt idx="6">
                  <c:v>393.62153235352</c:v>
                </c:pt>
                <c:pt idx="7">
                  <c:v>437.70051721074</c:v>
                </c:pt>
                <c:pt idx="8">
                  <c:v>455.20891012923</c:v>
                </c:pt>
                <c:pt idx="9">
                  <c:v>465.54475400436</c:v>
                </c:pt>
                <c:pt idx="10">
                  <c:v>472.23656292733</c:v>
                </c:pt>
                <c:pt idx="11">
                  <c:v>476.91927318941</c:v>
                </c:pt>
                <c:pt idx="12">
                  <c:v>480.5714478718</c:v>
                </c:pt>
                <c:pt idx="13">
                  <c:v>483.61189449793</c:v>
                </c:pt>
                <c:pt idx="14">
                  <c:v>486.27424541265</c:v>
                </c:pt>
                <c:pt idx="15">
                  <c:v>488.68132749413</c:v>
                </c:pt>
                <c:pt idx="16">
                  <c:v>490.90742468675</c:v>
                </c:pt>
                <c:pt idx="17">
                  <c:v>492.9979410217</c:v>
                </c:pt>
                <c:pt idx="18">
                  <c:v>494.98837406683</c:v>
                </c:pt>
                <c:pt idx="19">
                  <c:v>496.90618196399</c:v>
                </c:pt>
                <c:pt idx="20">
                  <c:v>498.76952601081</c:v>
                </c:pt>
                <c:pt idx="21">
                  <c:v>500.58352803985</c:v>
                </c:pt>
                <c:pt idx="22">
                  <c:v>502.35903402489</c:v>
                </c:pt>
                <c:pt idx="23">
                  <c:v>504.09966061882</c:v>
                </c:pt>
                <c:pt idx="24">
                  <c:v>505.80792000759</c:v>
                </c:pt>
                <c:pt idx="25">
                  <c:v>507.48641372521</c:v>
                </c:pt>
                <c:pt idx="26">
                  <c:v>509.13830310303</c:v>
                </c:pt>
                <c:pt idx="27">
                  <c:v>510.76745833028</c:v>
                </c:pt>
                <c:pt idx="28">
                  <c:v>512.37705518027</c:v>
                </c:pt>
                <c:pt idx="29">
                  <c:v>513.96740465564</c:v>
                </c:pt>
                <c:pt idx="30">
                  <c:v>515.54112656204</c:v>
                </c:pt>
                <c:pt idx="31">
                  <c:v>517.09920632393</c:v>
                </c:pt>
                <c:pt idx="32">
                  <c:v>518.64338135225</c:v>
                </c:pt>
                <c:pt idx="33">
                  <c:v>520.17386762255</c:v>
                </c:pt>
                <c:pt idx="34">
                  <c:v>521.69139657138</c:v>
                </c:pt>
                <c:pt idx="35">
                  <c:v>523.19660249508</c:v>
                </c:pt>
                <c:pt idx="36">
                  <c:v>524.69015254193</c:v>
                </c:pt>
                <c:pt idx="37">
                  <c:v>526.17296179201</c:v>
                </c:pt>
                <c:pt idx="38">
                  <c:v>527.64514272328</c:v>
                </c:pt>
                <c:pt idx="39">
                  <c:v>529.10769083452</c:v>
                </c:pt>
                <c:pt idx="40">
                  <c:v>530.55965961582</c:v>
                </c:pt>
                <c:pt idx="41">
                  <c:v>532.00133654948</c:v>
                </c:pt>
                <c:pt idx="42">
                  <c:v>533.43342364873</c:v>
                </c:pt>
                <c:pt idx="43">
                  <c:v>534.85628877156</c:v>
                </c:pt>
                <c:pt idx="44">
                  <c:v>536.26962224021</c:v>
                </c:pt>
                <c:pt idx="45">
                  <c:v>537.67473890146</c:v>
                </c:pt>
                <c:pt idx="46">
                  <c:v>539.07056822551</c:v>
                </c:pt>
                <c:pt idx="47">
                  <c:v>540.4587142559</c:v>
                </c:pt>
                <c:pt idx="48">
                  <c:v>541.83856086006</c:v>
                </c:pt>
                <c:pt idx="49">
                  <c:v>543.2111656856</c:v>
                </c:pt>
                <c:pt idx="50">
                  <c:v>544.57554130338</c:v>
                </c:pt>
                <c:pt idx="51">
                  <c:v>545.93287420098</c:v>
                </c:pt>
                <c:pt idx="52">
                  <c:v>547.28273429312</c:v>
                </c:pt>
                <c:pt idx="53">
                  <c:v>548.62503620236</c:v>
                </c:pt>
                <c:pt idx="54">
                  <c:v>549.96079238255</c:v>
                </c:pt>
                <c:pt idx="55">
                  <c:v>551.29036663539</c:v>
                </c:pt>
                <c:pt idx="56">
                  <c:v>552.61304371271</c:v>
                </c:pt>
                <c:pt idx="57">
                  <c:v>553.92905429874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Exp!$M$2</c:f>
              <c:strCache>
                <c:ptCount val="1"/>
                <c:pt idx="0">
                  <c:v>723K 2014 Singh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Exp!$M$3:$M$30</c:f>
              <c:numCache>
                <c:formatCode>General</c:formatCode>
                <c:ptCount val="28"/>
                <c:pt idx="0">
                  <c:v>0.00231</c:v>
                </c:pt>
                <c:pt idx="1">
                  <c:v>0.00259</c:v>
                </c:pt>
                <c:pt idx="2">
                  <c:v>0.00291</c:v>
                </c:pt>
                <c:pt idx="3">
                  <c:v>0.00324</c:v>
                </c:pt>
                <c:pt idx="4">
                  <c:v>0.00363</c:v>
                </c:pt>
                <c:pt idx="5">
                  <c:v>0.00406</c:v>
                </c:pt>
                <c:pt idx="6">
                  <c:v>0.00454</c:v>
                </c:pt>
                <c:pt idx="7">
                  <c:v>0.00508</c:v>
                </c:pt>
                <c:pt idx="8">
                  <c:v>0.00568</c:v>
                </c:pt>
                <c:pt idx="9">
                  <c:v>0.00635</c:v>
                </c:pt>
                <c:pt idx="10">
                  <c:v>0.00711</c:v>
                </c:pt>
                <c:pt idx="11">
                  <c:v>0.00795</c:v>
                </c:pt>
                <c:pt idx="12">
                  <c:v>0.00889</c:v>
                </c:pt>
                <c:pt idx="13">
                  <c:v>0.00995</c:v>
                </c:pt>
                <c:pt idx="14">
                  <c:v>0.01113</c:v>
                </c:pt>
                <c:pt idx="15">
                  <c:v>0.01245</c:v>
                </c:pt>
                <c:pt idx="16">
                  <c:v>0.01392</c:v>
                </c:pt>
                <c:pt idx="17">
                  <c:v>0.01558</c:v>
                </c:pt>
                <c:pt idx="18">
                  <c:v>0.01742</c:v>
                </c:pt>
                <c:pt idx="19">
                  <c:v>0.01949</c:v>
                </c:pt>
                <c:pt idx="20">
                  <c:v>0.0218</c:v>
                </c:pt>
                <c:pt idx="21">
                  <c:v>0.02439</c:v>
                </c:pt>
                <c:pt idx="22">
                  <c:v>0.02728</c:v>
                </c:pt>
                <c:pt idx="23">
                  <c:v>0.03052</c:v>
                </c:pt>
                <c:pt idx="24">
                  <c:v>0.03414</c:v>
                </c:pt>
                <c:pt idx="25">
                  <c:v>0.03819</c:v>
                </c:pt>
                <c:pt idx="26">
                  <c:v>0.04272</c:v>
                </c:pt>
                <c:pt idx="27">
                  <c:v>0.04779</c:v>
                </c:pt>
              </c:numCache>
            </c:numRef>
          </c:xVal>
          <c:yVal>
            <c:numRef>
              <c:f>Exp!$N$3:$N$31</c:f>
              <c:numCache>
                <c:formatCode>General</c:formatCode>
                <c:ptCount val="29"/>
                <c:pt idx="0">
                  <c:v>448.23921</c:v>
                </c:pt>
                <c:pt idx="1">
                  <c:v>452.40283</c:v>
                </c:pt>
                <c:pt idx="2">
                  <c:v>457.36345</c:v>
                </c:pt>
                <c:pt idx="3">
                  <c:v>460.4656</c:v>
                </c:pt>
                <c:pt idx="4">
                  <c:v>465.00311</c:v>
                </c:pt>
                <c:pt idx="5">
                  <c:v>468.78553</c:v>
                </c:pt>
                <c:pt idx="6">
                  <c:v>472.95524</c:v>
                </c:pt>
                <c:pt idx="7">
                  <c:v>476.58667</c:v>
                </c:pt>
                <c:pt idx="8">
                  <c:v>480.02872</c:v>
                </c:pt>
                <c:pt idx="9">
                  <c:v>483.95422</c:v>
                </c:pt>
                <c:pt idx="10">
                  <c:v>489.56507</c:v>
                </c:pt>
                <c:pt idx="11">
                  <c:v>493.47286</c:v>
                </c:pt>
                <c:pt idx="12">
                  <c:v>497.712</c:v>
                </c:pt>
                <c:pt idx="13">
                  <c:v>502.21475</c:v>
                </c:pt>
                <c:pt idx="14">
                  <c:v>505.8419</c:v>
                </c:pt>
                <c:pt idx="15">
                  <c:v>510.57218</c:v>
                </c:pt>
                <c:pt idx="16">
                  <c:v>514.88056</c:v>
                </c:pt>
                <c:pt idx="17">
                  <c:v>519.46027</c:v>
                </c:pt>
                <c:pt idx="18">
                  <c:v>524.23883</c:v>
                </c:pt>
                <c:pt idx="19">
                  <c:v>529.30078</c:v>
                </c:pt>
                <c:pt idx="20">
                  <c:v>534.65347</c:v>
                </c:pt>
                <c:pt idx="21">
                  <c:v>539.97884</c:v>
                </c:pt>
                <c:pt idx="22">
                  <c:v>545.275</c:v>
                </c:pt>
                <c:pt idx="23">
                  <c:v>551.20474</c:v>
                </c:pt>
                <c:pt idx="24">
                  <c:v>557.03091</c:v>
                </c:pt>
                <c:pt idx="25">
                  <c:v>562.57917</c:v>
                </c:pt>
                <c:pt idx="26">
                  <c:v>568.52557</c:v>
                </c:pt>
                <c:pt idx="27">
                  <c:v>574.01515</c:v>
                </c:pt>
                <c:pt idx="28">
                  <c:v>579.82002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Exp!$S$2</c:f>
              <c:strCache>
                <c:ptCount val="1"/>
                <c:pt idx="0">
                  <c:v>573K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Exp!$S$3:$S$19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Exp!$T$3:$T$19</c:f>
              <c:numCache>
                <c:formatCode>General</c:formatCode>
                <c:ptCount val="17"/>
                <c:pt idx="0">
                  <c:v>474.289681235917</c:v>
                </c:pt>
                <c:pt idx="1">
                  <c:v>527.883459464422</c:v>
                </c:pt>
                <c:pt idx="2">
                  <c:v>547.26300261885</c:v>
                </c:pt>
                <c:pt idx="3">
                  <c:v>561.442961094595</c:v>
                </c:pt>
                <c:pt idx="4">
                  <c:v>572.694325207371</c:v>
                </c:pt>
                <c:pt idx="5">
                  <c:v>582.05453339944</c:v>
                </c:pt>
                <c:pt idx="6">
                  <c:v>590.087730607861</c:v>
                </c:pt>
                <c:pt idx="7">
                  <c:v>597.135964219224</c:v>
                </c:pt>
                <c:pt idx="8">
                  <c:v>603.422793279546</c:v>
                </c:pt>
                <c:pt idx="9">
                  <c:v>609.102619113544</c:v>
                </c:pt>
                <c:pt idx="10">
                  <c:v>614.28668876971</c:v>
                </c:pt>
                <c:pt idx="11">
                  <c:v>619.057890318952</c:v>
                </c:pt>
                <c:pt idx="12">
                  <c:v>623.479688622804</c:v>
                </c:pt>
                <c:pt idx="13">
                  <c:v>627.601787550224</c:v>
                </c:pt>
                <c:pt idx="14">
                  <c:v>631.463862454191</c:v>
                </c:pt>
                <c:pt idx="15">
                  <c:v>635.098103409913</c:v>
                </c:pt>
                <c:pt idx="16">
                  <c:v>638.530997640319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'573K'!$K$2:$K$280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7.7492133262395e-6</c:v>
                </c:pt>
                <c:pt idx="2" c:formatCode="0.00E+00">
                  <c:v>5.5330619976925e-5</c:v>
                </c:pt>
                <c:pt idx="3">
                  <c:v>0.00029995442567448</c:v>
                </c:pt>
                <c:pt idx="4">
                  <c:v>0.00061986017284069</c:v>
                </c:pt>
                <c:pt idx="5">
                  <c:v>0.0012193015256204</c:v>
                </c:pt>
                <c:pt idx="6">
                  <c:v>0.0018183789379283</c:v>
                </c:pt>
                <c:pt idx="7">
                  <c:v>0.002417091890769</c:v>
                </c:pt>
                <c:pt idx="8">
                  <c:v>0.0030154415514307</c:v>
                </c:pt>
                <c:pt idx="9">
                  <c:v>0.0036134265063224</c:v>
                </c:pt>
                <c:pt idx="10">
                  <c:v>0.0042110451610025</c:v>
                </c:pt>
                <c:pt idx="11">
                  <c:v>0.0048082991394792</c:v>
                </c:pt>
                <c:pt idx="12">
                  <c:v>0.0054051894827613</c:v>
                </c:pt>
                <c:pt idx="13">
                  <c:v>0.0060017172708263</c:v>
                </c:pt>
                <c:pt idx="14">
                  <c:v>0.006597884294791</c:v>
                </c:pt>
                <c:pt idx="15">
                  <c:v>0.0071936911731359</c:v>
                </c:pt>
                <c:pt idx="16">
                  <c:v>0.0077891378574936</c:v>
                </c:pt>
                <c:pt idx="17">
                  <c:v>0.0083842245741067</c:v>
                </c:pt>
                <c:pt idx="18">
                  <c:v>0.0089789518549643</c:v>
                </c:pt>
                <c:pt idx="19">
                  <c:v>0.0095733203316283</c:v>
                </c:pt>
                <c:pt idx="20">
                  <c:v>0.010167330385009</c:v>
                </c:pt>
                <c:pt idx="21">
                  <c:v>0.010760982332296</c:v>
                </c:pt>
                <c:pt idx="22">
                  <c:v>0.011354276664808</c:v>
                </c:pt>
                <c:pt idx="23">
                  <c:v>0.011947214002507</c:v>
                </c:pt>
                <c:pt idx="24">
                  <c:v>0.012539794912481</c:v>
                </c:pt>
                <c:pt idx="25">
                  <c:v>0.013132019934785</c:v>
                </c:pt>
                <c:pt idx="26">
                  <c:v>0.013723889747406</c:v>
                </c:pt>
                <c:pt idx="27">
                  <c:v>0.014315404939531</c:v>
                </c:pt>
                <c:pt idx="28">
                  <c:v>0.014906565920669</c:v>
                </c:pt>
                <c:pt idx="29">
                  <c:v>0.015497373101231</c:v>
                </c:pt>
                <c:pt idx="30">
                  <c:v>0.016087826808789</c:v>
                </c:pt>
                <c:pt idx="31">
                  <c:v>0.01667792736792</c:v>
                </c:pt>
                <c:pt idx="32">
                  <c:v>0.017267675069325</c:v>
                </c:pt>
                <c:pt idx="33">
                  <c:v>0.017857070204312</c:v>
                </c:pt>
                <c:pt idx="34">
                  <c:v>0.018446113079356</c:v>
                </c:pt>
                <c:pt idx="35">
                  <c:v>0.019034804032859</c:v>
                </c:pt>
                <c:pt idx="36">
                  <c:v>0.019623143434081</c:v>
                </c:pt>
                <c:pt idx="37">
                  <c:v>0.020211131649138</c:v>
                </c:pt>
                <c:pt idx="38">
                  <c:v>0.020798769105117</c:v>
                </c:pt>
                <c:pt idx="39">
                  <c:v>0.021386056196138</c:v>
                </c:pt>
                <c:pt idx="40">
                  <c:v>0.021972993328618</c:v>
                </c:pt>
                <c:pt idx="41">
                  <c:v>0.022559580904749</c:v>
                </c:pt>
                <c:pt idx="42">
                  <c:v>0.023145819316671</c:v>
                </c:pt>
                <c:pt idx="43">
                  <c:v>0.023731708987898</c:v>
                </c:pt>
                <c:pt idx="44">
                  <c:v>0.024317250320102</c:v>
                </c:pt>
                <c:pt idx="45">
                  <c:v>0.024902443716389</c:v>
                </c:pt>
                <c:pt idx="46">
                  <c:v>0.025487289584539</c:v>
                </c:pt>
                <c:pt idx="47">
                  <c:v>0.026071788326845</c:v>
                </c:pt>
                <c:pt idx="48">
                  <c:v>0.026655940329656</c:v>
                </c:pt>
                <c:pt idx="49">
                  <c:v>0.027239745963009</c:v>
                </c:pt>
                <c:pt idx="50">
                  <c:v>0.027823205584449</c:v>
                </c:pt>
                <c:pt idx="51">
                  <c:v>0.028406319562431</c:v>
                </c:pt>
                <c:pt idx="52">
                  <c:v>0.028989088243503</c:v>
                </c:pt>
                <c:pt idx="53">
                  <c:v>0.029571512012215</c:v>
                </c:pt>
                <c:pt idx="54">
                  <c:v>0.030153591246983</c:v>
                </c:pt>
                <c:pt idx="55">
                  <c:v>0.030735326356528</c:v>
                </c:pt>
                <c:pt idx="56">
                  <c:v>0.031316717731712</c:v>
                </c:pt>
                <c:pt idx="57">
                  <c:v>0.031897765798027</c:v>
                </c:pt>
                <c:pt idx="58">
                  <c:v>0.032478470975171</c:v>
                </c:pt>
                <c:pt idx="59">
                  <c:v>0.033058833691384</c:v>
                </c:pt>
                <c:pt idx="60">
                  <c:v>0.033638854366644</c:v>
                </c:pt>
                <c:pt idx="61">
                  <c:v>0.034218533403054</c:v>
                </c:pt>
                <c:pt idx="62">
                  <c:v>0.0347978711992</c:v>
                </c:pt>
                <c:pt idx="63">
                  <c:v>0.035376868163043</c:v>
                </c:pt>
                <c:pt idx="64">
                  <c:v>0.035955524680949</c:v>
                </c:pt>
                <c:pt idx="65">
                  <c:v>0.036533841142384</c:v>
                </c:pt>
                <c:pt idx="66">
                  <c:v>0.037111817937837</c:v>
                </c:pt>
                <c:pt idx="67">
                  <c:v>0.037689455466571</c:v>
                </c:pt>
                <c:pt idx="68">
                  <c:v>0.038266754132578</c:v>
                </c:pt>
                <c:pt idx="69">
                  <c:v>0.038843714332878</c:v>
                </c:pt>
                <c:pt idx="70">
                  <c:v>0.039420336442963</c:v>
                </c:pt>
                <c:pt idx="71">
                  <c:v>0.039996620874851</c:v>
                </c:pt>
                <c:pt idx="72">
                  <c:v>0.04057256802915</c:v>
                </c:pt>
                <c:pt idx="73">
                  <c:v>0.041148178302063</c:v>
                </c:pt>
                <c:pt idx="74">
                  <c:v>0.041723452092928</c:v>
                </c:pt>
                <c:pt idx="75">
                  <c:v>0.042298389795083</c:v>
                </c:pt>
                <c:pt idx="76">
                  <c:v>0.042872991809411</c:v>
                </c:pt>
                <c:pt idx="77">
                  <c:v>0.043447258542173</c:v>
                </c:pt>
                <c:pt idx="78">
                  <c:v>0.044021190391461</c:v>
                </c:pt>
                <c:pt idx="79">
                  <c:v>0.044594787755875</c:v>
                </c:pt>
                <c:pt idx="80">
                  <c:v>0.045168051028433</c:v>
                </c:pt>
                <c:pt idx="81">
                  <c:v>0.045740980627114</c:v>
                </c:pt>
                <c:pt idx="82">
                  <c:v>0.046313576942772</c:v>
                </c:pt>
                <c:pt idx="83">
                  <c:v>0.046885840375739</c:v>
                </c:pt>
                <c:pt idx="84">
                  <c:v>0.047457771328507</c:v>
                </c:pt>
                <c:pt idx="85">
                  <c:v>0.048029370198759</c:v>
                </c:pt>
                <c:pt idx="86">
                  <c:v>0.048600637387236</c:v>
                </c:pt>
                <c:pt idx="87">
                  <c:v>0.049171573273374</c:v>
                </c:pt>
                <c:pt idx="88">
                  <c:v>0.049723111356618</c:v>
                </c:pt>
              </c:numCache>
            </c:numRef>
          </c:xVal>
          <c:yVal>
            <c:numRef>
              <c:f>'573K'!$N$2:$N$230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1.7694987586654</c:v>
                </c:pt>
                <c:pt idx="2">
                  <c:v>12.63811932424</c:v>
                </c:pt>
                <c:pt idx="3">
                  <c:v>68.6249120697</c:v>
                </c:pt>
                <c:pt idx="4">
                  <c:v>142.08960225838</c:v>
                </c:pt>
                <c:pt idx="5">
                  <c:v>280.62322067128</c:v>
                </c:pt>
                <c:pt idx="6">
                  <c:v>416.24673479051</c:v>
                </c:pt>
                <c:pt idx="7">
                  <c:v>482.86201128663</c:v>
                </c:pt>
                <c:pt idx="8">
                  <c:v>506.32158394002</c:v>
                </c:pt>
                <c:pt idx="9">
                  <c:v>519.97926456085</c:v>
                </c:pt>
                <c:pt idx="10">
                  <c:v>529.16204429346</c:v>
                </c:pt>
                <c:pt idx="11">
                  <c:v>535.49342980853</c:v>
                </c:pt>
                <c:pt idx="12">
                  <c:v>540.27752621504</c:v>
                </c:pt>
                <c:pt idx="13">
                  <c:v>544.17405454924</c:v>
                </c:pt>
                <c:pt idx="14">
                  <c:v>547.50587661487</c:v>
                </c:pt>
                <c:pt idx="15">
                  <c:v>550.48146762786</c:v>
                </c:pt>
                <c:pt idx="16">
                  <c:v>553.21702164379</c:v>
                </c:pt>
                <c:pt idx="17">
                  <c:v>555.77508339021</c:v>
                </c:pt>
                <c:pt idx="18">
                  <c:v>558.19639693849</c:v>
                </c:pt>
                <c:pt idx="19">
                  <c:v>560.50645980028</c:v>
                </c:pt>
                <c:pt idx="20">
                  <c:v>562.73379318397</c:v>
                </c:pt>
                <c:pt idx="21">
                  <c:v>564.89789861027</c:v>
                </c:pt>
                <c:pt idx="22">
                  <c:v>567.01192471502</c:v>
                </c:pt>
                <c:pt idx="23">
                  <c:v>569.08041077446</c:v>
                </c:pt>
                <c:pt idx="24">
                  <c:v>571.10859618372</c:v>
                </c:pt>
                <c:pt idx="25">
                  <c:v>573.10314059654</c:v>
                </c:pt>
                <c:pt idx="26">
                  <c:v>575.06515242691</c:v>
                </c:pt>
                <c:pt idx="27">
                  <c:v>576.99683109233</c:v>
                </c:pt>
                <c:pt idx="28">
                  <c:v>578.90098349674</c:v>
                </c:pt>
                <c:pt idx="29">
                  <c:v>580.78265438314</c:v>
                </c:pt>
                <c:pt idx="30">
                  <c:v>582.64043754902</c:v>
                </c:pt>
                <c:pt idx="31">
                  <c:v>584.4791073811</c:v>
                </c:pt>
                <c:pt idx="32">
                  <c:v>586.29778063351</c:v>
                </c:pt>
                <c:pt idx="33">
                  <c:v>588.10071241986</c:v>
                </c:pt>
                <c:pt idx="34">
                  <c:v>589.88784032919</c:v>
                </c:pt>
                <c:pt idx="35">
                  <c:v>591.66065445944</c:v>
                </c:pt>
                <c:pt idx="36">
                  <c:v>593.4193180708</c:v>
                </c:pt>
                <c:pt idx="37">
                  <c:v>595.16253655335</c:v>
                </c:pt>
                <c:pt idx="38">
                  <c:v>596.89489993914</c:v>
                </c:pt>
                <c:pt idx="39">
                  <c:v>598.61488202048</c:v>
                </c:pt>
                <c:pt idx="40">
                  <c:v>600.32331748224</c:v>
                </c:pt>
                <c:pt idx="41">
                  <c:v>602.02164278223</c:v>
                </c:pt>
                <c:pt idx="42">
                  <c:v>603.70782418307</c:v>
                </c:pt>
                <c:pt idx="43">
                  <c:v>605.38353541872</c:v>
                </c:pt>
                <c:pt idx="44">
                  <c:v>607.04877468058</c:v>
                </c:pt>
                <c:pt idx="45">
                  <c:v>608.70355598888</c:v>
                </c:pt>
                <c:pt idx="46">
                  <c:v>610.34796549335</c:v>
                </c:pt>
                <c:pt idx="47">
                  <c:v>611.98212113789</c:v>
                </c:pt>
                <c:pt idx="48">
                  <c:v>613.60636054335</c:v>
                </c:pt>
                <c:pt idx="49">
                  <c:v>615.22112005365</c:v>
                </c:pt>
                <c:pt idx="50">
                  <c:v>616.82702736177</c:v>
                </c:pt>
                <c:pt idx="51">
                  <c:v>618.42383853753</c:v>
                </c:pt>
                <c:pt idx="52">
                  <c:v>620.01109078355</c:v>
                </c:pt>
                <c:pt idx="53">
                  <c:v>621.59047635368</c:v>
                </c:pt>
                <c:pt idx="54">
                  <c:v>623.16119481415</c:v>
                </c:pt>
                <c:pt idx="55">
                  <c:v>624.72355340344</c:v>
                </c:pt>
                <c:pt idx="56">
                  <c:v>626.27822898022</c:v>
                </c:pt>
                <c:pt idx="57">
                  <c:v>627.82510043804</c:v>
                </c:pt>
                <c:pt idx="58">
                  <c:v>629.36385178669</c:v>
                </c:pt>
                <c:pt idx="59">
                  <c:v>630.89533221254</c:v>
                </c:pt>
                <c:pt idx="60">
                  <c:v>632.41944637173</c:v>
                </c:pt>
                <c:pt idx="61">
                  <c:v>633.93650111397</c:v>
                </c:pt>
                <c:pt idx="62">
                  <c:v>635.44583423615</c:v>
                </c:pt>
                <c:pt idx="63">
                  <c:v>636.9479947174</c:v>
                </c:pt>
                <c:pt idx="64">
                  <c:v>638.44345877474</c:v>
                </c:pt>
                <c:pt idx="65">
                  <c:v>639.93208416433</c:v>
                </c:pt>
                <c:pt idx="66">
                  <c:v>641.41414384292</c:v>
                </c:pt>
                <c:pt idx="67">
                  <c:v>642.88972421184</c:v>
                </c:pt>
                <c:pt idx="68">
                  <c:v>644.3585915454</c:v>
                </c:pt>
                <c:pt idx="69">
                  <c:v>645.82098516842</c:v>
                </c:pt>
                <c:pt idx="70">
                  <c:v>647.2765689583</c:v>
                </c:pt>
                <c:pt idx="71">
                  <c:v>648.72578241794</c:v>
                </c:pt>
                <c:pt idx="72">
                  <c:v>650.16904529547</c:v>
                </c:pt>
                <c:pt idx="73">
                  <c:v>651.60583807753</c:v>
                </c:pt>
                <c:pt idx="74">
                  <c:v>653.03681508986</c:v>
                </c:pt>
                <c:pt idx="75">
                  <c:v>654.4615287416</c:v>
                </c:pt>
                <c:pt idx="76">
                  <c:v>655.88019897689</c:v>
                </c:pt>
                <c:pt idx="77">
                  <c:v>657.2934679915</c:v>
                </c:pt>
                <c:pt idx="78">
                  <c:v>658.70092257083</c:v>
                </c:pt>
                <c:pt idx="79">
                  <c:v>660.10186066172</c:v>
                </c:pt>
                <c:pt idx="80">
                  <c:v>661.49732956516</c:v>
                </c:pt>
                <c:pt idx="81">
                  <c:v>662.88705837164</c:v>
                </c:pt>
                <c:pt idx="82">
                  <c:v>664.27065614265</c:v>
                </c:pt>
                <c:pt idx="83">
                  <c:v>665.64891304305</c:v>
                </c:pt>
                <c:pt idx="84">
                  <c:v>667.02157348817</c:v>
                </c:pt>
                <c:pt idx="85">
                  <c:v>668.38850981939</c:v>
                </c:pt>
                <c:pt idx="86">
                  <c:v>669.75047624568</c:v>
                </c:pt>
                <c:pt idx="87">
                  <c:v>671.10699760439</c:v>
                </c:pt>
                <c:pt idx="88">
                  <c:v>672.43520735717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Exp!$V$2</c:f>
              <c:strCache>
                <c:ptCount val="1"/>
                <c:pt idx="0">
                  <c:v>473K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Exp!$V$3:$V$19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Exp!$W$3:$W$19</c:f>
              <c:numCache>
                <c:formatCode>General</c:formatCode>
                <c:ptCount val="17"/>
                <c:pt idx="0">
                  <c:v>481.332546568632</c:v>
                </c:pt>
                <c:pt idx="1">
                  <c:v>544.585964245692</c:v>
                </c:pt>
                <c:pt idx="2">
                  <c:v>567.707461883112</c:v>
                </c:pt>
                <c:pt idx="3">
                  <c:v>584.705353244797</c:v>
                </c:pt>
                <c:pt idx="4">
                  <c:v>598.239647420862</c:v>
                </c:pt>
                <c:pt idx="5">
                  <c:v>609.530200617355</c:v>
                </c:pt>
                <c:pt idx="6">
                  <c:v>619.242309807394</c:v>
                </c:pt>
                <c:pt idx="7">
                  <c:v>627.780318552026</c:v>
                </c:pt>
                <c:pt idx="8">
                  <c:v>635.409037052353</c:v>
                </c:pt>
                <c:pt idx="9">
                  <c:v>642.311677743583</c:v>
                </c:pt>
                <c:pt idx="10">
                  <c:v>648.620450875041</c:v>
                </c:pt>
                <c:pt idx="11">
                  <c:v>654.434000624652</c:v>
                </c:pt>
                <c:pt idx="12">
                  <c:v>659.827950881944</c:v>
                </c:pt>
                <c:pt idx="13">
                  <c:v>664.861596279968</c:v>
                </c:pt>
                <c:pt idx="14">
                  <c:v>669.582318036353</c:v>
                </c:pt>
                <c:pt idx="15">
                  <c:v>674.028596068425</c:v>
                </c:pt>
                <c:pt idx="16">
                  <c:v>678.23212213654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"Sim_473K"</c:f>
              <c:strCache>
                <c:ptCount val="1"/>
                <c:pt idx="0">
                  <c:v>Sim_473K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'473K'!$K$2:$K$280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7.7492133919981e-6</c:v>
                </c:pt>
                <c:pt idx="2" c:formatCode="0.00E+00">
                  <c:v>5.5330623329729e-5</c:v>
                </c:pt>
                <c:pt idx="3">
                  <c:v>0.00029995452417871</c:v>
                </c:pt>
                <c:pt idx="4">
                  <c:v>0.00061986059329908</c:v>
                </c:pt>
                <c:pt idx="5">
                  <c:v>0.0012193031512571</c:v>
                </c:pt>
                <c:pt idx="6">
                  <c:v>0.0018183826987383</c:v>
                </c:pt>
                <c:pt idx="7">
                  <c:v>0.0024170986273128</c:v>
                </c:pt>
                <c:pt idx="8">
                  <c:v>0.0030154510461762</c:v>
                </c:pt>
                <c:pt idx="9">
                  <c:v>0.003613440369261</c:v>
                </c:pt>
                <c:pt idx="10">
                  <c:v>0.0042110635662302</c:v>
                </c:pt>
                <c:pt idx="11">
                  <c:v>0.004808320620559</c:v>
                </c:pt>
                <c:pt idx="12">
                  <c:v>0.0054052139472031</c:v>
                </c:pt>
                <c:pt idx="13">
                  <c:v>0.0060017438902797</c:v>
                </c:pt>
                <c:pt idx="14">
                  <c:v>0.0065979116305033</c:v>
                </c:pt>
                <c:pt idx="15">
                  <c:v>0.0071937192377039</c:v>
                </c:pt>
                <c:pt idx="16">
                  <c:v>0.0077891672253383</c:v>
                </c:pt>
                <c:pt idx="17">
                  <c:v>0.0083842553804395</c:v>
                </c:pt>
                <c:pt idx="18">
                  <c:v>0.0089789838293833</c:v>
                </c:pt>
                <c:pt idx="19">
                  <c:v>0.0095733531182029</c:v>
                </c:pt>
                <c:pt idx="20">
                  <c:v>0.01016736388703</c:v>
                </c:pt>
                <c:pt idx="21">
                  <c:v>0.01076101676617</c:v>
                </c:pt>
                <c:pt idx="22">
                  <c:v>0.011354312141642</c:v>
                </c:pt>
                <c:pt idx="23">
                  <c:v>0.01194725032501</c:v>
                </c:pt>
                <c:pt idx="24">
                  <c:v>0.012539831825118</c:v>
                </c:pt>
                <c:pt idx="25">
                  <c:v>0.013132057295196</c:v>
                </c:pt>
                <c:pt idx="26">
                  <c:v>0.013723927260845</c:v>
                </c:pt>
                <c:pt idx="27">
                  <c:v>0.014315442203439</c:v>
                </c:pt>
                <c:pt idx="28">
                  <c:v>0.014906602734725</c:v>
                </c:pt>
                <c:pt idx="29">
                  <c:v>0.015497409475197</c:v>
                </c:pt>
                <c:pt idx="30">
                  <c:v>0.016087862769541</c:v>
                </c:pt>
                <c:pt idx="31">
                  <c:v>0.01667796306537</c:v>
                </c:pt>
                <c:pt idx="32">
                  <c:v>0.017267710867544</c:v>
                </c:pt>
                <c:pt idx="33">
                  <c:v>0.017857106577328</c:v>
                </c:pt>
                <c:pt idx="34">
                  <c:v>0.018446150519976</c:v>
                </c:pt>
                <c:pt idx="35">
                  <c:v>0.019034842987279</c:v>
                </c:pt>
                <c:pt idx="36">
                  <c:v>0.019623184229617</c:v>
                </c:pt>
                <c:pt idx="37">
                  <c:v>0.020211174538581</c:v>
                </c:pt>
                <c:pt idx="38">
                  <c:v>0.020798814215016</c:v>
                </c:pt>
                <c:pt idx="39">
                  <c:v>0.021386103669892</c:v>
                </c:pt>
                <c:pt idx="40">
                  <c:v>0.021973043247037</c:v>
                </c:pt>
                <c:pt idx="41">
                  <c:v>0.02255963335298</c:v>
                </c:pt>
                <c:pt idx="42">
                  <c:v>0.023145874396084</c:v>
                </c:pt>
                <c:pt idx="43">
                  <c:v>0.023731766778363</c:v>
                </c:pt>
                <c:pt idx="44">
                  <c:v>0.024317310912417</c:v>
                </c:pt>
                <c:pt idx="45">
                  <c:v>0.024902507218862</c:v>
                </c:pt>
                <c:pt idx="46">
                  <c:v>0.025487356111341</c:v>
                </c:pt>
                <c:pt idx="47">
                  <c:v>0.026071857999232</c:v>
                </c:pt>
                <c:pt idx="48">
                  <c:v>0.026656013299664</c:v>
                </c:pt>
                <c:pt idx="49">
                  <c:v>0.027239822405423</c:v>
                </c:pt>
                <c:pt idx="50">
                  <c:v>0.027823285723035</c:v>
                </c:pt>
                <c:pt idx="51">
                  <c:v>0.028406403653879</c:v>
                </c:pt>
                <c:pt idx="52">
                  <c:v>0.028989176573488</c:v>
                </c:pt>
                <c:pt idx="53">
                  <c:v>0.029571604893461</c:v>
                </c:pt>
                <c:pt idx="54">
                  <c:v>0.030153688979561</c:v>
                </c:pt>
                <c:pt idx="55">
                  <c:v>0.030735429226188</c:v>
                </c:pt>
                <c:pt idx="56">
                  <c:v>0.031316825953123</c:v>
                </c:pt>
                <c:pt idx="57">
                  <c:v>0.031897879524925</c:v>
                </c:pt>
                <c:pt idx="58">
                  <c:v>0.032478590301767</c:v>
                </c:pt>
                <c:pt idx="59">
                  <c:v>0.033058958655449</c:v>
                </c:pt>
                <c:pt idx="60">
                  <c:v>0.033638984943578</c:v>
                </c:pt>
                <c:pt idx="61">
                  <c:v>0.034218669524193</c:v>
                </c:pt>
                <c:pt idx="62">
                  <c:v>0.034798012783381</c:v>
                </c:pt>
                <c:pt idx="63">
                  <c:v>0.035377015111318</c:v>
                </c:pt>
                <c:pt idx="64">
                  <c:v>0.035955676919614</c:v>
                </c:pt>
                <c:pt idx="65">
                  <c:v>0.036533998616307</c:v>
                </c:pt>
                <c:pt idx="66">
                  <c:v>0.037111980618489</c:v>
                </c:pt>
                <c:pt idx="67">
                  <c:v>0.037689623350649</c:v>
                </c:pt>
                <c:pt idx="68">
                  <c:v>0.038266927210701</c:v>
                </c:pt>
                <c:pt idx="69">
                  <c:v>0.038843892604958</c:v>
                </c:pt>
                <c:pt idx="70">
                  <c:v>0.039420519924928</c:v>
                </c:pt>
              </c:numCache>
            </c:numRef>
          </c:xVal>
          <c:yVal>
            <c:numRef>
              <c:f>'473K'!$N$2:$N$230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1.8236769201752</c:v>
                </c:pt>
                <c:pt idx="2">
                  <c:v>13.025053372764</c:v>
                </c:pt>
                <c:pt idx="3">
                  <c:v>70.725428155972</c:v>
                </c:pt>
                <c:pt idx="4">
                  <c:v>146.43745190292</c:v>
                </c:pt>
                <c:pt idx="5">
                  <c:v>289.20477135265</c:v>
                </c:pt>
                <c:pt idx="6">
                  <c:v>432.53529382352</c:v>
                </c:pt>
                <c:pt idx="7">
                  <c:v>530.01584995467</c:v>
                </c:pt>
                <c:pt idx="8">
                  <c:v>562.29636827804</c:v>
                </c:pt>
                <c:pt idx="9">
                  <c:v>580.47465944757</c:v>
                </c:pt>
                <c:pt idx="10">
                  <c:v>592.8264863545</c:v>
                </c:pt>
                <c:pt idx="11">
                  <c:v>601.67743012435</c:v>
                </c:pt>
                <c:pt idx="12">
                  <c:v>608.18255188632</c:v>
                </c:pt>
                <c:pt idx="13">
                  <c:v>613.32883715464</c:v>
                </c:pt>
                <c:pt idx="14">
                  <c:v>617.63353510237</c:v>
                </c:pt>
                <c:pt idx="15">
                  <c:v>621.37959837661</c:v>
                </c:pt>
                <c:pt idx="16">
                  <c:v>624.76857552502</c:v>
                </c:pt>
                <c:pt idx="17">
                  <c:v>627.91596149162</c:v>
                </c:pt>
                <c:pt idx="18">
                  <c:v>630.87975545871</c:v>
                </c:pt>
                <c:pt idx="19">
                  <c:v>633.70047876457</c:v>
                </c:pt>
                <c:pt idx="20">
                  <c:v>636.40524469508</c:v>
                </c:pt>
                <c:pt idx="21">
                  <c:v>639.01096639074</c:v>
                </c:pt>
                <c:pt idx="22">
                  <c:v>641.53963911748</c:v>
                </c:pt>
                <c:pt idx="23">
                  <c:v>644.00630076778</c:v>
                </c:pt>
                <c:pt idx="24">
                  <c:v>646.42312417658</c:v>
                </c:pt>
                <c:pt idx="25">
                  <c:v>648.79354462173</c:v>
                </c:pt>
                <c:pt idx="26">
                  <c:v>651.12466275657</c:v>
                </c:pt>
                <c:pt idx="27">
                  <c:v>653.42323800695</c:v>
                </c:pt>
                <c:pt idx="28">
                  <c:v>655.68498618907</c:v>
                </c:pt>
                <c:pt idx="29">
                  <c:v>657.91866601652</c:v>
                </c:pt>
                <c:pt idx="30">
                  <c:v>660.12249983195</c:v>
                </c:pt>
                <c:pt idx="31">
                  <c:v>662.3006234955</c:v>
                </c:pt>
                <c:pt idx="32">
                  <c:v>664.45510769182</c:v>
                </c:pt>
                <c:pt idx="33">
                  <c:v>666.58658912173</c:v>
                </c:pt>
                <c:pt idx="34">
                  <c:v>668.69435040485</c:v>
                </c:pt>
                <c:pt idx="35">
                  <c:v>670.78504146623</c:v>
                </c:pt>
                <c:pt idx="36">
                  <c:v>672.85758557032</c:v>
                </c:pt>
                <c:pt idx="37">
                  <c:v>674.91358655937</c:v>
                </c:pt>
                <c:pt idx="38">
                  <c:v>676.95340834573</c:v>
                </c:pt>
                <c:pt idx="39">
                  <c:v>678.98058537308</c:v>
                </c:pt>
                <c:pt idx="40">
                  <c:v>680.99129410395</c:v>
                </c:pt>
                <c:pt idx="41">
                  <c:v>682.98852825697</c:v>
                </c:pt>
                <c:pt idx="42">
                  <c:v>684.97326261565</c:v>
                </c:pt>
                <c:pt idx="43">
                  <c:v>686.94609055816</c:v>
                </c:pt>
                <c:pt idx="44">
                  <c:v>688.906402217</c:v>
                </c:pt>
                <c:pt idx="45">
                  <c:v>690.85434099068</c:v>
                </c:pt>
                <c:pt idx="46">
                  <c:v>692.79004931413</c:v>
                </c:pt>
                <c:pt idx="47">
                  <c:v>694.71518208852</c:v>
                </c:pt>
                <c:pt idx="48">
                  <c:v>696.62915267257</c:v>
                </c:pt>
                <c:pt idx="49">
                  <c:v>698.5318838247</c:v>
                </c:pt>
                <c:pt idx="50">
                  <c:v>700.42402264027</c:v>
                </c:pt>
                <c:pt idx="51">
                  <c:v>702.30582146859</c:v>
                </c:pt>
                <c:pt idx="52">
                  <c:v>704.17574122333</c:v>
                </c:pt>
                <c:pt idx="53">
                  <c:v>706.03603986929</c:v>
                </c:pt>
                <c:pt idx="54">
                  <c:v>707.88559096174</c:v>
                </c:pt>
                <c:pt idx="55">
                  <c:v>709.72655986845</c:v>
                </c:pt>
                <c:pt idx="56">
                  <c:v>711.55617272485</c:v>
                </c:pt>
                <c:pt idx="57">
                  <c:v>713.37673419269</c:v>
                </c:pt>
                <c:pt idx="58">
                  <c:v>715.1874745229</c:v>
                </c:pt>
                <c:pt idx="59">
                  <c:v>716.9892165476</c:v>
                </c:pt>
                <c:pt idx="60">
                  <c:v>718.78194078975</c:v>
                </c:pt>
                <c:pt idx="61">
                  <c:v>720.56559902659</c:v>
                </c:pt>
                <c:pt idx="62">
                  <c:v>722.34018066211</c:v>
                </c:pt>
                <c:pt idx="63">
                  <c:v>724.10699897832</c:v>
                </c:pt>
                <c:pt idx="64">
                  <c:v>725.86567071745</c:v>
                </c:pt>
                <c:pt idx="65">
                  <c:v>727.61591343258</c:v>
                </c:pt>
                <c:pt idx="66">
                  <c:v>729.35803033462</c:v>
                </c:pt>
                <c:pt idx="67">
                  <c:v>731.09250353794</c:v>
                </c:pt>
                <c:pt idx="68">
                  <c:v>732.81880648509</c:v>
                </c:pt>
                <c:pt idx="69">
                  <c:v>734.53749322157</c:v>
                </c:pt>
                <c:pt idx="70">
                  <c:v>736.24920955068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Exp!$AB$2</c:f>
              <c:strCache>
                <c:ptCount val="1"/>
                <c:pt idx="0">
                  <c:v>473K 2008 MatijaSevic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Exp!$AB$3:$AB$21</c:f>
              <c:numCache>
                <c:formatCode>General</c:formatCode>
                <c:ptCount val="19"/>
                <c:pt idx="0">
                  <c:v>0</c:v>
                </c:pt>
                <c:pt idx="1">
                  <c:v>0.0032546977205</c:v>
                </c:pt>
                <c:pt idx="2">
                  <c:v>0.00368320865159</c:v>
                </c:pt>
                <c:pt idx="3">
                  <c:v>0.00551476568802</c:v>
                </c:pt>
                <c:pt idx="4">
                  <c:v>0.0100988346774</c:v>
                </c:pt>
                <c:pt idx="5">
                  <c:v>0.017407604655</c:v>
                </c:pt>
                <c:pt idx="6">
                  <c:v>0.0242144495081</c:v>
                </c:pt>
                <c:pt idx="7">
                  <c:v>0.0345849847488</c:v>
                </c:pt>
                <c:pt idx="8">
                  <c:v>0.0461867782993</c:v>
                </c:pt>
                <c:pt idx="9">
                  <c:v>0.0572211896473</c:v>
                </c:pt>
                <c:pt idx="10">
                  <c:v>0.072041552865</c:v>
                </c:pt>
                <c:pt idx="11">
                  <c:v>0.0841021492875</c:v>
                </c:pt>
                <c:pt idx="12">
                  <c:v>0.0964368176368</c:v>
                </c:pt>
                <c:pt idx="13">
                  <c:v>0.110718137934</c:v>
                </c:pt>
                <c:pt idx="14">
                  <c:v>0.125627740894</c:v>
                </c:pt>
                <c:pt idx="15">
                  <c:v>0.13870050969</c:v>
                </c:pt>
                <c:pt idx="16">
                  <c:v>0.152412026388</c:v>
                </c:pt>
                <c:pt idx="17">
                  <c:v>0.162790392648</c:v>
                </c:pt>
                <c:pt idx="18">
                  <c:v>0.166750961803</c:v>
                </c:pt>
              </c:numCache>
            </c:numRef>
          </c:xVal>
          <c:yVal>
            <c:numRef>
              <c:f>Exp!$AC$3:$AC$21</c:f>
              <c:numCache>
                <c:formatCode>General</c:formatCode>
                <c:ptCount val="19"/>
                <c:pt idx="0">
                  <c:v>0</c:v>
                </c:pt>
                <c:pt idx="1">
                  <c:v>440.677129319</c:v>
                </c:pt>
                <c:pt idx="2">
                  <c:v>473.527904067</c:v>
                </c:pt>
                <c:pt idx="3">
                  <c:v>501.704276458</c:v>
                </c:pt>
                <c:pt idx="4">
                  <c:v>534.257869846</c:v>
                </c:pt>
                <c:pt idx="5">
                  <c:v>563.207524021</c:v>
                </c:pt>
                <c:pt idx="6">
                  <c:v>592.242901093</c:v>
                </c:pt>
                <c:pt idx="7">
                  <c:v>618.360052987</c:v>
                </c:pt>
                <c:pt idx="8">
                  <c:v>640.113751796</c:v>
                </c:pt>
                <c:pt idx="9">
                  <c:v>650.420312908</c:v>
                </c:pt>
                <c:pt idx="10">
                  <c:v>666.41878325</c:v>
                </c:pt>
                <c:pt idx="11">
                  <c:v>663.09441854</c:v>
                </c:pt>
                <c:pt idx="12">
                  <c:v>653.81554854</c:v>
                </c:pt>
                <c:pt idx="13">
                  <c:v>639.473607763</c:v>
                </c:pt>
                <c:pt idx="14">
                  <c:v>609.636791546</c:v>
                </c:pt>
                <c:pt idx="15">
                  <c:v>574.52518843</c:v>
                </c:pt>
                <c:pt idx="16">
                  <c:v>526.129078186</c:v>
                </c:pt>
                <c:pt idx="17">
                  <c:v>471.393572146</c:v>
                </c:pt>
                <c:pt idx="18">
                  <c:v>454.197233385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  <c:max val="0.0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'573K'!$B$2:$B$1700</c:f>
              <c:numCache>
                <c:formatCode>General</c:formatCode>
                <c:ptCount val="1699"/>
                <c:pt idx="0">
                  <c:v>0</c:v>
                </c:pt>
                <c:pt idx="1" c:formatCode="0.00E+00">
                  <c:v>1.4216508212242e-48</c:v>
                </c:pt>
                <c:pt idx="2" c:formatCode="0.00E+00">
                  <c:v>4.4336392430471e-42</c:v>
                </c:pt>
                <c:pt idx="3" c:formatCode="0.00E+00">
                  <c:v>4.2333003647247e-29</c:v>
                </c:pt>
                <c:pt idx="4" c:formatCode="0.00E+00">
                  <c:v>5.9401968845467e-21</c:v>
                </c:pt>
                <c:pt idx="5" c:formatCode="0.00E+00">
                  <c:v>5.7360772626941e-11</c:v>
                </c:pt>
                <c:pt idx="6" c:formatCode="0.00E+00">
                  <c:v>1.9598076697051e-5</c:v>
                </c:pt>
                <c:pt idx="7">
                  <c:v>0.00040349121875671</c:v>
                </c:pt>
                <c:pt idx="8">
                  <c:v>0.0010000377958854</c:v>
                </c:pt>
                <c:pt idx="9">
                  <c:v>0.001616843234379</c:v>
                </c:pt>
                <c:pt idx="10">
                  <c:v>0.0022322064166594</c:v>
                </c:pt>
                <c:pt idx="11">
                  <c:v>0.0028429917225914</c:v>
                </c:pt>
                <c:pt idx="12">
                  <c:v>0.0034511374272494</c:v>
                </c:pt>
                <c:pt idx="13">
                  <c:v>0.0040577714597808</c:v>
                </c:pt>
                <c:pt idx="14">
                  <c:v>0.0046635957350601</c:v>
                </c:pt>
                <c:pt idx="15">
                  <c:v>0.0052692529695208</c:v>
                </c:pt>
                <c:pt idx="16">
                  <c:v>0.0058748837540697</c:v>
                </c:pt>
                <c:pt idx="17">
                  <c:v>0.006480492253613</c:v>
                </c:pt>
                <c:pt idx="18">
                  <c:v>0.0070860113038191</c:v>
                </c:pt>
                <c:pt idx="19">
                  <c:v>0.0076913709569407</c:v>
                </c:pt>
                <c:pt idx="20">
                  <c:v>0.0082966205867148</c:v>
                </c:pt>
                <c:pt idx="21">
                  <c:v>0.0089018611296323</c:v>
                </c:pt>
                <c:pt idx="22">
                  <c:v>0.0095071226166172</c:v>
                </c:pt>
                <c:pt idx="23">
                  <c:v>0.010112380436666</c:v>
                </c:pt>
                <c:pt idx="24">
                  <c:v>0.010717619464318</c:v>
                </c:pt>
                <c:pt idx="25">
                  <c:v>0.011322827149148</c:v>
                </c:pt>
                <c:pt idx="26">
                  <c:v>0.011927950013776</c:v>
                </c:pt>
                <c:pt idx="27">
                  <c:v>0.0125329681802</c:v>
                </c:pt>
                <c:pt idx="28">
                  <c:v>0.013137892331171</c:v>
                </c:pt>
                <c:pt idx="29">
                  <c:v>0.013742723506139</c:v>
                </c:pt>
                <c:pt idx="30">
                  <c:v>0.014347476781836</c:v>
                </c:pt>
                <c:pt idx="31">
                  <c:v>0.014952165595717</c:v>
                </c:pt>
                <c:pt idx="32">
                  <c:v>0.015556814745889</c:v>
                </c:pt>
                <c:pt idx="33">
                  <c:v>0.016161432700459</c:v>
                </c:pt>
                <c:pt idx="34">
                  <c:v>0.016766026344526</c:v>
                </c:pt>
                <c:pt idx="35">
                  <c:v>0.01737059943949</c:v>
                </c:pt>
                <c:pt idx="36">
                  <c:v>0.017975160960388</c:v>
                </c:pt>
                <c:pt idx="37">
                  <c:v>0.018579710507661</c:v>
                </c:pt>
                <c:pt idx="38">
                  <c:v>0.019184250222817</c:v>
                </c:pt>
                <c:pt idx="39">
                  <c:v>0.01978878358159</c:v>
                </c:pt>
                <c:pt idx="40">
                  <c:v>0.020393308261462</c:v>
                </c:pt>
                <c:pt idx="41">
                  <c:v>0.020997824568129</c:v>
                </c:pt>
                <c:pt idx="42">
                  <c:v>0.021602328617375</c:v>
                </c:pt>
                <c:pt idx="43">
                  <c:v>0.02220681444492</c:v>
                </c:pt>
                <c:pt idx="44">
                  <c:v>0.022811278722741</c:v>
                </c:pt>
                <c:pt idx="45">
                  <c:v>0.023415714059023</c:v>
                </c:pt>
                <c:pt idx="46">
                  <c:v>0.024020115885517</c:v>
                </c:pt>
                <c:pt idx="47">
                  <c:v>0.024624474202567</c:v>
                </c:pt>
                <c:pt idx="48">
                  <c:v>0.025228778781651</c:v>
                </c:pt>
                <c:pt idx="49">
                  <c:v>0.025833024330033</c:v>
                </c:pt>
                <c:pt idx="50">
                  <c:v>0.026437213054566</c:v>
                </c:pt>
                <c:pt idx="51">
                  <c:v>0.02704135302879</c:v>
                </c:pt>
                <c:pt idx="52">
                  <c:v>0.027645458154967</c:v>
                </c:pt>
                <c:pt idx="53">
                  <c:v>0.028249525608119</c:v>
                </c:pt>
                <c:pt idx="54">
                  <c:v>0.028853564048343</c:v>
                </c:pt>
                <c:pt idx="55">
                  <c:v>0.029457575377843</c:v>
                </c:pt>
                <c:pt idx="56">
                  <c:v>0.030061559609635</c:v>
                </c:pt>
                <c:pt idx="57">
                  <c:v>0.030665520208626</c:v>
                </c:pt>
                <c:pt idx="58">
                  <c:v>0.031269461120392</c:v>
                </c:pt>
                <c:pt idx="59">
                  <c:v>0.031873381490623</c:v>
                </c:pt>
                <c:pt idx="60">
                  <c:v>0.032477285708463</c:v>
                </c:pt>
                <c:pt idx="61">
                  <c:v>0.033081175174797</c:v>
                </c:pt>
                <c:pt idx="62">
                  <c:v>0.033685057446545</c:v>
                </c:pt>
                <c:pt idx="63">
                  <c:v>0.034288933005089</c:v>
                </c:pt>
                <c:pt idx="64">
                  <c:v>0.03489280261173</c:v>
                </c:pt>
                <c:pt idx="65">
                  <c:v>0.035496669644109</c:v>
                </c:pt>
                <c:pt idx="66">
                  <c:v>0.03610053571462</c:v>
                </c:pt>
                <c:pt idx="67">
                  <c:v>0.036704402211185</c:v>
                </c:pt>
                <c:pt idx="68">
                  <c:v>0.037308270157388</c:v>
                </c:pt>
                <c:pt idx="69">
                  <c:v>0.037912142855038</c:v>
                </c:pt>
                <c:pt idx="70">
                  <c:v>0.038516021560695</c:v>
                </c:pt>
                <c:pt idx="71">
                  <c:v>0.039119905677784</c:v>
                </c:pt>
                <c:pt idx="72">
                  <c:v>0.039723794994167</c:v>
                </c:pt>
                <c:pt idx="73">
                  <c:v>0.040327692326228</c:v>
                </c:pt>
                <c:pt idx="74">
                  <c:v>0.040931596634225</c:v>
                </c:pt>
                <c:pt idx="75">
                  <c:v>0.041535510479626</c:v>
                </c:pt>
                <c:pt idx="76">
                  <c:v>0.042139435547197</c:v>
                </c:pt>
                <c:pt idx="77">
                  <c:v>0.04274336888334</c:v>
                </c:pt>
                <c:pt idx="78">
                  <c:v>0.043347315612473</c:v>
                </c:pt>
                <c:pt idx="79">
                  <c:v>0.043951279468324</c:v>
                </c:pt>
                <c:pt idx="80">
                  <c:v>0.044555256835684</c:v>
                </c:pt>
                <c:pt idx="81">
                  <c:v>0.045159251608032</c:v>
                </c:pt>
                <c:pt idx="82">
                  <c:v>0.045763265913528</c:v>
                </c:pt>
                <c:pt idx="83">
                  <c:v>0.04636729775868</c:v>
                </c:pt>
                <c:pt idx="84">
                  <c:v>0.046971349330855</c:v>
                </c:pt>
                <c:pt idx="85">
                  <c:v>0.04757542227705</c:v>
                </c:pt>
                <c:pt idx="86">
                  <c:v>0.04817951420156</c:v>
                </c:pt>
                <c:pt idx="87">
                  <c:v>0.048783627686057</c:v>
                </c:pt>
                <c:pt idx="88">
                  <c:v>0.049367461866632</c:v>
                </c:pt>
              </c:numCache>
            </c:numRef>
          </c:xVal>
          <c:yVal>
            <c:numRef>
              <c:f>'573K'!$N$2:$N$1500</c:f>
              <c:numCache>
                <c:formatCode>General</c:formatCode>
                <c:ptCount val="1499"/>
                <c:pt idx="0">
                  <c:v>0</c:v>
                </c:pt>
                <c:pt idx="1">
                  <c:v>1.7694987586654</c:v>
                </c:pt>
                <c:pt idx="2">
                  <c:v>12.63811932424</c:v>
                </c:pt>
                <c:pt idx="3">
                  <c:v>68.6249120697</c:v>
                </c:pt>
                <c:pt idx="4">
                  <c:v>142.08960225838</c:v>
                </c:pt>
                <c:pt idx="5">
                  <c:v>280.62322067128</c:v>
                </c:pt>
                <c:pt idx="6">
                  <c:v>416.24673479051</c:v>
                </c:pt>
                <c:pt idx="7">
                  <c:v>482.86201128663</c:v>
                </c:pt>
                <c:pt idx="8">
                  <c:v>506.32158394002</c:v>
                </c:pt>
                <c:pt idx="9">
                  <c:v>519.97926456085</c:v>
                </c:pt>
                <c:pt idx="10">
                  <c:v>529.16204429346</c:v>
                </c:pt>
                <c:pt idx="11">
                  <c:v>535.49342980853</c:v>
                </c:pt>
                <c:pt idx="12">
                  <c:v>540.27752621504</c:v>
                </c:pt>
                <c:pt idx="13">
                  <c:v>544.17405454924</c:v>
                </c:pt>
                <c:pt idx="14">
                  <c:v>547.50587661487</c:v>
                </c:pt>
                <c:pt idx="15">
                  <c:v>550.48146762786</c:v>
                </c:pt>
                <c:pt idx="16">
                  <c:v>553.21702164379</c:v>
                </c:pt>
                <c:pt idx="17">
                  <c:v>555.77508339021</c:v>
                </c:pt>
                <c:pt idx="18">
                  <c:v>558.19639693849</c:v>
                </c:pt>
                <c:pt idx="19">
                  <c:v>560.50645980028</c:v>
                </c:pt>
                <c:pt idx="20">
                  <c:v>562.73379318397</c:v>
                </c:pt>
                <c:pt idx="21">
                  <c:v>564.89789861027</c:v>
                </c:pt>
                <c:pt idx="22">
                  <c:v>567.01192471502</c:v>
                </c:pt>
                <c:pt idx="23">
                  <c:v>569.08041077446</c:v>
                </c:pt>
                <c:pt idx="24">
                  <c:v>571.10859618372</c:v>
                </c:pt>
                <c:pt idx="25">
                  <c:v>573.10314059654</c:v>
                </c:pt>
                <c:pt idx="26">
                  <c:v>575.06515242691</c:v>
                </c:pt>
                <c:pt idx="27">
                  <c:v>576.99683109233</c:v>
                </c:pt>
                <c:pt idx="28">
                  <c:v>578.90098349674</c:v>
                </c:pt>
                <c:pt idx="29">
                  <c:v>580.78265438314</c:v>
                </c:pt>
                <c:pt idx="30">
                  <c:v>582.64043754902</c:v>
                </c:pt>
                <c:pt idx="31">
                  <c:v>584.4791073811</c:v>
                </c:pt>
                <c:pt idx="32">
                  <c:v>586.29778063351</c:v>
                </c:pt>
                <c:pt idx="33">
                  <c:v>588.10071241986</c:v>
                </c:pt>
                <c:pt idx="34">
                  <c:v>589.88784032919</c:v>
                </c:pt>
                <c:pt idx="35">
                  <c:v>591.66065445944</c:v>
                </c:pt>
                <c:pt idx="36">
                  <c:v>593.4193180708</c:v>
                </c:pt>
                <c:pt idx="37">
                  <c:v>595.16253655335</c:v>
                </c:pt>
                <c:pt idx="38">
                  <c:v>596.89489993914</c:v>
                </c:pt>
                <c:pt idx="39">
                  <c:v>598.61488202048</c:v>
                </c:pt>
                <c:pt idx="40">
                  <c:v>600.32331748224</c:v>
                </c:pt>
                <c:pt idx="41">
                  <c:v>602.02164278223</c:v>
                </c:pt>
                <c:pt idx="42">
                  <c:v>603.70782418307</c:v>
                </c:pt>
                <c:pt idx="43">
                  <c:v>605.38353541872</c:v>
                </c:pt>
                <c:pt idx="44">
                  <c:v>607.04877468058</c:v>
                </c:pt>
                <c:pt idx="45">
                  <c:v>608.70355598888</c:v>
                </c:pt>
                <c:pt idx="46">
                  <c:v>610.34796549335</c:v>
                </c:pt>
                <c:pt idx="47">
                  <c:v>611.98212113789</c:v>
                </c:pt>
                <c:pt idx="48">
                  <c:v>613.60636054335</c:v>
                </c:pt>
                <c:pt idx="49">
                  <c:v>615.22112005365</c:v>
                </c:pt>
                <c:pt idx="50">
                  <c:v>616.82702736177</c:v>
                </c:pt>
                <c:pt idx="51">
                  <c:v>618.42383853753</c:v>
                </c:pt>
                <c:pt idx="52">
                  <c:v>620.01109078355</c:v>
                </c:pt>
                <c:pt idx="53">
                  <c:v>621.59047635368</c:v>
                </c:pt>
                <c:pt idx="54">
                  <c:v>623.16119481415</c:v>
                </c:pt>
                <c:pt idx="55">
                  <c:v>624.72355340344</c:v>
                </c:pt>
                <c:pt idx="56">
                  <c:v>626.27822898022</c:v>
                </c:pt>
                <c:pt idx="57">
                  <c:v>627.82510043804</c:v>
                </c:pt>
                <c:pt idx="58">
                  <c:v>629.36385178669</c:v>
                </c:pt>
                <c:pt idx="59">
                  <c:v>630.89533221254</c:v>
                </c:pt>
                <c:pt idx="60">
                  <c:v>632.41944637173</c:v>
                </c:pt>
                <c:pt idx="61">
                  <c:v>633.93650111397</c:v>
                </c:pt>
                <c:pt idx="62">
                  <c:v>635.44583423615</c:v>
                </c:pt>
                <c:pt idx="63">
                  <c:v>636.9479947174</c:v>
                </c:pt>
                <c:pt idx="64">
                  <c:v>638.44345877474</c:v>
                </c:pt>
                <c:pt idx="65">
                  <c:v>639.93208416433</c:v>
                </c:pt>
                <c:pt idx="66">
                  <c:v>641.41414384292</c:v>
                </c:pt>
                <c:pt idx="67">
                  <c:v>642.88972421184</c:v>
                </c:pt>
                <c:pt idx="68">
                  <c:v>644.3585915454</c:v>
                </c:pt>
                <c:pt idx="69">
                  <c:v>645.82098516842</c:v>
                </c:pt>
                <c:pt idx="70">
                  <c:v>647.2765689583</c:v>
                </c:pt>
                <c:pt idx="71">
                  <c:v>648.72578241794</c:v>
                </c:pt>
                <c:pt idx="72">
                  <c:v>650.16904529547</c:v>
                </c:pt>
                <c:pt idx="73">
                  <c:v>651.60583807753</c:v>
                </c:pt>
                <c:pt idx="74">
                  <c:v>653.03681508986</c:v>
                </c:pt>
                <c:pt idx="75">
                  <c:v>654.4615287416</c:v>
                </c:pt>
                <c:pt idx="76">
                  <c:v>655.88019897689</c:v>
                </c:pt>
                <c:pt idx="77">
                  <c:v>657.2934679915</c:v>
                </c:pt>
                <c:pt idx="78">
                  <c:v>658.70092257083</c:v>
                </c:pt>
                <c:pt idx="79">
                  <c:v>660.10186066172</c:v>
                </c:pt>
                <c:pt idx="80">
                  <c:v>661.49732956516</c:v>
                </c:pt>
                <c:pt idx="81">
                  <c:v>662.88705837164</c:v>
                </c:pt>
                <c:pt idx="82">
                  <c:v>664.27065614265</c:v>
                </c:pt>
                <c:pt idx="83">
                  <c:v>665.64891304305</c:v>
                </c:pt>
                <c:pt idx="84">
                  <c:v>667.02157348817</c:v>
                </c:pt>
                <c:pt idx="85">
                  <c:v>668.38850981939</c:v>
                </c:pt>
                <c:pt idx="86">
                  <c:v>669.75047624568</c:v>
                </c:pt>
                <c:pt idx="87">
                  <c:v>671.10699760439</c:v>
                </c:pt>
                <c:pt idx="88">
                  <c:v>672.43520735717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"Sim_473K"</c:f>
              <c:strCache>
                <c:ptCount val="1"/>
                <c:pt idx="0">
                  <c:v>Sim_473K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'473K'!$B$2:$B$2000</c:f>
              <c:numCache>
                <c:formatCode>General</c:formatCode>
                <c:ptCount val="1999"/>
                <c:pt idx="0">
                  <c:v>0</c:v>
                </c:pt>
                <c:pt idx="1" c:formatCode="0.00E+00">
                  <c:v>4.9734611194145e-59</c:v>
                </c:pt>
                <c:pt idx="2" c:formatCode="0.00E+00">
                  <c:v>4.0358508874805e-51</c:v>
                </c:pt>
                <c:pt idx="3" c:formatCode="0.00E+00">
                  <c:v>3.251557074804e-35</c:v>
                </c:pt>
                <c:pt idx="4" c:formatCode="0.00E+00">
                  <c:v>1.4771688235313e-25</c:v>
                </c:pt>
                <c:pt idx="5" c:formatCode="0.00E+00">
                  <c:v>2.2949708896972e-13</c:v>
                </c:pt>
                <c:pt idx="6" c:formatCode="0.00E+00">
                  <c:v>2.2970570668475e-6</c:v>
                </c:pt>
                <c:pt idx="7">
                  <c:v>0.00024245409662349</c:v>
                </c:pt>
                <c:pt idx="8">
                  <c:v>0.00081093360657719</c:v>
                </c:pt>
                <c:pt idx="9">
                  <c:v>0.0014243559335647</c:v>
                </c:pt>
                <c:pt idx="10">
                  <c:v>0.0020396486687144</c:v>
                </c:pt>
                <c:pt idx="11">
                  <c:v>0.0026521361321584</c:v>
                </c:pt>
                <c:pt idx="12">
                  <c:v>0.0032609074377153</c:v>
                </c:pt>
                <c:pt idx="13">
                  <c:v>0.0038676774434198</c:v>
                </c:pt>
                <c:pt idx="14">
                  <c:v>0.0044731859979099</c:v>
                </c:pt>
                <c:pt idx="15">
                  <c:v>0.0050779991456878</c:v>
                </c:pt>
                <c:pt idx="16">
                  <c:v>0.0056826683582612</c:v>
                </c:pt>
                <c:pt idx="17">
                  <c:v>0.0062873731217567</c:v>
                </c:pt>
                <c:pt idx="18">
                  <c:v>0.0068920808097776</c:v>
                </c:pt>
                <c:pt idx="19">
                  <c:v>0.0074967550961731</c:v>
                </c:pt>
                <c:pt idx="20">
                  <c:v>0.0081013321932587</c:v>
                </c:pt>
                <c:pt idx="21">
                  <c:v>0.008705763690034</c:v>
                </c:pt>
                <c:pt idx="22">
                  <c:v>0.0093101099564903</c:v>
                </c:pt>
                <c:pt idx="23">
                  <c:v>0.0099144382222843</c:v>
                </c:pt>
                <c:pt idx="24">
                  <c:v>0.010518772020476</c:v>
                </c:pt>
                <c:pt idx="25">
                  <c:v>0.011123086014648</c:v>
                </c:pt>
                <c:pt idx="26">
                  <c:v>0.011727385230906</c:v>
                </c:pt>
                <c:pt idx="27">
                  <c:v>0.012331668030062</c:v>
                </c:pt>
                <c:pt idx="28">
                  <c:v>0.012935883371757</c:v>
                </c:pt>
                <c:pt idx="29">
                  <c:v>0.013540018857324</c:v>
                </c:pt>
                <c:pt idx="30">
                  <c:v>0.014144090422955</c:v>
                </c:pt>
                <c:pt idx="31">
                  <c:v>0.014748094254701</c:v>
                </c:pt>
                <c:pt idx="32">
                  <c:v>0.015352012091488</c:v>
                </c:pt>
                <c:pt idx="33">
                  <c:v>0.015955845669147</c:v>
                </c:pt>
                <c:pt idx="34">
                  <c:v>0.01655960608571</c:v>
                </c:pt>
                <c:pt idx="35">
                  <c:v>0.017163317025542</c:v>
                </c:pt>
                <c:pt idx="36">
                  <c:v>0.017766990794007</c:v>
                </c:pt>
                <c:pt idx="37">
                  <c:v>0.018370639163879</c:v>
                </c:pt>
                <c:pt idx="38">
                  <c:v>0.018974264368173</c:v>
                </c:pt>
                <c:pt idx="39">
                  <c:v>0.019577877723698</c:v>
                </c:pt>
                <c:pt idx="40">
                  <c:v>0.020181494836365</c:v>
                </c:pt>
                <c:pt idx="41">
                  <c:v>0.020785111881106</c:v>
                </c:pt>
                <c:pt idx="42">
                  <c:v>0.021388733749857</c:v>
                </c:pt>
                <c:pt idx="43">
                  <c:v>0.021992361303344</c:v>
                </c:pt>
                <c:pt idx="44">
                  <c:v>0.022595993753196</c:v>
                </c:pt>
                <c:pt idx="45">
                  <c:v>0.023199632258121</c:v>
                </c:pt>
                <c:pt idx="46">
                  <c:v>0.023803271680491</c:v>
                </c:pt>
                <c:pt idx="47">
                  <c:v>0.024406908196045</c:v>
                </c:pt>
                <c:pt idx="48">
                  <c:v>0.025010541666611</c:v>
                </c:pt>
                <c:pt idx="49">
                  <c:v>0.025614168471745</c:v>
                </c:pt>
                <c:pt idx="50">
                  <c:v>0.026217782050324</c:v>
                </c:pt>
                <c:pt idx="51">
                  <c:v>0.026821378246768</c:v>
                </c:pt>
                <c:pt idx="52">
                  <c:v>0.02742494955769</c:v>
                </c:pt>
                <c:pt idx="53">
                  <c:v>0.028028489652452</c:v>
                </c:pt>
                <c:pt idx="54">
                  <c:v>0.028631990750054</c:v>
                </c:pt>
                <c:pt idx="55">
                  <c:v>0.029235443835955</c:v>
                </c:pt>
                <c:pt idx="56">
                  <c:v>0.02983885672621</c:v>
                </c:pt>
                <c:pt idx="57">
                  <c:v>0.030442232014584</c:v>
                </c:pt>
                <c:pt idx="58">
                  <c:v>0.031045583093142</c:v>
                </c:pt>
                <c:pt idx="59">
                  <c:v>0.031648913804357</c:v>
                </c:pt>
                <c:pt idx="60">
                  <c:v>0.032252229977407</c:v>
                </c:pt>
                <c:pt idx="61">
                  <c:v>0.032855530278648</c:v>
                </c:pt>
                <c:pt idx="62">
                  <c:v>0.033458826194011</c:v>
                </c:pt>
                <c:pt idx="63">
                  <c:v>0.034062111197253</c:v>
                </c:pt>
                <c:pt idx="64">
                  <c:v>0.034665388922117</c:v>
                </c:pt>
                <c:pt idx="65">
                  <c:v>0.035268662070033</c:v>
                </c:pt>
                <c:pt idx="66">
                  <c:v>0.03587193182757</c:v>
                </c:pt>
                <c:pt idx="67">
                  <c:v>0.036475198153146</c:v>
                </c:pt>
                <c:pt idx="68">
                  <c:v>0.037078467566576</c:v>
                </c:pt>
                <c:pt idx="69">
                  <c:v>0.037681741407372</c:v>
                </c:pt>
                <c:pt idx="70">
                  <c:v>0.03828501936326</c:v>
                </c:pt>
              </c:numCache>
            </c:numRef>
          </c:xVal>
          <c:yVal>
            <c:numRef>
              <c:f>'473K'!$N$2:$N$1500</c:f>
              <c:numCache>
                <c:formatCode>General</c:formatCode>
                <c:ptCount val="1499"/>
                <c:pt idx="0">
                  <c:v>0</c:v>
                </c:pt>
                <c:pt idx="1">
                  <c:v>1.8236769201752</c:v>
                </c:pt>
                <c:pt idx="2">
                  <c:v>13.025053372764</c:v>
                </c:pt>
                <c:pt idx="3">
                  <c:v>70.725428155972</c:v>
                </c:pt>
                <c:pt idx="4">
                  <c:v>146.43745190292</c:v>
                </c:pt>
                <c:pt idx="5">
                  <c:v>289.20477135265</c:v>
                </c:pt>
                <c:pt idx="6">
                  <c:v>432.53529382352</c:v>
                </c:pt>
                <c:pt idx="7">
                  <c:v>530.01584995467</c:v>
                </c:pt>
                <c:pt idx="8">
                  <c:v>562.29636827804</c:v>
                </c:pt>
                <c:pt idx="9">
                  <c:v>580.47465944757</c:v>
                </c:pt>
                <c:pt idx="10">
                  <c:v>592.8264863545</c:v>
                </c:pt>
                <c:pt idx="11">
                  <c:v>601.67743012435</c:v>
                </c:pt>
                <c:pt idx="12">
                  <c:v>608.18255188632</c:v>
                </c:pt>
                <c:pt idx="13">
                  <c:v>613.32883715464</c:v>
                </c:pt>
                <c:pt idx="14">
                  <c:v>617.63353510237</c:v>
                </c:pt>
                <c:pt idx="15">
                  <c:v>621.37959837661</c:v>
                </c:pt>
                <c:pt idx="16">
                  <c:v>624.76857552502</c:v>
                </c:pt>
                <c:pt idx="17">
                  <c:v>627.91596149162</c:v>
                </c:pt>
                <c:pt idx="18">
                  <c:v>630.87975545871</c:v>
                </c:pt>
                <c:pt idx="19">
                  <c:v>633.70047876457</c:v>
                </c:pt>
                <c:pt idx="20">
                  <c:v>636.40524469508</c:v>
                </c:pt>
                <c:pt idx="21">
                  <c:v>639.01096639074</c:v>
                </c:pt>
                <c:pt idx="22">
                  <c:v>641.53963911748</c:v>
                </c:pt>
                <c:pt idx="23">
                  <c:v>644.00630076778</c:v>
                </c:pt>
                <c:pt idx="24">
                  <c:v>646.42312417658</c:v>
                </c:pt>
                <c:pt idx="25">
                  <c:v>648.79354462173</c:v>
                </c:pt>
                <c:pt idx="26">
                  <c:v>651.12466275657</c:v>
                </c:pt>
                <c:pt idx="27">
                  <c:v>653.42323800695</c:v>
                </c:pt>
                <c:pt idx="28">
                  <c:v>655.68498618907</c:v>
                </c:pt>
                <c:pt idx="29">
                  <c:v>657.91866601652</c:v>
                </c:pt>
                <c:pt idx="30">
                  <c:v>660.12249983195</c:v>
                </c:pt>
                <c:pt idx="31">
                  <c:v>662.3006234955</c:v>
                </c:pt>
                <c:pt idx="32">
                  <c:v>664.45510769182</c:v>
                </c:pt>
                <c:pt idx="33">
                  <c:v>666.58658912173</c:v>
                </c:pt>
                <c:pt idx="34">
                  <c:v>668.69435040485</c:v>
                </c:pt>
                <c:pt idx="35">
                  <c:v>670.78504146623</c:v>
                </c:pt>
                <c:pt idx="36">
                  <c:v>672.85758557032</c:v>
                </c:pt>
                <c:pt idx="37">
                  <c:v>674.91358655937</c:v>
                </c:pt>
                <c:pt idx="38">
                  <c:v>676.95340834573</c:v>
                </c:pt>
                <c:pt idx="39">
                  <c:v>678.98058537308</c:v>
                </c:pt>
                <c:pt idx="40">
                  <c:v>680.99129410395</c:v>
                </c:pt>
                <c:pt idx="41">
                  <c:v>682.98852825697</c:v>
                </c:pt>
                <c:pt idx="42">
                  <c:v>684.97326261565</c:v>
                </c:pt>
                <c:pt idx="43">
                  <c:v>686.94609055816</c:v>
                </c:pt>
                <c:pt idx="44">
                  <c:v>688.906402217</c:v>
                </c:pt>
                <c:pt idx="45">
                  <c:v>690.85434099068</c:v>
                </c:pt>
                <c:pt idx="46">
                  <c:v>692.79004931413</c:v>
                </c:pt>
                <c:pt idx="47">
                  <c:v>694.71518208852</c:v>
                </c:pt>
                <c:pt idx="48">
                  <c:v>696.62915267257</c:v>
                </c:pt>
                <c:pt idx="49">
                  <c:v>698.5318838247</c:v>
                </c:pt>
                <c:pt idx="50">
                  <c:v>700.42402264027</c:v>
                </c:pt>
                <c:pt idx="51">
                  <c:v>702.30582146859</c:v>
                </c:pt>
                <c:pt idx="52">
                  <c:v>704.17574122333</c:v>
                </c:pt>
                <c:pt idx="53">
                  <c:v>706.03603986929</c:v>
                </c:pt>
                <c:pt idx="54">
                  <c:v>707.88559096174</c:v>
                </c:pt>
                <c:pt idx="55">
                  <c:v>709.72655986845</c:v>
                </c:pt>
                <c:pt idx="56">
                  <c:v>711.55617272485</c:v>
                </c:pt>
                <c:pt idx="57">
                  <c:v>713.37673419269</c:v>
                </c:pt>
                <c:pt idx="58">
                  <c:v>715.1874745229</c:v>
                </c:pt>
                <c:pt idx="59">
                  <c:v>716.9892165476</c:v>
                </c:pt>
                <c:pt idx="60">
                  <c:v>718.78194078975</c:v>
                </c:pt>
                <c:pt idx="61">
                  <c:v>720.56559902659</c:v>
                </c:pt>
                <c:pt idx="62">
                  <c:v>722.34018066211</c:v>
                </c:pt>
                <c:pt idx="63">
                  <c:v>724.10699897832</c:v>
                </c:pt>
                <c:pt idx="64">
                  <c:v>725.86567071745</c:v>
                </c:pt>
                <c:pt idx="65">
                  <c:v>727.61591343258</c:v>
                </c:pt>
                <c:pt idx="66">
                  <c:v>729.35803033462</c:v>
                </c:pt>
                <c:pt idx="67">
                  <c:v>731.09250353794</c:v>
                </c:pt>
                <c:pt idx="68">
                  <c:v>732.81880648509</c:v>
                </c:pt>
                <c:pt idx="69">
                  <c:v>734.53749322157</c:v>
                </c:pt>
                <c:pt idx="70">
                  <c:v>736.24920955068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"Sim_673K"</c:f>
              <c:strCache>
                <c:ptCount val="1"/>
                <c:pt idx="0">
                  <c:v>Sim_673K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'673K'!$B$2:$B$1500</c:f>
              <c:numCache>
                <c:formatCode>General</c:formatCode>
                <c:ptCount val="1499"/>
                <c:pt idx="0">
                  <c:v>0</c:v>
                </c:pt>
                <c:pt idx="1" c:formatCode="0.00E+00">
                  <c:v>2.2178374463578e-41</c:v>
                </c:pt>
                <c:pt idx="2" c:formatCode="0.00E+00">
                  <c:v>8.3572362206907e-36</c:v>
                </c:pt>
                <c:pt idx="3" c:formatCode="0.00E+00">
                  <c:v>6.9304166106949e-25</c:v>
                </c:pt>
                <c:pt idx="4" c:formatCode="0.00E+00">
                  <c:v>2.2961135891343e-17</c:v>
                </c:pt>
                <c:pt idx="5" c:formatCode="0.00E+00">
                  <c:v>3.6622480889552e-9</c:v>
                </c:pt>
                <c:pt idx="6" c:formatCode="0.00E+00">
                  <c:v>6.9785088735993e-5</c:v>
                </c:pt>
                <c:pt idx="7">
                  <c:v>0.00055691559358808</c:v>
                </c:pt>
                <c:pt idx="8">
                  <c:v>0.0011654260254932</c:v>
                </c:pt>
                <c:pt idx="9">
                  <c:v>0.0017822612170582</c:v>
                </c:pt>
                <c:pt idx="10">
                  <c:v>0.0023951229146788</c:v>
                </c:pt>
                <c:pt idx="11">
                  <c:v>0.0030043794087791</c:v>
                </c:pt>
                <c:pt idx="12">
                  <c:v>0.0036117886613941</c:v>
                </c:pt>
                <c:pt idx="13">
                  <c:v>0.0042182086089931</c:v>
                </c:pt>
                <c:pt idx="14">
                  <c:v>0.0048243591085439</c:v>
                </c:pt>
                <c:pt idx="15">
                  <c:v>0.0054304580298907</c:v>
                </c:pt>
                <c:pt idx="16">
                  <c:v>0.0060365299703383</c:v>
                </c:pt>
                <c:pt idx="17">
                  <c:v>0.0066424972045319</c:v>
                </c:pt>
                <c:pt idx="18">
                  <c:v>0.0072483541322563</c:v>
                </c:pt>
                <c:pt idx="19">
                  <c:v>0.0078542108871433</c:v>
                </c:pt>
                <c:pt idx="20">
                  <c:v>0.0084601224002634</c:v>
                </c:pt>
                <c:pt idx="21">
                  <c:v>0.0090660663261072</c:v>
                </c:pt>
                <c:pt idx="22">
                  <c:v>0.009672011540125</c:v>
                </c:pt>
                <c:pt idx="23">
                  <c:v>0.010277928421177</c:v>
                </c:pt>
                <c:pt idx="24">
                  <c:v>0.01088375527803</c:v>
                </c:pt>
                <c:pt idx="25">
                  <c:v>0.011489469792905</c:v>
                </c:pt>
                <c:pt idx="26">
                  <c:v>0.012095088224124</c:v>
                </c:pt>
                <c:pt idx="27">
                  <c:v>0.012700622797638</c:v>
                </c:pt>
                <c:pt idx="28">
                  <c:v>0.013306094045865</c:v>
                </c:pt>
                <c:pt idx="29">
                  <c:v>0.013911529076774</c:v>
                </c:pt>
                <c:pt idx="30">
                  <c:v>0.014516934392869</c:v>
                </c:pt>
                <c:pt idx="31">
                  <c:v>0.015122315350915</c:v>
                </c:pt>
                <c:pt idx="32">
                  <c:v>0.015727670001283</c:v>
                </c:pt>
                <c:pt idx="33">
                  <c:v>0.016333002741356</c:v>
                </c:pt>
                <c:pt idx="34">
                  <c:v>0.016938315865261</c:v>
                </c:pt>
                <c:pt idx="35">
                  <c:v>0.017543611223755</c:v>
                </c:pt>
                <c:pt idx="36">
                  <c:v>0.01814888690908</c:v>
                </c:pt>
                <c:pt idx="37">
                  <c:v>0.018754138790846</c:v>
                </c:pt>
                <c:pt idx="38">
                  <c:v>0.019359364443419</c:v>
                </c:pt>
                <c:pt idx="39">
                  <c:v>0.01996455364803</c:v>
                </c:pt>
                <c:pt idx="40">
                  <c:v>0.020569707182346</c:v>
                </c:pt>
                <c:pt idx="41">
                  <c:v>0.02117481646799</c:v>
                </c:pt>
                <c:pt idx="42">
                  <c:v>0.021779867877965</c:v>
                </c:pt>
                <c:pt idx="43">
                  <c:v>0.022384851406526</c:v>
                </c:pt>
                <c:pt idx="44">
                  <c:v>0.022989766239051</c:v>
                </c:pt>
                <c:pt idx="45">
                  <c:v>0.023594610942216</c:v>
                </c:pt>
                <c:pt idx="46">
                  <c:v>0.024199398867258</c:v>
                </c:pt>
                <c:pt idx="47">
                  <c:v>0.024804128386308</c:v>
                </c:pt>
                <c:pt idx="48">
                  <c:v>0.025408811682323</c:v>
                </c:pt>
                <c:pt idx="49">
                  <c:v>0.026013448847247</c:v>
                </c:pt>
                <c:pt idx="50">
                  <c:v>0.026618047671299</c:v>
                </c:pt>
                <c:pt idx="51">
                  <c:v>0.027222606596547</c:v>
                </c:pt>
                <c:pt idx="52">
                  <c:v>0.027827130972359</c:v>
                </c:pt>
                <c:pt idx="53">
                  <c:v>0.028431623882861</c:v>
                </c:pt>
                <c:pt idx="54">
                  <c:v>0.029036084063152</c:v>
                </c:pt>
                <c:pt idx="55">
                  <c:v>0.029640513295598</c:v>
                </c:pt>
                <c:pt idx="56">
                  <c:v>0.030244918315293</c:v>
                </c:pt>
                <c:pt idx="57">
                  <c:v>0.030849300663184</c:v>
                </c:pt>
              </c:numCache>
            </c:numRef>
          </c:xVal>
          <c:yVal>
            <c:numRef>
              <c:f>'673K'!$N$2:$N$1400</c:f>
              <c:numCache>
                <c:formatCode>General</c:formatCode>
                <c:ptCount val="1399"/>
                <c:pt idx="0">
                  <c:v>0</c:v>
                </c:pt>
                <c:pt idx="1">
                  <c:v>1.714023442138</c:v>
                </c:pt>
                <c:pt idx="2">
                  <c:v>12.241923210628</c:v>
                </c:pt>
                <c:pt idx="3">
                  <c:v>66.47417898324</c:v>
                </c:pt>
                <c:pt idx="4">
                  <c:v>137.63796568834</c:v>
                </c:pt>
                <c:pt idx="5">
                  <c:v>271.83674080884</c:v>
                </c:pt>
                <c:pt idx="6">
                  <c:v>393.62153235352</c:v>
                </c:pt>
                <c:pt idx="7">
                  <c:v>437.70051721074</c:v>
                </c:pt>
                <c:pt idx="8">
                  <c:v>455.20891012923</c:v>
                </c:pt>
                <c:pt idx="9">
                  <c:v>465.54475400436</c:v>
                </c:pt>
                <c:pt idx="10">
                  <c:v>472.23656292733</c:v>
                </c:pt>
                <c:pt idx="11">
                  <c:v>476.91927318941</c:v>
                </c:pt>
                <c:pt idx="12">
                  <c:v>480.5714478718</c:v>
                </c:pt>
                <c:pt idx="13">
                  <c:v>483.61189449793</c:v>
                </c:pt>
                <c:pt idx="14">
                  <c:v>486.27424541265</c:v>
                </c:pt>
                <c:pt idx="15">
                  <c:v>488.68132749413</c:v>
                </c:pt>
                <c:pt idx="16">
                  <c:v>490.90742468675</c:v>
                </c:pt>
                <c:pt idx="17">
                  <c:v>492.9979410217</c:v>
                </c:pt>
                <c:pt idx="18">
                  <c:v>494.98837406683</c:v>
                </c:pt>
                <c:pt idx="19">
                  <c:v>496.90618196399</c:v>
                </c:pt>
                <c:pt idx="20">
                  <c:v>498.76952601081</c:v>
                </c:pt>
                <c:pt idx="21">
                  <c:v>500.58352803985</c:v>
                </c:pt>
                <c:pt idx="22">
                  <c:v>502.35903402489</c:v>
                </c:pt>
                <c:pt idx="23">
                  <c:v>504.09966061882</c:v>
                </c:pt>
                <c:pt idx="24">
                  <c:v>505.80792000759</c:v>
                </c:pt>
                <c:pt idx="25">
                  <c:v>507.48641372521</c:v>
                </c:pt>
                <c:pt idx="26">
                  <c:v>509.13830310303</c:v>
                </c:pt>
                <c:pt idx="27">
                  <c:v>510.76745833028</c:v>
                </c:pt>
                <c:pt idx="28">
                  <c:v>512.37705518027</c:v>
                </c:pt>
                <c:pt idx="29">
                  <c:v>513.96740465564</c:v>
                </c:pt>
                <c:pt idx="30">
                  <c:v>515.54112656204</c:v>
                </c:pt>
                <c:pt idx="31">
                  <c:v>517.09920632393</c:v>
                </c:pt>
                <c:pt idx="32">
                  <c:v>518.64338135225</c:v>
                </c:pt>
                <c:pt idx="33">
                  <c:v>520.17386762255</c:v>
                </c:pt>
                <c:pt idx="34">
                  <c:v>521.69139657138</c:v>
                </c:pt>
                <c:pt idx="35">
                  <c:v>523.19660249508</c:v>
                </c:pt>
                <c:pt idx="36">
                  <c:v>524.69015254193</c:v>
                </c:pt>
                <c:pt idx="37">
                  <c:v>526.17296179201</c:v>
                </c:pt>
                <c:pt idx="38">
                  <c:v>527.64514272328</c:v>
                </c:pt>
                <c:pt idx="39">
                  <c:v>529.10769083452</c:v>
                </c:pt>
                <c:pt idx="40">
                  <c:v>530.55965961582</c:v>
                </c:pt>
                <c:pt idx="41">
                  <c:v>532.00133654948</c:v>
                </c:pt>
                <c:pt idx="42">
                  <c:v>533.43342364873</c:v>
                </c:pt>
                <c:pt idx="43">
                  <c:v>534.85628877156</c:v>
                </c:pt>
                <c:pt idx="44">
                  <c:v>536.26962224021</c:v>
                </c:pt>
                <c:pt idx="45">
                  <c:v>537.67473890146</c:v>
                </c:pt>
                <c:pt idx="46">
                  <c:v>539.07056822551</c:v>
                </c:pt>
                <c:pt idx="47">
                  <c:v>540.4587142559</c:v>
                </c:pt>
                <c:pt idx="48">
                  <c:v>541.83856086006</c:v>
                </c:pt>
                <c:pt idx="49">
                  <c:v>543.2111656856</c:v>
                </c:pt>
                <c:pt idx="50">
                  <c:v>544.57554130338</c:v>
                </c:pt>
                <c:pt idx="51">
                  <c:v>545.93287420098</c:v>
                </c:pt>
                <c:pt idx="52">
                  <c:v>547.28273429312</c:v>
                </c:pt>
                <c:pt idx="53">
                  <c:v>548.62503620236</c:v>
                </c:pt>
                <c:pt idx="54">
                  <c:v>549.96079238255</c:v>
                </c:pt>
                <c:pt idx="55">
                  <c:v>551.29036663539</c:v>
                </c:pt>
                <c:pt idx="56">
                  <c:v>552.61304371271</c:v>
                </c:pt>
                <c:pt idx="57">
                  <c:v>553.92905429874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  <c:max val="0.0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0.xml"/><Relationship Id="rId8" Type="http://schemas.openxmlformats.org/officeDocument/2006/relationships/chart" Target="../charts/chart9.xml"/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0</xdr:colOff>
      <xdr:row>46</xdr:row>
      <xdr:rowOff>0</xdr:rowOff>
    </xdr:from>
    <xdr:to>
      <xdr:col>22</xdr:col>
      <xdr:colOff>298450</xdr:colOff>
      <xdr:row>79</xdr:row>
      <xdr:rowOff>104140</xdr:rowOff>
    </xdr:to>
    <xdr:graphicFrame>
      <xdr:nvGraphicFramePr>
        <xdr:cNvPr id="2" name="Chart 1"/>
        <xdr:cNvGraphicFramePr/>
      </xdr:nvGraphicFramePr>
      <xdr:xfrm>
        <a:off x="10073640" y="8763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11</xdr:col>
      <xdr:colOff>161925</xdr:colOff>
      <xdr:row>33</xdr:row>
      <xdr:rowOff>113665</xdr:rowOff>
    </xdr:to>
    <xdr:graphicFrame>
      <xdr:nvGraphicFramePr>
        <xdr:cNvPr id="2" name="Chart 1"/>
        <xdr:cNvGraphicFramePr/>
      </xdr:nvGraphicFramePr>
      <xdr:xfrm>
        <a:off x="9525" y="9525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11</xdr:col>
      <xdr:colOff>152400</xdr:colOff>
      <xdr:row>73</xdr:row>
      <xdr:rowOff>104140</xdr:rowOff>
    </xdr:to>
    <xdr:graphicFrame>
      <xdr:nvGraphicFramePr>
        <xdr:cNvPr id="3" name="Chart 2"/>
        <xdr:cNvGraphicFramePr/>
      </xdr:nvGraphicFramePr>
      <xdr:xfrm>
        <a:off x="0" y="7620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11</xdr:col>
      <xdr:colOff>152400</xdr:colOff>
      <xdr:row>110</xdr:row>
      <xdr:rowOff>104140</xdr:rowOff>
    </xdr:to>
    <xdr:graphicFrame>
      <xdr:nvGraphicFramePr>
        <xdr:cNvPr id="4" name="Chart 3"/>
        <xdr:cNvGraphicFramePr/>
      </xdr:nvGraphicFramePr>
      <xdr:xfrm>
        <a:off x="0" y="146685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118</xdr:row>
      <xdr:rowOff>0</xdr:rowOff>
    </xdr:from>
    <xdr:to>
      <xdr:col>11</xdr:col>
      <xdr:colOff>152400</xdr:colOff>
      <xdr:row>151</xdr:row>
      <xdr:rowOff>104140</xdr:rowOff>
    </xdr:to>
    <xdr:graphicFrame>
      <xdr:nvGraphicFramePr>
        <xdr:cNvPr id="5" name="Chart 4"/>
        <xdr:cNvGraphicFramePr/>
      </xdr:nvGraphicFramePr>
      <xdr:xfrm>
        <a:off x="0" y="22479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156</xdr:row>
      <xdr:rowOff>0</xdr:rowOff>
    </xdr:from>
    <xdr:to>
      <xdr:col>11</xdr:col>
      <xdr:colOff>152400</xdr:colOff>
      <xdr:row>189</xdr:row>
      <xdr:rowOff>104140</xdr:rowOff>
    </xdr:to>
    <xdr:graphicFrame>
      <xdr:nvGraphicFramePr>
        <xdr:cNvPr id="6" name="Chart 5"/>
        <xdr:cNvGraphicFramePr/>
      </xdr:nvGraphicFramePr>
      <xdr:xfrm>
        <a:off x="0" y="29718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196</xdr:row>
      <xdr:rowOff>0</xdr:rowOff>
    </xdr:from>
    <xdr:to>
      <xdr:col>11</xdr:col>
      <xdr:colOff>152400</xdr:colOff>
      <xdr:row>229</xdr:row>
      <xdr:rowOff>104140</xdr:rowOff>
    </xdr:to>
    <xdr:graphicFrame>
      <xdr:nvGraphicFramePr>
        <xdr:cNvPr id="7" name="Chart 6"/>
        <xdr:cNvGraphicFramePr/>
      </xdr:nvGraphicFramePr>
      <xdr:xfrm>
        <a:off x="0" y="37338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236</xdr:row>
      <xdr:rowOff>0</xdr:rowOff>
    </xdr:from>
    <xdr:to>
      <xdr:col>11</xdr:col>
      <xdr:colOff>152400</xdr:colOff>
      <xdr:row>269</xdr:row>
      <xdr:rowOff>104140</xdr:rowOff>
    </xdr:to>
    <xdr:graphicFrame>
      <xdr:nvGraphicFramePr>
        <xdr:cNvPr id="8" name="Chart 7"/>
        <xdr:cNvGraphicFramePr/>
      </xdr:nvGraphicFramePr>
      <xdr:xfrm>
        <a:off x="0" y="44958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275</xdr:row>
      <xdr:rowOff>0</xdr:rowOff>
    </xdr:from>
    <xdr:to>
      <xdr:col>11</xdr:col>
      <xdr:colOff>152400</xdr:colOff>
      <xdr:row>308</xdr:row>
      <xdr:rowOff>104140</xdr:rowOff>
    </xdr:to>
    <xdr:graphicFrame>
      <xdr:nvGraphicFramePr>
        <xdr:cNvPr id="9" name="Chart 8"/>
        <xdr:cNvGraphicFramePr/>
      </xdr:nvGraphicFramePr>
      <xdr:xfrm>
        <a:off x="0" y="523875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314</xdr:row>
      <xdr:rowOff>0</xdr:rowOff>
    </xdr:from>
    <xdr:to>
      <xdr:col>11</xdr:col>
      <xdr:colOff>152400</xdr:colOff>
      <xdr:row>347</xdr:row>
      <xdr:rowOff>104140</xdr:rowOff>
    </xdr:to>
    <xdr:graphicFrame>
      <xdr:nvGraphicFramePr>
        <xdr:cNvPr id="10" name="Chart 9"/>
        <xdr:cNvGraphicFramePr/>
      </xdr:nvGraphicFramePr>
      <xdr:xfrm>
        <a:off x="0" y="59817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5"/>
  <sheetViews>
    <sheetView topLeftCell="G1" workbookViewId="0">
      <selection activeCell="AB3" sqref="AB3"/>
    </sheetView>
  </sheetViews>
  <sheetFormatPr defaultColWidth="8.81333333333333" defaultRowHeight="15"/>
  <cols>
    <col min="17" max="17" width="12.4533333333333"/>
    <col min="20" max="20" width="12.4533333333333"/>
    <col min="23" max="23" width="12.4533333333333"/>
    <col min="26" max="26" width="12.4533333333333"/>
  </cols>
  <sheetData>
    <row r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28">
      <c r="A2" s="5" t="s">
        <v>1</v>
      </c>
      <c r="B2" s="5"/>
      <c r="C2" s="2"/>
      <c r="D2" s="5" t="s">
        <v>2</v>
      </c>
      <c r="E2" s="5"/>
      <c r="F2" s="2"/>
      <c r="G2" s="5" t="s">
        <v>3</v>
      </c>
      <c r="H2" s="5"/>
      <c r="I2" s="2"/>
      <c r="J2" s="5" t="s">
        <v>4</v>
      </c>
      <c r="K2" s="5"/>
      <c r="L2" s="2"/>
      <c r="M2" s="5" t="s">
        <v>5</v>
      </c>
      <c r="N2" s="5"/>
      <c r="P2" t="s">
        <v>6</v>
      </c>
      <c r="S2" t="s">
        <v>7</v>
      </c>
      <c r="V2" t="s">
        <v>8</v>
      </c>
      <c r="Y2" t="s">
        <v>9</v>
      </c>
      <c r="AB2" t="s">
        <v>10</v>
      </c>
    </row>
    <row r="3" spans="1:29">
      <c r="A3" s="2">
        <v>0.00243</v>
      </c>
      <c r="B3" s="2">
        <v>287.54627</v>
      </c>
      <c r="C3" s="2"/>
      <c r="D3" s="2">
        <v>0.0024</v>
      </c>
      <c r="E3" s="2">
        <v>345.07187</v>
      </c>
      <c r="F3" s="2"/>
      <c r="G3" s="2">
        <v>0.00257</v>
      </c>
      <c r="H3" s="2">
        <v>403.8299</v>
      </c>
      <c r="I3" s="2"/>
      <c r="J3" s="2">
        <v>0.00232</v>
      </c>
      <c r="K3" s="2">
        <v>429.74229</v>
      </c>
      <c r="L3" s="2"/>
      <c r="M3" s="2">
        <v>0.00231</v>
      </c>
      <c r="N3" s="2">
        <v>448.23921</v>
      </c>
      <c r="P3">
        <v>0.003</v>
      </c>
      <c r="Q3">
        <f>788.687*P3^0.092</f>
        <v>462.167963485811</v>
      </c>
      <c r="S3">
        <v>0.003</v>
      </c>
      <c r="T3">
        <f>795.02*S3^0.08892</f>
        <v>474.289681235917</v>
      </c>
      <c r="V3">
        <v>0.003</v>
      </c>
      <c r="W3">
        <f>873.306*V3^0.10255</f>
        <v>481.332546568632</v>
      </c>
      <c r="Y3">
        <v>0.003</v>
      </c>
      <c r="Z3">
        <f>976.79*Y3^0.09551</f>
        <v>560.842679910816</v>
      </c>
      <c r="AB3" s="6">
        <v>0</v>
      </c>
      <c r="AC3" s="6">
        <v>0</v>
      </c>
    </row>
    <row r="4" spans="1:29">
      <c r="A4" s="2">
        <v>0.00272</v>
      </c>
      <c r="B4" s="2">
        <v>290.5856</v>
      </c>
      <c r="C4" s="2"/>
      <c r="D4" s="2">
        <v>0.00271</v>
      </c>
      <c r="E4" s="2">
        <v>348.62585</v>
      </c>
      <c r="F4" s="2"/>
      <c r="G4" s="2">
        <v>0.00288</v>
      </c>
      <c r="H4" s="2">
        <v>406.36375</v>
      </c>
      <c r="I4" s="2"/>
      <c r="J4" s="2">
        <v>0.00266</v>
      </c>
      <c r="K4" s="2">
        <v>435.39068</v>
      </c>
      <c r="L4" s="2"/>
      <c r="M4" s="2">
        <v>0.00259</v>
      </c>
      <c r="N4" s="2">
        <v>452.40283</v>
      </c>
      <c r="P4">
        <v>0.01</v>
      </c>
      <c r="Q4">
        <f t="shared" ref="Q4:Q19" si="0">788.687*P4^0.092</f>
        <v>516.303040216597</v>
      </c>
      <c r="S4">
        <v>0.01</v>
      </c>
      <c r="T4">
        <f t="shared" ref="T4:T19" si="1">795.02*S4^0.08892</f>
        <v>527.883459464422</v>
      </c>
      <c r="V4">
        <v>0.01</v>
      </c>
      <c r="W4">
        <f t="shared" ref="W4:W19" si="2">873.306*V4^0.10255</f>
        <v>544.585964245692</v>
      </c>
      <c r="Y4">
        <v>0.01</v>
      </c>
      <c r="Z4">
        <f t="shared" ref="Z4:Z11" si="3">976.79*Y4^0.09551</f>
        <v>629.189120965568</v>
      </c>
      <c r="AB4" s="6">
        <v>0.0032546977205</v>
      </c>
      <c r="AC4" s="6">
        <v>440.677129319</v>
      </c>
    </row>
    <row r="5" spans="1:29">
      <c r="A5" s="2">
        <v>0.00304</v>
      </c>
      <c r="B5" s="2">
        <v>292.9537</v>
      </c>
      <c r="C5" s="2"/>
      <c r="D5" s="2">
        <v>0.00303</v>
      </c>
      <c r="E5" s="2">
        <v>351.53479</v>
      </c>
      <c r="F5" s="2"/>
      <c r="G5" s="2">
        <v>0.00321</v>
      </c>
      <c r="H5" s="2">
        <v>408.43995</v>
      </c>
      <c r="I5" s="2"/>
      <c r="J5" s="2">
        <v>0.00297</v>
      </c>
      <c r="K5" s="2">
        <v>437.97853</v>
      </c>
      <c r="L5" s="2"/>
      <c r="M5" s="2">
        <v>0.00291</v>
      </c>
      <c r="N5" s="2">
        <v>457.36345</v>
      </c>
      <c r="P5">
        <v>0.015</v>
      </c>
      <c r="Q5">
        <f t="shared" si="0"/>
        <v>535.926310003873</v>
      </c>
      <c r="S5">
        <v>0.015</v>
      </c>
      <c r="T5">
        <f t="shared" si="1"/>
        <v>547.26300261885</v>
      </c>
      <c r="V5">
        <v>0.015</v>
      </c>
      <c r="W5">
        <f t="shared" si="2"/>
        <v>567.707461883112</v>
      </c>
      <c r="Y5">
        <v>0.015</v>
      </c>
      <c r="Z5">
        <f t="shared" si="3"/>
        <v>654.033029003581</v>
      </c>
      <c r="AB5" s="6">
        <v>0.00368320865159</v>
      </c>
      <c r="AC5" s="6">
        <v>473.527904067</v>
      </c>
    </row>
    <row r="6" spans="1:29">
      <c r="A6" s="2">
        <v>0.0034</v>
      </c>
      <c r="B6" s="2">
        <v>294.97606</v>
      </c>
      <c r="C6" s="2"/>
      <c r="D6" s="2">
        <v>0.00339</v>
      </c>
      <c r="E6" s="2">
        <v>354.33207</v>
      </c>
      <c r="F6" s="2"/>
      <c r="G6" s="2">
        <v>0.0036</v>
      </c>
      <c r="H6" s="2">
        <v>411.55532</v>
      </c>
      <c r="I6" s="2"/>
      <c r="J6" s="2">
        <v>0.0033</v>
      </c>
      <c r="K6" s="2">
        <v>440.511</v>
      </c>
      <c r="L6" s="2"/>
      <c r="M6" s="2">
        <v>0.00324</v>
      </c>
      <c r="N6" s="2">
        <v>460.4656</v>
      </c>
      <c r="P6">
        <v>0.02</v>
      </c>
      <c r="Q6">
        <f t="shared" si="0"/>
        <v>550.299910236815</v>
      </c>
      <c r="S6">
        <v>0.02</v>
      </c>
      <c r="T6">
        <f t="shared" si="1"/>
        <v>561.442961094595</v>
      </c>
      <c r="V6">
        <v>0.02</v>
      </c>
      <c r="W6">
        <f t="shared" si="2"/>
        <v>584.705353244797</v>
      </c>
      <c r="Y6">
        <v>0.02</v>
      </c>
      <c r="Z6">
        <f t="shared" si="3"/>
        <v>672.252737969871</v>
      </c>
      <c r="AB6" s="6">
        <v>0.00551476568802</v>
      </c>
      <c r="AC6" s="6">
        <v>501.704276458</v>
      </c>
    </row>
    <row r="7" spans="1:29">
      <c r="A7" s="2">
        <v>0.0038</v>
      </c>
      <c r="B7" s="2">
        <v>297.23668</v>
      </c>
      <c r="C7" s="2"/>
      <c r="D7" s="2">
        <v>0.00379</v>
      </c>
      <c r="E7" s="2">
        <v>357.39352</v>
      </c>
      <c r="F7" s="2"/>
      <c r="G7" s="2">
        <v>0.00402</v>
      </c>
      <c r="H7" s="2">
        <v>414.21106</v>
      </c>
      <c r="I7" s="2"/>
      <c r="J7" s="2">
        <v>0.0037</v>
      </c>
      <c r="K7" s="2">
        <v>443.71927</v>
      </c>
      <c r="L7" s="2"/>
      <c r="M7" s="2">
        <v>0.00363</v>
      </c>
      <c r="N7" s="2">
        <v>465.00311</v>
      </c>
      <c r="P7">
        <v>0.025</v>
      </c>
      <c r="Q7">
        <f t="shared" si="0"/>
        <v>561.713889963145</v>
      </c>
      <c r="S7">
        <v>0.025</v>
      </c>
      <c r="T7">
        <f t="shared" si="1"/>
        <v>572.694325207371</v>
      </c>
      <c r="V7">
        <v>0.025</v>
      </c>
      <c r="W7">
        <f t="shared" si="2"/>
        <v>598.239647420862</v>
      </c>
      <c r="Y7">
        <v>0.025</v>
      </c>
      <c r="Z7">
        <f t="shared" si="3"/>
        <v>686.733850299478</v>
      </c>
      <c r="AB7" s="6">
        <v>0.0100988346774</v>
      </c>
      <c r="AC7" s="6">
        <v>534.257869846</v>
      </c>
    </row>
    <row r="8" spans="1:29">
      <c r="A8" s="2">
        <v>0.00426</v>
      </c>
      <c r="B8" s="2">
        <v>298.57603</v>
      </c>
      <c r="C8" s="2"/>
      <c r="D8" s="2">
        <v>0.00424</v>
      </c>
      <c r="E8" s="2">
        <v>359.81189</v>
      </c>
      <c r="F8" s="2"/>
      <c r="G8" s="2">
        <v>0.0045</v>
      </c>
      <c r="H8" s="2">
        <v>416.91328</v>
      </c>
      <c r="I8" s="2"/>
      <c r="J8" s="2">
        <v>0.00418</v>
      </c>
      <c r="K8" s="2">
        <v>448.91837</v>
      </c>
      <c r="L8" s="2"/>
      <c r="M8" s="2">
        <v>0.00406</v>
      </c>
      <c r="N8" s="2">
        <v>468.78553</v>
      </c>
      <c r="P8">
        <v>0.03</v>
      </c>
      <c r="Q8">
        <f t="shared" si="0"/>
        <v>571.215308290564</v>
      </c>
      <c r="S8">
        <v>0.03</v>
      </c>
      <c r="T8">
        <f t="shared" si="1"/>
        <v>582.05453339944</v>
      </c>
      <c r="V8">
        <v>0.03</v>
      </c>
      <c r="W8">
        <f t="shared" si="2"/>
        <v>609.530200617355</v>
      </c>
      <c r="Y8">
        <v>0.03</v>
      </c>
      <c r="Z8">
        <f t="shared" si="3"/>
        <v>698.797038632278</v>
      </c>
      <c r="AB8" s="6">
        <v>0.017407604655</v>
      </c>
      <c r="AC8" s="6">
        <v>563.207524021</v>
      </c>
    </row>
    <row r="9" spans="1:29">
      <c r="A9" s="2">
        <v>0.00476</v>
      </c>
      <c r="B9" s="2">
        <v>300.50574</v>
      </c>
      <c r="C9" s="2"/>
      <c r="D9" s="2">
        <v>0.00475</v>
      </c>
      <c r="E9" s="2">
        <v>362.70428</v>
      </c>
      <c r="F9" s="2"/>
      <c r="G9" s="2">
        <v>0.00503</v>
      </c>
      <c r="H9" s="2">
        <v>419.94125</v>
      </c>
      <c r="I9" s="2"/>
      <c r="J9" s="2">
        <v>0.0048</v>
      </c>
      <c r="K9" s="2">
        <v>452.71912</v>
      </c>
      <c r="L9" s="2"/>
      <c r="M9" s="2">
        <v>0.00454</v>
      </c>
      <c r="N9" s="2">
        <v>472.95524</v>
      </c>
      <c r="P9">
        <v>0.035</v>
      </c>
      <c r="Q9">
        <f t="shared" si="0"/>
        <v>579.373920694223</v>
      </c>
      <c r="S9">
        <v>0.035</v>
      </c>
      <c r="T9">
        <f t="shared" si="1"/>
        <v>590.087730607861</v>
      </c>
      <c r="V9">
        <v>0.035</v>
      </c>
      <c r="W9">
        <f t="shared" si="2"/>
        <v>619.242309807394</v>
      </c>
      <c r="Y9">
        <v>0.035</v>
      </c>
      <c r="Z9">
        <f t="shared" si="3"/>
        <v>709.161489848112</v>
      </c>
      <c r="AB9" s="6">
        <v>0.0242144495081</v>
      </c>
      <c r="AC9" s="6">
        <v>592.242901093</v>
      </c>
    </row>
    <row r="10" spans="1:29">
      <c r="A10" s="2">
        <v>0.00533</v>
      </c>
      <c r="B10" s="2">
        <v>302.7674</v>
      </c>
      <c r="C10" s="2"/>
      <c r="D10" s="2">
        <v>0.00531</v>
      </c>
      <c r="E10" s="2">
        <v>365.23203</v>
      </c>
      <c r="F10" s="2"/>
      <c r="G10" s="2">
        <v>0.00563</v>
      </c>
      <c r="H10" s="2">
        <v>422.52788</v>
      </c>
      <c r="I10" s="2"/>
      <c r="J10" s="2">
        <v>0.00535</v>
      </c>
      <c r="K10" s="2">
        <v>455.1512</v>
      </c>
      <c r="L10" s="2"/>
      <c r="M10" s="2">
        <v>0.00508</v>
      </c>
      <c r="N10" s="2">
        <v>476.58667</v>
      </c>
      <c r="P10">
        <v>0.04</v>
      </c>
      <c r="Q10">
        <f t="shared" si="0"/>
        <v>586.535363184391</v>
      </c>
      <c r="S10">
        <v>0.04</v>
      </c>
      <c r="T10">
        <f t="shared" si="1"/>
        <v>597.135964219224</v>
      </c>
      <c r="V10">
        <v>0.04</v>
      </c>
      <c r="W10">
        <f t="shared" si="2"/>
        <v>627.780318552026</v>
      </c>
      <c r="Y10">
        <v>0.04</v>
      </c>
      <c r="Z10">
        <f t="shared" si="3"/>
        <v>718.263759892185</v>
      </c>
      <c r="AB10" s="6">
        <v>0.0345849847488</v>
      </c>
      <c r="AC10" s="6">
        <v>618.360052987</v>
      </c>
    </row>
    <row r="11" spans="1:29">
      <c r="A11" s="2">
        <v>0.00596</v>
      </c>
      <c r="B11" s="2">
        <v>305.13811</v>
      </c>
      <c r="C11" s="2"/>
      <c r="D11" s="2">
        <v>0.00594</v>
      </c>
      <c r="E11" s="2">
        <v>367.88623</v>
      </c>
      <c r="F11" s="2"/>
      <c r="G11" s="2">
        <v>0.0063</v>
      </c>
      <c r="H11" s="2">
        <v>425.47316</v>
      </c>
      <c r="I11" s="2"/>
      <c r="J11" s="2">
        <v>0.00598</v>
      </c>
      <c r="K11" s="2">
        <v>458.30018</v>
      </c>
      <c r="L11" s="2"/>
      <c r="M11" s="2">
        <v>0.00568</v>
      </c>
      <c r="N11" s="2">
        <v>480.02872</v>
      </c>
      <c r="P11">
        <v>0.045</v>
      </c>
      <c r="Q11">
        <f t="shared" si="0"/>
        <v>592.925643555112</v>
      </c>
      <c r="S11">
        <v>0.045</v>
      </c>
      <c r="T11">
        <f t="shared" si="1"/>
        <v>603.422793279546</v>
      </c>
      <c r="V11">
        <v>0.045</v>
      </c>
      <c r="W11">
        <f t="shared" si="2"/>
        <v>635.409037052353</v>
      </c>
      <c r="Y11">
        <v>0.045</v>
      </c>
      <c r="Z11">
        <f t="shared" si="3"/>
        <v>726.389456852056</v>
      </c>
      <c r="AB11" s="6">
        <v>0.0461867782993</v>
      </c>
      <c r="AC11" s="6">
        <v>640.113751796</v>
      </c>
    </row>
    <row r="12" spans="1:29">
      <c r="A12" s="2">
        <v>0.00667</v>
      </c>
      <c r="B12" s="2">
        <v>306.97131</v>
      </c>
      <c r="C12" s="2"/>
      <c r="D12" s="2">
        <v>0.00665</v>
      </c>
      <c r="E12" s="2">
        <v>370.04803</v>
      </c>
      <c r="F12" s="2"/>
      <c r="G12" s="2">
        <v>0.00705</v>
      </c>
      <c r="H12" s="2">
        <v>428.29775</v>
      </c>
      <c r="I12" s="2"/>
      <c r="J12" s="2">
        <v>0.00669</v>
      </c>
      <c r="K12" s="2">
        <v>461.9584</v>
      </c>
      <c r="L12" s="2"/>
      <c r="M12" s="2">
        <v>0.00635</v>
      </c>
      <c r="N12" s="2">
        <v>483.95422</v>
      </c>
      <c r="P12">
        <v>0.05</v>
      </c>
      <c r="Q12">
        <f t="shared" si="0"/>
        <v>598.700916221245</v>
      </c>
      <c r="S12">
        <v>0.05</v>
      </c>
      <c r="T12">
        <f t="shared" si="1"/>
        <v>609.102619113544</v>
      </c>
      <c r="V12">
        <v>0.05</v>
      </c>
      <c r="W12">
        <f t="shared" si="2"/>
        <v>642.311677743583</v>
      </c>
      <c r="Y12">
        <v>0.05</v>
      </c>
      <c r="Z12">
        <f t="shared" ref="Z12:Z19" si="4">976.79*Y12^0.09551</f>
        <v>733.736003591326</v>
      </c>
      <c r="AB12" s="6">
        <v>0.0572211896473</v>
      </c>
      <c r="AC12" s="6">
        <v>650.420312908</v>
      </c>
    </row>
    <row r="13" spans="1:29">
      <c r="A13" s="2">
        <v>0.00746</v>
      </c>
      <c r="B13" s="2">
        <v>309.18836</v>
      </c>
      <c r="C13" s="2"/>
      <c r="D13" s="2">
        <v>0.00743</v>
      </c>
      <c r="E13" s="2">
        <v>372.93002</v>
      </c>
      <c r="F13" s="2"/>
      <c r="G13" s="2">
        <v>0.00789</v>
      </c>
      <c r="H13" s="2">
        <v>430.91264</v>
      </c>
      <c r="I13" s="2"/>
      <c r="J13" s="2">
        <v>0.00748</v>
      </c>
      <c r="K13" s="2">
        <v>465.36499</v>
      </c>
      <c r="L13" s="2"/>
      <c r="M13" s="2">
        <v>0.00711</v>
      </c>
      <c r="N13" s="2">
        <v>489.56507</v>
      </c>
      <c r="P13">
        <v>0.055</v>
      </c>
      <c r="Q13">
        <f t="shared" si="0"/>
        <v>603.973730731917</v>
      </c>
      <c r="S13">
        <v>0.055</v>
      </c>
      <c r="T13">
        <f t="shared" si="1"/>
        <v>614.28668876971</v>
      </c>
      <c r="V13">
        <v>0.055</v>
      </c>
      <c r="W13">
        <f t="shared" si="2"/>
        <v>648.620450875041</v>
      </c>
      <c r="Y13">
        <v>0.055</v>
      </c>
      <c r="Z13">
        <f t="shared" si="4"/>
        <v>740.445750996371</v>
      </c>
      <c r="AB13" s="6">
        <v>0.072041552865</v>
      </c>
      <c r="AC13" s="6">
        <v>666.41878325</v>
      </c>
    </row>
    <row r="14" spans="1:29">
      <c r="A14" s="2">
        <v>0.00834</v>
      </c>
      <c r="B14" s="2">
        <v>310.48345</v>
      </c>
      <c r="C14" s="2"/>
      <c r="D14" s="2">
        <v>0.00832</v>
      </c>
      <c r="E14" s="2">
        <v>375.59997</v>
      </c>
      <c r="F14" s="2"/>
      <c r="G14" s="2">
        <v>0.00882</v>
      </c>
      <c r="H14" s="2">
        <v>434.36473</v>
      </c>
      <c r="I14" s="2"/>
      <c r="J14" s="2">
        <v>0.00837</v>
      </c>
      <c r="K14" s="2">
        <v>468.65532</v>
      </c>
      <c r="L14" s="2"/>
      <c r="M14" s="2">
        <v>0.00795</v>
      </c>
      <c r="N14" s="2">
        <v>493.47286</v>
      </c>
      <c r="P14">
        <v>0.06</v>
      </c>
      <c r="Q14">
        <f t="shared" si="0"/>
        <v>608.827971933541</v>
      </c>
      <c r="S14">
        <v>0.06</v>
      </c>
      <c r="T14">
        <f t="shared" si="1"/>
        <v>619.057890318952</v>
      </c>
      <c r="V14">
        <v>0.06</v>
      </c>
      <c r="W14">
        <f t="shared" si="2"/>
        <v>654.434000624652</v>
      </c>
      <c r="Y14">
        <v>0.06</v>
      </c>
      <c r="Z14">
        <f t="shared" si="4"/>
        <v>746.624833221638</v>
      </c>
      <c r="AB14" s="6">
        <v>0.0841021492875</v>
      </c>
      <c r="AC14" s="6">
        <v>663.09441854</v>
      </c>
    </row>
    <row r="15" spans="1:29">
      <c r="A15" s="2">
        <v>0.00933</v>
      </c>
      <c r="B15" s="2">
        <v>311.97212</v>
      </c>
      <c r="C15" s="2"/>
      <c r="D15" s="2">
        <v>0.0093</v>
      </c>
      <c r="E15" s="2">
        <v>377.9656</v>
      </c>
      <c r="F15" s="2"/>
      <c r="G15" s="2">
        <v>0.00987</v>
      </c>
      <c r="H15" s="2">
        <v>437.61184</v>
      </c>
      <c r="I15" s="2"/>
      <c r="J15" s="2">
        <v>0.00937</v>
      </c>
      <c r="K15" s="2">
        <v>472.3962</v>
      </c>
      <c r="L15" s="2"/>
      <c r="M15" s="2">
        <v>0.00889</v>
      </c>
      <c r="N15" s="2">
        <v>497.712</v>
      </c>
      <c r="P15">
        <v>0.065</v>
      </c>
      <c r="Q15">
        <f t="shared" si="0"/>
        <v>613.327886146323</v>
      </c>
      <c r="S15">
        <v>0.065</v>
      </c>
      <c r="T15">
        <f t="shared" si="1"/>
        <v>623.479688622804</v>
      </c>
      <c r="V15">
        <v>0.065</v>
      </c>
      <c r="W15">
        <f t="shared" si="2"/>
        <v>659.827950881944</v>
      </c>
      <c r="Y15">
        <v>0.065</v>
      </c>
      <c r="Z15">
        <f t="shared" si="4"/>
        <v>752.354563378556</v>
      </c>
      <c r="AB15" s="6">
        <v>0.0964368176368</v>
      </c>
      <c r="AC15" s="6">
        <v>653.81554854</v>
      </c>
    </row>
    <row r="16" spans="1:29">
      <c r="A16" s="2">
        <v>0.01044</v>
      </c>
      <c r="B16" s="2">
        <v>313.5625</v>
      </c>
      <c r="C16" s="2"/>
      <c r="D16" s="2">
        <v>0.01041</v>
      </c>
      <c r="E16" s="2">
        <v>380.00619</v>
      </c>
      <c r="F16" s="2"/>
      <c r="G16" s="2">
        <v>0.01104</v>
      </c>
      <c r="H16" s="2">
        <v>440.57302</v>
      </c>
      <c r="I16" s="2"/>
      <c r="J16" s="2">
        <v>0.01048</v>
      </c>
      <c r="K16" s="2">
        <v>475.30592</v>
      </c>
      <c r="L16" s="2"/>
      <c r="M16" s="2">
        <v>0.00995</v>
      </c>
      <c r="N16" s="2">
        <v>502.21475</v>
      </c>
      <c r="P16">
        <v>0.07</v>
      </c>
      <c r="Q16">
        <f t="shared" si="0"/>
        <v>617.523802334824</v>
      </c>
      <c r="S16">
        <v>0.07</v>
      </c>
      <c r="T16">
        <f t="shared" si="1"/>
        <v>627.601787550224</v>
      </c>
      <c r="V16">
        <v>0.07</v>
      </c>
      <c r="W16">
        <f t="shared" si="2"/>
        <v>664.861596279968</v>
      </c>
      <c r="Y16">
        <v>0.07</v>
      </c>
      <c r="Z16">
        <f t="shared" si="4"/>
        <v>757.698659000296</v>
      </c>
      <c r="AB16" s="6">
        <v>0.110718137934</v>
      </c>
      <c r="AC16" s="6">
        <v>639.473607763</v>
      </c>
    </row>
    <row r="17" spans="1:29">
      <c r="A17" s="2">
        <v>0.01168</v>
      </c>
      <c r="B17" s="2">
        <v>314.68601</v>
      </c>
      <c r="C17" s="2"/>
      <c r="D17" s="2">
        <v>0.01164</v>
      </c>
      <c r="E17" s="2">
        <v>381.27192</v>
      </c>
      <c r="F17" s="2"/>
      <c r="G17" s="2">
        <v>0.01235</v>
      </c>
      <c r="H17" s="2">
        <v>443.75498</v>
      </c>
      <c r="I17" s="2"/>
      <c r="J17" s="2">
        <v>0.01172</v>
      </c>
      <c r="K17" s="2">
        <v>479.24442</v>
      </c>
      <c r="L17" s="2"/>
      <c r="M17" s="2">
        <v>0.01113</v>
      </c>
      <c r="N17" s="2">
        <v>505.8419</v>
      </c>
      <c r="P17">
        <v>0.075</v>
      </c>
      <c r="Q17">
        <f t="shared" si="0"/>
        <v>621.455904446707</v>
      </c>
      <c r="S17">
        <v>0.075</v>
      </c>
      <c r="T17">
        <f t="shared" si="1"/>
        <v>631.463862454191</v>
      </c>
      <c r="V17">
        <v>0.075</v>
      </c>
      <c r="W17">
        <f t="shared" si="2"/>
        <v>669.582318036353</v>
      </c>
      <c r="Y17">
        <v>0.075</v>
      </c>
      <c r="Z17">
        <f t="shared" si="4"/>
        <v>762.708007699452</v>
      </c>
      <c r="AB17" s="6">
        <v>0.125627740894</v>
      </c>
      <c r="AC17" s="6">
        <v>609.636791546</v>
      </c>
    </row>
    <row r="18" spans="1:29">
      <c r="A18" s="2">
        <v>0.01307</v>
      </c>
      <c r="B18" s="2">
        <v>316.00413</v>
      </c>
      <c r="C18" s="2"/>
      <c r="D18" s="2">
        <v>0.01303</v>
      </c>
      <c r="E18" s="2">
        <v>383.65398</v>
      </c>
      <c r="F18" s="2"/>
      <c r="G18" s="2">
        <v>0.01382</v>
      </c>
      <c r="H18" s="2">
        <v>446.82512</v>
      </c>
      <c r="I18" s="2"/>
      <c r="J18" s="2">
        <v>0.01311</v>
      </c>
      <c r="K18" s="2">
        <v>483.9449</v>
      </c>
      <c r="L18" s="2"/>
      <c r="M18" s="2">
        <v>0.01245</v>
      </c>
      <c r="N18" s="2">
        <v>510.57218</v>
      </c>
      <c r="P18">
        <v>0.08</v>
      </c>
      <c r="Q18">
        <f t="shared" si="0"/>
        <v>625.156802438509</v>
      </c>
      <c r="S18">
        <v>0.08</v>
      </c>
      <c r="T18">
        <f t="shared" si="1"/>
        <v>635.098103409913</v>
      </c>
      <c r="V18">
        <v>0.08</v>
      </c>
      <c r="W18">
        <f t="shared" si="2"/>
        <v>674.028596068425</v>
      </c>
      <c r="Y18">
        <v>0.08</v>
      </c>
      <c r="Z18">
        <f t="shared" si="4"/>
        <v>767.4239160891</v>
      </c>
      <c r="AB18" s="6">
        <v>0.13870050969</v>
      </c>
      <c r="AC18" s="6">
        <v>574.52518843</v>
      </c>
    </row>
    <row r="19" spans="1:29">
      <c r="A19" s="2">
        <v>0.01462</v>
      </c>
      <c r="B19" s="2">
        <v>317.23207</v>
      </c>
      <c r="C19" s="2"/>
      <c r="D19" s="2">
        <v>0.01457</v>
      </c>
      <c r="E19" s="2">
        <v>385.54</v>
      </c>
      <c r="F19" s="2"/>
      <c r="G19" s="2">
        <v>0.01545</v>
      </c>
      <c r="H19" s="2">
        <v>449.76384</v>
      </c>
      <c r="I19" s="2"/>
      <c r="J19" s="2">
        <v>0.01467</v>
      </c>
      <c r="K19" s="2">
        <v>488.17582</v>
      </c>
      <c r="L19" s="2"/>
      <c r="M19" s="2">
        <v>0.01392</v>
      </c>
      <c r="N19" s="2">
        <v>514.88056</v>
      </c>
      <c r="P19">
        <v>0.085</v>
      </c>
      <c r="Q19">
        <f t="shared" si="0"/>
        <v>628.653334582081</v>
      </c>
      <c r="S19">
        <v>0.085</v>
      </c>
      <c r="T19">
        <f t="shared" si="1"/>
        <v>638.530997640319</v>
      </c>
      <c r="V19">
        <v>0.085</v>
      </c>
      <c r="W19">
        <f t="shared" si="2"/>
        <v>678.23212213654</v>
      </c>
      <c r="Y19">
        <v>0.085</v>
      </c>
      <c r="Z19">
        <f t="shared" si="4"/>
        <v>771.880387883309</v>
      </c>
      <c r="AB19" s="6">
        <v>0.152412026388</v>
      </c>
      <c r="AC19" s="6">
        <v>526.129078186</v>
      </c>
    </row>
    <row r="20" spans="1:29">
      <c r="A20" s="2">
        <v>0.01636</v>
      </c>
      <c r="B20" s="2">
        <v>318.36874</v>
      </c>
      <c r="C20" s="2"/>
      <c r="D20" s="2">
        <v>0.0163</v>
      </c>
      <c r="E20" s="2">
        <v>387.96265</v>
      </c>
      <c r="F20" s="2"/>
      <c r="G20" s="2">
        <v>0.01729</v>
      </c>
      <c r="H20" s="2">
        <v>452.89263</v>
      </c>
      <c r="I20" s="2"/>
      <c r="J20" s="2">
        <v>0.01641</v>
      </c>
      <c r="K20" s="2">
        <v>492.22097</v>
      </c>
      <c r="L20" s="2"/>
      <c r="M20" s="2">
        <v>0.01558</v>
      </c>
      <c r="N20" s="2">
        <v>519.46027</v>
      </c>
      <c r="AB20" s="6">
        <v>0.162790392648</v>
      </c>
      <c r="AC20" s="6">
        <v>471.393572146</v>
      </c>
    </row>
    <row r="21" spans="1:29">
      <c r="A21" s="2">
        <v>0.0183</v>
      </c>
      <c r="B21" s="2">
        <v>319.75051</v>
      </c>
      <c r="C21" s="2"/>
      <c r="D21" s="2">
        <v>0.01824</v>
      </c>
      <c r="E21" s="2">
        <v>389.80265</v>
      </c>
      <c r="F21" s="2"/>
      <c r="G21" s="2">
        <v>0.01934</v>
      </c>
      <c r="H21" s="2">
        <v>455.81969</v>
      </c>
      <c r="I21" s="2"/>
      <c r="J21" s="2">
        <v>0.01835</v>
      </c>
      <c r="K21" s="2">
        <v>496.37449</v>
      </c>
      <c r="L21" s="2"/>
      <c r="M21" s="2">
        <v>0.01742</v>
      </c>
      <c r="N21" s="2">
        <v>524.23883</v>
      </c>
      <c r="AB21" s="6">
        <v>0.166750961803</v>
      </c>
      <c r="AC21" s="6">
        <v>454.197233385</v>
      </c>
    </row>
    <row r="22" spans="1:14">
      <c r="A22" s="2">
        <v>0.02047</v>
      </c>
      <c r="B22" s="2">
        <v>320.75103</v>
      </c>
      <c r="C22" s="2"/>
      <c r="D22" s="2">
        <v>0.0204</v>
      </c>
      <c r="E22" s="2">
        <v>391.88548</v>
      </c>
      <c r="F22" s="2"/>
      <c r="G22" s="2">
        <v>0.02164</v>
      </c>
      <c r="H22" s="2">
        <v>458.76568</v>
      </c>
      <c r="I22" s="2"/>
      <c r="J22" s="2">
        <v>0.02053</v>
      </c>
      <c r="K22" s="2">
        <v>500.41209</v>
      </c>
      <c r="L22" s="2"/>
      <c r="M22" s="2">
        <v>0.01949</v>
      </c>
      <c r="N22" s="2">
        <v>529.30078</v>
      </c>
    </row>
    <row r="23" spans="1:14">
      <c r="A23" s="2">
        <v>0.0229</v>
      </c>
      <c r="B23" s="2">
        <v>321.65765</v>
      </c>
      <c r="C23" s="2"/>
      <c r="D23" s="2">
        <v>0.02283</v>
      </c>
      <c r="E23" s="2">
        <v>393.70789</v>
      </c>
      <c r="F23" s="2"/>
      <c r="G23" s="2">
        <v>0.02421</v>
      </c>
      <c r="H23" s="2">
        <v>461.38264</v>
      </c>
      <c r="I23" s="2"/>
      <c r="J23" s="2">
        <v>0.02297</v>
      </c>
      <c r="K23" s="2">
        <v>504.25433</v>
      </c>
      <c r="L23" s="2"/>
      <c r="M23" s="2">
        <v>0.0218</v>
      </c>
      <c r="N23" s="2">
        <v>534.65347</v>
      </c>
    </row>
    <row r="24" spans="1:14">
      <c r="A24" s="2">
        <v>0.02485</v>
      </c>
      <c r="B24" s="2">
        <v>322.01648</v>
      </c>
      <c r="C24" s="2"/>
      <c r="D24" s="2">
        <v>0.02554</v>
      </c>
      <c r="E24" s="2">
        <v>395.48788</v>
      </c>
      <c r="F24" s="2"/>
      <c r="G24" s="2">
        <v>0.02708</v>
      </c>
      <c r="H24" s="2">
        <v>464.08453</v>
      </c>
      <c r="I24" s="2"/>
      <c r="J24" s="2">
        <v>0.02569</v>
      </c>
      <c r="K24" s="2">
        <v>508.43271</v>
      </c>
      <c r="L24" s="2"/>
      <c r="M24" s="2">
        <v>0.02439</v>
      </c>
      <c r="N24" s="2">
        <v>539.97884</v>
      </c>
    </row>
    <row r="25" spans="1:14">
      <c r="A25" s="2"/>
      <c r="B25" s="2"/>
      <c r="C25" s="2"/>
      <c r="D25" s="2">
        <v>0.02857</v>
      </c>
      <c r="E25" s="2">
        <v>396.45457</v>
      </c>
      <c r="F25" s="2"/>
      <c r="G25" s="2">
        <v>0.03029</v>
      </c>
      <c r="H25" s="2">
        <v>466.80223</v>
      </c>
      <c r="I25" s="2"/>
      <c r="J25" s="2">
        <v>0.02874</v>
      </c>
      <c r="K25" s="2">
        <v>512.87771</v>
      </c>
      <c r="L25" s="2"/>
      <c r="M25" s="2">
        <v>0.02728</v>
      </c>
      <c r="N25" s="2">
        <v>545.275</v>
      </c>
    </row>
    <row r="26" spans="1:14">
      <c r="A26" s="2"/>
      <c r="B26" s="2"/>
      <c r="C26" s="2"/>
      <c r="D26" s="2">
        <v>0.03069</v>
      </c>
      <c r="E26" s="2">
        <v>397.33305</v>
      </c>
      <c r="F26" s="2"/>
      <c r="G26" s="2">
        <v>0.03389</v>
      </c>
      <c r="H26" s="2">
        <v>469.39424</v>
      </c>
      <c r="I26" s="2"/>
      <c r="J26" s="2">
        <v>0.03215</v>
      </c>
      <c r="K26" s="2">
        <v>516.89362</v>
      </c>
      <c r="L26" s="2"/>
      <c r="M26" s="2">
        <v>0.03052</v>
      </c>
      <c r="N26" s="2">
        <v>551.20474</v>
      </c>
    </row>
    <row r="27" spans="1:14">
      <c r="A27" s="2"/>
      <c r="B27" s="2"/>
      <c r="C27" s="2"/>
      <c r="D27" s="2"/>
      <c r="E27" s="2"/>
      <c r="F27" s="2"/>
      <c r="G27" s="2">
        <v>0.03791</v>
      </c>
      <c r="H27" s="2">
        <v>471.78712</v>
      </c>
      <c r="I27" s="2"/>
      <c r="J27" s="2">
        <v>0.03597</v>
      </c>
      <c r="K27" s="2">
        <v>521.01954</v>
      </c>
      <c r="L27" s="2"/>
      <c r="M27" s="2">
        <v>0.03414</v>
      </c>
      <c r="N27" s="2">
        <v>557.03091</v>
      </c>
    </row>
    <row r="28" spans="1:14">
      <c r="A28" s="2"/>
      <c r="B28" s="2"/>
      <c r="C28" s="2"/>
      <c r="D28" s="2"/>
      <c r="E28" s="2"/>
      <c r="F28" s="2"/>
      <c r="G28" s="2">
        <v>0.04114</v>
      </c>
      <c r="H28" s="2">
        <v>472.94071</v>
      </c>
      <c r="I28" s="2"/>
      <c r="J28" s="2">
        <v>0.04024</v>
      </c>
      <c r="K28" s="2">
        <v>525.25761</v>
      </c>
      <c r="L28" s="2"/>
      <c r="M28" s="2">
        <v>0.03819</v>
      </c>
      <c r="N28" s="2">
        <v>562.57917</v>
      </c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>
        <v>0.04501</v>
      </c>
      <c r="K29" s="2">
        <v>529.61002</v>
      </c>
      <c r="L29" s="2"/>
      <c r="M29" s="2">
        <v>0.04272</v>
      </c>
      <c r="N29" s="2">
        <v>568.52557</v>
      </c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>
        <v>0.05035</v>
      </c>
      <c r="K30" s="2">
        <v>533.75694</v>
      </c>
      <c r="L30" s="2"/>
      <c r="M30" s="2">
        <v>0.04779</v>
      </c>
      <c r="N30" s="2">
        <v>574.01515</v>
      </c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>
        <v>0.05633</v>
      </c>
      <c r="K31" s="2">
        <v>538.09862</v>
      </c>
      <c r="L31" s="2"/>
      <c r="M31" s="2">
        <v>0.05346</v>
      </c>
      <c r="N31" s="2">
        <v>579.82002</v>
      </c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>
        <v>0.06301</v>
      </c>
      <c r="K32" s="2">
        <v>542.39381</v>
      </c>
      <c r="L32" s="2"/>
      <c r="M32" s="2">
        <v>0.0598</v>
      </c>
      <c r="N32" s="2">
        <v>585.77193</v>
      </c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>
        <v>0.07049</v>
      </c>
      <c r="K33" s="2">
        <v>546.64083</v>
      </c>
      <c r="L33" s="2"/>
      <c r="M33" s="2">
        <v>0.0669</v>
      </c>
      <c r="N33" s="2">
        <v>592.3207</v>
      </c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>
        <v>0.07886</v>
      </c>
      <c r="K34" s="2">
        <v>550.75495</v>
      </c>
      <c r="L34" s="2"/>
      <c r="M34" s="2">
        <v>0.07467</v>
      </c>
      <c r="N34" s="2">
        <v>597.33227</v>
      </c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>
        <v>0.08182</v>
      </c>
      <c r="N35" s="2">
        <v>601.62688</v>
      </c>
    </row>
  </sheetData>
  <mergeCells count="6">
    <mergeCell ref="A1:N1"/>
    <mergeCell ref="A2:B2"/>
    <mergeCell ref="D2:E2"/>
    <mergeCell ref="G2:H2"/>
    <mergeCell ref="J2:K2"/>
    <mergeCell ref="M2:N2"/>
  </mergeCell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95:R256"/>
  <sheetViews>
    <sheetView topLeftCell="A193" workbookViewId="0">
      <selection activeCell="I232" sqref="I232"/>
    </sheetView>
  </sheetViews>
  <sheetFormatPr defaultColWidth="8.81333333333333" defaultRowHeight="15"/>
  <cols>
    <col min="15" max="15" width="12.5"/>
    <col min="16" max="16" width="12.4533333333333"/>
    <col min="18" max="18" width="12.4533333333333"/>
  </cols>
  <sheetData>
    <row r="95" spans="15:16">
      <c r="O95">
        <f>P95*24</f>
        <v>480000000000000</v>
      </c>
      <c r="P95">
        <f>20000000000000</f>
        <v>20000000000000</v>
      </c>
    </row>
    <row r="96" spans="15:15">
      <c r="O96">
        <f>SQRT(O95)</f>
        <v>21908902.3002066</v>
      </c>
    </row>
    <row r="97" spans="15:15">
      <c r="O97">
        <f>O96*0.000001</f>
        <v>21.9089023002066</v>
      </c>
    </row>
    <row r="98" spans="15:15">
      <c r="O98">
        <f>O97*72*0.248*0.3</f>
        <v>117.361607841747</v>
      </c>
    </row>
    <row r="244" spans="16:18">
      <c r="P244">
        <f>0.0015/(0.000000000000000001)</f>
        <v>1500000000000000</v>
      </c>
      <c r="R244">
        <f>SQRT(P244)</f>
        <v>38729833.4620742</v>
      </c>
    </row>
    <row r="245" spans="18:18">
      <c r="R245">
        <f>R244*0.5*74.76*0.248</f>
        <v>359034851.353458</v>
      </c>
    </row>
    <row r="246" spans="18:18">
      <c r="R246">
        <f>R245/1000000</f>
        <v>359.034851353458</v>
      </c>
    </row>
    <row r="252" spans="15:16">
      <c r="O252">
        <f>50000000000000*SQRT(2.95)*1000000000</f>
        <v>8.58778201865883e+22</v>
      </c>
      <c r="P252">
        <f>50000000000000*0.0000037</f>
        <v>185000000</v>
      </c>
    </row>
    <row r="253" spans="15:18">
      <c r="O253">
        <f>0.0000037*SQRT(2.95)*0.001</f>
        <v>6.35495869380754e-9</v>
      </c>
      <c r="P253">
        <f>SQRT(P252)</f>
        <v>13601.4705087354</v>
      </c>
      <c r="R253">
        <f>O252*O253</f>
        <v>545750000000000</v>
      </c>
    </row>
    <row r="254" spans="15:15">
      <c r="O254">
        <f>SQRT(O252*O253)</f>
        <v>23361292.7724473</v>
      </c>
    </row>
    <row r="255" spans="15:15">
      <c r="O255">
        <f>O254*0.5*80*0.248</f>
        <v>231744024.302678</v>
      </c>
    </row>
    <row r="256" spans="15:15">
      <c r="O256">
        <f>O255/1000000</f>
        <v>231.744024302678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topLeftCell="A4" workbookViewId="0">
      <selection activeCell="A1" sqref="A1:O90"/>
    </sheetView>
  </sheetViews>
  <sheetFormatPr defaultColWidth="8.81333333333333" defaultRowHeight="15"/>
  <cols>
    <col min="1" max="4" width="12.4533333333333" style="2"/>
    <col min="5" max="6" width="13.6266666666667" style="2"/>
    <col min="7" max="8" width="12.4533333333333" style="2"/>
    <col min="9" max="14" width="13.6266666666667" style="2"/>
    <col min="15" max="15" width="12.4533333333333" style="2"/>
  </cols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1.9976580863321e-21</v>
      </c>
      <c r="C3" s="2">
        <v>90.287237728265</v>
      </c>
      <c r="D3" s="3">
        <v>7.0630014035683e-6</v>
      </c>
      <c r="E3" s="2">
        <v>6.6107837024378</v>
      </c>
      <c r="F3" s="2">
        <v>0.99204084537713</v>
      </c>
      <c r="G3" s="2">
        <v>16000000</v>
      </c>
      <c r="H3" s="2">
        <v>4000000</v>
      </c>
      <c r="I3" s="3">
        <v>-2.1361501360096e-6</v>
      </c>
      <c r="J3" s="3">
        <v>-1.8977076455145e-6</v>
      </c>
      <c r="K3" s="3">
        <v>7.7492129382476e-6</v>
      </c>
      <c r="L3" s="3">
        <v>-1.7049276449183e-7</v>
      </c>
      <c r="M3" s="3">
        <v>-1.7567193443739e-7</v>
      </c>
      <c r="N3" s="2">
        <v>1.567979671108</v>
      </c>
      <c r="O3" s="2">
        <v>1.6976235584337</v>
      </c>
    </row>
    <row r="4" spans="1:15">
      <c r="A4" s="2">
        <v>0.018444056862426</v>
      </c>
      <c r="B4" s="3">
        <v>8.3470414830773e-19</v>
      </c>
      <c r="C4" s="2">
        <v>90.287547719651</v>
      </c>
      <c r="D4" s="3">
        <v>5.0433921030443e-5</v>
      </c>
      <c r="E4" s="2">
        <v>6.6107987314535</v>
      </c>
      <c r="F4" s="2">
        <v>0.99209975604298</v>
      </c>
      <c r="G4" s="2">
        <v>16000000</v>
      </c>
      <c r="H4" s="2">
        <v>4000000</v>
      </c>
      <c r="I4" s="3">
        <v>-1.5255130195832e-5</v>
      </c>
      <c r="J4" s="3">
        <v>-1.355235395922e-5</v>
      </c>
      <c r="K4" s="3">
        <v>5.5330600197187e-5</v>
      </c>
      <c r="L4" s="3">
        <v>-8.6883951224987e-6</v>
      </c>
      <c r="M4" s="3">
        <v>-8.953091087183e-6</v>
      </c>
      <c r="N4" s="2">
        <v>11.198913666838</v>
      </c>
      <c r="O4" s="2">
        <v>12.124533330828</v>
      </c>
    </row>
    <row r="5" spans="1:15">
      <c r="A5" s="2">
        <v>0.1</v>
      </c>
      <c r="B5" s="3">
        <v>2.4057483144833e-13</v>
      </c>
      <c r="C5" s="2">
        <v>90.289186005251</v>
      </c>
      <c r="D5" s="2">
        <v>0.00027349544391141</v>
      </c>
      <c r="E5" s="2">
        <v>6.6108750865336</v>
      </c>
      <c r="F5" s="2">
        <v>0.99240244271317</v>
      </c>
      <c r="G5" s="2">
        <v>16000000.000027</v>
      </c>
      <c r="H5" s="2">
        <v>4000000.0001705</v>
      </c>
      <c r="I5" s="3">
        <v>-8.2783944386097e-5</v>
      </c>
      <c r="J5" s="3">
        <v>-7.3544828230525e-5</v>
      </c>
      <c r="K5" s="2">
        <v>0.00029995384460859</v>
      </c>
      <c r="L5" s="2">
        <v>-0.00025378497422464</v>
      </c>
      <c r="M5" s="2">
        <v>-0.00026175520731724</v>
      </c>
      <c r="N5" s="2">
        <v>60.812629067879</v>
      </c>
      <c r="O5" s="2">
        <v>65.828906742552</v>
      </c>
    </row>
    <row r="6" spans="1:15">
      <c r="A6" s="2">
        <v>0.20668493909835</v>
      </c>
      <c r="B6" s="3">
        <v>7.1450922529774e-10</v>
      </c>
      <c r="C6" s="2">
        <v>90.291451147611</v>
      </c>
      <c r="D6" s="2">
        <v>0.00056540659805989</v>
      </c>
      <c r="E6" s="2">
        <v>6.6109729546761</v>
      </c>
      <c r="F6" s="2">
        <v>0.99279783344611</v>
      </c>
      <c r="G6" s="2">
        <v>16000000.072758</v>
      </c>
      <c r="H6" s="2">
        <v>4000000.4659148</v>
      </c>
      <c r="I6" s="2">
        <v>-0.00017127817248425</v>
      </c>
      <c r="J6" s="2">
        <v>-0.00015216567106159</v>
      </c>
      <c r="K6" s="2">
        <v>0.00061985769292213</v>
      </c>
      <c r="L6" s="2">
        <v>-0.0010876371621991</v>
      </c>
      <c r="M6" s="2">
        <v>-0.0011215137193275</v>
      </c>
      <c r="N6" s="2">
        <v>125.92036968484</v>
      </c>
      <c r="O6" s="2">
        <v>136.28218586921</v>
      </c>
    </row>
    <row r="7" spans="1:15">
      <c r="A7" s="2">
        <v>0.40668493909835</v>
      </c>
      <c r="B7" s="3">
        <v>2.1450304643885e-5</v>
      </c>
      <c r="C7" s="2">
        <v>90.295962742198</v>
      </c>
      <c r="D7" s="2">
        <v>0.0011159436875343</v>
      </c>
      <c r="E7" s="2">
        <v>6.6114467179569</v>
      </c>
      <c r="F7" s="2">
        <v>0.99343899678324</v>
      </c>
      <c r="G7" s="2">
        <v>16002097.403145</v>
      </c>
      <c r="H7" s="2">
        <v>4013428.91543</v>
      </c>
      <c r="I7" s="2">
        <v>-0.00034291322866754</v>
      </c>
      <c r="J7" s="2">
        <v>-0.00030442488700071</v>
      </c>
      <c r="K7" s="2">
        <v>0.001219291784236</v>
      </c>
      <c r="L7" s="2">
        <v>-0.0035761098952859</v>
      </c>
      <c r="M7" s="2">
        <v>-0.0037515316864299</v>
      </c>
      <c r="N7" s="2">
        <v>244.61818001477</v>
      </c>
      <c r="O7" s="2">
        <v>264.91107099967</v>
      </c>
    </row>
    <row r="8" spans="1:15">
      <c r="A8" s="2">
        <v>0.60668493909835</v>
      </c>
      <c r="B8" s="2">
        <v>0.00041694953565771</v>
      </c>
      <c r="C8" s="2">
        <v>90.29839617731</v>
      </c>
      <c r="D8" s="2">
        <v>0.0017057792338267</v>
      </c>
      <c r="E8" s="2">
        <v>6.6160304838926</v>
      </c>
      <c r="F8" s="2">
        <v>0.99228373481293</v>
      </c>
      <c r="G8" s="2">
        <v>16042774.834857</v>
      </c>
      <c r="H8" s="2">
        <v>4273577.070154</v>
      </c>
      <c r="I8" s="2">
        <v>-0.00059709169590256</v>
      </c>
      <c r="J8" s="2">
        <v>-0.00053292703908891</v>
      </c>
      <c r="K8" s="2">
        <v>0.0018183575280212</v>
      </c>
      <c r="L8" s="2">
        <v>-0.011910633710481</v>
      </c>
      <c r="M8" s="2">
        <v>-0.011616754452466</v>
      </c>
      <c r="N8" s="2">
        <v>295.54109931812</v>
      </c>
      <c r="O8" s="2">
        <v>323.08207625225</v>
      </c>
    </row>
    <row r="9" spans="1:15">
      <c r="A9" s="2">
        <v>0.80668493909835</v>
      </c>
      <c r="B9" s="2">
        <v>0.0010128084096161</v>
      </c>
      <c r="C9" s="2">
        <v>90.301608312519</v>
      </c>
      <c r="D9" s="2">
        <v>0.0023124238154817</v>
      </c>
      <c r="E9" s="2">
        <v>6.6207408438828</v>
      </c>
      <c r="F9" s="2">
        <v>0.99005393110652</v>
      </c>
      <c r="G9" s="2">
        <v>16109619.833901</v>
      </c>
      <c r="H9" s="2">
        <v>4700209.3122525</v>
      </c>
      <c r="I9" s="2">
        <v>-0.00089519402181257</v>
      </c>
      <c r="J9" s="2">
        <v>-0.00080437228844377</v>
      </c>
      <c r="K9" s="2">
        <v>0.0024170587249568</v>
      </c>
      <c r="L9" s="2">
        <v>-0.014288167728436</v>
      </c>
      <c r="M9" s="2">
        <v>-0.014190705450075</v>
      </c>
      <c r="N9" s="2">
        <v>308.58189858898</v>
      </c>
      <c r="O9" s="2">
        <v>340.02557154144</v>
      </c>
    </row>
    <row r="10" spans="1:15">
      <c r="A10" s="2">
        <v>1.0066849390983</v>
      </c>
      <c r="B10" s="2">
        <v>0.0016194447726108</v>
      </c>
      <c r="C10" s="2">
        <v>90.304350245907</v>
      </c>
      <c r="D10" s="2">
        <v>0.0029247236777553</v>
      </c>
      <c r="E10" s="2">
        <v>6.6248493900689</v>
      </c>
      <c r="F10" s="2">
        <v>0.98687974293969</v>
      </c>
      <c r="G10" s="2">
        <v>16183967.301318</v>
      </c>
      <c r="H10" s="2">
        <v>5173591.3624244</v>
      </c>
      <c r="I10" s="2">
        <v>-0.001201951830705</v>
      </c>
      <c r="J10" s="2">
        <v>-0.0010820485143076</v>
      </c>
      <c r="K10" s="2">
        <v>0.0030153944846118</v>
      </c>
      <c r="L10" s="2">
        <v>-0.020279047720436</v>
      </c>
      <c r="M10" s="2">
        <v>-0.020572752624566</v>
      </c>
      <c r="N10" s="2">
        <v>314.95787138428</v>
      </c>
      <c r="O10" s="2">
        <v>348.53923951454</v>
      </c>
    </row>
    <row r="11" spans="1:15">
      <c r="A11" s="2">
        <v>1.2066849390983</v>
      </c>
      <c r="B11" s="2">
        <v>0.0022236872104259</v>
      </c>
      <c r="C11" s="2">
        <v>90.305802457155</v>
      </c>
      <c r="D11" s="2">
        <v>0.0035395549192187</v>
      </c>
      <c r="E11" s="2">
        <v>6.628924777843</v>
      </c>
      <c r="F11" s="2">
        <v>0.98325615171306</v>
      </c>
      <c r="G11" s="2">
        <v>16262521.911728</v>
      </c>
      <c r="H11" s="2">
        <v>5672550.0045867</v>
      </c>
      <c r="I11" s="2">
        <v>-0.0015130869696239</v>
      </c>
      <c r="J11" s="2">
        <v>-0.0013605145623266</v>
      </c>
      <c r="K11" s="2">
        <v>0.0036133658719525</v>
      </c>
      <c r="L11" s="2">
        <v>-0.025939411386212</v>
      </c>
      <c r="M11" s="2">
        <v>-0.026404435816623</v>
      </c>
      <c r="N11" s="2">
        <v>318.86891679879</v>
      </c>
      <c r="O11" s="2">
        <v>353.60641722927</v>
      </c>
    </row>
    <row r="12" spans="1:15">
      <c r="A12" s="2">
        <v>1.4066849390983</v>
      </c>
      <c r="B12" s="2">
        <v>0.0028275395572812</v>
      </c>
      <c r="C12" s="2">
        <v>90.306307413753</v>
      </c>
      <c r="D12" s="2">
        <v>0.0041551444000373</v>
      </c>
      <c r="E12" s="2">
        <v>6.6330520943054</v>
      </c>
      <c r="F12" s="2">
        <v>0.97957274427444</v>
      </c>
      <c r="G12" s="2">
        <v>16343963.035143</v>
      </c>
      <c r="H12" s="2">
        <v>6188594.3098775</v>
      </c>
      <c r="I12" s="2">
        <v>-0.0018266891936172</v>
      </c>
      <c r="J12" s="2">
        <v>-0.0016387497606471</v>
      </c>
      <c r="K12" s="2">
        <v>0.0042109740300429</v>
      </c>
      <c r="L12" s="2">
        <v>-0.030884873875463</v>
      </c>
      <c r="M12" s="2">
        <v>-0.031443963675436</v>
      </c>
      <c r="N12" s="2">
        <v>321.58670948532</v>
      </c>
      <c r="O12" s="2">
        <v>357.01157853161</v>
      </c>
    </row>
    <row r="13" spans="1:15">
      <c r="A13" s="2">
        <v>1.6066849390983</v>
      </c>
      <c r="B13" s="2">
        <v>0.003431577655515</v>
      </c>
      <c r="C13" s="2">
        <v>90.306218285957</v>
      </c>
      <c r="D13" s="2">
        <v>0.0047706275156486</v>
      </c>
      <c r="E13" s="2">
        <v>6.6372320384829</v>
      </c>
      <c r="F13" s="2">
        <v>0.97588917742711</v>
      </c>
      <c r="G13" s="2">
        <v>16427559.462332</v>
      </c>
      <c r="H13" s="2">
        <v>6717026.2271487</v>
      </c>
      <c r="I13" s="2">
        <v>-0.0021416736366037</v>
      </c>
      <c r="J13" s="2">
        <v>-0.0019165739807279</v>
      </c>
      <c r="K13" s="2">
        <v>0.0048082199295859</v>
      </c>
      <c r="L13" s="2">
        <v>-0.035795726071969</v>
      </c>
      <c r="M13" s="2">
        <v>-0.036414698990031</v>
      </c>
      <c r="N13" s="2">
        <v>323.6786324312</v>
      </c>
      <c r="O13" s="2">
        <v>359.57044713298</v>
      </c>
    </row>
    <row r="14" spans="1:15">
      <c r="A14" s="2">
        <v>1.8066849390983</v>
      </c>
      <c r="B14" s="2">
        <v>0.0040359751399879</v>
      </c>
      <c r="C14" s="2">
        <v>90.305764445625</v>
      </c>
      <c r="D14" s="2">
        <v>0.0053857372625126</v>
      </c>
      <c r="E14" s="2">
        <v>6.6414533109378</v>
      </c>
      <c r="F14" s="2">
        <v>0.9722294336328</v>
      </c>
      <c r="G14" s="2">
        <v>16512904.799814</v>
      </c>
      <c r="H14" s="2">
        <v>7255238.8373409</v>
      </c>
      <c r="I14" s="2">
        <v>-0.0024573262597558</v>
      </c>
      <c r="J14" s="2">
        <v>-0.0021941123514051</v>
      </c>
      <c r="K14" s="2">
        <v>0.0054051043518358</v>
      </c>
      <c r="L14" s="2">
        <v>-0.040767485435398</v>
      </c>
      <c r="M14" s="2">
        <v>-0.041405017343182</v>
      </c>
      <c r="N14" s="2">
        <v>325.41444603243</v>
      </c>
      <c r="O14" s="2">
        <v>361.66783555251</v>
      </c>
    </row>
    <row r="15" spans="1:15">
      <c r="A15" s="2">
        <v>2.0066849390983</v>
      </c>
      <c r="B15" s="2">
        <v>0.0046408424296919</v>
      </c>
      <c r="C15" s="2">
        <v>90.305093884957</v>
      </c>
      <c r="D15" s="2">
        <v>0.0060004864032613</v>
      </c>
      <c r="E15" s="2">
        <v>6.6457055483746</v>
      </c>
      <c r="F15" s="2">
        <v>0.96860140078381</v>
      </c>
      <c r="G15" s="2">
        <v>16599754.49897</v>
      </c>
      <c r="H15" s="2">
        <v>7801667.3006397</v>
      </c>
      <c r="I15" s="2">
        <v>-0.0027732097143425</v>
      </c>
      <c r="J15" s="2">
        <v>-0.0024714982581225</v>
      </c>
      <c r="K15" s="2">
        <v>0.0060016278136792</v>
      </c>
      <c r="L15" s="2">
        <v>-0.045640902984547</v>
      </c>
      <c r="M15" s="2">
        <v>-0.046300859404875</v>
      </c>
      <c r="N15" s="2">
        <v>326.93508000873</v>
      </c>
      <c r="O15" s="2">
        <v>363.49565302107</v>
      </c>
    </row>
    <row r="16" spans="1:15">
      <c r="A16" s="2">
        <v>2.2066849390983</v>
      </c>
      <c r="B16" s="2">
        <v>0.0052462131048298</v>
      </c>
      <c r="C16" s="2">
        <v>90.304298772744</v>
      </c>
      <c r="D16" s="2">
        <v>0.0066149405503198</v>
      </c>
      <c r="E16" s="2">
        <v>6.6499891897896</v>
      </c>
      <c r="F16" s="2">
        <v>0.96500091948118</v>
      </c>
      <c r="G16" s="2">
        <v>16687948.360009</v>
      </c>
      <c r="H16" s="2">
        <v>8355289.5130364</v>
      </c>
      <c r="I16" s="2">
        <v>-0.0030890953991708</v>
      </c>
      <c r="J16" s="2">
        <v>-0.0027487961596073</v>
      </c>
      <c r="K16" s="2">
        <v>0.0065977907349999</v>
      </c>
      <c r="L16" s="2">
        <v>-0.050390191070856</v>
      </c>
      <c r="M16" s="2">
        <v>-0.051015355349273</v>
      </c>
      <c r="N16" s="2">
        <v>328.31825594562</v>
      </c>
      <c r="O16" s="2">
        <v>365.15705569517</v>
      </c>
    </row>
    <row r="17" spans="1:15">
      <c r="A17" s="2">
        <v>2.4066849390983</v>
      </c>
      <c r="B17" s="2">
        <v>0.0058520393050297</v>
      </c>
      <c r="C17" s="2">
        <v>90.303426234615</v>
      </c>
      <c r="D17" s="2">
        <v>0.0072291436816459</v>
      </c>
      <c r="E17" s="2">
        <v>6.6543039518918</v>
      </c>
      <c r="F17" s="2">
        <v>0.96142250481442</v>
      </c>
      <c r="G17" s="2">
        <v>16777376.861048</v>
      </c>
      <c r="H17" s="2">
        <v>8915409.5314087</v>
      </c>
      <c r="I17" s="2">
        <v>-0.0034048608664509</v>
      </c>
      <c r="J17" s="2">
        <v>-0.0030260346475024</v>
      </c>
      <c r="K17" s="2">
        <v>0.0071935935689543</v>
      </c>
      <c r="L17" s="2">
        <v>-0.055020463708418</v>
      </c>
      <c r="M17" s="2">
        <v>-0.055560747844327</v>
      </c>
      <c r="N17" s="2">
        <v>329.6097277003</v>
      </c>
      <c r="O17" s="2">
        <v>366.71122553691</v>
      </c>
    </row>
    <row r="18" spans="1:15">
      <c r="A18" s="2">
        <v>2.6066849390983</v>
      </c>
      <c r="B18" s="2">
        <v>0.0064582205047523</v>
      </c>
      <c r="C18" s="2">
        <v>90.302507421167</v>
      </c>
      <c r="D18" s="2">
        <v>0.0078431173516078</v>
      </c>
      <c r="E18" s="2">
        <v>6.6586500439227</v>
      </c>
      <c r="F18" s="2">
        <v>0.95786356461008</v>
      </c>
      <c r="G18" s="2">
        <v>16867966.578049</v>
      </c>
      <c r="H18" s="2">
        <v>9481563.1226132</v>
      </c>
      <c r="I18" s="2">
        <v>-0.0037204555179022</v>
      </c>
      <c r="J18" s="2">
        <v>-0.0033032141557545</v>
      </c>
      <c r="K18" s="2">
        <v>0.0077890367962966</v>
      </c>
      <c r="L18" s="2">
        <v>-0.059616257545225</v>
      </c>
      <c r="M18" s="2">
        <v>-0.060098572321449</v>
      </c>
      <c r="N18" s="2">
        <v>330.83525398664</v>
      </c>
      <c r="O18" s="2">
        <v>368.18905896335</v>
      </c>
    </row>
    <row r="19" spans="1:15">
      <c r="A19" s="2">
        <v>2.8066849390983</v>
      </c>
      <c r="B19" s="2">
        <v>0.0070646279541068</v>
      </c>
      <c r="C19" s="2">
        <v>90.301560755244</v>
      </c>
      <c r="D19" s="2">
        <v>0.0084568659029066</v>
      </c>
      <c r="E19" s="2">
        <v>6.6630303305923</v>
      </c>
      <c r="F19" s="2">
        <v>0.95432290508201</v>
      </c>
      <c r="G19" s="2">
        <v>16959664.075335</v>
      </c>
      <c r="H19" s="2">
        <v>10053414.861022</v>
      </c>
      <c r="I19" s="2">
        <v>-0.0040358755595764</v>
      </c>
      <c r="J19" s="2">
        <v>-0.0035803026737125</v>
      </c>
      <c r="K19" s="2">
        <v>0.0083841209021954</v>
      </c>
      <c r="L19" s="2">
        <v>-0.064174362248359</v>
      </c>
      <c r="M19" s="2">
        <v>-0.064607170416142</v>
      </c>
      <c r="N19" s="2">
        <v>332.01312720086</v>
      </c>
      <c r="O19" s="2">
        <v>369.61043862148</v>
      </c>
    </row>
    <row r="20" spans="1:15">
      <c r="A20" s="2">
        <v>3.0066849390983</v>
      </c>
      <c r="B20" s="2">
        <v>0.0076711718918478</v>
      </c>
      <c r="C20" s="2">
        <v>90.300595590354</v>
      </c>
      <c r="D20" s="2">
        <v>0.0090703924680541</v>
      </c>
      <c r="E20" s="2">
        <v>6.6674447777787</v>
      </c>
      <c r="F20" s="2">
        <v>0.95079849974876</v>
      </c>
      <c r="G20" s="2">
        <v>17052433.323378</v>
      </c>
      <c r="H20" s="2">
        <v>10630740.449805</v>
      </c>
      <c r="I20" s="2">
        <v>-0.0043511419944561</v>
      </c>
      <c r="J20" s="2">
        <v>-0.0038572666502866</v>
      </c>
      <c r="K20" s="2">
        <v>0.008978846364052</v>
      </c>
      <c r="L20" s="2">
        <v>-0.068660951272404</v>
      </c>
      <c r="M20" s="2">
        <v>-0.069082300537321</v>
      </c>
      <c r="N20" s="2">
        <v>333.15074962553</v>
      </c>
      <c r="O20" s="2">
        <v>370.98299652241</v>
      </c>
    </row>
    <row r="21" spans="1:15">
      <c r="A21" s="2">
        <v>3.2066849390983</v>
      </c>
      <c r="B21" s="2">
        <v>0.0082777686759253</v>
      </c>
      <c r="C21" s="2">
        <v>90.299617025943</v>
      </c>
      <c r="D21" s="2">
        <v>0.0096836993212226</v>
      </c>
      <c r="E21" s="2">
        <v>6.6718913485487</v>
      </c>
      <c r="F21" s="2">
        <v>0.94728877916957</v>
      </c>
      <c r="G21" s="2">
        <v>17146241.563409</v>
      </c>
      <c r="H21" s="2">
        <v>11213337.59675</v>
      </c>
      <c r="I21" s="2">
        <v>-0.0046662682460428</v>
      </c>
      <c r="J21" s="2">
        <v>-0.0041340715959428</v>
      </c>
      <c r="K21" s="2">
        <v>0.0095732136313208</v>
      </c>
      <c r="L21" s="2">
        <v>-0.073007171777171</v>
      </c>
      <c r="M21" s="2">
        <v>-0.073285814443315</v>
      </c>
      <c r="N21" s="2">
        <v>334.25847756828</v>
      </c>
      <c r="O21" s="2">
        <v>372.31807741215</v>
      </c>
    </row>
    <row r="22" spans="1:15">
      <c r="A22" s="2">
        <v>3.4066849390983</v>
      </c>
      <c r="B22" s="2">
        <v>0.0088844122113811</v>
      </c>
      <c r="C22" s="2">
        <v>90.298630912205</v>
      </c>
      <c r="D22" s="2">
        <v>0.010296808553711</v>
      </c>
      <c r="E22" s="2">
        <v>6.6763675876076</v>
      </c>
      <c r="F22" s="2">
        <v>0.943795713454</v>
      </c>
      <c r="G22" s="2">
        <v>17241064.335572</v>
      </c>
      <c r="H22" s="2">
        <v>11801056.668924</v>
      </c>
      <c r="I22" s="2">
        <v>-0.0049812491553198</v>
      </c>
      <c r="J22" s="2">
        <v>-0.0044107221071542</v>
      </c>
      <c r="K22" s="2">
        <v>0.010167223072926</v>
      </c>
      <c r="L22" s="2">
        <v>-0.077411216605837</v>
      </c>
      <c r="M22" s="2">
        <v>-0.077621542867083</v>
      </c>
      <c r="N22" s="2">
        <v>335.33814218242</v>
      </c>
      <c r="O22" s="2">
        <v>373.61944329122</v>
      </c>
    </row>
    <row r="23" spans="1:15">
      <c r="A23" s="2">
        <v>3.6066849390983</v>
      </c>
      <c r="B23" s="2">
        <v>0.0094910820538223</v>
      </c>
      <c r="C23" s="2">
        <v>90.297641021956</v>
      </c>
      <c r="D23" s="2">
        <v>0.010909740415212</v>
      </c>
      <c r="E23" s="2">
        <v>6.6808715306919</v>
      </c>
      <c r="F23" s="2">
        <v>0.94032009080343</v>
      </c>
      <c r="G23" s="2">
        <v>17336875.550126</v>
      </c>
      <c r="H23" s="2">
        <v>12393738.736256</v>
      </c>
      <c r="I23" s="2">
        <v>-0.0052960666100627</v>
      </c>
      <c r="J23" s="2">
        <v>-0.0046872224112934</v>
      </c>
      <c r="K23" s="2">
        <v>0.010760875007421</v>
      </c>
      <c r="L23" s="2">
        <v>-0.081803169864435</v>
      </c>
      <c r="M23" s="2">
        <v>-0.081887961242244</v>
      </c>
      <c r="N23" s="2">
        <v>336.39639268153</v>
      </c>
      <c r="O23" s="2">
        <v>374.8956098859</v>
      </c>
    </row>
    <row r="24" spans="1:15">
      <c r="A24" s="2">
        <v>3.8066849390983</v>
      </c>
      <c r="B24" s="2">
        <v>0.010097768269219</v>
      </c>
      <c r="C24" s="2">
        <v>90.296649598154</v>
      </c>
      <c r="D24" s="2">
        <v>0.011522512999042</v>
      </c>
      <c r="E24" s="2">
        <v>6.6854018190764</v>
      </c>
      <c r="F24" s="2">
        <v>0.93686206434978</v>
      </c>
      <c r="G24" s="2">
        <v>17433655.044187</v>
      </c>
      <c r="H24" s="2">
        <v>12991262.480155</v>
      </c>
      <c r="I24" s="2">
        <v>-0.0056107082842286</v>
      </c>
      <c r="J24" s="2">
        <v>-0.0049635802748591</v>
      </c>
      <c r="K24" s="2">
        <v>0.011354169759116</v>
      </c>
      <c r="L24" s="2">
        <v>-0.086040126176549</v>
      </c>
      <c r="M24" s="2">
        <v>-0.086093942674992</v>
      </c>
      <c r="N24" s="2">
        <v>337.43579032519</v>
      </c>
      <c r="O24" s="2">
        <v>376.14963101637</v>
      </c>
    </row>
    <row r="25" spans="1:15">
      <c r="A25" s="2">
        <v>4.0066849390983</v>
      </c>
      <c r="B25" s="2">
        <v>0.010704441265921</v>
      </c>
      <c r="C25" s="2">
        <v>90.295657929398</v>
      </c>
      <c r="D25" s="2">
        <v>0.012135137274962</v>
      </c>
      <c r="E25" s="2">
        <v>6.6899577747957</v>
      </c>
      <c r="F25" s="2">
        <v>0.93342094071495</v>
      </c>
      <c r="G25" s="2">
        <v>17531383.876022</v>
      </c>
      <c r="H25" s="2">
        <v>13593514.904676</v>
      </c>
      <c r="I25" s="2">
        <v>-0.0059251615186558</v>
      </c>
      <c r="J25" s="2">
        <v>-0.0052398000175782</v>
      </c>
      <c r="K25" s="2">
        <v>0.011947107667817</v>
      </c>
      <c r="L25" s="2">
        <v>-0.090306983761498</v>
      </c>
      <c r="M25" s="2">
        <v>-0.090285904905138</v>
      </c>
      <c r="N25" s="2">
        <v>338.46075866814</v>
      </c>
      <c r="O25" s="2">
        <v>377.38602717174</v>
      </c>
    </row>
    <row r="26" spans="1:15">
      <c r="A26" s="2">
        <v>4.2066849390983</v>
      </c>
      <c r="B26" s="2">
        <v>0.01131109918141</v>
      </c>
      <c r="C26" s="2">
        <v>90.294668023707</v>
      </c>
      <c r="D26" s="2">
        <v>0.012747623365551</v>
      </c>
      <c r="E26" s="2">
        <v>6.6945393490551</v>
      </c>
      <c r="F26" s="2">
        <v>0.92999605982586</v>
      </c>
      <c r="G26" s="2">
        <v>17630049.824493</v>
      </c>
      <c r="H26" s="2">
        <v>14200425.01708</v>
      </c>
      <c r="I26" s="2">
        <v>-0.0062394217292843</v>
      </c>
      <c r="J26" s="2">
        <v>-0.005515891517708</v>
      </c>
      <c r="K26" s="2">
        <v>0.012539689081085</v>
      </c>
      <c r="L26" s="2">
        <v>-0.094576953076431</v>
      </c>
      <c r="M26" s="2">
        <v>-0.094486354528992</v>
      </c>
      <c r="N26" s="2">
        <v>339.4693952506</v>
      </c>
      <c r="O26" s="2">
        <v>378.60211617706</v>
      </c>
    </row>
    <row r="27" spans="1:15">
      <c r="A27" s="2">
        <v>4.4066849390983</v>
      </c>
      <c r="B27" s="2">
        <v>0.01191771013851</v>
      </c>
      <c r="C27" s="2">
        <v>90.293679942964</v>
      </c>
      <c r="D27" s="2">
        <v>0.013359973974945</v>
      </c>
      <c r="E27" s="2">
        <v>6.6991465171624</v>
      </c>
      <c r="F27" s="2">
        <v>0.92658606875904</v>
      </c>
      <c r="G27" s="2">
        <v>17729637.270262</v>
      </c>
      <c r="H27" s="2">
        <v>14811901.205932</v>
      </c>
      <c r="I27" s="2">
        <v>-0.0065534738190939</v>
      </c>
      <c r="J27" s="2">
        <v>-0.0057918614929698</v>
      </c>
      <c r="K27" s="2">
        <v>0.013131914369735</v>
      </c>
      <c r="L27" s="2">
        <v>-0.098802175030561</v>
      </c>
      <c r="M27" s="2">
        <v>-0.098633352211878</v>
      </c>
      <c r="N27" s="2">
        <v>340.46561827589</v>
      </c>
      <c r="O27" s="2">
        <v>379.80139865267</v>
      </c>
    </row>
    <row r="28" spans="1:15">
      <c r="A28" s="2">
        <v>4.6066849390983</v>
      </c>
      <c r="B28" s="2">
        <v>0.012524249742012</v>
      </c>
      <c r="C28" s="2">
        <v>90.29269333177</v>
      </c>
      <c r="D28" s="2">
        <v>0.013972191436775</v>
      </c>
      <c r="E28" s="2">
        <v>6.7037797132423</v>
      </c>
      <c r="F28" s="2">
        <v>0.92319103156224</v>
      </c>
      <c r="G28" s="2">
        <v>17830132.681176</v>
      </c>
      <c r="H28" s="2">
        <v>15427865.039642</v>
      </c>
      <c r="I28" s="2">
        <v>-0.0068673044393243</v>
      </c>
      <c r="J28" s="2">
        <v>-0.0060677205130415</v>
      </c>
      <c r="K28" s="2">
        <v>0.013723783897267</v>
      </c>
      <c r="L28" s="2">
        <v>-0.10306208714291</v>
      </c>
      <c r="M28" s="2">
        <v>-0.10285015326214</v>
      </c>
      <c r="N28" s="2">
        <v>341.45121691112</v>
      </c>
      <c r="O28" s="2">
        <v>380.98585518261</v>
      </c>
    </row>
    <row r="29" spans="1:15">
      <c r="A29" s="2">
        <v>4.8066849390983</v>
      </c>
      <c r="B29" s="2">
        <v>0.013130709487574</v>
      </c>
      <c r="C29" s="2">
        <v>90.291709734344</v>
      </c>
      <c r="D29" s="2">
        <v>0.014584277661142</v>
      </c>
      <c r="E29" s="2">
        <v>6.7084381297499</v>
      </c>
      <c r="F29" s="2">
        <v>0.91980890946129</v>
      </c>
      <c r="G29" s="2">
        <v>17931525.269744</v>
      </c>
      <c r="H29" s="2">
        <v>16048255.176632</v>
      </c>
      <c r="I29" s="2">
        <v>-0.0071809031199869</v>
      </c>
      <c r="J29" s="2">
        <v>-0.0063434796224316</v>
      </c>
      <c r="K29" s="2">
        <v>0.014315298067797</v>
      </c>
      <c r="L29" s="2">
        <v>-0.1072349054983</v>
      </c>
      <c r="M29" s="2">
        <v>-0.10696690644957</v>
      </c>
      <c r="N29" s="2">
        <v>342.42592341164</v>
      </c>
      <c r="O29" s="2">
        <v>382.15479837513</v>
      </c>
    </row>
    <row r="30" spans="1:15">
      <c r="A30" s="2">
        <v>5.0066849390983</v>
      </c>
      <c r="B30" s="2">
        <v>0.013737083961991</v>
      </c>
      <c r="C30" s="2">
        <v>90.290729138253</v>
      </c>
      <c r="D30" s="2">
        <v>0.015196234352894</v>
      </c>
      <c r="E30" s="2">
        <v>6.7131234953685</v>
      </c>
      <c r="F30" s="2">
        <v>0.91643928106585</v>
      </c>
      <c r="G30" s="2">
        <v>18033804.402857</v>
      </c>
      <c r="H30" s="2">
        <v>16673011.201182</v>
      </c>
      <c r="I30" s="2">
        <v>-0.0074942591582592</v>
      </c>
      <c r="J30" s="2">
        <v>-0.0066191516269671</v>
      </c>
      <c r="K30" s="2">
        <v>0.014906457270386</v>
      </c>
      <c r="L30" s="2">
        <v>-0.11138298807279</v>
      </c>
      <c r="M30" s="2">
        <v>-0.11103156292847</v>
      </c>
      <c r="N30" s="2">
        <v>343.38923090919</v>
      </c>
      <c r="O30" s="2">
        <v>383.30796909713</v>
      </c>
    </row>
    <row r="31" spans="1:15">
      <c r="A31" s="2">
        <v>5.2066849390983</v>
      </c>
      <c r="B31" s="2">
        <v>0.014343365505548</v>
      </c>
      <c r="C31" s="2">
        <v>90.289752260716</v>
      </c>
      <c r="D31" s="2">
        <v>0.015808064383126</v>
      </c>
      <c r="E31" s="2">
        <v>6.7178355696045</v>
      </c>
      <c r="F31" s="2">
        <v>0.913081071153</v>
      </c>
      <c r="G31" s="2">
        <v>18136958.517154</v>
      </c>
      <c r="H31" s="2">
        <v>17302067.133325</v>
      </c>
      <c r="I31" s="2">
        <v>-0.0078073611662399</v>
      </c>
      <c r="J31" s="2">
        <v>-0.0068947462650777</v>
      </c>
      <c r="K31" s="2">
        <v>0.015497261878265</v>
      </c>
      <c r="L31" s="2">
        <v>-0.11551474224136</v>
      </c>
      <c r="M31" s="2">
        <v>-0.11511681513924</v>
      </c>
      <c r="N31" s="2">
        <v>344.34217845288</v>
      </c>
      <c r="O31" s="2">
        <v>384.44687988181</v>
      </c>
    </row>
    <row r="32" spans="1:15">
      <c r="A32" s="2">
        <v>5.4066849390983</v>
      </c>
      <c r="B32" s="2">
        <v>0.014949548383219</v>
      </c>
      <c r="C32" s="2">
        <v>90.288779427431</v>
      </c>
      <c r="D32" s="2">
        <v>0.016419770481273</v>
      </c>
      <c r="E32" s="2">
        <v>6.7225737769624</v>
      </c>
      <c r="F32" s="2">
        <v>0.90973371513406</v>
      </c>
      <c r="G32" s="2">
        <v>18240975.77881</v>
      </c>
      <c r="H32" s="2">
        <v>17935355.446447</v>
      </c>
      <c r="I32" s="2">
        <v>-0.0081202030144112</v>
      </c>
      <c r="J32" s="2">
        <v>-0.0071702662626697</v>
      </c>
      <c r="K32" s="2">
        <v>0.016087712295299</v>
      </c>
      <c r="L32" s="2">
        <v>-0.11966013700775</v>
      </c>
      <c r="M32" s="2">
        <v>-0.11916360418476</v>
      </c>
      <c r="N32" s="2">
        <v>345.28646340772</v>
      </c>
      <c r="O32" s="2">
        <v>385.57369903966</v>
      </c>
    </row>
    <row r="33" spans="1:15">
      <c r="A33" s="2">
        <v>5.6066849390983</v>
      </c>
      <c r="B33" s="2">
        <v>0.015555632270061</v>
      </c>
      <c r="C33" s="2">
        <v>90.287810841359</v>
      </c>
      <c r="D33" s="2">
        <v>0.017031357310273</v>
      </c>
      <c r="E33" s="2">
        <v>6.7273362355909</v>
      </c>
      <c r="F33" s="2">
        <v>0.90639748520844</v>
      </c>
      <c r="G33" s="2">
        <v>18345844.959037</v>
      </c>
      <c r="H33" s="2">
        <v>18572812.372309</v>
      </c>
      <c r="I33" s="2">
        <v>-0.0084327798756007</v>
      </c>
      <c r="J33" s="2">
        <v>-0.0074457146082183</v>
      </c>
      <c r="K33" s="2">
        <v>0.01667780889905</v>
      </c>
      <c r="L33" s="2">
        <v>-0.12372504421809</v>
      </c>
      <c r="M33" s="2">
        <v>-0.12317303484827</v>
      </c>
      <c r="N33" s="2">
        <v>346.22299973138</v>
      </c>
      <c r="O33" s="2">
        <v>386.68971743846</v>
      </c>
    </row>
    <row r="34" spans="1:15">
      <c r="A34" s="2">
        <v>5.8066849390983</v>
      </c>
      <c r="B34" s="2">
        <v>0.016161622670703</v>
      </c>
      <c r="C34" s="2">
        <v>90.286847076408</v>
      </c>
      <c r="D34" s="2">
        <v>0.017642830679845</v>
      </c>
      <c r="E34" s="2">
        <v>6.7321220461796</v>
      </c>
      <c r="F34" s="2">
        <v>0.903071990181</v>
      </c>
      <c r="G34" s="2">
        <v>18451556.042039</v>
      </c>
      <c r="H34" s="2">
        <v>19214381.576679</v>
      </c>
      <c r="I34" s="2">
        <v>-0.0087450935438469</v>
      </c>
      <c r="J34" s="2">
        <v>-0.0077210908924341</v>
      </c>
      <c r="K34" s="2">
        <v>0.017267552091669</v>
      </c>
      <c r="L34" s="2">
        <v>-0.12783976712404</v>
      </c>
      <c r="M34" s="2">
        <v>-0.12723103862491</v>
      </c>
      <c r="N34" s="2">
        <v>347.15163400587</v>
      </c>
      <c r="O34" s="2">
        <v>387.79522691476</v>
      </c>
    </row>
    <row r="35" spans="1:15">
      <c r="A35" s="2">
        <v>6.0066849390983</v>
      </c>
      <c r="B35" s="2">
        <v>0.016767525043559</v>
      </c>
      <c r="C35" s="2">
        <v>90.285888148708</v>
      </c>
      <c r="D35" s="2">
        <v>0.018254196953156</v>
      </c>
      <c r="E35" s="2">
        <v>6.7369291515044</v>
      </c>
      <c r="F35" s="2">
        <v>0.8997573565652</v>
      </c>
      <c r="G35" s="2">
        <v>18558098.883116</v>
      </c>
      <c r="H35" s="2">
        <v>19860006.003528</v>
      </c>
      <c r="I35" s="2">
        <v>-0.0090571456690602</v>
      </c>
      <c r="J35" s="2">
        <v>-0.0079963930667502</v>
      </c>
      <c r="K35" s="2">
        <v>0.017856942266458</v>
      </c>
      <c r="L35" s="2">
        <v>-0.13190814131948</v>
      </c>
      <c r="M35" s="2">
        <v>-0.13124214155739</v>
      </c>
      <c r="N35" s="2">
        <v>348.07255259356</v>
      </c>
      <c r="O35" s="2">
        <v>388.89055073112</v>
      </c>
    </row>
    <row r="36" spans="1:15">
      <c r="A36" s="2">
        <v>6.2066849390983</v>
      </c>
      <c r="B36" s="2">
        <v>0.017373336985892</v>
      </c>
      <c r="C36" s="2">
        <v>90.284933610609</v>
      </c>
      <c r="D36" s="2">
        <v>0.018865460619787</v>
      </c>
      <c r="E36" s="2">
        <v>6.7417558328135</v>
      </c>
      <c r="F36" s="2">
        <v>0.89645436153886</v>
      </c>
      <c r="G36" s="2">
        <v>18665462.475036</v>
      </c>
      <c r="H36" s="2">
        <v>20509623.52047</v>
      </c>
      <c r="I36" s="2">
        <v>-0.0093689337255245</v>
      </c>
      <c r="J36" s="2">
        <v>-0.0082716205998997</v>
      </c>
      <c r="K36" s="2">
        <v>0.018445979820258</v>
      </c>
      <c r="L36" s="2">
        <v>-0.13597581022408</v>
      </c>
      <c r="M36" s="2">
        <v>-0.13525831295738</v>
      </c>
      <c r="N36" s="2">
        <v>348.98738799103</v>
      </c>
      <c r="O36" s="2">
        <v>389.97755095229</v>
      </c>
    </row>
    <row r="37" spans="1:15">
      <c r="A37" s="2">
        <v>6.4066849390983</v>
      </c>
      <c r="B37" s="2">
        <v>0.017979064716836</v>
      </c>
      <c r="C37" s="2">
        <v>90.283983506431</v>
      </c>
      <c r="D37" s="2">
        <v>0.01947662748703</v>
      </c>
      <c r="E37" s="2">
        <v>6.7466009011247</v>
      </c>
      <c r="F37" s="2">
        <v>0.8931634875191</v>
      </c>
      <c r="G37" s="2">
        <v>18773637.408434</v>
      </c>
      <c r="H37" s="2">
        <v>21163181.686135</v>
      </c>
      <c r="I37" s="2">
        <v>-0.0096804603612929</v>
      </c>
      <c r="J37" s="2">
        <v>-0.0085467714769505</v>
      </c>
      <c r="K37" s="2">
        <v>0.019034665136966</v>
      </c>
      <c r="L37" s="2">
        <v>-0.13999902071884</v>
      </c>
      <c r="M37" s="2">
        <v>-0.13922682420662</v>
      </c>
      <c r="N37" s="2">
        <v>349.89596617817</v>
      </c>
      <c r="O37" s="2">
        <v>391.05624989261</v>
      </c>
    </row>
    <row r="38" spans="1:15">
      <c r="A38" s="2">
        <v>6.6066849390983</v>
      </c>
      <c r="B38" s="2">
        <v>0.018584716136754</v>
      </c>
      <c r="C38" s="2">
        <v>90.283037359085</v>
      </c>
      <c r="D38" s="2">
        <v>0.020087704235083</v>
      </c>
      <c r="E38" s="2">
        <v>6.7514624950339</v>
      </c>
      <c r="F38" s="2">
        <v>0.88988468274671</v>
      </c>
      <c r="G38" s="2">
        <v>18882614.912056</v>
      </c>
      <c r="H38" s="2">
        <v>21820631.904814</v>
      </c>
      <c r="I38" s="2">
        <v>-0.0099917297637614</v>
      </c>
      <c r="J38" s="2">
        <v>-0.0088218438790921</v>
      </c>
      <c r="K38" s="2">
        <v>0.019622998631865</v>
      </c>
      <c r="L38" s="2">
        <v>-0.144040706489</v>
      </c>
      <c r="M38" s="2">
        <v>-0.14319374300995</v>
      </c>
      <c r="N38" s="2">
        <v>350.79758734972</v>
      </c>
      <c r="O38" s="2">
        <v>392.12617096258</v>
      </c>
    </row>
    <row r="39" spans="1:15">
      <c r="A39" s="2">
        <v>6.8066849390983</v>
      </c>
      <c r="B39" s="2">
        <v>0.019190289204036</v>
      </c>
      <c r="C39" s="2">
        <v>90.282095222837</v>
      </c>
      <c r="D39" s="2">
        <v>0.020698694712847</v>
      </c>
      <c r="E39" s="2">
        <v>6.7563388896694</v>
      </c>
      <c r="F39" s="2">
        <v>0.88661817738135</v>
      </c>
      <c r="G39" s="2">
        <v>18992384.395946</v>
      </c>
      <c r="H39" s="2">
        <v>22481914.77042</v>
      </c>
      <c r="I39" s="2">
        <v>-0.0103027400795</v>
      </c>
      <c r="J39" s="2">
        <v>-0.0090968358897918</v>
      </c>
      <c r="K39" s="2">
        <v>0.020210980692454</v>
      </c>
      <c r="L39" s="2">
        <v>-0.14806746623968</v>
      </c>
      <c r="M39" s="2">
        <v>-0.14716571961538</v>
      </c>
      <c r="N39" s="2">
        <v>351.69402994142</v>
      </c>
      <c r="O39" s="2">
        <v>393.18915195255</v>
      </c>
    </row>
    <row r="40" spans="1:15">
      <c r="A40" s="2">
        <v>7.0066849390983</v>
      </c>
      <c r="B40" s="2">
        <v>0.01979579336008</v>
      </c>
      <c r="C40" s="2">
        <v>90.281157908643</v>
      </c>
      <c r="D40" s="2">
        <v>0.021309605433419</v>
      </c>
      <c r="E40" s="2">
        <v>6.7612290666123</v>
      </c>
      <c r="F40" s="2">
        <v>0.88336452334172</v>
      </c>
      <c r="G40" s="2">
        <v>19102937.755784</v>
      </c>
      <c r="H40" s="2">
        <v>23146985.800747</v>
      </c>
      <c r="I40" s="2">
        <v>-0.010613495457367</v>
      </c>
      <c r="J40" s="2">
        <v>-0.0093717455184309</v>
      </c>
      <c r="K40" s="2">
        <v>0.02079861172194</v>
      </c>
      <c r="L40" s="2">
        <v>-0.15207936478973</v>
      </c>
      <c r="M40" s="2">
        <v>-0.15111407435145</v>
      </c>
      <c r="N40" s="2">
        <v>352.58452655298</v>
      </c>
      <c r="O40" s="2">
        <v>394.2445252689</v>
      </c>
    </row>
    <row r="41" spans="1:15">
      <c r="A41" s="2">
        <v>7.2066849390983</v>
      </c>
      <c r="B41" s="2">
        <v>0.020401230980233</v>
      </c>
      <c r="C41" s="2">
        <v>90.28022465445</v>
      </c>
      <c r="D41" s="2">
        <v>0.02192044026395</v>
      </c>
      <c r="E41" s="2">
        <v>6.7661319961379</v>
      </c>
      <c r="F41" s="2">
        <v>0.88012413900487</v>
      </c>
      <c r="G41" s="2">
        <v>19214265.543459</v>
      </c>
      <c r="H41" s="2">
        <v>23815792.592506</v>
      </c>
      <c r="I41" s="2">
        <v>-0.010923997435224</v>
      </c>
      <c r="J41" s="2">
        <v>-0.0096465701544845</v>
      </c>
      <c r="K41" s="2">
        <v>0.021385892109216</v>
      </c>
      <c r="L41" s="2">
        <v>-0.15608660052954</v>
      </c>
      <c r="M41" s="2">
        <v>-0.15506267335025</v>
      </c>
      <c r="N41" s="2">
        <v>353.46973679757</v>
      </c>
      <c r="O41" s="2">
        <v>395.29307603686</v>
      </c>
    </row>
    <row r="42" spans="1:15">
      <c r="A42" s="2">
        <v>7.4066849390983</v>
      </c>
      <c r="B42" s="2">
        <v>0.021006605170718</v>
      </c>
      <c r="C42" s="2">
        <v>90.279295081203</v>
      </c>
      <c r="D42" s="2">
        <v>0.022531204533527</v>
      </c>
      <c r="E42" s="2">
        <v>6.771045915869</v>
      </c>
      <c r="F42" s="2">
        <v>0.87689661076034</v>
      </c>
      <c r="G42" s="2">
        <v>19326358.785717</v>
      </c>
      <c r="H42" s="2">
        <v>24488285.518157</v>
      </c>
      <c r="I42" s="2">
        <v>-0.011234248274412</v>
      </c>
      <c r="J42" s="2">
        <v>-0.0099213078191201</v>
      </c>
      <c r="K42" s="2">
        <v>0.0219728222536</v>
      </c>
      <c r="L42" s="2">
        <v>-0.1600908082862</v>
      </c>
      <c r="M42" s="2">
        <v>-0.15900618973664</v>
      </c>
      <c r="N42" s="2">
        <v>354.34975604579</v>
      </c>
      <c r="O42" s="2">
        <v>396.33508266125</v>
      </c>
    </row>
    <row r="43" spans="1:15">
      <c r="A43" s="2">
        <v>7.6066849390983</v>
      </c>
      <c r="B43" s="2">
        <v>0.021611921068867</v>
      </c>
      <c r="C43" s="2">
        <v>90.278368936967</v>
      </c>
      <c r="D43" s="2">
        <v>0.023141901898942</v>
      </c>
      <c r="E43" s="2">
        <v>6.7759701624526</v>
      </c>
      <c r="F43" s="2">
        <v>0.87368228043811</v>
      </c>
      <c r="G43" s="2">
        <v>19439209.605712</v>
      </c>
      <c r="H43" s="2">
        <v>25164421.690379</v>
      </c>
      <c r="I43" s="2">
        <v>-0.011544250434254</v>
      </c>
      <c r="J43" s="2">
        <v>-0.010195956586069</v>
      </c>
      <c r="K43" s="2">
        <v>0.022559402565312</v>
      </c>
      <c r="L43" s="2">
        <v>-0.16407724892936</v>
      </c>
      <c r="M43" s="2">
        <v>-0.16295639793591</v>
      </c>
      <c r="N43" s="2">
        <v>355.22450494594</v>
      </c>
      <c r="O43" s="2">
        <v>397.37047733004</v>
      </c>
    </row>
    <row r="44" spans="1:15">
      <c r="A44" s="2">
        <v>7.8066849390983</v>
      </c>
      <c r="B44" s="2">
        <v>0.022217178960855</v>
      </c>
      <c r="C44" s="2">
        <v>90.277446120794</v>
      </c>
      <c r="D44" s="2">
        <v>0.023752536601512</v>
      </c>
      <c r="E44" s="2">
        <v>6.780903675917</v>
      </c>
      <c r="F44" s="2">
        <v>0.8704814233703</v>
      </c>
      <c r="G44" s="2">
        <v>19552808.873144</v>
      </c>
      <c r="H44" s="2">
        <v>25844150.567865</v>
      </c>
      <c r="I44" s="2">
        <v>-0.011854005535423</v>
      </c>
      <c r="J44" s="2">
        <v>-0.010470514417806</v>
      </c>
      <c r="K44" s="2">
        <v>0.023145633433293</v>
      </c>
      <c r="L44" s="2">
        <v>-0.16808646955517</v>
      </c>
      <c r="M44" s="2">
        <v>-0.16689021048104</v>
      </c>
      <c r="N44" s="2">
        <v>356.09440312909</v>
      </c>
      <c r="O44" s="2">
        <v>398.39985033062</v>
      </c>
    </row>
    <row r="45" spans="1:15">
      <c r="A45" s="2">
        <v>8.0066849390983</v>
      </c>
      <c r="B45" s="2">
        <v>0.022822384327466</v>
      </c>
      <c r="C45" s="2">
        <v>90.276526491391</v>
      </c>
      <c r="D45" s="2">
        <v>0.024363113338559</v>
      </c>
      <c r="E45" s="2">
        <v>6.7858458336507</v>
      </c>
      <c r="F45" s="2">
        <v>0.86729384233575</v>
      </c>
      <c r="G45" s="2">
        <v>19667148.950274</v>
      </c>
      <c r="H45" s="2">
        <v>26527430.714527</v>
      </c>
      <c r="I45" s="2">
        <v>-0.012163515237154</v>
      </c>
      <c r="J45" s="2">
        <v>-0.010744980428454</v>
      </c>
      <c r="K45" s="2">
        <v>0.023731515258011</v>
      </c>
      <c r="L45" s="2">
        <v>-0.1720741185848</v>
      </c>
      <c r="M45" s="2">
        <v>-0.17082214390197</v>
      </c>
      <c r="N45" s="2">
        <v>356.95925659722</v>
      </c>
      <c r="O45" s="2">
        <v>399.42295078044</v>
      </c>
    </row>
    <row r="46" spans="1:15">
      <c r="A46" s="2">
        <v>8.2066849390983</v>
      </c>
      <c r="B46" s="2">
        <v>0.02342754360689</v>
      </c>
      <c r="C46" s="2">
        <v>90.275609971028</v>
      </c>
      <c r="D46" s="2">
        <v>0.024973635271628</v>
      </c>
      <c r="E46" s="2">
        <v>6.7907949502268</v>
      </c>
      <c r="F46" s="2">
        <v>0.86411977654617</v>
      </c>
      <c r="G46" s="2">
        <v>19782221.936452</v>
      </c>
      <c r="H46" s="2">
        <v>27214219.161617</v>
      </c>
      <c r="I46" s="2">
        <v>-0.012472784358919</v>
      </c>
      <c r="J46" s="2">
        <v>-0.011019350127118</v>
      </c>
      <c r="K46" s="2">
        <v>0.024317048450788</v>
      </c>
      <c r="L46" s="2">
        <v>-0.17606458147526</v>
      </c>
      <c r="M46" s="2">
        <v>-0.17474863269538</v>
      </c>
      <c r="N46" s="2">
        <v>357.81907788463</v>
      </c>
      <c r="O46" s="2">
        <v>400.43991824797</v>
      </c>
    </row>
    <row r="47" spans="1:15">
      <c r="A47" s="2">
        <v>8.4066849390983</v>
      </c>
      <c r="B47" s="2">
        <v>0.02403265482602</v>
      </c>
      <c r="C47" s="2">
        <v>90.274696060773</v>
      </c>
      <c r="D47" s="2">
        <v>0.025584106264463</v>
      </c>
      <c r="E47" s="2">
        <v>6.7957510911108</v>
      </c>
      <c r="F47" s="2">
        <v>0.86095906748347</v>
      </c>
      <c r="G47" s="2">
        <v>19898018.841177</v>
      </c>
      <c r="H47" s="2">
        <v>27904466.237083</v>
      </c>
      <c r="I47" s="2">
        <v>-0.012781813623398</v>
      </c>
      <c r="J47" s="2">
        <v>-0.011293621955182</v>
      </c>
      <c r="K47" s="2">
        <v>0.024902233401517</v>
      </c>
      <c r="L47" s="2">
        <v>-0.18005516171194</v>
      </c>
      <c r="M47" s="2">
        <v>-0.17868024580474</v>
      </c>
      <c r="N47" s="2">
        <v>358.67446268875</v>
      </c>
      <c r="O47" s="2">
        <v>401.45154141623</v>
      </c>
    </row>
    <row r="48" spans="1:15">
      <c r="A48" s="2">
        <v>8.6066849390983</v>
      </c>
      <c r="B48" s="2">
        <v>0.024637723371176</v>
      </c>
      <c r="C48" s="2">
        <v>90.273784830445</v>
      </c>
      <c r="D48" s="2">
        <v>0.026194530075513</v>
      </c>
      <c r="E48" s="2">
        <v>6.8007132074354</v>
      </c>
      <c r="F48" s="2">
        <v>0.85781140593708</v>
      </c>
      <c r="G48" s="2">
        <v>20014531.906414</v>
      </c>
      <c r="H48" s="2">
        <v>28598129.808504</v>
      </c>
      <c r="I48" s="2">
        <v>-0.013090604749827</v>
      </c>
      <c r="J48" s="2">
        <v>-0.011567794745883</v>
      </c>
      <c r="K48" s="2">
        <v>0.02548707050397</v>
      </c>
      <c r="L48" s="2">
        <v>-0.18404550779658</v>
      </c>
      <c r="M48" s="2">
        <v>-0.18261392724376</v>
      </c>
      <c r="N48" s="2">
        <v>359.52533574721</v>
      </c>
      <c r="O48" s="2">
        <v>402.45773912858</v>
      </c>
    </row>
    <row r="49" spans="1:15">
      <c r="A49" s="2">
        <v>8.8066849390982</v>
      </c>
      <c r="B49" s="2">
        <v>0.025242743497317</v>
      </c>
      <c r="C49" s="2">
        <v>90.272876084214</v>
      </c>
      <c r="D49" s="2">
        <v>0.026804908681086</v>
      </c>
      <c r="E49" s="2">
        <v>6.8056816948245</v>
      </c>
      <c r="F49" s="2">
        <v>0.8546771361496</v>
      </c>
      <c r="G49" s="2">
        <v>20131752.566319</v>
      </c>
      <c r="H49" s="2">
        <v>29295162.860903</v>
      </c>
      <c r="I49" s="2">
        <v>-0.013399157865226</v>
      </c>
      <c r="J49" s="2">
        <v>-0.011841867582334</v>
      </c>
      <c r="K49" s="2">
        <v>0.026071560169445</v>
      </c>
      <c r="L49" s="2">
        <v>-0.18804045739772</v>
      </c>
      <c r="M49" s="2">
        <v>-0.18655168442616</v>
      </c>
      <c r="N49" s="2">
        <v>360.37234011726</v>
      </c>
      <c r="O49" s="2">
        <v>403.45921272722</v>
      </c>
    </row>
    <row r="50" spans="1:15">
      <c r="A50" s="2">
        <v>9.0066849390982</v>
      </c>
      <c r="B50" s="2">
        <v>0.025847731413402</v>
      </c>
      <c r="C50" s="2">
        <v>90.271969865921</v>
      </c>
      <c r="D50" s="2">
        <v>0.027415246062961</v>
      </c>
      <c r="E50" s="2">
        <v>6.8106542851617</v>
      </c>
      <c r="F50" s="2">
        <v>0.85155601572353</v>
      </c>
      <c r="G50" s="2">
        <v>20249674.710087</v>
      </c>
      <c r="H50" s="2">
        <v>29995533.304955</v>
      </c>
      <c r="I50" s="2">
        <v>-0.013707477804197</v>
      </c>
      <c r="J50" s="2">
        <v>-0.012115836330527</v>
      </c>
      <c r="K50" s="2">
        <v>0.026655702796488</v>
      </c>
      <c r="L50" s="2">
        <v>-0.19203405426834</v>
      </c>
      <c r="M50" s="2">
        <v>-0.19048366150462</v>
      </c>
      <c r="N50" s="2">
        <v>361.21511379687</v>
      </c>
      <c r="O50" s="2">
        <v>404.45572811573</v>
      </c>
    </row>
    <row r="51" spans="1:15">
      <c r="A51" s="2">
        <v>9.2066849390982</v>
      </c>
      <c r="B51" s="2">
        <v>0.026452685546695</v>
      </c>
      <c r="C51" s="2">
        <v>90.271065535924</v>
      </c>
      <c r="D51" s="2">
        <v>0.02802554544446</v>
      </c>
      <c r="E51" s="2">
        <v>6.8156303752202</v>
      </c>
      <c r="F51" s="2">
        <v>0.84844801207232</v>
      </c>
      <c r="G51" s="2">
        <v>20368290.111105</v>
      </c>
      <c r="H51" s="2">
        <v>30699196.162792</v>
      </c>
      <c r="I51" s="2">
        <v>-0.014015566324962</v>
      </c>
      <c r="J51" s="2">
        <v>-0.012389699603659</v>
      </c>
      <c r="K51" s="2">
        <v>0.027239498793468</v>
      </c>
      <c r="L51" s="2">
        <v>-0.19603349024239</v>
      </c>
      <c r="M51" s="2">
        <v>-0.19442143252998</v>
      </c>
      <c r="N51" s="2">
        <v>362.05378007996</v>
      </c>
      <c r="O51" s="2">
        <v>405.447443312</v>
      </c>
    </row>
    <row r="52" spans="1:15">
      <c r="A52" s="2">
        <v>9.4066849390982</v>
      </c>
      <c r="B52" s="2">
        <v>0.027057611277809</v>
      </c>
      <c r="C52" s="2">
        <v>90.270162871987</v>
      </c>
      <c r="D52" s="2">
        <v>0.028635809758391</v>
      </c>
      <c r="E52" s="2">
        <v>6.8206101790194</v>
      </c>
      <c r="F52" s="2">
        <v>0.84535253075396</v>
      </c>
      <c r="G52" s="2">
        <v>20487592.03869</v>
      </c>
      <c r="H52" s="2">
        <v>31406115.4016</v>
      </c>
      <c r="I52" s="2">
        <v>-0.014323425526407</v>
      </c>
      <c r="J52" s="2">
        <v>-0.012663457049527</v>
      </c>
      <c r="K52" s="2">
        <v>0.027822948563953</v>
      </c>
      <c r="L52" s="2">
        <v>-0.20003403326092</v>
      </c>
      <c r="M52" s="2">
        <v>-0.19835977449532</v>
      </c>
      <c r="N52" s="2">
        <v>362.88775424233</v>
      </c>
      <c r="O52" s="2">
        <v>406.43379443002</v>
      </c>
    </row>
    <row r="53" spans="1:15">
      <c r="A53" s="2">
        <v>9.6066849390982</v>
      </c>
      <c r="B53" s="2">
        <v>0.027662505383478</v>
      </c>
      <c r="C53" s="2">
        <v>90.269261878255</v>
      </c>
      <c r="D53" s="2">
        <v>0.029246040741081</v>
      </c>
      <c r="E53" s="2">
        <v>6.8255932304808</v>
      </c>
      <c r="F53" s="2">
        <v>0.84226958040304</v>
      </c>
      <c r="G53" s="2">
        <v>20607572.141855</v>
      </c>
      <c r="H53" s="2">
        <v>32116245.463097</v>
      </c>
      <c r="I53" s="2">
        <v>-0.014631056028523</v>
      </c>
      <c r="J53" s="2">
        <v>-0.012937105558821</v>
      </c>
      <c r="K53" s="2">
        <v>0.028406052518939</v>
      </c>
      <c r="L53" s="2">
        <v>-0.20401834916541</v>
      </c>
      <c r="M53" s="2">
        <v>-0.20229605705192</v>
      </c>
      <c r="N53" s="2">
        <v>363.71827849235</v>
      </c>
      <c r="O53" s="2">
        <v>407.41614577329</v>
      </c>
    </row>
    <row r="54" spans="1:15">
      <c r="A54" s="2">
        <v>9.8066849390982</v>
      </c>
      <c r="B54" s="2">
        <v>0.028267366466433</v>
      </c>
      <c r="C54" s="2">
        <v>90.268362785528</v>
      </c>
      <c r="D54" s="2">
        <v>0.029856239550203</v>
      </c>
      <c r="E54" s="2">
        <v>6.8305786006158</v>
      </c>
      <c r="F54" s="2">
        <v>0.8391992495995</v>
      </c>
      <c r="G54" s="2">
        <v>20728222.374362</v>
      </c>
      <c r="H54" s="2">
        <v>32829542.684057</v>
      </c>
      <c r="I54" s="2">
        <v>-0.014938457568897</v>
      </c>
      <c r="J54" s="2">
        <v>-0.013210643910974</v>
      </c>
      <c r="K54" s="2">
        <v>0.028988811056968</v>
      </c>
      <c r="L54" s="2">
        <v>-0.20805127127278</v>
      </c>
      <c r="M54" s="2">
        <v>-0.20625594186461</v>
      </c>
      <c r="N54" s="2">
        <v>364.54626765276</v>
      </c>
      <c r="O54" s="2">
        <v>408.39550415395</v>
      </c>
    </row>
    <row r="55" spans="1:15">
      <c r="A55" s="2">
        <v>10.006684939098</v>
      </c>
      <c r="B55" s="2">
        <v>0.028872204563214</v>
      </c>
      <c r="C55" s="2">
        <v>90.267464878532</v>
      </c>
      <c r="D55" s="2">
        <v>0.030466411633989</v>
      </c>
      <c r="E55" s="2">
        <v>6.8355661064842</v>
      </c>
      <c r="F55" s="2">
        <v>0.83614071956868</v>
      </c>
      <c r="G55" s="2">
        <v>20849537.129909</v>
      </c>
      <c r="H55" s="2">
        <v>33545977.496884</v>
      </c>
      <c r="I55" s="2">
        <v>-0.01524563520201</v>
      </c>
      <c r="J55" s="2">
        <v>-0.013484072062442</v>
      </c>
      <c r="K55" s="2">
        <v>0.029571224609556</v>
      </c>
      <c r="L55" s="2">
        <v>-0.21206836472141</v>
      </c>
      <c r="M55" s="2">
        <v>-0.21020644054431</v>
      </c>
      <c r="N55" s="2">
        <v>365.36966320266</v>
      </c>
      <c r="O55" s="2">
        <v>409.36975177593</v>
      </c>
    </row>
    <row r="56" spans="1:15">
      <c r="A56" s="2">
        <v>10.206684939098</v>
      </c>
      <c r="B56" s="2">
        <v>0.029477022174752</v>
      </c>
      <c r="C56" s="2">
        <v>90.266567672662</v>
      </c>
      <c r="D56" s="2">
        <v>0.031076558551655</v>
      </c>
      <c r="E56" s="2">
        <v>6.8405557740062</v>
      </c>
      <c r="F56" s="2">
        <v>0.83309440812751</v>
      </c>
      <c r="G56" s="2">
        <v>20971509.511422</v>
      </c>
      <c r="H56" s="2">
        <v>34265513.08313</v>
      </c>
      <c r="I56" s="2">
        <v>-0.015552591446482</v>
      </c>
      <c r="J56" s="2">
        <v>-0.013757386894823</v>
      </c>
      <c r="K56" s="2">
        <v>0.030153293551341</v>
      </c>
      <c r="L56" s="2">
        <v>-0.21609292813109</v>
      </c>
      <c r="M56" s="2">
        <v>-0.21416486587433</v>
      </c>
      <c r="N56" s="2">
        <v>366.18889632533</v>
      </c>
      <c r="O56" s="2">
        <v>410.33929725919</v>
      </c>
    </row>
    <row r="57" spans="1:15">
      <c r="A57" s="2">
        <v>10.406684939098</v>
      </c>
      <c r="B57" s="2">
        <v>0.030081819438014</v>
      </c>
      <c r="C57" s="2">
        <v>90.265671217521</v>
      </c>
      <c r="D57" s="2">
        <v>0.031686682246391</v>
      </c>
      <c r="E57" s="2">
        <v>6.8455472142804</v>
      </c>
      <c r="F57" s="2">
        <v>0.83006034400251</v>
      </c>
      <c r="G57" s="2">
        <v>21094132.186959</v>
      </c>
      <c r="H57" s="2">
        <v>34988109.941137</v>
      </c>
      <c r="I57" s="2">
        <v>-0.015859327224107</v>
      </c>
      <c r="J57" s="2">
        <v>-0.014030586548136</v>
      </c>
      <c r="K57" s="2">
        <v>0.030735018292188</v>
      </c>
      <c r="L57" s="2">
        <v>-0.22012103964408</v>
      </c>
      <c r="M57" s="2">
        <v>-0.21812482775519</v>
      </c>
      <c r="N57" s="2">
        <v>367.00454863935</v>
      </c>
      <c r="O57" s="2">
        <v>411.30485164582</v>
      </c>
    </row>
    <row r="58" spans="1:15">
      <c r="A58" s="2">
        <v>10.606684939098</v>
      </c>
      <c r="B58" s="2">
        <v>0.030686594950644</v>
      </c>
      <c r="C58" s="2">
        <v>90.264776086208</v>
      </c>
      <c r="D58" s="2">
        <v>0.032296783964108</v>
      </c>
      <c r="E58" s="2">
        <v>6.8505404870488</v>
      </c>
      <c r="F58" s="2">
        <v>0.82703823379735</v>
      </c>
      <c r="G58" s="2">
        <v>21217397.899177</v>
      </c>
      <c r="H58" s="2">
        <v>35713729.030875</v>
      </c>
      <c r="I58" s="2">
        <v>-0.016165842306583</v>
      </c>
      <c r="J58" s="2">
        <v>-0.014303670305719</v>
      </c>
      <c r="K58" s="2">
        <v>0.031316399226373</v>
      </c>
      <c r="L58" s="2">
        <v>-0.22415588635245</v>
      </c>
      <c r="M58" s="2">
        <v>-0.22209301432947</v>
      </c>
      <c r="N58" s="2">
        <v>367.81721291484</v>
      </c>
      <c r="O58" s="2">
        <v>412.26703068218</v>
      </c>
    </row>
    <row r="59" spans="1:15">
      <c r="A59" s="2">
        <v>10.806684939098</v>
      </c>
      <c r="B59" s="2">
        <v>0.031291355824035</v>
      </c>
      <c r="C59" s="2">
        <v>90.263881569556</v>
      </c>
      <c r="D59" s="2">
        <v>0.032906867313296</v>
      </c>
      <c r="E59" s="2">
        <v>6.1524094423404</v>
      </c>
      <c r="F59" s="2">
        <v>0.82402794944422</v>
      </c>
      <c r="G59" s="2">
        <v>21341300.756668</v>
      </c>
      <c r="H59" s="2">
        <v>36442339.370433</v>
      </c>
      <c r="I59" s="2">
        <v>-0.0164721372651</v>
      </c>
      <c r="J59" s="2">
        <v>-0.014576640595717</v>
      </c>
      <c r="K59" s="2">
        <v>0.031897436769451</v>
      </c>
      <c r="L59" s="2">
        <v>-0.22819817563452</v>
      </c>
      <c r="M59" s="2">
        <v>-0.22606599703794</v>
      </c>
      <c r="N59" s="2">
        <v>368.62576697158</v>
      </c>
      <c r="O59" s="2">
        <v>413.22463242397</v>
      </c>
    </row>
    <row r="60" spans="1:15">
      <c r="A60" s="2">
        <v>11.006684939098</v>
      </c>
      <c r="B60" s="2">
        <v>0.0318961038328</v>
      </c>
      <c r="C60" s="2">
        <v>90.262987652844</v>
      </c>
      <c r="D60" s="2">
        <v>0.03351693422233</v>
      </c>
      <c r="E60" s="2">
        <v>6.1574045859694</v>
      </c>
      <c r="F60" s="2">
        <v>0.82102923904155</v>
      </c>
      <c r="G60" s="2">
        <v>21465834.181395</v>
      </c>
      <c r="H60" s="2">
        <v>37173905.831907</v>
      </c>
      <c r="I60" s="2">
        <v>-0.016778215869329</v>
      </c>
      <c r="J60" s="2">
        <v>-0.014849493830147</v>
      </c>
      <c r="K60" s="2">
        <v>0.032478131339122</v>
      </c>
      <c r="L60" s="2">
        <v>-0.23224770347756</v>
      </c>
      <c r="M60" s="2">
        <v>-0.23004500205426</v>
      </c>
      <c r="N60" s="2">
        <v>369.43031459324</v>
      </c>
      <c r="O60" s="2">
        <v>414.17784523988</v>
      </c>
    </row>
    <row r="61" spans="1:15">
      <c r="A61" s="2">
        <v>11.206684939098</v>
      </c>
      <c r="B61" s="2">
        <v>0.032500832749716</v>
      </c>
      <c r="C61" s="2">
        <v>90.262094634737</v>
      </c>
      <c r="D61" s="2">
        <v>0.034126985071361</v>
      </c>
      <c r="E61" s="2">
        <v>6.1624003835336</v>
      </c>
      <c r="F61" s="2">
        <v>0.81804234210293</v>
      </c>
      <c r="G61" s="2">
        <v>21590989.756755</v>
      </c>
      <c r="H61" s="2">
        <v>37908382.635731</v>
      </c>
      <c r="I61" s="2">
        <v>-0.017084076169844</v>
      </c>
      <c r="J61" s="2">
        <v>-0.015122228126732</v>
      </c>
      <c r="K61" s="2">
        <v>0.033058483334719</v>
      </c>
      <c r="L61" s="2">
        <v>-0.23630062439497</v>
      </c>
      <c r="M61" s="2">
        <v>-0.23403328055617</v>
      </c>
      <c r="N61" s="2">
        <v>370.23270193723</v>
      </c>
      <c r="O61" s="2">
        <v>415.12852671633</v>
      </c>
    </row>
    <row r="62" spans="1:15">
      <c r="A62" s="2">
        <v>11.406684939098</v>
      </c>
      <c r="B62" s="2">
        <v>0.033105552560179</v>
      </c>
      <c r="C62" s="2">
        <v>90.261201977012</v>
      </c>
      <c r="D62" s="2">
        <v>0.034737023330076</v>
      </c>
      <c r="E62" s="2">
        <v>6.1673968011695</v>
      </c>
      <c r="F62" s="2">
        <v>0.81506675550656</v>
      </c>
      <c r="G62" s="2">
        <v>21716762.95033</v>
      </c>
      <c r="H62" s="2">
        <v>38645746.615158</v>
      </c>
      <c r="I62" s="2">
        <v>-0.017389721604818</v>
      </c>
      <c r="J62" s="2">
        <v>-0.015394845394381</v>
      </c>
      <c r="K62" s="2">
        <v>0.033638493169556</v>
      </c>
      <c r="L62" s="2">
        <v>-0.24036463483665</v>
      </c>
      <c r="M62" s="2">
        <v>-0.23801685196431</v>
      </c>
      <c r="N62" s="2">
        <v>371.03079188907</v>
      </c>
      <c r="O62" s="2">
        <v>416.07463188938</v>
      </c>
    </row>
    <row r="63" spans="1:15">
      <c r="A63" s="2">
        <v>11.606684939098</v>
      </c>
      <c r="B63" s="2">
        <v>0.033710249844255</v>
      </c>
      <c r="C63" s="2">
        <v>90.260311419314</v>
      </c>
      <c r="D63" s="2">
        <v>0.035347048474576</v>
      </c>
      <c r="E63" s="2">
        <v>6.1723941457991</v>
      </c>
      <c r="F63" s="2">
        <v>0.81210295980588</v>
      </c>
      <c r="G63" s="2">
        <v>21843144.646797</v>
      </c>
      <c r="H63" s="2">
        <v>39385947.845667</v>
      </c>
      <c r="I63" s="2">
        <v>-0.017695150942835</v>
      </c>
      <c r="J63" s="2">
        <v>-0.015667341940585</v>
      </c>
      <c r="K63" s="2">
        <v>0.034218161241274</v>
      </c>
      <c r="L63" s="2">
        <v>-0.24444096835233</v>
      </c>
      <c r="M63" s="2">
        <v>-0.24200437059634</v>
      </c>
      <c r="N63" s="2">
        <v>371.82700352945</v>
      </c>
      <c r="O63" s="2">
        <v>417.01861905818</v>
      </c>
    </row>
    <row r="64" spans="1:15">
      <c r="A64" s="2">
        <v>11.806684939098</v>
      </c>
      <c r="B64" s="2">
        <v>0.034314938131288</v>
      </c>
      <c r="C64" s="2">
        <v>90.259423775106</v>
      </c>
      <c r="D64" s="2">
        <v>0.035957064913014</v>
      </c>
      <c r="E64" s="2">
        <v>5.4742672828329</v>
      </c>
      <c r="F64" s="2">
        <v>0.80915015828511</v>
      </c>
      <c r="G64" s="2">
        <v>21970130.76889</v>
      </c>
      <c r="H64" s="2">
        <v>40128966.05354</v>
      </c>
      <c r="I64" s="2">
        <v>-0.018000365127368</v>
      </c>
      <c r="J64" s="2">
        <v>-0.015939720792859</v>
      </c>
      <c r="K64" s="2">
        <v>0.034797487954931</v>
      </c>
      <c r="L64" s="2">
        <v>-0.24852263295254</v>
      </c>
      <c r="M64" s="2">
        <v>-0.24603278992623</v>
      </c>
      <c r="N64" s="2">
        <v>372.6197434306</v>
      </c>
      <c r="O64" s="2">
        <v>417.95886376133</v>
      </c>
    </row>
    <row r="65" spans="1:15">
      <c r="A65" s="2">
        <v>12.006684939098</v>
      </c>
      <c r="B65" s="2">
        <v>0.034919629882826</v>
      </c>
      <c r="C65" s="2">
        <v>90.258533142704</v>
      </c>
      <c r="D65" s="2">
        <v>0.036567074287335</v>
      </c>
      <c r="E65" s="2">
        <v>5.4792650249482</v>
      </c>
      <c r="F65" s="2">
        <v>0.80620858444404</v>
      </c>
      <c r="G65" s="2">
        <v>22097716.531569</v>
      </c>
      <c r="H65" s="2">
        <v>40874776.906052</v>
      </c>
      <c r="I65" s="2">
        <v>-0.018305369556846</v>
      </c>
      <c r="J65" s="2">
        <v>-0.016211978371267</v>
      </c>
      <c r="K65" s="2">
        <v>0.035376473729983</v>
      </c>
      <c r="L65" s="2">
        <v>-0.25262723628822</v>
      </c>
      <c r="M65" s="2">
        <v>-0.25005129238179</v>
      </c>
      <c r="N65" s="2">
        <v>373.40821016086</v>
      </c>
      <c r="O65" s="2">
        <v>418.89446356123</v>
      </c>
    </row>
    <row r="66" spans="1:15">
      <c r="A66" s="2">
        <v>12.206684939098</v>
      </c>
      <c r="B66" s="2">
        <v>0.035524313680763</v>
      </c>
      <c r="C66" s="2">
        <v>90.257642243958</v>
      </c>
      <c r="D66" s="2">
        <v>0.037177076516515</v>
      </c>
      <c r="E66" s="2">
        <v>5.4842621775486</v>
      </c>
      <c r="F66" s="2">
        <v>0.80327769818445</v>
      </c>
      <c r="G66" s="2">
        <v>22225893.011164</v>
      </c>
      <c r="H66" s="2">
        <v>41623331.525805</v>
      </c>
      <c r="I66" s="2">
        <v>-0.018610163740091</v>
      </c>
      <c r="J66" s="2">
        <v>-0.016484111092966</v>
      </c>
      <c r="K66" s="2">
        <v>0.035955118982944</v>
      </c>
      <c r="L66" s="2">
        <v>-0.25670899601731</v>
      </c>
      <c r="M66" s="2">
        <v>-0.25406945826803</v>
      </c>
      <c r="N66" s="2">
        <v>374.19441595058</v>
      </c>
      <c r="O66" s="2">
        <v>419.82762758311</v>
      </c>
    </row>
    <row r="67" spans="1:15">
      <c r="A67" s="2">
        <v>12.406684939098</v>
      </c>
      <c r="B67" s="2">
        <v>0.036128995530591</v>
      </c>
      <c r="C67" s="2">
        <v>90.256752227618</v>
      </c>
      <c r="D67" s="2">
        <v>0.037787076222959</v>
      </c>
      <c r="E67" s="2">
        <v>5.489258949424</v>
      </c>
      <c r="F67" s="2">
        <v>0.80035714677067</v>
      </c>
      <c r="G67" s="2">
        <v>22354655.430317</v>
      </c>
      <c r="H67" s="2">
        <v>42374605.327554</v>
      </c>
      <c r="I67" s="2">
        <v>-0.018914750187643</v>
      </c>
      <c r="J67" s="2">
        <v>-0.016756122640329</v>
      </c>
      <c r="K67" s="2">
        <v>0.036533424121497</v>
      </c>
      <c r="L67" s="2">
        <v>-0.26126758424367</v>
      </c>
      <c r="M67" s="2">
        <v>-0.25845778344525</v>
      </c>
      <c r="N67" s="2">
        <v>374.97678250605</v>
      </c>
      <c r="O67" s="2">
        <v>420.7571078114</v>
      </c>
    </row>
    <row r="68" spans="1:15">
      <c r="A68" s="2">
        <v>12.606684939098</v>
      </c>
      <c r="B68" s="2">
        <v>0.036733665534087</v>
      </c>
      <c r="C68" s="2">
        <v>90.25586581415</v>
      </c>
      <c r="D68" s="2">
        <v>0.038397070084135</v>
      </c>
      <c r="E68" s="2">
        <v>5.4942551723947</v>
      </c>
      <c r="F68" s="2">
        <v>0.79744732448213</v>
      </c>
      <c r="G68" s="2">
        <v>22483995.675255</v>
      </c>
      <c r="H68" s="2">
        <v>43128554.16905</v>
      </c>
      <c r="I68" s="2">
        <v>-0.019219125434162</v>
      </c>
      <c r="J68" s="2">
        <v>-0.017028005406684</v>
      </c>
      <c r="K68" s="2">
        <v>0.037111389518215</v>
      </c>
      <c r="L68" s="2">
        <v>-0.26496142325931</v>
      </c>
      <c r="M68" s="2">
        <v>-0.26216004698634</v>
      </c>
      <c r="N68" s="2">
        <v>375.75784406887</v>
      </c>
      <c r="O68" s="2">
        <v>421.68427252677</v>
      </c>
    </row>
    <row r="69" spans="1:15">
      <c r="A69" s="2">
        <v>12.806684939098</v>
      </c>
      <c r="B69" s="2">
        <v>0.037338343512303</v>
      </c>
      <c r="C69" s="2">
        <v>90.254978521331</v>
      </c>
      <c r="D69" s="2">
        <v>0.039007065010004</v>
      </c>
      <c r="E69" s="2">
        <v>5.4992505856979</v>
      </c>
      <c r="F69" s="2">
        <v>0.79454803569636</v>
      </c>
      <c r="G69" s="2">
        <v>22613911.36218</v>
      </c>
      <c r="H69" s="2">
        <v>43885167.786508</v>
      </c>
      <c r="I69" s="2">
        <v>-0.019523294458056</v>
      </c>
      <c r="J69" s="2">
        <v>-0.017299768015377</v>
      </c>
      <c r="K69" s="2">
        <v>0.03768901559214</v>
      </c>
      <c r="L69" s="2">
        <v>-0.2690560713692</v>
      </c>
      <c r="M69" s="2">
        <v>-0.266178380538</v>
      </c>
      <c r="N69" s="2">
        <v>376.53413608591</v>
      </c>
      <c r="O69" s="2">
        <v>422.60662886648</v>
      </c>
    </row>
    <row r="70" spans="1:15">
      <c r="A70" s="2">
        <v>13.006684939098</v>
      </c>
      <c r="B70" s="2">
        <v>0.037943023632644</v>
      </c>
      <c r="C70" s="2">
        <v>90.254089169083</v>
      </c>
      <c r="D70" s="2">
        <v>0.039617060017639</v>
      </c>
      <c r="E70" s="2">
        <v>5.5042454854723</v>
      </c>
      <c r="F70" s="2">
        <v>0.79165947937435</v>
      </c>
      <c r="G70" s="2">
        <v>22744395.071908</v>
      </c>
      <c r="H70" s="2">
        <v>44644406.290278</v>
      </c>
      <c r="I70" s="2">
        <v>-0.019827255740365</v>
      </c>
      <c r="J70" s="2">
        <v>-0.017571406671437</v>
      </c>
      <c r="K70" s="2">
        <v>0.038266302741488</v>
      </c>
      <c r="L70" s="2">
        <v>-0.27319127920391</v>
      </c>
      <c r="M70" s="2">
        <v>-0.27023431478963</v>
      </c>
      <c r="N70" s="2">
        <v>377.30746578978</v>
      </c>
      <c r="O70" s="2">
        <v>423.52578194805</v>
      </c>
    </row>
    <row r="71" spans="1:15">
      <c r="A71" s="2">
        <v>13.206684939098</v>
      </c>
      <c r="B71" s="2">
        <v>0.038547705912646</v>
      </c>
      <c r="C71" s="2">
        <v>90.253199743615</v>
      </c>
      <c r="D71" s="2">
        <v>0.040227056762412</v>
      </c>
      <c r="E71" s="2">
        <v>5.5092397114149</v>
      </c>
      <c r="F71" s="2">
        <v>0.78878131187786</v>
      </c>
      <c r="G71" s="2">
        <v>22875440.736411</v>
      </c>
      <c r="H71" s="2">
        <v>45406237.566573</v>
      </c>
      <c r="I71" s="2">
        <v>-0.020131010355599</v>
      </c>
      <c r="J71" s="2">
        <v>-0.017842920689583</v>
      </c>
      <c r="K71" s="2">
        <v>0.038843251387096</v>
      </c>
      <c r="L71" s="2">
        <v>-0.27733315102849</v>
      </c>
      <c r="M71" s="2">
        <v>-0.27429570298548</v>
      </c>
      <c r="N71" s="2">
        <v>378.07780616798</v>
      </c>
      <c r="O71" s="2">
        <v>424.44173556773</v>
      </c>
    </row>
    <row r="72" spans="1:15">
      <c r="A72" s="2">
        <v>13.406684939098</v>
      </c>
      <c r="B72" s="2">
        <v>0.039152388244309</v>
      </c>
      <c r="C72" s="2">
        <v>90.25231035448</v>
      </c>
      <c r="D72" s="2">
        <v>0.040837056808023</v>
      </c>
      <c r="E72" s="2">
        <v>5.5142330006492</v>
      </c>
      <c r="F72" s="2">
        <v>0.78591344250955</v>
      </c>
      <c r="G72" s="2">
        <v>23007042.254002</v>
      </c>
      <c r="H72" s="2">
        <v>46170629.234374</v>
      </c>
      <c r="I72" s="2">
        <v>-0.020434559786512</v>
      </c>
      <c r="J72" s="2">
        <v>-0.01811430904884</v>
      </c>
      <c r="K72" s="2">
        <v>0.039419861924265</v>
      </c>
      <c r="L72" s="2">
        <v>-0.28146321258955</v>
      </c>
      <c r="M72" s="2">
        <v>-0.27834671903441</v>
      </c>
      <c r="N72" s="2">
        <v>378.84517112797</v>
      </c>
      <c r="O72" s="2">
        <v>425.35447421867</v>
      </c>
    </row>
    <row r="73" spans="1:15">
      <c r="A73" s="2">
        <v>13.606684939098</v>
      </c>
      <c r="B73" s="2">
        <v>0.03975707527845</v>
      </c>
      <c r="C73" s="2">
        <v>90.25142125228</v>
      </c>
      <c r="D73" s="2">
        <v>0.041447061942627</v>
      </c>
      <c r="E73" s="2">
        <v>5.5192256350143</v>
      </c>
      <c r="F73" s="2">
        <v>0.78305550850203</v>
      </c>
      <c r="G73" s="2">
        <v>23139194.108459</v>
      </c>
      <c r="H73" s="2">
        <v>46937552.595461</v>
      </c>
      <c r="I73" s="2">
        <v>-0.020737904394868</v>
      </c>
      <c r="J73" s="2">
        <v>-0.018385571034938</v>
      </c>
      <c r="K73" s="2">
        <v>0.039996134753659</v>
      </c>
      <c r="L73" s="2">
        <v>-0.28564946476865</v>
      </c>
      <c r="M73" s="2">
        <v>-0.28245060555033</v>
      </c>
      <c r="N73" s="2">
        <v>379.60992712445</v>
      </c>
      <c r="O73" s="2">
        <v>426.26439633976</v>
      </c>
    </row>
    <row r="74" spans="1:15">
      <c r="A74" s="2">
        <v>13.806684939098</v>
      </c>
      <c r="B74" s="2">
        <v>0.040361767673434</v>
      </c>
      <c r="C74" s="2">
        <v>90.250532207874</v>
      </c>
      <c r="D74" s="2">
        <v>0.042057073324866</v>
      </c>
      <c r="E74" s="2">
        <v>5.5242179741471</v>
      </c>
      <c r="F74" s="2">
        <v>0.78020758902509</v>
      </c>
      <c r="G74" s="2">
        <v>23271890.48931</v>
      </c>
      <c r="H74" s="2">
        <v>47706977.047212</v>
      </c>
      <c r="I74" s="2">
        <v>-0.021041044431563</v>
      </c>
      <c r="J74" s="2">
        <v>-0.018656706581583</v>
      </c>
      <c r="K74" s="2">
        <v>0.040572070271128</v>
      </c>
      <c r="L74" s="2">
        <v>-0.28982221850611</v>
      </c>
      <c r="M74" s="2">
        <v>-0.28654296173313</v>
      </c>
      <c r="N74" s="2">
        <v>380.37205178871</v>
      </c>
      <c r="O74" s="2">
        <v>427.17148057497</v>
      </c>
    </row>
    <row r="75" spans="1:15">
      <c r="A75" s="2">
        <v>14.006684939098</v>
      </c>
      <c r="B75" s="2">
        <v>0.040966469301617</v>
      </c>
      <c r="C75" s="2">
        <v>90.249642970036</v>
      </c>
      <c r="D75" s="2">
        <v>0.042667092096223</v>
      </c>
      <c r="E75" s="2">
        <v>5.5292096460907</v>
      </c>
      <c r="F75" s="2">
        <v>0.77736941720003</v>
      </c>
      <c r="G75" s="2">
        <v>23405126.701708</v>
      </c>
      <c r="H75" s="2">
        <v>48478878.545733</v>
      </c>
      <c r="I75" s="2">
        <v>-0.021343980677265</v>
      </c>
      <c r="J75" s="2">
        <v>-0.018927717141765</v>
      </c>
      <c r="K75" s="2">
        <v>0.041147668895964</v>
      </c>
      <c r="L75" s="2">
        <v>-0.29400231136787</v>
      </c>
      <c r="M75" s="2">
        <v>-0.29063878938709</v>
      </c>
      <c r="N75" s="2">
        <v>381.13081312682</v>
      </c>
      <c r="O75" s="2">
        <v>428.07493949553</v>
      </c>
    </row>
    <row r="76" spans="1:15">
      <c r="A76" s="2">
        <v>14.206684939098</v>
      </c>
      <c r="B76" s="2">
        <v>0.04157117336821</v>
      </c>
      <c r="C76" s="2">
        <v>90.248754511543</v>
      </c>
      <c r="D76" s="2">
        <v>0.043277117997185</v>
      </c>
      <c r="E76" s="2">
        <v>4.1279502891901</v>
      </c>
      <c r="F76" s="2">
        <v>0.77454142436114</v>
      </c>
      <c r="G76" s="2">
        <v>23538895.770695</v>
      </c>
      <c r="H76" s="2">
        <v>49253219.805302</v>
      </c>
      <c r="I76" s="2">
        <v>-0.021646712465722</v>
      </c>
      <c r="J76" s="2">
        <v>-0.019198601164174</v>
      </c>
      <c r="K76" s="2">
        <v>0.041722931076907</v>
      </c>
      <c r="L76" s="2">
        <v>-0.29820625861485</v>
      </c>
      <c r="M76" s="2">
        <v>-0.29475509449086</v>
      </c>
      <c r="N76" s="2">
        <v>381.88743810349</v>
      </c>
      <c r="O76" s="2">
        <v>428.97610318622</v>
      </c>
    </row>
    <row r="77" spans="1:15">
      <c r="A77" s="2">
        <v>14.406684939098</v>
      </c>
      <c r="B77" s="2">
        <v>0.042175893078766</v>
      </c>
      <c r="C77" s="2">
        <v>90.24786639561</v>
      </c>
      <c r="D77" s="2">
        <v>0.043887154952434</v>
      </c>
      <c r="E77" s="2">
        <v>4.1329397846213</v>
      </c>
      <c r="F77" s="2">
        <v>0.77172289118701</v>
      </c>
      <c r="G77" s="2">
        <v>23673194.022115</v>
      </c>
      <c r="H77" s="2">
        <v>50029982.72712</v>
      </c>
      <c r="I77" s="2">
        <v>-0.021949243737409</v>
      </c>
      <c r="J77" s="2">
        <v>-0.019469357395065</v>
      </c>
      <c r="K77" s="2">
        <v>0.042297857167717</v>
      </c>
      <c r="L77" s="2">
        <v>-0.3023988889353</v>
      </c>
      <c r="M77" s="2">
        <v>-0.29886634464794</v>
      </c>
      <c r="N77" s="2">
        <v>382.64072782405</v>
      </c>
      <c r="O77" s="2">
        <v>429.87366101405</v>
      </c>
    </row>
    <row r="78" spans="1:15">
      <c r="A78" s="2">
        <v>14.606684939098</v>
      </c>
      <c r="B78" s="2">
        <v>0.042780625436151</v>
      </c>
      <c r="C78" s="2">
        <v>90.246978499723</v>
      </c>
      <c r="D78" s="2">
        <v>0.044497203923995</v>
      </c>
      <c r="E78" s="2">
        <v>4.137928317507</v>
      </c>
      <c r="F78" s="2">
        <v>0.76891367571938</v>
      </c>
      <c r="G78" s="2">
        <v>23808015.425277</v>
      </c>
      <c r="H78" s="2">
        <v>50809135.384527</v>
      </c>
      <c r="I78" s="2">
        <v>-0.022251574480013</v>
      </c>
      <c r="J78" s="2">
        <v>-0.019739985770971</v>
      </c>
      <c r="K78" s="2">
        <v>0.042872447588465</v>
      </c>
      <c r="L78" s="2">
        <v>-0.30660807798512</v>
      </c>
      <c r="M78" s="2">
        <v>-0.30299202175819</v>
      </c>
      <c r="N78" s="2">
        <v>383.39100066086</v>
      </c>
      <c r="O78" s="2">
        <v>430.76789434855</v>
      </c>
    </row>
    <row r="79" spans="1:15">
      <c r="A79" s="2">
        <v>14.806684939098</v>
      </c>
      <c r="B79" s="2">
        <v>0.043385370675316</v>
      </c>
      <c r="C79" s="2">
        <v>90.246090660067</v>
      </c>
      <c r="D79" s="2">
        <v>0.045107265699419</v>
      </c>
      <c r="E79" s="2">
        <v>4.1429156996957</v>
      </c>
      <c r="F79" s="2">
        <v>0.76611408729062</v>
      </c>
      <c r="G79" s="2">
        <v>23943354.29787</v>
      </c>
      <c r="H79" s="2">
        <v>51590647.95858</v>
      </c>
      <c r="I79" s="2">
        <v>-0.022553705064339</v>
      </c>
      <c r="J79" s="2">
        <v>-0.020010485643186</v>
      </c>
      <c r="K79" s="2">
        <v>0.043446702716887</v>
      </c>
      <c r="L79" s="2">
        <v>-0.31083111271821</v>
      </c>
      <c r="M79" s="2">
        <v>-0.3071310107274</v>
      </c>
      <c r="N79" s="2">
        <v>384.13854845946</v>
      </c>
      <c r="O79" s="2">
        <v>431.6592179197</v>
      </c>
    </row>
    <row r="80" spans="1:15">
      <c r="A80" s="2">
        <v>15.006684939098</v>
      </c>
      <c r="B80" s="2">
        <v>0.043990129892823</v>
      </c>
      <c r="C80" s="2">
        <v>90.245202949651</v>
      </c>
      <c r="D80" s="2">
        <v>0.045717341638182</v>
      </c>
      <c r="E80" s="2">
        <v>4.1479020232113</v>
      </c>
      <c r="F80" s="2">
        <v>0.76332382496923</v>
      </c>
      <c r="G80" s="2">
        <v>24079205.425044</v>
      </c>
      <c r="H80" s="2">
        <v>52374493.319543</v>
      </c>
      <c r="I80" s="2">
        <v>-0.022855636256162</v>
      </c>
      <c r="J80" s="2">
        <v>-0.020280856849511</v>
      </c>
      <c r="K80" s="2">
        <v>0.044020622975</v>
      </c>
      <c r="L80" s="2">
        <v>-0.31506540608041</v>
      </c>
      <c r="M80" s="2">
        <v>-0.31127085389453</v>
      </c>
      <c r="N80" s="2">
        <v>384.88327971936</v>
      </c>
      <c r="O80" s="2">
        <v>432.54750797363</v>
      </c>
    </row>
    <row r="81" spans="1:15">
      <c r="A81" s="2">
        <v>15.206684939098</v>
      </c>
      <c r="B81" s="2">
        <v>0.044594901095439</v>
      </c>
      <c r="C81" s="2">
        <v>90.244315702761</v>
      </c>
      <c r="D81" s="2">
        <v>0.046327432434936</v>
      </c>
      <c r="E81" s="2">
        <v>4.1528872237771</v>
      </c>
      <c r="F81" s="2">
        <v>0.76054288360306</v>
      </c>
      <c r="G81" s="2">
        <v>24215562.689537</v>
      </c>
      <c r="H81" s="2">
        <v>53160639.177292</v>
      </c>
      <c r="I81" s="2">
        <v>-0.023157367093952</v>
      </c>
      <c r="J81" s="2">
        <v>-0.020551098880349</v>
      </c>
      <c r="K81" s="2">
        <v>0.044594208752903</v>
      </c>
      <c r="L81" s="2">
        <v>-0.319303123079</v>
      </c>
      <c r="M81" s="2">
        <v>-0.31543239604465</v>
      </c>
      <c r="N81" s="2">
        <v>385.62602014028</v>
      </c>
      <c r="O81" s="2">
        <v>433.43367900766</v>
      </c>
    </row>
    <row r="82" spans="1:15">
      <c r="A82" s="2">
        <v>15.406684939098</v>
      </c>
      <c r="B82" s="2">
        <v>0.045199680360023</v>
      </c>
      <c r="C82" s="2">
        <v>90.243428739189</v>
      </c>
      <c r="D82" s="2">
        <v>0.046937538221064</v>
      </c>
      <c r="E82" s="2">
        <v>4.1578713986952</v>
      </c>
      <c r="F82" s="2">
        <v>0.75777150610414</v>
      </c>
      <c r="G82" s="2">
        <v>24352420.648427</v>
      </c>
      <c r="H82" s="2">
        <v>53949057.044655</v>
      </c>
      <c r="I82" s="2">
        <v>-0.02345889908965</v>
      </c>
      <c r="J82" s="2">
        <v>-0.0208212110917</v>
      </c>
      <c r="K82" s="2">
        <v>0.045167460505077</v>
      </c>
      <c r="L82" s="2">
        <v>-0.32355793362032</v>
      </c>
      <c r="M82" s="2">
        <v>-0.31960182854696</v>
      </c>
      <c r="N82" s="2">
        <v>386.36669188219</v>
      </c>
      <c r="O82" s="2">
        <v>434.31758773662</v>
      </c>
    </row>
    <row r="83" spans="1:15">
      <c r="A83" s="2">
        <v>15.606684939098</v>
      </c>
      <c r="B83" s="2">
        <v>0.045804479907045</v>
      </c>
      <c r="C83" s="2">
        <v>90.242541940593</v>
      </c>
      <c r="D83" s="2">
        <v>0.047547662580946</v>
      </c>
      <c r="E83" s="2">
        <v>4.162855066798</v>
      </c>
      <c r="F83" s="2">
        <v>0.75500957088223</v>
      </c>
      <c r="G83" s="2">
        <v>24489775.325386</v>
      </c>
      <c r="H83" s="2">
        <v>54739726.972665</v>
      </c>
      <c r="I83" s="2">
        <v>-0.023760233954722</v>
      </c>
      <c r="J83" s="2">
        <v>-0.02109119334316</v>
      </c>
      <c r="K83" s="2">
        <v>0.045740378547643</v>
      </c>
      <c r="L83" s="2">
        <v>-0.32782611057049</v>
      </c>
      <c r="M83" s="2">
        <v>-0.32378824267176</v>
      </c>
      <c r="N83" s="2">
        <v>387.10458320767</v>
      </c>
      <c r="O83" s="2">
        <v>435.19849723546</v>
      </c>
    </row>
    <row r="84" spans="1:15">
      <c r="A84" s="2">
        <v>15.806684939098</v>
      </c>
      <c r="B84" s="2">
        <v>0.046409297695015</v>
      </c>
      <c r="C84" s="2">
        <v>90.241655430031</v>
      </c>
      <c r="D84" s="2">
        <v>0.048157806161725</v>
      </c>
      <c r="E84" s="2">
        <v>4.1678377789026</v>
      </c>
      <c r="F84" s="2">
        <v>0.7522559540377</v>
      </c>
      <c r="G84" s="2">
        <v>24627621.119868</v>
      </c>
      <c r="H84" s="2">
        <v>55532619.472006</v>
      </c>
      <c r="I84" s="2">
        <v>-0.024061373283167</v>
      </c>
      <c r="J84" s="2">
        <v>-0.021361043898744</v>
      </c>
      <c r="K84" s="2">
        <v>0.046312963328195</v>
      </c>
      <c r="L84" s="2">
        <v>-0.33209121922636</v>
      </c>
      <c r="M84" s="2">
        <v>-0.32796855714404</v>
      </c>
      <c r="N84" s="2">
        <v>387.83997501295</v>
      </c>
      <c r="O84" s="2">
        <v>436.07678181374</v>
      </c>
    </row>
    <row r="85" spans="1:15">
      <c r="A85" s="2">
        <v>16.006684939098</v>
      </c>
      <c r="B85" s="2">
        <v>0.047014136980816</v>
      </c>
      <c r="C85" s="2">
        <v>90.24076925963</v>
      </c>
      <c r="D85" s="2">
        <v>0.048767969996457</v>
      </c>
      <c r="E85" s="2">
        <v>4.1728191655226</v>
      </c>
      <c r="F85" s="2">
        <v>0.74951106310843</v>
      </c>
      <c r="G85" s="2">
        <v>24765953.951677</v>
      </c>
      <c r="H85" s="2">
        <v>56327714.119521</v>
      </c>
      <c r="I85" s="2">
        <v>-0.024362317439173</v>
      </c>
      <c r="J85" s="2">
        <v>-0.021630763860573</v>
      </c>
      <c r="K85" s="2">
        <v>0.046885215253148</v>
      </c>
      <c r="L85" s="2">
        <v>-0.33638183113519</v>
      </c>
      <c r="M85" s="2">
        <v>-0.33217377656088</v>
      </c>
      <c r="N85" s="2">
        <v>388.57245727545</v>
      </c>
      <c r="O85" s="2">
        <v>436.95198614697</v>
      </c>
    </row>
    <row r="86" spans="1:15">
      <c r="A86" s="2">
        <v>16.206684939098</v>
      </c>
      <c r="B86" s="2">
        <v>0.047618997702716</v>
      </c>
      <c r="C86" s="2">
        <v>90.239883144413</v>
      </c>
      <c r="D86" s="2">
        <v>0.049378155080005</v>
      </c>
      <c r="E86" s="2">
        <v>4.177799704268</v>
      </c>
      <c r="F86" s="2">
        <v>0.74677515368777</v>
      </c>
      <c r="G86" s="2">
        <v>24904768.308154</v>
      </c>
      <c r="H86" s="2">
        <v>57124982.008363</v>
      </c>
      <c r="I86" s="2">
        <v>-0.024663066504197</v>
      </c>
      <c r="J86" s="2">
        <v>-0.021900353019008</v>
      </c>
      <c r="K86" s="2">
        <v>0.047457134718863</v>
      </c>
      <c r="L86" s="2">
        <v>-0.34068418624403</v>
      </c>
      <c r="M86" s="2">
        <v>-0.33638365637694</v>
      </c>
      <c r="N86" s="2">
        <v>389.30223298624</v>
      </c>
      <c r="O86" s="2">
        <v>437.82428111748</v>
      </c>
    </row>
    <row r="87" spans="1:15">
      <c r="A87" s="2">
        <v>16.406684939098</v>
      </c>
      <c r="B87" s="2">
        <v>0.048223876371217</v>
      </c>
      <c r="C87" s="2">
        <v>90.239001753289</v>
      </c>
      <c r="D87" s="2">
        <v>0.049988362365973</v>
      </c>
      <c r="E87" s="2">
        <v>4.182778652255</v>
      </c>
      <c r="F87" s="2">
        <v>0.74404729831054</v>
      </c>
      <c r="G87" s="2">
        <v>25044059.309114</v>
      </c>
      <c r="H87" s="2">
        <v>57924397.912943</v>
      </c>
      <c r="I87" s="2">
        <v>-0.024963620314614</v>
      </c>
      <c r="J87" s="2">
        <v>-0.022169811909072</v>
      </c>
      <c r="K87" s="2">
        <v>0.048028722112786</v>
      </c>
      <c r="L87" s="2">
        <v>-0.3449890806182</v>
      </c>
      <c r="M87" s="2">
        <v>-0.34060225481258</v>
      </c>
      <c r="N87" s="2">
        <v>390.02937508006</v>
      </c>
      <c r="O87" s="2">
        <v>438.6936580831</v>
      </c>
    </row>
    <row r="88" spans="1:15">
      <c r="A88" s="2">
        <v>16.606684939098</v>
      </c>
      <c r="B88" s="2">
        <v>0.048828778634691</v>
      </c>
      <c r="C88" s="2">
        <v>90.23811737483</v>
      </c>
      <c r="D88" s="2">
        <v>0.050598593468391</v>
      </c>
      <c r="E88" s="2">
        <v>4.1877564489618</v>
      </c>
      <c r="F88" s="2">
        <v>0.74132783001505</v>
      </c>
      <c r="G88" s="2">
        <v>25183822.10541</v>
      </c>
      <c r="H88" s="2">
        <v>58725936.95946</v>
      </c>
      <c r="I88" s="2">
        <v>-0.025263980532918</v>
      </c>
      <c r="J88" s="2">
        <v>-0.022439138373969</v>
      </c>
      <c r="K88" s="2">
        <v>0.048599977846737</v>
      </c>
      <c r="L88" s="2">
        <v>-0.34930774722264</v>
      </c>
      <c r="M88" s="2">
        <v>-0.3448414145536</v>
      </c>
      <c r="N88" s="2">
        <v>390.75418567286</v>
      </c>
      <c r="O88" s="2">
        <v>439.56049604556</v>
      </c>
    </row>
    <row r="89" spans="1:15">
      <c r="A89" s="2">
        <v>16.806684939098</v>
      </c>
      <c r="B89" s="2">
        <v>0.049433708253238</v>
      </c>
      <c r="C89" s="2">
        <v>90.237232304726</v>
      </c>
      <c r="D89" s="2">
        <v>0.051208850314487</v>
      </c>
      <c r="E89" s="2">
        <v>4.1927333128742</v>
      </c>
      <c r="F89" s="2">
        <v>0.73861679688384</v>
      </c>
      <c r="G89" s="2">
        <v>25324052.358305</v>
      </c>
      <c r="H89" s="2">
        <v>59529576.9635</v>
      </c>
      <c r="I89" s="2">
        <v>-0.025564150433713</v>
      </c>
      <c r="J89" s="2">
        <v>-0.022708333418635</v>
      </c>
      <c r="K89" s="2">
        <v>0.049170902319303</v>
      </c>
      <c r="L89" s="2">
        <v>-0.35406053238345</v>
      </c>
      <c r="M89" s="2">
        <v>-0.34943899278943</v>
      </c>
      <c r="N89" s="2">
        <v>391.47579008552</v>
      </c>
      <c r="O89" s="2">
        <v>440.42432359638</v>
      </c>
    </row>
    <row r="90" spans="1:15">
      <c r="A90" s="2">
        <v>17</v>
      </c>
      <c r="B90" s="2">
        <v>0.050018292496097</v>
      </c>
      <c r="C90" s="2">
        <v>90.23637824997</v>
      </c>
      <c r="D90" s="2">
        <v>0.051798718124685</v>
      </c>
      <c r="E90" s="2">
        <v>4.1975413437503</v>
      </c>
      <c r="F90" s="2">
        <v>0.73600498122845</v>
      </c>
      <c r="G90" s="2">
        <v>25460000.599901</v>
      </c>
      <c r="H90" s="2">
        <v>60308129.680807</v>
      </c>
      <c r="I90" s="2">
        <v>-0.025854070610101</v>
      </c>
      <c r="J90" s="2">
        <v>-0.022968376554436</v>
      </c>
      <c r="K90" s="2">
        <v>0.049722429377516</v>
      </c>
      <c r="L90" s="2">
        <v>-0.35726011312998</v>
      </c>
      <c r="M90" s="2">
        <v>-0.35247325948341</v>
      </c>
      <c r="N90" s="2">
        <v>392.19588192666</v>
      </c>
      <c r="O90" s="2">
        <v>441.28291039143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"/>
  <sheetViews>
    <sheetView topLeftCell="A61" workbookViewId="0">
      <selection activeCell="A1" sqref="A1:O90"/>
    </sheetView>
  </sheetViews>
  <sheetFormatPr defaultColWidth="8.81333333333333" defaultRowHeight="15"/>
  <cols>
    <col min="1" max="4" width="12.4533333333333"/>
    <col min="5" max="7" width="13.6266666666667"/>
    <col min="8" max="8" width="12.4533333333333"/>
    <col min="9" max="13" width="13.6266666666667"/>
    <col min="14" max="15" width="12.4533333333333"/>
  </cols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1.2667300649071e-23</v>
      </c>
      <c r="C3" s="2">
        <v>90.287237282915</v>
      </c>
      <c r="D3" s="3">
        <v>7.0300003049431e-6</v>
      </c>
      <c r="E3" s="2">
        <v>6.6107834660121</v>
      </c>
      <c r="F3" s="2">
        <v>0.9920407297558</v>
      </c>
      <c r="G3" s="2">
        <v>16000000</v>
      </c>
      <c r="H3" s="2">
        <v>4000000</v>
      </c>
      <c r="I3" s="3">
        <v>-2.1231755236993e-6</v>
      </c>
      <c r="J3" s="3">
        <v>-1.8941769991865e-6</v>
      </c>
      <c r="K3" s="3">
        <v>7.7492130157444e-6</v>
      </c>
      <c r="L3" s="3">
        <v>-1.5877966074e-7</v>
      </c>
      <c r="M3" s="3">
        <v>-1.6266317057655e-7</v>
      </c>
      <c r="N3" s="2">
        <v>1.5981953552448</v>
      </c>
      <c r="O3" s="2">
        <v>1.7188916450518</v>
      </c>
    </row>
    <row r="4" spans="1:15">
      <c r="A4" s="2">
        <v>0.018444056862426</v>
      </c>
      <c r="B4" s="3">
        <v>7.1696723668774e-21</v>
      </c>
      <c r="C4" s="2">
        <v>90.287544521167</v>
      </c>
      <c r="D4" s="3">
        <v>5.0198279151078e-5</v>
      </c>
      <c r="E4" s="2">
        <v>6.6107970456855</v>
      </c>
      <c r="F4" s="2">
        <v>0.9920989301854</v>
      </c>
      <c r="G4" s="2">
        <v>16000000</v>
      </c>
      <c r="H4" s="2">
        <v>4000000</v>
      </c>
      <c r="I4" s="3">
        <v>-1.5162449359317e-5</v>
      </c>
      <c r="J4" s="3">
        <v>-1.3527113278018e-5</v>
      </c>
      <c r="K4" s="3">
        <v>5.5330604150346e-5</v>
      </c>
      <c r="L4" s="3">
        <v>-8.0912243307464e-6</v>
      </c>
      <c r="M4" s="3">
        <v>-8.2898131282931e-6</v>
      </c>
      <c r="N4" s="2">
        <v>11.414705110833</v>
      </c>
      <c r="O4" s="2">
        <v>12.276442778777</v>
      </c>
    </row>
    <row r="5" spans="1:15">
      <c r="A5" s="2">
        <v>0.1</v>
      </c>
      <c r="B5" s="3">
        <v>8.1604125547642e-15</v>
      </c>
      <c r="C5" s="2">
        <v>90.28916811896</v>
      </c>
      <c r="D5" s="2">
        <v>0.00027221765174117</v>
      </c>
      <c r="E5" s="2">
        <v>6.6108660206977</v>
      </c>
      <c r="F5" s="2">
        <v>0.99239795567886</v>
      </c>
      <c r="G5" s="2">
        <v>16000000.000001</v>
      </c>
      <c r="H5" s="2">
        <v>4000000.0000055</v>
      </c>
      <c r="I5" s="3">
        <v>-8.2280238578336e-5</v>
      </c>
      <c r="J5" s="3">
        <v>-7.3407004036692e-5</v>
      </c>
      <c r="K5" s="2">
        <v>0.00029995396073488</v>
      </c>
      <c r="L5" s="2">
        <v>-0.00023625469238857</v>
      </c>
      <c r="M5" s="2">
        <v>-0.00024227573942241</v>
      </c>
      <c r="N5" s="2">
        <v>61.983911854815</v>
      </c>
      <c r="O5" s="2">
        <v>66.654027010122</v>
      </c>
    </row>
    <row r="6" spans="1:15">
      <c r="A6" s="2">
        <v>0.20668493909835</v>
      </c>
      <c r="B6" s="3">
        <v>5.1276232579976e-11</v>
      </c>
      <c r="C6" s="2">
        <v>90.291412506855</v>
      </c>
      <c r="D6" s="2">
        <v>0.00056276525830087</v>
      </c>
      <c r="E6" s="2">
        <v>6.6109543879638</v>
      </c>
      <c r="F6" s="2">
        <v>0.99278854062865</v>
      </c>
      <c r="G6" s="2">
        <v>16000000.005016</v>
      </c>
      <c r="H6" s="2">
        <v>4000000.0321235</v>
      </c>
      <c r="I6" s="2">
        <v>-0.00017023405057708</v>
      </c>
      <c r="J6" s="2">
        <v>-0.00015187833434749</v>
      </c>
      <c r="K6" s="2">
        <v>0.00061985818849867</v>
      </c>
      <c r="L6" s="2">
        <v>-0.0010127936344411</v>
      </c>
      <c r="M6" s="2">
        <v>-0.0010383535677526</v>
      </c>
      <c r="N6" s="2">
        <v>128.34451857236</v>
      </c>
      <c r="O6" s="2">
        <v>137.99138642211</v>
      </c>
    </row>
    <row r="7" spans="1:15">
      <c r="A7" s="2">
        <v>0.40668493909835</v>
      </c>
      <c r="B7" s="3">
        <v>4.939551686041e-6</v>
      </c>
      <c r="C7" s="2">
        <v>90.296015402102</v>
      </c>
      <c r="D7" s="2">
        <v>0.0011085472384096</v>
      </c>
      <c r="E7" s="2">
        <v>6.611180418822</v>
      </c>
      <c r="F7" s="2">
        <v>0.99349484983455</v>
      </c>
      <c r="G7" s="2">
        <v>16000462.747751</v>
      </c>
      <c r="H7" s="2">
        <v>4002963.0899297</v>
      </c>
      <c r="I7" s="2">
        <v>-0.00033692979437923</v>
      </c>
      <c r="J7" s="2">
        <v>-0.00030043939021644</v>
      </c>
      <c r="K7" s="2">
        <v>0.001219293821996</v>
      </c>
      <c r="L7" s="2">
        <v>-0.0053494323350488</v>
      </c>
      <c r="M7" s="2">
        <v>-0.0052838509994419</v>
      </c>
      <c r="N7" s="2">
        <v>252.54949705858</v>
      </c>
      <c r="O7" s="2">
        <v>271.50660579304</v>
      </c>
    </row>
    <row r="8" spans="1:15">
      <c r="A8" s="2">
        <v>0.60668493909835</v>
      </c>
      <c r="B8" s="2">
        <v>0.00029464945924597</v>
      </c>
      <c r="C8" s="2">
        <v>90.298987127816</v>
      </c>
      <c r="D8" s="2">
        <v>0.0016861230061709</v>
      </c>
      <c r="E8" s="2">
        <v>6.6148126200567</v>
      </c>
      <c r="F8" s="2">
        <v>0.99290091585369</v>
      </c>
      <c r="G8" s="2">
        <v>16029034.87255</v>
      </c>
      <c r="H8" s="2">
        <v>4185744.1259325</v>
      </c>
      <c r="I8" s="2">
        <v>-0.00056769114735322</v>
      </c>
      <c r="J8" s="2">
        <v>-0.00050534635336108</v>
      </c>
      <c r="K8" s="2">
        <v>0.0018183614514891</v>
      </c>
      <c r="L8" s="2">
        <v>-0.012756042284122</v>
      </c>
      <c r="M8" s="2">
        <v>-0.012341597437961</v>
      </c>
      <c r="N8" s="2">
        <v>324.98925369242</v>
      </c>
      <c r="O8" s="2">
        <v>352.04557391507</v>
      </c>
    </row>
    <row r="9" spans="1:15">
      <c r="A9" s="2">
        <v>0.80668493909835</v>
      </c>
      <c r="B9" s="2">
        <v>0.00087630131566173</v>
      </c>
      <c r="C9" s="2">
        <v>90.302058153913</v>
      </c>
      <c r="D9" s="2">
        <v>0.0022893300167346</v>
      </c>
      <c r="E9" s="2">
        <v>6.6198295463337</v>
      </c>
      <c r="F9" s="2">
        <v>0.99097081217981</v>
      </c>
      <c r="G9" s="2">
        <v>16091077.343571</v>
      </c>
      <c r="H9" s="2">
        <v>4581909.1545014</v>
      </c>
      <c r="I9" s="2">
        <v>-0.00086029125934505</v>
      </c>
      <c r="J9" s="2">
        <v>-0.00077008606434291</v>
      </c>
      <c r="K9" s="2">
        <v>0.0024170644840147</v>
      </c>
      <c r="L9" s="2">
        <v>-0.01369935052606</v>
      </c>
      <c r="M9" s="2">
        <v>-0.013471905462034</v>
      </c>
      <c r="N9" s="2">
        <v>343.66876888585</v>
      </c>
      <c r="O9" s="2">
        <v>375.95492821537</v>
      </c>
    </row>
    <row r="10" spans="1:15">
      <c r="A10" s="2">
        <v>1.0066849390983</v>
      </c>
      <c r="B10" s="2">
        <v>0.0014865521805894</v>
      </c>
      <c r="C10" s="2">
        <v>90.305149423333</v>
      </c>
      <c r="D10" s="2">
        <v>0.0028998657829277</v>
      </c>
      <c r="E10" s="2">
        <v>6.6239070079942</v>
      </c>
      <c r="F10" s="2">
        <v>0.98800191618204</v>
      </c>
      <c r="G10" s="2">
        <v>16162544.949843</v>
      </c>
      <c r="H10" s="2">
        <v>5037177.4378028</v>
      </c>
      <c r="I10" s="2">
        <v>-0.0011646420557605</v>
      </c>
      <c r="J10" s="2">
        <v>-0.0010453280111788</v>
      </c>
      <c r="K10" s="2">
        <v>0.0030154021867028</v>
      </c>
      <c r="L10" s="2">
        <v>-0.020833410983544</v>
      </c>
      <c r="M10" s="2">
        <v>-0.020892067769235</v>
      </c>
      <c r="N10" s="2">
        <v>352.31067902539</v>
      </c>
      <c r="O10" s="2">
        <v>387.96871737339</v>
      </c>
    </row>
    <row r="11" spans="1:15">
      <c r="A11" s="2">
        <v>1.2066849390983</v>
      </c>
      <c r="B11" s="2">
        <v>0.0020943227914909</v>
      </c>
      <c r="C11" s="2">
        <v>90.306830514004</v>
      </c>
      <c r="D11" s="2">
        <v>0.0035141578510921</v>
      </c>
      <c r="E11" s="2">
        <v>6.6278929615866</v>
      </c>
      <c r="F11" s="2">
        <v>0.9843567556421</v>
      </c>
      <c r="G11" s="2">
        <v>16238948.479012</v>
      </c>
      <c r="H11" s="2">
        <v>5522707.6085624</v>
      </c>
      <c r="I11" s="2">
        <v>-0.0014741260382659</v>
      </c>
      <c r="J11" s="2">
        <v>-0.001322851156522</v>
      </c>
      <c r="K11" s="2">
        <v>0.0036133749376411</v>
      </c>
      <c r="L11" s="2">
        <v>-0.0279416150328</v>
      </c>
      <c r="M11" s="2">
        <v>-0.028331820902737</v>
      </c>
      <c r="N11" s="2">
        <v>357.45532726428</v>
      </c>
      <c r="O11" s="2">
        <v>395.15795264542</v>
      </c>
    </row>
    <row r="12" spans="1:15">
      <c r="A12" s="2">
        <v>1.4066849390983</v>
      </c>
      <c r="B12" s="2">
        <v>0.0027002077325421</v>
      </c>
      <c r="C12" s="2">
        <v>90.307436317322</v>
      </c>
      <c r="D12" s="2">
        <v>0.0041298298548993</v>
      </c>
      <c r="E12" s="2">
        <v>6.6319377490938</v>
      </c>
      <c r="F12" s="2">
        <v>0.98060640189596</v>
      </c>
      <c r="G12" s="2">
        <v>16318665.500477</v>
      </c>
      <c r="H12" s="2">
        <v>6028063.8164555</v>
      </c>
      <c r="I12" s="2">
        <v>-0.0017865942766185</v>
      </c>
      <c r="J12" s="2">
        <v>-0.0016006826147607</v>
      </c>
      <c r="K12" s="2">
        <v>0.0042109840389726</v>
      </c>
      <c r="L12" s="2">
        <v>-0.033515883402481</v>
      </c>
      <c r="M12" s="2">
        <v>-0.034040069815194</v>
      </c>
      <c r="N12" s="2">
        <v>360.91466710839</v>
      </c>
      <c r="O12" s="2">
        <v>399.88598490994</v>
      </c>
    </row>
    <row r="13" spans="1:15">
      <c r="A13" s="2">
        <v>1.6066849390983</v>
      </c>
      <c r="B13" s="2">
        <v>0.0033054715925307</v>
      </c>
      <c r="C13" s="2">
        <v>90.307388373042</v>
      </c>
      <c r="D13" s="2">
        <v>0.0047457424740658</v>
      </c>
      <c r="E13" s="2">
        <v>6.6360557659898</v>
      </c>
      <c r="F13" s="2">
        <v>0.9768406999811</v>
      </c>
      <c r="G13" s="2">
        <v>16400747.04593</v>
      </c>
      <c r="H13" s="2">
        <v>6547149.0450189</v>
      </c>
      <c r="I13" s="2">
        <v>-0.0021008515760452</v>
      </c>
      <c r="J13" s="2">
        <v>-0.0018781918529416</v>
      </c>
      <c r="K13" s="2">
        <v>0.0048082304247833</v>
      </c>
      <c r="L13" s="2">
        <v>-0.039140648336206</v>
      </c>
      <c r="M13" s="2">
        <v>-0.039812196026703</v>
      </c>
      <c r="N13" s="2">
        <v>363.51622660773</v>
      </c>
      <c r="O13" s="2">
        <v>403.34628450471</v>
      </c>
    </row>
    <row r="14" spans="1:15">
      <c r="A14" s="2">
        <v>1.8066849390983</v>
      </c>
      <c r="B14" s="2">
        <v>0.0039105451739223</v>
      </c>
      <c r="C14" s="2">
        <v>90.306945110986</v>
      </c>
      <c r="D14" s="2">
        <v>0.0053613879788267</v>
      </c>
      <c r="E14" s="2">
        <v>6.6402293514405</v>
      </c>
      <c r="F14" s="2">
        <v>0.97308240099172</v>
      </c>
      <c r="G14" s="2">
        <v>16484681.178697</v>
      </c>
      <c r="H14" s="2">
        <v>7076678.6586184</v>
      </c>
      <c r="I14" s="2">
        <v>-0.0024161477549712</v>
      </c>
      <c r="J14" s="2">
        <v>-0.0021552984288601</v>
      </c>
      <c r="K14" s="2">
        <v>0.0054051150655461</v>
      </c>
      <c r="L14" s="2">
        <v>-0.044943407212042</v>
      </c>
      <c r="M14" s="2">
        <v>-0.045664788769733</v>
      </c>
      <c r="N14" s="2">
        <v>365.64273730342</v>
      </c>
      <c r="O14" s="2">
        <v>406.11536855801</v>
      </c>
    </row>
    <row r="15" spans="1:15">
      <c r="A15" s="2">
        <v>2.0066849390983</v>
      </c>
      <c r="B15" s="2">
        <v>0.0045157089512884</v>
      </c>
      <c r="C15" s="2">
        <v>90.306268175353</v>
      </c>
      <c r="D15" s="2">
        <v>0.0059766595389588</v>
      </c>
      <c r="E15" s="2">
        <v>6.6444320175712</v>
      </c>
      <c r="F15" s="2">
        <v>0.96934867440126</v>
      </c>
      <c r="G15" s="2">
        <v>16570186.114171</v>
      </c>
      <c r="H15" s="2">
        <v>7614848.1710234</v>
      </c>
      <c r="I15" s="2">
        <v>-0.0027318793693677</v>
      </c>
      <c r="J15" s="2">
        <v>-0.0024322092354847</v>
      </c>
      <c r="K15" s="2">
        <v>0.0060016386203147</v>
      </c>
      <c r="L15" s="2">
        <v>-0.050689007365211</v>
      </c>
      <c r="M15" s="2">
        <v>-0.051471833455464</v>
      </c>
      <c r="N15" s="2">
        <v>367.47818768938</v>
      </c>
      <c r="O15" s="2">
        <v>408.46996150851</v>
      </c>
    </row>
    <row r="16" spans="1:15">
      <c r="A16" s="2">
        <v>2.2066849390983</v>
      </c>
      <c r="B16" s="2">
        <v>0.0051211081478396</v>
      </c>
      <c r="C16" s="2">
        <v>90.305455756995</v>
      </c>
      <c r="D16" s="2">
        <v>0.0065916014857759</v>
      </c>
      <c r="E16" s="2">
        <v>6.6486546219644</v>
      </c>
      <c r="F16" s="2">
        <v>0.96564450482634</v>
      </c>
      <c r="G16" s="2">
        <v>16657079.114975</v>
      </c>
      <c r="H16" s="2">
        <v>8160490.5927969</v>
      </c>
      <c r="I16" s="2">
        <v>-0.0030476921315135</v>
      </c>
      <c r="J16" s="2">
        <v>-0.0027090575156358</v>
      </c>
      <c r="K16" s="2">
        <v>0.0065978015130252</v>
      </c>
      <c r="L16" s="2">
        <v>-0.056114608911862</v>
      </c>
      <c r="M16" s="2">
        <v>-0.056977853438481</v>
      </c>
      <c r="N16" s="2">
        <v>369.12610374326</v>
      </c>
      <c r="O16" s="2">
        <v>410.55836191601</v>
      </c>
    </row>
    <row r="17" spans="1:15">
      <c r="A17" s="2">
        <v>2.4066849390983</v>
      </c>
      <c r="B17" s="2">
        <v>0.0057267996019765</v>
      </c>
      <c r="C17" s="2">
        <v>90.304571313439</v>
      </c>
      <c r="D17" s="2">
        <v>0.007206273883416</v>
      </c>
      <c r="E17" s="2">
        <v>6.6529021392312</v>
      </c>
      <c r="F17" s="2">
        <v>0.96197029378887</v>
      </c>
      <c r="G17" s="2">
        <v>16745229.364961</v>
      </c>
      <c r="H17" s="2">
        <v>8712773.5610265</v>
      </c>
      <c r="I17" s="2">
        <v>-0.0033634105813028</v>
      </c>
      <c r="J17" s="2">
        <v>-0.002985889880122</v>
      </c>
      <c r="K17" s="2">
        <v>0.0071936041624251</v>
      </c>
      <c r="L17" s="2">
        <v>-0.061683181073285</v>
      </c>
      <c r="M17" s="2">
        <v>-0.062419516854998</v>
      </c>
      <c r="N17" s="2">
        <v>370.64932442708</v>
      </c>
      <c r="O17" s="2">
        <v>412.47085354618</v>
      </c>
    </row>
    <row r="18" spans="1:15">
      <c r="A18" s="2">
        <v>2.6066849390983</v>
      </c>
      <c r="B18" s="2">
        <v>0.0063327961107321</v>
      </c>
      <c r="C18" s="2">
        <v>90.303636399803</v>
      </c>
      <c r="D18" s="2">
        <v>0.0078207218536393</v>
      </c>
      <c r="E18" s="2">
        <v>6.6571779193029</v>
      </c>
      <c r="F18" s="2">
        <v>0.95832376427117</v>
      </c>
      <c r="G18" s="2">
        <v>16834541.772984</v>
      </c>
      <c r="H18" s="2">
        <v>9271094.9021945</v>
      </c>
      <c r="I18" s="2">
        <v>-0.0036789453993922</v>
      </c>
      <c r="J18" s="2">
        <v>-0.0032627131498489</v>
      </c>
      <c r="K18" s="2">
        <v>0.0077890470004222</v>
      </c>
      <c r="L18" s="2">
        <v>-0.066942494881967</v>
      </c>
      <c r="M18" s="2">
        <v>-0.067656277811221</v>
      </c>
      <c r="N18" s="2">
        <v>372.08767178748</v>
      </c>
      <c r="O18" s="2">
        <v>414.26602567012</v>
      </c>
    </row>
    <row r="19" spans="1:15">
      <c r="A19" s="2">
        <v>2.8066849390983</v>
      </c>
      <c r="B19" s="2">
        <v>0.0069390350352432</v>
      </c>
      <c r="C19" s="2">
        <v>90.302673710847</v>
      </c>
      <c r="D19" s="2">
        <v>0.0084349689439205</v>
      </c>
      <c r="E19" s="2">
        <v>6.6614871681229</v>
      </c>
      <c r="F19" s="2">
        <v>0.95470389751915</v>
      </c>
      <c r="G19" s="2">
        <v>16924948.97777</v>
      </c>
      <c r="H19" s="2">
        <v>9835030.4211388</v>
      </c>
      <c r="I19" s="2">
        <v>-0.0039942684693302</v>
      </c>
      <c r="J19" s="2">
        <v>-0.0035395106720193</v>
      </c>
      <c r="K19" s="2">
        <v>0.0083841304812746</v>
      </c>
      <c r="L19" s="2">
        <v>-0.072206206788983</v>
      </c>
      <c r="M19" s="2">
        <v>-0.072894080362648</v>
      </c>
      <c r="N19" s="2">
        <v>373.46479110564</v>
      </c>
      <c r="O19" s="2">
        <v>415.97779887829</v>
      </c>
    </row>
    <row r="20" spans="1:15">
      <c r="A20" s="2">
        <v>3.0066849390983</v>
      </c>
      <c r="B20" s="2">
        <v>0.0075454375361065</v>
      </c>
      <c r="C20" s="2">
        <v>90.301699678214</v>
      </c>
      <c r="D20" s="2">
        <v>0.0090490196907022</v>
      </c>
      <c r="E20" s="2">
        <v>6.6658325438345</v>
      </c>
      <c r="F20" s="2">
        <v>0.95110987822447</v>
      </c>
      <c r="G20" s="2">
        <v>17016406.364616</v>
      </c>
      <c r="H20" s="2">
        <v>10404301.560957</v>
      </c>
      <c r="I20" s="2">
        <v>-0.0043093876562912</v>
      </c>
      <c r="J20" s="2">
        <v>-0.0038162489552136</v>
      </c>
      <c r="K20" s="2">
        <v>0.0089788551241324</v>
      </c>
      <c r="L20" s="2">
        <v>-0.077426393320366</v>
      </c>
      <c r="M20" s="2">
        <v>-0.078060825326684</v>
      </c>
      <c r="N20" s="2">
        <v>374.79405011241</v>
      </c>
      <c r="O20" s="2">
        <v>417.62365920701</v>
      </c>
    </row>
    <row r="21" spans="1:15">
      <c r="A21" s="2">
        <v>3.2066849390983</v>
      </c>
      <c r="B21" s="2">
        <v>0.008151923270336</v>
      </c>
      <c r="C21" s="2">
        <v>90.300708266137</v>
      </c>
      <c r="D21" s="2">
        <v>0.009662869861458</v>
      </c>
      <c r="E21" s="2">
        <v>6.6702132392116</v>
      </c>
      <c r="F21" s="2">
        <v>0.94753762587273</v>
      </c>
      <c r="G21" s="2">
        <v>17108880.751215</v>
      </c>
      <c r="H21" s="2">
        <v>10978703.317023</v>
      </c>
      <c r="I21" s="2">
        <v>-0.0046243326975537</v>
      </c>
      <c r="J21" s="2">
        <v>-0.0040928808269292</v>
      </c>
      <c r="K21" s="2">
        <v>0.0095732214511728</v>
      </c>
      <c r="L21" s="2">
        <v>-0.08258054164712</v>
      </c>
      <c r="M21" s="2">
        <v>-0.083160265956022</v>
      </c>
      <c r="N21" s="2">
        <v>376.08471111441</v>
      </c>
      <c r="O21" s="2">
        <v>419.21511398771</v>
      </c>
    </row>
    <row r="22" spans="1:15">
      <c r="A22" s="2">
        <v>3.4066849390983</v>
      </c>
      <c r="B22" s="2">
        <v>0.00875843122544</v>
      </c>
      <c r="C22" s="2">
        <v>90.299706039959</v>
      </c>
      <c r="D22" s="2">
        <v>0.010276516234318</v>
      </c>
      <c r="E22" s="2">
        <v>6.6746283358163</v>
      </c>
      <c r="F22" s="2">
        <v>0.94398501112585</v>
      </c>
      <c r="G22" s="2">
        <v>17202347.055384</v>
      </c>
      <c r="H22" s="2">
        <v>11558082.479194</v>
      </c>
      <c r="I22" s="2">
        <v>-0.0049391361943375</v>
      </c>
      <c r="J22" s="2">
        <v>-0.0043693651951393</v>
      </c>
      <c r="K22" s="2">
        <v>0.010167229962228</v>
      </c>
      <c r="L22" s="2">
        <v>-0.087720338497489</v>
      </c>
      <c r="M22" s="2">
        <v>-0.088259019123214</v>
      </c>
      <c r="N22" s="2">
        <v>377.34178654456</v>
      </c>
      <c r="O22" s="2">
        <v>420.7586789754</v>
      </c>
    </row>
    <row r="23" spans="1:15">
      <c r="A23" s="2">
        <v>3.6066849390983</v>
      </c>
      <c r="B23" s="2">
        <v>0.0093649185519061</v>
      </c>
      <c r="C23" s="2">
        <v>90.298695011483</v>
      </c>
      <c r="D23" s="2">
        <v>0.010889961712456</v>
      </c>
      <c r="E23" s="2">
        <v>6.679075319323</v>
      </c>
      <c r="F23" s="2">
        <v>0.94045065061231</v>
      </c>
      <c r="G23" s="2">
        <v>17296780.911108</v>
      </c>
      <c r="H23" s="2">
        <v>12142291.056307</v>
      </c>
      <c r="I23" s="2">
        <v>-0.0052538065968668</v>
      </c>
      <c r="J23" s="2">
        <v>-0.0046456819306752</v>
      </c>
      <c r="K23" s="2">
        <v>0.010760881113467</v>
      </c>
      <c r="L23" s="2">
        <v>-0.092819580793864</v>
      </c>
      <c r="M23" s="2">
        <v>-0.093239818242626</v>
      </c>
      <c r="N23" s="2">
        <v>378.57125130238</v>
      </c>
      <c r="O23" s="2">
        <v>422.26276024617</v>
      </c>
    </row>
    <row r="24" spans="1:15">
      <c r="A24" s="2">
        <v>3.8066849390983</v>
      </c>
      <c r="B24" s="2">
        <v>0.0099713935422513</v>
      </c>
      <c r="C24" s="2">
        <v>90.297679897517</v>
      </c>
      <c r="D24" s="2">
        <v>0.011503226962086</v>
      </c>
      <c r="E24" s="2">
        <v>6.6835508154564</v>
      </c>
      <c r="F24" s="2">
        <v>0.93693582763162</v>
      </c>
      <c r="G24" s="2">
        <v>17392159.866198</v>
      </c>
      <c r="H24" s="2">
        <v>12731193.433672</v>
      </c>
      <c r="I24" s="2">
        <v>-0.0055683328976673</v>
      </c>
      <c r="J24" s="2">
        <v>-0.0049218353670395</v>
      </c>
      <c r="K24" s="2">
        <v>0.011354175262354</v>
      </c>
      <c r="L24" s="2">
        <v>-0.097828108438296</v>
      </c>
      <c r="M24" s="2">
        <v>-0.098169044228014</v>
      </c>
      <c r="N24" s="2">
        <v>379.7767233748</v>
      </c>
      <c r="O24" s="2">
        <v>423.73416633604</v>
      </c>
    </row>
    <row r="25" spans="1:15">
      <c r="A25" s="2">
        <v>4.0066849390983</v>
      </c>
      <c r="B25" s="2">
        <v>0.010577859197024</v>
      </c>
      <c r="C25" s="2">
        <v>90.296662647101</v>
      </c>
      <c r="D25" s="2">
        <v>0.012116332816353</v>
      </c>
      <c r="E25" s="2">
        <v>6.6880520842378</v>
      </c>
      <c r="F25" s="2">
        <v>0.93344048919244</v>
      </c>
      <c r="G25" s="2">
        <v>17488462.408626</v>
      </c>
      <c r="H25" s="2">
        <v>13324660.427021</v>
      </c>
      <c r="I25" s="2">
        <v>-0.0058827004742872</v>
      </c>
      <c r="J25" s="2">
        <v>-0.0051978324893367</v>
      </c>
      <c r="K25" s="2">
        <v>0.011947112728873</v>
      </c>
      <c r="L25" s="2">
        <v>-0.10280508285542</v>
      </c>
      <c r="M25" s="2">
        <v>-0.10307320425966</v>
      </c>
      <c r="N25" s="2">
        <v>380.96229285963</v>
      </c>
      <c r="O25" s="2">
        <v>425.17977102121</v>
      </c>
    </row>
    <row r="26" spans="1:15">
      <c r="A26" s="2">
        <v>4.2066849390983</v>
      </c>
      <c r="B26" s="2">
        <v>0.011184313139405</v>
      </c>
      <c r="C26" s="2">
        <v>90.295644553233</v>
      </c>
      <c r="D26" s="2">
        <v>0.012729295427724</v>
      </c>
      <c r="E26" s="2">
        <v>6.6925779628168</v>
      </c>
      <c r="F26" s="2">
        <v>0.92996363578043</v>
      </c>
      <c r="G26" s="2">
        <v>17585670.627334</v>
      </c>
      <c r="H26" s="2">
        <v>13922585.837709</v>
      </c>
      <c r="I26" s="2">
        <v>-0.0061968996287217</v>
      </c>
      <c r="J26" s="2">
        <v>-0.005473677693079</v>
      </c>
      <c r="K26" s="2">
        <v>0.012539693843336</v>
      </c>
      <c r="L26" s="2">
        <v>-0.10779583756173</v>
      </c>
      <c r="M26" s="2">
        <v>-0.10797558945103</v>
      </c>
      <c r="N26" s="2">
        <v>382.13085867622</v>
      </c>
      <c r="O26" s="2">
        <v>426.60364302001</v>
      </c>
    </row>
    <row r="27" spans="1:15">
      <c r="A27" s="2">
        <v>4.4066849390983</v>
      </c>
      <c r="B27" s="2">
        <v>0.01179074408907</v>
      </c>
      <c r="C27" s="2">
        <v>90.294627220784</v>
      </c>
      <c r="D27" s="2">
        <v>0.013342128024235</v>
      </c>
      <c r="E27" s="2">
        <v>6.6971279847263</v>
      </c>
      <c r="F27" s="2">
        <v>0.92650469852423</v>
      </c>
      <c r="G27" s="2">
        <v>17683768.775776</v>
      </c>
      <c r="H27" s="2">
        <v>14524877.224068</v>
      </c>
      <c r="I27" s="2">
        <v>-0.0065109204573146</v>
      </c>
      <c r="J27" s="2">
        <v>-0.0057493785140694</v>
      </c>
      <c r="K27" s="2">
        <v>0.013131918919122</v>
      </c>
      <c r="L27" s="2">
        <v>-0.11273628476022</v>
      </c>
      <c r="M27" s="2">
        <v>-0.11284134029845</v>
      </c>
      <c r="N27" s="2">
        <v>383.28385934657</v>
      </c>
      <c r="O27" s="2">
        <v>428.00724780165</v>
      </c>
    </row>
    <row r="28" spans="1:15">
      <c r="A28" s="2">
        <v>4.6066849390983</v>
      </c>
      <c r="B28" s="2">
        <v>0.012397157897972</v>
      </c>
      <c r="C28" s="2">
        <v>90.293610006077</v>
      </c>
      <c r="D28" s="2">
        <v>0.013954839024807</v>
      </c>
      <c r="E28" s="2">
        <v>6.7017008226366</v>
      </c>
      <c r="F28" s="2">
        <v>0.92306253806876</v>
      </c>
      <c r="G28" s="2">
        <v>17782745.370156</v>
      </c>
      <c r="H28" s="2">
        <v>15131469.052913</v>
      </c>
      <c r="I28" s="2">
        <v>-0.0068247611249592</v>
      </c>
      <c r="J28" s="2">
        <v>-0.0060249370108884</v>
      </c>
      <c r="K28" s="2">
        <v>0.013723788317998</v>
      </c>
      <c r="L28" s="2">
        <v>-0.11766650616355</v>
      </c>
      <c r="M28" s="2">
        <v>-0.11770023314209</v>
      </c>
      <c r="N28" s="2">
        <v>384.4213883523</v>
      </c>
      <c r="O28" s="2">
        <v>429.39031047177</v>
      </c>
    </row>
    <row r="29" spans="1:15">
      <c r="A29" s="2">
        <v>4.8066849390983</v>
      </c>
      <c r="B29" s="2">
        <v>0.013003532429246</v>
      </c>
      <c r="C29" s="2">
        <v>90.292593476075</v>
      </c>
      <c r="D29" s="2">
        <v>0.0145674330529</v>
      </c>
      <c r="E29" s="2">
        <v>6.7062958515536</v>
      </c>
      <c r="F29" s="2">
        <v>0.91963641384274</v>
      </c>
      <c r="G29" s="2">
        <v>17882585.844682</v>
      </c>
      <c r="H29" s="2">
        <v>15742276.827343</v>
      </c>
      <c r="I29" s="2">
        <v>-0.0071384136270255</v>
      </c>
      <c r="J29" s="2">
        <v>-0.0063003555772861</v>
      </c>
      <c r="K29" s="2">
        <v>0.014315302403034</v>
      </c>
      <c r="L29" s="2">
        <v>-0.1226295387183</v>
      </c>
      <c r="M29" s="2">
        <v>-0.12255444427108</v>
      </c>
      <c r="N29" s="2">
        <v>385.54635118071</v>
      </c>
      <c r="O29" s="2">
        <v>430.75575598189</v>
      </c>
    </row>
    <row r="30" spans="1:15">
      <c r="A30" s="2">
        <v>5.0066849390983</v>
      </c>
      <c r="B30" s="2">
        <v>0.013609855075978</v>
      </c>
      <c r="C30" s="2">
        <v>90.29157745984</v>
      </c>
      <c r="D30" s="2">
        <v>0.015179913417917</v>
      </c>
      <c r="E30" s="2">
        <v>6.710912925534</v>
      </c>
      <c r="F30" s="2">
        <v>0.91622475345557</v>
      </c>
      <c r="G30" s="2">
        <v>17983278.335225</v>
      </c>
      <c r="H30" s="2">
        <v>16357232.915393</v>
      </c>
      <c r="I30" s="2">
        <v>-0.0074518699875031</v>
      </c>
      <c r="J30" s="2">
        <v>-0.006575641302083</v>
      </c>
      <c r="K30" s="2">
        <v>0.014906461557517</v>
      </c>
      <c r="L30" s="2">
        <v>-0.12746799118566</v>
      </c>
      <c r="M30" s="2">
        <v>-0.127337649541</v>
      </c>
      <c r="N30" s="2">
        <v>386.65923912272</v>
      </c>
      <c r="O30" s="2">
        <v>432.103887671</v>
      </c>
    </row>
    <row r="31" spans="1:15">
      <c r="A31" s="2">
        <v>5.2066849390983</v>
      </c>
      <c r="B31" s="2">
        <v>0.014216112013396</v>
      </c>
      <c r="C31" s="2">
        <v>90.290563316713</v>
      </c>
      <c r="D31" s="2">
        <v>0.015792281720108</v>
      </c>
      <c r="E31" s="2">
        <v>6.7155522186477</v>
      </c>
      <c r="F31" s="2">
        <v>0.912826933294</v>
      </c>
      <c r="G31" s="2">
        <v>18084811.059693</v>
      </c>
      <c r="H31" s="2">
        <v>16976270.45425</v>
      </c>
      <c r="I31" s="2">
        <v>-0.0077651184168756</v>
      </c>
      <c r="J31" s="2">
        <v>-0.0068508035385229</v>
      </c>
      <c r="K31" s="2">
        <v>0.015497266173096</v>
      </c>
      <c r="L31" s="2">
        <v>-0.1323490605332</v>
      </c>
      <c r="M31" s="2">
        <v>-0.13213743448378</v>
      </c>
      <c r="N31" s="2">
        <v>387.76163895809</v>
      </c>
      <c r="O31" s="2">
        <v>433.43645754081</v>
      </c>
    </row>
    <row r="32" spans="1:15">
      <c r="A32" s="2">
        <v>5.4066849390983</v>
      </c>
      <c r="B32" s="2">
        <v>0.01482229660032</v>
      </c>
      <c r="C32" s="2">
        <v>90.289551178891</v>
      </c>
      <c r="D32" s="2">
        <v>0.016404538903355</v>
      </c>
      <c r="E32" s="2">
        <v>6.7202145629394</v>
      </c>
      <c r="F32" s="2">
        <v>0.90944172710895</v>
      </c>
      <c r="G32" s="2">
        <v>18187174.337856</v>
      </c>
      <c r="H32" s="2">
        <v>17599335.506354</v>
      </c>
      <c r="I32" s="2">
        <v>-0.0080781467331262</v>
      </c>
      <c r="J32" s="2">
        <v>-0.0071258565660383</v>
      </c>
      <c r="K32" s="2">
        <v>0.016087716663547</v>
      </c>
      <c r="L32" s="2">
        <v>-0.13720370572278</v>
      </c>
      <c r="M32" s="2">
        <v>-0.13690719423068</v>
      </c>
      <c r="N32" s="2">
        <v>388.8527839584</v>
      </c>
      <c r="O32" s="2">
        <v>434.75270046109</v>
      </c>
    </row>
    <row r="33" spans="1:15">
      <c r="A33" s="2">
        <v>5.6066849390983</v>
      </c>
      <c r="B33" s="2">
        <v>0.015428396022249</v>
      </c>
      <c r="C33" s="2">
        <v>90.288541627594</v>
      </c>
      <c r="D33" s="2">
        <v>0.01701668360898</v>
      </c>
      <c r="E33" s="2">
        <v>6.7249008093342</v>
      </c>
      <c r="F33" s="2">
        <v>0.90606818328698</v>
      </c>
      <c r="G33" s="2">
        <v>18290357.378671</v>
      </c>
      <c r="H33" s="2">
        <v>18226367.521755</v>
      </c>
      <c r="I33" s="2">
        <v>-0.0083909398334769</v>
      </c>
      <c r="J33" s="2">
        <v>-0.0074008134056486</v>
      </c>
      <c r="K33" s="2">
        <v>0.016677813415079</v>
      </c>
      <c r="L33" s="2">
        <v>-0.14205118492264</v>
      </c>
      <c r="M33" s="2">
        <v>-0.14167590428609</v>
      </c>
      <c r="N33" s="2">
        <v>389.93388138734</v>
      </c>
      <c r="O33" s="2">
        <v>436.05415452676</v>
      </c>
    </row>
    <row r="34" spans="1:15">
      <c r="A34" s="2">
        <v>5.8066849390983</v>
      </c>
      <c r="B34" s="2">
        <v>0.016034402290012</v>
      </c>
      <c r="C34" s="2">
        <v>90.287535025422</v>
      </c>
      <c r="D34" s="2">
        <v>0.017628716075029</v>
      </c>
      <c r="E34" s="2">
        <v>6.7296116780158</v>
      </c>
      <c r="F34" s="2">
        <v>0.90270548338941</v>
      </c>
      <c r="G34" s="2">
        <v>18394349.836836</v>
      </c>
      <c r="H34" s="2">
        <v>18857308.715676</v>
      </c>
      <c r="I34" s="2">
        <v>-0.0087034857769101</v>
      </c>
      <c r="J34" s="2">
        <v>-0.0076756847111579</v>
      </c>
      <c r="K34" s="2">
        <v>0.017267556829004</v>
      </c>
      <c r="L34" s="2">
        <v>-0.14688514591034</v>
      </c>
      <c r="M34" s="2">
        <v>-0.14645015914889</v>
      </c>
      <c r="N34" s="2">
        <v>391.0057296561</v>
      </c>
      <c r="O34" s="2">
        <v>437.34202136045</v>
      </c>
    </row>
    <row r="35" spans="1:15">
      <c r="A35" s="2">
        <v>6.0066849390983</v>
      </c>
      <c r="B35" s="2">
        <v>0.016640311041415</v>
      </c>
      <c r="C35" s="2">
        <v>90.286531207752</v>
      </c>
      <c r="D35" s="2">
        <v>0.018240638124483</v>
      </c>
      <c r="E35" s="2">
        <v>6.7343468114722</v>
      </c>
      <c r="F35" s="2">
        <v>0.89935249262517</v>
      </c>
      <c r="G35" s="2">
        <v>18499141.034965</v>
      </c>
      <c r="H35" s="2">
        <v>19492099.196245</v>
      </c>
      <c r="I35" s="2">
        <v>-0.0090157752755574</v>
      </c>
      <c r="J35" s="2">
        <v>-0.0079504778305239</v>
      </c>
      <c r="K35" s="2">
        <v>0.017856947292717</v>
      </c>
      <c r="L35" s="2">
        <v>-0.15169506721211</v>
      </c>
      <c r="M35" s="2">
        <v>-0.1511183225966</v>
      </c>
      <c r="N35" s="2">
        <v>392.06929369742</v>
      </c>
      <c r="O35" s="2">
        <v>438.61747834685</v>
      </c>
    </row>
    <row r="36" spans="1:15">
      <c r="A36" s="2">
        <v>6.2066849390983</v>
      </c>
      <c r="B36" s="2">
        <v>0.017246131301581</v>
      </c>
      <c r="C36" s="2">
        <v>90.285531607659</v>
      </c>
      <c r="D36" s="2">
        <v>0.018852452971779</v>
      </c>
      <c r="E36" s="2">
        <v>6.7391057176943</v>
      </c>
      <c r="F36" s="2">
        <v>0.89600966017146</v>
      </c>
      <c r="G36" s="2">
        <v>18604721.585334</v>
      </c>
      <c r="H36" s="2">
        <v>20130687.054443</v>
      </c>
      <c r="I36" s="2">
        <v>-0.0093278064362455</v>
      </c>
      <c r="J36" s="2">
        <v>-0.0082251961555019</v>
      </c>
      <c r="K36" s="2">
        <v>0.018445985205642</v>
      </c>
      <c r="L36" s="2">
        <v>-0.15647257803726</v>
      </c>
      <c r="M36" s="2">
        <v>-0.15586748325879</v>
      </c>
      <c r="N36" s="2">
        <v>393.1242505528</v>
      </c>
      <c r="O36" s="2">
        <v>439.8810542972</v>
      </c>
    </row>
    <row r="37" spans="1:15">
      <c r="A37" s="2">
        <v>6.4066849390983</v>
      </c>
      <c r="B37" s="2">
        <v>0.017851862879147</v>
      </c>
      <c r="C37" s="2">
        <v>90.28453600852</v>
      </c>
      <c r="D37" s="2">
        <v>0.019464164890163</v>
      </c>
      <c r="E37" s="2">
        <v>6.7438876250517</v>
      </c>
      <c r="F37" s="2">
        <v>0.89267675380864</v>
      </c>
      <c r="G37" s="2">
        <v>18711081.460179</v>
      </c>
      <c r="H37" s="2">
        <v>20773016.422258</v>
      </c>
      <c r="I37" s="2">
        <v>-0.0096395771519826</v>
      </c>
      <c r="J37" s="2">
        <v>-0.0084998401224845</v>
      </c>
      <c r="K37" s="2">
        <v>0.019034670931985</v>
      </c>
      <c r="L37" s="2">
        <v>-0.16123383737468</v>
      </c>
      <c r="M37" s="2">
        <v>-0.16056439245226</v>
      </c>
      <c r="N37" s="2">
        <v>394.17140551245</v>
      </c>
      <c r="O37" s="2">
        <v>441.13380835843</v>
      </c>
    </row>
    <row r="38" spans="1:15">
      <c r="A38" s="2">
        <v>6.6066849390983</v>
      </c>
      <c r="B38" s="2">
        <v>0.018457513195173</v>
      </c>
      <c r="C38" s="2">
        <v>90.283544896204</v>
      </c>
      <c r="D38" s="2">
        <v>0.02007577921126</v>
      </c>
      <c r="E38" s="2">
        <v>6.7486913134806</v>
      </c>
      <c r="F38" s="2">
        <v>0.88935293543676</v>
      </c>
      <c r="G38" s="2">
        <v>18818211.597096</v>
      </c>
      <c r="H38" s="2">
        <v>21419037.267343</v>
      </c>
      <c r="I38" s="2">
        <v>-0.0099510892126313</v>
      </c>
      <c r="J38" s="2">
        <v>-0.008774410127392</v>
      </c>
      <c r="K38" s="2">
        <v>0.019623004884997</v>
      </c>
      <c r="L38" s="2">
        <v>-0.16600338297067</v>
      </c>
      <c r="M38" s="2">
        <v>-0.16525938859658</v>
      </c>
      <c r="N38" s="2">
        <v>395.21010337561</v>
      </c>
      <c r="O38" s="2">
        <v>442.37548045927</v>
      </c>
    </row>
    <row r="39" spans="1:15">
      <c r="A39" s="2">
        <v>6.8066849390983</v>
      </c>
      <c r="B39" s="2">
        <v>0.019063082400481</v>
      </c>
      <c r="C39" s="2">
        <v>90.282557780661</v>
      </c>
      <c r="D39" s="2">
        <v>0.020687300114374</v>
      </c>
      <c r="E39" s="2">
        <v>6.7535149696316</v>
      </c>
      <c r="F39" s="2">
        <v>0.88603881870552</v>
      </c>
      <c r="G39" s="2">
        <v>18926101.817811</v>
      </c>
      <c r="H39" s="2">
        <v>22068692.936806</v>
      </c>
      <c r="I39" s="2">
        <v>-0.01026234134053</v>
      </c>
      <c r="J39" s="2">
        <v>-0.009048904863389</v>
      </c>
      <c r="K39" s="2">
        <v>0.020210987448582</v>
      </c>
      <c r="L39" s="2">
        <v>-0.17075434544732</v>
      </c>
      <c r="M39" s="2">
        <v>-0.16994350110192</v>
      </c>
      <c r="N39" s="2">
        <v>396.24162498838</v>
      </c>
      <c r="O39" s="2">
        <v>443.60758270992</v>
      </c>
    </row>
    <row r="40" spans="1:15">
      <c r="A40" s="2">
        <v>7.0066849390983</v>
      </c>
      <c r="B40" s="2">
        <v>0.019668572726503</v>
      </c>
      <c r="C40" s="2">
        <v>90.281574495047</v>
      </c>
      <c r="D40" s="2">
        <v>0.021298732316338</v>
      </c>
      <c r="E40" s="2">
        <v>6.7583578159409</v>
      </c>
      <c r="F40" s="2">
        <v>0.88273510109979</v>
      </c>
      <c r="G40" s="2">
        <v>19034742.680829</v>
      </c>
      <c r="H40" s="2">
        <v>22721931.305592</v>
      </c>
      <c r="I40" s="2">
        <v>-0.010573335715138</v>
      </c>
      <c r="J40" s="2">
        <v>-0.00932332104922</v>
      </c>
      <c r="K40" s="2">
        <v>0.020798619026412</v>
      </c>
      <c r="L40" s="2">
        <v>-0.17547144696974</v>
      </c>
      <c r="M40" s="2">
        <v>-0.17459200982836</v>
      </c>
      <c r="N40" s="2">
        <v>397.26662249605</v>
      </c>
      <c r="O40" s="2">
        <v>444.83096542119</v>
      </c>
    </row>
    <row r="41" spans="1:15">
      <c r="A41" s="2">
        <v>7.2066849390983</v>
      </c>
      <c r="B41" s="2">
        <v>0.020273992220807</v>
      </c>
      <c r="C41" s="2">
        <v>90.28059547803</v>
      </c>
      <c r="D41" s="2">
        <v>0.021910081148812</v>
      </c>
      <c r="E41" s="2">
        <v>6.7632180710564</v>
      </c>
      <c r="F41" s="2">
        <v>0.87944174557345</v>
      </c>
      <c r="G41" s="2">
        <v>19144125.711863</v>
      </c>
      <c r="H41" s="2">
        <v>23378706.103878</v>
      </c>
      <c r="I41" s="2">
        <v>-0.010884074571632</v>
      </c>
      <c r="J41" s="2">
        <v>-0.009597658132812</v>
      </c>
      <c r="K41" s="2">
        <v>0.021385900014324</v>
      </c>
      <c r="L41" s="2">
        <v>-0.18026359364791</v>
      </c>
      <c r="M41" s="2">
        <v>-0.17927735047413</v>
      </c>
      <c r="N41" s="2">
        <v>398.2847068814</v>
      </c>
      <c r="O41" s="2">
        <v>446.04538838001</v>
      </c>
    </row>
    <row r="42" spans="1:15">
      <c r="A42" s="2">
        <v>7.4066849390983</v>
      </c>
      <c r="B42" s="2">
        <v>0.020879340348774</v>
      </c>
      <c r="C42" s="2">
        <v>90.27962024833</v>
      </c>
      <c r="D42" s="2">
        <v>0.022521349721692</v>
      </c>
      <c r="E42" s="2">
        <v>6.768094553683</v>
      </c>
      <c r="F42" s="2">
        <v>0.87615934735497</v>
      </c>
      <c r="G42" s="2">
        <v>19254241.354025</v>
      </c>
      <c r="H42" s="2">
        <v>24038964.553611</v>
      </c>
      <c r="I42" s="2">
        <v>-0.011194555989357</v>
      </c>
      <c r="J42" s="2">
        <v>-0.0098719151069206</v>
      </c>
      <c r="K42" s="2">
        <v>0.021972830820032</v>
      </c>
      <c r="L42" s="2">
        <v>-0.18490082032322</v>
      </c>
      <c r="M42" s="2">
        <v>-0.18387116729401</v>
      </c>
      <c r="N42" s="2">
        <v>399.29700830081</v>
      </c>
      <c r="O42" s="2">
        <v>447.2519949534</v>
      </c>
    </row>
    <row r="43" spans="1:15">
      <c r="A43" s="2">
        <v>7.6066849390983</v>
      </c>
      <c r="B43" s="2">
        <v>0.021484625303554</v>
      </c>
      <c r="C43" s="2">
        <v>90.278649337096</v>
      </c>
      <c r="D43" s="2">
        <v>0.023132544546232</v>
      </c>
      <c r="E43" s="2">
        <v>6.7729853406579</v>
      </c>
      <c r="F43" s="2">
        <v>0.87288752053577</v>
      </c>
      <c r="G43" s="2">
        <v>19365081.900353</v>
      </c>
      <c r="H43" s="2">
        <v>24702664.945305</v>
      </c>
      <c r="I43" s="2">
        <v>-0.011504785025861</v>
      </c>
      <c r="J43" s="2">
        <v>-0.010146090960423</v>
      </c>
      <c r="K43" s="2">
        <v>0.022559411851252</v>
      </c>
      <c r="L43" s="2">
        <v>-0.18961775408684</v>
      </c>
      <c r="M43" s="2">
        <v>-0.18851600422064</v>
      </c>
      <c r="N43" s="2">
        <v>400.30233595341</v>
      </c>
      <c r="O43" s="2">
        <v>448.44988131672</v>
      </c>
    </row>
    <row r="44" spans="1:15">
      <c r="A44" s="2">
        <v>7.8066849390983</v>
      </c>
      <c r="B44" s="2">
        <v>0.022089851166958</v>
      </c>
      <c r="C44" s="2">
        <v>90.277681918932</v>
      </c>
      <c r="D44" s="2">
        <v>0.023743669565143</v>
      </c>
      <c r="E44" s="2">
        <v>6.7778903577987</v>
      </c>
      <c r="F44" s="2">
        <v>0.86962739041555</v>
      </c>
      <c r="G44" s="2">
        <v>19476638.648088</v>
      </c>
      <c r="H44" s="2">
        <v>25369759.756</v>
      </c>
      <c r="I44" s="2">
        <v>-0.011814762680562</v>
      </c>
      <c r="J44" s="2">
        <v>-0.010420183400334</v>
      </c>
      <c r="K44" s="2">
        <v>0.023145643485176</v>
      </c>
      <c r="L44" s="2">
        <v>-0.19431222827887</v>
      </c>
      <c r="M44" s="2">
        <v>-0.19314470630749</v>
      </c>
      <c r="N44" s="2">
        <v>401.30124006022</v>
      </c>
      <c r="O44" s="2">
        <v>449.63958128109</v>
      </c>
    </row>
    <row r="45" spans="1:15">
      <c r="A45" s="2">
        <v>8.0066849390983</v>
      </c>
      <c r="B45" s="2">
        <v>0.022695018449664</v>
      </c>
      <c r="C45" s="2">
        <v>90.276718272173</v>
      </c>
      <c r="D45" s="2">
        <v>0.024354728119355</v>
      </c>
      <c r="E45" s="2">
        <v>6.7828077364836</v>
      </c>
      <c r="F45" s="2">
        <v>0.86637887054001</v>
      </c>
      <c r="G45" s="2">
        <v>19588902.593327</v>
      </c>
      <c r="H45" s="2">
        <v>26040199.644255</v>
      </c>
      <c r="I45" s="2">
        <v>-0.01212448846323</v>
      </c>
      <c r="J45" s="2">
        <v>-0.010694191193774</v>
      </c>
      <c r="K45" s="2">
        <v>0.023731526130502</v>
      </c>
      <c r="L45" s="2">
        <v>-0.19900791044745</v>
      </c>
      <c r="M45" s="2">
        <v>-0.19776488938203</v>
      </c>
      <c r="N45" s="2">
        <v>402.29470458817</v>
      </c>
      <c r="O45" s="2">
        <v>450.82224469518</v>
      </c>
    </row>
    <row r="46" spans="1:15">
      <c r="A46" s="2">
        <v>8.2066849390983</v>
      </c>
      <c r="B46" s="2">
        <v>0.023300132365266</v>
      </c>
      <c r="C46" s="2">
        <v>90.275758250473</v>
      </c>
      <c r="D46" s="2">
        <v>0.024965725033349</v>
      </c>
      <c r="E46" s="2">
        <v>6.7877368599996</v>
      </c>
      <c r="F46" s="2">
        <v>0.86314224207924</v>
      </c>
      <c r="G46" s="2">
        <v>19701865.825342</v>
      </c>
      <c r="H46" s="2">
        <v>26713941.788563</v>
      </c>
      <c r="I46" s="2">
        <v>-0.012433966119145</v>
      </c>
      <c r="J46" s="2">
        <v>-0.010968111827087</v>
      </c>
      <c r="K46" s="2">
        <v>0.024317060184167</v>
      </c>
      <c r="L46" s="2">
        <v>-0.20369816902999</v>
      </c>
      <c r="M46" s="2">
        <v>-0.20238167615386</v>
      </c>
      <c r="N46" s="2">
        <v>403.28237506711</v>
      </c>
      <c r="O46" s="2">
        <v>451.99755969356</v>
      </c>
    </row>
    <row r="47" spans="1:15">
      <c r="A47" s="2">
        <v>8.4066849390983</v>
      </c>
      <c r="B47" s="2">
        <v>0.023905194360201</v>
      </c>
      <c r="C47" s="2">
        <v>90.274801364473</v>
      </c>
      <c r="D47" s="2">
        <v>0.025576664088833</v>
      </c>
      <c r="E47" s="2">
        <v>6.7926764460912</v>
      </c>
      <c r="F47" s="2">
        <v>0.85991785828371</v>
      </c>
      <c r="G47" s="2">
        <v>19815520.045879</v>
      </c>
      <c r="H47" s="2">
        <v>27390941.127798</v>
      </c>
      <c r="I47" s="2">
        <v>-0.012743198204459</v>
      </c>
      <c r="J47" s="2">
        <v>-0.011241942087032</v>
      </c>
      <c r="K47" s="2">
        <v>0.024902246042036</v>
      </c>
      <c r="L47" s="2">
        <v>-0.20838383584395</v>
      </c>
      <c r="M47" s="2">
        <v>-0.20699800762533</v>
      </c>
      <c r="N47" s="2">
        <v>404.26473187713</v>
      </c>
      <c r="O47" s="2">
        <v>453.1661402214</v>
      </c>
    </row>
    <row r="48" spans="1:15">
      <c r="A48" s="2">
        <v>8.6066849390983</v>
      </c>
      <c r="B48" s="2">
        <v>0.024510206938438</v>
      </c>
      <c r="C48" s="2">
        <v>90.273847853738</v>
      </c>
      <c r="D48" s="2">
        <v>0.026187548789876</v>
      </c>
      <c r="E48" s="2">
        <v>6.7976257885418</v>
      </c>
      <c r="F48" s="2">
        <v>0.8567057235338</v>
      </c>
      <c r="G48" s="2">
        <v>19929856.764069</v>
      </c>
      <c r="H48" s="2">
        <v>28071151.412458</v>
      </c>
      <c r="I48" s="2">
        <v>-0.013052186201992</v>
      </c>
      <c r="J48" s="2">
        <v>-0.011515679935482</v>
      </c>
      <c r="K48" s="2">
        <v>0.025487084104508</v>
      </c>
      <c r="L48" s="2">
        <v>-0.21306572481063</v>
      </c>
      <c r="M48" s="2">
        <v>-0.21161456268118</v>
      </c>
      <c r="N48" s="2">
        <v>405.24220557596</v>
      </c>
      <c r="O48" s="2">
        <v>454.32856175494</v>
      </c>
    </row>
    <row r="49" spans="1:15">
      <c r="A49" s="2">
        <v>8.8066849390982</v>
      </c>
      <c r="B49" s="2">
        <v>0.025115172764506</v>
      </c>
      <c r="C49" s="2">
        <v>90.272897697153</v>
      </c>
      <c r="D49" s="2">
        <v>0.026798382368111</v>
      </c>
      <c r="E49" s="2">
        <v>6.8025835757923</v>
      </c>
      <c r="F49" s="2">
        <v>0.85350571855552</v>
      </c>
      <c r="G49" s="2">
        <v>20044868.15213</v>
      </c>
      <c r="H49" s="2">
        <v>28754530.513031</v>
      </c>
      <c r="I49" s="2">
        <v>-0.013360931295101</v>
      </c>
      <c r="J49" s="2">
        <v>-0.011789323715981</v>
      </c>
      <c r="K49" s="2">
        <v>0.026071574762041</v>
      </c>
      <c r="L49" s="2">
        <v>-0.21774680879321</v>
      </c>
      <c r="M49" s="2">
        <v>-0.21623563782816</v>
      </c>
      <c r="N49" s="2">
        <v>406.21518285639</v>
      </c>
      <c r="O49" s="2">
        <v>455.48524154954</v>
      </c>
    </row>
    <row r="50" spans="1:15">
      <c r="A50" s="2">
        <v>9.0066849390982</v>
      </c>
      <c r="B50" s="2">
        <v>0.025720095318988</v>
      </c>
      <c r="C50" s="2">
        <v>90.27195029014</v>
      </c>
      <c r="D50" s="2">
        <v>0.02740916911469</v>
      </c>
      <c r="E50" s="2">
        <v>6.8075493069325</v>
      </c>
      <c r="F50" s="2">
        <v>0.85031790321225</v>
      </c>
      <c r="G50" s="2">
        <v>20160546.464906</v>
      </c>
      <c r="H50" s="2">
        <v>29441036.608536</v>
      </c>
      <c r="I50" s="2">
        <v>-0.013669436243276</v>
      </c>
      <c r="J50" s="2">
        <v>-0.012062871492266</v>
      </c>
      <c r="K50" s="2">
        <v>0.0266557184189</v>
      </c>
      <c r="L50" s="2">
        <v>-0.22242094472294</v>
      </c>
      <c r="M50" s="2">
        <v>-0.22082634728773</v>
      </c>
      <c r="N50" s="2">
        <v>407.18344934816</v>
      </c>
      <c r="O50" s="2">
        <v>456.63600301283</v>
      </c>
    </row>
    <row r="51" spans="1:15">
      <c r="A51" s="2">
        <v>9.2066849390982</v>
      </c>
      <c r="B51" s="2">
        <v>0.026324979478738</v>
      </c>
      <c r="C51" s="2">
        <v>90.271005742949</v>
      </c>
      <c r="D51" s="2">
        <v>0.028019912114608</v>
      </c>
      <c r="E51" s="2">
        <v>6.8125225321543</v>
      </c>
      <c r="F51" s="2">
        <v>0.84714262534183</v>
      </c>
      <c r="G51" s="2">
        <v>20276884.789538</v>
      </c>
      <c r="H51" s="2">
        <v>30130632.935326</v>
      </c>
      <c r="I51" s="2">
        <v>-0.013977705016094</v>
      </c>
      <c r="J51" s="2">
        <v>-0.012336320688785</v>
      </c>
      <c r="K51" s="2">
        <v>0.02723951547944</v>
      </c>
      <c r="L51" s="2">
        <v>-0.22711374253336</v>
      </c>
      <c r="M51" s="2">
        <v>-0.22544654630778</v>
      </c>
      <c r="N51" s="2">
        <v>408.14666776322</v>
      </c>
      <c r="O51" s="2">
        <v>457.78066092243</v>
      </c>
    </row>
    <row r="52" spans="1:15">
      <c r="A52" s="2">
        <v>9.4066849390982</v>
      </c>
      <c r="B52" s="2">
        <v>0.026929834141617</v>
      </c>
      <c r="C52" s="2">
        <v>90.270064044141</v>
      </c>
      <c r="D52" s="2">
        <v>0.028630615305059</v>
      </c>
      <c r="E52" s="2">
        <v>6.8175019985692</v>
      </c>
      <c r="F52" s="2">
        <v>0.8439797135049</v>
      </c>
      <c r="G52" s="2">
        <v>20393876.83743</v>
      </c>
      <c r="H52" s="2">
        <v>30823286.440468</v>
      </c>
      <c r="I52" s="2">
        <v>-0.014285740491806</v>
      </c>
      <c r="J52" s="2">
        <v>-0.012609671376023</v>
      </c>
      <c r="K52" s="2">
        <v>0.027822966323716</v>
      </c>
      <c r="L52" s="2">
        <v>-0.2318286423645</v>
      </c>
      <c r="M52" s="2">
        <v>-0.23011129088419</v>
      </c>
      <c r="N52" s="2">
        <v>409.10369913204</v>
      </c>
      <c r="O52" s="2">
        <v>458.91803934917</v>
      </c>
    </row>
    <row r="53" spans="1:15">
      <c r="A53" s="2">
        <v>9.6066849390982</v>
      </c>
      <c r="B53" s="2">
        <v>0.027534653965934</v>
      </c>
      <c r="C53" s="2">
        <v>90.269124563781</v>
      </c>
      <c r="D53" s="2">
        <v>0.029241279837602</v>
      </c>
      <c r="E53" s="2">
        <v>6.8224872464851</v>
      </c>
      <c r="F53" s="2">
        <v>0.84082931543373</v>
      </c>
      <c r="G53" s="2">
        <v>20511513.726522</v>
      </c>
      <c r="H53" s="2">
        <v>31518948.76288</v>
      </c>
      <c r="I53" s="2">
        <v>-0.014593542806791</v>
      </c>
      <c r="J53" s="2">
        <v>-0.012882919061043</v>
      </c>
      <c r="K53" s="2">
        <v>0.028406071364164</v>
      </c>
      <c r="L53" s="2">
        <v>-0.23648333598327</v>
      </c>
      <c r="M53" s="2">
        <v>-0.23466822881173</v>
      </c>
      <c r="N53" s="2">
        <v>410.056418944</v>
      </c>
      <c r="O53" s="2">
        <v>460.05002724286</v>
      </c>
    </row>
    <row r="54" spans="1:15">
      <c r="A54" s="2">
        <v>9.8066849390982</v>
      </c>
      <c r="B54" s="2">
        <v>0.028139443267094</v>
      </c>
      <c r="C54" s="2">
        <v>90.268187642288</v>
      </c>
      <c r="D54" s="2">
        <v>0.029851910184293</v>
      </c>
      <c r="E54" s="2">
        <v>6.8274776448006</v>
      </c>
      <c r="F54" s="2">
        <v>0.83769114432653</v>
      </c>
      <c r="G54" s="2">
        <v>20629788.18967</v>
      </c>
      <c r="H54" s="2">
        <v>32217580.934066</v>
      </c>
      <c r="I54" s="2">
        <v>-0.014901113658114</v>
      </c>
      <c r="J54" s="2">
        <v>-0.013156063871068</v>
      </c>
      <c r="K54" s="2">
        <v>0.028988830988067</v>
      </c>
      <c r="L54" s="2">
        <v>-0.24117169385375</v>
      </c>
      <c r="M54" s="2">
        <v>-0.23929086827122</v>
      </c>
      <c r="N54" s="2">
        <v>411.00448704795</v>
      </c>
      <c r="O54" s="2">
        <v>461.17650087529</v>
      </c>
    </row>
    <row r="55" spans="1:15">
      <c r="A55" s="2">
        <v>10.006684939098</v>
      </c>
      <c r="B55" s="2">
        <v>0.028744200012835</v>
      </c>
      <c r="C55" s="2">
        <v>90.267252168282</v>
      </c>
      <c r="D55" s="2">
        <v>0.030462507859288</v>
      </c>
      <c r="E55" s="2">
        <v>6.8324729895163</v>
      </c>
      <c r="F55" s="2">
        <v>0.83456487549919</v>
      </c>
      <c r="G55" s="2">
        <v>20748692.42325</v>
      </c>
      <c r="H55" s="2">
        <v>32919140.948029</v>
      </c>
      <c r="I55" s="2">
        <v>-0.015208453851476</v>
      </c>
      <c r="J55" s="2">
        <v>-0.013429103758294</v>
      </c>
      <c r="K55" s="2">
        <v>0.029571245600777</v>
      </c>
      <c r="L55" s="2">
        <v>-0.24592876397623</v>
      </c>
      <c r="M55" s="2">
        <v>-0.24396338506264</v>
      </c>
      <c r="N55" s="2">
        <v>411.94866857285</v>
      </c>
      <c r="O55" s="2">
        <v>462.29832120007</v>
      </c>
    </row>
    <row r="56" spans="1:15">
      <c r="A56" s="2">
        <v>10.206684939098</v>
      </c>
      <c r="B56" s="2">
        <v>0.029348934212087</v>
      </c>
      <c r="C56" s="2">
        <v>90.266318690447</v>
      </c>
      <c r="D56" s="2">
        <v>0.03107307637839</v>
      </c>
      <c r="E56" s="2">
        <v>6.8374721464505</v>
      </c>
      <c r="F56" s="2">
        <v>0.83145068404043</v>
      </c>
      <c r="G56" s="2">
        <v>20868220.256911</v>
      </c>
      <c r="H56" s="2">
        <v>33623596.448042</v>
      </c>
      <c r="I56" s="2">
        <v>-0.015515565535506</v>
      </c>
      <c r="J56" s="2">
        <v>-0.013702037992154</v>
      </c>
      <c r="K56" s="2">
        <v>0.030153315608493</v>
      </c>
      <c r="L56" s="2">
        <v>-0.25056270460819</v>
      </c>
      <c r="M56" s="2">
        <v>-0.24853791429542</v>
      </c>
      <c r="N56" s="2">
        <v>412.88814177646</v>
      </c>
      <c r="O56" s="2">
        <v>463.41464766465</v>
      </c>
    </row>
    <row r="57" spans="1:15">
      <c r="A57" s="2">
        <v>10.406684939098</v>
      </c>
      <c r="B57" s="2">
        <v>0.029953648468618</v>
      </c>
      <c r="C57" s="2">
        <v>90.265387228956</v>
      </c>
      <c r="D57" s="2">
        <v>0.031683618123044</v>
      </c>
      <c r="E57" s="2">
        <v>6.8424751079247</v>
      </c>
      <c r="F57" s="2">
        <v>0.82834854769905</v>
      </c>
      <c r="G57" s="2">
        <v>20988365.312831</v>
      </c>
      <c r="H57" s="2">
        <v>34330913.913244</v>
      </c>
      <c r="I57" s="2">
        <v>-0.015822453216167</v>
      </c>
      <c r="J57" s="2">
        <v>-0.013974863839584</v>
      </c>
      <c r="K57" s="2">
        <v>0.030735041402965</v>
      </c>
      <c r="L57" s="2">
        <v>-0.25526523907688</v>
      </c>
      <c r="M57" s="2">
        <v>-0.25316797402444</v>
      </c>
      <c r="N57" s="2">
        <v>413.82263120323</v>
      </c>
      <c r="O57" s="2">
        <v>464.5252170014</v>
      </c>
    </row>
    <row r="58" spans="1:15">
      <c r="A58" s="2">
        <v>10.606684939098</v>
      </c>
      <c r="B58" s="2">
        <v>0.030558336773705</v>
      </c>
      <c r="C58" s="2">
        <v>90.264456682158</v>
      </c>
      <c r="D58" s="2">
        <v>0.032294134776994</v>
      </c>
      <c r="E58" s="2">
        <v>6.1443569893793</v>
      </c>
      <c r="F58" s="2">
        <v>0.82525824515318</v>
      </c>
      <c r="G58" s="2">
        <v>21109118.941454</v>
      </c>
      <c r="H58" s="2">
        <v>35041046.281944</v>
      </c>
      <c r="I58" s="2">
        <v>-0.016129117450298</v>
      </c>
      <c r="J58" s="2">
        <v>-0.014247577754034</v>
      </c>
      <c r="K58" s="2">
        <v>0.031316423390394</v>
      </c>
      <c r="L58" s="2">
        <v>-0.25995468871738</v>
      </c>
      <c r="M58" s="2">
        <v>-0.25780290897105</v>
      </c>
      <c r="N58" s="2">
        <v>414.75355464041</v>
      </c>
      <c r="O58" s="2">
        <v>465.63163704747</v>
      </c>
    </row>
    <row r="59" spans="1:15">
      <c r="A59" s="2">
        <v>10.806684939098</v>
      </c>
      <c r="B59" s="2">
        <v>0.031163002517181</v>
      </c>
      <c r="C59" s="2">
        <v>90.263527482594</v>
      </c>
      <c r="D59" s="2">
        <v>0.032904628269602</v>
      </c>
      <c r="E59" s="2">
        <v>6.1493664109425</v>
      </c>
      <c r="F59" s="2">
        <v>0.8221798281139</v>
      </c>
      <c r="G59" s="2">
        <v>21230474.602969</v>
      </c>
      <c r="H59" s="2">
        <v>35753959.084766</v>
      </c>
      <c r="I59" s="2">
        <v>-0.016435558316433</v>
      </c>
      <c r="J59" s="2">
        <v>-0.014520179743885</v>
      </c>
      <c r="K59" s="2">
        <v>0.031897461955297</v>
      </c>
      <c r="L59" s="2">
        <v>-0.26468253435223</v>
      </c>
      <c r="M59" s="2">
        <v>-0.26244280929016</v>
      </c>
      <c r="N59" s="2">
        <v>415.68109087505</v>
      </c>
      <c r="O59" s="2">
        <v>466.73403967519</v>
      </c>
    </row>
    <row r="60" spans="1:15">
      <c r="A60" s="2">
        <v>11.006684939098</v>
      </c>
      <c r="B60" s="2">
        <v>0.031767656748073</v>
      </c>
      <c r="C60" s="2">
        <v>90.262599948253</v>
      </c>
      <c r="D60" s="2">
        <v>0.033515102591178</v>
      </c>
      <c r="E60" s="2">
        <v>6.1543781367086</v>
      </c>
      <c r="F60" s="2">
        <v>0.81911301575961</v>
      </c>
      <c r="G60" s="2">
        <v>21352427.311932</v>
      </c>
      <c r="H60" s="2">
        <v>36469626.957067</v>
      </c>
      <c r="I60" s="2">
        <v>-0.016741779480604</v>
      </c>
      <c r="J60" s="2">
        <v>-0.014792669943516</v>
      </c>
      <c r="K60" s="2">
        <v>0.032478157518037</v>
      </c>
      <c r="L60" s="2">
        <v>-0.26941063242582</v>
      </c>
      <c r="M60" s="2">
        <v>-0.26708383907472</v>
      </c>
      <c r="N60" s="2">
        <v>416.60365357377</v>
      </c>
      <c r="O60" s="2">
        <v>467.83083866184</v>
      </c>
    </row>
    <row r="61" spans="1:15">
      <c r="A61" s="2">
        <v>11.206684939098</v>
      </c>
      <c r="B61" s="2">
        <v>0.032372293559112</v>
      </c>
      <c r="C61" s="2">
        <v>90.261673473256</v>
      </c>
      <c r="D61" s="2">
        <v>0.034125557823652</v>
      </c>
      <c r="E61" s="2">
        <v>6.1593920909737</v>
      </c>
      <c r="F61" s="2">
        <v>0.81605789581322</v>
      </c>
      <c r="G61" s="2">
        <v>21474968.667765</v>
      </c>
      <c r="H61" s="2">
        <v>37188004.505811</v>
      </c>
      <c r="I61" s="2">
        <v>-0.017047781002342</v>
      </c>
      <c r="J61" s="2">
        <v>-0.015065044637333</v>
      </c>
      <c r="K61" s="2">
        <v>0.033058510481165</v>
      </c>
      <c r="L61" s="2">
        <v>-0.27415919384152</v>
      </c>
      <c r="M61" s="2">
        <v>-0.2717386515753</v>
      </c>
      <c r="N61" s="2">
        <v>417.52307807531</v>
      </c>
      <c r="O61" s="2">
        <v>468.92408936146</v>
      </c>
    </row>
    <row r="62" spans="1:15">
      <c r="A62" s="2">
        <v>11.406684939098</v>
      </c>
      <c r="B62" s="2">
        <v>0.032976914156257</v>
      </c>
      <c r="C62" s="2">
        <v>90.260748297128</v>
      </c>
      <c r="D62" s="2">
        <v>0.034735996219947</v>
      </c>
      <c r="E62" s="2">
        <v>5.4612831213594</v>
      </c>
      <c r="F62" s="2">
        <v>0.81301449265422</v>
      </c>
      <c r="G62" s="2">
        <v>21598092.802395</v>
      </c>
      <c r="H62" s="2">
        <v>37909061.013842</v>
      </c>
      <c r="I62" s="2">
        <v>-0.017353562431001</v>
      </c>
      <c r="J62" s="2">
        <v>-0.015337307024923</v>
      </c>
      <c r="K62" s="2">
        <v>0.033638521267101</v>
      </c>
      <c r="L62" s="2">
        <v>-0.2788824982664</v>
      </c>
      <c r="M62" s="2">
        <v>-0.27639634179732</v>
      </c>
      <c r="N62" s="2">
        <v>418.43837631935</v>
      </c>
      <c r="O62" s="2">
        <v>470.01265702117</v>
      </c>
    </row>
    <row r="63" spans="1:15">
      <c r="A63" s="2">
        <v>11.606684939098</v>
      </c>
      <c r="B63" s="2">
        <v>0.03358152998526</v>
      </c>
      <c r="C63" s="2">
        <v>90.259823820947</v>
      </c>
      <c r="D63" s="2">
        <v>0.035346421917976</v>
      </c>
      <c r="E63" s="2">
        <v>5.4663003052201</v>
      </c>
      <c r="F63" s="2">
        <v>0.80998249586284</v>
      </c>
      <c r="G63" s="2">
        <v>21721794.673473</v>
      </c>
      <c r="H63" s="2">
        <v>38632770.88464</v>
      </c>
      <c r="I63" s="2">
        <v>-0.017659128235757</v>
      </c>
      <c r="J63" s="2">
        <v>-0.015609454278238</v>
      </c>
      <c r="K63" s="2">
        <v>0.034218190244397</v>
      </c>
      <c r="L63" s="2">
        <v>-0.28362227103752</v>
      </c>
      <c r="M63" s="2">
        <v>-0.28105740455123</v>
      </c>
      <c r="N63" s="2">
        <v>419.3488852029</v>
      </c>
      <c r="O63" s="2">
        <v>471.095835035</v>
      </c>
    </row>
    <row r="64" spans="1:15">
      <c r="A64" s="2">
        <v>11.806684939098</v>
      </c>
      <c r="B64" s="2">
        <v>0.034186137029633</v>
      </c>
      <c r="C64" s="2">
        <v>90.258900263417</v>
      </c>
      <c r="D64" s="2">
        <v>0.035956836082569</v>
      </c>
      <c r="E64" s="2">
        <v>5.4713187044049</v>
      </c>
      <c r="F64" s="2">
        <v>0.80696156067762</v>
      </c>
      <c r="G64" s="2">
        <v>21846066.589363</v>
      </c>
      <c r="H64" s="2">
        <v>39359092.600456</v>
      </c>
      <c r="I64" s="2">
        <v>-0.017964480061789</v>
      </c>
      <c r="J64" s="2">
        <v>-0.01588148348739</v>
      </c>
      <c r="K64" s="2">
        <v>0.034797517844633</v>
      </c>
      <c r="L64" s="2">
        <v>-0.28838507570283</v>
      </c>
      <c r="M64" s="2">
        <v>-0.2857272038065</v>
      </c>
      <c r="N64" s="2">
        <v>420.2554293875</v>
      </c>
      <c r="O64" s="2">
        <v>472.17462843145</v>
      </c>
    </row>
    <row r="65" spans="1:15">
      <c r="A65" s="2">
        <v>12.006684939098</v>
      </c>
      <c r="B65" s="2">
        <v>0.034790736958101</v>
      </c>
      <c r="C65" s="2">
        <v>90.257976931925</v>
      </c>
      <c r="D65" s="2">
        <v>0.03656724030162</v>
      </c>
      <c r="E65" s="2">
        <v>5.4763378763949</v>
      </c>
      <c r="F65" s="2">
        <v>0.80395180029945</v>
      </c>
      <c r="G65" s="2">
        <v>21970902.23193</v>
      </c>
      <c r="H65" s="2">
        <v>40087992.950888</v>
      </c>
      <c r="I65" s="2">
        <v>-0.018269618682674</v>
      </c>
      <c r="J65" s="2">
        <v>-0.016153393994437</v>
      </c>
      <c r="K65" s="2">
        <v>0.035376504461595</v>
      </c>
      <c r="L65" s="2">
        <v>-0.29313211685648</v>
      </c>
      <c r="M65" s="2">
        <v>-0.29040613106096</v>
      </c>
      <c r="N65" s="2">
        <v>421.15811751907</v>
      </c>
      <c r="O65" s="2">
        <v>473.24916449335</v>
      </c>
    </row>
    <row r="66" spans="1:15">
      <c r="A66" s="2">
        <v>12.206684939098</v>
      </c>
      <c r="B66" s="2">
        <v>0.035395333037038</v>
      </c>
      <c r="C66" s="2">
        <v>90.257054117816</v>
      </c>
      <c r="D66" s="2">
        <v>0.037177636393411</v>
      </c>
      <c r="E66" s="2">
        <v>5.4813579022415</v>
      </c>
      <c r="F66" s="2">
        <v>0.80095315277505</v>
      </c>
      <c r="G66" s="2">
        <v>22096295.996845</v>
      </c>
      <c r="H66" s="2">
        <v>40819443.022154</v>
      </c>
      <c r="I66" s="2">
        <v>-0.018574544537246</v>
      </c>
      <c r="J66" s="2">
        <v>-0.016425186431236</v>
      </c>
      <c r="K66" s="2">
        <v>0.035955150482283</v>
      </c>
      <c r="L66" s="2">
        <v>-0.29790728619393</v>
      </c>
      <c r="M66" s="2">
        <v>-0.29509186331338</v>
      </c>
      <c r="N66" s="2">
        <v>422.05666367955</v>
      </c>
      <c r="O66" s="2">
        <v>474.31914430153</v>
      </c>
    </row>
    <row r="67" spans="1:15">
      <c r="A67" s="2">
        <v>12.406684939098</v>
      </c>
      <c r="B67" s="2">
        <v>0.035999918928618</v>
      </c>
      <c r="C67" s="2">
        <v>90.256132209953</v>
      </c>
      <c r="D67" s="2">
        <v>0.03778802463671</v>
      </c>
      <c r="E67" s="2">
        <v>5.4863788103511</v>
      </c>
      <c r="F67" s="2">
        <v>0.79796534839793</v>
      </c>
      <c r="G67" s="2">
        <v>22222240.005945</v>
      </c>
      <c r="H67" s="2">
        <v>41553400.443356</v>
      </c>
      <c r="I67" s="2">
        <v>-0.018879257364069</v>
      </c>
      <c r="J67" s="2">
        <v>-0.016696857350922</v>
      </c>
      <c r="K67" s="2">
        <v>0.036533456314606</v>
      </c>
      <c r="L67" s="2">
        <v>-0.30268706049598</v>
      </c>
      <c r="M67" s="2">
        <v>-0.29978703826022</v>
      </c>
      <c r="N67" s="2">
        <v>422.95287713187</v>
      </c>
      <c r="O67" s="2">
        <v>475.38662976504</v>
      </c>
    </row>
    <row r="68" spans="1:15">
      <c r="A68" s="2">
        <v>12.606684939098</v>
      </c>
      <c r="B68" s="2">
        <v>0.036604505381228</v>
      </c>
      <c r="C68" s="2">
        <v>90.255210386379</v>
      </c>
      <c r="D68" s="2">
        <v>0.038398408461891</v>
      </c>
      <c r="E68" s="2">
        <v>5.4913996386137</v>
      </c>
      <c r="F68" s="2">
        <v>0.79498814559102</v>
      </c>
      <c r="G68" s="2">
        <v>22348730.19159</v>
      </c>
      <c r="H68" s="2">
        <v>42289845.136837</v>
      </c>
      <c r="I68" s="2">
        <v>-0.019183759655529</v>
      </c>
      <c r="J68" s="2">
        <v>-0.016968409669553</v>
      </c>
      <c r="K68" s="2">
        <v>0.037111422369011</v>
      </c>
      <c r="L68" s="2">
        <v>-0.30747333976028</v>
      </c>
      <c r="M68" s="2">
        <v>-0.30448136805744</v>
      </c>
      <c r="N68" s="2">
        <v>423.84454586144</v>
      </c>
      <c r="O68" s="2">
        <v>476.4490774711</v>
      </c>
    </row>
    <row r="69" spans="1:15">
      <c r="A69" s="2">
        <v>12.806684939098</v>
      </c>
      <c r="B69" s="2">
        <v>0.037209090123494</v>
      </c>
      <c r="C69" s="2">
        <v>90.25428878967</v>
      </c>
      <c r="D69" s="2">
        <v>0.039008789125531</v>
      </c>
      <c r="E69" s="2">
        <v>5.4964203665125</v>
      </c>
      <c r="F69" s="2">
        <v>0.79202164823455</v>
      </c>
      <c r="G69" s="2">
        <v>22475759.722266</v>
      </c>
      <c r="H69" s="2">
        <v>43028740.909464</v>
      </c>
      <c r="I69" s="2">
        <v>-0.019488051663434</v>
      </c>
      <c r="J69" s="2">
        <v>-0.017239841333721</v>
      </c>
      <c r="K69" s="2">
        <v>0.037689049046308</v>
      </c>
      <c r="L69" s="2">
        <v>-0.31228257617035</v>
      </c>
      <c r="M69" s="2">
        <v>-0.3092115637241</v>
      </c>
      <c r="N69" s="2">
        <v>424.73269435847</v>
      </c>
      <c r="O69" s="2">
        <v>477.50763572213</v>
      </c>
    </row>
    <row r="70" spans="1:15">
      <c r="A70" s="2">
        <v>13.006684939098</v>
      </c>
      <c r="B70" s="2">
        <v>0.037813673955886</v>
      </c>
      <c r="C70" s="2">
        <v>90.253367477878</v>
      </c>
      <c r="D70" s="2">
        <v>0.039619167845565</v>
      </c>
      <c r="E70" s="2">
        <v>5.5014408559135</v>
      </c>
      <c r="F70" s="2">
        <v>0.78906568558702</v>
      </c>
      <c r="G70" s="2">
        <v>22603322.638135</v>
      </c>
      <c r="H70" s="2">
        <v>43770056.635835</v>
      </c>
      <c r="I70" s="2">
        <v>-0.01979213503863</v>
      </c>
      <c r="J70" s="2">
        <v>-0.017511150771203</v>
      </c>
      <c r="K70" s="2">
        <v>0.038266336744459</v>
      </c>
      <c r="L70" s="2">
        <v>-0.31708103854479</v>
      </c>
      <c r="M70" s="2">
        <v>-0.31391729143303</v>
      </c>
      <c r="N70" s="2">
        <v>425.61737793981</v>
      </c>
      <c r="O70" s="2">
        <v>478.56234510792</v>
      </c>
    </row>
    <row r="71" spans="1:15">
      <c r="A71" s="2">
        <v>13.206684939098</v>
      </c>
      <c r="B71" s="2">
        <v>0.038418258949479</v>
      </c>
      <c r="C71" s="2">
        <v>90.252446287488</v>
      </c>
      <c r="D71" s="2">
        <v>0.040229546602204</v>
      </c>
      <c r="E71" s="2">
        <v>5.5064610804088</v>
      </c>
      <c r="F71" s="2">
        <v>0.78612046323232</v>
      </c>
      <c r="G71" s="2">
        <v>22731413.252975</v>
      </c>
      <c r="H71" s="2">
        <v>44513762.758766</v>
      </c>
      <c r="I71" s="2">
        <v>-0.020096010655384</v>
      </c>
      <c r="J71" s="2">
        <v>-0.017782337464705</v>
      </c>
      <c r="K71" s="2">
        <v>0.03884328587237</v>
      </c>
      <c r="L71" s="2">
        <v>-0.32190599880394</v>
      </c>
      <c r="M71" s="2">
        <v>-0.31864803284608</v>
      </c>
      <c r="N71" s="2">
        <v>426.49869448437</v>
      </c>
      <c r="O71" s="2">
        <v>479.61345626181</v>
      </c>
    </row>
    <row r="72" spans="1:15">
      <c r="A72" s="2">
        <v>13.406684939098</v>
      </c>
      <c r="B72" s="2">
        <v>0.039022850264338</v>
      </c>
      <c r="C72" s="2">
        <v>90.251525038968</v>
      </c>
      <c r="D72" s="2">
        <v>0.04083992718509</v>
      </c>
      <c r="E72" s="2">
        <v>5.5114809900718</v>
      </c>
      <c r="F72" s="2">
        <v>0.7831855779477</v>
      </c>
      <c r="G72" s="2">
        <v>22860026.744736</v>
      </c>
      <c r="H72" s="2">
        <v>45259834.71167</v>
      </c>
      <c r="I72" s="2">
        <v>-0.020399680389039</v>
      </c>
      <c r="J72" s="2">
        <v>-0.018053401881343</v>
      </c>
      <c r="K72" s="2">
        <v>0.039419896820234</v>
      </c>
      <c r="L72" s="2">
        <v>-0.3267370453821</v>
      </c>
      <c r="M72" s="2">
        <v>-0.32338572716728</v>
      </c>
      <c r="N72" s="2">
        <v>427.37574563332</v>
      </c>
      <c r="O72" s="2">
        <v>480.65995292872</v>
      </c>
    </row>
    <row r="73" spans="1:15">
      <c r="A73" s="2">
        <v>13.606684939098</v>
      </c>
      <c r="B73" s="2">
        <v>0.03962744361312</v>
      </c>
      <c r="C73" s="2">
        <v>90.250603875222</v>
      </c>
      <c r="D73" s="2">
        <v>0.041450310306701</v>
      </c>
      <c r="E73" s="2">
        <v>5.5165003019067</v>
      </c>
      <c r="F73" s="2">
        <v>0.78026097499182</v>
      </c>
      <c r="G73" s="2">
        <v>22989156.128473</v>
      </c>
      <c r="H73" s="2">
        <v>46008235.473371</v>
      </c>
      <c r="I73" s="2">
        <v>-0.020703142477509</v>
      </c>
      <c r="J73" s="2">
        <v>-0.018324343193866</v>
      </c>
      <c r="K73" s="2">
        <v>0.039996169986638</v>
      </c>
      <c r="L73" s="2">
        <v>-0.33157773998713</v>
      </c>
      <c r="M73" s="2">
        <v>-0.3281335183686</v>
      </c>
      <c r="N73" s="2">
        <v>428.24985972229</v>
      </c>
      <c r="O73" s="2">
        <v>481.7032505952</v>
      </c>
    </row>
    <row r="74" spans="1:15">
      <c r="A74" s="2">
        <v>13.806684939098</v>
      </c>
      <c r="B74" s="2">
        <v>0.040232041744946</v>
      </c>
      <c r="C74" s="2">
        <v>90.249682826677</v>
      </c>
      <c r="D74" s="2">
        <v>0.042060697562178</v>
      </c>
      <c r="E74" s="2">
        <v>4.1152688503657</v>
      </c>
      <c r="F74" s="2">
        <v>0.77734655589522</v>
      </c>
      <c r="G74" s="2">
        <v>23118796.155046</v>
      </c>
      <c r="H74" s="2">
        <v>46758938.023164</v>
      </c>
      <c r="I74" s="2">
        <v>-0.02100640030192</v>
      </c>
      <c r="J74" s="2">
        <v>-0.018595159301257</v>
      </c>
      <c r="K74" s="2">
        <v>0.040572105782378</v>
      </c>
      <c r="L74" s="2">
        <v>-0.33643522000889</v>
      </c>
      <c r="M74" s="2">
        <v>-0.33290160634878</v>
      </c>
      <c r="N74" s="2">
        <v>429.12067121193</v>
      </c>
      <c r="O74" s="2">
        <v>482.74294403582</v>
      </c>
    </row>
    <row r="75" spans="1:15">
      <c r="A75" s="2">
        <v>14.006684939098</v>
      </c>
      <c r="B75" s="2">
        <v>0.040836645253972</v>
      </c>
      <c r="C75" s="2">
        <v>90.248761459117</v>
      </c>
      <c r="D75" s="2">
        <v>0.042671090167084</v>
      </c>
      <c r="E75" s="2">
        <v>4.1202863287362</v>
      </c>
      <c r="F75" s="2">
        <v>0.77444189960094</v>
      </c>
      <c r="G75" s="2">
        <v>23248940.796571</v>
      </c>
      <c r="H75" s="2">
        <v>47511910.68832</v>
      </c>
      <c r="I75" s="2">
        <v>-0.021309452957522</v>
      </c>
      <c r="J75" s="2">
        <v>-0.018865850739828</v>
      </c>
      <c r="K75" s="2">
        <v>0.041147704619529</v>
      </c>
      <c r="L75" s="2">
        <v>-0.34129183889536</v>
      </c>
      <c r="M75" s="2">
        <v>-0.33765893911436</v>
      </c>
      <c r="N75" s="2">
        <v>429.98848584197</v>
      </c>
      <c r="O75" s="2">
        <v>483.77939888124</v>
      </c>
    </row>
    <row r="76" spans="1:15">
      <c r="A76" s="2">
        <v>14.206684939098</v>
      </c>
      <c r="B76" s="2">
        <v>0.041441257451566</v>
      </c>
      <c r="C76" s="2">
        <v>90.247840013216</v>
      </c>
      <c r="D76" s="2">
        <v>0.043281489827267</v>
      </c>
      <c r="E76" s="2">
        <v>4.1253031051415</v>
      </c>
      <c r="F76" s="2">
        <v>0.77154733739201</v>
      </c>
      <c r="G76" s="2">
        <v>23379585.52939</v>
      </c>
      <c r="H76" s="2">
        <v>48267130.890257</v>
      </c>
      <c r="I76" s="2">
        <v>-0.021612302837012</v>
      </c>
      <c r="J76" s="2">
        <v>-0.019136416604714</v>
      </c>
      <c r="K76" s="2">
        <v>0.041722966876885</v>
      </c>
      <c r="L76" s="2">
        <v>-0.34616878966103</v>
      </c>
      <c r="M76" s="2">
        <v>-0.34244045106132</v>
      </c>
      <c r="N76" s="2">
        <v>430.852849972</v>
      </c>
      <c r="O76" s="2">
        <v>484.81210352087</v>
      </c>
    </row>
    <row r="77" spans="1:15">
      <c r="A77" s="2">
        <v>14.406684939098</v>
      </c>
      <c r="B77" s="2">
        <v>0.042045880219272</v>
      </c>
      <c r="C77" s="2">
        <v>90.246918536487</v>
      </c>
      <c r="D77" s="2">
        <v>0.043891898115606</v>
      </c>
      <c r="E77" s="2">
        <v>4.1303189953856</v>
      </c>
      <c r="F77" s="2">
        <v>0.76866256693022</v>
      </c>
      <c r="G77" s="2">
        <v>23510724.96846</v>
      </c>
      <c r="H77" s="2">
        <v>49024570.712151</v>
      </c>
      <c r="I77" s="2">
        <v>-0.021914950599634</v>
      </c>
      <c r="J77" s="2">
        <v>-0.019406856960872</v>
      </c>
      <c r="K77" s="2">
        <v>0.042297892972903</v>
      </c>
      <c r="L77" s="2">
        <v>-0.35105008690891</v>
      </c>
      <c r="M77" s="2">
        <v>-0.3472309099686</v>
      </c>
      <c r="N77" s="2">
        <v>431.71359571306</v>
      </c>
      <c r="O77" s="2">
        <v>485.84093248281</v>
      </c>
    </row>
    <row r="78" spans="1:15">
      <c r="A78" s="2">
        <v>14.606684939098</v>
      </c>
      <c r="B78" s="2">
        <v>0.042650511950013</v>
      </c>
      <c r="C78" s="2">
        <v>90.245997535011</v>
      </c>
      <c r="D78" s="2">
        <v>0.044502316181668</v>
      </c>
      <c r="E78" s="2">
        <v>4.1353340214367</v>
      </c>
      <c r="F78" s="2">
        <v>0.76578723520112</v>
      </c>
      <c r="G78" s="2">
        <v>23642352.896226</v>
      </c>
      <c r="H78" s="2">
        <v>49784197.452393</v>
      </c>
      <c r="I78" s="2">
        <v>-0.022217396606714</v>
      </c>
      <c r="J78" s="2">
        <v>-0.019677170470863</v>
      </c>
      <c r="K78" s="2">
        <v>0.042872483318035</v>
      </c>
      <c r="L78" s="2">
        <v>-0.35594638835254</v>
      </c>
      <c r="M78" s="2">
        <v>-0.35202344686775</v>
      </c>
      <c r="N78" s="2">
        <v>432.57136061843</v>
      </c>
      <c r="O78" s="2">
        <v>486.86656761892</v>
      </c>
    </row>
    <row r="79" spans="1:15">
      <c r="A79" s="2">
        <v>14.806684939098</v>
      </c>
      <c r="B79" s="2">
        <v>0.043255158499177</v>
      </c>
      <c r="C79" s="2">
        <v>90.24507629093</v>
      </c>
      <c r="D79" s="2">
        <v>0.045112745773263</v>
      </c>
      <c r="E79" s="2">
        <v>4.1403482531995</v>
      </c>
      <c r="F79" s="2">
        <v>0.76292149726988</v>
      </c>
      <c r="G79" s="2">
        <v>23774465.21935</v>
      </c>
      <c r="H79" s="2">
        <v>50545990.774578</v>
      </c>
      <c r="I79" s="2">
        <v>-0.02251964195371</v>
      </c>
      <c r="J79" s="2">
        <v>-0.019947358327728</v>
      </c>
      <c r="K79" s="2">
        <v>0.04344673828025</v>
      </c>
      <c r="L79" s="2">
        <v>-0.36085268215302</v>
      </c>
      <c r="M79" s="2">
        <v>-0.35683097069582</v>
      </c>
      <c r="N79" s="2">
        <v>433.4252859131</v>
      </c>
      <c r="O79" s="2">
        <v>487.88804879978</v>
      </c>
    </row>
    <row r="80" spans="1:15">
      <c r="A80" s="2">
        <v>15.006684939098</v>
      </c>
      <c r="B80" s="2">
        <v>0.043859814985346</v>
      </c>
      <c r="C80" s="2">
        <v>90.244155204901</v>
      </c>
      <c r="D80" s="2">
        <v>0.045723187263099</v>
      </c>
      <c r="E80" s="2">
        <v>4.1453614678979</v>
      </c>
      <c r="F80" s="2">
        <v>0.76006516011851</v>
      </c>
      <c r="G80" s="2">
        <v>23907055.438998</v>
      </c>
      <c r="H80" s="2">
        <v>51309916.463064</v>
      </c>
      <c r="I80" s="2">
        <v>-0.022821685237354</v>
      </c>
      <c r="J80" s="2">
        <v>-0.020217419697857</v>
      </c>
      <c r="K80" s="2">
        <v>0.044020658280868</v>
      </c>
      <c r="L80" s="2">
        <v>-0.36577224443767</v>
      </c>
      <c r="M80" s="2">
        <v>-0.36165262444086</v>
      </c>
      <c r="N80" s="2">
        <v>434.27656158283</v>
      </c>
      <c r="O80" s="2">
        <v>488.90669398172</v>
      </c>
    </row>
    <row r="81" spans="1:15">
      <c r="A81" s="2">
        <v>15.206684939098</v>
      </c>
      <c r="B81" s="2">
        <v>0.044464481653599</v>
      </c>
      <c r="C81" s="2">
        <v>90.243234450489</v>
      </c>
      <c r="D81" s="2">
        <v>0.046333641973752</v>
      </c>
      <c r="E81" s="2">
        <v>4.150374088319</v>
      </c>
      <c r="F81" s="2">
        <v>0.75721798058083</v>
      </c>
      <c r="G81" s="2">
        <v>24040118.049635</v>
      </c>
      <c r="H81" s="2">
        <v>52075945.838351</v>
      </c>
      <c r="I81" s="2">
        <v>-0.023123527898258</v>
      </c>
      <c r="J81" s="2">
        <v>-0.020487353332754</v>
      </c>
      <c r="K81" s="2">
        <v>0.044594243724328</v>
      </c>
      <c r="L81" s="2">
        <v>-0.37071017421179</v>
      </c>
      <c r="M81" s="2">
        <v>-0.3664893821692</v>
      </c>
      <c r="N81" s="2">
        <v>435.12530298054</v>
      </c>
      <c r="O81" s="2">
        <v>489.92264419979</v>
      </c>
    </row>
    <row r="82" spans="1:15">
      <c r="A82" s="2">
        <v>15.406684939098</v>
      </c>
      <c r="B82" s="2">
        <v>0.045069167802346</v>
      </c>
      <c r="C82" s="2">
        <v>90.24231334171</v>
      </c>
      <c r="D82" s="2">
        <v>0.046944111637284</v>
      </c>
      <c r="E82" s="2">
        <v>4.1553860723319</v>
      </c>
      <c r="F82" s="2">
        <v>0.75438049152396</v>
      </c>
      <c r="G82" s="2">
        <v>24173650.034242</v>
      </c>
      <c r="H82" s="2">
        <v>52844064.977262</v>
      </c>
      <c r="I82" s="2">
        <v>-0.023425171862949</v>
      </c>
      <c r="J82" s="2">
        <v>-0.020757160651487</v>
      </c>
      <c r="K82" s="2">
        <v>0.045167494991586</v>
      </c>
      <c r="L82" s="2">
        <v>-0.37563890874997</v>
      </c>
      <c r="M82" s="2">
        <v>-0.37131707344427</v>
      </c>
      <c r="N82" s="2">
        <v>435.97010710356</v>
      </c>
      <c r="O82" s="2">
        <v>490.93430096525</v>
      </c>
    </row>
    <row r="83" spans="1:15">
      <c r="A83" s="2">
        <v>15.606684939098</v>
      </c>
      <c r="B83" s="2">
        <v>0.045673872752868</v>
      </c>
      <c r="C83" s="2">
        <v>90.241392351185</v>
      </c>
      <c r="D83" s="2">
        <v>0.047554599635544</v>
      </c>
      <c r="E83" s="2">
        <v>4.1603966641846</v>
      </c>
      <c r="F83" s="2">
        <v>0.75155248068509</v>
      </c>
      <c r="G83" s="2">
        <v>24307645.616344</v>
      </c>
      <c r="H83" s="2">
        <v>53614243.695379</v>
      </c>
      <c r="I83" s="2">
        <v>-0.023726620480418</v>
      </c>
      <c r="J83" s="2">
        <v>-0.021026842632345</v>
      </c>
      <c r="K83" s="2">
        <v>0.045740412480849</v>
      </c>
      <c r="L83" s="2">
        <v>-0.38141676223672</v>
      </c>
      <c r="M83" s="2">
        <v>-0.37685843683582</v>
      </c>
      <c r="N83" s="2">
        <v>436.81089301106</v>
      </c>
      <c r="O83" s="2">
        <v>491.94244753802</v>
      </c>
    </row>
    <row r="84" spans="1:15">
      <c r="A84" s="2">
        <v>15.806684939098</v>
      </c>
      <c r="B84" s="2">
        <v>0.046278585051134</v>
      </c>
      <c r="C84" s="2">
        <v>90.240471906095</v>
      </c>
      <c r="D84" s="2">
        <v>0.048165099192978</v>
      </c>
      <c r="E84" s="2">
        <v>4.1654062684649</v>
      </c>
      <c r="F84" s="2">
        <v>0.74873400737278</v>
      </c>
      <c r="G84" s="2">
        <v>24442097.688456</v>
      </c>
      <c r="H84" s="2">
        <v>54386444.165325</v>
      </c>
      <c r="I84" s="2">
        <v>-0.024027862540564</v>
      </c>
      <c r="J84" s="2">
        <v>-0.021296393511957</v>
      </c>
      <c r="K84" s="2">
        <v>0.046312996631123</v>
      </c>
      <c r="L84" s="2">
        <v>-0.38555058299518</v>
      </c>
      <c r="M84" s="2">
        <v>-0.38101900388273</v>
      </c>
      <c r="N84" s="2">
        <v>437.65066440032</v>
      </c>
      <c r="O84" s="2">
        <v>492.94780931072</v>
      </c>
    </row>
    <row r="85" spans="1:15">
      <c r="A85" s="2">
        <v>16.006684939098</v>
      </c>
      <c r="B85" s="2">
        <v>0.046883320925192</v>
      </c>
      <c r="C85" s="2">
        <v>90.239551470284</v>
      </c>
      <c r="D85" s="2">
        <v>0.048775619608398</v>
      </c>
      <c r="E85" s="2">
        <v>4.1704145374559</v>
      </c>
      <c r="F85" s="2">
        <v>0.74592456083571</v>
      </c>
      <c r="G85" s="2">
        <v>24577003.580195</v>
      </c>
      <c r="H85" s="2">
        <v>55160654.341197</v>
      </c>
      <c r="I85" s="2">
        <v>-0.024328909789207</v>
      </c>
      <c r="J85" s="2">
        <v>-0.021565818408042</v>
      </c>
      <c r="K85" s="2">
        <v>0.04688524779666</v>
      </c>
      <c r="L85" s="2">
        <v>-0.39052541362904</v>
      </c>
      <c r="M85" s="2">
        <v>-0.38591178104874</v>
      </c>
      <c r="N85" s="2">
        <v>438.48675835118</v>
      </c>
      <c r="O85" s="2">
        <v>493.95011046917</v>
      </c>
    </row>
    <row r="86" spans="1:15">
      <c r="A86" s="2">
        <v>16.206684939098</v>
      </c>
      <c r="B86" s="2">
        <v>0.047488071865377</v>
      </c>
      <c r="C86" s="2">
        <v>90.238631110531</v>
      </c>
      <c r="D86" s="2">
        <v>0.049386159456035</v>
      </c>
      <c r="E86" s="2">
        <v>4.1754225375599</v>
      </c>
      <c r="F86" s="2">
        <v>0.74312397136355</v>
      </c>
      <c r="G86" s="2">
        <v>24712356.634278</v>
      </c>
      <c r="H86" s="2">
        <v>55936838.758112</v>
      </c>
      <c r="I86" s="2">
        <v>-0.02462976149884</v>
      </c>
      <c r="J86" s="2">
        <v>-0.021835111879715</v>
      </c>
      <c r="K86" s="2">
        <v>0.047457166374074</v>
      </c>
      <c r="L86" s="2">
        <v>-0.39551654998406</v>
      </c>
      <c r="M86" s="2">
        <v>-0.39078658196157</v>
      </c>
      <c r="N86" s="2">
        <v>439.32052989121</v>
      </c>
      <c r="O86" s="2">
        <v>494.94994469209</v>
      </c>
    </row>
    <row r="87" spans="1:15">
      <c r="A87" s="2">
        <v>16.406684939098</v>
      </c>
      <c r="B87" s="2">
        <v>0.048092849131151</v>
      </c>
      <c r="C87" s="2">
        <v>90.237710732293</v>
      </c>
      <c r="D87" s="2">
        <v>0.049996720726404</v>
      </c>
      <c r="E87" s="2">
        <v>4.1804298902978</v>
      </c>
      <c r="F87" s="2">
        <v>0.7403327231235</v>
      </c>
      <c r="G87" s="2">
        <v>24848154.050937</v>
      </c>
      <c r="H87" s="2">
        <v>56714984.61587</v>
      </c>
      <c r="I87" s="2">
        <v>-0.024930418484318</v>
      </c>
      <c r="J87" s="2">
        <v>-0.022104276788239</v>
      </c>
      <c r="K87" s="2">
        <v>0.048028752771775</v>
      </c>
      <c r="L87" s="2">
        <v>-0.40051185318317</v>
      </c>
      <c r="M87" s="2">
        <v>-0.39568064338294</v>
      </c>
      <c r="N87" s="2">
        <v>440.15052605134</v>
      </c>
      <c r="O87" s="2">
        <v>495.94578599308</v>
      </c>
    </row>
    <row r="88" spans="1:15">
      <c r="A88" s="2">
        <v>16.606684939098</v>
      </c>
      <c r="B88" s="2">
        <v>0.048697648097702</v>
      </c>
      <c r="C88" s="2">
        <v>90.236790836129</v>
      </c>
      <c r="D88" s="2">
        <v>0.050607303486714</v>
      </c>
      <c r="E88" s="2">
        <v>4.1854362552707</v>
      </c>
      <c r="F88" s="2">
        <v>0.73755085970464</v>
      </c>
      <c r="G88" s="2">
        <v>24984389.928709</v>
      </c>
      <c r="H88" s="2">
        <v>57495061.141341</v>
      </c>
      <c r="I88" s="2">
        <v>-0.02523087882156</v>
      </c>
      <c r="J88" s="2">
        <v>-0.022373313334481</v>
      </c>
      <c r="K88" s="2">
        <v>0.04860000738154</v>
      </c>
      <c r="L88" s="2">
        <v>-0.40552198592139</v>
      </c>
      <c r="M88" s="2">
        <v>-0.40058940070472</v>
      </c>
      <c r="N88" s="2">
        <v>440.97769127269</v>
      </c>
      <c r="O88" s="2">
        <v>496.93854694551</v>
      </c>
    </row>
    <row r="89" spans="1:15">
      <c r="A89" s="2">
        <v>16.806684939098</v>
      </c>
      <c r="B89" s="2">
        <v>0.049302471316192</v>
      </c>
      <c r="C89" s="2">
        <v>90.235871280004</v>
      </c>
      <c r="D89" s="2">
        <v>0.051217909420659</v>
      </c>
      <c r="E89" s="2">
        <v>4.190441319221</v>
      </c>
      <c r="F89" s="2">
        <v>0.73477755651631</v>
      </c>
      <c r="G89" s="2">
        <v>25121060.063888</v>
      </c>
      <c r="H89" s="2">
        <v>58277047.221499</v>
      </c>
      <c r="I89" s="2">
        <v>-0.025531144082152</v>
      </c>
      <c r="J89" s="2">
        <v>-0.022642221470252</v>
      </c>
      <c r="K89" s="2">
        <v>0.049170930603594</v>
      </c>
      <c r="L89" s="2">
        <v>-0.41063470602939</v>
      </c>
      <c r="M89" s="2">
        <v>-0.40559956127321</v>
      </c>
      <c r="N89" s="2">
        <v>441.80170291497</v>
      </c>
      <c r="O89" s="2">
        <v>497.92797865747</v>
      </c>
    </row>
    <row r="90" spans="1:15">
      <c r="A90" s="2">
        <v>17</v>
      </c>
      <c r="B90" s="2">
        <v>0.049886957723175</v>
      </c>
      <c r="C90" s="2">
        <v>90.234985884973</v>
      </c>
      <c r="D90" s="2">
        <v>0.051808114618478</v>
      </c>
      <c r="E90" s="2">
        <v>4.195277204357</v>
      </c>
      <c r="F90" s="2">
        <v>0.73210552591582</v>
      </c>
      <c r="G90" s="2">
        <v>25253538.456864</v>
      </c>
      <c r="H90" s="2">
        <v>59034504.454446</v>
      </c>
      <c r="I90" s="2">
        <v>-0.025821156224213</v>
      </c>
      <c r="J90" s="2">
        <v>-0.022901994938473</v>
      </c>
      <c r="K90" s="2">
        <v>0.049722456327944</v>
      </c>
      <c r="L90" s="2">
        <v>-0.4147925034471</v>
      </c>
      <c r="M90" s="2">
        <v>-0.40951510682084</v>
      </c>
      <c r="N90" s="2">
        <v>442.61919192457</v>
      </c>
      <c r="O90" s="2">
        <v>498.90685481401</v>
      </c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topLeftCell="A61" workbookViewId="0">
      <selection activeCell="A1" sqref="A1:O90"/>
    </sheetView>
  </sheetViews>
  <sheetFormatPr defaultColWidth="8.81333333333333" defaultRowHeight="15"/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4.4901358807698e-26</v>
      </c>
      <c r="C3" s="2">
        <v>90.287236841511</v>
      </c>
      <c r="D3" s="3">
        <v>7.0006023220313e-6</v>
      </c>
      <c r="E3" s="2">
        <v>6.6107832515794</v>
      </c>
      <c r="F3" s="2">
        <v>0.99204058932192</v>
      </c>
      <c r="G3" s="2">
        <v>16000000</v>
      </c>
      <c r="H3" s="2">
        <v>4000000</v>
      </c>
      <c r="I3" s="3">
        <v>-2.1112957603872e-6</v>
      </c>
      <c r="J3" s="3">
        <v>-1.891297190437e-6</v>
      </c>
      <c r="K3" s="3">
        <v>7.7492130839279e-6</v>
      </c>
      <c r="L3" s="3">
        <v>-1.4802030662373e-7</v>
      </c>
      <c r="M3" s="3">
        <v>-1.5079876558993e-7</v>
      </c>
      <c r="N3" s="2">
        <v>1.6278583382669</v>
      </c>
      <c r="O3" s="2">
        <v>1.740346037191</v>
      </c>
    </row>
    <row r="4" spans="1:15">
      <c r="A4" s="2">
        <v>0.018444056862426</v>
      </c>
      <c r="B4" s="3">
        <v>4.1330963820022e-23</v>
      </c>
      <c r="C4" s="2">
        <v>90.287541351832</v>
      </c>
      <c r="D4" s="3">
        <v>4.9988364396314e-5</v>
      </c>
      <c r="E4" s="2">
        <v>6.610795516708</v>
      </c>
      <c r="F4" s="2">
        <v>0.9920979272479</v>
      </c>
      <c r="G4" s="2">
        <v>16000000</v>
      </c>
      <c r="H4" s="2">
        <v>4000000</v>
      </c>
      <c r="I4" s="3">
        <v>-1.5077590383912e-5</v>
      </c>
      <c r="J4" s="3">
        <v>-1.350652372005e-5</v>
      </c>
      <c r="K4" s="3">
        <v>5.5330607623613e-5</v>
      </c>
      <c r="L4" s="3">
        <v>-7.5428324208541e-6</v>
      </c>
      <c r="M4" s="3">
        <v>-7.6850424758247e-6</v>
      </c>
      <c r="N4" s="2">
        <v>11.626550267611</v>
      </c>
      <c r="O4" s="2">
        <v>12.429681972174</v>
      </c>
    </row>
    <row r="5" spans="1:15">
      <c r="A5" s="2">
        <v>0.1</v>
      </c>
      <c r="B5" s="3">
        <v>1.752356714105e-16</v>
      </c>
      <c r="C5" s="2">
        <v>90.28915041961</v>
      </c>
      <c r="D5" s="2">
        <v>0.0002710793485611</v>
      </c>
      <c r="E5" s="2">
        <v>6.6108577974295</v>
      </c>
      <c r="F5" s="2">
        <v>0.99239251133861</v>
      </c>
      <c r="G5" s="2">
        <v>16000000</v>
      </c>
      <c r="H5" s="2">
        <v>4000000.0000001</v>
      </c>
      <c r="I5" s="3">
        <v>-8.1819077968266e-5</v>
      </c>
      <c r="J5" s="3">
        <v>-7.3294521679944e-5</v>
      </c>
      <c r="K5" s="2">
        <v>0.00029995406276325</v>
      </c>
      <c r="L5" s="2">
        <v>-0.00022015406011942</v>
      </c>
      <c r="M5" s="2">
        <v>-0.00022451209776312</v>
      </c>
      <c r="N5" s="2">
        <v>63.133803619598</v>
      </c>
      <c r="O5" s="2">
        <v>67.486341186844</v>
      </c>
    </row>
    <row r="6" spans="1:15">
      <c r="A6" s="2">
        <v>0.20668493909835</v>
      </c>
      <c r="B6" s="3">
        <v>2.7442360531391e-12</v>
      </c>
      <c r="C6" s="2">
        <v>90.291374338186</v>
      </c>
      <c r="D6" s="2">
        <v>0.00056041227981904</v>
      </c>
      <c r="E6" s="2">
        <v>6.6109375526896</v>
      </c>
      <c r="F6" s="2">
        <v>0.99277727313661</v>
      </c>
      <c r="G6" s="2">
        <v>16000000.00026</v>
      </c>
      <c r="H6" s="2">
        <v>4000000.001662</v>
      </c>
      <c r="I6" s="2">
        <v>-0.00016927833659848</v>
      </c>
      <c r="J6" s="2">
        <v>-0.00015164380428772</v>
      </c>
      <c r="K6" s="2">
        <v>0.00061985862392372</v>
      </c>
      <c r="L6" s="2">
        <v>-0.00094403607666955</v>
      </c>
      <c r="M6" s="2">
        <v>-0.00096250670827947</v>
      </c>
      <c r="N6" s="2">
        <v>130.72435102523</v>
      </c>
      <c r="O6" s="2">
        <v>139.71529364729</v>
      </c>
    </row>
    <row r="7" spans="1:15">
      <c r="A7" s="2">
        <v>0.40668493909835</v>
      </c>
      <c r="B7" s="3">
        <v>7.5588964712506e-7</v>
      </c>
      <c r="C7" s="2">
        <v>90.295966860714</v>
      </c>
      <c r="D7" s="2">
        <v>0.0011033321107453</v>
      </c>
      <c r="E7" s="2">
        <v>6.6110907879768</v>
      </c>
      <c r="F7" s="2">
        <v>0.99349204185441</v>
      </c>
      <c r="G7" s="2">
        <v>16000068.412923</v>
      </c>
      <c r="H7" s="2">
        <v>4000438.0820283</v>
      </c>
      <c r="I7" s="2">
        <v>-0.00033399782223964</v>
      </c>
      <c r="J7" s="2">
        <v>-0.00029916338002246</v>
      </c>
      <c r="K7" s="2">
        <v>0.0012192955334187</v>
      </c>
      <c r="L7" s="2">
        <v>-0.0036757470159758</v>
      </c>
      <c r="M7" s="2">
        <v>-0.003743470132384</v>
      </c>
      <c r="N7" s="2">
        <v>258.04790104522</v>
      </c>
      <c r="O7" s="2">
        <v>275.72099446441</v>
      </c>
    </row>
    <row r="8" spans="1:15">
      <c r="A8" s="2">
        <v>0.60668493909835</v>
      </c>
      <c r="B8" s="2">
        <v>0.00018691567475019</v>
      </c>
      <c r="C8" s="2">
        <v>90.299643277234</v>
      </c>
      <c r="D8" s="2">
        <v>0.0016682052007603</v>
      </c>
      <c r="E8" s="2">
        <v>6.613555186338</v>
      </c>
      <c r="F8" s="2">
        <v>0.99340993762828</v>
      </c>
      <c r="G8" s="2">
        <v>16017757.53262</v>
      </c>
      <c r="H8" s="2">
        <v>4113625.6828691</v>
      </c>
      <c r="I8" s="2">
        <v>-0.00054165611235836</v>
      </c>
      <c r="J8" s="2">
        <v>-0.00048225731329069</v>
      </c>
      <c r="K8" s="2">
        <v>0.0018183651859646</v>
      </c>
      <c r="L8" s="2">
        <v>-0.01275475514267</v>
      </c>
      <c r="M8" s="2">
        <v>-0.012297105387668</v>
      </c>
      <c r="N8" s="2">
        <v>351.68038395268</v>
      </c>
      <c r="O8" s="2">
        <v>377.68612033391</v>
      </c>
    </row>
    <row r="9" spans="1:15">
      <c r="A9" s="2">
        <v>0.80668493909835</v>
      </c>
      <c r="B9" s="2">
        <v>0.00073963604686367</v>
      </c>
      <c r="C9" s="2">
        <v>90.302474876211</v>
      </c>
      <c r="D9" s="2">
        <v>0.0022670751079803</v>
      </c>
      <c r="E9" s="2">
        <v>6.6188639523276</v>
      </c>
      <c r="F9" s="2">
        <v>0.99178308219512</v>
      </c>
      <c r="G9" s="2">
        <v>16074124.211377</v>
      </c>
      <c r="H9" s="2">
        <v>4473708.4589666</v>
      </c>
      <c r="I9" s="2">
        <v>-0.00082658647223065</v>
      </c>
      <c r="J9" s="2">
        <v>-0.00073793047435417</v>
      </c>
      <c r="K9" s="2">
        <v>0.002417069909875</v>
      </c>
      <c r="L9" s="2">
        <v>-0.012701075773486</v>
      </c>
      <c r="M9" s="2">
        <v>-0.012346195089291</v>
      </c>
      <c r="N9" s="2">
        <v>378.22453528716</v>
      </c>
      <c r="O9" s="2">
        <v>410.53752085292</v>
      </c>
    </row>
    <row r="10" spans="1:15">
      <c r="A10" s="2">
        <v>1.0066849390983</v>
      </c>
      <c r="B10" s="2">
        <v>0.0013506234296254</v>
      </c>
      <c r="C10" s="2">
        <v>90.305886944268</v>
      </c>
      <c r="D10" s="2">
        <v>0.0028752492321088</v>
      </c>
      <c r="E10" s="2">
        <v>6.6229631318658</v>
      </c>
      <c r="F10" s="2">
        <v>0.98913066727996</v>
      </c>
      <c r="G10" s="2">
        <v>16142519.848876</v>
      </c>
      <c r="H10" s="2">
        <v>4909618.1395258</v>
      </c>
      <c r="I10" s="2">
        <v>-0.0011283005145914</v>
      </c>
      <c r="J10" s="2">
        <v>-0.0010098289312855</v>
      </c>
      <c r="K10" s="2">
        <v>0.0030154099184478</v>
      </c>
      <c r="L10" s="2">
        <v>-0.020850566903164</v>
      </c>
      <c r="M10" s="2">
        <v>-0.020674527354048</v>
      </c>
      <c r="N10" s="2">
        <v>389.71956833935</v>
      </c>
      <c r="O10" s="2">
        <v>426.65006516816</v>
      </c>
    </row>
    <row r="11" spans="1:15">
      <c r="A11" s="2">
        <v>1.2066849390983</v>
      </c>
      <c r="B11" s="2">
        <v>0.0019621127150062</v>
      </c>
      <c r="C11" s="2">
        <v>90.30784999913</v>
      </c>
      <c r="D11" s="2">
        <v>0.0034885578426636</v>
      </c>
      <c r="E11" s="2">
        <v>6.6268553822621</v>
      </c>
      <c r="F11" s="2">
        <v>0.98553317649623</v>
      </c>
      <c r="G11" s="2">
        <v>16216566.026904</v>
      </c>
      <c r="H11" s="2">
        <v>5380393.4401856</v>
      </c>
      <c r="I11" s="2">
        <v>-0.0014360332965736</v>
      </c>
      <c r="J11" s="2">
        <v>-0.0012857503340641</v>
      </c>
      <c r="K11" s="2">
        <v>0.0036133844035452</v>
      </c>
      <c r="L11" s="2">
        <v>-0.0302804737492</v>
      </c>
      <c r="M11" s="2">
        <v>-0.030219042533644</v>
      </c>
      <c r="N11" s="2">
        <v>396.48357589455</v>
      </c>
      <c r="O11" s="2">
        <v>436.53762998375</v>
      </c>
    </row>
    <row r="12" spans="1:15">
      <c r="A12" s="2">
        <v>1.4066849390983</v>
      </c>
      <c r="B12" s="2">
        <v>0.0025702468458981</v>
      </c>
      <c r="C12" s="2">
        <v>90.308604481114</v>
      </c>
      <c r="D12" s="2">
        <v>0.0041039695048391</v>
      </c>
      <c r="E12" s="2">
        <v>6.6308095106205</v>
      </c>
      <c r="F12" s="2">
        <v>0.98173865242137</v>
      </c>
      <c r="G12" s="2">
        <v>16294447.817624</v>
      </c>
      <c r="H12" s="2">
        <v>5874349.522574</v>
      </c>
      <c r="I12" s="2">
        <v>-0.0017471928876768</v>
      </c>
      <c r="J12" s="2">
        <v>-0.0015629300921327</v>
      </c>
      <c r="K12" s="2">
        <v>0.0042109947952359</v>
      </c>
      <c r="L12" s="2">
        <v>-0.036100539718877</v>
      </c>
      <c r="M12" s="2">
        <v>-0.036385013649103</v>
      </c>
      <c r="N12" s="2">
        <v>400.90220065759</v>
      </c>
      <c r="O12" s="2">
        <v>442.97994460877</v>
      </c>
    </row>
    <row r="13" spans="1:15">
      <c r="A13" s="2">
        <v>1.6066849390983</v>
      </c>
      <c r="B13" s="2">
        <v>0.0031768020560378</v>
      </c>
      <c r="C13" s="2">
        <v>90.308624197096</v>
      </c>
      <c r="D13" s="2">
        <v>0.0047200508759549</v>
      </c>
      <c r="E13" s="2">
        <v>6.6348584557073</v>
      </c>
      <c r="F13" s="2">
        <v>0.97792393536333</v>
      </c>
      <c r="G13" s="2">
        <v>16374985.23617</v>
      </c>
      <c r="H13" s="2">
        <v>6383902.1445933</v>
      </c>
      <c r="I13" s="2">
        <v>-0.0020604397665033</v>
      </c>
      <c r="J13" s="2">
        <v>-0.0018401717976212</v>
      </c>
      <c r="K13" s="2">
        <v>0.0048082420516824</v>
      </c>
      <c r="L13" s="2">
        <v>-0.042181968704631</v>
      </c>
      <c r="M13" s="2">
        <v>-0.042800930173768</v>
      </c>
      <c r="N13" s="2">
        <v>404.1381014458</v>
      </c>
      <c r="O13" s="2">
        <v>447.59260720671</v>
      </c>
    </row>
    <row r="14" spans="1:15">
      <c r="A14" s="2">
        <v>1.8066849390983</v>
      </c>
      <c r="B14" s="2">
        <v>0.003782609217753</v>
      </c>
      <c r="C14" s="2">
        <v>90.308205806592</v>
      </c>
      <c r="D14" s="2">
        <v>0.0053360943720285</v>
      </c>
      <c r="E14" s="2">
        <v>6.6389824341042</v>
      </c>
      <c r="F14" s="2">
        <v>0.97409947918061</v>
      </c>
      <c r="G14" s="2">
        <v>16457523.597047</v>
      </c>
      <c r="H14" s="2">
        <v>6904849.6216737</v>
      </c>
      <c r="I14" s="2">
        <v>-0.0023751158198687</v>
      </c>
      <c r="J14" s="2">
        <v>-0.0021169691106845</v>
      </c>
      <c r="K14" s="2">
        <v>0.0054051271783549</v>
      </c>
      <c r="L14" s="2">
        <v>-0.048656165660184</v>
      </c>
      <c r="M14" s="2">
        <v>-0.049441138782416</v>
      </c>
      <c r="N14" s="2">
        <v>406.73272695808</v>
      </c>
      <c r="O14" s="2">
        <v>451.19736958628</v>
      </c>
    </row>
    <row r="15" spans="1:15">
      <c r="A15" s="2">
        <v>2.0066849390983</v>
      </c>
      <c r="B15" s="2">
        <v>0.004388159926845</v>
      </c>
      <c r="C15" s="2">
        <v>90.307523015912</v>
      </c>
      <c r="D15" s="2">
        <v>0.0059518297696275</v>
      </c>
      <c r="E15" s="2">
        <v>6.6431464833555</v>
      </c>
      <c r="F15" s="2">
        <v>0.97028531764349</v>
      </c>
      <c r="G15" s="2">
        <v>16541708.176113</v>
      </c>
      <c r="H15" s="2">
        <v>7434919.3693858</v>
      </c>
      <c r="I15" s="2">
        <v>-0.0026905674894015</v>
      </c>
      <c r="J15" s="2">
        <v>-0.0023934241664237</v>
      </c>
      <c r="K15" s="2">
        <v>0.0060016510602371</v>
      </c>
      <c r="L15" s="2">
        <v>-0.055217684539451</v>
      </c>
      <c r="M15" s="2">
        <v>-0.056113393727785</v>
      </c>
      <c r="N15" s="2">
        <v>408.94384105874</v>
      </c>
      <c r="O15" s="2">
        <v>454.20883556334</v>
      </c>
    </row>
    <row r="16" spans="1:15">
      <c r="A16" s="2">
        <v>2.2066849390983</v>
      </c>
      <c r="B16" s="2">
        <v>0.0049936973477588</v>
      </c>
      <c r="C16" s="2">
        <v>90.306693987629</v>
      </c>
      <c r="D16" s="2">
        <v>0.0065672183239909</v>
      </c>
      <c r="E16" s="2">
        <v>6.6473252458493</v>
      </c>
      <c r="F16" s="2">
        <v>0.96649056857583</v>
      </c>
      <c r="G16" s="2">
        <v>16627335.166693</v>
      </c>
      <c r="H16" s="2">
        <v>7972808.5821496</v>
      </c>
      <c r="I16" s="2">
        <v>-0.0030062826894451</v>
      </c>
      <c r="J16" s="2">
        <v>-0.0026697680585636</v>
      </c>
      <c r="K16" s="2">
        <v>0.0065978142119737</v>
      </c>
      <c r="L16" s="2">
        <v>-0.061728614471315</v>
      </c>
      <c r="M16" s="2">
        <v>-0.062649279746992</v>
      </c>
      <c r="N16" s="2">
        <v>410.90352237712</v>
      </c>
      <c r="O16" s="2">
        <v>456.83279134657</v>
      </c>
    </row>
    <row r="17" spans="1:15">
      <c r="A17" s="2">
        <v>2.4066849390983</v>
      </c>
      <c r="B17" s="2">
        <v>0.0055993114409152</v>
      </c>
      <c r="C17" s="2">
        <v>90.305781206998</v>
      </c>
      <c r="D17" s="2">
        <v>0.0071823077828653</v>
      </c>
      <c r="E17" s="2">
        <v>6.651515481707</v>
      </c>
      <c r="F17" s="2">
        <v>0.96272664536935</v>
      </c>
      <c r="G17" s="2">
        <v>16714258.383058</v>
      </c>
      <c r="H17" s="2">
        <v>8517586.1395335</v>
      </c>
      <c r="I17" s="2">
        <v>-0.0033219625704</v>
      </c>
      <c r="J17" s="2">
        <v>-0.0029461213100899</v>
      </c>
      <c r="K17" s="2">
        <v>0.0071936170349171</v>
      </c>
      <c r="L17" s="2">
        <v>-0.067966253178817</v>
      </c>
      <c r="M17" s="2">
        <v>-0.068953943059813</v>
      </c>
      <c r="N17" s="2">
        <v>412.69654045388</v>
      </c>
      <c r="O17" s="2">
        <v>459.19265355468</v>
      </c>
    </row>
    <row r="18" spans="1:15">
      <c r="A18" s="2">
        <v>2.6066849390983</v>
      </c>
      <c r="B18" s="2">
        <v>0.0062050617558919</v>
      </c>
      <c r="C18" s="2">
        <v>90.304819793925</v>
      </c>
      <c r="D18" s="2">
        <v>0.0077971462195166</v>
      </c>
      <c r="E18" s="2">
        <v>6.6557264002227</v>
      </c>
      <c r="F18" s="2">
        <v>0.95899828870846</v>
      </c>
      <c r="G18" s="2">
        <v>16802369.066661</v>
      </c>
      <c r="H18" s="2">
        <v>9068562.0764301</v>
      </c>
      <c r="I18" s="2">
        <v>-0.0036374633561795</v>
      </c>
      <c r="J18" s="2">
        <v>-0.0032225217382443</v>
      </c>
      <c r="K18" s="2">
        <v>0.0077890599351224</v>
      </c>
      <c r="L18" s="2">
        <v>-0.074114299250027</v>
      </c>
      <c r="M18" s="2">
        <v>-0.075105923248416</v>
      </c>
      <c r="N18" s="2">
        <v>414.37492292548</v>
      </c>
      <c r="O18" s="2">
        <v>461.36792920552</v>
      </c>
    </row>
    <row r="19" spans="1:15">
      <c r="A19" s="2">
        <v>2.8066849390983</v>
      </c>
      <c r="B19" s="2">
        <v>0.0068110017898167</v>
      </c>
      <c r="C19" s="2">
        <v>90.303832259741</v>
      </c>
      <c r="D19" s="2">
        <v>0.0084117789608678</v>
      </c>
      <c r="E19" s="2">
        <v>6.659966466751</v>
      </c>
      <c r="F19" s="2">
        <v>0.95530435302018</v>
      </c>
      <c r="G19" s="2">
        <v>16891583.559148</v>
      </c>
      <c r="H19" s="2">
        <v>9625208.0802783</v>
      </c>
      <c r="I19" s="2">
        <v>-0.0039527286807342</v>
      </c>
      <c r="J19" s="2">
        <v>-0.0034989615462537</v>
      </c>
      <c r="K19" s="2">
        <v>0.0083841433045892</v>
      </c>
      <c r="L19" s="2">
        <v>-0.080116491723716</v>
      </c>
      <c r="M19" s="2">
        <v>-0.08109487775858</v>
      </c>
      <c r="N19" s="2">
        <v>415.97095889412</v>
      </c>
      <c r="O19" s="2">
        <v>463.41374046041</v>
      </c>
    </row>
    <row r="20" spans="1:15">
      <c r="A20" s="2">
        <v>3.0066849390983</v>
      </c>
      <c r="B20" s="2">
        <v>0.007417122374358</v>
      </c>
      <c r="C20" s="2">
        <v>90.30283014876</v>
      </c>
      <c r="D20" s="2">
        <v>0.0090262345737803</v>
      </c>
      <c r="E20" s="2">
        <v>6.6642414026882</v>
      </c>
      <c r="F20" s="2">
        <v>0.95164207116981</v>
      </c>
      <c r="G20" s="2">
        <v>16981839.493938</v>
      </c>
      <c r="H20" s="2">
        <v>10187132.908347</v>
      </c>
      <c r="I20" s="2">
        <v>-0.0042677481375706</v>
      </c>
      <c r="J20" s="2">
        <v>-0.0037754072667332</v>
      </c>
      <c r="K20" s="2">
        <v>0.0089788675740174</v>
      </c>
      <c r="L20" s="2">
        <v>-0.086105553578973</v>
      </c>
      <c r="M20" s="2">
        <v>-0.087051098229872</v>
      </c>
      <c r="N20" s="2">
        <v>417.5073644434</v>
      </c>
      <c r="O20" s="2">
        <v>465.36750403549</v>
      </c>
    </row>
    <row r="21" spans="1:15">
      <c r="A21" s="2">
        <v>3.2066849390983</v>
      </c>
      <c r="B21" s="2">
        <v>0.008023369370258</v>
      </c>
      <c r="C21" s="2">
        <v>90.301818075474</v>
      </c>
      <c r="D21" s="2">
        <v>0.0096405177774111</v>
      </c>
      <c r="E21" s="2">
        <v>6.6685533692952</v>
      </c>
      <c r="F21" s="2">
        <v>0.94801069117334</v>
      </c>
      <c r="G21" s="2">
        <v>17073096.330635</v>
      </c>
      <c r="H21" s="2">
        <v>10754084.696945</v>
      </c>
      <c r="I21" s="2">
        <v>-0.0045825380032056</v>
      </c>
      <c r="J21" s="2">
        <v>-0.0040518218655062</v>
      </c>
      <c r="K21" s="2">
        <v>0.0095732332721363</v>
      </c>
      <c r="L21" s="2">
        <v>-0.092060479697237</v>
      </c>
      <c r="M21" s="2">
        <v>-0.092963244982027</v>
      </c>
      <c r="N21" s="2">
        <v>418.99540354898</v>
      </c>
      <c r="O21" s="2">
        <v>467.24707024681</v>
      </c>
    </row>
    <row r="22" spans="1:15">
      <c r="A22" s="2">
        <v>3.4066849390983</v>
      </c>
      <c r="B22" s="2">
        <v>0.0086296701163082</v>
      </c>
      <c r="C22" s="2">
        <v>90.30079906812</v>
      </c>
      <c r="D22" s="2">
        <v>0.010254623420635</v>
      </c>
      <c r="E22" s="2">
        <v>6.6729020005111</v>
      </c>
      <c r="F22" s="2">
        <v>0.94440803740435</v>
      </c>
      <c r="G22" s="2">
        <v>17165323.003252</v>
      </c>
      <c r="H22" s="2">
        <v>11325872.680646</v>
      </c>
      <c r="I22" s="2">
        <v>-0.0048971218044616</v>
      </c>
      <c r="J22" s="2">
        <v>-0.0043281629982031</v>
      </c>
      <c r="K22" s="2">
        <v>0.010167240955781</v>
      </c>
      <c r="L22" s="2">
        <v>-0.097931290827071</v>
      </c>
      <c r="M22" s="2">
        <v>-0.098784139637137</v>
      </c>
      <c r="N22" s="2">
        <v>420.44475585046</v>
      </c>
      <c r="O22" s="2">
        <v>469.06575643799</v>
      </c>
    </row>
    <row r="23" spans="1:15">
      <c r="A23" s="2">
        <v>3.6066849390983</v>
      </c>
      <c r="B23" s="2">
        <v>0.0092359755247573</v>
      </c>
      <c r="C23" s="2">
        <v>90.299773633001</v>
      </c>
      <c r="D23" s="2">
        <v>0.010868544526625</v>
      </c>
      <c r="E23" s="2">
        <v>6.6772867851224</v>
      </c>
      <c r="F23" s="2">
        <v>0.94083041732017</v>
      </c>
      <c r="G23" s="2">
        <v>17258497.01947</v>
      </c>
      <c r="H23" s="2">
        <v>11902360.756339</v>
      </c>
      <c r="I23" s="2">
        <v>-0.0052115420194405</v>
      </c>
      <c r="J23" s="2">
        <v>-0.0046043812220411</v>
      </c>
      <c r="K23" s="2">
        <v>0.010760891175459</v>
      </c>
      <c r="L23" s="2">
        <v>-0.10380146750825</v>
      </c>
      <c r="M23" s="2">
        <v>-0.10458471927243</v>
      </c>
      <c r="N23" s="2">
        <v>421.85967453118</v>
      </c>
      <c r="O23" s="2">
        <v>470.83049401373</v>
      </c>
    </row>
    <row r="24" spans="1:15">
      <c r="A24" s="2">
        <v>3.8066849390983</v>
      </c>
      <c r="B24" s="2">
        <v>0.0098422273304153</v>
      </c>
      <c r="C24" s="2">
        <v>90.298741146985</v>
      </c>
      <c r="D24" s="2">
        <v>0.011482271533169</v>
      </c>
      <c r="E24" s="2">
        <v>6.6817058043711</v>
      </c>
      <c r="F24" s="2">
        <v>0.9372745622449</v>
      </c>
      <c r="G24" s="2">
        <v>17352597.959186</v>
      </c>
      <c r="H24" s="2">
        <v>12483426.56795</v>
      </c>
      <c r="I24" s="2">
        <v>-0.0055258297077068</v>
      </c>
      <c r="J24" s="2">
        <v>-0.0048804343930871</v>
      </c>
      <c r="K24" s="2">
        <v>0.011354184455223</v>
      </c>
      <c r="L24" s="2">
        <v>-0.10968384307849</v>
      </c>
      <c r="M24" s="2">
        <v>-0.11035085660922</v>
      </c>
      <c r="N24" s="2">
        <v>423.24586229238</v>
      </c>
      <c r="O24" s="2">
        <v>472.5487104111</v>
      </c>
    </row>
    <row r="25" spans="1:15">
      <c r="A25" s="2">
        <v>4.0066849390983</v>
      </c>
      <c r="B25" s="2">
        <v>0.01044842260056</v>
      </c>
      <c r="C25" s="2">
        <v>90.297703314359</v>
      </c>
      <c r="D25" s="2">
        <v>0.012095813399867</v>
      </c>
      <c r="E25" s="2">
        <v>6.6861558555404</v>
      </c>
      <c r="F25" s="2">
        <v>0.93373995397749</v>
      </c>
      <c r="G25" s="2">
        <v>17447606.307963</v>
      </c>
      <c r="H25" s="2">
        <v>13068953.534847</v>
      </c>
      <c r="I25" s="2">
        <v>-0.005839987046242</v>
      </c>
      <c r="J25" s="2">
        <v>-0.0051563149085975</v>
      </c>
      <c r="K25" s="2">
        <v>0.01194712123842</v>
      </c>
      <c r="L25" s="2">
        <v>-0.11541358641806</v>
      </c>
      <c r="M25" s="2">
        <v>-0.11605053378415</v>
      </c>
      <c r="N25" s="2">
        <v>424.60612893788</v>
      </c>
      <c r="O25" s="2">
        <v>474.22654455297</v>
      </c>
    </row>
    <row r="26" spans="1:15">
      <c r="A26" s="2">
        <v>4.2066849390983</v>
      </c>
      <c r="B26" s="2">
        <v>0.011054570936434</v>
      </c>
      <c r="C26" s="2">
        <v>90.296661117522</v>
      </c>
      <c r="D26" s="2">
        <v>0.012709189425401</v>
      </c>
      <c r="E26" s="2">
        <v>6.6906323554223</v>
      </c>
      <c r="F26" s="2">
        <v>0.93022609658483</v>
      </c>
      <c r="G26" s="2">
        <v>17543500.256447</v>
      </c>
      <c r="H26" s="2">
        <v>13658811.070597</v>
      </c>
      <c r="I26" s="2">
        <v>-0.0061539984055159</v>
      </c>
      <c r="J26" s="2">
        <v>-0.0054320297595562</v>
      </c>
      <c r="K26" s="2">
        <v>0.012539701872308</v>
      </c>
      <c r="L26" s="2">
        <v>-0.12108281687117</v>
      </c>
      <c r="M26" s="2">
        <v>-0.12161349881495</v>
      </c>
      <c r="N26" s="2">
        <v>425.94499694864</v>
      </c>
      <c r="O26" s="2">
        <v>475.87295229796</v>
      </c>
    </row>
    <row r="27" spans="1:15">
      <c r="A27" s="2">
        <v>4.4066849390983</v>
      </c>
      <c r="B27" s="2">
        <v>0.011660701962862</v>
      </c>
      <c r="C27" s="2">
        <v>90.29561779696</v>
      </c>
      <c r="D27" s="2">
        <v>0.013322421408723</v>
      </c>
      <c r="E27" s="2">
        <v>6.6951331111687</v>
      </c>
      <c r="F27" s="2">
        <v>0.92673255010109</v>
      </c>
      <c r="G27" s="2">
        <v>17640263.309868</v>
      </c>
      <c r="H27" s="2">
        <v>14252902.131001</v>
      </c>
      <c r="I27" s="2">
        <v>-0.0064678538391126</v>
      </c>
      <c r="J27" s="2">
        <v>-0.0057075880729611</v>
      </c>
      <c r="K27" s="2">
        <v>0.013131926657086</v>
      </c>
      <c r="L27" s="2">
        <v>-0.12674497383332</v>
      </c>
      <c r="M27" s="2">
        <v>-0.12719247651549</v>
      </c>
      <c r="N27" s="2">
        <v>427.26332068841</v>
      </c>
      <c r="O27" s="2">
        <v>477.49133691546</v>
      </c>
    </row>
    <row r="28" spans="1:15">
      <c r="A28" s="2">
        <v>4.6066849390983</v>
      </c>
      <c r="B28" s="2">
        <v>0.012266807556823</v>
      </c>
      <c r="C28" s="2">
        <v>90.294573458356</v>
      </c>
      <c r="D28" s="2">
        <v>0.013935523363541</v>
      </c>
      <c r="E28" s="2">
        <v>6.6996571389307</v>
      </c>
      <c r="F28" s="2">
        <v>0.92325803215701</v>
      </c>
      <c r="G28" s="2">
        <v>17737877.47215</v>
      </c>
      <c r="H28" s="2">
        <v>14851120.785319</v>
      </c>
      <c r="I28" s="2">
        <v>-0.0067815421514265</v>
      </c>
      <c r="J28" s="2">
        <v>-0.0059829924623402</v>
      </c>
      <c r="K28" s="2">
        <v>0.013723795908912</v>
      </c>
      <c r="L28" s="2">
        <v>-0.13241375949671</v>
      </c>
      <c r="M28" s="2">
        <v>-0.13278413311648</v>
      </c>
      <c r="N28" s="2">
        <v>428.56543391132</v>
      </c>
      <c r="O28" s="2">
        <v>479.08755668387</v>
      </c>
    </row>
    <row r="29" spans="1:15">
      <c r="A29" s="2">
        <v>4.8066849390983</v>
      </c>
      <c r="B29" s="2">
        <v>0.012872894941186</v>
      </c>
      <c r="C29" s="2">
        <v>90.293533612492</v>
      </c>
      <c r="D29" s="2">
        <v>0.014548509432084</v>
      </c>
      <c r="E29" s="2">
        <v>6.7042027541353</v>
      </c>
      <c r="F29" s="2">
        <v>0.91980219360809</v>
      </c>
      <c r="G29" s="2">
        <v>17836329.757028</v>
      </c>
      <c r="H29" s="2">
        <v>15453392.261157</v>
      </c>
      <c r="I29" s="2">
        <v>-0.0070950610297524</v>
      </c>
      <c r="J29" s="2">
        <v>-0.006258246674898</v>
      </c>
      <c r="K29" s="2">
        <v>0.014315309971975</v>
      </c>
      <c r="L29" s="2">
        <v>-0.13806210845856</v>
      </c>
      <c r="M29" s="2">
        <v>-0.13834888784614</v>
      </c>
      <c r="N29" s="2">
        <v>429.85094795941</v>
      </c>
      <c r="O29" s="2">
        <v>480.66149180997</v>
      </c>
    </row>
    <row r="30" spans="1:15">
      <c r="A30" s="2">
        <v>5.0066849390983</v>
      </c>
      <c r="B30" s="2">
        <v>0.013478959302863</v>
      </c>
      <c r="C30" s="2">
        <v>90.292490849436</v>
      </c>
      <c r="D30" s="2">
        <v>0.01516138671247</v>
      </c>
      <c r="E30" s="2">
        <v>6.7087684113449</v>
      </c>
      <c r="F30" s="2">
        <v>0.91636300381874</v>
      </c>
      <c r="G30" s="2">
        <v>17935607.113593</v>
      </c>
      <c r="H30" s="2">
        <v>16059641.910461</v>
      </c>
      <c r="I30" s="2">
        <v>-0.0074084060930183</v>
      </c>
      <c r="J30" s="2">
        <v>-0.0065333508407211</v>
      </c>
      <c r="K30" s="2">
        <v>0.014906469197197</v>
      </c>
      <c r="L30" s="2">
        <v>-0.14368581535692</v>
      </c>
      <c r="M30" s="2">
        <v>-0.1438748684168</v>
      </c>
      <c r="N30" s="2">
        <v>431.12195902203</v>
      </c>
      <c r="O30" s="2">
        <v>482.21524765405</v>
      </c>
    </row>
    <row r="31" spans="1:15">
      <c r="A31" s="2">
        <v>5.2066849390983</v>
      </c>
      <c r="B31" s="2">
        <v>0.014084988039166</v>
      </c>
      <c r="C31" s="2">
        <v>90.291445276216</v>
      </c>
      <c r="D31" s="2">
        <v>0.01577416073393</v>
      </c>
      <c r="E31" s="2">
        <v>6.7133538571864</v>
      </c>
      <c r="F31" s="2">
        <v>0.91293944437734</v>
      </c>
      <c r="G31" s="2">
        <v>18035696.365138</v>
      </c>
      <c r="H31" s="2">
        <v>16669794.420076</v>
      </c>
      <c r="I31" s="2">
        <v>-0.0077215747312158</v>
      </c>
      <c r="J31" s="2">
        <v>-0.0068083030728752</v>
      </c>
      <c r="K31" s="2">
        <v>0.015497273949165</v>
      </c>
      <c r="L31" s="2">
        <v>-0.14929088683787</v>
      </c>
      <c r="M31" s="2">
        <v>-0.14939900330655</v>
      </c>
      <c r="N31" s="2">
        <v>432.38080280345</v>
      </c>
      <c r="O31" s="2">
        <v>483.75127815005</v>
      </c>
    </row>
    <row r="32" spans="1:15">
      <c r="A32" s="2">
        <v>5.4066849390983</v>
      </c>
      <c r="B32" s="2">
        <v>0.014690983585567</v>
      </c>
      <c r="C32" s="2">
        <v>90.290400236328</v>
      </c>
      <c r="D32" s="2">
        <v>0.016386837639999</v>
      </c>
      <c r="E32" s="2">
        <v>6.7179583114623</v>
      </c>
      <c r="F32" s="2">
        <v>0.90953012337953</v>
      </c>
      <c r="G32" s="2">
        <v>18136587.563853</v>
      </c>
      <c r="H32" s="2">
        <v>17283794.315784</v>
      </c>
      <c r="I32" s="2">
        <v>-0.0080345632191754</v>
      </c>
      <c r="J32" s="2">
        <v>-0.0070831103405515</v>
      </c>
      <c r="K32" s="2">
        <v>0.016087724597313</v>
      </c>
      <c r="L32" s="2">
        <v>-0.15485241516138</v>
      </c>
      <c r="M32" s="2">
        <v>-0.15488490859657</v>
      </c>
      <c r="N32" s="2">
        <v>433.62620769894</v>
      </c>
      <c r="O32" s="2">
        <v>485.26813911918</v>
      </c>
    </row>
    <row r="33" spans="1:15">
      <c r="A33" s="2">
        <v>5.6066849390983</v>
      </c>
      <c r="B33" s="2">
        <v>0.015296934069621</v>
      </c>
      <c r="C33" s="2">
        <v>90.289355976803</v>
      </c>
      <c r="D33" s="2">
        <v>0.016999419926841</v>
      </c>
      <c r="E33" s="2">
        <v>6.7225819024382</v>
      </c>
      <c r="F33" s="2">
        <v>0.90613411270407</v>
      </c>
      <c r="G33" s="2">
        <v>18238268.674363</v>
      </c>
      <c r="H33" s="2">
        <v>17901573.543778</v>
      </c>
      <c r="I33" s="2">
        <v>-0.0083473632254166</v>
      </c>
      <c r="J33" s="2">
        <v>-0.0073577781193183</v>
      </c>
      <c r="K33" s="2">
        <v>0.016677821537701</v>
      </c>
      <c r="L33" s="2">
        <v>-0.16046780508081</v>
      </c>
      <c r="M33" s="2">
        <v>-0.16040352751917</v>
      </c>
      <c r="N33" s="2">
        <v>434.85992259171</v>
      </c>
      <c r="O33" s="2">
        <v>486.76803352197</v>
      </c>
    </row>
    <row r="34" spans="1:15">
      <c r="A34" s="2">
        <v>5.8066849390983</v>
      </c>
      <c r="B34" s="2">
        <v>0.015902824134102</v>
      </c>
      <c r="C34" s="2">
        <v>90.288313319309</v>
      </c>
      <c r="D34" s="2">
        <v>0.017611907643079</v>
      </c>
      <c r="E34" s="2">
        <v>6.7272246398719</v>
      </c>
      <c r="F34" s="2">
        <v>0.90275063216312</v>
      </c>
      <c r="G34" s="2">
        <v>18340727.841144</v>
      </c>
      <c r="H34" s="2">
        <v>18523065.362086</v>
      </c>
      <c r="I34" s="2">
        <v>-0.008659961213402</v>
      </c>
      <c r="J34" s="2">
        <v>-0.0076323150063932</v>
      </c>
      <c r="K34" s="2">
        <v>0.017267565163795</v>
      </c>
      <c r="L34" s="2">
        <v>-0.16606621452533</v>
      </c>
      <c r="M34" s="2">
        <v>-0.16590778342067</v>
      </c>
      <c r="N34" s="2">
        <v>436.08429508861</v>
      </c>
      <c r="O34" s="2">
        <v>488.2535346271</v>
      </c>
    </row>
    <row r="35" spans="1:15">
      <c r="A35" s="2">
        <v>6.0066849390983</v>
      </c>
      <c r="B35" s="2">
        <v>0.016508652320218</v>
      </c>
      <c r="C35" s="2">
        <v>90.287271000901</v>
      </c>
      <c r="D35" s="2">
        <v>0.018224302836475</v>
      </c>
      <c r="E35" s="2">
        <v>6.7318869130423</v>
      </c>
      <c r="F35" s="2">
        <v>0.89937871668352</v>
      </c>
      <c r="G35" s="2">
        <v>18443955.904204</v>
      </c>
      <c r="H35" s="2">
        <v>19148219.524645</v>
      </c>
      <c r="I35" s="2">
        <v>-0.0089723498127309</v>
      </c>
      <c r="J35" s="2">
        <v>-0.0079067309937078</v>
      </c>
      <c r="K35" s="2">
        <v>0.017856955888232</v>
      </c>
      <c r="L35" s="2">
        <v>-0.17162045073697</v>
      </c>
      <c r="M35" s="2">
        <v>-0.17136461080097</v>
      </c>
      <c r="N35" s="2">
        <v>437.29833759347</v>
      </c>
      <c r="O35" s="2">
        <v>489.72379062948</v>
      </c>
    </row>
    <row r="36" spans="1:15">
      <c r="A36" s="2">
        <v>6.2066849390983</v>
      </c>
      <c r="B36" s="2">
        <v>0.017114410824435</v>
      </c>
      <c r="C36" s="2">
        <v>90.286231245184</v>
      </c>
      <c r="D36" s="2">
        <v>0.018836603991862</v>
      </c>
      <c r="E36" s="2">
        <v>6.7365694139162</v>
      </c>
      <c r="F36" s="2">
        <v>0.89601773196086</v>
      </c>
      <c r="G36" s="2">
        <v>18547943.996447</v>
      </c>
      <c r="H36" s="2">
        <v>19776987.77643</v>
      </c>
      <c r="I36" s="2">
        <v>-0.0092845179441707</v>
      </c>
      <c r="J36" s="2">
        <v>-0.0081810375146265</v>
      </c>
      <c r="K36" s="2">
        <v>0.018445994124724</v>
      </c>
      <c r="L36" s="2">
        <v>-0.17715758343076</v>
      </c>
      <c r="M36" s="2">
        <v>-0.17682612959821</v>
      </c>
      <c r="N36" s="2">
        <v>438.50218532653</v>
      </c>
      <c r="O36" s="2">
        <v>491.17894430887</v>
      </c>
    </row>
    <row r="37" spans="1:15">
      <c r="A37" s="2">
        <v>6.4066849390983</v>
      </c>
      <c r="B37" s="2">
        <v>0.017720092106829</v>
      </c>
      <c r="C37" s="2">
        <v>90.285194307192</v>
      </c>
      <c r="D37" s="2">
        <v>0.019448809843823</v>
      </c>
      <c r="E37" s="2">
        <v>6.7412733596604</v>
      </c>
      <c r="F37" s="2">
        <v>0.89266656758501</v>
      </c>
      <c r="G37" s="2">
        <v>18652682.990369</v>
      </c>
      <c r="H37" s="2">
        <v>20409320.278392</v>
      </c>
      <c r="I37" s="2">
        <v>-0.009596452174234</v>
      </c>
      <c r="J37" s="2">
        <v>-0.0084552481919718</v>
      </c>
      <c r="K37" s="2">
        <v>0.019034680257641</v>
      </c>
      <c r="L37" s="2">
        <v>-0.1827356858584</v>
      </c>
      <c r="M37" s="2">
        <v>-0.18229279364796</v>
      </c>
      <c r="N37" s="2">
        <v>439.69604703185</v>
      </c>
      <c r="O37" s="2">
        <v>492.61956371413</v>
      </c>
    </row>
    <row r="38" spans="1:15">
      <c r="A38" s="2">
        <v>6.6066849390983</v>
      </c>
      <c r="B38" s="2">
        <v>0.018325695499434</v>
      </c>
      <c r="C38" s="2">
        <v>90.284160092853</v>
      </c>
      <c r="D38" s="2">
        <v>0.02006091959842</v>
      </c>
      <c r="E38" s="2">
        <v>6.7459994770463</v>
      </c>
      <c r="F38" s="2">
        <v>0.8893243956041</v>
      </c>
      <c r="G38" s="2">
        <v>18758164.314884</v>
      </c>
      <c r="H38" s="2">
        <v>21045170.64358</v>
      </c>
      <c r="I38" s="2">
        <v>-0.0099081410567749</v>
      </c>
      <c r="J38" s="2">
        <v>-0.0087293743848647</v>
      </c>
      <c r="K38" s="2">
        <v>0.019623014698049</v>
      </c>
      <c r="L38" s="2">
        <v>-0.18826302873137</v>
      </c>
      <c r="M38" s="2">
        <v>-0.18773201698435</v>
      </c>
      <c r="N38" s="2">
        <v>440.87994953714</v>
      </c>
      <c r="O38" s="2">
        <v>494.04589216791</v>
      </c>
    </row>
    <row r="39" spans="1:15">
      <c r="A39" s="2">
        <v>6.8066849390983</v>
      </c>
      <c r="B39" s="2">
        <v>0.018931210111544</v>
      </c>
      <c r="C39" s="2">
        <v>90.283129419622</v>
      </c>
      <c r="D39" s="2">
        <v>0.020672933550948</v>
      </c>
      <c r="E39" s="2">
        <v>6.7507482309738</v>
      </c>
      <c r="F39" s="2">
        <v>0.88599034541956</v>
      </c>
      <c r="G39" s="2">
        <v>18864376.78877</v>
      </c>
      <c r="H39" s="2">
        <v>21684476.468723</v>
      </c>
      <c r="I39" s="2">
        <v>-0.010219574850556</v>
      </c>
      <c r="J39" s="2">
        <v>-0.0090034214965616</v>
      </c>
      <c r="K39" s="2">
        <v>0.020210997848696</v>
      </c>
      <c r="L39" s="2">
        <v>-0.19377778420338</v>
      </c>
      <c r="M39" s="2">
        <v>-0.19315969286058</v>
      </c>
      <c r="N39" s="2">
        <v>442.05616024963</v>
      </c>
      <c r="O39" s="2">
        <v>495.46071411136</v>
      </c>
    </row>
    <row r="40" spans="1:15">
      <c r="A40" s="2">
        <v>7.0066849390983</v>
      </c>
      <c r="B40" s="2">
        <v>0.01953664368089</v>
      </c>
      <c r="C40" s="2">
        <v>90.282102031468</v>
      </c>
      <c r="D40" s="2">
        <v>0.02128485500963</v>
      </c>
      <c r="E40" s="2">
        <v>6.7555190803661</v>
      </c>
      <c r="F40" s="2">
        <v>0.88266431634412</v>
      </c>
      <c r="G40" s="2">
        <v>18971311.872567</v>
      </c>
      <c r="H40" s="2">
        <v>22327191.419906</v>
      </c>
      <c r="I40" s="2">
        <v>-0.010530753896841</v>
      </c>
      <c r="J40" s="2">
        <v>-0.0092773904817327</v>
      </c>
      <c r="K40" s="2">
        <v>0.020798630087555</v>
      </c>
      <c r="L40" s="2">
        <v>-0.1992720168206</v>
      </c>
      <c r="M40" s="2">
        <v>-0.19857030024057</v>
      </c>
      <c r="N40" s="2">
        <v>443.22424235666</v>
      </c>
      <c r="O40" s="2">
        <v>496.86414111789</v>
      </c>
    </row>
    <row r="41" spans="1:15">
      <c r="A41" s="2">
        <v>7.2066849390983</v>
      </c>
      <c r="B41" s="2">
        <v>0.020141998985831</v>
      </c>
      <c r="C41" s="2">
        <v>90.281078326347</v>
      </c>
      <c r="D41" s="2">
        <v>0.021896687871168</v>
      </c>
      <c r="E41" s="2">
        <v>6.7603110456035</v>
      </c>
      <c r="F41" s="2">
        <v>0.87934631278605</v>
      </c>
      <c r="G41" s="2">
        <v>19078960.046093</v>
      </c>
      <c r="H41" s="2">
        <v>22973263.168356</v>
      </c>
      <c r="I41" s="2">
        <v>-0.010841675791452</v>
      </c>
      <c r="J41" s="2">
        <v>-0.0095512829794205</v>
      </c>
      <c r="K41" s="2">
        <v>0.02138591179141</v>
      </c>
      <c r="L41" s="2">
        <v>-0.20475000864272</v>
      </c>
      <c r="M41" s="2">
        <v>-0.20397111949143</v>
      </c>
      <c r="N41" s="2">
        <v>444.38474108189</v>
      </c>
      <c r="O41" s="2">
        <v>498.25706865512</v>
      </c>
    </row>
    <row r="42" spans="1:15">
      <c r="A42" s="2">
        <v>7.4066849390983</v>
      </c>
      <c r="B42" s="2">
        <v>0.020747282928185</v>
      </c>
      <c r="C42" s="2">
        <v>90.280057872917</v>
      </c>
      <c r="D42" s="2">
        <v>0.022508435792313</v>
      </c>
      <c r="E42" s="2">
        <v>6.7651228907479</v>
      </c>
      <c r="F42" s="2">
        <v>0.87603652675303</v>
      </c>
      <c r="G42" s="2">
        <v>19187312.87993</v>
      </c>
      <c r="H42" s="2">
        <v>23622645.959157</v>
      </c>
      <c r="I42" s="2">
        <v>-0.011152342134106</v>
      </c>
      <c r="J42" s="2">
        <v>-0.009825098605327</v>
      </c>
      <c r="K42" s="2">
        <v>0.021972843345961</v>
      </c>
      <c r="L42" s="2">
        <v>-0.21023216274313</v>
      </c>
      <c r="M42" s="2">
        <v>-0.20936081112559</v>
      </c>
      <c r="N42" s="2">
        <v>445.53730788968</v>
      </c>
      <c r="O42" s="2">
        <v>499.63952214304</v>
      </c>
    </row>
    <row r="43" spans="1:15">
      <c r="A43" s="2">
        <v>7.6066849390983</v>
      </c>
      <c r="B43" s="2">
        <v>0.021352495222565</v>
      </c>
      <c r="C43" s="2">
        <v>90.279041069574</v>
      </c>
      <c r="D43" s="2">
        <v>0.023120103358817</v>
      </c>
      <c r="E43" s="2">
        <v>6.7699538115902</v>
      </c>
      <c r="F43" s="2">
        <v>0.8727350387518</v>
      </c>
      <c r="G43" s="2">
        <v>19296360.839732</v>
      </c>
      <c r="H43" s="2">
        <v>24275287.414544</v>
      </c>
      <c r="I43" s="2">
        <v>-0.011462754194719</v>
      </c>
      <c r="J43" s="2">
        <v>-0.010098834714125</v>
      </c>
      <c r="K43" s="2">
        <v>0.02255942516818</v>
      </c>
      <c r="L43" s="2">
        <v>-0.21569643060629</v>
      </c>
      <c r="M43" s="2">
        <v>-0.21474912845926</v>
      </c>
      <c r="N43" s="2">
        <v>446.68277974955</v>
      </c>
      <c r="O43" s="2">
        <v>501.01267211131</v>
      </c>
    </row>
    <row r="44" spans="1:15">
      <c r="A44" s="2">
        <v>7.8066849390983</v>
      </c>
      <c r="B44" s="2">
        <v>0.021957644374351</v>
      </c>
      <c r="C44" s="2">
        <v>90.278028115188</v>
      </c>
      <c r="D44" s="2">
        <v>0.02373169493596</v>
      </c>
      <c r="E44" s="2">
        <v>6.7748024988144</v>
      </c>
      <c r="F44" s="2">
        <v>0.86944216229919</v>
      </c>
      <c r="G44" s="2">
        <v>19406096.304935</v>
      </c>
      <c r="H44" s="2">
        <v>24931146.819926</v>
      </c>
      <c r="I44" s="2">
        <v>-0.011772915187794</v>
      </c>
      <c r="J44" s="2">
        <v>-0.010372489361646</v>
      </c>
      <c r="K44" s="2">
        <v>0.023145657647199</v>
      </c>
      <c r="L44" s="2">
        <v>-0.22115117064162</v>
      </c>
      <c r="M44" s="2">
        <v>-0.2201205744313</v>
      </c>
      <c r="N44" s="2">
        <v>447.82072195866</v>
      </c>
      <c r="O44" s="2">
        <v>502.37590274153</v>
      </c>
    </row>
    <row r="45" spans="1:15">
      <c r="A45" s="2">
        <v>8.0066849390983</v>
      </c>
      <c r="B45" s="2">
        <v>0.022562734218255</v>
      </c>
      <c r="C45" s="2">
        <v>90.277019121922</v>
      </c>
      <c r="D45" s="2">
        <v>0.024343214675867</v>
      </c>
      <c r="E45" s="2">
        <v>6.7796679866389</v>
      </c>
      <c r="F45" s="2">
        <v>0.86615817079669</v>
      </c>
      <c r="G45" s="2">
        <v>19516510.910577</v>
      </c>
      <c r="H45" s="2">
        <v>25590178.879278</v>
      </c>
      <c r="I45" s="2">
        <v>-0.012082825910368</v>
      </c>
      <c r="J45" s="2">
        <v>-0.010646062082674</v>
      </c>
      <c r="K45" s="2">
        <v>0.023731541188668</v>
      </c>
      <c r="L45" s="2">
        <v>-0.22659945842544</v>
      </c>
      <c r="M45" s="2">
        <v>-0.2254831313206</v>
      </c>
      <c r="N45" s="2">
        <v>448.95119620608</v>
      </c>
      <c r="O45" s="2">
        <v>503.72965610964</v>
      </c>
    </row>
    <row r="46" spans="1:15">
      <c r="A46" s="2">
        <v>8.2066849390983</v>
      </c>
      <c r="B46" s="2">
        <v>0.023167759194426</v>
      </c>
      <c r="C46" s="2">
        <v>90.276013524024</v>
      </c>
      <c r="D46" s="2">
        <v>0.024954664927046</v>
      </c>
      <c r="E46" s="2">
        <v>6.7845489695881</v>
      </c>
      <c r="F46" s="2">
        <v>0.86288350684496</v>
      </c>
      <c r="G46" s="2">
        <v>19627594.697382</v>
      </c>
      <c r="H46" s="2">
        <v>26252328.929627</v>
      </c>
      <c r="I46" s="2">
        <v>-0.0123924852791</v>
      </c>
      <c r="J46" s="2">
        <v>-0.010919549912195</v>
      </c>
      <c r="K46" s="2">
        <v>0.024317076199667</v>
      </c>
      <c r="L46" s="2">
        <v>-0.23204365096149</v>
      </c>
      <c r="M46" s="2">
        <v>-0.23083458546052</v>
      </c>
      <c r="N46" s="2">
        <v>450.07623707871</v>
      </c>
      <c r="O46" s="2">
        <v>505.07620946114</v>
      </c>
    </row>
    <row r="47" spans="1:15">
      <c r="A47" s="2">
        <v>8.4066849390983</v>
      </c>
      <c r="B47" s="2">
        <v>0.023772730008414</v>
      </c>
      <c r="C47" s="2">
        <v>90.275011127633</v>
      </c>
      <c r="D47" s="2">
        <v>0.025566050970813</v>
      </c>
      <c r="E47" s="2">
        <v>6.7894442291298</v>
      </c>
      <c r="F47" s="2">
        <v>0.8596181017736</v>
      </c>
      <c r="G47" s="2">
        <v>19739340.981074</v>
      </c>
      <c r="H47" s="2">
        <v>26917561.695874</v>
      </c>
      <c r="I47" s="2">
        <v>-0.012701895380026</v>
      </c>
      <c r="J47" s="2">
        <v>-0.011192954384102</v>
      </c>
      <c r="K47" s="2">
        <v>0.024902263056369</v>
      </c>
      <c r="L47" s="2">
        <v>-0.23747756461006</v>
      </c>
      <c r="M47" s="2">
        <v>-0.23619085725627</v>
      </c>
      <c r="N47" s="2">
        <v>451.19440218794</v>
      </c>
      <c r="O47" s="2">
        <v>506.41394656634</v>
      </c>
    </row>
    <row r="48" spans="1:15">
      <c r="A48" s="2">
        <v>8.6066849390983</v>
      </c>
      <c r="B48" s="2">
        <v>0.024377645942139</v>
      </c>
      <c r="C48" s="2">
        <v>90.274012267476</v>
      </c>
      <c r="D48" s="2">
        <v>0.026177375583114</v>
      </c>
      <c r="E48" s="2">
        <v>6.79435270361</v>
      </c>
      <c r="F48" s="2">
        <v>0.85636247918341</v>
      </c>
      <c r="G48" s="2">
        <v>19851740.555195</v>
      </c>
      <c r="H48" s="2">
        <v>27585827.109415</v>
      </c>
      <c r="I48" s="2">
        <v>-0.013011056731355</v>
      </c>
      <c r="J48" s="2">
        <v>-0.011466271894725</v>
      </c>
      <c r="K48" s="2">
        <v>0.025487102204707</v>
      </c>
      <c r="L48" s="2">
        <v>-0.24291095668438</v>
      </c>
      <c r="M48" s="2">
        <v>-0.24154140636519</v>
      </c>
      <c r="N48" s="2">
        <v>452.3072489925</v>
      </c>
      <c r="O48" s="2">
        <v>507.74481006702</v>
      </c>
    </row>
    <row r="49" spans="1:15">
      <c r="A49" s="2">
        <v>8.8066849390982</v>
      </c>
      <c r="B49" s="2">
        <v>0.024982519003712</v>
      </c>
      <c r="C49" s="2">
        <v>90.273017401748</v>
      </c>
      <c r="D49" s="2">
        <v>0.026788644111224</v>
      </c>
      <c r="E49" s="2">
        <v>6.799273812949</v>
      </c>
      <c r="F49" s="2">
        <v>0.85311667951408</v>
      </c>
      <c r="G49" s="2">
        <v>19964787.35899</v>
      </c>
      <c r="H49" s="2">
        <v>28257093.615009</v>
      </c>
      <c r="I49" s="2">
        <v>-0.013319973165389</v>
      </c>
      <c r="J49" s="2">
        <v>-0.01173950359192</v>
      </c>
      <c r="K49" s="2">
        <v>0.026071594003858</v>
      </c>
      <c r="L49" s="2">
        <v>-0.24834034832408</v>
      </c>
      <c r="M49" s="2">
        <v>-0.24688765492608</v>
      </c>
      <c r="N49" s="2">
        <v>453.41271968443</v>
      </c>
      <c r="O49" s="2">
        <v>509.06668599212</v>
      </c>
    </row>
    <row r="50" spans="1:15">
      <c r="A50" s="2">
        <v>9.0066849390982</v>
      </c>
      <c r="B50" s="2">
        <v>0.025587347994782</v>
      </c>
      <c r="C50" s="2">
        <v>90.272025884991</v>
      </c>
      <c r="D50" s="2">
        <v>0.027399859483379</v>
      </c>
      <c r="E50" s="2">
        <v>6.8042061340674</v>
      </c>
      <c r="F50" s="2">
        <v>0.84988089140578</v>
      </c>
      <c r="G50" s="2">
        <v>20078473.013734</v>
      </c>
      <c r="H50" s="2">
        <v>28931316.019692</v>
      </c>
      <c r="I50" s="2">
        <v>-0.013628644571691</v>
      </c>
      <c r="J50" s="2">
        <v>-0.012012647814977</v>
      </c>
      <c r="K50" s="2">
        <v>0.026655738870614</v>
      </c>
      <c r="L50" s="2">
        <v>-0.25376882109343</v>
      </c>
      <c r="M50" s="2">
        <v>-0.25222924520739</v>
      </c>
      <c r="N50" s="2">
        <v>454.51180713305</v>
      </c>
      <c r="O50" s="2">
        <v>510.38060570796</v>
      </c>
    </row>
    <row r="51" spans="1:15">
      <c r="A51" s="2">
        <v>9.2066849390982</v>
      </c>
      <c r="B51" s="2">
        <v>0.026192126480467</v>
      </c>
      <c r="C51" s="2">
        <v>90.271037722888</v>
      </c>
      <c r="D51" s="2">
        <v>0.028011023712641</v>
      </c>
      <c r="E51" s="2">
        <v>6.8091492311206</v>
      </c>
      <c r="F51" s="2">
        <v>0.8466552972382</v>
      </c>
      <c r="G51" s="2">
        <v>20192787.781383</v>
      </c>
      <c r="H51" s="2">
        <v>29608441.14177</v>
      </c>
      <c r="I51" s="2">
        <v>-0.013937068308488</v>
      </c>
      <c r="J51" s="2">
        <v>-0.012285701757478</v>
      </c>
      <c r="K51" s="2">
        <v>0.02723953719397</v>
      </c>
      <c r="L51" s="2">
        <v>-0.2591787842513</v>
      </c>
      <c r="M51" s="2">
        <v>-0.257559075203</v>
      </c>
      <c r="N51" s="2">
        <v>455.60711771869</v>
      </c>
      <c r="O51" s="2">
        <v>511.68941076247</v>
      </c>
    </row>
    <row r="52" spans="1:15">
      <c r="A52" s="2">
        <v>9.4066849390982</v>
      </c>
      <c r="B52" s="2">
        <v>0.026796874199869</v>
      </c>
      <c r="C52" s="2">
        <v>90.270052886259</v>
      </c>
      <c r="D52" s="2">
        <v>0.028622142988405</v>
      </c>
      <c r="E52" s="2">
        <v>6.8141022963992</v>
      </c>
      <c r="F52" s="2">
        <v>0.84344032523949</v>
      </c>
      <c r="G52" s="2">
        <v>20307727.571231</v>
      </c>
      <c r="H52" s="2">
        <v>30288449.119021</v>
      </c>
      <c r="I52" s="2">
        <v>-0.014245252808455</v>
      </c>
      <c r="J52" s="2">
        <v>-0.012558666312904</v>
      </c>
      <c r="K52" s="2">
        <v>0.027822989370748</v>
      </c>
      <c r="L52" s="2">
        <v>-0.26460903072504</v>
      </c>
      <c r="M52" s="2">
        <v>-0.26289756751827</v>
      </c>
      <c r="N52" s="2">
        <v>456.6947016623</v>
      </c>
      <c r="O52" s="2">
        <v>512.98894577238</v>
      </c>
    </row>
    <row r="53" spans="1:15">
      <c r="A53" s="2">
        <v>9.6066849390982</v>
      </c>
      <c r="B53" s="2">
        <v>0.027401584760796</v>
      </c>
      <c r="C53" s="2">
        <v>90.269071184571</v>
      </c>
      <c r="D53" s="2">
        <v>0.029233218780574</v>
      </c>
      <c r="E53" s="2">
        <v>6.8190643355802</v>
      </c>
      <c r="F53" s="2">
        <v>0.84023622281927</v>
      </c>
      <c r="G53" s="2">
        <v>20423283.268249</v>
      </c>
      <c r="H53" s="2">
        <v>30971290.454495</v>
      </c>
      <c r="I53" s="2">
        <v>-0.014553198531277</v>
      </c>
      <c r="J53" s="2">
        <v>-0.012831536512698</v>
      </c>
      <c r="K53" s="2">
        <v>0.028406095809896</v>
      </c>
      <c r="L53" s="2">
        <v>-0.27004338446769</v>
      </c>
      <c r="M53" s="2">
        <v>-0.2682513195736</v>
      </c>
      <c r="N53" s="2">
        <v>457.77676913434</v>
      </c>
      <c r="O53" s="2">
        <v>514.28160878328</v>
      </c>
    </row>
    <row r="54" spans="1:15">
      <c r="A54" s="2">
        <v>9.8066849390982</v>
      </c>
      <c r="B54" s="2">
        <v>0.028006258273177</v>
      </c>
      <c r="C54" s="2">
        <v>90.268092472942</v>
      </c>
      <c r="D54" s="2">
        <v>0.029844254198151</v>
      </c>
      <c r="E54" s="2">
        <v>6.8240350943225</v>
      </c>
      <c r="F54" s="2">
        <v>0.83704320367382</v>
      </c>
      <c r="G54" s="2">
        <v>20539446.77341</v>
      </c>
      <c r="H54" s="2">
        <v>31656921.588938</v>
      </c>
      <c r="I54" s="2">
        <v>-0.01486090713471</v>
      </c>
      <c r="J54" s="2">
        <v>-0.013104309407279</v>
      </c>
      <c r="K54" s="2">
        <v>0.028988856885394</v>
      </c>
      <c r="L54" s="2">
        <v>-0.27546677202048</v>
      </c>
      <c r="M54" s="2">
        <v>-0.27359015323304</v>
      </c>
      <c r="N54" s="2">
        <v>458.85402898561</v>
      </c>
      <c r="O54" s="2">
        <v>515.5682222445</v>
      </c>
    </row>
    <row r="55" spans="1:15">
      <c r="A55" s="2">
        <v>10.006684939098</v>
      </c>
      <c r="B55" s="2">
        <v>0.028610901866998</v>
      </c>
      <c r="C55" s="2">
        <v>90.267116676536</v>
      </c>
      <c r="D55" s="2">
        <v>0.030455253098248</v>
      </c>
      <c r="E55" s="2">
        <v>6.8290133193526</v>
      </c>
      <c r="F55" s="2">
        <v>0.83386128678734</v>
      </c>
      <c r="G55" s="2">
        <v>20656211.833727</v>
      </c>
      <c r="H55" s="2">
        <v>32345309.973865</v>
      </c>
      <c r="I55" s="2">
        <v>-0.015168381267693</v>
      </c>
      <c r="J55" s="2">
        <v>-0.013376984727396</v>
      </c>
      <c r="K55" s="2">
        <v>0.0295712730121</v>
      </c>
      <c r="L55" s="2">
        <v>-0.28089947946487</v>
      </c>
      <c r="M55" s="2">
        <v>-0.27894751343538</v>
      </c>
      <c r="N55" s="2">
        <v>459.92566469916</v>
      </c>
      <c r="O55" s="2">
        <v>516.84802886863</v>
      </c>
    </row>
    <row r="56" spans="1:15">
      <c r="A56" s="2">
        <v>10.206684939098</v>
      </c>
      <c r="B56" s="2">
        <v>0.029215517229491</v>
      </c>
      <c r="C56" s="2">
        <v>90.266143656851</v>
      </c>
      <c r="D56" s="2">
        <v>0.031066217846697</v>
      </c>
      <c r="E56" s="2">
        <v>6.8339984560297</v>
      </c>
      <c r="F56" s="2">
        <v>0.83069046940156</v>
      </c>
      <c r="G56" s="2">
        <v>20773571.380493</v>
      </c>
      <c r="H56" s="2">
        <v>33036418.255893</v>
      </c>
      <c r="I56" s="2">
        <v>-0.015475623863431</v>
      </c>
      <c r="J56" s="2">
        <v>-0.013649559135893</v>
      </c>
      <c r="K56" s="2">
        <v>0.030153344583015</v>
      </c>
      <c r="L56" s="2">
        <v>-0.28634075899674</v>
      </c>
      <c r="M56" s="2">
        <v>-0.28429770522354</v>
      </c>
      <c r="N56" s="2">
        <v>460.99199623351</v>
      </c>
      <c r="O56" s="2">
        <v>518.12134018152</v>
      </c>
    </row>
    <row r="57" spans="1:15">
      <c r="A57" s="2">
        <v>10.406684939098</v>
      </c>
      <c r="B57" s="2">
        <v>0.029820103997148</v>
      </c>
      <c r="C57" s="2">
        <v>90.265173184256</v>
      </c>
      <c r="D57" s="2">
        <v>0.031677149665596</v>
      </c>
      <c r="E57" s="2">
        <v>6.1358644082992</v>
      </c>
      <c r="F57" s="2">
        <v>0.82753051165206</v>
      </c>
      <c r="G57" s="2">
        <v>20891517.796817</v>
      </c>
      <c r="H57" s="2">
        <v>33730205.966363</v>
      </c>
      <c r="I57" s="2">
        <v>-0.015782635468571</v>
      </c>
      <c r="J57" s="2">
        <v>-0.013922030081865</v>
      </c>
      <c r="K57" s="2">
        <v>0.030735071990903</v>
      </c>
      <c r="L57" s="2">
        <v>-0.29177706855578</v>
      </c>
      <c r="M57" s="2">
        <v>-0.28964818473445</v>
      </c>
      <c r="N57" s="2">
        <v>462.054073017</v>
      </c>
      <c r="O57" s="2">
        <v>519.38926920841</v>
      </c>
    </row>
    <row r="58" spans="1:15">
      <c r="A58" s="2">
        <v>10.606684939098</v>
      </c>
      <c r="B58" s="2">
        <v>0.030424670555006</v>
      </c>
      <c r="C58" s="2">
        <v>90.264205146728</v>
      </c>
      <c r="D58" s="2">
        <v>0.032288053282445</v>
      </c>
      <c r="E58" s="2">
        <v>6.1408612603355</v>
      </c>
      <c r="F58" s="2">
        <v>0.82438175955433</v>
      </c>
      <c r="G58" s="2">
        <v>21010045.709184</v>
      </c>
      <c r="H58" s="2">
        <v>34426645.530041</v>
      </c>
      <c r="I58" s="2">
        <v>-0.016089420174785</v>
      </c>
      <c r="J58" s="2">
        <v>-0.014194398020956</v>
      </c>
      <c r="K58" s="2">
        <v>0.031316455626212</v>
      </c>
      <c r="L58" s="2">
        <v>-0.29720595498765</v>
      </c>
      <c r="M58" s="2">
        <v>-0.29499812546001</v>
      </c>
      <c r="N58" s="2">
        <v>463.11005239486</v>
      </c>
      <c r="O58" s="2">
        <v>520.6500032728</v>
      </c>
    </row>
    <row r="59" spans="1:15">
      <c r="A59" s="2">
        <v>10.806684939098</v>
      </c>
      <c r="B59" s="2">
        <v>0.031029209748983</v>
      </c>
      <c r="C59" s="2">
        <v>90.263239594523</v>
      </c>
      <c r="D59" s="2">
        <v>0.032898929939167</v>
      </c>
      <c r="E59" s="2">
        <v>6.1458639446392</v>
      </c>
      <c r="F59" s="2">
        <v>0.82124403192842</v>
      </c>
      <c r="G59" s="2">
        <v>21129145.931885</v>
      </c>
      <c r="H59" s="2">
        <v>35125687.153701</v>
      </c>
      <c r="I59" s="2">
        <v>-0.016395978604742</v>
      </c>
      <c r="J59" s="2">
        <v>-0.014466657503216</v>
      </c>
      <c r="K59" s="2">
        <v>0.031897495882012</v>
      </c>
      <c r="L59" s="2">
        <v>-0.30264377049751</v>
      </c>
      <c r="M59" s="2">
        <v>-0.30035549007218</v>
      </c>
      <c r="N59" s="2">
        <v>464.16231854225</v>
      </c>
      <c r="O59" s="2">
        <v>521.90609177343</v>
      </c>
    </row>
    <row r="60" spans="1:15">
      <c r="A60" s="2">
        <v>11.006684939098</v>
      </c>
      <c r="B60" s="2">
        <v>0.031633734698865</v>
      </c>
      <c r="C60" s="2">
        <v>90.262276197474</v>
      </c>
      <c r="D60" s="2">
        <v>0.0335097832446</v>
      </c>
      <c r="E60" s="2">
        <v>6.1508715175774</v>
      </c>
      <c r="F60" s="2">
        <v>0.81811733222834</v>
      </c>
      <c r="G60" s="2">
        <v>21248814.028877</v>
      </c>
      <c r="H60" s="2">
        <v>35827308.956154</v>
      </c>
      <c r="I60" s="2">
        <v>-0.016702314202259</v>
      </c>
      <c r="J60" s="2">
        <v>-0.014738809786272</v>
      </c>
      <c r="K60" s="2">
        <v>0.032478193154578</v>
      </c>
      <c r="L60" s="2">
        <v>-0.30810363689801</v>
      </c>
      <c r="M60" s="2">
        <v>-0.3057259290245</v>
      </c>
      <c r="N60" s="2">
        <v>465.20893175471</v>
      </c>
      <c r="O60" s="2">
        <v>523.15565931488</v>
      </c>
    </row>
    <row r="61" spans="1:15">
      <c r="A61" s="2">
        <v>11.206684939098</v>
      </c>
      <c r="B61" s="2">
        <v>0.032238241292035</v>
      </c>
      <c r="C61" s="2">
        <v>90.261315006232</v>
      </c>
      <c r="D61" s="2">
        <v>0.034120614720533</v>
      </c>
      <c r="E61" s="2">
        <v>5.4527581515316</v>
      </c>
      <c r="F61" s="2">
        <v>0.81500173465365</v>
      </c>
      <c r="G61" s="2">
        <v>21369042.642204</v>
      </c>
      <c r="H61" s="2">
        <v>36531471.930617</v>
      </c>
      <c r="I61" s="2">
        <v>-0.01700842793185</v>
      </c>
      <c r="J61" s="2">
        <v>-0.015010851929704</v>
      </c>
      <c r="K61" s="2">
        <v>0.033058547851307</v>
      </c>
      <c r="L61" s="2">
        <v>-0.31359497065466</v>
      </c>
      <c r="M61" s="2">
        <v>-0.31111127519689</v>
      </c>
      <c r="N61" s="2">
        <v>466.25097466505</v>
      </c>
      <c r="O61" s="2">
        <v>524.39970784987</v>
      </c>
    </row>
    <row r="62" spans="1:15">
      <c r="A62" s="2">
        <v>11.406684939098</v>
      </c>
      <c r="B62" s="2">
        <v>0.032842730559082</v>
      </c>
      <c r="C62" s="2">
        <v>90.260355811089</v>
      </c>
      <c r="D62" s="2">
        <v>0.034731426763901</v>
      </c>
      <c r="E62" s="2">
        <v>5.4577740952004</v>
      </c>
      <c r="F62" s="2">
        <v>0.81189741938701</v>
      </c>
      <c r="G62" s="2">
        <v>21489824.626206</v>
      </c>
      <c r="H62" s="2">
        <v>37238138.077089</v>
      </c>
      <c r="I62" s="2">
        <v>-0.01731431971098</v>
      </c>
      <c r="J62" s="2">
        <v>-0.015282783733308</v>
      </c>
      <c r="K62" s="2">
        <v>0.033638560361244</v>
      </c>
      <c r="L62" s="2">
        <v>-0.31902893275618</v>
      </c>
      <c r="M62" s="2">
        <v>-0.31647758295163</v>
      </c>
      <c r="N62" s="2">
        <v>467.28866494374</v>
      </c>
      <c r="O62" s="2">
        <v>525.63853678244</v>
      </c>
    </row>
    <row r="63" spans="1:15">
      <c r="A63" s="2">
        <v>11.606684939098</v>
      </c>
      <c r="B63" s="2">
        <v>0.033447204759592</v>
      </c>
      <c r="C63" s="2">
        <v>90.259398039427</v>
      </c>
      <c r="D63" s="2">
        <v>0.035342221701141</v>
      </c>
      <c r="E63" s="2">
        <v>5.462793629772</v>
      </c>
      <c r="F63" s="2">
        <v>0.80880383104673</v>
      </c>
      <c r="G63" s="2">
        <v>21611153.693243</v>
      </c>
      <c r="H63" s="2">
        <v>37947274.769545</v>
      </c>
      <c r="I63" s="2">
        <v>-0.017619993374338</v>
      </c>
      <c r="J63" s="2">
        <v>-0.015554601334682</v>
      </c>
      <c r="K63" s="2">
        <v>0.034218231099209</v>
      </c>
      <c r="L63" s="2">
        <v>-0.32448573426799</v>
      </c>
      <c r="M63" s="2">
        <v>-0.3218403589326</v>
      </c>
      <c r="N63" s="2">
        <v>468.32227397852</v>
      </c>
      <c r="O63" s="2">
        <v>526.87254775253</v>
      </c>
    </row>
    <row r="64" spans="1:15">
      <c r="A64" s="2">
        <v>11.806684939098</v>
      </c>
      <c r="B64" s="2">
        <v>0.034051674182841</v>
      </c>
      <c r="C64" s="2">
        <v>90.258441366437</v>
      </c>
      <c r="D64" s="2">
        <v>0.035953002207853</v>
      </c>
      <c r="E64" s="2">
        <v>5.4678159001916</v>
      </c>
      <c r="F64" s="2">
        <v>0.80572146936183</v>
      </c>
      <c r="G64" s="2">
        <v>21733024.916377</v>
      </c>
      <c r="H64" s="2">
        <v>38658857.119815</v>
      </c>
      <c r="I64" s="2">
        <v>-0.017925451872747</v>
      </c>
      <c r="J64" s="2">
        <v>-0.015826305538422</v>
      </c>
      <c r="K64" s="2">
        <v>0.034797560437084</v>
      </c>
      <c r="L64" s="2">
        <v>-0.32996223773545</v>
      </c>
      <c r="M64" s="2">
        <v>-0.32723198881804</v>
      </c>
      <c r="N64" s="2">
        <v>469.35028039342</v>
      </c>
      <c r="O64" s="2">
        <v>528.10021798161</v>
      </c>
    </row>
    <row r="65" spans="1:15">
      <c r="A65" s="2">
        <v>12.006684939098</v>
      </c>
      <c r="B65" s="2">
        <v>0.034656136125482</v>
      </c>
      <c r="C65" s="2">
        <v>90.257486033335</v>
      </c>
      <c r="D65" s="2">
        <v>0.036563769994517</v>
      </c>
      <c r="E65" s="2">
        <v>5.4728406771481</v>
      </c>
      <c r="F65" s="2">
        <v>0.80264991702983</v>
      </c>
      <c r="G65" s="2">
        <v>21855431.191648</v>
      </c>
      <c r="H65" s="2">
        <v>39372847.53477</v>
      </c>
      <c r="I65" s="2">
        <v>-0.018230694710967</v>
      </c>
      <c r="J65" s="2">
        <v>-0.016097895434556</v>
      </c>
      <c r="K65" s="2">
        <v>0.035376548785143</v>
      </c>
      <c r="L65" s="2">
        <v>-0.33544658256778</v>
      </c>
      <c r="M65" s="2">
        <v>-0.33262339137713</v>
      </c>
      <c r="N65" s="2">
        <v>470.37348450314</v>
      </c>
      <c r="O65" s="2">
        <v>529.32243689582</v>
      </c>
    </row>
    <row r="66" spans="1:15">
      <c r="A66" s="2">
        <v>12.206684939098</v>
      </c>
      <c r="B66" s="2">
        <v>0.035260589507255</v>
      </c>
      <c r="C66" s="2">
        <v>90.256531959486</v>
      </c>
      <c r="D66" s="2">
        <v>0.037174526678782</v>
      </c>
      <c r="E66" s="2">
        <v>5.4778675685096</v>
      </c>
      <c r="F66" s="2">
        <v>0.79958897219172</v>
      </c>
      <c r="G66" s="2">
        <v>21978365.766437</v>
      </c>
      <c r="H66" s="2">
        <v>40089210.52058</v>
      </c>
      <c r="I66" s="2">
        <v>-0.018535722424491</v>
      </c>
      <c r="J66" s="2">
        <v>-0.016369369306851</v>
      </c>
      <c r="K66" s="2">
        <v>0.035955196540781</v>
      </c>
      <c r="L66" s="2">
        <v>-0.34092666086495</v>
      </c>
      <c r="M66" s="2">
        <v>-0.33803190510536</v>
      </c>
      <c r="N66" s="2">
        <v>471.39260303231</v>
      </c>
      <c r="O66" s="2">
        <v>530.53990454184</v>
      </c>
    </row>
    <row r="67" spans="1:15">
      <c r="A67" s="2">
        <v>12.406684939098</v>
      </c>
      <c r="B67" s="2">
        <v>0.035865037719219</v>
      </c>
      <c r="C67" s="2">
        <v>90.255579089344</v>
      </c>
      <c r="D67" s="2">
        <v>0.037785274604336</v>
      </c>
      <c r="E67" s="2">
        <v>5.4828957618573</v>
      </c>
      <c r="F67" s="2">
        <v>0.79653883480362</v>
      </c>
      <c r="G67" s="2">
        <v>22101822.248297</v>
      </c>
      <c r="H67" s="2">
        <v>40807912.580826</v>
      </c>
      <c r="I67" s="2">
        <v>-0.018840537884699</v>
      </c>
      <c r="J67" s="2">
        <v>-0.016640724629552</v>
      </c>
      <c r="K67" s="2">
        <v>0.036533504109657</v>
      </c>
      <c r="L67" s="2">
        <v>-0.34644545844646</v>
      </c>
      <c r="M67" s="2">
        <v>-0.34343465786258</v>
      </c>
      <c r="N67" s="2">
        <v>472.40768651267</v>
      </c>
      <c r="O67" s="2">
        <v>531.75287754535</v>
      </c>
    </row>
    <row r="68" spans="1:15">
      <c r="A68" s="2">
        <v>12.606684939098</v>
      </c>
      <c r="B68" s="2">
        <v>0.036469482011392</v>
      </c>
      <c r="C68" s="2">
        <v>90.254626847414</v>
      </c>
      <c r="D68" s="2">
        <v>0.038396014398051</v>
      </c>
      <c r="E68" s="2">
        <v>5.4879256475193</v>
      </c>
      <c r="F68" s="2">
        <v>0.7934992465083</v>
      </c>
      <c r="G68" s="2">
        <v>22225795.141167</v>
      </c>
      <c r="H68" s="2">
        <v>41528925.700313</v>
      </c>
      <c r="I68" s="2">
        <v>-0.019145139833914</v>
      </c>
      <c r="J68" s="2">
        <v>-0.016911963564801</v>
      </c>
      <c r="K68" s="2">
        <v>0.037111471867732</v>
      </c>
      <c r="L68" s="2">
        <v>-0.35195869883612</v>
      </c>
      <c r="M68" s="2">
        <v>-0.3488540462418</v>
      </c>
      <c r="N68" s="2">
        <v>473.4184790304</v>
      </c>
      <c r="O68" s="2">
        <v>532.96102237198</v>
      </c>
    </row>
    <row r="69" spans="1:15">
      <c r="A69" s="2">
        <v>12.806684939098</v>
      </c>
      <c r="B69" s="2">
        <v>0.037073921491474</v>
      </c>
      <c r="C69" s="2">
        <v>90.25367553951</v>
      </c>
      <c r="D69" s="2">
        <v>0.039006748529223</v>
      </c>
      <c r="E69" s="2">
        <v>5.4929568948334</v>
      </c>
      <c r="F69" s="2">
        <v>0.79047026937334</v>
      </c>
      <c r="G69" s="2">
        <v>22350277.788982</v>
      </c>
      <c r="H69" s="2">
        <v>42252214.820333</v>
      </c>
      <c r="I69" s="2">
        <v>-0.019449529956013</v>
      </c>
      <c r="J69" s="2">
        <v>-0.017183083841355</v>
      </c>
      <c r="K69" s="2">
        <v>0.037689100221069</v>
      </c>
      <c r="L69" s="2">
        <v>-0.3574792367774</v>
      </c>
      <c r="M69" s="2">
        <v>-0.35427620900837</v>
      </c>
      <c r="N69" s="2">
        <v>474.4254369637</v>
      </c>
      <c r="O69" s="2">
        <v>534.16480924073</v>
      </c>
    </row>
    <row r="70" spans="1:15">
      <c r="A70" s="2">
        <v>13.006684939098</v>
      </c>
      <c r="B70" s="2">
        <v>0.037678358884413</v>
      </c>
      <c r="C70" s="2">
        <v>90.25272510417</v>
      </c>
      <c r="D70" s="2">
        <v>0.039617478289506</v>
      </c>
      <c r="E70" s="2">
        <v>5.4979893696681</v>
      </c>
      <c r="F70" s="2">
        <v>0.78745165234126</v>
      </c>
      <c r="G70" s="2">
        <v>22475264.970146</v>
      </c>
      <c r="H70" s="2">
        <v>42977753.337533</v>
      </c>
      <c r="I70" s="2">
        <v>-0.019753709479241</v>
      </c>
      <c r="J70" s="2">
        <v>-0.01745408552437</v>
      </c>
      <c r="K70" s="2">
        <v>0.038266389613368</v>
      </c>
      <c r="L70" s="2">
        <v>-0.36301678551402</v>
      </c>
      <c r="M70" s="2">
        <v>-0.35971180637428</v>
      </c>
      <c r="N70" s="2">
        <v>475.4282219772</v>
      </c>
      <c r="O70" s="2">
        <v>535.36389290702</v>
      </c>
    </row>
    <row r="71" spans="1:15">
      <c r="A71" s="2">
        <v>13.206684939098</v>
      </c>
      <c r="B71" s="2">
        <v>0.038282799961983</v>
      </c>
      <c r="C71" s="2">
        <v>90.251775262995</v>
      </c>
      <c r="D71" s="2">
        <v>0.040228205889753</v>
      </c>
      <c r="E71" s="2">
        <v>5.5030221564024</v>
      </c>
      <c r="F71" s="2">
        <v>0.7844434344879</v>
      </c>
      <c r="G71" s="2">
        <v>22600751.335555</v>
      </c>
      <c r="H71" s="2">
        <v>43705514.027969</v>
      </c>
      <c r="I71" s="2">
        <v>-0.020057679798302</v>
      </c>
      <c r="J71" s="2">
        <v>-0.017724968140881</v>
      </c>
      <c r="K71" s="2">
        <v>0.038843340417532</v>
      </c>
      <c r="L71" s="2">
        <v>-0.36855832962481</v>
      </c>
      <c r="M71" s="2">
        <v>-0.36515200948157</v>
      </c>
      <c r="N71" s="2">
        <v>476.42650839965</v>
      </c>
      <c r="O71" s="2">
        <v>536.55809533249</v>
      </c>
    </row>
    <row r="72" spans="1:15">
      <c r="A72" s="2">
        <v>13.406684939098</v>
      </c>
      <c r="B72" s="2">
        <v>0.038887240580685</v>
      </c>
      <c r="C72" s="2">
        <v>90.250825539917</v>
      </c>
      <c r="D72" s="2">
        <v>0.040838932940505</v>
      </c>
      <c r="E72" s="2">
        <v>5.508055706952</v>
      </c>
      <c r="F72" s="2">
        <v>0.78144533482409</v>
      </c>
      <c r="G72" s="2">
        <v>22726730.206212</v>
      </c>
      <c r="H72" s="2">
        <v>44435461.704483</v>
      </c>
      <c r="I72" s="2">
        <v>-0.02036144137771</v>
      </c>
      <c r="J72" s="2">
        <v>-0.017995730212068</v>
      </c>
      <c r="K72" s="2">
        <v>0.039419953008448</v>
      </c>
      <c r="L72" s="2">
        <v>-0.37411636841541</v>
      </c>
      <c r="M72" s="2">
        <v>-0.3706085438203</v>
      </c>
      <c r="N72" s="2">
        <v>477.42101062744</v>
      </c>
      <c r="O72" s="2">
        <v>537.74801583233</v>
      </c>
    </row>
    <row r="73" spans="1:15">
      <c r="A73" s="2">
        <v>13.606684939098</v>
      </c>
      <c r="B73" s="2">
        <v>0.03949168554494</v>
      </c>
      <c r="C73" s="2">
        <v>90.249875826473</v>
      </c>
      <c r="D73" s="2">
        <v>0.041449660343721</v>
      </c>
      <c r="E73" s="2">
        <v>4.1068389548284</v>
      </c>
      <c r="F73" s="2">
        <v>0.77845739582324</v>
      </c>
      <c r="G73" s="2">
        <v>22853196.162058</v>
      </c>
      <c r="H73" s="2">
        <v>45167568.591662</v>
      </c>
      <c r="I73" s="2">
        <v>-0.020664995553094</v>
      </c>
      <c r="J73" s="2">
        <v>-0.018266371400401</v>
      </c>
      <c r="K73" s="2">
        <v>0.039996227819421</v>
      </c>
      <c r="L73" s="2">
        <v>-0.3796829095071</v>
      </c>
      <c r="M73" s="2">
        <v>-0.37606921480058</v>
      </c>
      <c r="N73" s="2">
        <v>478.41140883079</v>
      </c>
      <c r="O73" s="2">
        <v>538.93353755396</v>
      </c>
    </row>
    <row r="74" spans="1:15">
      <c r="A74" s="2">
        <v>13.806684939098</v>
      </c>
      <c r="B74" s="2">
        <v>0.04009613704833</v>
      </c>
      <c r="C74" s="2">
        <v>90.248926801447</v>
      </c>
      <c r="D74" s="2">
        <v>0.042060390861405</v>
      </c>
      <c r="E74" s="2">
        <v>4.1118718612888</v>
      </c>
      <c r="F74" s="2">
        <v>0.77547980239812</v>
      </c>
      <c r="G74" s="2">
        <v>22980143.984976</v>
      </c>
      <c r="H74" s="2">
        <v>45901808.088549</v>
      </c>
      <c r="I74" s="2">
        <v>-0.020968345230947</v>
      </c>
      <c r="J74" s="2">
        <v>-0.01853688958365</v>
      </c>
      <c r="K74" s="2">
        <v>0.040572165244408</v>
      </c>
      <c r="L74" s="2">
        <v>-0.38525854119222</v>
      </c>
      <c r="M74" s="2">
        <v>-0.38154136654099</v>
      </c>
      <c r="N74" s="2">
        <v>479.39754172367</v>
      </c>
      <c r="O74" s="2">
        <v>540.11436393372</v>
      </c>
    </row>
    <row r="75" spans="1:15">
      <c r="A75" s="2">
        <v>14.006684939098</v>
      </c>
      <c r="B75" s="2">
        <v>0.0407005952682</v>
      </c>
      <c r="C75" s="2">
        <v>90.247978290079</v>
      </c>
      <c r="D75" s="2">
        <v>0.042671125651167</v>
      </c>
      <c r="E75" s="2">
        <v>4.1169048259374</v>
      </c>
      <c r="F75" s="2">
        <v>0.77251233208654</v>
      </c>
      <c r="G75" s="2">
        <v>23107567.987882</v>
      </c>
      <c r="H75" s="2">
        <v>46638150.937558</v>
      </c>
      <c r="I75" s="2">
        <v>-0.021271491054865</v>
      </c>
      <c r="J75" s="2">
        <v>-0.018807283845284</v>
      </c>
      <c r="K75" s="2">
        <v>0.041147765665534</v>
      </c>
      <c r="L75" s="2">
        <v>-0.39085253229179</v>
      </c>
      <c r="M75" s="2">
        <v>-0.38702286594976</v>
      </c>
      <c r="N75" s="2">
        <v>480.37970827078</v>
      </c>
      <c r="O75" s="2">
        <v>541.29080260859</v>
      </c>
    </row>
    <row r="76" spans="1:15">
      <c r="A76" s="2">
        <v>14.206684939098</v>
      </c>
      <c r="B76" s="2">
        <v>0.041305059801113</v>
      </c>
      <c r="C76" s="2">
        <v>90.247029107991</v>
      </c>
      <c r="D76" s="2">
        <v>0.043281865120553</v>
      </c>
      <c r="E76" s="2">
        <v>4.1219373434958</v>
      </c>
      <c r="F76" s="2">
        <v>0.76955473650515</v>
      </c>
      <c r="G76" s="2">
        <v>23235462.114821</v>
      </c>
      <c r="H76" s="2">
        <v>47376565.674067</v>
      </c>
      <c r="I76" s="2">
        <v>-0.02157443240928</v>
      </c>
      <c r="J76" s="2">
        <v>-0.01907755429058</v>
      </c>
      <c r="K76" s="2">
        <v>0.041723029479288</v>
      </c>
      <c r="L76" s="2">
        <v>-0.39645396800791</v>
      </c>
      <c r="M76" s="2">
        <v>-0.39251978644822</v>
      </c>
      <c r="N76" s="2">
        <v>481.35833120351</v>
      </c>
      <c r="O76" s="2">
        <v>542.46341093585</v>
      </c>
    </row>
    <row r="77" spans="1:15">
      <c r="A77" s="2">
        <v>14.406684939098</v>
      </c>
      <c r="B77" s="2">
        <v>0.04190953552532</v>
      </c>
      <c r="C77" s="2">
        <v>90.246080182038</v>
      </c>
      <c r="D77" s="2">
        <v>0.043892612039613</v>
      </c>
      <c r="E77" s="2">
        <v>4.1269693688166</v>
      </c>
      <c r="F77" s="2">
        <v>0.76660702928246</v>
      </c>
      <c r="G77" s="2">
        <v>23363822.020397</v>
      </c>
      <c r="H77" s="2">
        <v>48117030.751333</v>
      </c>
      <c r="I77" s="2">
        <v>-0.021877171625899</v>
      </c>
      <c r="J77" s="2">
        <v>-0.019347701130039</v>
      </c>
      <c r="K77" s="2">
        <v>0.042297957089386</v>
      </c>
      <c r="L77" s="2">
        <v>-0.40219073698143</v>
      </c>
      <c r="M77" s="2">
        <v>-0.3981685947241</v>
      </c>
      <c r="N77" s="2">
        <v>482.33269491656</v>
      </c>
      <c r="O77" s="2">
        <v>543.63153046494</v>
      </c>
    </row>
    <row r="78" spans="1:15">
      <c r="A78" s="2">
        <v>14.606684939098</v>
      </c>
      <c r="B78" s="2">
        <v>0.042514019885979</v>
      </c>
      <c r="C78" s="2">
        <v>90.245131464373</v>
      </c>
      <c r="D78" s="2">
        <v>0.044503365826042</v>
      </c>
      <c r="E78" s="2">
        <v>4.1320013000331</v>
      </c>
      <c r="F78" s="2">
        <v>0.76366888098086</v>
      </c>
      <c r="G78" s="2">
        <v>23492641.63796</v>
      </c>
      <c r="H78" s="2">
        <v>48859514.649301</v>
      </c>
      <c r="I78" s="2">
        <v>-0.022179708715755</v>
      </c>
      <c r="J78" s="2">
        <v>-0.019617720760505</v>
      </c>
      <c r="K78" s="2">
        <v>0.042872548897232</v>
      </c>
      <c r="L78" s="2">
        <v>-0.40769570467998</v>
      </c>
      <c r="M78" s="2">
        <v>-0.40354920073287</v>
      </c>
      <c r="N78" s="2">
        <v>483.30379141263</v>
      </c>
      <c r="O78" s="2">
        <v>544.79580403354</v>
      </c>
    </row>
    <row r="79" spans="1:15">
      <c r="A79" s="2">
        <v>14.806684939098</v>
      </c>
      <c r="B79" s="2">
        <v>0.043118515509653</v>
      </c>
      <c r="C79" s="2">
        <v>90.244182348317</v>
      </c>
      <c r="D79" s="2">
        <v>0.045114129748043</v>
      </c>
      <c r="E79" s="2">
        <v>4.137032676876</v>
      </c>
      <c r="F79" s="2">
        <v>0.76074016821907</v>
      </c>
      <c r="G79" s="2">
        <v>23621915.959514</v>
      </c>
      <c r="H79" s="2">
        <v>49603991.920692</v>
      </c>
      <c r="I79" s="2">
        <v>-0.022482044532948</v>
      </c>
      <c r="J79" s="2">
        <v>-0.019887616197091</v>
      </c>
      <c r="K79" s="2">
        <v>0.04344680529587</v>
      </c>
      <c r="L79" s="2">
        <v>-0.41332808665578</v>
      </c>
      <c r="M79" s="2">
        <v>-0.40906434554907</v>
      </c>
      <c r="N79" s="2">
        <v>484.27086291091</v>
      </c>
      <c r="O79" s="2">
        <v>545.9557695019</v>
      </c>
    </row>
    <row r="80" spans="1:15">
      <c r="A80" s="2">
        <v>15.006684939098</v>
      </c>
      <c r="B80" s="2">
        <v>0.043723025068447</v>
      </c>
      <c r="C80" s="2">
        <v>90.243233559562</v>
      </c>
      <c r="D80" s="2">
        <v>0.045724904810868</v>
      </c>
      <c r="E80" s="2">
        <v>4.1420630802276</v>
      </c>
      <c r="F80" s="2">
        <v>0.75782105041447</v>
      </c>
      <c r="G80" s="2">
        <v>23751639.849605</v>
      </c>
      <c r="H80" s="2">
        <v>50350436.424245</v>
      </c>
      <c r="I80" s="2">
        <v>-0.0227841804982</v>
      </c>
      <c r="J80" s="2">
        <v>-0.020157385138846</v>
      </c>
      <c r="K80" s="2">
        <v>0.044020726679337</v>
      </c>
      <c r="L80" s="2">
        <v>-0.4189793651066</v>
      </c>
      <c r="M80" s="2">
        <v>-0.41460312020822</v>
      </c>
      <c r="N80" s="2">
        <v>485.23421954878</v>
      </c>
      <c r="O80" s="2">
        <v>547.11170968131</v>
      </c>
    </row>
    <row r="81" spans="1:15">
      <c r="A81" s="2">
        <v>15.206684939098</v>
      </c>
      <c r="B81" s="2">
        <v>0.044327548949201</v>
      </c>
      <c r="C81" s="2">
        <v>90.242284474366</v>
      </c>
      <c r="D81" s="2">
        <v>0.046335692708006</v>
      </c>
      <c r="E81" s="2">
        <v>4.1470924498147</v>
      </c>
      <c r="F81" s="2">
        <v>0.75491164464246</v>
      </c>
      <c r="G81" s="2">
        <v>23881808.019563</v>
      </c>
      <c r="H81" s="2">
        <v>51098820.969914</v>
      </c>
      <c r="I81" s="2">
        <v>-0.023086117400526</v>
      </c>
      <c r="J81" s="2">
        <v>-0.020427028256636</v>
      </c>
      <c r="K81" s="2">
        <v>0.044594313433843</v>
      </c>
      <c r="L81" s="2">
        <v>-0.42468649297307</v>
      </c>
      <c r="M81" s="2">
        <v>-0.42019816576389</v>
      </c>
      <c r="N81" s="2">
        <v>486.19349961541</v>
      </c>
      <c r="O81" s="2">
        <v>548.26329193186</v>
      </c>
    </row>
    <row r="82" spans="1:15">
      <c r="A82" s="2">
        <v>15.406684939098</v>
      </c>
      <c r="B82" s="2">
        <v>0.044932082981498</v>
      </c>
      <c r="C82" s="2">
        <v>90.241335492995</v>
      </c>
      <c r="D82" s="2">
        <v>0.046946493189036</v>
      </c>
      <c r="E82" s="2">
        <v>4.1521214304037</v>
      </c>
      <c r="F82" s="2">
        <v>0.75201216280503</v>
      </c>
      <c r="G82" s="2">
        <v>24012414.359257</v>
      </c>
      <c r="H82" s="2">
        <v>51849113.794902</v>
      </c>
      <c r="I82" s="2">
        <v>-0.023387852374436</v>
      </c>
      <c r="J82" s="2">
        <v>-0.020696545827853</v>
      </c>
      <c r="K82" s="2">
        <v>0.045167565978878</v>
      </c>
      <c r="L82" s="2">
        <v>-0.43032142478608</v>
      </c>
      <c r="M82" s="2">
        <v>-0.42571532884349</v>
      </c>
      <c r="N82" s="2">
        <v>487.14982597599</v>
      </c>
      <c r="O82" s="2">
        <v>549.41159598771</v>
      </c>
    </row>
    <row r="83" spans="1:15">
      <c r="A83" s="2">
        <v>15.606684939098</v>
      </c>
      <c r="B83" s="2">
        <v>0.045536637567083</v>
      </c>
      <c r="C83" s="2">
        <v>90.240386143195</v>
      </c>
      <c r="D83" s="2">
        <v>0.047557309338144</v>
      </c>
      <c r="E83" s="2">
        <v>4.157148674251</v>
      </c>
      <c r="F83" s="2">
        <v>0.74912171027376</v>
      </c>
      <c r="G83" s="2">
        <v>24143455.304883</v>
      </c>
      <c r="H83" s="2">
        <v>52601297.736539</v>
      </c>
      <c r="I83" s="2">
        <v>-0.023689390078473</v>
      </c>
      <c r="J83" s="2">
        <v>-0.020965936400406</v>
      </c>
      <c r="K83" s="2">
        <v>0.045740484686665</v>
      </c>
      <c r="L83" s="2">
        <v>-0.43601031062718</v>
      </c>
      <c r="M83" s="2">
        <v>-0.43128942105578</v>
      </c>
      <c r="N83" s="2">
        <v>488.10207587916</v>
      </c>
      <c r="O83" s="2">
        <v>550.55557982508</v>
      </c>
    </row>
    <row r="84" spans="1:15">
      <c r="A84" s="2">
        <v>15.806684939098</v>
      </c>
      <c r="B84" s="2">
        <v>0.046141209277411</v>
      </c>
      <c r="C84" s="2">
        <v>90.239436878415</v>
      </c>
      <c r="D84" s="2">
        <v>0.04816814131233</v>
      </c>
      <c r="E84" s="2">
        <v>4.1621746522219</v>
      </c>
      <c r="F84" s="2">
        <v>0.74624068107234</v>
      </c>
      <c r="G84" s="2">
        <v>24274925.271203</v>
      </c>
      <c r="H84" s="2">
        <v>53355344.164733</v>
      </c>
      <c r="I84" s="2">
        <v>-0.023990730445276</v>
      </c>
      <c r="J84" s="2">
        <v>-0.021235198713613</v>
      </c>
      <c r="K84" s="2">
        <v>0.046313069954554</v>
      </c>
      <c r="L84" s="2">
        <v>-0.44171484820967</v>
      </c>
      <c r="M84" s="2">
        <v>-0.43687751351542</v>
      </c>
      <c r="N84" s="2">
        <v>489.0509793963</v>
      </c>
      <c r="O84" s="2">
        <v>551.69588173865</v>
      </c>
    </row>
    <row r="85" spans="1:15">
      <c r="A85" s="2">
        <v>16.006684939098</v>
      </c>
      <c r="B85" s="2">
        <v>0.046745798899766</v>
      </c>
      <c r="C85" s="2">
        <v>90.238487325599</v>
      </c>
      <c r="D85" s="2">
        <v>0.048778990174281</v>
      </c>
      <c r="E85" s="2">
        <v>4.1671991033844</v>
      </c>
      <c r="F85" s="2">
        <v>0.743368565891</v>
      </c>
      <c r="G85" s="2">
        <v>24406819.199684</v>
      </c>
      <c r="H85" s="2">
        <v>54111227.263456</v>
      </c>
      <c r="I85" s="2">
        <v>-0.024291874030236</v>
      </c>
      <c r="J85" s="2">
        <v>-0.021504332792595</v>
      </c>
      <c r="K85" s="2">
        <v>0.04688532218658</v>
      </c>
      <c r="L85" s="2">
        <v>-0.44743072838333</v>
      </c>
      <c r="M85" s="2">
        <v>-0.44247311453926</v>
      </c>
      <c r="N85" s="2">
        <v>489.99646481856</v>
      </c>
      <c r="O85" s="2">
        <v>552.83254857855</v>
      </c>
    </row>
    <row r="86" spans="1:15">
      <c r="A86" s="2">
        <v>16.206684939098</v>
      </c>
      <c r="B86" s="2">
        <v>0.047350408207746</v>
      </c>
      <c r="C86" s="2">
        <v>90.237537681476</v>
      </c>
      <c r="D86" s="2">
        <v>0.049389858053796</v>
      </c>
      <c r="E86" s="2">
        <v>4.1722219020617</v>
      </c>
      <c r="F86" s="2">
        <v>0.74050565055711</v>
      </c>
      <c r="G86" s="2">
        <v>24539132.264002</v>
      </c>
      <c r="H86" s="2">
        <v>54868922.576404</v>
      </c>
      <c r="I86" s="2">
        <v>-0.024592820275984</v>
      </c>
      <c r="J86" s="2">
        <v>-0.021773339841929</v>
      </c>
      <c r="K86" s="2">
        <v>0.047457241774726</v>
      </c>
      <c r="L86" s="2">
        <v>-0.45315536213811</v>
      </c>
      <c r="M86" s="2">
        <v>-0.44807454672992</v>
      </c>
      <c r="N86" s="2">
        <v>490.9384148648</v>
      </c>
      <c r="O86" s="2">
        <v>553.96544903448</v>
      </c>
    </row>
    <row r="87" spans="1:15">
      <c r="A87" s="2">
        <v>16.406684939098</v>
      </c>
      <c r="B87" s="2">
        <v>0.047955039797095</v>
      </c>
      <c r="C87" s="2">
        <v>90.236587906951</v>
      </c>
      <c r="D87" s="2">
        <v>0.050000745788729</v>
      </c>
      <c r="E87" s="2">
        <v>4.1772432291062</v>
      </c>
      <c r="F87" s="2">
        <v>0.73765170599356</v>
      </c>
      <c r="G87" s="2">
        <v>24671860.17506</v>
      </c>
      <c r="H87" s="2">
        <v>55628408.726101</v>
      </c>
      <c r="I87" s="2">
        <v>-0.024893569987424</v>
      </c>
      <c r="J87" s="2">
        <v>-0.022042219981011</v>
      </c>
      <c r="K87" s="2">
        <v>0.048028829102257</v>
      </c>
      <c r="L87" s="2">
        <v>-0.45890270027215</v>
      </c>
      <c r="M87" s="2">
        <v>-0.45370899650779</v>
      </c>
      <c r="N87" s="2">
        <v>491.87662385759</v>
      </c>
      <c r="O87" s="2">
        <v>555.09434592905</v>
      </c>
    </row>
    <row r="88" spans="1:15">
      <c r="A88" s="2">
        <v>16.606684939098</v>
      </c>
      <c r="B88" s="2">
        <v>0.048559691443333</v>
      </c>
      <c r="C88" s="2">
        <v>90.2356383817</v>
      </c>
      <c r="D88" s="2">
        <v>0.050611654287846</v>
      </c>
      <c r="E88" s="2">
        <v>4.1822633699828</v>
      </c>
      <c r="F88" s="2">
        <v>0.73480684561107</v>
      </c>
      <c r="G88" s="2">
        <v>24804997.546568</v>
      </c>
      <c r="H88" s="2">
        <v>56389658.118672</v>
      </c>
      <c r="I88" s="2">
        <v>-0.025194123512545</v>
      </c>
      <c r="J88" s="2">
        <v>-0.022310971965623</v>
      </c>
      <c r="K88" s="2">
        <v>0.048600084562436</v>
      </c>
      <c r="L88" s="2">
        <v>-0.46465928724896</v>
      </c>
      <c r="M88" s="2">
        <v>-0.45934957112097</v>
      </c>
      <c r="N88" s="2">
        <v>492.81163604047</v>
      </c>
      <c r="O88" s="2">
        <v>556.2197835822</v>
      </c>
    </row>
    <row r="89" spans="1:15">
      <c r="A89" s="2">
        <v>16.806684939098</v>
      </c>
      <c r="B89" s="2">
        <v>0.049164366469417</v>
      </c>
      <c r="C89" s="2">
        <v>90.234688833885</v>
      </c>
      <c r="D89" s="2">
        <v>0.051222584556013</v>
      </c>
      <c r="E89" s="2">
        <v>4.1872821333064</v>
      </c>
      <c r="F89" s="2">
        <v>0.73197065696963</v>
      </c>
      <c r="G89" s="2">
        <v>24938540.006382</v>
      </c>
      <c r="H89" s="2">
        <v>57152648.918313</v>
      </c>
      <c r="I89" s="2">
        <v>-0.025494482157035</v>
      </c>
      <c r="J89" s="2">
        <v>-0.022579595520967</v>
      </c>
      <c r="K89" s="2">
        <v>0.049171008573616</v>
      </c>
      <c r="L89" s="2">
        <v>-0.47043336800262</v>
      </c>
      <c r="M89" s="2">
        <v>-0.4649984590767</v>
      </c>
      <c r="N89" s="2">
        <v>493.74318169261</v>
      </c>
      <c r="O89" s="2">
        <v>557.34159421376</v>
      </c>
    </row>
    <row r="90" spans="1:15">
      <c r="A90" s="2">
        <v>17</v>
      </c>
      <c r="B90" s="2">
        <v>0.049748722450891</v>
      </c>
      <c r="C90" s="2">
        <v>90.23377577495</v>
      </c>
      <c r="D90" s="2">
        <v>0.05181310365116</v>
      </c>
      <c r="E90" s="2">
        <v>4.192130573448</v>
      </c>
      <c r="F90" s="2">
        <v>0.72923792674995</v>
      </c>
      <c r="G90" s="2">
        <v>25067971.296861</v>
      </c>
      <c r="H90" s="2">
        <v>57891607.824899</v>
      </c>
      <c r="I90" s="2">
        <v>-0.025784590679265</v>
      </c>
      <c r="J90" s="2">
        <v>-0.022839096086477</v>
      </c>
      <c r="K90" s="2">
        <v>0.04972253503249</v>
      </c>
      <c r="L90" s="2">
        <v>-0.47548265176208</v>
      </c>
      <c r="M90" s="2">
        <v>-0.4697765551523</v>
      </c>
      <c r="N90" s="2">
        <v>494.66192045433</v>
      </c>
      <c r="O90" s="2">
        <v>558.44564421958</v>
      </c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workbookViewId="0">
      <selection activeCell="A1" sqref="A1:O90"/>
    </sheetView>
  </sheetViews>
  <sheetFormatPr defaultColWidth="8.81333333333333" defaultRowHeight="15"/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8.0905728566801e-29</v>
      </c>
      <c r="C3" s="2">
        <v>90.287236406764</v>
      </c>
      <c r="D3" s="3">
        <v>6.9743105048139e-6</v>
      </c>
      <c r="E3" s="2">
        <v>6.6107830567379</v>
      </c>
      <c r="F3" s="2">
        <v>0.99204042945801</v>
      </c>
      <c r="G3" s="2">
        <v>16000000</v>
      </c>
      <c r="H3" s="2">
        <v>4000000</v>
      </c>
      <c r="I3" s="3">
        <v>-2.1003961805464e-6</v>
      </c>
      <c r="J3" s="3">
        <v>-1.8889890571852e-6</v>
      </c>
      <c r="K3" s="3">
        <v>7.7492131440854e-6</v>
      </c>
      <c r="L3" s="3">
        <v>-1.3810268189852e-7</v>
      </c>
      <c r="M3" s="3">
        <v>-1.3994047592647e-7</v>
      </c>
      <c r="N3" s="2">
        <v>1.657021400466</v>
      </c>
      <c r="O3" s="2">
        <v>1.7619505473485</v>
      </c>
    </row>
    <row r="4" spans="1:15">
      <c r="A4" s="2">
        <v>0.018444056862426</v>
      </c>
      <c r="B4" s="3">
        <v>1.4716739026031e-25</v>
      </c>
      <c r="C4" s="2">
        <v>90.287538230923</v>
      </c>
      <c r="D4" s="3">
        <v>4.9800628532518e-5</v>
      </c>
      <c r="E4" s="2">
        <v>6.6107941274065</v>
      </c>
      <c r="F4" s="2">
        <v>0.9920967856466</v>
      </c>
      <c r="G4" s="2">
        <v>16000000</v>
      </c>
      <c r="H4" s="2">
        <v>4000000</v>
      </c>
      <c r="I4" s="3">
        <v>-1.4999733878588e-5</v>
      </c>
      <c r="J4" s="3">
        <v>-1.3490019458852e-5</v>
      </c>
      <c r="K4" s="3">
        <v>5.533061069227e-5</v>
      </c>
      <c r="L4" s="3">
        <v>-7.0372632280817e-6</v>
      </c>
      <c r="M4" s="3">
        <v>-7.1315427778589e-6</v>
      </c>
      <c r="N4" s="2">
        <v>11.834825957964</v>
      </c>
      <c r="O4" s="2">
        <v>12.583992571095</v>
      </c>
    </row>
    <row r="5" spans="1:15">
      <c r="A5" s="2">
        <v>0.1</v>
      </c>
      <c r="B5" s="3">
        <v>1.141068755891e-18</v>
      </c>
      <c r="C5" s="2">
        <v>90.289133009428</v>
      </c>
      <c r="D5" s="2">
        <v>0.0002700612995037</v>
      </c>
      <c r="E5" s="2">
        <v>6.6108503249645</v>
      </c>
      <c r="F5" s="2">
        <v>0.99238631746587</v>
      </c>
      <c r="G5" s="2">
        <v>16000000</v>
      </c>
      <c r="H5" s="2">
        <v>4000000</v>
      </c>
      <c r="I5" s="3">
        <v>-8.1395999478321e-5</v>
      </c>
      <c r="J5" s="3">
        <v>-7.320429493216e-5</v>
      </c>
      <c r="K5" s="2">
        <v>0.00029995415291108</v>
      </c>
      <c r="L5" s="2">
        <v>-0.00020530870902837</v>
      </c>
      <c r="M5" s="2">
        <v>-0.00020825208860956</v>
      </c>
      <c r="N5" s="2">
        <v>64.264346019855</v>
      </c>
      <c r="O5" s="2">
        <v>68.324450066235</v>
      </c>
    </row>
    <row r="6" spans="1:15">
      <c r="A6" s="2">
        <v>0.20668493909835</v>
      </c>
      <c r="B6" s="3">
        <v>1.0037432741851e-13</v>
      </c>
      <c r="C6" s="2">
        <v>90.291336849781</v>
      </c>
      <c r="D6" s="2">
        <v>0.00055830784327831</v>
      </c>
      <c r="E6" s="2">
        <v>6.6109222538493</v>
      </c>
      <c r="F6" s="2">
        <v>0.99276446185897</v>
      </c>
      <c r="G6" s="2">
        <v>16000000.000009</v>
      </c>
      <c r="H6" s="2">
        <v>4000000.0000591</v>
      </c>
      <c r="I6" s="2">
        <v>-0.00016840162042622</v>
      </c>
      <c r="J6" s="2">
        <v>-0.00015145553663859</v>
      </c>
      <c r="K6" s="2">
        <v>0.00061985900865864</v>
      </c>
      <c r="L6" s="2">
        <v>-0.00088064385635189</v>
      </c>
      <c r="M6" s="2">
        <v>-0.00089308229179173</v>
      </c>
      <c r="N6" s="2">
        <v>133.064192804</v>
      </c>
      <c r="O6" s="2">
        <v>141.45113211777</v>
      </c>
    </row>
    <row r="7" spans="1:15">
      <c r="A7" s="2">
        <v>0.40668493909835</v>
      </c>
      <c r="B7" s="3">
        <v>7.4034848422655e-8</v>
      </c>
      <c r="C7" s="2">
        <v>90.295892109044</v>
      </c>
      <c r="D7" s="2">
        <v>0.0010990914108377</v>
      </c>
      <c r="E7" s="2">
        <v>6.6110523698176</v>
      </c>
      <c r="F7" s="2">
        <v>0.99347070798137</v>
      </c>
      <c r="G7" s="2">
        <v>16000006.528804</v>
      </c>
      <c r="H7" s="2">
        <v>4000041.8076252</v>
      </c>
      <c r="I7" s="2">
        <v>-0.00033208385507755</v>
      </c>
      <c r="J7" s="2">
        <v>-0.00029866676714996</v>
      </c>
      <c r="K7" s="2">
        <v>0.0012192970249764</v>
      </c>
      <c r="L7" s="2">
        <v>-0.0034061387578328</v>
      </c>
      <c r="M7" s="2">
        <v>-0.003457309222738</v>
      </c>
      <c r="N7" s="2">
        <v>262.79697629922</v>
      </c>
      <c r="O7" s="2">
        <v>279.28261529586</v>
      </c>
    </row>
    <row r="8" spans="1:15">
      <c r="A8" s="2">
        <v>0.60668493909835</v>
      </c>
      <c r="B8" s="2">
        <v>0.00010158375003655</v>
      </c>
      <c r="C8" s="2">
        <v>90.300219088213</v>
      </c>
      <c r="D8" s="2">
        <v>0.0016527390234107</v>
      </c>
      <c r="E8" s="2">
        <v>6.6124279241808</v>
      </c>
      <c r="F8" s="2">
        <v>0.99376907616819</v>
      </c>
      <c r="G8" s="2">
        <v>16009324.55357</v>
      </c>
      <c r="H8" s="2">
        <v>4059677.6072857</v>
      </c>
      <c r="I8" s="2">
        <v>-0.00052038846955685</v>
      </c>
      <c r="J8" s="2">
        <v>-0.00046474654719999</v>
      </c>
      <c r="K8" s="2">
        <v>0.0018183686577031</v>
      </c>
      <c r="L8" s="2">
        <v>-0.011024746437743</v>
      </c>
      <c r="M8" s="2">
        <v>-0.010896550042018</v>
      </c>
      <c r="N8" s="2">
        <v>374.30741911937</v>
      </c>
      <c r="O8" s="2">
        <v>398.90493271431</v>
      </c>
    </row>
    <row r="9" spans="1:15">
      <c r="A9" s="2">
        <v>0.80668493909835</v>
      </c>
      <c r="B9" s="2">
        <v>0.00060517369391234</v>
      </c>
      <c r="C9" s="2">
        <v>90.302893460684</v>
      </c>
      <c r="D9" s="2">
        <v>0.0022458451066312</v>
      </c>
      <c r="E9" s="2">
        <v>6.617809869747</v>
      </c>
      <c r="F9" s="2">
        <v>0.99247291025151</v>
      </c>
      <c r="G9" s="2">
        <v>16058716.929144</v>
      </c>
      <c r="H9" s="2">
        <v>4375336.5532329</v>
      </c>
      <c r="I9" s="2">
        <v>-0.00079422067124984</v>
      </c>
      <c r="J9" s="2">
        <v>-0.00070819296729244</v>
      </c>
      <c r="K9" s="2">
        <v>0.0024170749634251</v>
      </c>
      <c r="L9" s="2">
        <v>-0.017323648990546</v>
      </c>
      <c r="M9" s="2">
        <v>-0.016870037643654</v>
      </c>
      <c r="N9" s="2">
        <v>411.99299696801</v>
      </c>
      <c r="O9" s="2">
        <v>443.65959229061</v>
      </c>
    </row>
    <row r="10" spans="1:15">
      <c r="A10" s="2">
        <v>1.0066849390983</v>
      </c>
      <c r="B10" s="2">
        <v>0.0012128310500262</v>
      </c>
      <c r="C10" s="2">
        <v>90.306571275126</v>
      </c>
      <c r="D10" s="2">
        <v>0.0028511900976703</v>
      </c>
      <c r="E10" s="2">
        <v>6.622034246512</v>
      </c>
      <c r="F10" s="2">
        <v>0.99019830793237</v>
      </c>
      <c r="G10" s="2">
        <v>16123862.989443</v>
      </c>
      <c r="H10" s="2">
        <v>4790734.3934839</v>
      </c>
      <c r="I10" s="2">
        <v>-0.0010927743229531</v>
      </c>
      <c r="J10" s="2">
        <v>-0.00097599427655021</v>
      </c>
      <c r="K10" s="2">
        <v>0.0030154173936293</v>
      </c>
      <c r="L10" s="2">
        <v>-0.020123769781659</v>
      </c>
      <c r="M10" s="2">
        <v>-0.019650920594548</v>
      </c>
      <c r="N10" s="2">
        <v>427.00522127512</v>
      </c>
      <c r="O10" s="2">
        <v>464.41427912257</v>
      </c>
    </row>
    <row r="11" spans="1:15">
      <c r="A11" s="2">
        <v>1.2066849390983</v>
      </c>
      <c r="B11" s="2">
        <v>0.0018273868551374</v>
      </c>
      <c r="C11" s="2">
        <v>90.308852660735</v>
      </c>
      <c r="D11" s="2">
        <v>0.0034630381300572</v>
      </c>
      <c r="E11" s="2">
        <v>6.6258224707607</v>
      </c>
      <c r="F11" s="2">
        <v>0.98675680233906</v>
      </c>
      <c r="G11" s="2">
        <v>16195422.006192</v>
      </c>
      <c r="H11" s="2">
        <v>5245914.1189434</v>
      </c>
      <c r="I11" s="2">
        <v>-0.0013987950057687</v>
      </c>
      <c r="J11" s="2">
        <v>-0.0012495580856607</v>
      </c>
      <c r="K11" s="2">
        <v>0.0036133940481617</v>
      </c>
      <c r="L11" s="2">
        <v>-0.02873688229663</v>
      </c>
      <c r="M11" s="2">
        <v>-0.028794124196898</v>
      </c>
      <c r="N11" s="2">
        <v>435.76204941164</v>
      </c>
      <c r="O11" s="2">
        <v>477.45756418837</v>
      </c>
    </row>
    <row r="12" spans="1:15">
      <c r="A12" s="2">
        <v>1.4066849390983</v>
      </c>
      <c r="B12" s="2">
        <v>0.0024380332251076</v>
      </c>
      <c r="C12" s="2">
        <v>90.309792251666</v>
      </c>
      <c r="D12" s="2">
        <v>0.0040778725828345</v>
      </c>
      <c r="E12" s="2">
        <v>6.6296813111649</v>
      </c>
      <c r="F12" s="2">
        <v>0.98293260589455</v>
      </c>
      <c r="G12" s="2">
        <v>16271302.848017</v>
      </c>
      <c r="H12" s="2">
        <v>5727408.1270945</v>
      </c>
      <c r="I12" s="2">
        <v>-0.0017085668396423</v>
      </c>
      <c r="J12" s="2">
        <v>-0.0015256294514866</v>
      </c>
      <c r="K12" s="2">
        <v>0.0042110059908855</v>
      </c>
      <c r="L12" s="2">
        <v>-0.038249989525701</v>
      </c>
      <c r="M12" s="2">
        <v>-0.038123608865548</v>
      </c>
      <c r="N12" s="2">
        <v>441.427848193</v>
      </c>
      <c r="O12" s="2">
        <v>486.08166858434</v>
      </c>
    </row>
    <row r="13" spans="1:15">
      <c r="A13" s="2">
        <v>1.6066849390983</v>
      </c>
      <c r="B13" s="2">
        <v>0.0030460116749226</v>
      </c>
      <c r="C13" s="2">
        <v>90.309908875446</v>
      </c>
      <c r="D13" s="2">
        <v>0.0046938533281136</v>
      </c>
      <c r="E13" s="2">
        <v>6.6336477371032</v>
      </c>
      <c r="F13" s="2">
        <v>0.97908859179972</v>
      </c>
      <c r="G13" s="2">
        <v>16350233.008588</v>
      </c>
      <c r="H13" s="2">
        <v>6227026.3071316</v>
      </c>
      <c r="I13" s="2">
        <v>-0.0020206631725313</v>
      </c>
      <c r="J13" s="2">
        <v>-0.0018024605223144</v>
      </c>
      <c r="K13" s="2">
        <v>0.0048082544457059</v>
      </c>
      <c r="L13" s="2">
        <v>-0.045170721494725</v>
      </c>
      <c r="M13" s="2">
        <v>-0.04553003003805</v>
      </c>
      <c r="N13" s="2">
        <v>445.45235942275</v>
      </c>
      <c r="O13" s="2">
        <v>492.14005404556</v>
      </c>
    </row>
    <row r="14" spans="1:15">
      <c r="A14" s="2">
        <v>1.8066849390983</v>
      </c>
      <c r="B14" s="2">
        <v>0.0036525772481769</v>
      </c>
      <c r="C14" s="2">
        <v>90.309537869052</v>
      </c>
      <c r="D14" s="2">
        <v>0.0053100917634719</v>
      </c>
      <c r="E14" s="2">
        <v>6.6377145476679</v>
      </c>
      <c r="F14" s="2">
        <v>0.97521967994877</v>
      </c>
      <c r="G14" s="2">
        <v>16431366.026011</v>
      </c>
      <c r="H14" s="2">
        <v>6739334.6568447</v>
      </c>
      <c r="I14" s="2">
        <v>-0.0023344348805304</v>
      </c>
      <c r="J14" s="2">
        <v>-0.0020790543083842</v>
      </c>
      <c r="K14" s="2">
        <v>0.0054051403159501</v>
      </c>
      <c r="L14" s="2">
        <v>-0.052173495040732</v>
      </c>
      <c r="M14" s="2">
        <v>-0.052937923863573</v>
      </c>
      <c r="N14" s="2">
        <v>448.61399115016</v>
      </c>
      <c r="O14" s="2">
        <v>496.78047539157</v>
      </c>
    </row>
    <row r="15" spans="1:15">
      <c r="A15" s="2">
        <v>2.0066849390983</v>
      </c>
      <c r="B15" s="2">
        <v>0.0042584732128469</v>
      </c>
      <c r="C15" s="2">
        <v>90.30886131446</v>
      </c>
      <c r="D15" s="2">
        <v>0.0059261802798299</v>
      </c>
      <c r="E15" s="2">
        <v>6.6418397298495</v>
      </c>
      <c r="F15" s="2">
        <v>0.97135585405446</v>
      </c>
      <c r="G15" s="2">
        <v>16514254.432689</v>
      </c>
      <c r="H15" s="2">
        <v>7261464.7769601</v>
      </c>
      <c r="I15" s="2">
        <v>-0.0026493630309874</v>
      </c>
      <c r="J15" s="2">
        <v>-0.0023551805352445</v>
      </c>
      <c r="K15" s="2">
        <v>0.0060016646870521</v>
      </c>
      <c r="L15" s="2">
        <v>-0.0595148332566</v>
      </c>
      <c r="M15" s="2">
        <v>-0.060447917937129</v>
      </c>
      <c r="N15" s="2">
        <v>451.26771572508</v>
      </c>
      <c r="O15" s="2">
        <v>500.58242829113</v>
      </c>
    </row>
    <row r="16" spans="1:15">
      <c r="A16" s="2">
        <v>2.2066849390983</v>
      </c>
      <c r="B16" s="2">
        <v>0.0048641517557825</v>
      </c>
      <c r="C16" s="2">
        <v>90.308013887554</v>
      </c>
      <c r="D16" s="2">
        <v>0.0065419658653365</v>
      </c>
      <c r="E16" s="2">
        <v>6.6459868734069</v>
      </c>
      <c r="F16" s="2">
        <v>0.9674984124818</v>
      </c>
      <c r="G16" s="2">
        <v>16598641.106286</v>
      </c>
      <c r="H16" s="2">
        <v>7791772.0751625</v>
      </c>
      <c r="I16" s="2">
        <v>-0.0029648518925288</v>
      </c>
      <c r="J16" s="2">
        <v>-0.002631046752047</v>
      </c>
      <c r="K16" s="2">
        <v>0.0065978282913045</v>
      </c>
      <c r="L16" s="2">
        <v>-0.066873629918441</v>
      </c>
      <c r="M16" s="2">
        <v>-0.067910088037906</v>
      </c>
      <c r="N16" s="2">
        <v>453.59739574754</v>
      </c>
      <c r="O16" s="2">
        <v>503.85718079682</v>
      </c>
    </row>
    <row r="17" spans="1:15">
      <c r="A17" s="2">
        <v>2.4066849390983</v>
      </c>
      <c r="B17" s="2">
        <v>0.0054697712930115</v>
      </c>
      <c r="C17" s="2">
        <v>90.307072649554</v>
      </c>
      <c r="D17" s="2">
        <v>0.0071574403401866</v>
      </c>
      <c r="E17" s="2">
        <v>6.650138957886</v>
      </c>
      <c r="F17" s="2">
        <v>0.96365682345692</v>
      </c>
      <c r="G17" s="2">
        <v>16684367.254772</v>
      </c>
      <c r="H17" s="2">
        <v>8329243.7935544</v>
      </c>
      <c r="I17" s="2">
        <v>-0.0032804756402172</v>
      </c>
      <c r="J17" s="2">
        <v>-0.0029068625228363</v>
      </c>
      <c r="K17" s="2">
        <v>0.0071936315176296</v>
      </c>
      <c r="L17" s="2">
        <v>-0.073967467036719</v>
      </c>
      <c r="M17" s="2">
        <v>-0.075155226974164</v>
      </c>
      <c r="N17" s="2">
        <v>455.70612877214</v>
      </c>
      <c r="O17" s="2">
        <v>506.76699176687</v>
      </c>
    </row>
    <row r="18" spans="1:15">
      <c r="A18" s="2">
        <v>2.6066849390983</v>
      </c>
      <c r="B18" s="2">
        <v>0.0060753843217315</v>
      </c>
      <c r="C18" s="2">
        <v>90.306084834682</v>
      </c>
      <c r="D18" s="2">
        <v>0.0077726448153142</v>
      </c>
      <c r="E18" s="2">
        <v>6.6542981371645</v>
      </c>
      <c r="F18" s="2">
        <v>0.95985099618014</v>
      </c>
      <c r="G18" s="2">
        <v>16771317.340911</v>
      </c>
      <c r="H18" s="2">
        <v>8873145.8294199</v>
      </c>
      <c r="I18" s="2">
        <v>-0.003595979789781</v>
      </c>
      <c r="J18" s="2">
        <v>-0.0031827458794094</v>
      </c>
      <c r="K18" s="2">
        <v>0.0077890747386943</v>
      </c>
      <c r="L18" s="2">
        <v>-0.080993713827048</v>
      </c>
      <c r="M18" s="2">
        <v>-0.082261320436104</v>
      </c>
      <c r="N18" s="2">
        <v>457.66044724805</v>
      </c>
      <c r="O18" s="2">
        <v>509.41060739435</v>
      </c>
    </row>
    <row r="19" spans="1:15">
      <c r="A19" s="2">
        <v>2.8066849390983</v>
      </c>
      <c r="B19" s="2">
        <v>0.0066810303464748</v>
      </c>
      <c r="C19" s="2">
        <v>90.305065511265</v>
      </c>
      <c r="D19" s="2">
        <v>0.0083876149003959</v>
      </c>
      <c r="E19" s="2">
        <v>6.6584761870183</v>
      </c>
      <c r="F19" s="2">
        <v>0.95608783133888</v>
      </c>
      <c r="G19" s="2">
        <v>16859401.450388</v>
      </c>
      <c r="H19" s="2">
        <v>9422909.4576459</v>
      </c>
      <c r="I19" s="2">
        <v>-0.0039112500113291</v>
      </c>
      <c r="J19" s="2">
        <v>-0.0034587259078533</v>
      </c>
      <c r="K19" s="2">
        <v>0.0083841583826903</v>
      </c>
      <c r="L19" s="2">
        <v>-0.08787975561976</v>
      </c>
      <c r="M19" s="2">
        <v>-0.08916376627976</v>
      </c>
      <c r="N19" s="2">
        <v>459.50256756732</v>
      </c>
      <c r="O19" s="2">
        <v>511.85552576119</v>
      </c>
    </row>
    <row r="20" spans="1:15">
      <c r="A20" s="2">
        <v>3.0066849390983</v>
      </c>
      <c r="B20" s="2">
        <v>0.0072867651171403</v>
      </c>
      <c r="C20" s="2">
        <v>90.304031220059</v>
      </c>
      <c r="D20" s="2">
        <v>0.009002390284722</v>
      </c>
      <c r="E20" s="2">
        <v>6.6626834557155</v>
      </c>
      <c r="F20" s="2">
        <v>0.95236610769958</v>
      </c>
      <c r="G20" s="2">
        <v>16948541.142211</v>
      </c>
      <c r="H20" s="2">
        <v>9978040.9347371</v>
      </c>
      <c r="I20" s="2">
        <v>-0.0042262433879954</v>
      </c>
      <c r="J20" s="2">
        <v>-0.0037347810817583</v>
      </c>
      <c r="K20" s="2">
        <v>0.0089788828180595</v>
      </c>
      <c r="L20" s="2">
        <v>-0.094667591825952</v>
      </c>
      <c r="M20" s="2">
        <v>-0.095910413509098</v>
      </c>
      <c r="N20" s="2">
        <v>461.26518800425</v>
      </c>
      <c r="O20" s="2">
        <v>514.160375384</v>
      </c>
    </row>
    <row r="21" spans="1:15">
      <c r="A21" s="2">
        <v>3.2066849390983</v>
      </c>
      <c r="B21" s="2">
        <v>0.0078926215623599</v>
      </c>
      <c r="C21" s="2">
        <v>90.302990001574</v>
      </c>
      <c r="D21" s="2">
        <v>0.0096170036166072</v>
      </c>
      <c r="E21" s="2">
        <v>6.6669256671737</v>
      </c>
      <c r="F21" s="2">
        <v>0.94868105584744</v>
      </c>
      <c r="G21" s="2">
        <v>17038677.84096</v>
      </c>
      <c r="H21" s="2">
        <v>10538173.937864</v>
      </c>
      <c r="I21" s="2">
        <v>-0.0045409599507392</v>
      </c>
      <c r="J21" s="2">
        <v>-0.0040108729071963</v>
      </c>
      <c r="K21" s="2">
        <v>0.0095732484373386</v>
      </c>
      <c r="L21" s="2">
        <v>-0.10135103046637</v>
      </c>
      <c r="M21" s="2">
        <v>-0.10258844267963</v>
      </c>
      <c r="N21" s="2">
        <v>462.96850076915</v>
      </c>
      <c r="O21" s="2">
        <v>516.36437074921</v>
      </c>
    </row>
    <row r="22" spans="1:15">
      <c r="A22" s="2">
        <v>3.4066849390983</v>
      </c>
      <c r="B22" s="2">
        <v>0.0084985753012526</v>
      </c>
      <c r="C22" s="2">
        <v>90.301945259647</v>
      </c>
      <c r="D22" s="2">
        <v>0.010231463928589</v>
      </c>
      <c r="E22" s="2">
        <v>6.6712060664952</v>
      </c>
      <c r="F22" s="2">
        <v>0.94502995647509</v>
      </c>
      <c r="G22" s="2">
        <v>17129773.014568</v>
      </c>
      <c r="H22" s="2">
        <v>11103070.213203</v>
      </c>
      <c r="I22" s="2">
        <v>-0.0048554160324723</v>
      </c>
      <c r="J22" s="2">
        <v>-0.0042869633059766</v>
      </c>
      <c r="K22" s="2">
        <v>0.010167255762251</v>
      </c>
      <c r="L22" s="2">
        <v>-0.10799258181466</v>
      </c>
      <c r="M22" s="2">
        <v>-0.10924197635012</v>
      </c>
      <c r="N22" s="2">
        <v>464.62416640265</v>
      </c>
      <c r="O22" s="2">
        <v>518.4881559525</v>
      </c>
    </row>
    <row r="23" spans="1:15">
      <c r="A23" s="2">
        <v>3.6066849390983</v>
      </c>
      <c r="B23" s="2">
        <v>0.0091045791950549</v>
      </c>
      <c r="C23" s="2">
        <v>90.300897997196</v>
      </c>
      <c r="D23" s="2">
        <v>0.010845766781226</v>
      </c>
      <c r="E23" s="2">
        <v>6.6755247050481</v>
      </c>
      <c r="F23" s="2">
        <v>0.94141183197036</v>
      </c>
      <c r="G23" s="2">
        <v>17221799.276362</v>
      </c>
      <c r="H23" s="2">
        <v>11672562.710105</v>
      </c>
      <c r="I23" s="2">
        <v>-0.0051696358870852</v>
      </c>
      <c r="J23" s="2">
        <v>-0.0045630159224982</v>
      </c>
      <c r="K23" s="2">
        <v>0.010760905375251</v>
      </c>
      <c r="L23" s="2">
        <v>-0.11466623888619</v>
      </c>
      <c r="M23" s="2">
        <v>-0.11584799764652</v>
      </c>
      <c r="N23" s="2">
        <v>466.23886782838</v>
      </c>
      <c r="O23" s="2">
        <v>520.54322637363</v>
      </c>
    </row>
    <row r="24" spans="1:15">
      <c r="A24" s="2">
        <v>3.8066849390983</v>
      </c>
      <c r="B24" s="2">
        <v>0.0097105723563373</v>
      </c>
      <c r="C24" s="2">
        <v>90.299847788275</v>
      </c>
      <c r="D24" s="2">
        <v>0.01145990367543</v>
      </c>
      <c r="E24" s="2">
        <v>6.6798815455717</v>
      </c>
      <c r="F24" s="2">
        <v>0.93782432941326</v>
      </c>
      <c r="G24" s="2">
        <v>17314732.026547</v>
      </c>
      <c r="H24" s="2">
        <v>12246502.883886</v>
      </c>
      <c r="I24" s="2">
        <v>-0.0054836525056025</v>
      </c>
      <c r="J24" s="2">
        <v>-0.0048389823851265</v>
      </c>
      <c r="K24" s="2">
        <v>0.011354197847619</v>
      </c>
      <c r="L24" s="2">
        <v>-0.12128029505098</v>
      </c>
      <c r="M24" s="2">
        <v>-0.12241356418199</v>
      </c>
      <c r="N24" s="2">
        <v>467.82051189022</v>
      </c>
      <c r="O24" s="2">
        <v>522.54138713219</v>
      </c>
    </row>
    <row r="25" spans="1:15">
      <c r="A25" s="2">
        <v>4.0066849390983</v>
      </c>
      <c r="B25" s="2">
        <v>0.010316518244774</v>
      </c>
      <c r="C25" s="2">
        <v>90.298793475672</v>
      </c>
      <c r="D25" s="2">
        <v>0.012073865252113</v>
      </c>
      <c r="E25" s="2">
        <v>6.6842750104938</v>
      </c>
      <c r="F25" s="2">
        <v>0.93426335038862</v>
      </c>
      <c r="G25" s="2">
        <v>17408555.169839</v>
      </c>
      <c r="H25" s="2">
        <v>12824795.936602</v>
      </c>
      <c r="I25" s="2">
        <v>-0.005797515610757</v>
      </c>
      <c r="J25" s="2">
        <v>-0.0051148098395065</v>
      </c>
      <c r="K25" s="2">
        <v>0.0119471337407</v>
      </c>
      <c r="L25" s="2">
        <v>-0.12786712617005</v>
      </c>
      <c r="M25" s="2">
        <v>-0.12893988360022</v>
      </c>
      <c r="N25" s="2">
        <v>469.37110548611</v>
      </c>
      <c r="O25" s="2">
        <v>524.48640319051</v>
      </c>
    </row>
    <row r="26" spans="1:15">
      <c r="A26" s="2">
        <v>4.2066849390983</v>
      </c>
      <c r="B26" s="2">
        <v>0.010922387099602</v>
      </c>
      <c r="C26" s="2">
        <v>90.297734475855</v>
      </c>
      <c r="D26" s="2">
        <v>0.012687643668699</v>
      </c>
      <c r="E26" s="2">
        <v>6.688700881526</v>
      </c>
      <c r="F26" s="2">
        <v>0.9307261683974</v>
      </c>
      <c r="G26" s="2">
        <v>17503253.441088</v>
      </c>
      <c r="H26" s="2">
        <v>13407352.542374</v>
      </c>
      <c r="I26" s="2">
        <v>-0.0061112556597978</v>
      </c>
      <c r="J26" s="2">
        <v>-0.0053904641206781</v>
      </c>
      <c r="K26" s="2">
        <v>0.012539713599232</v>
      </c>
      <c r="L26" s="2">
        <v>-0.13437421547753</v>
      </c>
      <c r="M26" s="2">
        <v>-0.13534985689922</v>
      </c>
      <c r="N26" s="2">
        <v>470.89269253866</v>
      </c>
      <c r="O26" s="2">
        <v>526.38221743492</v>
      </c>
    </row>
    <row r="27" spans="1:15">
      <c r="A27" s="2">
        <v>4.4066849390983</v>
      </c>
      <c r="B27" s="2">
        <v>0.011528182723373</v>
      </c>
      <c r="C27" s="2">
        <v>90.296671701132</v>
      </c>
      <c r="D27" s="2">
        <v>0.013301250238649</v>
      </c>
      <c r="E27" s="2">
        <v>6.693155583718</v>
      </c>
      <c r="F27" s="2">
        <v>0.92721179319981</v>
      </c>
      <c r="G27" s="2">
        <v>17598807.17549</v>
      </c>
      <c r="H27" s="2">
        <v>13994056.080061</v>
      </c>
      <c r="I27" s="2">
        <v>-0.0064248654937692</v>
      </c>
      <c r="J27" s="2">
        <v>-0.0056659433237824</v>
      </c>
      <c r="K27" s="2">
        <v>0.013131937838524</v>
      </c>
      <c r="L27" s="2">
        <v>-0.14083261737995</v>
      </c>
      <c r="M27" s="2">
        <v>-0.14171814607141</v>
      </c>
      <c r="N27" s="2">
        <v>472.38994284741</v>
      </c>
      <c r="O27" s="2">
        <v>528.23823855271</v>
      </c>
    </row>
    <row r="28" spans="1:15">
      <c r="A28" s="2">
        <v>4.6066849390983</v>
      </c>
      <c r="B28" s="2">
        <v>0.012133923539958</v>
      </c>
      <c r="C28" s="2">
        <v>90.295605135847</v>
      </c>
      <c r="D28" s="2">
        <v>0.013914704129375</v>
      </c>
      <c r="E28" s="2">
        <v>6.6976360925204</v>
      </c>
      <c r="F28" s="2">
        <v>0.92371891133166</v>
      </c>
      <c r="G28" s="2">
        <v>17695196.827579</v>
      </c>
      <c r="H28" s="2">
        <v>14584790.797089</v>
      </c>
      <c r="I28" s="2">
        <v>-0.0067383270249601</v>
      </c>
      <c r="J28" s="2">
        <v>-0.0059412600829058</v>
      </c>
      <c r="K28" s="2">
        <v>0.013723806774832</v>
      </c>
      <c r="L28" s="2">
        <v>-0.14727412863255</v>
      </c>
      <c r="M28" s="2">
        <v>-0.14806392549019</v>
      </c>
      <c r="N28" s="2">
        <v>473.86592789128</v>
      </c>
      <c r="O28" s="2">
        <v>530.06181424868</v>
      </c>
    </row>
    <row r="29" spans="1:15">
      <c r="A29" s="2">
        <v>4.8066849390983</v>
      </c>
      <c r="B29" s="2">
        <v>0.012739629683662</v>
      </c>
      <c r="C29" s="2">
        <v>90.294536148978</v>
      </c>
      <c r="D29" s="2">
        <v>0.01452802424489</v>
      </c>
      <c r="E29" s="2">
        <v>6.7021394861623</v>
      </c>
      <c r="F29" s="2">
        <v>0.92024600978927</v>
      </c>
      <c r="G29" s="2">
        <v>17792406.072415</v>
      </c>
      <c r="H29" s="2">
        <v>15179461.320559</v>
      </c>
      <c r="I29" s="2">
        <v>-0.0070516305643228</v>
      </c>
      <c r="J29" s="2">
        <v>-0.0062164205687506</v>
      </c>
      <c r="K29" s="2">
        <v>0.014315320716278</v>
      </c>
      <c r="L29" s="2">
        <v>-0.15366279411192</v>
      </c>
      <c r="M29" s="2">
        <v>-0.15437202944402</v>
      </c>
      <c r="N29" s="2">
        <v>475.32253489358</v>
      </c>
      <c r="O29" s="2">
        <v>531.85755363823</v>
      </c>
    </row>
    <row r="30" spans="1:15">
      <c r="A30" s="2">
        <v>5.0066849390983</v>
      </c>
      <c r="B30" s="2">
        <v>0.013345309037955</v>
      </c>
      <c r="C30" s="2">
        <v>90.293465510862</v>
      </c>
      <c r="D30" s="2">
        <v>0.01514122562005</v>
      </c>
      <c r="E30" s="2">
        <v>6.706663799412</v>
      </c>
      <c r="F30" s="2">
        <v>0.91679244302163</v>
      </c>
      <c r="G30" s="2">
        <v>17890419.358705</v>
      </c>
      <c r="H30" s="2">
        <v>15777977.530368</v>
      </c>
      <c r="I30" s="2">
        <v>-0.007364767636275</v>
      </c>
      <c r="J30" s="2">
        <v>-0.006491427961573</v>
      </c>
      <c r="K30" s="2">
        <v>0.014906479995175</v>
      </c>
      <c r="L30" s="2">
        <v>-0.16003343273978</v>
      </c>
      <c r="M30" s="2">
        <v>-0.16065978407592</v>
      </c>
      <c r="N30" s="2">
        <v>476.76249966251</v>
      </c>
      <c r="O30" s="2">
        <v>533.62970196809</v>
      </c>
    </row>
    <row r="31" spans="1:15">
      <c r="A31" s="2">
        <v>5.2066849390983</v>
      </c>
      <c r="B31" s="2">
        <v>0.013950959715314</v>
      </c>
      <c r="C31" s="2">
        <v>90.292393063257</v>
      </c>
      <c r="D31" s="2">
        <v>0.015754319305327</v>
      </c>
      <c r="E31" s="2">
        <v>6.7112078391114</v>
      </c>
      <c r="F31" s="2">
        <v>0.91335664156823</v>
      </c>
      <c r="G31" s="2">
        <v>17989222.598451</v>
      </c>
      <c r="H31" s="2">
        <v>16380258.505047</v>
      </c>
      <c r="I31" s="2">
        <v>-0.0076777380419098</v>
      </c>
      <c r="J31" s="2">
        <v>-0.0067662786593105</v>
      </c>
      <c r="K31" s="2">
        <v>0.015497284943965</v>
      </c>
      <c r="L31" s="2">
        <v>-0.16640139316819</v>
      </c>
      <c r="M31" s="2">
        <v>-0.16692136634227</v>
      </c>
      <c r="N31" s="2">
        <v>478.18791018709</v>
      </c>
      <c r="O31" s="2">
        <v>535.38110830318</v>
      </c>
    </row>
    <row r="32" spans="1:15">
      <c r="A32" s="2">
        <v>5.4066849390983</v>
      </c>
      <c r="B32" s="2">
        <v>0.014556593572788</v>
      </c>
      <c r="C32" s="2">
        <v>90.291319405199</v>
      </c>
      <c r="D32" s="2">
        <v>0.016367315963655</v>
      </c>
      <c r="E32" s="2">
        <v>6.7157696064826</v>
      </c>
      <c r="F32" s="2">
        <v>0.90993682343833</v>
      </c>
      <c r="G32" s="2">
        <v>18088805.217339</v>
      </c>
      <c r="H32" s="2">
        <v>16986245.124436</v>
      </c>
      <c r="I32" s="2">
        <v>-0.0079905400481654</v>
      </c>
      <c r="J32" s="2">
        <v>-0.0070409761739038</v>
      </c>
      <c r="K32" s="2">
        <v>0.016087735898563</v>
      </c>
      <c r="L32" s="2">
        <v>-0.1727014218068</v>
      </c>
      <c r="M32" s="2">
        <v>-0.17315786846878</v>
      </c>
      <c r="N32" s="2">
        <v>479.59799777589</v>
      </c>
      <c r="O32" s="2">
        <v>537.11081902177</v>
      </c>
    </row>
    <row r="33" spans="1:15">
      <c r="A33" s="2">
        <v>5.6066849390983</v>
      </c>
      <c r="B33" s="2">
        <v>0.015162198425828</v>
      </c>
      <c r="C33" s="2">
        <v>90.290244819944</v>
      </c>
      <c r="D33" s="2">
        <v>0.016980220852772</v>
      </c>
      <c r="E33" s="2">
        <v>6.7203482207281</v>
      </c>
      <c r="F33" s="2">
        <v>0.90653159723922</v>
      </c>
      <c r="G33" s="2">
        <v>18189154.16687</v>
      </c>
      <c r="H33" s="2">
        <v>17595863.297568</v>
      </c>
      <c r="I33" s="2">
        <v>-0.0083031723622597</v>
      </c>
      <c r="J33" s="2">
        <v>-0.0073155174007776</v>
      </c>
      <c r="K33" s="2">
        <v>0.016677833216173</v>
      </c>
      <c r="L33" s="2">
        <v>-0.17907346596604</v>
      </c>
      <c r="M33" s="2">
        <v>-0.17942704519671</v>
      </c>
      <c r="N33" s="2">
        <v>480.99528083034</v>
      </c>
      <c r="O33" s="2">
        <v>538.82170125982</v>
      </c>
    </row>
    <row r="34" spans="1:15">
      <c r="A34" s="2">
        <v>5.8066849390983</v>
      </c>
      <c r="B34" s="2">
        <v>0.015767777888441</v>
      </c>
      <c r="C34" s="2">
        <v>90.289170047191</v>
      </c>
      <c r="D34" s="2">
        <v>0.017593040898138</v>
      </c>
      <c r="E34" s="2">
        <v>6.724943408713</v>
      </c>
      <c r="F34" s="2">
        <v>0.90314010180042</v>
      </c>
      <c r="G34" s="2">
        <v>18290259.484815</v>
      </c>
      <c r="H34" s="2">
        <v>18209057.848235</v>
      </c>
      <c r="I34" s="2">
        <v>-0.0086156326352541</v>
      </c>
      <c r="J34" s="2">
        <v>-0.0075899063260536</v>
      </c>
      <c r="K34" s="2">
        <v>0.01726757727214</v>
      </c>
      <c r="L34" s="2">
        <v>-0.18537450093601</v>
      </c>
      <c r="M34" s="2">
        <v>-0.18562213168734</v>
      </c>
      <c r="N34" s="2">
        <v>482.3789646773</v>
      </c>
      <c r="O34" s="2">
        <v>540.51296886875</v>
      </c>
    </row>
    <row r="35" spans="1:15">
      <c r="A35" s="2">
        <v>6.0066849390983</v>
      </c>
      <c r="B35" s="2">
        <v>0.01637332283874</v>
      </c>
      <c r="C35" s="2">
        <v>90.288095539817</v>
      </c>
      <c r="D35" s="2">
        <v>0.018205779279422</v>
      </c>
      <c r="E35" s="2">
        <v>6.7295548403358</v>
      </c>
      <c r="F35" s="2">
        <v>0.89976099574391</v>
      </c>
      <c r="G35" s="2">
        <v>18392109.123544</v>
      </c>
      <c r="H35" s="2">
        <v>18825761.044533</v>
      </c>
      <c r="I35" s="2">
        <v>-0.008927913849848</v>
      </c>
      <c r="J35" s="2">
        <v>-0.007864146301633</v>
      </c>
      <c r="K35" s="2">
        <v>0.017856968451505</v>
      </c>
      <c r="L35" s="2">
        <v>-0.19172069878177</v>
      </c>
      <c r="M35" s="2">
        <v>-0.19186996222297</v>
      </c>
      <c r="N35" s="2">
        <v>483.75122728381</v>
      </c>
      <c r="O35" s="2">
        <v>542.18731252503</v>
      </c>
    </row>
    <row r="36" spans="1:15">
      <c r="A36" s="2">
        <v>6.2066849390983</v>
      </c>
      <c r="B36" s="2">
        <v>0.016978838572244</v>
      </c>
      <c r="C36" s="2">
        <v>90.287021623586</v>
      </c>
      <c r="D36" s="2">
        <v>0.01881844014846</v>
      </c>
      <c r="E36" s="2">
        <v>6.7341820419756</v>
      </c>
      <c r="F36" s="2">
        <v>0.89639336030995</v>
      </c>
      <c r="G36" s="2">
        <v>18494693.849552</v>
      </c>
      <c r="H36" s="2">
        <v>19445922.348465</v>
      </c>
      <c r="I36" s="2">
        <v>-0.0092400132249043</v>
      </c>
      <c r="J36" s="2">
        <v>-0.0081382422332264</v>
      </c>
      <c r="K36" s="2">
        <v>0.01844600714945</v>
      </c>
      <c r="L36" s="2">
        <v>-0.19802778363175</v>
      </c>
      <c r="M36" s="2">
        <v>-0.19807918286833</v>
      </c>
      <c r="N36" s="2">
        <v>485.11113061876</v>
      </c>
      <c r="O36" s="2">
        <v>543.84409692453</v>
      </c>
    </row>
    <row r="37" spans="1:15">
      <c r="A37" s="2">
        <v>6.4066849390983</v>
      </c>
      <c r="B37" s="2">
        <v>0.01758430696707</v>
      </c>
      <c r="C37" s="2">
        <v>90.285948452824</v>
      </c>
      <c r="D37" s="2">
        <v>0.019431023498503</v>
      </c>
      <c r="E37" s="2">
        <v>6.7388255436825</v>
      </c>
      <c r="F37" s="2">
        <v>0.89303655062048</v>
      </c>
      <c r="G37" s="2">
        <v>18598001.584844</v>
      </c>
      <c r="H37" s="2">
        <v>20069474.093714</v>
      </c>
      <c r="I37" s="2">
        <v>-0.0095519218995142</v>
      </c>
      <c r="J37" s="2">
        <v>-0.0084121974879864</v>
      </c>
      <c r="K37" s="2">
        <v>0.019034693769733</v>
      </c>
      <c r="L37" s="2">
        <v>-0.20433484610602</v>
      </c>
      <c r="M37" s="2">
        <v>-0.20430992297395</v>
      </c>
      <c r="N37" s="2">
        <v>486.46161010653</v>
      </c>
      <c r="O37" s="2">
        <v>545.48674021375</v>
      </c>
    </row>
    <row r="38" spans="1:15">
      <c r="A38" s="2">
        <v>6.6066849390983</v>
      </c>
      <c r="B38" s="2">
        <v>0.0181897296797</v>
      </c>
      <c r="C38" s="2">
        <v>90.284876233659</v>
      </c>
      <c r="D38" s="2">
        <v>0.020043530506329</v>
      </c>
      <c r="E38" s="2">
        <v>6.7434847944856</v>
      </c>
      <c r="F38" s="2">
        <v>0.8896898926417</v>
      </c>
      <c r="G38" s="2">
        <v>18702023.912089</v>
      </c>
      <c r="H38" s="2">
        <v>20696370.945234</v>
      </c>
      <c r="I38" s="2">
        <v>-0.0098636326981519</v>
      </c>
      <c r="J38" s="2">
        <v>-0.008686021458043</v>
      </c>
      <c r="K38" s="2">
        <v>0.019623028733154</v>
      </c>
      <c r="L38" s="2">
        <v>-0.21065942192278</v>
      </c>
      <c r="M38" s="2">
        <v>-0.21049481654872</v>
      </c>
      <c r="N38" s="2">
        <v>487.80181181131</v>
      </c>
      <c r="O38" s="2">
        <v>547.11457911663</v>
      </c>
    </row>
    <row r="39" spans="1:15">
      <c r="A39" s="2">
        <v>6.8066849390983</v>
      </c>
      <c r="B39" s="2">
        <v>0.018795104773873</v>
      </c>
      <c r="C39" s="2">
        <v>90.283806474767</v>
      </c>
      <c r="D39" s="2">
        <v>0.020655961546208</v>
      </c>
      <c r="E39" s="2">
        <v>6.7481611129477</v>
      </c>
      <c r="F39" s="2">
        <v>0.88635350942032</v>
      </c>
      <c r="G39" s="2">
        <v>18806752.587199</v>
      </c>
      <c r="H39" s="2">
        <v>21326568.856794</v>
      </c>
      <c r="I39" s="2">
        <v>-0.010175133818567</v>
      </c>
      <c r="J39" s="2">
        <v>-0.008959726538617</v>
      </c>
      <c r="K39" s="2">
        <v>0.020211012433625</v>
      </c>
      <c r="L39" s="2">
        <v>-0.21697976689598</v>
      </c>
      <c r="M39" s="2">
        <v>-0.21670696879275</v>
      </c>
      <c r="N39" s="2">
        <v>489.13163306291</v>
      </c>
      <c r="O39" s="2">
        <v>548.72753508131</v>
      </c>
    </row>
    <row r="40" spans="1:15">
      <c r="A40" s="2">
        <v>7.0066849390983</v>
      </c>
      <c r="B40" s="2">
        <v>0.019400417542711</v>
      </c>
      <c r="C40" s="2">
        <v>90.282738068688</v>
      </c>
      <c r="D40" s="2">
        <v>0.021268313207966</v>
      </c>
      <c r="E40" s="2">
        <v>6.7528549827654</v>
      </c>
      <c r="F40" s="2">
        <v>0.88302612190795</v>
      </c>
      <c r="G40" s="2">
        <v>18912178.181016</v>
      </c>
      <c r="H40" s="2">
        <v>21960016.515719</v>
      </c>
      <c r="I40" s="2">
        <v>-0.010486411669675</v>
      </c>
      <c r="J40" s="2">
        <v>-0.0092333246066994</v>
      </c>
      <c r="K40" s="2">
        <v>0.020798645294817</v>
      </c>
      <c r="L40" s="2">
        <v>-0.22328154569324</v>
      </c>
      <c r="M40" s="2">
        <v>-0.22289933486713</v>
      </c>
      <c r="N40" s="2">
        <v>490.45209583922</v>
      </c>
      <c r="O40" s="2">
        <v>550.32674518574</v>
      </c>
    </row>
    <row r="41" spans="1:15">
      <c r="A41" s="2">
        <v>7.2066849390983</v>
      </c>
      <c r="B41" s="2">
        <v>0.020005662928937</v>
      </c>
      <c r="C41" s="2">
        <v>90.281672180409</v>
      </c>
      <c r="D41" s="2">
        <v>0.021880583443185</v>
      </c>
      <c r="E41" s="2">
        <v>6.7575681854284</v>
      </c>
      <c r="F41" s="2">
        <v>0.87970724603989</v>
      </c>
      <c r="G41" s="2">
        <v>19018292.91428</v>
      </c>
      <c r="H41" s="2">
        <v>22596672.744358</v>
      </c>
      <c r="I41" s="2">
        <v>-0.010797455471972</v>
      </c>
      <c r="J41" s="2">
        <v>-0.0095068272328006</v>
      </c>
      <c r="K41" s="2">
        <v>0.021385927723263</v>
      </c>
      <c r="L41" s="2">
        <v>-0.22957794407579</v>
      </c>
      <c r="M41" s="2">
        <v>-0.22908438860769</v>
      </c>
      <c r="N41" s="2">
        <v>491.76304206814</v>
      </c>
      <c r="O41" s="2">
        <v>551.91198824482</v>
      </c>
    </row>
    <row r="42" spans="1:15">
      <c r="A42" s="2">
        <v>7.4066849390983</v>
      </c>
      <c r="B42" s="2">
        <v>0.020610837353294</v>
      </c>
      <c r="C42" s="2">
        <v>90.28060889178</v>
      </c>
      <c r="D42" s="2">
        <v>0.022492771198743</v>
      </c>
      <c r="E42" s="2">
        <v>6.7623018261233</v>
      </c>
      <c r="F42" s="2">
        <v>0.87639608199068</v>
      </c>
      <c r="G42" s="2">
        <v>19125088.42203</v>
      </c>
      <c r="H42" s="2">
        <v>23236492.750013</v>
      </c>
      <c r="I42" s="2">
        <v>-0.011108255431383</v>
      </c>
      <c r="J42" s="2">
        <v>-0.0097802443096174</v>
      </c>
      <c r="K42" s="2">
        <v>0.021972860107401</v>
      </c>
      <c r="L42" s="2">
        <v>-0.23586196528983</v>
      </c>
      <c r="M42" s="2">
        <v>-0.23527076776316</v>
      </c>
      <c r="N42" s="2">
        <v>493.06462264329</v>
      </c>
      <c r="O42" s="2">
        <v>553.48372569551</v>
      </c>
    </row>
    <row r="43" spans="1:15">
      <c r="A43" s="2">
        <v>7.6066849390983</v>
      </c>
      <c r="B43" s="2">
        <v>0.021215933227351</v>
      </c>
      <c r="C43" s="2">
        <v>90.279548100486</v>
      </c>
      <c r="D43" s="2">
        <v>0.023104875757468</v>
      </c>
      <c r="E43" s="2">
        <v>6.7670560201695</v>
      </c>
      <c r="F43" s="2">
        <v>0.87309181910384</v>
      </c>
      <c r="G43" s="2">
        <v>19232555.167443</v>
      </c>
      <c r="H43" s="2">
        <v>23879424.581669</v>
      </c>
      <c r="I43" s="2">
        <v>-0.011418804777918</v>
      </c>
      <c r="J43" s="2">
        <v>-0.010053579569729</v>
      </c>
      <c r="K43" s="2">
        <v>0.022559442838995</v>
      </c>
      <c r="L43" s="2">
        <v>-0.2421315713317</v>
      </c>
      <c r="M43" s="2">
        <v>-0.24143678589385</v>
      </c>
      <c r="N43" s="2">
        <v>494.35839554161</v>
      </c>
      <c r="O43" s="2">
        <v>555.04393441138</v>
      </c>
    </row>
    <row r="44" spans="1:15">
      <c r="A44" s="2">
        <v>7.8066849390983</v>
      </c>
      <c r="B44" s="2">
        <v>0.02182096438066</v>
      </c>
      <c r="C44" s="2">
        <v>90.278491124903</v>
      </c>
      <c r="D44" s="2">
        <v>0.023716901255336</v>
      </c>
      <c r="E44" s="2">
        <v>6.7718303697206</v>
      </c>
      <c r="F44" s="2">
        <v>0.86979361908127</v>
      </c>
      <c r="G44" s="2">
        <v>19340686.202017</v>
      </c>
      <c r="H44" s="2">
        <v>24525431.698231</v>
      </c>
      <c r="I44" s="2">
        <v>-0.011729104314486</v>
      </c>
      <c r="J44" s="2">
        <v>-0.010326836399498</v>
      </c>
      <c r="K44" s="2">
        <v>0.023145676309177</v>
      </c>
      <c r="L44" s="2">
        <v>-0.24838813462958</v>
      </c>
      <c r="M44" s="2">
        <v>-0.24759818260913</v>
      </c>
      <c r="N44" s="2">
        <v>495.64260822383</v>
      </c>
      <c r="O44" s="2">
        <v>556.59121804174</v>
      </c>
    </row>
    <row r="45" spans="1:15">
      <c r="A45" s="2">
        <v>8.0066849390983</v>
      </c>
      <c r="B45" s="2">
        <v>0.022425926276011</v>
      </c>
      <c r="C45" s="2">
        <v>90.277437387788</v>
      </c>
      <c r="D45" s="2">
        <v>0.024328850373711</v>
      </c>
      <c r="E45" s="2">
        <v>6.7766243832191</v>
      </c>
      <c r="F45" s="2">
        <v>0.86650177071228</v>
      </c>
      <c r="G45" s="2">
        <v>19449471.319978</v>
      </c>
      <c r="H45" s="2">
        <v>25174458.046788</v>
      </c>
      <c r="I45" s="2">
        <v>-0.012039151536678</v>
      </c>
      <c r="J45" s="2">
        <v>-0.010600013571364</v>
      </c>
      <c r="K45" s="2">
        <v>0.02373156090378</v>
      </c>
      <c r="L45" s="2">
        <v>-0.25462906269307</v>
      </c>
      <c r="M45" s="2">
        <v>-0.25374861496476</v>
      </c>
      <c r="N45" s="2">
        <v>496.91918493243</v>
      </c>
      <c r="O45" s="2">
        <v>558.12804144561</v>
      </c>
    </row>
    <row r="46" spans="1:15">
      <c r="A46" s="2">
        <v>8.2066849390983</v>
      </c>
      <c r="B46" s="2">
        <v>0.023030821932883</v>
      </c>
      <c r="C46" s="2">
        <v>90.276387421058</v>
      </c>
      <c r="D46" s="2">
        <v>0.024940726626299</v>
      </c>
      <c r="E46" s="2">
        <v>6.7814362601654</v>
      </c>
      <c r="F46" s="2">
        <v>0.86321549303628</v>
      </c>
      <c r="G46" s="2">
        <v>19558901.23001</v>
      </c>
      <c r="H46" s="2">
        <v>25826453.022459</v>
      </c>
      <c r="I46" s="2">
        <v>-0.01234894740492</v>
      </c>
      <c r="J46" s="2">
        <v>-0.010873108597564</v>
      </c>
      <c r="K46" s="2">
        <v>0.024317097015526</v>
      </c>
      <c r="L46" s="2">
        <v>-0.26095367139209</v>
      </c>
      <c r="M46" s="2">
        <v>-0.25996618865532</v>
      </c>
      <c r="N46" s="2">
        <v>498.18916299111</v>
      </c>
      <c r="O46" s="2">
        <v>559.65587615213</v>
      </c>
    </row>
    <row r="47" spans="1:15">
      <c r="A47" s="2">
        <v>8.4066849390983</v>
      </c>
      <c r="B47" s="2">
        <v>0.023635663536448</v>
      </c>
      <c r="C47" s="2">
        <v>90.27534041513</v>
      </c>
      <c r="D47" s="2">
        <v>0.025552533675221</v>
      </c>
      <c r="E47" s="2">
        <v>6.7862651433817</v>
      </c>
      <c r="F47" s="2">
        <v>0.85993596876839</v>
      </c>
      <c r="G47" s="2">
        <v>19668969.277812</v>
      </c>
      <c r="H47" s="2">
        <v>26481381.950773</v>
      </c>
      <c r="I47" s="2">
        <v>-0.012658495647729</v>
      </c>
      <c r="J47" s="2">
        <v>-0.011146120054581</v>
      </c>
      <c r="K47" s="2">
        <v>0.024902285012336</v>
      </c>
      <c r="L47" s="2">
        <v>-0.26710307613327</v>
      </c>
      <c r="M47" s="2">
        <v>-0.26604503014408</v>
      </c>
      <c r="N47" s="2">
        <v>499.45115631892</v>
      </c>
      <c r="O47" s="2">
        <v>561.17332417273</v>
      </c>
    </row>
    <row r="48" spans="1:15">
      <c r="A48" s="2">
        <v>8.6066849390983</v>
      </c>
      <c r="B48" s="2">
        <v>0.024240453040991</v>
      </c>
      <c r="C48" s="2">
        <v>90.274296801975</v>
      </c>
      <c r="D48" s="2">
        <v>0.02616427675558</v>
      </c>
      <c r="E48" s="2">
        <v>6.7911106492796</v>
      </c>
      <c r="F48" s="2">
        <v>0.85666336216734</v>
      </c>
      <c r="G48" s="2">
        <v>19779667.424944</v>
      </c>
      <c r="H48" s="2">
        <v>27139201.800701</v>
      </c>
      <c r="I48" s="2">
        <v>-0.012967800275099</v>
      </c>
      <c r="J48" s="2">
        <v>-0.011419044953196</v>
      </c>
      <c r="K48" s="2">
        <v>0.025487125324058</v>
      </c>
      <c r="L48" s="2">
        <v>-0.2733293753505</v>
      </c>
      <c r="M48" s="2">
        <v>-0.27216248202892</v>
      </c>
      <c r="N48" s="2">
        <v>500.70534881023</v>
      </c>
      <c r="O48" s="2">
        <v>562.68094551337</v>
      </c>
    </row>
    <row r="49" spans="1:15">
      <c r="A49" s="2">
        <v>8.8066849390982</v>
      </c>
      <c r="B49" s="2">
        <v>0.024845189537664</v>
      </c>
      <c r="C49" s="2">
        <v>90.273256419046</v>
      </c>
      <c r="D49" s="2">
        <v>0.026775958561461</v>
      </c>
      <c r="E49" s="2">
        <v>6.7959719943191</v>
      </c>
      <c r="F49" s="2">
        <v>0.8533979572845</v>
      </c>
      <c r="G49" s="2">
        <v>19890986.988539</v>
      </c>
      <c r="H49" s="2">
        <v>27799865.696471</v>
      </c>
      <c r="I49" s="2">
        <v>-0.013276859926352</v>
      </c>
      <c r="J49" s="2">
        <v>-0.011691882995845</v>
      </c>
      <c r="K49" s="2">
        <v>0.026071618338256</v>
      </c>
      <c r="L49" s="2">
        <v>-0.27953077415665</v>
      </c>
      <c r="M49" s="2">
        <v>-0.27826254118204</v>
      </c>
      <c r="N49" s="2">
        <v>501.95255726957</v>
      </c>
      <c r="O49" s="2">
        <v>564.17966229217</v>
      </c>
    </row>
    <row r="50" spans="1:15">
      <c r="A50" s="2">
        <v>9.0066849390982</v>
      </c>
      <c r="B50" s="2">
        <v>0.025449880767503</v>
      </c>
      <c r="C50" s="2">
        <v>90.272219561981</v>
      </c>
      <c r="D50" s="2">
        <v>0.027387582663721</v>
      </c>
      <c r="E50" s="2">
        <v>6.8008478837391</v>
      </c>
      <c r="F50" s="2">
        <v>0.8501399066282</v>
      </c>
      <c r="G50" s="2">
        <v>20002920.710567</v>
      </c>
      <c r="H50" s="2">
        <v>28463335.402553</v>
      </c>
      <c r="I50" s="2">
        <v>-0.013585674781715</v>
      </c>
      <c r="J50" s="2">
        <v>-0.011964635133902</v>
      </c>
      <c r="K50" s="2">
        <v>0.026655764446629</v>
      </c>
      <c r="L50" s="2">
        <v>-0.28578127755976</v>
      </c>
      <c r="M50" s="2">
        <v>-0.28442170510281</v>
      </c>
      <c r="N50" s="2">
        <v>503.19256149911</v>
      </c>
      <c r="O50" s="2">
        <v>565.66940701227</v>
      </c>
    </row>
    <row r="51" spans="1:15">
      <c r="A51" s="2">
        <v>9.2066849390982</v>
      </c>
      <c r="B51" s="2">
        <v>0.026054519365312</v>
      </c>
      <c r="C51" s="2">
        <v>90.271185906413</v>
      </c>
      <c r="D51" s="2">
        <v>0.027999150481659</v>
      </c>
      <c r="E51" s="2">
        <v>6.8057376216125</v>
      </c>
      <c r="F51" s="2">
        <v>0.84688937324725</v>
      </c>
      <c r="G51" s="2">
        <v>20115459.818627</v>
      </c>
      <c r="H51" s="2">
        <v>29129563.450482</v>
      </c>
      <c r="I51" s="2">
        <v>-0.013894244544828</v>
      </c>
      <c r="J51" s="2">
        <v>-0.01223729941847</v>
      </c>
      <c r="K51" s="2">
        <v>0.027239564069804</v>
      </c>
      <c r="L51" s="2">
        <v>-0.29201165211707</v>
      </c>
      <c r="M51" s="2">
        <v>-0.29055276626568</v>
      </c>
      <c r="N51" s="2">
        <v>504.42652883873</v>
      </c>
      <c r="O51" s="2">
        <v>567.15143936746</v>
      </c>
    </row>
    <row r="52" spans="1:15">
      <c r="A52" s="2">
        <v>9.4066849390982</v>
      </c>
      <c r="B52" s="2">
        <v>0.026659118132513</v>
      </c>
      <c r="C52" s="2">
        <v>90.270155634138</v>
      </c>
      <c r="D52" s="2">
        <v>0.028610666703217</v>
      </c>
      <c r="E52" s="2">
        <v>6.8106402001667</v>
      </c>
      <c r="F52" s="2">
        <v>0.84364652218093</v>
      </c>
      <c r="G52" s="2">
        <v>20228598.358075</v>
      </c>
      <c r="H52" s="2">
        <v>29798519.466331</v>
      </c>
      <c r="I52" s="2">
        <v>-0.014202572079367</v>
      </c>
      <c r="J52" s="2">
        <v>-0.012509875762906</v>
      </c>
      <c r="K52" s="2">
        <v>0.027823017609515</v>
      </c>
      <c r="L52" s="2">
        <v>-0.29822380975588</v>
      </c>
      <c r="M52" s="2">
        <v>-0.29666923745847</v>
      </c>
      <c r="N52" s="2">
        <v>505.65328766548</v>
      </c>
      <c r="O52" s="2">
        <v>568.624430389</v>
      </c>
    </row>
    <row r="53" spans="1:15">
      <c r="A53" s="2">
        <v>9.6066849390982</v>
      </c>
      <c r="B53" s="2">
        <v>0.027263677870519</v>
      </c>
      <c r="C53" s="2">
        <v>90.269129066695</v>
      </c>
      <c r="D53" s="2">
        <v>0.029222134264306</v>
      </c>
      <c r="E53" s="2">
        <v>6.8155546323957</v>
      </c>
      <c r="F53" s="2">
        <v>0.84041167339846</v>
      </c>
      <c r="G53" s="2">
        <v>20342328.298538</v>
      </c>
      <c r="H53" s="2">
        <v>30470160.591395</v>
      </c>
      <c r="I53" s="2">
        <v>-0.014510657734081</v>
      </c>
      <c r="J53" s="2">
        <v>-0.012782362134665</v>
      </c>
      <c r="K53" s="2">
        <v>0.028406125479538</v>
      </c>
      <c r="L53" s="2">
        <v>-0.30446139161326</v>
      </c>
      <c r="M53" s="2">
        <v>-0.30279946219454</v>
      </c>
      <c r="N53" s="2">
        <v>506.87384009453</v>
      </c>
      <c r="O53" s="2">
        <v>570.08962958078</v>
      </c>
    </row>
    <row r="54" spans="1:15">
      <c r="A54" s="2">
        <v>9.8066849390982</v>
      </c>
      <c r="B54" s="2">
        <v>0.027868202397471</v>
      </c>
      <c r="C54" s="2">
        <v>90.268105928026</v>
      </c>
      <c r="D54" s="2">
        <v>0.029833557344438</v>
      </c>
      <c r="E54" s="2">
        <v>6.8204806615723</v>
      </c>
      <c r="F54" s="2">
        <v>0.83718499666979</v>
      </c>
      <c r="G54" s="2">
        <v>20456642.574458</v>
      </c>
      <c r="H54" s="2">
        <v>31144449.488741</v>
      </c>
      <c r="I54" s="2">
        <v>-0.014818503475735</v>
      </c>
      <c r="J54" s="2">
        <v>-0.013054758447669</v>
      </c>
      <c r="K54" s="2">
        <v>0.028988888072117</v>
      </c>
      <c r="L54" s="2">
        <v>-0.31062625032094</v>
      </c>
      <c r="M54" s="2">
        <v>-0.30889385429517</v>
      </c>
      <c r="N54" s="2">
        <v>508.08744834114</v>
      </c>
      <c r="O54" s="2">
        <v>571.54636125721</v>
      </c>
    </row>
    <row r="55" spans="1:15">
      <c r="A55" s="2">
        <v>10.006684939098</v>
      </c>
      <c r="B55" s="2">
        <v>0.028472690283313</v>
      </c>
      <c r="C55" s="2">
        <v>90.267086129629</v>
      </c>
      <c r="D55" s="2">
        <v>0.030444938351633</v>
      </c>
      <c r="E55" s="2">
        <v>6.8254175480156</v>
      </c>
      <c r="F55" s="2">
        <v>0.83396677822757</v>
      </c>
      <c r="G55" s="2">
        <v>20571533.360704</v>
      </c>
      <c r="H55" s="2">
        <v>31821344.592657</v>
      </c>
      <c r="I55" s="2">
        <v>-0.015126109118936</v>
      </c>
      <c r="J55" s="2">
        <v>-0.013327063232346</v>
      </c>
      <c r="K55" s="2">
        <v>0.029571305770629</v>
      </c>
      <c r="L55" s="2">
        <v>-0.31686871711173</v>
      </c>
      <c r="M55" s="2">
        <v>-0.31502362178157</v>
      </c>
      <c r="N55" s="2">
        <v>509.29527472218</v>
      </c>
      <c r="O55" s="2">
        <v>572.99596352273</v>
      </c>
    </row>
    <row r="56" spans="1:15">
      <c r="A56" s="2">
        <v>10.206684939098</v>
      </c>
      <c r="B56" s="2">
        <v>0.029077147374897</v>
      </c>
      <c r="C56" s="2">
        <v>90.266069414233</v>
      </c>
      <c r="D56" s="2">
        <v>0.031056280002025</v>
      </c>
      <c r="E56" s="2">
        <v>6.1272396243571</v>
      </c>
      <c r="F56" s="2">
        <v>0.83075723412068</v>
      </c>
      <c r="G56" s="2">
        <v>20686993.648174</v>
      </c>
      <c r="H56" s="2">
        <v>32500809.146099</v>
      </c>
      <c r="I56" s="2">
        <v>-0.015433476792945</v>
      </c>
      <c r="J56" s="2">
        <v>-0.013599274181805</v>
      </c>
      <c r="K56" s="2">
        <v>0.030153378985358</v>
      </c>
      <c r="L56" s="2">
        <v>-0.32309907467839</v>
      </c>
      <c r="M56" s="2">
        <v>-0.32114153546825</v>
      </c>
      <c r="N56" s="2">
        <v>510.49735339658</v>
      </c>
      <c r="O56" s="2">
        <v>574.43836239242</v>
      </c>
    </row>
    <row r="57" spans="1:15">
      <c r="A57" s="2">
        <v>10.406684939098</v>
      </c>
      <c r="B57" s="2">
        <v>0.029681574641179</v>
      </c>
      <c r="C57" s="2">
        <v>90.265055937406</v>
      </c>
      <c r="D57" s="2">
        <v>0.031667585769292</v>
      </c>
      <c r="E57" s="2">
        <v>6.132196000269</v>
      </c>
      <c r="F57" s="2">
        <v>0.82755662301766</v>
      </c>
      <c r="G57" s="2">
        <v>20803016.13622</v>
      </c>
      <c r="H57" s="2">
        <v>33182804.567373</v>
      </c>
      <c r="I57" s="2">
        <v>-0.015740609358197</v>
      </c>
      <c r="J57" s="2">
        <v>-0.013871388821869</v>
      </c>
      <c r="K57" s="2">
        <v>0.030735108096051</v>
      </c>
      <c r="L57" s="2">
        <v>-0.32931918439577</v>
      </c>
      <c r="M57" s="2">
        <v>-0.32726716577737</v>
      </c>
      <c r="N57" s="2">
        <v>511.69379589932</v>
      </c>
      <c r="O57" s="2">
        <v>575.87396159159</v>
      </c>
    </row>
    <row r="58" spans="1:15">
      <c r="A58" s="2">
        <v>10.606684939098</v>
      </c>
      <c r="B58" s="2">
        <v>0.030285976737032</v>
      </c>
      <c r="C58" s="2">
        <v>90.264045606584</v>
      </c>
      <c r="D58" s="2">
        <v>0.032278858176509</v>
      </c>
      <c r="E58" s="2">
        <v>6.1371609148558</v>
      </c>
      <c r="F58" s="2">
        <v>0.82436505794228</v>
      </c>
      <c r="G58" s="2">
        <v>20919594.58885</v>
      </c>
      <c r="H58" s="2">
        <v>33867298.631274</v>
      </c>
      <c r="I58" s="2">
        <v>-0.016047506595029</v>
      </c>
      <c r="J58" s="2">
        <v>-0.014143408188399</v>
      </c>
      <c r="K58" s="2">
        <v>0.031316493500751</v>
      </c>
      <c r="L58" s="2">
        <v>-0.3355286346664</v>
      </c>
      <c r="M58" s="2">
        <v>-0.33339123577479</v>
      </c>
      <c r="N58" s="2">
        <v>512.88436950388</v>
      </c>
      <c r="O58" s="2">
        <v>577.30231983153</v>
      </c>
    </row>
    <row r="59" spans="1:15">
      <c r="A59" s="2">
        <v>10.806684939098</v>
      </c>
      <c r="B59" s="2">
        <v>0.030890358367797</v>
      </c>
      <c r="C59" s="2">
        <v>90.263038244268</v>
      </c>
      <c r="D59" s="2">
        <v>0.032890100428316</v>
      </c>
      <c r="E59" s="2">
        <v>6.1421334667312</v>
      </c>
      <c r="F59" s="2">
        <v>0.82118264339392</v>
      </c>
      <c r="G59" s="2">
        <v>21036723.033266</v>
      </c>
      <c r="H59" s="2">
        <v>34554260.659964</v>
      </c>
      <c r="I59" s="2">
        <v>-0.016354172464038</v>
      </c>
      <c r="J59" s="2">
        <v>-0.0144153305083</v>
      </c>
      <c r="K59" s="2">
        <v>0.031897535623881</v>
      </c>
      <c r="L59" s="2">
        <v>-0.3417627390697</v>
      </c>
      <c r="M59" s="2">
        <v>-0.33952232189022</v>
      </c>
      <c r="N59" s="2">
        <v>514.06831491766</v>
      </c>
      <c r="O59" s="2">
        <v>578.7227706735</v>
      </c>
    </row>
    <row r="60" spans="1:15">
      <c r="A60" s="2">
        <v>11.006684939098</v>
      </c>
      <c r="B60" s="2">
        <v>0.031494710594043</v>
      </c>
      <c r="C60" s="2">
        <v>90.262033759152</v>
      </c>
      <c r="D60" s="2">
        <v>0.033501313715835</v>
      </c>
      <c r="E60" s="2">
        <v>5.4439882542834</v>
      </c>
      <c r="F60" s="2">
        <v>0.81800935753959</v>
      </c>
      <c r="G60" s="2">
        <v>21154392.40454</v>
      </c>
      <c r="H60" s="2">
        <v>35243641.728982</v>
      </c>
      <c r="I60" s="2">
        <v>-0.016660606251005</v>
      </c>
      <c r="J60" s="2">
        <v>-0.014687151736266</v>
      </c>
      <c r="K60" s="2">
        <v>0.032478234827445</v>
      </c>
      <c r="L60" s="2">
        <v>-0.34802643883955</v>
      </c>
      <c r="M60" s="2">
        <v>-0.34569961627328</v>
      </c>
      <c r="N60" s="2">
        <v>515.24807745977</v>
      </c>
      <c r="O60" s="2">
        <v>580.13775331598</v>
      </c>
    </row>
    <row r="61" spans="1:15">
      <c r="A61" s="2">
        <v>11.206684939098</v>
      </c>
      <c r="B61" s="2">
        <v>0.03209904203151</v>
      </c>
      <c r="C61" s="2">
        <v>90.261031529069</v>
      </c>
      <c r="D61" s="2">
        <v>0.034112500588708</v>
      </c>
      <c r="E61" s="2">
        <v>5.4489745261875</v>
      </c>
      <c r="F61" s="2">
        <v>0.81484559925131</v>
      </c>
      <c r="G61" s="2">
        <v>21272597.339887</v>
      </c>
      <c r="H61" s="2">
        <v>35935414.700158</v>
      </c>
      <c r="I61" s="2">
        <v>-0.016966813124596</v>
      </c>
      <c r="J61" s="2">
        <v>-0.014958869459223</v>
      </c>
      <c r="K61" s="2">
        <v>0.033058591523342</v>
      </c>
      <c r="L61" s="2">
        <v>-0.35424747729628</v>
      </c>
      <c r="M61" s="2">
        <v>-0.35181775916438</v>
      </c>
      <c r="N61" s="2">
        <v>516.4223799309</v>
      </c>
      <c r="O61" s="2">
        <v>581.54633024226</v>
      </c>
    </row>
    <row r="62" spans="1:15">
      <c r="A62" s="2">
        <v>11.406684939098</v>
      </c>
      <c r="B62" s="2">
        <v>0.032703361120731</v>
      </c>
      <c r="C62" s="2">
        <v>90.260032987416</v>
      </c>
      <c r="D62" s="2">
        <v>0.034723665028166</v>
      </c>
      <c r="E62" s="2">
        <v>5.453967758278</v>
      </c>
      <c r="F62" s="2">
        <v>0.81169173279808</v>
      </c>
      <c r="G62" s="2">
        <v>21391332.726804</v>
      </c>
      <c r="H62" s="2">
        <v>36629554.155352</v>
      </c>
      <c r="I62" s="2">
        <v>-0.017272796330027</v>
      </c>
      <c r="J62" s="2">
        <v>-0.015230482739576</v>
      </c>
      <c r="K62" s="2">
        <v>0.033638606107521</v>
      </c>
      <c r="L62" s="2">
        <v>-0.36048266470111</v>
      </c>
      <c r="M62" s="2">
        <v>-0.35796150596214</v>
      </c>
      <c r="N62" s="2">
        <v>517.59043972362</v>
      </c>
      <c r="O62" s="2">
        <v>582.94738907895</v>
      </c>
    </row>
    <row r="63" spans="1:15">
      <c r="A63" s="2">
        <v>11.606684939098</v>
      </c>
      <c r="B63" s="2">
        <v>0.033307667262269</v>
      </c>
      <c r="C63" s="2">
        <v>90.259036906323</v>
      </c>
      <c r="D63" s="2">
        <v>0.03533480913169</v>
      </c>
      <c r="E63" s="2">
        <v>5.4589669107774</v>
      </c>
      <c r="F63" s="2">
        <v>0.80854773076386</v>
      </c>
      <c r="G63" s="2">
        <v>21510591.873676</v>
      </c>
      <c r="H63" s="2">
        <v>37326025.088033</v>
      </c>
      <c r="I63" s="2">
        <v>-0.01757855893532</v>
      </c>
      <c r="J63" s="2">
        <v>-0.015501988290753</v>
      </c>
      <c r="K63" s="2">
        <v>0.034218278968507</v>
      </c>
      <c r="L63" s="2">
        <v>-0.36671062633089</v>
      </c>
      <c r="M63" s="2">
        <v>-0.36410153779388</v>
      </c>
      <c r="N63" s="2">
        <v>518.75251261315</v>
      </c>
      <c r="O63" s="2">
        <v>584.34124279266</v>
      </c>
    </row>
    <row r="64" spans="1:15">
      <c r="A64" s="2">
        <v>11.806684939098</v>
      </c>
      <c r="B64" s="2">
        <v>0.033911954061566</v>
      </c>
      <c r="C64" s="2">
        <v>90.258043228424</v>
      </c>
      <c r="D64" s="2">
        <v>0.035945933492002</v>
      </c>
      <c r="E64" s="2">
        <v>5.4639709784173</v>
      </c>
      <c r="F64" s="2">
        <v>0.80541333893298</v>
      </c>
      <c r="G64" s="2">
        <v>21630366.848983</v>
      </c>
      <c r="H64" s="2">
        <v>38024785.319326</v>
      </c>
      <c r="I64" s="2">
        <v>-0.017884101512351</v>
      </c>
      <c r="J64" s="2">
        <v>-0.015773382217407</v>
      </c>
      <c r="K64" s="2">
        <v>0.034797610497527</v>
      </c>
      <c r="L64" s="2">
        <v>-0.37297592140621</v>
      </c>
      <c r="M64" s="2">
        <v>-0.37025209252088</v>
      </c>
      <c r="N64" s="2">
        <v>519.91042574848</v>
      </c>
      <c r="O64" s="2">
        <v>585.72995509296</v>
      </c>
    </row>
    <row r="65" spans="1:15">
      <c r="A65" s="2">
        <v>12.006684939098</v>
      </c>
      <c r="B65" s="2">
        <v>0.034516238361904</v>
      </c>
      <c r="C65" s="2">
        <v>90.257051840185</v>
      </c>
      <c r="D65" s="2">
        <v>0.036557042315421</v>
      </c>
      <c r="E65" s="2">
        <v>5.4689798614761</v>
      </c>
      <c r="F65" s="2">
        <v>0.80228872324032</v>
      </c>
      <c r="G65" s="2">
        <v>21750654.06452</v>
      </c>
      <c r="H65" s="2">
        <v>38725818.124893</v>
      </c>
      <c r="I65" s="2">
        <v>-0.018189427919844</v>
      </c>
      <c r="J65" s="2">
        <v>-0.016044666028908</v>
      </c>
      <c r="K65" s="2">
        <v>0.035376601085684</v>
      </c>
      <c r="L65" s="2">
        <v>-0.37923592043987</v>
      </c>
      <c r="M65" s="2">
        <v>-0.37642645226008</v>
      </c>
      <c r="N65" s="2">
        <v>521.06171576824</v>
      </c>
      <c r="O65" s="2">
        <v>587.1109029106</v>
      </c>
    </row>
    <row r="66" spans="1:15">
      <c r="A66" s="2">
        <v>12.206684939098</v>
      </c>
      <c r="B66" s="2">
        <v>0.035120511567164</v>
      </c>
      <c r="C66" s="2">
        <v>90.256062576715</v>
      </c>
      <c r="D66" s="2">
        <v>0.037168136346134</v>
      </c>
      <c r="E66" s="2">
        <v>5.4739931147359</v>
      </c>
      <c r="F66" s="2">
        <v>0.79917393585323</v>
      </c>
      <c r="G66" s="2">
        <v>21871445.274694</v>
      </c>
      <c r="H66" s="2">
        <v>39429079.448591</v>
      </c>
      <c r="I66" s="2">
        <v>-0.018494536908654</v>
      </c>
      <c r="J66" s="2">
        <v>-0.016315837042056</v>
      </c>
      <c r="K66" s="2">
        <v>0.035955251124803</v>
      </c>
      <c r="L66" s="2">
        <v>-0.38552206895019</v>
      </c>
      <c r="M66" s="2">
        <v>-0.38259247390539</v>
      </c>
      <c r="N66" s="2">
        <v>522.20844454501</v>
      </c>
      <c r="O66" s="2">
        <v>588.48631163939</v>
      </c>
    </row>
    <row r="67" spans="1:15">
      <c r="A67" s="2">
        <v>12.406684939098</v>
      </c>
      <c r="B67" s="2">
        <v>0.035724779928841</v>
      </c>
      <c r="C67" s="2">
        <v>90.255075247055</v>
      </c>
      <c r="D67" s="2">
        <v>0.037779218518316</v>
      </c>
      <c r="E67" s="2">
        <v>5.4790105068338</v>
      </c>
      <c r="F67" s="2">
        <v>0.79606906195252</v>
      </c>
      <c r="G67" s="2">
        <v>21992735.362638</v>
      </c>
      <c r="H67" s="2">
        <v>40134543.458371</v>
      </c>
      <c r="I67" s="2">
        <v>-0.018799432467885</v>
      </c>
      <c r="J67" s="2">
        <v>-0.016586894008418</v>
      </c>
      <c r="K67" s="2">
        <v>0.036533561010614</v>
      </c>
      <c r="L67" s="2">
        <v>-0.39180515887928</v>
      </c>
      <c r="M67" s="2">
        <v>-0.38875876713397</v>
      </c>
      <c r="N67" s="2">
        <v>523.34952824243</v>
      </c>
      <c r="O67" s="2">
        <v>589.85514898332</v>
      </c>
    </row>
    <row r="68" spans="1:15">
      <c r="A68" s="2">
        <v>12.606684939098</v>
      </c>
      <c r="B68" s="2">
        <v>0.03632904042582</v>
      </c>
      <c r="C68" s="2">
        <v>90.25408979761</v>
      </c>
      <c r="D68" s="2">
        <v>0.03839029003476</v>
      </c>
      <c r="E68" s="2">
        <v>5.4840312117405</v>
      </c>
      <c r="F68" s="2">
        <v>0.79297408486595</v>
      </c>
      <c r="G68" s="2">
        <v>22114517.169179</v>
      </c>
      <c r="H68" s="2">
        <v>40842172.577937</v>
      </c>
      <c r="I68" s="2">
        <v>-0.019104115551965</v>
      </c>
      <c r="J68" s="2">
        <v>-0.016857833559238</v>
      </c>
      <c r="K68" s="2">
        <v>0.037111531143372</v>
      </c>
      <c r="L68" s="2">
        <v>-0.39808967304394</v>
      </c>
      <c r="M68" s="2">
        <v>-0.39496117515936</v>
      </c>
      <c r="N68" s="2">
        <v>524.48629823017</v>
      </c>
      <c r="O68" s="2">
        <v>591.21887021032</v>
      </c>
    </row>
    <row r="69" spans="1:15">
      <c r="A69" s="2">
        <v>12.806684939098</v>
      </c>
      <c r="B69" s="2">
        <v>0.036933295713618</v>
      </c>
      <c r="C69" s="2">
        <v>90.253105847229</v>
      </c>
      <c r="D69" s="2">
        <v>0.039001352802874</v>
      </c>
      <c r="E69" s="2">
        <v>5.4890549739417</v>
      </c>
      <c r="F69" s="2">
        <v>0.78988873523103</v>
      </c>
      <c r="G69" s="2">
        <v>22236784.757287</v>
      </c>
      <c r="H69" s="2">
        <v>41551936.215983</v>
      </c>
      <c r="I69" s="2">
        <v>-0.019408587914732</v>
      </c>
      <c r="J69" s="2">
        <v>-0.017128654557355</v>
      </c>
      <c r="K69" s="2">
        <v>0.037689161912723</v>
      </c>
      <c r="L69" s="2">
        <v>-0.4043923093851</v>
      </c>
      <c r="M69" s="2">
        <v>-0.40116131185012</v>
      </c>
      <c r="N69" s="2">
        <v>525.61862883922</v>
      </c>
      <c r="O69" s="2">
        <v>592.57738780822</v>
      </c>
    </row>
    <row r="70" spans="1:15">
      <c r="A70" s="2">
        <v>13.006684939098</v>
      </c>
      <c r="B70" s="2">
        <v>0.037537553057002</v>
      </c>
      <c r="C70" s="2">
        <v>90.252123531901</v>
      </c>
      <c r="D70" s="2">
        <v>0.039612409734405</v>
      </c>
      <c r="E70" s="2">
        <v>5.4940816020839</v>
      </c>
      <c r="F70" s="2">
        <v>0.78681311618073</v>
      </c>
      <c r="G70" s="2">
        <v>22359533.687634</v>
      </c>
      <c r="H70" s="2">
        <v>42263812.560075</v>
      </c>
      <c r="I70" s="2">
        <v>-0.019712851369467</v>
      </c>
      <c r="J70" s="2">
        <v>-0.017399358277851</v>
      </c>
      <c r="K70" s="2">
        <v>0.038266453710285</v>
      </c>
      <c r="L70" s="2">
        <v>-0.41070282295664</v>
      </c>
      <c r="M70" s="2">
        <v>-0.4073556177391</v>
      </c>
      <c r="N70" s="2">
        <v>526.74526801652</v>
      </c>
      <c r="O70" s="2">
        <v>593.92938922877</v>
      </c>
    </row>
    <row r="71" spans="1:15">
      <c r="A71" s="2">
        <v>13.206684939098</v>
      </c>
      <c r="B71" s="2">
        <v>0.038141809365061</v>
      </c>
      <c r="C71" s="2">
        <v>90.251142916898</v>
      </c>
      <c r="D71" s="2">
        <v>0.040223461826764</v>
      </c>
      <c r="E71" s="2">
        <v>5.4991103905051</v>
      </c>
      <c r="F71" s="2">
        <v>0.78374733814152</v>
      </c>
      <c r="G71" s="2">
        <v>22482757.270279</v>
      </c>
      <c r="H71" s="2">
        <v>42977766.717055</v>
      </c>
      <c r="I71" s="2">
        <v>-0.020016904968109</v>
      </c>
      <c r="J71" s="2">
        <v>-0.017669943742428</v>
      </c>
      <c r="K71" s="2">
        <v>0.038843406934909</v>
      </c>
      <c r="L71" s="2">
        <v>-0.41702423191915</v>
      </c>
      <c r="M71" s="2">
        <v>-0.41356691783869</v>
      </c>
      <c r="N71" s="2">
        <v>527.86730960525</v>
      </c>
      <c r="O71" s="2">
        <v>595.27607465504</v>
      </c>
    </row>
    <row r="72" spans="1:15">
      <c r="A72" s="2">
        <v>13.406684939098</v>
      </c>
      <c r="B72" s="2">
        <v>0.038746063583125</v>
      </c>
      <c r="C72" s="2">
        <v>90.250163667158</v>
      </c>
      <c r="D72" s="2">
        <v>0.040834510958318</v>
      </c>
      <c r="E72" s="2">
        <v>4.097890709761</v>
      </c>
      <c r="F72" s="2">
        <v>0.78069159340132</v>
      </c>
      <c r="G72" s="2">
        <v>22606448.981869</v>
      </c>
      <c r="H72" s="2">
        <v>43693764.693981</v>
      </c>
      <c r="I72" s="2">
        <v>-0.02032074926576</v>
      </c>
      <c r="J72" s="2">
        <v>-0.017940409381245</v>
      </c>
      <c r="K72" s="2">
        <v>0.039420021988275</v>
      </c>
      <c r="L72" s="2">
        <v>-0.42336186592888</v>
      </c>
      <c r="M72" s="2">
        <v>-0.41979406898047</v>
      </c>
      <c r="N72" s="2">
        <v>528.98541624268</v>
      </c>
      <c r="O72" s="2">
        <v>596.61811214639</v>
      </c>
    </row>
    <row r="73" spans="1:15">
      <c r="A73" s="2">
        <v>13.606684939098</v>
      </c>
      <c r="B73" s="2">
        <v>0.039350321324554</v>
      </c>
      <c r="C73" s="2">
        <v>90.249185087983</v>
      </c>
      <c r="D73" s="2">
        <v>0.041445558621608</v>
      </c>
      <c r="E73" s="2">
        <v>4.1029231314017</v>
      </c>
      <c r="F73" s="2">
        <v>0.77764579276664</v>
      </c>
      <c r="G73" s="2">
        <v>22730604.181915</v>
      </c>
      <c r="H73" s="2">
        <v>44411783.367748</v>
      </c>
      <c r="I73" s="2">
        <v>-0.020624386787965</v>
      </c>
      <c r="J73" s="2">
        <v>-0.01821075535488</v>
      </c>
      <c r="K73" s="2">
        <v>0.039996299283197</v>
      </c>
      <c r="L73" s="2">
        <v>-0.42970021866677</v>
      </c>
      <c r="M73" s="2">
        <v>-0.42601692863692</v>
      </c>
      <c r="N73" s="2">
        <v>530.09853208456</v>
      </c>
      <c r="O73" s="2">
        <v>597.95465811645</v>
      </c>
    </row>
    <row r="74" spans="1:15">
      <c r="A74" s="2">
        <v>13.806684939098</v>
      </c>
      <c r="B74" s="2">
        <v>0.039954585665544</v>
      </c>
      <c r="C74" s="2">
        <v>90.248207535685</v>
      </c>
      <c r="D74" s="2">
        <v>0.042056606762271</v>
      </c>
      <c r="E74" s="2">
        <v>4.1079566041464</v>
      </c>
      <c r="F74" s="2">
        <v>0.77460985284764</v>
      </c>
      <c r="G74" s="2">
        <v>22855217.625781</v>
      </c>
      <c r="H74" s="2">
        <v>45131796.365772</v>
      </c>
      <c r="I74" s="2">
        <v>-0.020927819021233</v>
      </c>
      <c r="J74" s="2">
        <v>-0.018480980558335</v>
      </c>
      <c r="K74" s="2">
        <v>0.040572239184669</v>
      </c>
      <c r="L74" s="2">
        <v>-0.43605193512327</v>
      </c>
      <c r="M74" s="2">
        <v>-0.43225227529741</v>
      </c>
      <c r="N74" s="2">
        <v>531.20663624861</v>
      </c>
      <c r="O74" s="2">
        <v>599.28553633174</v>
      </c>
    </row>
    <row r="75" spans="1:15">
      <c r="A75" s="2">
        <v>14.006684939098</v>
      </c>
      <c r="B75" s="2">
        <v>0.0405588543191</v>
      </c>
      <c r="C75" s="2">
        <v>90.247230956542</v>
      </c>
      <c r="D75" s="2">
        <v>0.042667656336624</v>
      </c>
      <c r="E75" s="2">
        <v>4.1129907529419</v>
      </c>
      <c r="F75" s="2">
        <v>0.77158370537979</v>
      </c>
      <c r="G75" s="2">
        <v>22980282.715336</v>
      </c>
      <c r="H75" s="2">
        <v>45853769.305569</v>
      </c>
      <c r="I75" s="2">
        <v>-0.021231044751934</v>
      </c>
      <c r="J75" s="2">
        <v>-0.018751084488308</v>
      </c>
      <c r="K75" s="2">
        <v>0.041147842082065</v>
      </c>
      <c r="L75" s="2">
        <v>-0.44242765946161</v>
      </c>
      <c r="M75" s="2">
        <v>-0.43851016683659</v>
      </c>
      <c r="N75" s="2">
        <v>532.31073812519</v>
      </c>
      <c r="O75" s="2">
        <v>600.61189480568</v>
      </c>
    </row>
    <row r="76" spans="1:15">
      <c r="A76" s="2">
        <v>14.206684939098</v>
      </c>
      <c r="B76" s="2">
        <v>0.041163129809793</v>
      </c>
      <c r="C76" s="2">
        <v>90.246255090815</v>
      </c>
      <c r="D76" s="2">
        <v>0.043278709740847</v>
      </c>
      <c r="E76" s="2">
        <v>4.118025336917</v>
      </c>
      <c r="F76" s="2">
        <v>0.76856690229022</v>
      </c>
      <c r="G76" s="2">
        <v>23105794.904823</v>
      </c>
      <c r="H76" s="2">
        <v>46577679.612705</v>
      </c>
      <c r="I76" s="2">
        <v>-0.021534066988934</v>
      </c>
      <c r="J76" s="2">
        <v>-0.01902106600889</v>
      </c>
      <c r="K76" s="2">
        <v>0.041723108403706</v>
      </c>
      <c r="L76" s="2">
        <v>-0.4488065471478</v>
      </c>
      <c r="M76" s="2">
        <v>-0.44477297961503</v>
      </c>
      <c r="N76" s="2">
        <v>533.41013982193</v>
      </c>
      <c r="O76" s="2">
        <v>601.93291310952</v>
      </c>
    </row>
    <row r="77" spans="1:15">
      <c r="A77" s="2">
        <v>14.406684939098</v>
      </c>
      <c r="B77" s="2">
        <v>0.041767417424966</v>
      </c>
      <c r="C77" s="2">
        <v>90.245279744263</v>
      </c>
      <c r="D77" s="2">
        <v>0.043889768075906</v>
      </c>
      <c r="E77" s="2">
        <v>4.1230602794757</v>
      </c>
      <c r="F77" s="2">
        <v>0.7655597405384</v>
      </c>
      <c r="G77" s="2">
        <v>23231749.135809</v>
      </c>
      <c r="H77" s="2">
        <v>47303501.784049</v>
      </c>
      <c r="I77" s="2">
        <v>-0.021836887303531</v>
      </c>
      <c r="J77" s="2">
        <v>-0.01929092446079</v>
      </c>
      <c r="K77" s="2">
        <v>0.042298038533329</v>
      </c>
      <c r="L77" s="2">
        <v>-0.45519777454411</v>
      </c>
      <c r="M77" s="2">
        <v>-0.45105491604479</v>
      </c>
      <c r="N77" s="2">
        <v>534.50459201199</v>
      </c>
      <c r="O77" s="2">
        <v>603.24848315356</v>
      </c>
    </row>
    <row r="78" spans="1:15">
      <c r="A78" s="2">
        <v>14.606684939098</v>
      </c>
      <c r="B78" s="2">
        <v>0.042371709289524</v>
      </c>
      <c r="C78" s="2">
        <v>90.24430475903</v>
      </c>
      <c r="D78" s="2">
        <v>0.044500831282298</v>
      </c>
      <c r="E78" s="2">
        <v>4.1280955236211</v>
      </c>
      <c r="F78" s="2">
        <v>0.76256266090423</v>
      </c>
      <c r="G78" s="2">
        <v>23358138.335695</v>
      </c>
      <c r="H78" s="2">
        <v>48031198.89301</v>
      </c>
      <c r="I78" s="2">
        <v>-0.022139504082019</v>
      </c>
      <c r="J78" s="2">
        <v>-0.019560657350618</v>
      </c>
      <c r="K78" s="2">
        <v>0.042872632860113</v>
      </c>
      <c r="L78" s="2">
        <v>-0.46160456725936</v>
      </c>
      <c r="M78" s="2">
        <v>-0.45732321190635</v>
      </c>
      <c r="N78" s="2">
        <v>535.59615035091</v>
      </c>
      <c r="O78" s="2">
        <v>604.56068716563</v>
      </c>
    </row>
    <row r="79" spans="1:15">
      <c r="A79" s="2">
        <v>14.806684939098</v>
      </c>
      <c r="B79" s="2">
        <v>0.042976015906849</v>
      </c>
      <c r="C79" s="2">
        <v>90.243330195382</v>
      </c>
      <c r="D79" s="2">
        <v>0.045111903108007</v>
      </c>
      <c r="E79" s="2">
        <v>4.1331301330265</v>
      </c>
      <c r="F79" s="2">
        <v>0.75957497462832</v>
      </c>
      <c r="G79" s="2">
        <v>23484959.382654</v>
      </c>
      <c r="H79" s="2">
        <v>48760756.306275</v>
      </c>
      <c r="I79" s="2">
        <v>-0.022441921353585</v>
      </c>
      <c r="J79" s="2">
        <v>-0.019830266542333</v>
      </c>
      <c r="K79" s="2">
        <v>0.043446891797016</v>
      </c>
      <c r="L79" s="2">
        <v>-0.46802564895356</v>
      </c>
      <c r="M79" s="2">
        <v>-0.4636225966651</v>
      </c>
      <c r="N79" s="2">
        <v>536.68233997632</v>
      </c>
      <c r="O79" s="2">
        <v>605.86697127051</v>
      </c>
    </row>
    <row r="80" spans="1:15">
      <c r="A80" s="2">
        <v>15.006684939098</v>
      </c>
      <c r="B80" s="2">
        <v>0.043580333260355</v>
      </c>
      <c r="C80" s="2">
        <v>90.242355912814</v>
      </c>
      <c r="D80" s="2">
        <v>0.045722984031501</v>
      </c>
      <c r="E80" s="2">
        <v>4.1381642951838</v>
      </c>
      <c r="F80" s="2">
        <v>0.75659666031986</v>
      </c>
      <c r="G80" s="2">
        <v>23612205.438516</v>
      </c>
      <c r="H80" s="2">
        <v>49492138.188279</v>
      </c>
      <c r="I80" s="2">
        <v>-0.022744138149966</v>
      </c>
      <c r="J80" s="2">
        <v>-0.020099750255401</v>
      </c>
      <c r="K80" s="2">
        <v>0.04402081571707</v>
      </c>
      <c r="L80" s="2">
        <v>-0.47445605398137</v>
      </c>
      <c r="M80" s="2">
        <v>-0.46990617486378</v>
      </c>
      <c r="N80" s="2">
        <v>537.76455526801</v>
      </c>
      <c r="O80" s="2">
        <v>607.16882753229</v>
      </c>
    </row>
    <row r="81" spans="1:15">
      <c r="A81" s="2">
        <v>15.206684939098</v>
      </c>
      <c r="B81" s="2">
        <v>0.04418466701378</v>
      </c>
      <c r="C81" s="2">
        <v>90.241381741404</v>
      </c>
      <c r="D81" s="2">
        <v>0.046334076367969</v>
      </c>
      <c r="E81" s="2">
        <v>4.1431984366601</v>
      </c>
      <c r="F81" s="2">
        <v>0.75362772170045</v>
      </c>
      <c r="G81" s="2">
        <v>23739871.897406</v>
      </c>
      <c r="H81" s="2">
        <v>50225321.523712</v>
      </c>
      <c r="I81" s="2">
        <v>-0.023046157417457</v>
      </c>
      <c r="J81" s="2">
        <v>-0.020369107614113</v>
      </c>
      <c r="K81" s="2">
        <v>0.044594405001034</v>
      </c>
      <c r="L81" s="2">
        <v>-0.48090015155034</v>
      </c>
      <c r="M81" s="2">
        <v>-0.47624465981468</v>
      </c>
      <c r="N81" s="2">
        <v>538.84211050657</v>
      </c>
      <c r="O81" s="2">
        <v>608.46569050131</v>
      </c>
    </row>
    <row r="82" spans="1:15">
      <c r="A82" s="2">
        <v>15.406684939098</v>
      </c>
      <c r="B82" s="2">
        <v>0.0447890143663</v>
      </c>
      <c r="C82" s="2">
        <v>90.240407831663</v>
      </c>
      <c r="D82" s="2">
        <v>0.046945180708054</v>
      </c>
      <c r="E82" s="2">
        <v>4.1482317669974</v>
      </c>
      <c r="F82" s="2">
        <v>0.75066803975122</v>
      </c>
      <c r="G82" s="2">
        <v>23867953.436827</v>
      </c>
      <c r="H82" s="2">
        <v>50960279.348365</v>
      </c>
      <c r="I82" s="2">
        <v>-0.023347979217082</v>
      </c>
      <c r="J82" s="2">
        <v>-0.020638337247756</v>
      </c>
      <c r="K82" s="2">
        <v>0.045167660082254</v>
      </c>
      <c r="L82" s="2">
        <v>-0.48736485026413</v>
      </c>
      <c r="M82" s="2">
        <v>-0.4825776651551</v>
      </c>
      <c r="N82" s="2">
        <v>539.91572257493</v>
      </c>
      <c r="O82" s="2">
        <v>609.75806086715</v>
      </c>
    </row>
    <row r="83" spans="1:15">
      <c r="A83" s="2">
        <v>15.606684939098</v>
      </c>
      <c r="B83" s="2">
        <v>0.045393381805669</v>
      </c>
      <c r="C83" s="2">
        <v>90.239433712623</v>
      </c>
      <c r="D83" s="2">
        <v>0.047556298599166</v>
      </c>
      <c r="E83" s="2">
        <v>4.1532643284399</v>
      </c>
      <c r="F83" s="2">
        <v>0.74771743836535</v>
      </c>
      <c r="G83" s="2">
        <v>23996446.183085</v>
      </c>
      <c r="H83" s="2">
        <v>51696992.912078</v>
      </c>
      <c r="I83" s="2">
        <v>-0.02364960501828</v>
      </c>
      <c r="J83" s="2">
        <v>-0.020907440407345</v>
      </c>
      <c r="K83" s="2">
        <v>0.045740581335837</v>
      </c>
      <c r="L83" s="2">
        <v>-0.49383797837548</v>
      </c>
      <c r="M83" s="2">
        <v>-0.48892061763823</v>
      </c>
      <c r="N83" s="2">
        <v>540.98433025954</v>
      </c>
      <c r="O83" s="2">
        <v>611.04505923409</v>
      </c>
    </row>
    <row r="84" spans="1:15">
      <c r="A84" s="2">
        <v>15.806684939098</v>
      </c>
      <c r="B84" s="2">
        <v>0.045997762635654</v>
      </c>
      <c r="C84" s="2">
        <v>90.238459469422</v>
      </c>
      <c r="D84" s="2">
        <v>0.048167430926739</v>
      </c>
      <c r="E84" s="2">
        <v>4.158296016232</v>
      </c>
      <c r="F84" s="2">
        <v>0.7447759237494</v>
      </c>
      <c r="G84" s="2">
        <v>24125343.503022</v>
      </c>
      <c r="H84" s="2">
        <v>52435427.495996</v>
      </c>
      <c r="I84" s="2">
        <v>-0.023951033830856</v>
      </c>
      <c r="J84" s="2">
        <v>-0.021176415421135</v>
      </c>
      <c r="K84" s="2">
        <v>0.046313169158019</v>
      </c>
      <c r="L84" s="2">
        <v>-0.5003312510926</v>
      </c>
      <c r="M84" s="2">
        <v>-0.49527878227165</v>
      </c>
      <c r="N84" s="2">
        <v>542.04938224034</v>
      </c>
      <c r="O84" s="2">
        <v>612.32811594943</v>
      </c>
    </row>
    <row r="85" spans="1:15">
      <c r="A85" s="2">
        <v>16.006684939098</v>
      </c>
      <c r="B85" s="2">
        <v>0.046602163606991</v>
      </c>
      <c r="C85" s="2">
        <v>90.237485341056</v>
      </c>
      <c r="D85" s="2">
        <v>0.048778579269604</v>
      </c>
      <c r="E85" s="2">
        <v>4.1633268339424</v>
      </c>
      <c r="F85" s="2">
        <v>0.74184370753905</v>
      </c>
      <c r="G85" s="2">
        <v>24254641.527173</v>
      </c>
      <c r="H85" s="2">
        <v>53175564.441384</v>
      </c>
      <c r="I85" s="2">
        <v>-0.024252267405066</v>
      </c>
      <c r="J85" s="2">
        <v>-0.021445262541259</v>
      </c>
      <c r="K85" s="2">
        <v>0.04688542392583</v>
      </c>
      <c r="L85" s="2">
        <v>-0.50683229545361</v>
      </c>
      <c r="M85" s="2">
        <v>-0.50164921204426</v>
      </c>
      <c r="N85" s="2">
        <v>543.1100870563</v>
      </c>
      <c r="O85" s="2">
        <v>613.60646209538</v>
      </c>
    </row>
    <row r="86" spans="1:15">
      <c r="A86" s="2">
        <v>16.206684939098</v>
      </c>
      <c r="B86" s="2">
        <v>0.04720658049641</v>
      </c>
      <c r="C86" s="2">
        <v>90.236511574199</v>
      </c>
      <c r="D86" s="2">
        <v>0.049389744662956</v>
      </c>
      <c r="E86" s="2">
        <v>4.1683566026682</v>
      </c>
      <c r="F86" s="2">
        <v>0.73892029449025</v>
      </c>
      <c r="G86" s="2">
        <v>24384334.393333</v>
      </c>
      <c r="H86" s="2">
        <v>53917373.465868</v>
      </c>
      <c r="I86" s="2">
        <v>-0.024553304866079</v>
      </c>
      <c r="J86" s="2">
        <v>-0.021713981399032</v>
      </c>
      <c r="K86" s="2">
        <v>0.047457346042606</v>
      </c>
      <c r="L86" s="2">
        <v>-0.51334522236412</v>
      </c>
      <c r="M86" s="2">
        <v>-0.50802021331549</v>
      </c>
      <c r="N86" s="2">
        <v>544.16722094423</v>
      </c>
      <c r="O86" s="2">
        <v>614.88090396729</v>
      </c>
    </row>
    <row r="87" spans="1:15">
      <c r="A87" s="2">
        <v>16.406684939098</v>
      </c>
      <c r="B87" s="2">
        <v>0.047811018031082</v>
      </c>
      <c r="C87" s="2">
        <v>90.235537725772</v>
      </c>
      <c r="D87" s="2">
        <v>0.050000928511029</v>
      </c>
      <c r="E87" s="2">
        <v>4.1733853159511</v>
      </c>
      <c r="F87" s="2">
        <v>0.73600582449557</v>
      </c>
      <c r="G87" s="2">
        <v>24514417.623226</v>
      </c>
      <c r="H87" s="2">
        <v>54660832.30227</v>
      </c>
      <c r="I87" s="2">
        <v>-0.024854147826289</v>
      </c>
      <c r="J87" s="2">
        <v>-0.021982571552589</v>
      </c>
      <c r="K87" s="2">
        <v>0.04802893589438</v>
      </c>
      <c r="L87" s="2">
        <v>-0.51989039786503</v>
      </c>
      <c r="M87" s="2">
        <v>-0.51442921550972</v>
      </c>
      <c r="N87" s="2">
        <v>545.22047034255</v>
      </c>
      <c r="O87" s="2">
        <v>616.15116443075</v>
      </c>
    </row>
    <row r="88" spans="1:15">
      <c r="A88" s="2">
        <v>16.606684939098</v>
      </c>
      <c r="B88" s="2">
        <v>0.048415475588307</v>
      </c>
      <c r="C88" s="2">
        <v>90.23456347255</v>
      </c>
      <c r="D88" s="2">
        <v>0.050612131815528</v>
      </c>
      <c r="E88" s="2">
        <v>4.1784129961991</v>
      </c>
      <c r="F88" s="2">
        <v>0.73310014975665</v>
      </c>
      <c r="G88" s="2">
        <v>24644886.588256</v>
      </c>
      <c r="H88" s="2">
        <v>55405917.866145</v>
      </c>
      <c r="I88" s="2">
        <v>-0.025154795153422</v>
      </c>
      <c r="J88" s="2">
        <v>-0.022251034201933</v>
      </c>
      <c r="K88" s="2">
        <v>0.048600193842623</v>
      </c>
      <c r="L88" s="2">
        <v>-0.5264497391334</v>
      </c>
      <c r="M88" s="2">
        <v>-0.52086086733594</v>
      </c>
      <c r="N88" s="2">
        <v>546.26995542731</v>
      </c>
      <c r="O88" s="2">
        <v>617.4173048142</v>
      </c>
    </row>
    <row r="89" spans="1:15">
      <c r="A89" s="2">
        <v>16.806684939098</v>
      </c>
      <c r="B89" s="2">
        <v>0.049019959412776</v>
      </c>
      <c r="C89" s="2">
        <v>90.23358922253</v>
      </c>
      <c r="D89" s="2">
        <v>0.051223356533474</v>
      </c>
      <c r="E89" s="2">
        <v>4.1834393648404</v>
      </c>
      <c r="F89" s="2">
        <v>0.73020352560138</v>
      </c>
      <c r="G89" s="2">
        <v>24775737.622729</v>
      </c>
      <c r="H89" s="2">
        <v>56152612.464101</v>
      </c>
      <c r="I89" s="2">
        <v>-0.025455249829808</v>
      </c>
      <c r="J89" s="2">
        <v>-0.022519368716316</v>
      </c>
      <c r="K89" s="2">
        <v>0.049171120300535</v>
      </c>
      <c r="L89" s="2">
        <v>-0.53299983442429</v>
      </c>
      <c r="M89" s="2">
        <v>-0.52727081204933</v>
      </c>
      <c r="N89" s="2">
        <v>547.31469382967</v>
      </c>
      <c r="O89" s="2">
        <v>618.67841258378</v>
      </c>
    </row>
    <row r="90" spans="1:15">
      <c r="A90" s="2">
        <v>17</v>
      </c>
      <c r="B90" s="2">
        <v>0.049604129961246</v>
      </c>
      <c r="C90" s="2">
        <v>90.232652587096</v>
      </c>
      <c r="D90" s="2">
        <v>0.051814158735148</v>
      </c>
      <c r="E90" s="2">
        <v>4.1882950029292</v>
      </c>
      <c r="F90" s="2">
        <v>0.72741251490083</v>
      </c>
      <c r="G90" s="2">
        <v>24902545.230083</v>
      </c>
      <c r="H90" s="2">
        <v>56875692.416017</v>
      </c>
      <c r="I90" s="2">
        <v>-0.025745453750751</v>
      </c>
      <c r="J90" s="2">
        <v>-0.022778589031503</v>
      </c>
      <c r="K90" s="2">
        <v>0.049722649103363</v>
      </c>
      <c r="L90" s="2">
        <v>-0.53894067243142</v>
      </c>
      <c r="M90" s="2">
        <v>-0.5328663737027</v>
      </c>
      <c r="N90" s="2">
        <v>548.34280112797</v>
      </c>
      <c r="O90" s="2">
        <v>619.91702246721</v>
      </c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topLeftCell="A67" workbookViewId="0">
      <selection activeCell="A1" sqref="A1:O90"/>
    </sheetView>
  </sheetViews>
  <sheetFormatPr defaultColWidth="8.81333333333333" defaultRowHeight="15"/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6.3529717571166e-32</v>
      </c>
      <c r="C3" s="2">
        <v>90.287235980473</v>
      </c>
      <c r="D3" s="3">
        <v>6.9507154737445e-6</v>
      </c>
      <c r="E3" s="2">
        <v>6.6107828794075</v>
      </c>
      <c r="F3" s="2">
        <v>0.99204025442274</v>
      </c>
      <c r="G3" s="2">
        <v>16000000</v>
      </c>
      <c r="H3" s="2">
        <v>4000000</v>
      </c>
      <c r="I3" s="3">
        <v>-2.0903777359458e-6</v>
      </c>
      <c r="J3" s="3">
        <v>-1.8871850945693e-6</v>
      </c>
      <c r="K3" s="3">
        <v>7.7492131975427e-6</v>
      </c>
      <c r="L3" s="3">
        <v>-1.289310465015e-7</v>
      </c>
      <c r="M3" s="3">
        <v>-1.2997269709127e-7</v>
      </c>
      <c r="N3" s="2">
        <v>1.6857299647675</v>
      </c>
      <c r="O3" s="2">
        <v>1.7836762394114</v>
      </c>
    </row>
    <row r="4" spans="1:15">
      <c r="A4" s="2">
        <v>0.018444056862426</v>
      </c>
      <c r="B4" s="3">
        <v>2.2159457893483e-28</v>
      </c>
      <c r="C4" s="2">
        <v>90.287535171227</v>
      </c>
      <c r="D4" s="3">
        <v>4.9632148559239e-5</v>
      </c>
      <c r="E4" s="2">
        <v>6.6107928629549</v>
      </c>
      <c r="F4" s="2">
        <v>0.99209553577674</v>
      </c>
      <c r="G4" s="2">
        <v>16000000</v>
      </c>
      <c r="H4" s="2">
        <v>4000000</v>
      </c>
      <c r="I4" s="3">
        <v>-1.4928172089119e-5</v>
      </c>
      <c r="J4" s="3">
        <v>-1.347711801406e-5</v>
      </c>
      <c r="K4" s="3">
        <v>5.5330613417084e-5</v>
      </c>
      <c r="L4" s="3">
        <v>-6.5696181121994e-6</v>
      </c>
      <c r="M4" s="3">
        <v>-6.6232902133732e-6</v>
      </c>
      <c r="N4" s="2">
        <v>12.039856479517</v>
      </c>
      <c r="O4" s="2">
        <v>12.739168007944</v>
      </c>
    </row>
    <row r="5" spans="1:15">
      <c r="A5" s="2">
        <v>0.1</v>
      </c>
      <c r="B5" s="3">
        <v>8.4926769441762e-21</v>
      </c>
      <c r="C5" s="2">
        <v>90.289115955694</v>
      </c>
      <c r="D5" s="2">
        <v>0.00026914765846423</v>
      </c>
      <c r="E5" s="2">
        <v>6.6108435237686</v>
      </c>
      <c r="F5" s="2">
        <v>0.99237953845064</v>
      </c>
      <c r="G5" s="2">
        <v>16000000</v>
      </c>
      <c r="H5" s="2">
        <v>4000000</v>
      </c>
      <c r="I5" s="3">
        <v>-8.1007149322653e-5</v>
      </c>
      <c r="J5" s="3">
        <v>-7.3133692909743e-5</v>
      </c>
      <c r="K5" s="2">
        <v>0.00029995423295684</v>
      </c>
      <c r="L5" s="2">
        <v>-0.00019157505462092</v>
      </c>
      <c r="M5" s="2">
        <v>-0.00019331920155484</v>
      </c>
      <c r="N5" s="2">
        <v>65.377296233659</v>
      </c>
      <c r="O5" s="2">
        <v>69.167234974956</v>
      </c>
    </row>
    <row r="6" spans="1:15">
      <c r="A6" s="2">
        <v>0.20668493909835</v>
      </c>
      <c r="B6" s="3">
        <v>2.5691089753214e-15</v>
      </c>
      <c r="C6" s="2">
        <v>90.291300174629</v>
      </c>
      <c r="D6" s="2">
        <v>0.00055641919938679</v>
      </c>
      <c r="E6" s="2">
        <v>6.610908328587</v>
      </c>
      <c r="F6" s="2">
        <v>0.99275044576169</v>
      </c>
      <c r="G6" s="2">
        <v>16000000</v>
      </c>
      <c r="H6" s="2">
        <v>4000000.0000015</v>
      </c>
      <c r="I6" s="2">
        <v>-0.00016759588701502</v>
      </c>
      <c r="J6" s="2">
        <v>-0.00015130804913655</v>
      </c>
      <c r="K6" s="2">
        <v>0.00061985935028958</v>
      </c>
      <c r="L6" s="2">
        <v>-0.00082200365117782</v>
      </c>
      <c r="M6" s="2">
        <v>-0.00082932704907927</v>
      </c>
      <c r="N6" s="2">
        <v>135.36768115488</v>
      </c>
      <c r="O6" s="2">
        <v>143.1966015578</v>
      </c>
    </row>
    <row r="7" spans="1:15">
      <c r="A7" s="2">
        <v>0.40668493909835</v>
      </c>
      <c r="B7" s="3">
        <v>4.7855984504067e-9</v>
      </c>
      <c r="C7" s="2">
        <v>90.295814069771</v>
      </c>
      <c r="D7" s="2">
        <v>0.0010953632150802</v>
      </c>
      <c r="E7" s="2">
        <v>6.6110245399083</v>
      </c>
      <c r="F7" s="2">
        <v>0.99344377141424</v>
      </c>
      <c r="G7" s="2">
        <v>16000000.41802</v>
      </c>
      <c r="H7" s="2">
        <v>4000002.6768236</v>
      </c>
      <c r="I7" s="2">
        <v>-0.00033047043157312</v>
      </c>
      <c r="J7" s="2">
        <v>-0.00029835935372939</v>
      </c>
      <c r="K7" s="2">
        <v>0.0012192983457376</v>
      </c>
      <c r="L7" s="2">
        <v>-0.0031827887932033</v>
      </c>
      <c r="M7" s="2">
        <v>-0.0032126012444967</v>
      </c>
      <c r="N7" s="2">
        <v>267.3561830442</v>
      </c>
      <c r="O7" s="2">
        <v>282.74504505097</v>
      </c>
    </row>
    <row r="8" spans="1:15">
      <c r="A8" s="2">
        <v>0.60668493909835</v>
      </c>
      <c r="B8" s="3">
        <v>4.4777935412245e-5</v>
      </c>
      <c r="C8" s="2">
        <v>90.300593255227</v>
      </c>
      <c r="D8" s="2">
        <v>0.0016405548888853</v>
      </c>
      <c r="E8" s="2">
        <v>6.6116279128518</v>
      </c>
      <c r="F8" s="2">
        <v>0.99395267017605</v>
      </c>
      <c r="G8" s="2">
        <v>16003980.900985</v>
      </c>
      <c r="H8" s="2">
        <v>4025482.498822</v>
      </c>
      <c r="I8" s="2">
        <v>-0.00050516428184209</v>
      </c>
      <c r="J8" s="2">
        <v>-0.00045356314410685</v>
      </c>
      <c r="K8" s="2">
        <v>0.0018183717751709</v>
      </c>
      <c r="L8" s="2">
        <v>-0.0083267383381527</v>
      </c>
      <c r="M8" s="2">
        <v>-0.0081292171108913</v>
      </c>
      <c r="N8" s="2">
        <v>391.7211608278</v>
      </c>
      <c r="O8" s="2">
        <v>414.74901729195</v>
      </c>
    </row>
    <row r="9" spans="1:15">
      <c r="A9" s="2">
        <v>0.80668493909835</v>
      </c>
      <c r="B9" s="2">
        <v>0.00047527713416616</v>
      </c>
      <c r="C9" s="2">
        <v>90.303364966596</v>
      </c>
      <c r="D9" s="2">
        <v>0.0022257410301322</v>
      </c>
      <c r="E9" s="2">
        <v>6.6166320732443</v>
      </c>
      <c r="F9" s="2">
        <v>0.99303939068105</v>
      </c>
      <c r="G9" s="2">
        <v>16044798.813647</v>
      </c>
      <c r="H9" s="2">
        <v>4286437.7169893</v>
      </c>
      <c r="I9" s="2">
        <v>-0.00076337551831898</v>
      </c>
      <c r="J9" s="2">
        <v>-0.00068096432548841</v>
      </c>
      <c r="K9" s="2">
        <v>0.0024170797486985</v>
      </c>
      <c r="L9" s="2">
        <v>-0.018182991293277</v>
      </c>
      <c r="M9" s="2">
        <v>-0.017517806851873</v>
      </c>
      <c r="N9" s="2">
        <v>444.7456303133</v>
      </c>
      <c r="O9" s="2">
        <v>475.2513746761</v>
      </c>
    </row>
    <row r="10" spans="1:15">
      <c r="A10" s="2">
        <v>1.0066849390983</v>
      </c>
      <c r="B10" s="2">
        <v>0.001074565984001</v>
      </c>
      <c r="C10" s="2">
        <v>90.307224757667</v>
      </c>
      <c r="D10" s="2">
        <v>0.0028279162861457</v>
      </c>
      <c r="E10" s="2">
        <v>6.621132512424</v>
      </c>
      <c r="F10" s="2">
        <v>0.99115656373032</v>
      </c>
      <c r="G10" s="2">
        <v>16106485.775512</v>
      </c>
      <c r="H10" s="2">
        <v>4679966.0513797</v>
      </c>
      <c r="I10" s="2">
        <v>-0.0010579580633209</v>
      </c>
      <c r="J10" s="2">
        <v>-0.00094405803592841</v>
      </c>
      <c r="K10" s="2">
        <v>0.0030154243766592</v>
      </c>
      <c r="L10" s="2">
        <v>-0.018395673331127</v>
      </c>
      <c r="M10" s="2">
        <v>-0.017498049595569</v>
      </c>
      <c r="N10" s="2">
        <v>464.05412024406</v>
      </c>
      <c r="O10" s="2">
        <v>501.22837798541</v>
      </c>
    </row>
    <row r="11" spans="1:15">
      <c r="A11" s="2">
        <v>1.2066849390983</v>
      </c>
      <c r="B11" s="2">
        <v>0.0016904613819207</v>
      </c>
      <c r="C11" s="2">
        <v>90.309832854141</v>
      </c>
      <c r="D11" s="2">
        <v>0.0034378532305061</v>
      </c>
      <c r="E11" s="2">
        <v>6.6248047997152</v>
      </c>
      <c r="F11" s="2">
        <v>0.98798376468985</v>
      </c>
      <c r="G11" s="2">
        <v>16175539.541606</v>
      </c>
      <c r="H11" s="2">
        <v>5119422.1065379</v>
      </c>
      <c r="I11" s="2">
        <v>-0.0013623046229297</v>
      </c>
      <c r="J11" s="2">
        <v>-0.0012146948346948</v>
      </c>
      <c r="K11" s="2">
        <v>0.0036134036267219</v>
      </c>
      <c r="L11" s="2">
        <v>-0.028710343151939</v>
      </c>
      <c r="M11" s="2">
        <v>-0.028543570129783</v>
      </c>
      <c r="N11" s="2">
        <v>475.11678252755</v>
      </c>
      <c r="O11" s="2">
        <v>517.69348970745</v>
      </c>
    </row>
    <row r="12" spans="1:15">
      <c r="A12" s="2">
        <v>1.4066849390983</v>
      </c>
      <c r="B12" s="2">
        <v>0.0023037827909891</v>
      </c>
      <c r="C12" s="2">
        <v>90.310989679213</v>
      </c>
      <c r="D12" s="2">
        <v>0.0040517655335482</v>
      </c>
      <c r="E12" s="2">
        <v>6.6285657402207</v>
      </c>
      <c r="F12" s="2">
        <v>0.98418114818139</v>
      </c>
      <c r="G12" s="2">
        <v>16249239.376559</v>
      </c>
      <c r="H12" s="2">
        <v>5587297.3497262</v>
      </c>
      <c r="I12" s="2">
        <v>-0.0016706839718033</v>
      </c>
      <c r="J12" s="2">
        <v>-0.0014890065053106</v>
      </c>
      <c r="K12" s="2">
        <v>0.0042110174682238</v>
      </c>
      <c r="L12" s="2">
        <v>-0.037858938922289</v>
      </c>
      <c r="M12" s="2">
        <v>-0.03795809313552</v>
      </c>
      <c r="N12" s="2">
        <v>482.37092789765</v>
      </c>
      <c r="O12" s="2">
        <v>528.99128949987</v>
      </c>
    </row>
    <row r="13" spans="1:15">
      <c r="A13" s="2">
        <v>1.6066849390983</v>
      </c>
      <c r="B13" s="2">
        <v>0.0029132935087791</v>
      </c>
      <c r="C13" s="2">
        <v>90.311232254074</v>
      </c>
      <c r="D13" s="2">
        <v>0.0046673959972007</v>
      </c>
      <c r="E13" s="2">
        <v>6.6324431867872</v>
      </c>
      <c r="F13" s="2">
        <v>0.98031069838897</v>
      </c>
      <c r="G13" s="2">
        <v>16326452.64139</v>
      </c>
      <c r="H13" s="2">
        <v>6076281.709194</v>
      </c>
      <c r="I13" s="2">
        <v>-0.0019815879706106</v>
      </c>
      <c r="J13" s="2">
        <v>-0.0017650965647669</v>
      </c>
      <c r="K13" s="2">
        <v>0.0048082673706485</v>
      </c>
      <c r="L13" s="2">
        <v>-0.047531993311822</v>
      </c>
      <c r="M13" s="2">
        <v>-0.047359892844064</v>
      </c>
      <c r="N13" s="2">
        <v>487.39047577465</v>
      </c>
      <c r="O13" s="2">
        <v>536.84620985453</v>
      </c>
    </row>
    <row r="14" spans="1:15">
      <c r="A14" s="2">
        <v>1.8066849390983</v>
      </c>
      <c r="B14" s="2">
        <v>0.0035207163154769</v>
      </c>
      <c r="C14" s="2">
        <v>90.31093071054</v>
      </c>
      <c r="D14" s="2">
        <v>0.0052836176359044</v>
      </c>
      <c r="E14" s="2">
        <v>6.6364393410359</v>
      </c>
      <c r="F14" s="2">
        <v>0.97641263815097</v>
      </c>
      <c r="G14" s="2">
        <v>16406136.613576</v>
      </c>
      <c r="H14" s="2">
        <v>6579676.3887444</v>
      </c>
      <c r="I14" s="2">
        <v>-0.0022942883147509</v>
      </c>
      <c r="J14" s="2">
        <v>-0.0020414353916161</v>
      </c>
      <c r="K14" s="2">
        <v>0.0054051542606405</v>
      </c>
      <c r="L14" s="2">
        <v>-0.05536777116211</v>
      </c>
      <c r="M14" s="2">
        <v>-0.055809916926052</v>
      </c>
      <c r="N14" s="2">
        <v>491.24275868698</v>
      </c>
      <c r="O14" s="2">
        <v>542.76287837769</v>
      </c>
    </row>
    <row r="15" spans="1:15">
      <c r="A15" s="2">
        <v>2.0066849390983</v>
      </c>
      <c r="B15" s="2">
        <v>0.0041269450617261</v>
      </c>
      <c r="C15" s="2">
        <v>90.310283296148</v>
      </c>
      <c r="D15" s="2">
        <v>0.0058999061587641</v>
      </c>
      <c r="E15" s="2">
        <v>6.6405168429333</v>
      </c>
      <c r="F15" s="2">
        <v>0.97250631846842</v>
      </c>
      <c r="G15" s="2">
        <v>16487731.232239</v>
      </c>
      <c r="H15" s="2">
        <v>7093888.9942663</v>
      </c>
      <c r="I15" s="2">
        <v>-0.0026084195703607</v>
      </c>
      <c r="J15" s="2">
        <v>-0.002317365879969</v>
      </c>
      <c r="K15" s="2">
        <v>0.0060016792187516</v>
      </c>
      <c r="L15" s="2">
        <v>-0.063403774451037</v>
      </c>
      <c r="M15" s="2">
        <v>-0.064340160080902</v>
      </c>
      <c r="N15" s="2">
        <v>494.42091155304</v>
      </c>
      <c r="O15" s="2">
        <v>547.51762473079</v>
      </c>
    </row>
    <row r="16" spans="1:15">
      <c r="A16" s="2">
        <v>2.2066849390983</v>
      </c>
      <c r="B16" s="2">
        <v>0.0047326716697471</v>
      </c>
      <c r="C16" s="2">
        <v>90.30942484882</v>
      </c>
      <c r="D16" s="2">
        <v>0.0065160010499261</v>
      </c>
      <c r="E16" s="2">
        <v>6.6446291381073</v>
      </c>
      <c r="F16" s="2">
        <v>0.96861178266249</v>
      </c>
      <c r="G16" s="2">
        <v>16570908.812303</v>
      </c>
      <c r="H16" s="2">
        <v>7616821.9797426</v>
      </c>
      <c r="I16" s="2">
        <v>-0.002923466046899</v>
      </c>
      <c r="J16" s="2">
        <v>-0.0025928787504034</v>
      </c>
      <c r="K16" s="2">
        <v>0.0065978433324999</v>
      </c>
      <c r="L16" s="2">
        <v>-0.071646999643728</v>
      </c>
      <c r="M16" s="2">
        <v>-0.072757859685978</v>
      </c>
      <c r="N16" s="2">
        <v>497.17668032694</v>
      </c>
      <c r="O16" s="2">
        <v>551.54947063875</v>
      </c>
    </row>
    <row r="17" spans="1:15">
      <c r="A17" s="2">
        <v>2.4066849390983</v>
      </c>
      <c r="B17" s="2">
        <v>0.0053382447643863</v>
      </c>
      <c r="C17" s="2">
        <v>90.308460258186</v>
      </c>
      <c r="D17" s="2">
        <v>0.0071318128982329</v>
      </c>
      <c r="E17" s="2">
        <v>6.6487510699407</v>
      </c>
      <c r="F17" s="2">
        <v>0.96472018277595</v>
      </c>
      <c r="G17" s="2">
        <v>16655471.750686</v>
      </c>
      <c r="H17" s="2">
        <v>8147213.8020541</v>
      </c>
      <c r="I17" s="2">
        <v>-0.0032389015712424</v>
      </c>
      <c r="J17" s="2">
        <v>-0.0028682102236883</v>
      </c>
      <c r="K17" s="2">
        <v>0.0071936471087668</v>
      </c>
      <c r="L17" s="2">
        <v>-0.079641244703994</v>
      </c>
      <c r="M17" s="2">
        <v>-0.080883361837255</v>
      </c>
      <c r="N17" s="2">
        <v>499.64952120026</v>
      </c>
      <c r="O17" s="2">
        <v>555.10120114508</v>
      </c>
    </row>
    <row r="18" spans="1:15">
      <c r="A18" s="2">
        <v>2.6066849390983</v>
      </c>
      <c r="B18" s="2">
        <v>0.00594376303394</v>
      </c>
      <c r="C18" s="2">
        <v>90.307437273667</v>
      </c>
      <c r="D18" s="2">
        <v>0.0077473533844535</v>
      </c>
      <c r="E18" s="2">
        <v>6.6528757642518</v>
      </c>
      <c r="F18" s="2">
        <v>0.9608470846235</v>
      </c>
      <c r="G18" s="2">
        <v>16741291.306088</v>
      </c>
      <c r="H18" s="2">
        <v>8684245.258353</v>
      </c>
      <c r="I18" s="2">
        <v>-0.0035543813722356</v>
      </c>
      <c r="J18" s="2">
        <v>-0.0031435360984765</v>
      </c>
      <c r="K18" s="2">
        <v>0.0077890908376265</v>
      </c>
      <c r="L18" s="2">
        <v>-0.087542871160711</v>
      </c>
      <c r="M18" s="2">
        <v>-0.088968397896919</v>
      </c>
      <c r="N18" s="2">
        <v>501.92237134196</v>
      </c>
      <c r="O18" s="2">
        <v>558.30537138156</v>
      </c>
    </row>
    <row r="19" spans="1:15">
      <c r="A19" s="2">
        <v>2.8066849390983</v>
      </c>
      <c r="B19" s="2">
        <v>0.0065492333824892</v>
      </c>
      <c r="C19" s="2">
        <v>90.306382103229</v>
      </c>
      <c r="D19" s="2">
        <v>0.008362653955787</v>
      </c>
      <c r="E19" s="2">
        <v>6.6570079656381</v>
      </c>
      <c r="F19" s="2">
        <v>0.95701627544911</v>
      </c>
      <c r="G19" s="2">
        <v>16828273.356432</v>
      </c>
      <c r="H19" s="2">
        <v>9227320.1562511</v>
      </c>
      <c r="I19" s="2">
        <v>-0.003869690582166</v>
      </c>
      <c r="J19" s="2">
        <v>-0.003418960733409</v>
      </c>
      <c r="K19" s="2">
        <v>0.0083841749148915</v>
      </c>
      <c r="L19" s="2">
        <v>-0.095270864639681</v>
      </c>
      <c r="M19" s="2">
        <v>-0.096823438963348</v>
      </c>
      <c r="N19" s="2">
        <v>504.04957606124</v>
      </c>
      <c r="O19" s="2">
        <v>561.24241259135</v>
      </c>
    </row>
    <row r="20" spans="1:15">
      <c r="A20" s="2">
        <v>3.0066849390983</v>
      </c>
      <c r="B20" s="2">
        <v>0.0071546438974485</v>
      </c>
      <c r="C20" s="2">
        <v>90.305310091912</v>
      </c>
      <c r="D20" s="2">
        <v>0.008977731609722</v>
      </c>
      <c r="E20" s="2">
        <v>6.6611584444647</v>
      </c>
      <c r="F20" s="2">
        <v>0.95323580344577</v>
      </c>
      <c r="G20" s="2">
        <v>16916342.968988</v>
      </c>
      <c r="H20" s="2">
        <v>9775966.2828727</v>
      </c>
      <c r="I20" s="2">
        <v>-0.0041847275555333</v>
      </c>
      <c r="J20" s="2">
        <v>-0.0036945114707455</v>
      </c>
      <c r="K20" s="2">
        <v>0.0089788997796903</v>
      </c>
      <c r="L20" s="2">
        <v>-0.10293134740242</v>
      </c>
      <c r="M20" s="2">
        <v>-0.10454444370021</v>
      </c>
      <c r="N20" s="2">
        <v>506.06861137223</v>
      </c>
      <c r="O20" s="2">
        <v>563.97087361417</v>
      </c>
    </row>
    <row r="21" spans="1:15">
      <c r="A21" s="2">
        <v>3.2066849390983</v>
      </c>
      <c r="B21" s="2">
        <v>0.0077600546214412</v>
      </c>
      <c r="C21" s="2">
        <v>90.304230780948</v>
      </c>
      <c r="D21" s="2">
        <v>0.0095926185283007</v>
      </c>
      <c r="E21" s="2">
        <v>6.6653366738326</v>
      </c>
      <c r="F21" s="2">
        <v>0.94950319106373</v>
      </c>
      <c r="G21" s="2">
        <v>17005430.360962</v>
      </c>
      <c r="H21" s="2">
        <v>10329745.760116</v>
      </c>
      <c r="I21" s="2">
        <v>-0.0044994559794001</v>
      </c>
      <c r="J21" s="2">
        <v>-0.0039701689955392</v>
      </c>
      <c r="K21" s="2">
        <v>0.0095732658004993</v>
      </c>
      <c r="L21" s="2">
        <v>-0.1104827015592</v>
      </c>
      <c r="M21" s="2">
        <v>-0.11212134966977</v>
      </c>
      <c r="N21" s="2">
        <v>508.00807872496</v>
      </c>
      <c r="O21" s="2">
        <v>566.54633630397</v>
      </c>
    </row>
    <row r="22" spans="1:15">
      <c r="A22" s="2">
        <v>3.4066849390983</v>
      </c>
      <c r="B22" s="2">
        <v>0.0083655336993972</v>
      </c>
      <c r="C22" s="2">
        <v>90.303150644531</v>
      </c>
      <c r="D22" s="2">
        <v>0.010207350207774</v>
      </c>
      <c r="E22" s="2">
        <v>6.6695501702158</v>
      </c>
      <c r="F22" s="2">
        <v>0.94581146002175</v>
      </c>
      <c r="G22" s="2">
        <v>17095479.365857</v>
      </c>
      <c r="H22" s="2">
        <v>10888308.390553</v>
      </c>
      <c r="I22" s="2">
        <v>-0.0048138790041137</v>
      </c>
      <c r="J22" s="2">
        <v>-0.0042458935306466</v>
      </c>
      <c r="K22" s="2">
        <v>0.010167273347342</v>
      </c>
      <c r="L22" s="2">
        <v>-0.11796377415745</v>
      </c>
      <c r="M22" s="2">
        <v>-0.11960302337298</v>
      </c>
      <c r="N22" s="2">
        <v>509.88735929699</v>
      </c>
      <c r="O22" s="2">
        <v>569.01094752889</v>
      </c>
    </row>
    <row r="23" spans="1:15">
      <c r="A23" s="2">
        <v>3.6066849390983</v>
      </c>
      <c r="B23" s="2">
        <v>0.008971085118143</v>
      </c>
      <c r="C23" s="2">
        <v>90.30207178531</v>
      </c>
      <c r="D23" s="2">
        <v>0.010821942386829</v>
      </c>
      <c r="E23" s="2">
        <v>6.6738014004107</v>
      </c>
      <c r="F23" s="2">
        <v>0.94215649001185</v>
      </c>
      <c r="G23" s="2">
        <v>17186451.237413</v>
      </c>
      <c r="H23" s="2">
        <v>11451415.313212</v>
      </c>
      <c r="I23" s="2">
        <v>-0.0051280153415147</v>
      </c>
      <c r="J23" s="2">
        <v>-0.0045216425925794</v>
      </c>
      <c r="K23" s="2">
        <v>0.010760922894239</v>
      </c>
      <c r="L23" s="2">
        <v>-0.12536658495683</v>
      </c>
      <c r="M23" s="2">
        <v>-0.12698994505799</v>
      </c>
      <c r="N23" s="2">
        <v>511.71895179294</v>
      </c>
      <c r="O23" s="2">
        <v>571.38924601289</v>
      </c>
    </row>
    <row r="24" spans="1:15">
      <c r="A24" s="2">
        <v>3.8066849390983</v>
      </c>
      <c r="B24" s="2">
        <v>0.0095766803553613</v>
      </c>
      <c r="C24" s="2">
        <v>90.300993640577</v>
      </c>
      <c r="D24" s="2">
        <v>0.011436392476843</v>
      </c>
      <c r="E24" s="2">
        <v>6.6780914575168</v>
      </c>
      <c r="F24" s="2">
        <v>0.93853646197506</v>
      </c>
      <c r="G24" s="2">
        <v>17278320.569344</v>
      </c>
      <c r="H24" s="2">
        <v>12018912.488403</v>
      </c>
      <c r="I24" s="2">
        <v>-0.0054418867366298</v>
      </c>
      <c r="J24" s="2">
        <v>-0.0047973841143255</v>
      </c>
      <c r="K24" s="2">
        <v>0.011354215027874</v>
      </c>
      <c r="L24" s="2">
        <v>-0.13275026995742</v>
      </c>
      <c r="M24" s="2">
        <v>-0.13435742762015</v>
      </c>
      <c r="N24" s="2">
        <v>513.50871499378</v>
      </c>
      <c r="O24" s="2">
        <v>573.69272699601</v>
      </c>
    </row>
    <row r="25" spans="1:15">
      <c r="A25" s="2">
        <v>4.0066849390983</v>
      </c>
      <c r="B25" s="2">
        <v>0.010182278053391</v>
      </c>
      <c r="C25" s="2">
        <v>90.299915863566</v>
      </c>
      <c r="D25" s="2">
        <v>0.012050695891682</v>
      </c>
      <c r="E25" s="2">
        <v>6.6824198777438</v>
      </c>
      <c r="F25" s="2">
        <v>0.93495034648494</v>
      </c>
      <c r="G25" s="2">
        <v>17371064.63565</v>
      </c>
      <c r="H25" s="2">
        <v>12590663.420125</v>
      </c>
      <c r="I25" s="2">
        <v>-0.0057555214055012</v>
      </c>
      <c r="J25" s="2">
        <v>-0.005073078940436</v>
      </c>
      <c r="K25" s="2">
        <v>0.011947150343731</v>
      </c>
      <c r="L25" s="2">
        <v>-0.14019565768912</v>
      </c>
      <c r="M25" s="2">
        <v>-0.14173150211374</v>
      </c>
      <c r="N25" s="2">
        <v>515.26268020584</v>
      </c>
      <c r="O25" s="2">
        <v>575.93227301907</v>
      </c>
    </row>
    <row r="26" spans="1:15">
      <c r="A26" s="2">
        <v>4.2066849390983</v>
      </c>
      <c r="B26" s="2">
        <v>0.010787841448655</v>
      </c>
      <c r="C26" s="2">
        <v>90.298840041838</v>
      </c>
      <c r="D26" s="2">
        <v>0.012664844421032</v>
      </c>
      <c r="E26" s="2">
        <v>6.68678639928</v>
      </c>
      <c r="F26" s="2">
        <v>0.93139465602315</v>
      </c>
      <c r="G26" s="2">
        <v>17464665.456807</v>
      </c>
      <c r="H26" s="2">
        <v>13166561.958121</v>
      </c>
      <c r="I26" s="2">
        <v>-0.0060689653693844</v>
      </c>
      <c r="J26" s="2">
        <v>-0.005348673717985</v>
      </c>
      <c r="K26" s="2">
        <v>0.012539729402125</v>
      </c>
      <c r="L26" s="2">
        <v>-0.14752525659563</v>
      </c>
      <c r="M26" s="2">
        <v>-0.14900229013778</v>
      </c>
      <c r="N26" s="2">
        <v>516.98460246339</v>
      </c>
      <c r="O26" s="2">
        <v>578.11485845023</v>
      </c>
    </row>
    <row r="27" spans="1:15">
      <c r="A27" s="2">
        <v>4.4066849390983</v>
      </c>
      <c r="B27" s="2">
        <v>0.01139332613751</v>
      </c>
      <c r="C27" s="2">
        <v>90.297758969352</v>
      </c>
      <c r="D27" s="2">
        <v>0.013278823148922</v>
      </c>
      <c r="E27" s="2">
        <v>6.691188361849</v>
      </c>
      <c r="F27" s="2">
        <v>0.92786615808031</v>
      </c>
      <c r="G27" s="2">
        <v>17559109.875559</v>
      </c>
      <c r="H27" s="2">
        <v>13746532.58012</v>
      </c>
      <c r="I27" s="2">
        <v>-0.0063822718921322</v>
      </c>
      <c r="J27" s="2">
        <v>-0.0056241110888232</v>
      </c>
      <c r="K27" s="2">
        <v>0.013131952816778</v>
      </c>
      <c r="L27" s="2">
        <v>-0.15481630213516</v>
      </c>
      <c r="M27" s="2">
        <v>-0.15624354036426</v>
      </c>
      <c r="N27" s="2">
        <v>518.67691408977</v>
      </c>
      <c r="O27" s="2">
        <v>580.24386086949</v>
      </c>
    </row>
    <row r="28" spans="1:15">
      <c r="A28" s="2">
        <v>4.6066849390983</v>
      </c>
      <c r="B28" s="2">
        <v>0.011998718991863</v>
      </c>
      <c r="C28" s="2">
        <v>90.296673776793</v>
      </c>
      <c r="D28" s="2">
        <v>0.013892629685245</v>
      </c>
      <c r="E28" s="2">
        <v>6.6956217673571</v>
      </c>
      <c r="F28" s="2">
        <v>0.92436326896989</v>
      </c>
      <c r="G28" s="2">
        <v>17654382.486908</v>
      </c>
      <c r="H28" s="2">
        <v>14330485.708317</v>
      </c>
      <c r="I28" s="2">
        <v>-0.0066954574418257</v>
      </c>
      <c r="J28" s="2">
        <v>-0.0058993690051918</v>
      </c>
      <c r="K28" s="2">
        <v>0.013723821102296</v>
      </c>
      <c r="L28" s="2">
        <v>-0.162081989931</v>
      </c>
      <c r="M28" s="2">
        <v>-0.16341244939222</v>
      </c>
      <c r="N28" s="2">
        <v>520.3424978651</v>
      </c>
      <c r="O28" s="2">
        <v>582.32526677141</v>
      </c>
    </row>
    <row r="29" spans="1:15">
      <c r="A29" s="2">
        <v>4.8066849390983</v>
      </c>
      <c r="B29" s="2">
        <v>0.012604033892837</v>
      </c>
      <c r="C29" s="2">
        <v>90.295584985864</v>
      </c>
      <c r="D29" s="2">
        <v>0.014506277377351</v>
      </c>
      <c r="E29" s="2">
        <v>6.7000828934601</v>
      </c>
      <c r="F29" s="2">
        <v>0.92088447405255</v>
      </c>
      <c r="G29" s="2">
        <v>17750465.578762</v>
      </c>
      <c r="H29" s="2">
        <v>14918317.378948</v>
      </c>
      <c r="I29" s="2">
        <v>-0.007008507167696</v>
      </c>
      <c r="J29" s="2">
        <v>-0.0061744581066744</v>
      </c>
      <c r="K29" s="2">
        <v>0.014315334637519</v>
      </c>
      <c r="L29" s="2">
        <v>-0.16931770543928</v>
      </c>
      <c r="M29" s="2">
        <v>-0.17055353285935</v>
      </c>
      <c r="N29" s="2">
        <v>521.98382498497</v>
      </c>
      <c r="O29" s="2">
        <v>584.3663619609</v>
      </c>
    </row>
    <row r="30" spans="1:15">
      <c r="A30" s="2">
        <v>5.0066849390983</v>
      </c>
      <c r="B30" s="2">
        <v>0.013209286964558</v>
      </c>
      <c r="C30" s="2">
        <v>90.294493119142</v>
      </c>
      <c r="D30" s="2">
        <v>0.015119781925274</v>
      </c>
      <c r="E30" s="2">
        <v>6.7045686470917</v>
      </c>
      <c r="F30" s="2">
        <v>0.91742773561704</v>
      </c>
      <c r="G30" s="2">
        <v>17847341.023875</v>
      </c>
      <c r="H30" s="2">
        <v>15509921.442688</v>
      </c>
      <c r="I30" s="2">
        <v>-0.0073214044477385</v>
      </c>
      <c r="J30" s="2">
        <v>-0.0064493874559968</v>
      </c>
      <c r="K30" s="2">
        <v>0.014906493747785</v>
      </c>
      <c r="L30" s="2">
        <v>-0.17648141421142</v>
      </c>
      <c r="M30" s="2">
        <v>-0.17763106305096</v>
      </c>
      <c r="N30" s="2">
        <v>523.60471620283</v>
      </c>
      <c r="O30" s="2">
        <v>586.37497926542</v>
      </c>
    </row>
    <row r="31" spans="1:15">
      <c r="A31" s="2">
        <v>5.2066849390983</v>
      </c>
      <c r="B31" s="2">
        <v>0.013814501840223</v>
      </c>
      <c r="C31" s="2">
        <v>90.293398375963</v>
      </c>
      <c r="D31" s="2">
        <v>0.01573316135033</v>
      </c>
      <c r="E31" s="2">
        <v>6.7090760438173</v>
      </c>
      <c r="F31" s="2">
        <v>0.91399117543575</v>
      </c>
      <c r="G31" s="2">
        <v>17944994.235694</v>
      </c>
      <c r="H31" s="2">
        <v>16105213.784287</v>
      </c>
      <c r="I31" s="2">
        <v>-0.0076341403361535</v>
      </c>
      <c r="J31" s="2">
        <v>-0.0067241650118385</v>
      </c>
      <c r="K31" s="2">
        <v>0.01549729874701</v>
      </c>
      <c r="L31" s="2">
        <v>-0.18360236506923</v>
      </c>
      <c r="M31" s="2">
        <v>-0.1846696489487</v>
      </c>
      <c r="N31" s="2">
        <v>525.20596238175</v>
      </c>
      <c r="O31" s="2">
        <v>588.35448200901</v>
      </c>
    </row>
    <row r="32" spans="1:15">
      <c r="A32" s="2">
        <v>5.4066849390983</v>
      </c>
      <c r="B32" s="2">
        <v>0.014419686534375</v>
      </c>
      <c r="C32" s="2">
        <v>90.292301347417</v>
      </c>
      <c r="D32" s="2">
        <v>0.016346429999227</v>
      </c>
      <c r="E32" s="2">
        <v>6.7136031391957</v>
      </c>
      <c r="F32" s="2">
        <v>0.91057311926414</v>
      </c>
      <c r="G32" s="2">
        <v>18043410.296192</v>
      </c>
      <c r="H32" s="2">
        <v>16704108.58295</v>
      </c>
      <c r="I32" s="2">
        <v>-0.0079467095167516</v>
      </c>
      <c r="J32" s="2">
        <v>-0.0069987908270695</v>
      </c>
      <c r="K32" s="2">
        <v>0.016087749957521</v>
      </c>
      <c r="L32" s="2">
        <v>-0.19072743166349</v>
      </c>
      <c r="M32" s="2">
        <v>-0.1916862355527</v>
      </c>
      <c r="N32" s="2">
        <v>526.79034983627</v>
      </c>
      <c r="O32" s="2">
        <v>590.3092807318</v>
      </c>
    </row>
    <row r="33" spans="1:15">
      <c r="A33" s="2">
        <v>5.6066849390983</v>
      </c>
      <c r="B33" s="2">
        <v>0.015024850483367</v>
      </c>
      <c r="C33" s="2">
        <v>90.291202299764</v>
      </c>
      <c r="D33" s="2">
        <v>0.016959600209345</v>
      </c>
      <c r="E33" s="2">
        <v>6.7181476557637</v>
      </c>
      <c r="F33" s="2">
        <v>0.90717207814867</v>
      </c>
      <c r="G33" s="2">
        <v>18142576.453633</v>
      </c>
      <c r="H33" s="2">
        <v>17306533.486825</v>
      </c>
      <c r="I33" s="2">
        <v>-0.0082591095976082</v>
      </c>
      <c r="J33" s="2">
        <v>-0.0072732654943021</v>
      </c>
      <c r="K33" s="2">
        <v>0.01667784769995</v>
      </c>
      <c r="L33" s="2">
        <v>-0.19783088138482</v>
      </c>
      <c r="M33" s="2">
        <v>-0.1986769006732</v>
      </c>
      <c r="N33" s="2">
        <v>528.35889545682</v>
      </c>
      <c r="O33" s="2">
        <v>592.24123995585</v>
      </c>
    </row>
    <row r="34" spans="1:15">
      <c r="A34" s="2">
        <v>5.8066849390983</v>
      </c>
      <c r="B34" s="2">
        <v>0.015629992727615</v>
      </c>
      <c r="C34" s="2">
        <v>90.290101318839</v>
      </c>
      <c r="D34" s="2">
        <v>0.017572680655197</v>
      </c>
      <c r="E34" s="2">
        <v>6.7227080734064</v>
      </c>
      <c r="F34" s="2">
        <v>0.90378614699811</v>
      </c>
      <c r="G34" s="2">
        <v>18242480.637662</v>
      </c>
      <c r="H34" s="2">
        <v>17912420.519298</v>
      </c>
      <c r="I34" s="2">
        <v>-0.0085713417803235</v>
      </c>
      <c r="J34" s="2">
        <v>-0.0075475859360393</v>
      </c>
      <c r="K34" s="2">
        <v>0.017267592321752</v>
      </c>
      <c r="L34" s="2">
        <v>-0.20488987582849</v>
      </c>
      <c r="M34" s="2">
        <v>-0.20566622883022</v>
      </c>
      <c r="N34" s="2">
        <v>529.91274092303</v>
      </c>
      <c r="O34" s="2">
        <v>594.15178501219</v>
      </c>
    </row>
    <row r="35" spans="1:15">
      <c r="A35" s="2">
        <v>6.0066849390983</v>
      </c>
      <c r="B35" s="2">
        <v>0.016235115490548</v>
      </c>
      <c r="C35" s="2">
        <v>90.288998693514</v>
      </c>
      <c r="D35" s="2">
        <v>0.018185680052207</v>
      </c>
      <c r="E35" s="2">
        <v>6.7272831227572</v>
      </c>
      <c r="F35" s="2">
        <v>0.90041395618196</v>
      </c>
      <c r="G35" s="2">
        <v>18343111.34826</v>
      </c>
      <c r="H35" s="2">
        <v>18521705.365227</v>
      </c>
      <c r="I35" s="2">
        <v>-0.0088834085977157</v>
      </c>
      <c r="J35" s="2">
        <v>-0.0078217477442604</v>
      </c>
      <c r="K35" s="2">
        <v>0.017856984168128</v>
      </c>
      <c r="L35" s="2">
        <v>-0.2119725620618</v>
      </c>
      <c r="M35" s="2">
        <v>-0.21265038177901</v>
      </c>
      <c r="N35" s="2">
        <v>531.45297949656</v>
      </c>
      <c r="O35" s="2">
        <v>596.04219901146</v>
      </c>
    </row>
    <row r="36" spans="1:15">
      <c r="A36" s="2">
        <v>6.2066849390983</v>
      </c>
      <c r="B36" s="2">
        <v>0.016840214223224</v>
      </c>
      <c r="C36" s="2">
        <v>90.287896042946</v>
      </c>
      <c r="D36" s="2">
        <v>0.018798602796002</v>
      </c>
      <c r="E36" s="2">
        <v>6.7318718907013</v>
      </c>
      <c r="F36" s="2">
        <v>0.897054059228</v>
      </c>
      <c r="G36" s="2">
        <v>18444457.372519</v>
      </c>
      <c r="H36" s="2">
        <v>19134325.520872</v>
      </c>
      <c r="I36" s="2">
        <v>-0.0091953081285189</v>
      </c>
      <c r="J36" s="2">
        <v>-0.008095751379841</v>
      </c>
      <c r="K36" s="2">
        <v>0.018446023606781</v>
      </c>
      <c r="L36" s="2">
        <v>-0.21905742825969</v>
      </c>
      <c r="M36" s="2">
        <v>-0.21962519527573</v>
      </c>
      <c r="N36" s="2">
        <v>532.98054360511</v>
      </c>
      <c r="O36" s="2">
        <v>597.91371287996</v>
      </c>
    </row>
    <row r="37" spans="1:15">
      <c r="A37" s="2">
        <v>6.4066849390983</v>
      </c>
      <c r="B37" s="2">
        <v>0.017445290600719</v>
      </c>
      <c r="C37" s="2">
        <v>90.286792767844</v>
      </c>
      <c r="D37" s="2">
        <v>0.019411454595018</v>
      </c>
      <c r="E37" s="2">
        <v>6.7364741381826</v>
      </c>
      <c r="F37" s="2">
        <v>0.8937051043586</v>
      </c>
      <c r="G37" s="2">
        <v>18546508.314804</v>
      </c>
      <c r="H37" s="2">
        <v>19750223.598823</v>
      </c>
      <c r="I37" s="2">
        <v>-0.0095070373063569</v>
      </c>
      <c r="J37" s="2">
        <v>-0.0083695996063388</v>
      </c>
      <c r="K37" s="2">
        <v>0.019034711021518</v>
      </c>
      <c r="L37" s="2">
        <v>-0.2261474784496</v>
      </c>
      <c r="M37" s="2">
        <v>-0.2266043970182</v>
      </c>
      <c r="N37" s="2">
        <v>534.4958069626</v>
      </c>
      <c r="O37" s="2">
        <v>599.76717268959</v>
      </c>
    </row>
    <row r="38" spans="1:15">
      <c r="A38" s="2">
        <v>6.6066849390983</v>
      </c>
      <c r="B38" s="2">
        <v>0.018050344411189</v>
      </c>
      <c r="C38" s="2">
        <v>90.285688257659</v>
      </c>
      <c r="D38" s="2">
        <v>0.02002423859373</v>
      </c>
      <c r="E38" s="2">
        <v>6.7410898787772</v>
      </c>
      <c r="F38" s="2">
        <v>0.89036623598394</v>
      </c>
      <c r="G38" s="2">
        <v>18649254.335199</v>
      </c>
      <c r="H38" s="2">
        <v>20369345.68117</v>
      </c>
      <c r="I38" s="2">
        <v>-0.0098185921799883</v>
      </c>
      <c r="J38" s="2">
        <v>-0.0086432967208932</v>
      </c>
      <c r="K38" s="2">
        <v>0.01962304679072</v>
      </c>
      <c r="L38" s="2">
        <v>-0.23322752133088</v>
      </c>
      <c r="M38" s="2">
        <v>-0.23357794426391</v>
      </c>
      <c r="N38" s="2">
        <v>535.99884151236</v>
      </c>
      <c r="O38" s="2">
        <v>601.60317517665</v>
      </c>
    </row>
    <row r="39" spans="1:15">
      <c r="A39" s="2">
        <v>6.8066849390983</v>
      </c>
      <c r="B39" s="2">
        <v>0.018655376898445</v>
      </c>
      <c r="C39" s="2">
        <v>90.284584231308</v>
      </c>
      <c r="D39" s="2">
        <v>0.020636958717793</v>
      </c>
      <c r="E39" s="2">
        <v>6.7457185577002</v>
      </c>
      <c r="F39" s="2">
        <v>0.88703690856699</v>
      </c>
      <c r="G39" s="2">
        <v>18752685.570433</v>
      </c>
      <c r="H39" s="2">
        <v>20991637.81791</v>
      </c>
      <c r="I39" s="2">
        <v>-0.010129967906355</v>
      </c>
      <c r="J39" s="2">
        <v>-0.0089168463975728</v>
      </c>
      <c r="K39" s="2">
        <v>0.020211031321624</v>
      </c>
      <c r="L39" s="2">
        <v>-0.24032067578861</v>
      </c>
      <c r="M39" s="2">
        <v>-0.24055897230902</v>
      </c>
      <c r="N39" s="2">
        <v>537.49040963267</v>
      </c>
      <c r="O39" s="2">
        <v>603.42307617981</v>
      </c>
    </row>
    <row r="40" spans="1:15">
      <c r="A40" s="2">
        <v>7.0066849390983</v>
      </c>
      <c r="B40" s="2">
        <v>0.01926037743365</v>
      </c>
      <c r="C40" s="2">
        <v>90.283480741174</v>
      </c>
      <c r="D40" s="2">
        <v>0.021249616693634</v>
      </c>
      <c r="E40" s="2">
        <v>6.7503598378292</v>
      </c>
      <c r="F40" s="2">
        <v>0.88371620483214</v>
      </c>
      <c r="G40" s="2">
        <v>18856791.775865</v>
      </c>
      <c r="H40" s="2">
        <v>21617043.661795</v>
      </c>
      <c r="I40" s="2">
        <v>-0.010441160294184</v>
      </c>
      <c r="J40" s="2">
        <v>-0.0091902510810132</v>
      </c>
      <c r="K40" s="2">
        <v>0.020798665010387</v>
      </c>
      <c r="L40" s="2">
        <v>-0.24741588203418</v>
      </c>
      <c r="M40" s="2">
        <v>-0.24753695395259</v>
      </c>
      <c r="N40" s="2">
        <v>538.97164246546</v>
      </c>
      <c r="O40" s="2">
        <v>605.22825188159</v>
      </c>
    </row>
    <row r="41" spans="1:15">
      <c r="A41" s="2">
        <v>7.2066849390983</v>
      </c>
      <c r="B41" s="2">
        <v>0.019865351932702</v>
      </c>
      <c r="C41" s="2">
        <v>90.282378770188</v>
      </c>
      <c r="D41" s="2">
        <v>0.021862213295965</v>
      </c>
      <c r="E41" s="2">
        <v>6.755014269345</v>
      </c>
      <c r="F41" s="2">
        <v>0.8804047177285</v>
      </c>
      <c r="G41" s="2">
        <v>18961564.740033</v>
      </c>
      <c r="H41" s="2">
        <v>22245519.616474</v>
      </c>
      <c r="I41" s="2">
        <v>-0.010752161767104</v>
      </c>
      <c r="J41" s="2">
        <v>-0.0094635191765703</v>
      </c>
      <c r="K41" s="2">
        <v>0.021385948282715</v>
      </c>
      <c r="L41" s="2">
        <v>-0.25451911150561</v>
      </c>
      <c r="M41" s="2">
        <v>-0.25452974095135</v>
      </c>
      <c r="N41" s="2">
        <v>540.44227237822</v>
      </c>
      <c r="O41" s="2">
        <v>607.01861228475</v>
      </c>
    </row>
    <row r="42" spans="1:15">
      <c r="A42" s="2">
        <v>7.4066849390983</v>
      </c>
      <c r="B42" s="2">
        <v>0.02047029054992</v>
      </c>
      <c r="C42" s="2">
        <v>90.281278329334</v>
      </c>
      <c r="D42" s="2">
        <v>0.022474747878734</v>
      </c>
      <c r="E42" s="2">
        <v>6.7596827956988</v>
      </c>
      <c r="F42" s="2">
        <v>0.87710202798268</v>
      </c>
      <c r="G42" s="2">
        <v>19066995.225798</v>
      </c>
      <c r="H42" s="2">
        <v>22877015.755068</v>
      </c>
      <c r="I42" s="2">
        <v>-0.011062964511872</v>
      </c>
      <c r="J42" s="2">
        <v>-0.0097366568180385</v>
      </c>
      <c r="K42" s="2">
        <v>0.021972881546069</v>
      </c>
      <c r="L42" s="2">
        <v>-0.26161609493987</v>
      </c>
      <c r="M42" s="2">
        <v>-0.26147986551598</v>
      </c>
      <c r="N42" s="2">
        <v>541.90327536203</v>
      </c>
      <c r="O42" s="2">
        <v>608.79522834145</v>
      </c>
    </row>
    <row r="43" spans="1:15">
      <c r="A43" s="2">
        <v>7.6066849390983</v>
      </c>
      <c r="B43" s="2">
        <v>0.021075192417446</v>
      </c>
      <c r="C43" s="2">
        <v>90.280179161842</v>
      </c>
      <c r="D43" s="2">
        <v>0.023087219621851</v>
      </c>
      <c r="E43" s="2">
        <v>6.7643655927165</v>
      </c>
      <c r="F43" s="2">
        <v>0.87380775560009</v>
      </c>
      <c r="G43" s="2">
        <v>19173076.311715</v>
      </c>
      <c r="H43" s="2">
        <v>23511496.225791</v>
      </c>
      <c r="I43" s="2">
        <v>-0.011373561054029</v>
      </c>
      <c r="J43" s="2">
        <v>-0.010009674668397</v>
      </c>
      <c r="K43" s="2">
        <v>0.022559465211746</v>
      </c>
      <c r="L43" s="2">
        <v>-0.26872438453185</v>
      </c>
      <c r="M43" s="2">
        <v>-0.26846427078056</v>
      </c>
      <c r="N43" s="2">
        <v>543.35346981591</v>
      </c>
      <c r="O43" s="2">
        <v>610.5569518584</v>
      </c>
    </row>
    <row r="44" spans="1:15">
      <c r="A44" s="2">
        <v>7.8066849390983</v>
      </c>
      <c r="B44" s="2">
        <v>0.021680041303279</v>
      </c>
      <c r="C44" s="2">
        <v>90.27908180695</v>
      </c>
      <c r="D44" s="2">
        <v>0.023699624906916</v>
      </c>
      <c r="E44" s="2">
        <v>6.7690638147132</v>
      </c>
      <c r="F44" s="2">
        <v>0.87052135700663</v>
      </c>
      <c r="G44" s="2">
        <v>19279798.756035</v>
      </c>
      <c r="H44" s="2">
        <v>24148911.318941</v>
      </c>
      <c r="I44" s="2">
        <v>-0.011683938624097</v>
      </c>
      <c r="J44" s="2">
        <v>-0.010282581446328</v>
      </c>
      <c r="K44" s="2">
        <v>0.023145699684018</v>
      </c>
      <c r="L44" s="2">
        <v>-0.27582499139205</v>
      </c>
      <c r="M44" s="2">
        <v>-0.27544039004301</v>
      </c>
      <c r="N44" s="2">
        <v>544.79488414469</v>
      </c>
      <c r="O44" s="2">
        <v>612.30573961031</v>
      </c>
    </row>
    <row r="45" spans="1:15">
      <c r="A45" s="2">
        <v>8.0066849390983</v>
      </c>
      <c r="B45" s="2">
        <v>0.022284832634977</v>
      </c>
      <c r="C45" s="2">
        <v>90.277986356768</v>
      </c>
      <c r="D45" s="2">
        <v>0.024311961138496</v>
      </c>
      <c r="E45" s="2">
        <v>6.7737787173998</v>
      </c>
      <c r="F45" s="2">
        <v>0.86724164193497</v>
      </c>
      <c r="G45" s="2">
        <v>19387155.723368</v>
      </c>
      <c r="H45" s="2">
        <v>24789225.829073</v>
      </c>
      <c r="I45" s="2">
        <v>-0.011994085558979</v>
      </c>
      <c r="J45" s="2">
        <v>-0.010555390661023</v>
      </c>
      <c r="K45" s="2">
        <v>0.023731585377896</v>
      </c>
      <c r="L45" s="2">
        <v>-0.28290882118981</v>
      </c>
      <c r="M45" s="2">
        <v>-0.2824116448156</v>
      </c>
      <c r="N45" s="2">
        <v>546.22686114734</v>
      </c>
      <c r="O45" s="2">
        <v>614.04085220452</v>
      </c>
    </row>
    <row r="46" spans="1:15">
      <c r="A46" s="2">
        <v>8.2066849390983</v>
      </c>
      <c r="B46" s="2">
        <v>0.02288956063234</v>
      </c>
      <c r="C46" s="2">
        <v>90.276893139258</v>
      </c>
      <c r="D46" s="2">
        <v>0.024924226048117</v>
      </c>
      <c r="E46" s="2">
        <v>6.7785120203569</v>
      </c>
      <c r="F46" s="2">
        <v>0.8639680888115</v>
      </c>
      <c r="G46" s="2">
        <v>19495139.410198</v>
      </c>
      <c r="H46" s="2">
        <v>25432398.61881</v>
      </c>
      <c r="I46" s="2">
        <v>-0.012303991574879</v>
      </c>
      <c r="J46" s="2">
        <v>-0.010828112407285</v>
      </c>
      <c r="K46" s="2">
        <v>0.024317122692675</v>
      </c>
      <c r="L46" s="2">
        <v>-0.29000317759622</v>
      </c>
      <c r="M46" s="2">
        <v>-0.28937152657873</v>
      </c>
      <c r="N46" s="2">
        <v>547.64970269391</v>
      </c>
      <c r="O46" s="2">
        <v>615.7628078907</v>
      </c>
    </row>
    <row r="47" spans="1:15">
      <c r="A47" s="2">
        <v>8.4066849390983</v>
      </c>
      <c r="B47" s="2">
        <v>0.023494228299498</v>
      </c>
      <c r="C47" s="2">
        <v>90.275802889829</v>
      </c>
      <c r="D47" s="2">
        <v>0.025536420818261</v>
      </c>
      <c r="E47" s="2">
        <v>6.7832639478765</v>
      </c>
      <c r="F47" s="2">
        <v>0.86069968113357</v>
      </c>
      <c r="G47" s="2">
        <v>19603742.403884</v>
      </c>
      <c r="H47" s="2">
        <v>26078390.805352</v>
      </c>
      <c r="I47" s="2">
        <v>-0.012613651705615</v>
      </c>
      <c r="J47" s="2">
        <v>-0.011100752288671</v>
      </c>
      <c r="K47" s="2">
        <v>0.024902312012226</v>
      </c>
      <c r="L47" s="2">
        <v>-0.29708495714955</v>
      </c>
      <c r="M47" s="2">
        <v>-0.29634146232815</v>
      </c>
      <c r="N47" s="2">
        <v>549.06323575033</v>
      </c>
      <c r="O47" s="2">
        <v>617.47172327329</v>
      </c>
    </row>
    <row r="48" spans="1:15">
      <c r="A48" s="2">
        <v>8.6066849390983</v>
      </c>
      <c r="B48" s="2">
        <v>0.024098832494884</v>
      </c>
      <c r="C48" s="2">
        <v>90.274715303595</v>
      </c>
      <c r="D48" s="2">
        <v>0.02614854659847</v>
      </c>
      <c r="E48" s="2">
        <v>6.7880344558661</v>
      </c>
      <c r="F48" s="2">
        <v>0.85743615897211</v>
      </c>
      <c r="G48" s="2">
        <v>19712955.211812</v>
      </c>
      <c r="H48" s="2">
        <v>26727150.879568</v>
      </c>
      <c r="I48" s="2">
        <v>-0.012923061217405</v>
      </c>
      <c r="J48" s="2">
        <v>-0.011373311867352</v>
      </c>
      <c r="K48" s="2">
        <v>0.025487153713233</v>
      </c>
      <c r="L48" s="2">
        <v>-0.30413770553533</v>
      </c>
      <c r="M48" s="2">
        <v>-0.30328469100531</v>
      </c>
      <c r="N48" s="2">
        <v>550.46908132779</v>
      </c>
      <c r="O48" s="2">
        <v>619.16976541543</v>
      </c>
    </row>
    <row r="49" spans="1:15">
      <c r="A49" s="2">
        <v>8.8066849390982</v>
      </c>
      <c r="B49" s="2">
        <v>0.024703386039171</v>
      </c>
      <c r="C49" s="2">
        <v>90.273630944517</v>
      </c>
      <c r="D49" s="2">
        <v>0.026760607849635</v>
      </c>
      <c r="E49" s="2">
        <v>6.7928224578249</v>
      </c>
      <c r="F49" s="2">
        <v>0.85417707308872</v>
      </c>
      <c r="G49" s="2">
        <v>19822771.003532</v>
      </c>
      <c r="H49" s="2">
        <v>27378643.138904</v>
      </c>
      <c r="I49" s="2">
        <v>-0.013232225459282</v>
      </c>
      <c r="J49" s="2">
        <v>-0.01164578912029</v>
      </c>
      <c r="K49" s="2">
        <v>0.026071648178343</v>
      </c>
      <c r="L49" s="2">
        <v>-0.31119599316894</v>
      </c>
      <c r="M49" s="2">
        <v>-0.31023466362189</v>
      </c>
      <c r="N49" s="2">
        <v>551.86591524835</v>
      </c>
      <c r="O49" s="2">
        <v>620.85594432129</v>
      </c>
    </row>
    <row r="50" spans="1:15">
      <c r="A50" s="2">
        <v>9.0066849390982</v>
      </c>
      <c r="B50" s="2">
        <v>0.025307887801256</v>
      </c>
      <c r="C50" s="2">
        <v>90.272550227524</v>
      </c>
      <c r="D50" s="2">
        <v>0.027372607829843</v>
      </c>
      <c r="E50" s="2">
        <v>6.7976277722243</v>
      </c>
      <c r="F50" s="2">
        <v>0.85092252684841</v>
      </c>
      <c r="G50" s="2">
        <v>19933180.494374</v>
      </c>
      <c r="H50" s="2">
        <v>28032817.321232</v>
      </c>
      <c r="I50" s="2">
        <v>-0.01354114335963</v>
      </c>
      <c r="J50" s="2">
        <v>-0.011918182157918</v>
      </c>
      <c r="K50" s="2">
        <v>0.026655795785706</v>
      </c>
      <c r="L50" s="2">
        <v>-0.31824796475345</v>
      </c>
      <c r="M50" s="2">
        <v>-0.3171731781618</v>
      </c>
      <c r="N50" s="2">
        <v>553.25526902183</v>
      </c>
      <c r="O50" s="2">
        <v>622.53219756972</v>
      </c>
    </row>
    <row r="51" spans="1:15">
      <c r="A51" s="2">
        <v>9.2066849390982</v>
      </c>
      <c r="B51" s="2">
        <v>0.025912346128372</v>
      </c>
      <c r="C51" s="2">
        <v>90.271472577802</v>
      </c>
      <c r="D51" s="2">
        <v>0.027984550972014</v>
      </c>
      <c r="E51" s="2">
        <v>6.8024488953797</v>
      </c>
      <c r="F51" s="2">
        <v>0.8476726172892</v>
      </c>
      <c r="G51" s="2">
        <v>20044176.837508</v>
      </c>
      <c r="H51" s="2">
        <v>28689637.663698</v>
      </c>
      <c r="I51" s="2">
        <v>-0.013849820399717</v>
      </c>
      <c r="J51" s="2">
        <v>-0.012190488143718</v>
      </c>
      <c r="K51" s="2">
        <v>0.027239596926312</v>
      </c>
      <c r="L51" s="2">
        <v>-0.32530399269788</v>
      </c>
      <c r="M51" s="2">
        <v>-0.32412757667617</v>
      </c>
      <c r="N51" s="2">
        <v>554.63615613697</v>
      </c>
      <c r="O51" s="2">
        <v>624.19781888884</v>
      </c>
    </row>
    <row r="52" spans="1:15">
      <c r="A52" s="2">
        <v>9.4066849390982</v>
      </c>
      <c r="B52" s="2">
        <v>0.026516752281261</v>
      </c>
      <c r="C52" s="2">
        <v>90.270397354224</v>
      </c>
      <c r="D52" s="2">
        <v>0.028596438553473</v>
      </c>
      <c r="E52" s="2">
        <v>6.8072853932438</v>
      </c>
      <c r="F52" s="2">
        <v>0.84442793512115</v>
      </c>
      <c r="G52" s="2">
        <v>20155750.204728</v>
      </c>
      <c r="H52" s="2">
        <v>29349050.766601</v>
      </c>
      <c r="I52" s="2">
        <v>-0.014158256043651</v>
      </c>
      <c r="J52" s="2">
        <v>-0.012462702419837</v>
      </c>
      <c r="K52" s="2">
        <v>0.027823052011553</v>
      </c>
      <c r="L52" s="2">
        <v>-0.33233772971228</v>
      </c>
      <c r="M52" s="2">
        <v>-0.33104832565858</v>
      </c>
      <c r="N52" s="2">
        <v>556.01113986747</v>
      </c>
      <c r="O52" s="2">
        <v>625.855496797</v>
      </c>
    </row>
    <row r="53" spans="1:15">
      <c r="A53" s="2">
        <v>9.6066849390982</v>
      </c>
      <c r="B53" s="2">
        <v>0.027121121486575</v>
      </c>
      <c r="C53" s="2">
        <v>90.269326150739</v>
      </c>
      <c r="D53" s="2">
        <v>0.029208274964158</v>
      </c>
      <c r="E53" s="2">
        <v>6.8121358451101</v>
      </c>
      <c r="F53" s="2">
        <v>0.84118845896628</v>
      </c>
      <c r="G53" s="2">
        <v>20267895.484743</v>
      </c>
      <c r="H53" s="2">
        <v>30011031.251943</v>
      </c>
      <c r="I53" s="2">
        <v>-0.014466451915526</v>
      </c>
      <c r="J53" s="2">
        <v>-0.012734828593266</v>
      </c>
      <c r="K53" s="2">
        <v>0.028406161422183</v>
      </c>
      <c r="L53" s="2">
        <v>-0.33939054696037</v>
      </c>
      <c r="M53" s="2">
        <v>-0.33800334203828</v>
      </c>
      <c r="N53" s="2">
        <v>557.37802711435</v>
      </c>
      <c r="O53" s="2">
        <v>627.50322305934</v>
      </c>
    </row>
    <row r="54" spans="1:15">
      <c r="A54" s="2">
        <v>9.8066849390982</v>
      </c>
      <c r="B54" s="2">
        <v>0.027725452900418</v>
      </c>
      <c r="C54" s="2">
        <v>90.268258170568</v>
      </c>
      <c r="D54" s="2">
        <v>0.029820063153419</v>
      </c>
      <c r="E54" s="2">
        <v>6.8169997671693</v>
      </c>
      <c r="F54" s="2">
        <v>0.83795423871293</v>
      </c>
      <c r="G54" s="2">
        <v>20380604.800184</v>
      </c>
      <c r="H54" s="2">
        <v>30675537.370837</v>
      </c>
      <c r="I54" s="2">
        <v>-0.014774410260569</v>
      </c>
      <c r="J54" s="2">
        <v>-0.013006863100574</v>
      </c>
      <c r="K54" s="2">
        <v>0.028988925596647</v>
      </c>
      <c r="L54" s="2">
        <v>-0.34646436817802</v>
      </c>
      <c r="M54" s="2">
        <v>-0.34496190128958</v>
      </c>
      <c r="N54" s="2">
        <v>558.73761480123</v>
      </c>
      <c r="O54" s="2">
        <v>629.14195964806</v>
      </c>
    </row>
    <row r="55" spans="1:15">
      <c r="A55" s="2">
        <v>10.006684939098</v>
      </c>
      <c r="B55" s="2">
        <v>0.028329752515698</v>
      </c>
      <c r="C55" s="2">
        <v>90.267193170306</v>
      </c>
      <c r="D55" s="2">
        <v>0.030431806810548</v>
      </c>
      <c r="E55" s="2">
        <v>6.8218763372763</v>
      </c>
      <c r="F55" s="2">
        <v>0.83472570187142</v>
      </c>
      <c r="G55" s="2">
        <v>20493871.56013</v>
      </c>
      <c r="H55" s="2">
        <v>31342534.968231</v>
      </c>
      <c r="I55" s="2">
        <v>-0.015082131705649</v>
      </c>
      <c r="J55" s="2">
        <v>-0.013278806813704</v>
      </c>
      <c r="K55" s="2">
        <v>0.029571344922734</v>
      </c>
      <c r="L55" s="2">
        <v>-0.3535168625409</v>
      </c>
      <c r="M55" s="2">
        <v>-0.35190943082371</v>
      </c>
      <c r="N55" s="2">
        <v>560.08931978277</v>
      </c>
      <c r="O55" s="2">
        <v>630.77100044409</v>
      </c>
    </row>
    <row r="56" spans="1:15">
      <c r="A56" s="2">
        <v>10.206684939098</v>
      </c>
      <c r="B56" s="2">
        <v>0.028934015829473</v>
      </c>
      <c r="C56" s="2">
        <v>90.266131477133</v>
      </c>
      <c r="D56" s="2">
        <v>0.031043507423967</v>
      </c>
      <c r="E56" s="2">
        <v>6.123640220425</v>
      </c>
      <c r="F56" s="2">
        <v>0.83150323420823</v>
      </c>
      <c r="G56" s="2">
        <v>20607687.501992</v>
      </c>
      <c r="H56" s="2">
        <v>32011980.031097</v>
      </c>
      <c r="I56" s="2">
        <v>-0.015389616322659</v>
      </c>
      <c r="J56" s="2">
        <v>-0.013550656863827</v>
      </c>
      <c r="K56" s="2">
        <v>0.030153419811121</v>
      </c>
      <c r="L56" s="2">
        <v>-0.36056175181478</v>
      </c>
      <c r="M56" s="2">
        <v>-0.35883222868255</v>
      </c>
      <c r="N56" s="2">
        <v>561.43467092409</v>
      </c>
      <c r="O56" s="2">
        <v>632.39209501356</v>
      </c>
    </row>
    <row r="57" spans="1:15">
      <c r="A57" s="2">
        <v>10.406684939098</v>
      </c>
      <c r="B57" s="2">
        <v>0.029538247849023</v>
      </c>
      <c r="C57" s="2">
        <v>90.265073686344</v>
      </c>
      <c r="D57" s="2">
        <v>0.031655168258595</v>
      </c>
      <c r="E57" s="2">
        <v>6.1285403130061</v>
      </c>
      <c r="F57" s="2">
        <v>0.82828657553591</v>
      </c>
      <c r="G57" s="2">
        <v>20722045.978159</v>
      </c>
      <c r="H57" s="2">
        <v>32683837.950931</v>
      </c>
      <c r="I57" s="2">
        <v>-0.015696865654266</v>
      </c>
      <c r="J57" s="2">
        <v>-0.013822413301413</v>
      </c>
      <c r="K57" s="2">
        <v>0.030735150676323</v>
      </c>
      <c r="L57" s="2">
        <v>-0.3676133237662</v>
      </c>
      <c r="M57" s="2">
        <v>-0.3657828488192</v>
      </c>
      <c r="N57" s="2">
        <v>562.77319739919</v>
      </c>
      <c r="O57" s="2">
        <v>634.00488089563</v>
      </c>
    </row>
    <row r="58" spans="1:15">
      <c r="A58" s="2">
        <v>10.606684939098</v>
      </c>
      <c r="B58" s="2">
        <v>0.030142453710842</v>
      </c>
      <c r="C58" s="2">
        <v>90.264019199182</v>
      </c>
      <c r="D58" s="2">
        <v>0.032266792180813</v>
      </c>
      <c r="E58" s="2">
        <v>6.1334516735565</v>
      </c>
      <c r="F58" s="2">
        <v>0.82507576932028</v>
      </c>
      <c r="G58" s="2">
        <v>20836940.646717</v>
      </c>
      <c r="H58" s="2">
        <v>33358076.072448</v>
      </c>
      <c r="I58" s="2">
        <v>-0.016003881658419</v>
      </c>
      <c r="J58" s="2">
        <v>-0.014094074948765</v>
      </c>
      <c r="K58" s="2">
        <v>0.031316537912549</v>
      </c>
      <c r="L58" s="2">
        <v>-0.37467530853719</v>
      </c>
      <c r="M58" s="2">
        <v>-0.37272995898583</v>
      </c>
      <c r="N58" s="2">
        <v>564.10466151268</v>
      </c>
      <c r="O58" s="2">
        <v>635.60905385821</v>
      </c>
    </row>
    <row r="59" spans="1:15">
      <c r="A59" s="2">
        <v>10.806684939098</v>
      </c>
      <c r="B59" s="2">
        <v>0.030746633418739</v>
      </c>
      <c r="C59" s="2">
        <v>90.26296761657</v>
      </c>
      <c r="D59" s="2">
        <v>0.032878381537375</v>
      </c>
      <c r="E59" s="2">
        <v>6.1383731141893</v>
      </c>
      <c r="F59" s="2">
        <v>0.82187173315279</v>
      </c>
      <c r="G59" s="2">
        <v>20952363.896402</v>
      </c>
      <c r="H59" s="2">
        <v>34034654.33281</v>
      </c>
      <c r="I59" s="2">
        <v>-0.016310662708949</v>
      </c>
      <c r="J59" s="2">
        <v>-0.014365642111096</v>
      </c>
      <c r="K59" s="2">
        <v>0.031897581904213</v>
      </c>
      <c r="L59" s="2">
        <v>-0.38176064882564</v>
      </c>
      <c r="M59" s="2">
        <v>-0.379715842227</v>
      </c>
      <c r="N59" s="2">
        <v>565.42990837986</v>
      </c>
      <c r="O59" s="2">
        <v>637.20571733066</v>
      </c>
    </row>
    <row r="60" spans="1:15">
      <c r="A60" s="2">
        <v>11.006684939098</v>
      </c>
      <c r="B60" s="2">
        <v>0.03135079008772</v>
      </c>
      <c r="C60" s="2">
        <v>90.261919359797</v>
      </c>
      <c r="D60" s="2">
        <v>0.033489939391705</v>
      </c>
      <c r="E60" s="2">
        <v>5.4401794274031</v>
      </c>
      <c r="F60" s="2">
        <v>0.8186743895842</v>
      </c>
      <c r="G60" s="2">
        <v>21068309.484913</v>
      </c>
      <c r="H60" s="2">
        <v>34713540.503399</v>
      </c>
      <c r="I60" s="2">
        <v>-0.016617210815147</v>
      </c>
      <c r="J60" s="2">
        <v>-0.014637113569548</v>
      </c>
      <c r="K60" s="2">
        <v>0.032478283062685</v>
      </c>
      <c r="L60" s="2">
        <v>-0.38881274046162</v>
      </c>
      <c r="M60" s="2">
        <v>-0.38665294817448</v>
      </c>
      <c r="N60" s="2">
        <v>566.7486351839</v>
      </c>
      <c r="O60" s="2">
        <v>638.7945666082</v>
      </c>
    </row>
    <row r="61" spans="1:15">
      <c r="A61" s="2">
        <v>11.206684939098</v>
      </c>
      <c r="B61" s="2">
        <v>0.031954928282036</v>
      </c>
      <c r="C61" s="2">
        <v>90.260874432668</v>
      </c>
      <c r="D61" s="2">
        <v>0.034101468891454</v>
      </c>
      <c r="E61" s="2">
        <v>5.4451202492802</v>
      </c>
      <c r="F61" s="2">
        <v>0.81548395421718</v>
      </c>
      <c r="G61" s="2">
        <v>21184771.382483</v>
      </c>
      <c r="H61" s="2">
        <v>35394703.704557</v>
      </c>
      <c r="I61" s="2">
        <v>-0.016923529124467</v>
      </c>
      <c r="J61" s="2">
        <v>-0.014908487876914</v>
      </c>
      <c r="K61" s="2">
        <v>0.033058641774138</v>
      </c>
      <c r="L61" s="2">
        <v>-0.39586667062206</v>
      </c>
      <c r="M61" s="2">
        <v>-0.39360741104427</v>
      </c>
      <c r="N61" s="2">
        <v>568.06033425578</v>
      </c>
      <c r="O61" s="2">
        <v>640.37499080867</v>
      </c>
    </row>
    <row r="62" spans="1:15">
      <c r="A62" s="2">
        <v>11.406684939098</v>
      </c>
      <c r="B62" s="2">
        <v>0.032559046439809</v>
      </c>
      <c r="C62" s="2">
        <v>90.259832529345</v>
      </c>
      <c r="D62" s="2">
        <v>0.034712972174181</v>
      </c>
      <c r="E62" s="2">
        <v>5.4500698275407</v>
      </c>
      <c r="F62" s="2">
        <v>0.81230066266877</v>
      </c>
      <c r="G62" s="2">
        <v>21301742.130716</v>
      </c>
      <c r="H62" s="2">
        <v>36078104.70429</v>
      </c>
      <c r="I62" s="2">
        <v>-0.017229619665343</v>
      </c>
      <c r="J62" s="2">
        <v>-0.015179761226311</v>
      </c>
      <c r="K62" s="2">
        <v>0.033638658446362</v>
      </c>
      <c r="L62" s="2">
        <v>-0.40296658749333</v>
      </c>
      <c r="M62" s="2">
        <v>-0.40058251323984</v>
      </c>
      <c r="N62" s="2">
        <v>569.36609191697</v>
      </c>
      <c r="O62" s="2">
        <v>641.9482403875</v>
      </c>
    </row>
    <row r="63" spans="1:15">
      <c r="A63" s="2">
        <v>11.606684939098</v>
      </c>
      <c r="B63" s="2">
        <v>0.033163146935377</v>
      </c>
      <c r="C63" s="2">
        <v>90.258793967838</v>
      </c>
      <c r="D63" s="2">
        <v>0.035324451391537</v>
      </c>
      <c r="E63" s="2">
        <v>5.4550278396629</v>
      </c>
      <c r="F63" s="2">
        <v>0.80912461788852</v>
      </c>
      <c r="G63" s="2">
        <v>21419215.295531</v>
      </c>
      <c r="H63" s="2">
        <v>36763710.278348</v>
      </c>
      <c r="I63" s="2">
        <v>-0.017535480781701</v>
      </c>
      <c r="J63" s="2">
        <v>-0.015450934974824</v>
      </c>
      <c r="K63" s="2">
        <v>0.034218333451754</v>
      </c>
      <c r="L63" s="2">
        <v>-0.41004555371032</v>
      </c>
      <c r="M63" s="2">
        <v>-0.4075250029872</v>
      </c>
      <c r="N63" s="2">
        <v>570.66608928189</v>
      </c>
      <c r="O63" s="2">
        <v>643.51446331444</v>
      </c>
    </row>
    <row r="64" spans="1:15">
      <c r="A64" s="2">
        <v>11.806684939098</v>
      </c>
      <c r="B64" s="2">
        <v>0.0337672352817</v>
      </c>
      <c r="C64" s="2">
        <v>90.257758170302</v>
      </c>
      <c r="D64" s="2">
        <v>0.035935909178524</v>
      </c>
      <c r="E64" s="2">
        <v>5.4599935375139</v>
      </c>
      <c r="F64" s="2">
        <v>0.80595620829424</v>
      </c>
      <c r="G64" s="2">
        <v>21537185.442632</v>
      </c>
      <c r="H64" s="2">
        <v>37451493.084789</v>
      </c>
      <c r="I64" s="2">
        <v>-0.017841116904506</v>
      </c>
      <c r="J64" s="2">
        <v>-0.015722007206846</v>
      </c>
      <c r="K64" s="2">
        <v>0.034797667193309</v>
      </c>
      <c r="L64" s="2">
        <v>-0.41716057177444</v>
      </c>
      <c r="M64" s="2">
        <v>-0.41459041132117</v>
      </c>
      <c r="N64" s="2">
        <v>571.95955760314</v>
      </c>
      <c r="O64" s="2">
        <v>645.07308937043</v>
      </c>
    </row>
    <row r="65" spans="1:15">
      <c r="A65" s="2">
        <v>12.006684939098</v>
      </c>
      <c r="B65" s="2">
        <v>0.034371308226454</v>
      </c>
      <c r="C65" s="2">
        <v>90.256725378359</v>
      </c>
      <c r="D65" s="2">
        <v>0.036547346597407</v>
      </c>
      <c r="E65" s="2">
        <v>5.4649665807431</v>
      </c>
      <c r="F65" s="2">
        <v>0.80279525150854</v>
      </c>
      <c r="G65" s="2">
        <v>21655645.507046</v>
      </c>
      <c r="H65" s="2">
        <v>38141416.25342</v>
      </c>
      <c r="I65" s="2">
        <v>-0.018146529535444</v>
      </c>
      <c r="J65" s="2">
        <v>-0.015992973537248</v>
      </c>
      <c r="K65" s="2">
        <v>0.035376660071099</v>
      </c>
      <c r="L65" s="2">
        <v>-0.42423842021119</v>
      </c>
      <c r="M65" s="2">
        <v>-0.42151965863004</v>
      </c>
      <c r="N65" s="2">
        <v>573.24768695637</v>
      </c>
      <c r="O65" s="2">
        <v>646.6250322378</v>
      </c>
    </row>
    <row r="66" spans="1:15">
      <c r="A66" s="2">
        <v>12.206684939098</v>
      </c>
      <c r="B66" s="2">
        <v>0.034975367830335</v>
      </c>
      <c r="C66" s="2">
        <v>90.255695255571</v>
      </c>
      <c r="D66" s="2">
        <v>0.037158766304024</v>
      </c>
      <c r="E66" s="2">
        <v>5.4699463884636</v>
      </c>
      <c r="F66" s="2">
        <v>0.7996421058677</v>
      </c>
      <c r="G66" s="2">
        <v>21774589.669999</v>
      </c>
      <c r="H66" s="2">
        <v>38833450.173235</v>
      </c>
      <c r="I66" s="2">
        <v>-0.018451721025942</v>
      </c>
      <c r="J66" s="2">
        <v>-0.016263833223068</v>
      </c>
      <c r="K66" s="2">
        <v>0.035955312479551</v>
      </c>
      <c r="L66" s="2">
        <v>-0.43134236130361</v>
      </c>
      <c r="M66" s="2">
        <v>-0.42851989877739</v>
      </c>
      <c r="N66" s="2">
        <v>574.53022236597</v>
      </c>
      <c r="O66" s="2">
        <v>648.17036251038</v>
      </c>
    </row>
    <row r="67" spans="1:15">
      <c r="A67" s="2">
        <v>12.406684939098</v>
      </c>
      <c r="B67" s="2">
        <v>0.035579422793125</v>
      </c>
      <c r="C67" s="2">
        <v>90.254668538041</v>
      </c>
      <c r="D67" s="2">
        <v>0.037770170980365</v>
      </c>
      <c r="E67" s="2">
        <v>5.4749321075309</v>
      </c>
      <c r="F67" s="2">
        <v>0.79649708210706</v>
      </c>
      <c r="G67" s="2">
        <v>21894013.023396</v>
      </c>
      <c r="H67" s="2">
        <v>39527570.652019</v>
      </c>
      <c r="I67" s="2">
        <v>-0.018756695075092</v>
      </c>
      <c r="J67" s="2">
        <v>-0.016534584122243</v>
      </c>
      <c r="K67" s="2">
        <v>0.036533624800034</v>
      </c>
      <c r="L67" s="2">
        <v>-0.43848796641137</v>
      </c>
      <c r="M67" s="2">
        <v>-0.43554286453263</v>
      </c>
      <c r="N67" s="2">
        <v>575.80650056352</v>
      </c>
      <c r="O67" s="2">
        <v>649.708264344</v>
      </c>
    </row>
    <row r="68" spans="1:15">
      <c r="A68" s="2">
        <v>12.606684939098</v>
      </c>
      <c r="B68" s="2">
        <v>0.036183465348079</v>
      </c>
      <c r="C68" s="2">
        <v>90.253644870733</v>
      </c>
      <c r="D68" s="2">
        <v>0.038381560855198</v>
      </c>
      <c r="E68" s="2">
        <v>5.4799230756715</v>
      </c>
      <c r="F68" s="2">
        <v>0.7933600835495</v>
      </c>
      <c r="G68" s="2">
        <v>22013907.966448</v>
      </c>
      <c r="H68" s="2">
        <v>40223737.72896</v>
      </c>
      <c r="I68" s="2">
        <v>-0.019061452370842</v>
      </c>
      <c r="J68" s="2">
        <v>-0.016805221640042</v>
      </c>
      <c r="K68" s="2">
        <v>0.037111597446273</v>
      </c>
      <c r="L68" s="2">
        <v>-0.44558216762131</v>
      </c>
      <c r="M68" s="2">
        <v>-0.44252811942658</v>
      </c>
      <c r="N68" s="2">
        <v>577.07841198149</v>
      </c>
      <c r="O68" s="2">
        <v>651.24053444101</v>
      </c>
    </row>
    <row r="69" spans="1:15">
      <c r="A69" s="2">
        <v>12.806684939098</v>
      </c>
      <c r="B69" s="2">
        <v>0.036787506361413</v>
      </c>
      <c r="C69" s="2">
        <v>90.252623753663</v>
      </c>
      <c r="D69" s="2">
        <v>0.038992940041369</v>
      </c>
      <c r="E69" s="2">
        <v>5.4849201194807</v>
      </c>
      <c r="F69" s="2">
        <v>0.79023150903895</v>
      </c>
      <c r="G69" s="2">
        <v>22134270.292901</v>
      </c>
      <c r="H69" s="2">
        <v>40921930.857562</v>
      </c>
      <c r="I69" s="2">
        <v>-0.019365996902437</v>
      </c>
      <c r="J69" s="2">
        <v>-0.017075747262372</v>
      </c>
      <c r="K69" s="2">
        <v>0.037689230786716</v>
      </c>
      <c r="L69" s="2">
        <v>-0.45271579063794</v>
      </c>
      <c r="M69" s="2">
        <v>-0.44953440984709</v>
      </c>
      <c r="N69" s="2">
        <v>578.34373940443</v>
      </c>
      <c r="O69" s="2">
        <v>652.76511983634</v>
      </c>
    </row>
    <row r="70" spans="1:15">
      <c r="A70" s="2">
        <v>13.006684939098</v>
      </c>
      <c r="B70" s="2">
        <v>0.037391544510068</v>
      </c>
      <c r="C70" s="2">
        <v>90.251605123114</v>
      </c>
      <c r="D70" s="2">
        <v>0.039604309914237</v>
      </c>
      <c r="E70" s="2">
        <v>5.4899221645738</v>
      </c>
      <c r="F70" s="2">
        <v>0.78711117894806</v>
      </c>
      <c r="G70" s="2">
        <v>22255093.874499</v>
      </c>
      <c r="H70" s="2">
        <v>41622118.717405</v>
      </c>
      <c r="I70" s="2">
        <v>-0.019670329865482</v>
      </c>
      <c r="J70" s="2">
        <v>-0.017346158368659</v>
      </c>
      <c r="K70" s="2">
        <v>0.038266525225989</v>
      </c>
      <c r="L70" s="2">
        <v>-0.45986776363546</v>
      </c>
      <c r="M70" s="2">
        <v>-0.45658284206918</v>
      </c>
      <c r="N70" s="2">
        <v>579.60333545528</v>
      </c>
      <c r="O70" s="2">
        <v>654.28290104344</v>
      </c>
    </row>
    <row r="71" spans="1:15">
      <c r="A71" s="2">
        <v>13.206684939098</v>
      </c>
      <c r="B71" s="2">
        <v>0.037995576427668</v>
      </c>
      <c r="C71" s="2">
        <v>90.250588138819</v>
      </c>
      <c r="D71" s="2">
        <v>0.040215671005807</v>
      </c>
      <c r="E71" s="2">
        <v>4.7918038630583</v>
      </c>
      <c r="F71" s="2">
        <v>0.78399931537595</v>
      </c>
      <c r="G71" s="2">
        <v>22376372.062886</v>
      </c>
      <c r="H71" s="2">
        <v>42324266.887245</v>
      </c>
      <c r="I71" s="2">
        <v>-0.019974452617491</v>
      </c>
      <c r="J71" s="2">
        <v>-0.017616451306112</v>
      </c>
      <c r="K71" s="2">
        <v>0.038843481144156</v>
      </c>
      <c r="L71" s="2">
        <v>-0.46701996778501</v>
      </c>
      <c r="M71" s="2">
        <v>-0.46361101109753</v>
      </c>
      <c r="N71" s="2">
        <v>580.8583676703</v>
      </c>
      <c r="O71" s="2">
        <v>655.79504244751</v>
      </c>
    </row>
    <row r="72" spans="1:15">
      <c r="A72" s="2">
        <v>13.406684939098</v>
      </c>
      <c r="B72" s="2">
        <v>0.038599608919805</v>
      </c>
      <c r="C72" s="2">
        <v>90.249574720954</v>
      </c>
      <c r="D72" s="2">
        <v>0.040827026595505</v>
      </c>
      <c r="E72" s="2">
        <v>4.0936891126579</v>
      </c>
      <c r="F72" s="2">
        <v>0.78089565895112</v>
      </c>
      <c r="G72" s="2">
        <v>22498100.080151</v>
      </c>
      <c r="H72" s="2">
        <v>43028351.724854</v>
      </c>
      <c r="I72" s="2">
        <v>-0.020278366849855</v>
      </c>
      <c r="J72" s="2">
        <v>-0.017886627043288</v>
      </c>
      <c r="K72" s="2">
        <v>0.039420098947032</v>
      </c>
      <c r="L72" s="2">
        <v>-0.47421750028595</v>
      </c>
      <c r="M72" s="2">
        <v>-0.47073296962794</v>
      </c>
      <c r="N72" s="2">
        <v>582.10793792446</v>
      </c>
      <c r="O72" s="2">
        <v>657.30078077292</v>
      </c>
    </row>
    <row r="73" spans="1:15">
      <c r="A73" s="2">
        <v>13.606684939098</v>
      </c>
      <c r="B73" s="2">
        <v>0.039203646619551</v>
      </c>
      <c r="C73" s="2">
        <v>90.248562619825</v>
      </c>
      <c r="D73" s="2">
        <v>0.041438378624998</v>
      </c>
      <c r="E73" s="2">
        <v>4.0987027666273</v>
      </c>
      <c r="F73" s="2">
        <v>0.77780091116862</v>
      </c>
      <c r="G73" s="2">
        <v>22620273.021764</v>
      </c>
      <c r="H73" s="2">
        <v>43734348.798136</v>
      </c>
      <c r="I73" s="2">
        <v>-0.020582075236424</v>
      </c>
      <c r="J73" s="2">
        <v>-0.018156683750463</v>
      </c>
      <c r="K73" s="2">
        <v>0.039996379034753</v>
      </c>
      <c r="L73" s="2">
        <v>-0.48135903071392</v>
      </c>
      <c r="M73" s="2">
        <v>-0.47771457980923</v>
      </c>
      <c r="N73" s="2">
        <v>583.35148232362</v>
      </c>
      <c r="O73" s="2">
        <v>658.79939895574</v>
      </c>
    </row>
    <row r="74" spans="1:15">
      <c r="A74" s="2">
        <v>13.806684939098</v>
      </c>
      <c r="B74" s="2">
        <v>0.039807688771372</v>
      </c>
      <c r="C74" s="2">
        <v>90.247552950043</v>
      </c>
      <c r="D74" s="2">
        <v>0.04204972900058</v>
      </c>
      <c r="E74" s="2">
        <v>4.1037193661723</v>
      </c>
      <c r="F74" s="2">
        <v>0.77471465154302</v>
      </c>
      <c r="G74" s="2">
        <v>22742885.037462</v>
      </c>
      <c r="H74" s="2">
        <v>44442228.177793</v>
      </c>
      <c r="I74" s="2">
        <v>-0.020885579898734</v>
      </c>
      <c r="J74" s="2">
        <v>-0.018426620124945</v>
      </c>
      <c r="K74" s="2">
        <v>0.040572321791883</v>
      </c>
      <c r="L74" s="2">
        <v>-0.48857215048253</v>
      </c>
      <c r="M74" s="2">
        <v>-0.48479175590465</v>
      </c>
      <c r="N74" s="2">
        <v>584.58920457856</v>
      </c>
      <c r="O74" s="2">
        <v>660.29120846351</v>
      </c>
    </row>
    <row r="75" spans="1:15">
      <c r="A75" s="2">
        <v>14.006684939098</v>
      </c>
      <c r="B75" s="2">
        <v>0.040411732569697</v>
      </c>
      <c r="C75" s="2">
        <v>90.246544318317</v>
      </c>
      <c r="D75" s="2">
        <v>0.042661078134383</v>
      </c>
      <c r="E75" s="2">
        <v>4.1087385988905</v>
      </c>
      <c r="F75" s="2">
        <v>0.77163696128171</v>
      </c>
      <c r="G75" s="2">
        <v>22865929.43594</v>
      </c>
      <c r="H75" s="2">
        <v>45151955.015416</v>
      </c>
      <c r="I75" s="2">
        <v>-0.021188879605532</v>
      </c>
      <c r="J75" s="2">
        <v>-0.018696435169891</v>
      </c>
      <c r="K75" s="2">
        <v>0.041147927603273</v>
      </c>
      <c r="L75" s="2">
        <v>-0.49575269920234</v>
      </c>
      <c r="M75" s="2">
        <v>-0.49185907434671</v>
      </c>
      <c r="N75" s="2">
        <v>585.82212714471</v>
      </c>
      <c r="O75" s="2">
        <v>661.77737990486</v>
      </c>
    </row>
    <row r="76" spans="1:15">
      <c r="A76" s="2">
        <v>14.206684939098</v>
      </c>
      <c r="B76" s="2">
        <v>0.041015785531276</v>
      </c>
      <c r="C76" s="2">
        <v>90.245537810229</v>
      </c>
      <c r="D76" s="2">
        <v>0.043272428545283</v>
      </c>
      <c r="E76" s="2">
        <v>4.113760013463</v>
      </c>
      <c r="F76" s="2">
        <v>0.7685682704124</v>
      </c>
      <c r="G76" s="2">
        <v>22989402.107363</v>
      </c>
      <c r="H76" s="2">
        <v>45863509.759765</v>
      </c>
      <c r="I76" s="2">
        <v>-0.021491977158311</v>
      </c>
      <c r="J76" s="2">
        <v>-0.018966127956363</v>
      </c>
      <c r="K76" s="2">
        <v>0.041723196884313</v>
      </c>
      <c r="L76" s="2">
        <v>-0.50296880096975</v>
      </c>
      <c r="M76" s="2">
        <v>-0.49894754810574</v>
      </c>
      <c r="N76" s="2">
        <v>587.04959631188</v>
      </c>
      <c r="O76" s="2">
        <v>663.25735793478</v>
      </c>
    </row>
    <row r="77" spans="1:15">
      <c r="A77" s="2">
        <v>14.406684939098</v>
      </c>
      <c r="B77" s="2">
        <v>0.041619845108422</v>
      </c>
      <c r="C77" s="2">
        <v>90.244532745356</v>
      </c>
      <c r="D77" s="2">
        <v>0.043883781617787</v>
      </c>
      <c r="E77" s="2">
        <v>4.1187831700906</v>
      </c>
      <c r="F77" s="2">
        <v>0.76550855470417</v>
      </c>
      <c r="G77" s="2">
        <v>23113297.080777</v>
      </c>
      <c r="H77" s="2">
        <v>46576861.770239</v>
      </c>
      <c r="I77" s="2">
        <v>-0.02179487250254</v>
      </c>
      <c r="J77" s="2">
        <v>-0.019235697600785</v>
      </c>
      <c r="K77" s="2">
        <v>0.042298130026999</v>
      </c>
      <c r="L77" s="2">
        <v>-0.5101894747388</v>
      </c>
      <c r="M77" s="2">
        <v>-0.50603895398422</v>
      </c>
      <c r="N77" s="2">
        <v>588.27223082186</v>
      </c>
      <c r="O77" s="2">
        <v>664.73175290148</v>
      </c>
    </row>
    <row r="78" spans="1:15">
      <c r="A78" s="2">
        <v>14.606684939098</v>
      </c>
      <c r="B78" s="2">
        <v>0.042223916735098</v>
      </c>
      <c r="C78" s="2">
        <v>90.243529008437</v>
      </c>
      <c r="D78" s="2">
        <v>0.044495139294912</v>
      </c>
      <c r="E78" s="2">
        <v>4.1238077931621</v>
      </c>
      <c r="F78" s="2">
        <v>0.76245751946001</v>
      </c>
      <c r="G78" s="2">
        <v>23237609.870539</v>
      </c>
      <c r="H78" s="2">
        <v>47291988.958425</v>
      </c>
      <c r="I78" s="2">
        <v>-0.022097568042502</v>
      </c>
      <c r="J78" s="2">
        <v>-0.019505143906263</v>
      </c>
      <c r="K78" s="2">
        <v>0.042872727412093</v>
      </c>
      <c r="L78" s="2">
        <v>-0.51743897852081</v>
      </c>
      <c r="M78" s="2">
        <v>-0.5131490332001</v>
      </c>
      <c r="N78" s="2">
        <v>589.48920212012</v>
      </c>
      <c r="O78" s="2">
        <v>666.19970045758</v>
      </c>
    </row>
    <row r="79" spans="1:15">
      <c r="A79" s="2">
        <v>14.806684939098</v>
      </c>
      <c r="B79" s="2">
        <v>0.04282799260475</v>
      </c>
      <c r="C79" s="2">
        <v>90.242526064015</v>
      </c>
      <c r="D79" s="2">
        <v>0.045106501353627</v>
      </c>
      <c r="E79" s="2">
        <v>4.1288337849329</v>
      </c>
      <c r="F79" s="2">
        <v>0.7594154270467</v>
      </c>
      <c r="G79" s="2">
        <v>23362333.361572</v>
      </c>
      <c r="H79" s="2">
        <v>48008854.202033</v>
      </c>
      <c r="I79" s="2">
        <v>-0.022400062351644</v>
      </c>
      <c r="J79" s="2">
        <v>-0.019774464264534</v>
      </c>
      <c r="K79" s="2">
        <v>0.043446989453801</v>
      </c>
      <c r="L79" s="2">
        <v>-0.52468647848291</v>
      </c>
      <c r="M79" s="2">
        <v>-0.52027095564741</v>
      </c>
      <c r="N79" s="2">
        <v>590.70257419939</v>
      </c>
      <c r="O79" s="2">
        <v>667.66350924808</v>
      </c>
    </row>
    <row r="80" spans="1:15">
      <c r="A80" s="2">
        <v>15.006684939098</v>
      </c>
      <c r="B80" s="2">
        <v>0.043432078681725</v>
      </c>
      <c r="C80" s="2">
        <v>90.24152415556</v>
      </c>
      <c r="D80" s="2">
        <v>0.045717871072905</v>
      </c>
      <c r="E80" s="2">
        <v>4.133860160429</v>
      </c>
      <c r="F80" s="2">
        <v>0.75638210923229</v>
      </c>
      <c r="G80" s="2">
        <v>23487463.422843</v>
      </c>
      <c r="H80" s="2">
        <v>48727437.319719</v>
      </c>
      <c r="I80" s="2">
        <v>-0.022702359353261</v>
      </c>
      <c r="J80" s="2">
        <v>-0.020043658267663</v>
      </c>
      <c r="K80" s="2">
        <v>0.044020916520061</v>
      </c>
      <c r="L80" s="2">
        <v>-0.53194966424973</v>
      </c>
      <c r="M80" s="2">
        <v>-0.5273886927436</v>
      </c>
      <c r="N80" s="2">
        <v>591.91092508587</v>
      </c>
      <c r="O80" s="2">
        <v>669.12144215611</v>
      </c>
    </row>
    <row r="81" spans="1:15">
      <c r="A81" s="2">
        <v>15.206684939098</v>
      </c>
      <c r="B81" s="2">
        <v>0.044036180047017</v>
      </c>
      <c r="C81" s="2">
        <v>90.240523210386</v>
      </c>
      <c r="D81" s="2">
        <v>0.046329249304518</v>
      </c>
      <c r="E81" s="2">
        <v>4.1388873067835</v>
      </c>
      <c r="F81" s="2">
        <v>0.75335736449123</v>
      </c>
      <c r="G81" s="2">
        <v>23612995.452678</v>
      </c>
      <c r="H81" s="2">
        <v>49447715.871289</v>
      </c>
      <c r="I81" s="2">
        <v>-0.02300445893828</v>
      </c>
      <c r="J81" s="2">
        <v>-0.020312725626519</v>
      </c>
      <c r="K81" s="2">
        <v>0.044594508989983</v>
      </c>
      <c r="L81" s="2">
        <v>-0.53923053103014</v>
      </c>
      <c r="M81" s="2">
        <v>-0.53454398007324</v>
      </c>
      <c r="N81" s="2">
        <v>593.11455134376</v>
      </c>
      <c r="O81" s="2">
        <v>670.57399256489</v>
      </c>
    </row>
    <row r="82" spans="1:15">
      <c r="A82" s="2">
        <v>15.406684939098</v>
      </c>
      <c r="B82" s="2">
        <v>0.044640297036841</v>
      </c>
      <c r="C82" s="2">
        <v>90.239522753179</v>
      </c>
      <c r="D82" s="2">
        <v>0.046940637429732</v>
      </c>
      <c r="E82" s="2">
        <v>4.1439144284086</v>
      </c>
      <c r="F82" s="2">
        <v>0.75034151778026</v>
      </c>
      <c r="G82" s="2">
        <v>23738924.558614</v>
      </c>
      <c r="H82" s="2">
        <v>50169665.254432</v>
      </c>
      <c r="I82" s="2">
        <v>-0.023306360781135</v>
      </c>
      <c r="J82" s="2">
        <v>-0.020581668160193</v>
      </c>
      <c r="K82" s="2">
        <v>0.045167767279535</v>
      </c>
      <c r="L82" s="2">
        <v>-0.54658039602865</v>
      </c>
      <c r="M82" s="2">
        <v>-0.5417385110655</v>
      </c>
      <c r="N82" s="2">
        <v>594.31304492733</v>
      </c>
      <c r="O82" s="2">
        <v>672.0208304241</v>
      </c>
    </row>
    <row r="83" spans="1:15">
      <c r="A83" s="2">
        <v>15.606684939098</v>
      </c>
      <c r="B83" s="2">
        <v>0.045244431929122</v>
      </c>
      <c r="C83" s="2">
        <v>90.238523305734</v>
      </c>
      <c r="D83" s="2">
        <v>0.047552037027456</v>
      </c>
      <c r="E83" s="2">
        <v>4.1489417072371</v>
      </c>
      <c r="F83" s="2">
        <v>0.74733477743435</v>
      </c>
      <c r="G83" s="2">
        <v>23865245.971218</v>
      </c>
      <c r="H83" s="2">
        <v>50893261.789928</v>
      </c>
      <c r="I83" s="2">
        <v>-0.02360806690372</v>
      </c>
      <c r="J83" s="2">
        <v>-0.020850483631829</v>
      </c>
      <c r="K83" s="2">
        <v>0.045740691783011</v>
      </c>
      <c r="L83" s="2">
        <v>-0.5538392687017</v>
      </c>
      <c r="M83" s="2">
        <v>-0.54886219624358</v>
      </c>
      <c r="N83" s="2">
        <v>595.50640166949</v>
      </c>
      <c r="O83" s="2">
        <v>673.46174725523</v>
      </c>
    </row>
    <row r="84" spans="1:15">
      <c r="A84" s="2">
        <v>15.806684939098</v>
      </c>
      <c r="B84" s="2">
        <v>0.04584858248962</v>
      </c>
      <c r="C84" s="2">
        <v>90.237524315301</v>
      </c>
      <c r="D84" s="2">
        <v>0.048163449072455</v>
      </c>
      <c r="E84" s="2">
        <v>4.1539687325393</v>
      </c>
      <c r="F84" s="2">
        <v>0.74433694477225</v>
      </c>
      <c r="G84" s="2">
        <v>23991953.883843</v>
      </c>
      <c r="H84" s="2">
        <v>51618475.650195</v>
      </c>
      <c r="I84" s="2">
        <v>-0.023909579033016</v>
      </c>
      <c r="J84" s="2">
        <v>-0.021119169800573</v>
      </c>
      <c r="K84" s="2">
        <v>0.046313282903807</v>
      </c>
      <c r="L84" s="2">
        <v>-0.56115484379797</v>
      </c>
      <c r="M84" s="2">
        <v>-0.55602962518516</v>
      </c>
      <c r="N84" s="2">
        <v>596.69534268915</v>
      </c>
      <c r="O84" s="2">
        <v>674.8976779357</v>
      </c>
    </row>
    <row r="85" spans="1:15">
      <c r="A85" s="2">
        <v>16.006684939098</v>
      </c>
      <c r="B85" s="2">
        <v>0.046452753185628</v>
      </c>
      <c r="C85" s="2">
        <v>90.236525960733</v>
      </c>
      <c r="D85" s="2">
        <v>0.048774875559466</v>
      </c>
      <c r="E85" s="2">
        <v>4.158995493838</v>
      </c>
      <c r="F85" s="2">
        <v>0.74134805345073</v>
      </c>
      <c r="G85" s="2">
        <v>24119044.473363</v>
      </c>
      <c r="H85" s="2">
        <v>52345288.509261</v>
      </c>
      <c r="I85" s="2">
        <v>-0.024210897751467</v>
      </c>
      <c r="J85" s="2">
        <v>-0.02138772840216</v>
      </c>
      <c r="K85" s="2">
        <v>0.046885541023858</v>
      </c>
      <c r="L85" s="2">
        <v>-0.56850948539941</v>
      </c>
      <c r="M85" s="2">
        <v>-0.56323749902266</v>
      </c>
      <c r="N85" s="2">
        <v>597.87894849027</v>
      </c>
      <c r="O85" s="2">
        <v>676.3276723696</v>
      </c>
    </row>
    <row r="86" spans="1:15">
      <c r="A86" s="2">
        <v>16.206684939098</v>
      </c>
      <c r="B86" s="2">
        <v>0.047056943127593</v>
      </c>
      <c r="C86" s="2">
        <v>90.235527924652</v>
      </c>
      <c r="D86" s="2">
        <v>0.04938631765891</v>
      </c>
      <c r="E86" s="2">
        <v>4.1640218398476</v>
      </c>
      <c r="F86" s="2">
        <v>0.73836794518113</v>
      </c>
      <c r="G86" s="2">
        <v>24246512.143346</v>
      </c>
      <c r="H86" s="2">
        <v>53073671.757957</v>
      </c>
      <c r="I86" s="2">
        <v>-0.024512023536493</v>
      </c>
      <c r="J86" s="2">
        <v>-0.021656157929913</v>
      </c>
      <c r="K86" s="2">
        <v>0.047457466524635</v>
      </c>
      <c r="L86" s="2">
        <v>-0.5758688695036</v>
      </c>
      <c r="M86" s="2">
        <v>-0.57044723302986</v>
      </c>
      <c r="N86" s="2">
        <v>599.05781088218</v>
      </c>
      <c r="O86" s="2">
        <v>677.75234938588</v>
      </c>
    </row>
    <row r="87" spans="1:15">
      <c r="A87" s="2">
        <v>16.406684939098</v>
      </c>
      <c r="B87" s="2">
        <v>0.047661141807733</v>
      </c>
      <c r="C87" s="2">
        <v>90.234530452734</v>
      </c>
      <c r="D87" s="2">
        <v>0.049997775484321</v>
      </c>
      <c r="E87" s="2">
        <v>4.1690472717128</v>
      </c>
      <c r="F87" s="2">
        <v>0.73539672106389</v>
      </c>
      <c r="G87" s="2">
        <v>24374349.672904</v>
      </c>
      <c r="H87" s="2">
        <v>53803587.407125</v>
      </c>
      <c r="I87" s="2">
        <v>-0.024812954458322</v>
      </c>
      <c r="J87" s="2">
        <v>-0.02192445648237</v>
      </c>
      <c r="K87" s="2">
        <v>0.048029059760434</v>
      </c>
      <c r="L87" s="2">
        <v>-0.58324551292488</v>
      </c>
      <c r="M87" s="2">
        <v>-0.57767059380484</v>
      </c>
      <c r="N87" s="2">
        <v>600.23401465979</v>
      </c>
      <c r="O87" s="2">
        <v>679.17393147429</v>
      </c>
    </row>
    <row r="88" spans="1:15">
      <c r="A88" s="2">
        <v>16.606684939098</v>
      </c>
      <c r="B88" s="2">
        <v>0.048265370547289</v>
      </c>
      <c r="C88" s="2">
        <v>90.233533212378</v>
      </c>
      <c r="D88" s="2">
        <v>0.050609252259247</v>
      </c>
      <c r="E88" s="2">
        <v>4.1740717088109</v>
      </c>
      <c r="F88" s="2">
        <v>0.73243431500957</v>
      </c>
      <c r="G88" s="2">
        <v>24502556.247059</v>
      </c>
      <c r="H88" s="2">
        <v>54535034.505042</v>
      </c>
      <c r="I88" s="2">
        <v>-0.025113695201522</v>
      </c>
      <c r="J88" s="2">
        <v>-0.022192626485417</v>
      </c>
      <c r="K88" s="2">
        <v>0.048600321169877</v>
      </c>
      <c r="L88" s="2">
        <v>-0.59063270219373</v>
      </c>
      <c r="M88" s="2">
        <v>-0.58490363489699</v>
      </c>
      <c r="N88" s="2">
        <v>601.40425105797</v>
      </c>
      <c r="O88" s="2">
        <v>680.58896971029</v>
      </c>
    </row>
    <row r="89" spans="1:15">
      <c r="A89" s="2">
        <v>16.806684939098</v>
      </c>
      <c r="B89" s="2">
        <v>0.048869620248425</v>
      </c>
      <c r="C89" s="2">
        <v>90.232536202009</v>
      </c>
      <c r="D89" s="2">
        <v>0.05122074835787</v>
      </c>
      <c r="E89" s="2">
        <v>4.1790950401348</v>
      </c>
      <c r="F89" s="2">
        <v>0.72948053133696</v>
      </c>
      <c r="G89" s="2">
        <v>24631125.366066</v>
      </c>
      <c r="H89" s="2">
        <v>55267979.140463</v>
      </c>
      <c r="I89" s="2">
        <v>-0.025414244819786</v>
      </c>
      <c r="J89" s="2">
        <v>-0.022460666045186</v>
      </c>
      <c r="K89" s="2">
        <v>0.049171251130043</v>
      </c>
      <c r="L89" s="2">
        <v>-0.5980462973057</v>
      </c>
      <c r="M89" s="2">
        <v>-0.59216090243331</v>
      </c>
      <c r="N89" s="2">
        <v>602.57014466484</v>
      </c>
      <c r="O89" s="2">
        <v>681.99926350446</v>
      </c>
    </row>
    <row r="90" spans="1:15">
      <c r="A90" s="2">
        <v>17</v>
      </c>
      <c r="B90" s="2">
        <v>0.049453572882311</v>
      </c>
      <c r="C90" s="2">
        <v>90.231577039278</v>
      </c>
      <c r="D90" s="2">
        <v>0.051811813375763</v>
      </c>
      <c r="E90" s="2">
        <v>4.1839486496472</v>
      </c>
      <c r="F90" s="2">
        <v>0.72663450297729</v>
      </c>
      <c r="G90" s="2">
        <v>24755711.730412</v>
      </c>
      <c r="H90" s="2">
        <v>55977679.924888</v>
      </c>
      <c r="I90" s="2">
        <v>-0.025704544899291</v>
      </c>
      <c r="J90" s="2">
        <v>-0.02271960190672</v>
      </c>
      <c r="K90" s="2">
        <v>0.049722783327715</v>
      </c>
      <c r="L90" s="2">
        <v>-0.60494666629768</v>
      </c>
      <c r="M90" s="2">
        <v>-0.59861337976583</v>
      </c>
      <c r="N90" s="2">
        <v>603.71369722366</v>
      </c>
      <c r="O90" s="2">
        <v>683.38002656591</v>
      </c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topLeftCell="A40" workbookViewId="0">
      <selection activeCell="A1" sqref="A1:O59"/>
    </sheetView>
  </sheetViews>
  <sheetFormatPr defaultColWidth="8.81333333333333" defaultRowHeight="15"/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2">
        <v>0.0025830812468784</v>
      </c>
      <c r="B3" s="3">
        <v>2.2178374463578e-41</v>
      </c>
      <c r="C3" s="2">
        <v>90.287235563802</v>
      </c>
      <c r="D3" s="3">
        <v>6.9294764890607e-6</v>
      </c>
      <c r="E3" s="2">
        <v>6.6107827177809</v>
      </c>
      <c r="F3" s="2">
        <v>0.99204006761164</v>
      </c>
      <c r="G3" s="2">
        <v>16000000</v>
      </c>
      <c r="H3" s="2">
        <v>4000000</v>
      </c>
      <c r="I3" s="3">
        <v>-2.0811543121867e-6</v>
      </c>
      <c r="J3" s="3">
        <v>-1.8858272935765e-6</v>
      </c>
      <c r="K3" s="3">
        <v>7.749213245188e-6</v>
      </c>
      <c r="L3" s="3">
        <v>-1.2041900854218e-7</v>
      </c>
      <c r="M3" s="3">
        <v>-1.2079099219791e-7</v>
      </c>
      <c r="N3" s="2">
        <v>1.714023442138</v>
      </c>
      <c r="O3" s="2">
        <v>1.8054998761707</v>
      </c>
    </row>
    <row r="4" spans="1:15">
      <c r="A4" s="2">
        <v>0.018444056862426</v>
      </c>
      <c r="B4" s="3">
        <v>8.3572362206907e-36</v>
      </c>
      <c r="C4" s="2">
        <v>90.287532180984</v>
      </c>
      <c r="D4" s="3">
        <v>4.9480491554171e-5</v>
      </c>
      <c r="E4" s="2">
        <v>6.6107917104733</v>
      </c>
      <c r="F4" s="2">
        <v>0.99209420187274</v>
      </c>
      <c r="G4" s="2">
        <v>16000000</v>
      </c>
      <c r="H4" s="2">
        <v>4000000</v>
      </c>
      <c r="I4" s="3">
        <v>-1.4862289708798e-5</v>
      </c>
      <c r="J4" s="3">
        <v>-1.3467404792574e-5</v>
      </c>
      <c r="K4" s="3">
        <v>5.5330615847005e-5</v>
      </c>
      <c r="L4" s="3">
        <v>-6.1358054582008e-6</v>
      </c>
      <c r="M4" s="3">
        <v>-6.1552220771956e-6</v>
      </c>
      <c r="N4" s="2">
        <v>12.241923210628</v>
      </c>
      <c r="O4" s="2">
        <v>12.895042402193</v>
      </c>
    </row>
    <row r="5" spans="1:15">
      <c r="A5" s="2">
        <v>0.1</v>
      </c>
      <c r="B5" s="3">
        <v>6.9304166106949e-25</v>
      </c>
      <c r="C5" s="2">
        <v>90.289099301234</v>
      </c>
      <c r="D5" s="2">
        <v>0.0002683252357033</v>
      </c>
      <c r="E5" s="2">
        <v>6.6108373247185</v>
      </c>
      <c r="F5" s="2">
        <v>0.99237230536035</v>
      </c>
      <c r="G5" s="2">
        <v>16000000</v>
      </c>
      <c r="H5" s="2">
        <v>4000000</v>
      </c>
      <c r="I5" s="3">
        <v>-8.0649177974613e-5</v>
      </c>
      <c r="J5" s="3">
        <v>-7.3080455450333e-5</v>
      </c>
      <c r="K5" s="2">
        <v>0.00029995430434372</v>
      </c>
      <c r="L5" s="2">
        <v>-0.00017883329382585</v>
      </c>
      <c r="M5" s="2">
        <v>-0.00017956507547887</v>
      </c>
      <c r="N5" s="2">
        <v>66.47417898324</v>
      </c>
      <c r="O5" s="2">
        <v>70.013797702435</v>
      </c>
    </row>
    <row r="6" spans="1:15">
      <c r="A6" s="2">
        <v>0.20668493909835</v>
      </c>
      <c r="B6" s="3">
        <v>2.2961135891343e-17</v>
      </c>
      <c r="C6" s="2">
        <v>90.291264395485</v>
      </c>
      <c r="D6" s="2">
        <v>0.00055471909203019</v>
      </c>
      <c r="E6" s="2">
        <v>6.6108956357568</v>
      </c>
      <c r="F6" s="2">
        <v>0.99273549494049</v>
      </c>
      <c r="G6" s="2">
        <v>16000000</v>
      </c>
      <c r="H6" s="2">
        <v>4000000</v>
      </c>
      <c r="I6" s="2">
        <v>-0.00016685418071422</v>
      </c>
      <c r="J6" s="2">
        <v>-0.00015119664028887</v>
      </c>
      <c r="K6" s="2">
        <v>0.00061985965497355</v>
      </c>
      <c r="L6" s="2">
        <v>-0.00076760321057485</v>
      </c>
      <c r="M6" s="2">
        <v>-0.00077060746221159</v>
      </c>
      <c r="N6" s="2">
        <v>137.63796568834</v>
      </c>
      <c r="O6" s="2">
        <v>144.94984903378</v>
      </c>
    </row>
    <row r="7" spans="1:15">
      <c r="A7" s="2">
        <v>0.40668493909835</v>
      </c>
      <c r="B7" s="3">
        <v>3.6622480889552e-9</v>
      </c>
      <c r="C7" s="2">
        <v>90.295737498525</v>
      </c>
      <c r="D7" s="2">
        <v>0.0010920161772183</v>
      </c>
      <c r="E7" s="2">
        <v>6.6110000603846</v>
      </c>
      <c r="F7" s="2">
        <v>0.99341432606696</v>
      </c>
      <c r="G7" s="2">
        <v>16000000.313266</v>
      </c>
      <c r="H7" s="2">
        <v>4000002.0060231</v>
      </c>
      <c r="I7" s="2">
        <v>-0.00032900308377192</v>
      </c>
      <c r="J7" s="2">
        <v>-0.00029813414754004</v>
      </c>
      <c r="K7" s="2">
        <v>0.0012192995235674</v>
      </c>
      <c r="L7" s="2">
        <v>-0.0029724968794193</v>
      </c>
      <c r="M7" s="2">
        <v>-0.0029855962806228</v>
      </c>
      <c r="N7" s="2">
        <v>271.83674080884</v>
      </c>
      <c r="O7" s="2">
        <v>286.20950686881</v>
      </c>
    </row>
    <row r="8" spans="1:15">
      <c r="A8" s="2">
        <v>0.60668493909835</v>
      </c>
      <c r="B8" s="3">
        <v>6.9785088735993e-5</v>
      </c>
      <c r="C8" s="2">
        <v>90.300230535479</v>
      </c>
      <c r="D8" s="2">
        <v>0.0016384872480262</v>
      </c>
      <c r="E8" s="2">
        <v>6.6118788676584</v>
      </c>
      <c r="F8" s="2">
        <v>0.99383921774286</v>
      </c>
      <c r="G8" s="2">
        <v>16006145.062365</v>
      </c>
      <c r="H8" s="2">
        <v>4039330.7285803</v>
      </c>
      <c r="I8" s="2">
        <v>-0.00050884891542767</v>
      </c>
      <c r="J8" s="2">
        <v>-0.00045733160664911</v>
      </c>
      <c r="K8" s="2">
        <v>0.00181837429829</v>
      </c>
      <c r="L8" s="2">
        <v>-0.0068061635709652</v>
      </c>
      <c r="M8" s="2">
        <v>-0.0063355934511525</v>
      </c>
      <c r="N8" s="2">
        <v>393.62153235352</v>
      </c>
      <c r="O8" s="2">
        <v>415.23645830166</v>
      </c>
    </row>
    <row r="9" spans="1:15">
      <c r="A9" s="2">
        <v>0.80668493909835</v>
      </c>
      <c r="B9" s="2">
        <v>0.00055691559358808</v>
      </c>
      <c r="C9" s="2">
        <v>90.30284167622</v>
      </c>
      <c r="D9" s="2">
        <v>0.0022271808471463</v>
      </c>
      <c r="E9" s="2">
        <v>6.6172206499252</v>
      </c>
      <c r="F9" s="2">
        <v>0.99281326245659</v>
      </c>
      <c r="G9" s="2">
        <v>16052201.145963</v>
      </c>
      <c r="H9" s="2">
        <v>4333705.3250769</v>
      </c>
      <c r="I9" s="2">
        <v>-0.00077765857444936</v>
      </c>
      <c r="J9" s="2">
        <v>-0.00069444068083481</v>
      </c>
      <c r="K9" s="2">
        <v>0.0024170842016953</v>
      </c>
      <c r="L9" s="2">
        <v>-0.010565812879424</v>
      </c>
      <c r="M9" s="2">
        <v>-0.0099464075878144</v>
      </c>
      <c r="N9" s="2">
        <v>437.70051721074</v>
      </c>
      <c r="O9" s="2">
        <v>466.83507640101</v>
      </c>
    </row>
    <row r="10" spans="1:15">
      <c r="A10" s="2">
        <v>1.0066849390983</v>
      </c>
      <c r="B10" s="2">
        <v>0.0011654260254932</v>
      </c>
      <c r="C10" s="2">
        <v>90.306161483194</v>
      </c>
      <c r="D10" s="2">
        <v>0.0028309786308046</v>
      </c>
      <c r="E10" s="2">
        <v>6.6211932379834</v>
      </c>
      <c r="F10" s="2">
        <v>0.99059249644965</v>
      </c>
      <c r="G10" s="2">
        <v>16115292.028539</v>
      </c>
      <c r="H10" s="2">
        <v>4736042.4610379</v>
      </c>
      <c r="I10" s="2">
        <v>-0.0010751825167569</v>
      </c>
      <c r="J10" s="2">
        <v>-0.0009588354968204</v>
      </c>
      <c r="K10" s="2">
        <v>0.0030154305913513</v>
      </c>
      <c r="L10" s="2">
        <v>-0.016811115106806</v>
      </c>
      <c r="M10" s="2">
        <v>-0.015981624813307</v>
      </c>
      <c r="N10" s="2">
        <v>455.20891012923</v>
      </c>
      <c r="O10" s="2">
        <v>491.31012535426</v>
      </c>
    </row>
    <row r="11" spans="1:15">
      <c r="A11" s="2">
        <v>1.2066849390983</v>
      </c>
      <c r="B11" s="2">
        <v>0.0017822612170582</v>
      </c>
      <c r="C11" s="2">
        <v>90.307725565533</v>
      </c>
      <c r="D11" s="2">
        <v>0.0034422310083094</v>
      </c>
      <c r="E11" s="2">
        <v>6.6247555681426</v>
      </c>
      <c r="F11" s="2">
        <v>0.98710055349115</v>
      </c>
      <c r="G11" s="2">
        <v>16185056.07294</v>
      </c>
      <c r="H11" s="2">
        <v>5179835.3098275</v>
      </c>
      <c r="I11" s="2">
        <v>-0.0013813493213393</v>
      </c>
      <c r="J11" s="2">
        <v>-0.0012293849772771</v>
      </c>
      <c r="K11" s="2">
        <v>0.0036134111345805</v>
      </c>
      <c r="L11" s="2">
        <v>-0.027035339753914</v>
      </c>
      <c r="M11" s="2">
        <v>-0.026852916973111</v>
      </c>
      <c r="N11" s="2">
        <v>465.54475400436</v>
      </c>
      <c r="O11" s="2">
        <v>507.27464210733</v>
      </c>
    </row>
    <row r="12" spans="1:15">
      <c r="A12" s="2">
        <v>1.4066849390983</v>
      </c>
      <c r="B12" s="2">
        <v>0.0023951229146788</v>
      </c>
      <c r="C12" s="2">
        <v>90.308144359536</v>
      </c>
      <c r="D12" s="2">
        <v>0.0040568897191616</v>
      </c>
      <c r="E12" s="2">
        <v>6.6285382367168</v>
      </c>
      <c r="F12" s="2">
        <v>0.98321467651605</v>
      </c>
      <c r="G12" s="2">
        <v>16259391.758314</v>
      </c>
      <c r="H12" s="2">
        <v>5651541.887603</v>
      </c>
      <c r="I12" s="2">
        <v>-0.0016907162886032</v>
      </c>
      <c r="J12" s="2">
        <v>-0.0015039904633893</v>
      </c>
      <c r="K12" s="2">
        <v>0.0042110262469634</v>
      </c>
      <c r="L12" s="2">
        <v>-0.037175272846335</v>
      </c>
      <c r="M12" s="2">
        <v>-0.037279716952224</v>
      </c>
      <c r="N12" s="2">
        <v>472.23656292733</v>
      </c>
      <c r="O12" s="2">
        <v>518.05807644621</v>
      </c>
    </row>
    <row r="13" spans="1:15">
      <c r="A13" s="2">
        <v>1.6066849390983</v>
      </c>
      <c r="B13" s="2">
        <v>0.0030043794087791</v>
      </c>
      <c r="C13" s="2">
        <v>90.307862541014</v>
      </c>
      <c r="D13" s="2">
        <v>0.004672873796602</v>
      </c>
      <c r="E13" s="2">
        <v>6.6324542223914</v>
      </c>
      <c r="F13" s="2">
        <v>0.97928163463996</v>
      </c>
      <c r="G13" s="2">
        <v>16337019.243657</v>
      </c>
      <c r="H13" s="2">
        <v>6142915.7237734</v>
      </c>
      <c r="I13" s="2">
        <v>-0.0020024304822758</v>
      </c>
      <c r="J13" s="2">
        <v>-0.0017800283973236</v>
      </c>
      <c r="K13" s="2">
        <v>0.0048082774032905</v>
      </c>
      <c r="L13" s="2">
        <v>-0.046663019815494</v>
      </c>
      <c r="M13" s="2">
        <v>-0.046109275497718</v>
      </c>
      <c r="N13" s="2">
        <v>476.91927318941</v>
      </c>
      <c r="O13" s="2">
        <v>525.58534211632</v>
      </c>
    </row>
    <row r="14" spans="1:15">
      <c r="A14" s="2">
        <v>1.8066849390983</v>
      </c>
      <c r="B14" s="2">
        <v>0.0036117886613941</v>
      </c>
      <c r="C14" s="2">
        <v>90.307188165647</v>
      </c>
      <c r="D14" s="2">
        <v>0.0052892676370651</v>
      </c>
      <c r="E14" s="2">
        <v>6.6364806483307</v>
      </c>
      <c r="F14" s="2">
        <v>0.97531364375336</v>
      </c>
      <c r="G14" s="2">
        <v>16416944.174554</v>
      </c>
      <c r="H14" s="2">
        <v>6647574.430661</v>
      </c>
      <c r="I14" s="2">
        <v>-0.0023159229814707</v>
      </c>
      <c r="J14" s="2">
        <v>-0.0020560389979482</v>
      </c>
      <c r="K14" s="2">
        <v>0.0054051655215627</v>
      </c>
      <c r="L14" s="2">
        <v>-0.054555649329861</v>
      </c>
      <c r="M14" s="2">
        <v>-0.055813695019249</v>
      </c>
      <c r="N14" s="2">
        <v>480.5714478718</v>
      </c>
      <c r="O14" s="2">
        <v>531.32512655103</v>
      </c>
    </row>
    <row r="15" spans="1:15">
      <c r="A15" s="2">
        <v>2.0066849390983</v>
      </c>
      <c r="B15" s="2">
        <v>0.0042182086089931</v>
      </c>
      <c r="C15" s="2">
        <v>90.306264316084</v>
      </c>
      <c r="D15" s="2">
        <v>0.0059056057338745</v>
      </c>
      <c r="E15" s="2">
        <v>6.6405650374398</v>
      </c>
      <c r="F15" s="2">
        <v>0.9713563286323</v>
      </c>
      <c r="G15" s="2">
        <v>16498680.537149</v>
      </c>
      <c r="H15" s="2">
        <v>7162402.0613223</v>
      </c>
      <c r="I15" s="2">
        <v>-0.0026308226710288</v>
      </c>
      <c r="J15" s="2">
        <v>-0.0023315217645987</v>
      </c>
      <c r="K15" s="2">
        <v>0.006001692070492</v>
      </c>
      <c r="L15" s="2">
        <v>-0.062607611455098</v>
      </c>
      <c r="M15" s="2">
        <v>-0.064037514272902</v>
      </c>
      <c r="N15" s="2">
        <v>483.61189449793</v>
      </c>
      <c r="O15" s="2">
        <v>535.97344934234</v>
      </c>
    </row>
    <row r="16" spans="1:15">
      <c r="A16" s="2">
        <v>2.2066849390983</v>
      </c>
      <c r="B16" s="2">
        <v>0.0048243591085439</v>
      </c>
      <c r="C16" s="2">
        <v>90.305231878142</v>
      </c>
      <c r="D16" s="2">
        <v>0.0065216991562008</v>
      </c>
      <c r="E16" s="2">
        <v>6.6446660229129</v>
      </c>
      <c r="F16" s="2">
        <v>0.96741561991944</v>
      </c>
      <c r="G16" s="2">
        <v>16581913.829218</v>
      </c>
      <c r="H16" s="2">
        <v>7685388.0044384</v>
      </c>
      <c r="I16" s="2">
        <v>-0.0029464384075537</v>
      </c>
      <c r="J16" s="2">
        <v>-0.0026066895458707</v>
      </c>
      <c r="K16" s="2">
        <v>0.0065978579384189</v>
      </c>
      <c r="L16" s="2">
        <v>-0.07036011328241</v>
      </c>
      <c r="M16" s="2">
        <v>-0.072240674576403</v>
      </c>
      <c r="N16" s="2">
        <v>486.27424541265</v>
      </c>
      <c r="O16" s="2">
        <v>539.95941312136</v>
      </c>
    </row>
    <row r="17" spans="1:15">
      <c r="A17" s="2">
        <v>2.4066849390983</v>
      </c>
      <c r="B17" s="2">
        <v>0.0054304580298907</v>
      </c>
      <c r="C17" s="2">
        <v>90.304153414939</v>
      </c>
      <c r="D17" s="2">
        <v>0.007137504104049</v>
      </c>
      <c r="E17" s="2">
        <v>6.6487714915823</v>
      </c>
      <c r="F17" s="2">
        <v>0.96348175496638</v>
      </c>
      <c r="G17" s="2">
        <v>16666468.967084</v>
      </c>
      <c r="H17" s="2">
        <v>8215415.8401003</v>
      </c>
      <c r="I17" s="2">
        <v>-0.0032622732457391</v>
      </c>
      <c r="J17" s="2">
        <v>-0.0028817817663358</v>
      </c>
      <c r="K17" s="2">
        <v>0.0071936633324589</v>
      </c>
      <c r="L17" s="2">
        <v>-0.077367267609455</v>
      </c>
      <c r="M17" s="2">
        <v>-0.078160749427259</v>
      </c>
      <c r="N17" s="2">
        <v>488.68132749413</v>
      </c>
      <c r="O17" s="2">
        <v>543.49257423932</v>
      </c>
    </row>
    <row r="18" spans="1:15">
      <c r="A18" s="2">
        <v>2.6066849390983</v>
      </c>
      <c r="B18" s="2">
        <v>0.0060365299703383</v>
      </c>
      <c r="C18" s="2">
        <v>90.303052089751</v>
      </c>
      <c r="D18" s="2">
        <v>0.0077530670113895</v>
      </c>
      <c r="E18" s="2">
        <v>6.6528843757667</v>
      </c>
      <c r="F18" s="2">
        <v>0.95959168249161</v>
      </c>
      <c r="G18" s="2">
        <v>16752224.832852</v>
      </c>
      <c r="H18" s="2">
        <v>8751716.440264</v>
      </c>
      <c r="I18" s="2">
        <v>-0.0035780124509774</v>
      </c>
      <c r="J18" s="2">
        <v>-0.0031569773502397</v>
      </c>
      <c r="K18" s="2">
        <v>0.0077891085185689</v>
      </c>
      <c r="L18" s="2">
        <v>-0.085564452655427</v>
      </c>
      <c r="M18" s="2">
        <v>-0.086096898153911</v>
      </c>
      <c r="N18" s="2">
        <v>490.90742468675</v>
      </c>
      <c r="O18" s="2">
        <v>546.69273683605</v>
      </c>
    </row>
    <row r="19" spans="1:15">
      <c r="A19" s="2">
        <v>2.8066849390983</v>
      </c>
      <c r="B19" s="2">
        <v>0.0066424972045319</v>
      </c>
      <c r="C19" s="2">
        <v>90.301939284822</v>
      </c>
      <c r="D19" s="2">
        <v>0.0083683968749773</v>
      </c>
      <c r="E19" s="2">
        <v>6.6570116517032</v>
      </c>
      <c r="F19" s="2">
        <v>0.95576953069502</v>
      </c>
      <c r="G19" s="2">
        <v>16839102.890369</v>
      </c>
      <c r="H19" s="2">
        <v>9293793.8334768</v>
      </c>
      <c r="I19" s="2">
        <v>-0.0038934839639947</v>
      </c>
      <c r="J19" s="2">
        <v>-0.0034323491755931</v>
      </c>
      <c r="K19" s="2">
        <v>0.0083841940050606</v>
      </c>
      <c r="L19" s="2">
        <v>-0.092749249185733</v>
      </c>
      <c r="M19" s="2">
        <v>-0.094676727039533</v>
      </c>
      <c r="N19" s="2">
        <v>492.9979410217</v>
      </c>
      <c r="O19" s="2">
        <v>549.62207647816</v>
      </c>
    </row>
    <row r="20" spans="1:15">
      <c r="A20" s="2">
        <v>3.0066849390983</v>
      </c>
      <c r="B20" s="2">
        <v>0.0072483541322563</v>
      </c>
      <c r="C20" s="2">
        <v>90.300827062934</v>
      </c>
      <c r="D20" s="2">
        <v>0.0089834951245213</v>
      </c>
      <c r="E20" s="2">
        <v>6.6611653845077</v>
      </c>
      <c r="F20" s="2">
        <v>0.95201714291905</v>
      </c>
      <c r="G20" s="2">
        <v>16927030.562648</v>
      </c>
      <c r="H20" s="2">
        <v>9841191.8768217</v>
      </c>
      <c r="I20" s="2">
        <v>-0.0042086052658003</v>
      </c>
      <c r="J20" s="2">
        <v>-0.0037079055383449</v>
      </c>
      <c r="K20" s="2">
        <v>0.0089789202499542</v>
      </c>
      <c r="L20" s="2">
        <v>-0.099472673602595</v>
      </c>
      <c r="M20" s="2">
        <v>-0.10163391141093</v>
      </c>
      <c r="N20" s="2">
        <v>494.98837406683</v>
      </c>
      <c r="O20" s="2">
        <v>552.34198528141</v>
      </c>
    </row>
    <row r="21" spans="1:15">
      <c r="A21" s="2">
        <v>3.2066849390983</v>
      </c>
      <c r="B21" s="2">
        <v>0.0078542108871433</v>
      </c>
      <c r="C21" s="2">
        <v>90.299722916822</v>
      </c>
      <c r="D21" s="2">
        <v>0.009598406724238</v>
      </c>
      <c r="E21" s="2">
        <v>6.6653561862345</v>
      </c>
      <c r="F21" s="2">
        <v>0.94832193942254</v>
      </c>
      <c r="G21" s="2">
        <v>17015936.024181</v>
      </c>
      <c r="H21" s="2">
        <v>10393460.892076</v>
      </c>
      <c r="I21" s="2">
        <v>-0.0045233555441161</v>
      </c>
      <c r="J21" s="2">
        <v>-0.0039836157412927</v>
      </c>
      <c r="K21" s="2">
        <v>0.0095732875838248</v>
      </c>
      <c r="L21" s="2">
        <v>-0.10556004661699</v>
      </c>
      <c r="M21" s="2">
        <v>-0.10773245571053</v>
      </c>
      <c r="N21" s="2">
        <v>496.90618196399</v>
      </c>
      <c r="O21" s="2">
        <v>554.91570189145</v>
      </c>
    </row>
    <row r="22" spans="1:15">
      <c r="A22" s="2">
        <v>3.4066849390983</v>
      </c>
      <c r="B22" s="2">
        <v>0.0084601224002634</v>
      </c>
      <c r="C22" s="2">
        <v>90.298628901193</v>
      </c>
      <c r="D22" s="2">
        <v>0.01021316367176</v>
      </c>
      <c r="E22" s="2">
        <v>6.6695909440997</v>
      </c>
      <c r="F22" s="2">
        <v>0.94467182322641</v>
      </c>
      <c r="G22" s="2">
        <v>17105768.27545</v>
      </c>
      <c r="H22" s="2">
        <v>10950284.446082</v>
      </c>
      <c r="I22" s="2">
        <v>-0.0048377581099625</v>
      </c>
      <c r="J22" s="2">
        <v>-0.0042594209132637</v>
      </c>
      <c r="K22" s="2">
        <v>0.010167296410328</v>
      </c>
      <c r="L22" s="2">
        <v>-0.11098804393476</v>
      </c>
      <c r="M22" s="2">
        <v>-0.11266953496635</v>
      </c>
      <c r="N22" s="2">
        <v>498.76952601081</v>
      </c>
      <c r="O22" s="2">
        <v>557.3831387342</v>
      </c>
    </row>
    <row r="23" spans="1:15">
      <c r="A23" s="2">
        <v>3.6066849390983</v>
      </c>
      <c r="B23" s="2">
        <v>0.0090660663261072</v>
      </c>
      <c r="C23" s="2">
        <v>90.297542347422</v>
      </c>
      <c r="D23" s="2">
        <v>0.010827780459955</v>
      </c>
      <c r="E23" s="2">
        <v>6.6738726272337</v>
      </c>
      <c r="F23" s="2">
        <v>0.94106297496877</v>
      </c>
      <c r="G23" s="2">
        <v>17196497.554188</v>
      </c>
      <c r="H23" s="2">
        <v>11511481.109645</v>
      </c>
      <c r="I23" s="2">
        <v>-0.0051518557696413</v>
      </c>
      <c r="J23" s="2">
        <v>-0.0045353017819403</v>
      </c>
      <c r="K23" s="2">
        <v>0.010760947310864</v>
      </c>
      <c r="L23" s="2">
        <v>-0.12249625287999</v>
      </c>
      <c r="M23" s="2">
        <v>-0.12427414450981</v>
      </c>
      <c r="N23" s="2">
        <v>500.58352803985</v>
      </c>
      <c r="O23" s="2">
        <v>559.76454789014</v>
      </c>
    </row>
    <row r="24" spans="1:15">
      <c r="A24" s="2">
        <v>3.8066849390983</v>
      </c>
      <c r="B24" s="2">
        <v>0.009672011540125</v>
      </c>
      <c r="C24" s="2">
        <v>90.2964620008</v>
      </c>
      <c r="D24" s="2">
        <v>0.011442234841151</v>
      </c>
      <c r="E24" s="2">
        <v>6.6782001782936</v>
      </c>
      <c r="F24" s="2">
        <v>0.93749554689174</v>
      </c>
      <c r="G24" s="2">
        <v>17288099.07967</v>
      </c>
      <c r="H24" s="2">
        <v>12076901.502478</v>
      </c>
      <c r="I24" s="2">
        <v>-0.0054656566453726</v>
      </c>
      <c r="J24" s="2">
        <v>-0.0048111820763381</v>
      </c>
      <c r="K24" s="2">
        <v>0.011354240938465</v>
      </c>
      <c r="L24" s="2">
        <v>-0.1298648684422</v>
      </c>
      <c r="M24" s="2">
        <v>-0.13182208191939</v>
      </c>
      <c r="N24" s="2">
        <v>502.35903402489</v>
      </c>
      <c r="O24" s="2">
        <v>562.06733958479</v>
      </c>
    </row>
    <row r="25" spans="1:15">
      <c r="A25" s="2">
        <v>4.0066849390983</v>
      </c>
      <c r="B25" s="2">
        <v>0.010277928421177</v>
      </c>
      <c r="C25" s="2">
        <v>90.29538541863</v>
      </c>
      <c r="D25" s="2">
        <v>0.01205652985618</v>
      </c>
      <c r="E25" s="2">
        <v>6.6825729385177</v>
      </c>
      <c r="F25" s="2">
        <v>0.93396547082167</v>
      </c>
      <c r="G25" s="2">
        <v>17380550.987771</v>
      </c>
      <c r="H25" s="2">
        <v>12646415.243513</v>
      </c>
      <c r="I25" s="2">
        <v>-0.0057792334485305</v>
      </c>
      <c r="J25" s="2">
        <v>-0.0050870001739008</v>
      </c>
      <c r="K25" s="2">
        <v>0.011947177863442</v>
      </c>
      <c r="L25" s="2">
        <v>-0.13693952873771</v>
      </c>
      <c r="M25" s="2">
        <v>-0.13919645186251</v>
      </c>
      <c r="N25" s="2">
        <v>504.09966061882</v>
      </c>
      <c r="O25" s="2">
        <v>564.30516843158</v>
      </c>
    </row>
    <row r="26" spans="1:15">
      <c r="A26" s="2">
        <v>4.2066849390983</v>
      </c>
      <c r="B26" s="2">
        <v>0.01088375527803</v>
      </c>
      <c r="C26" s="2">
        <v>90.294309266946</v>
      </c>
      <c r="D26" s="2">
        <v>0.012670643362982</v>
      </c>
      <c r="E26" s="2">
        <v>6.6869887364987</v>
      </c>
      <c r="F26" s="2">
        <v>0.93046912179797</v>
      </c>
      <c r="G26" s="2">
        <v>17473840.854677</v>
      </c>
      <c r="H26" s="2">
        <v>13219951.709448</v>
      </c>
      <c r="I26" s="2">
        <v>-0.0060926705242029</v>
      </c>
      <c r="J26" s="2">
        <v>-0.0053626665825403</v>
      </c>
      <c r="K26" s="2">
        <v>0.012539758756447</v>
      </c>
      <c r="L26" s="2">
        <v>-0.14366966030445</v>
      </c>
      <c r="M26" s="2">
        <v>-0.14617536399403</v>
      </c>
      <c r="N26" s="2">
        <v>505.80792000759</v>
      </c>
      <c r="O26" s="2">
        <v>566.48090048661</v>
      </c>
    </row>
    <row r="27" spans="1:15">
      <c r="A27" s="2">
        <v>4.4066849390983</v>
      </c>
      <c r="B27" s="2">
        <v>0.011489469792905</v>
      </c>
      <c r="C27" s="2">
        <v>90.293229855219</v>
      </c>
      <c r="D27" s="2">
        <v>0.013284566679696</v>
      </c>
      <c r="E27" s="2">
        <v>6.6914428203745</v>
      </c>
      <c r="F27" s="2">
        <v>0.92700477971135</v>
      </c>
      <c r="G27" s="2">
        <v>17567954.053705</v>
      </c>
      <c r="H27" s="2">
        <v>13797426.483352</v>
      </c>
      <c r="I27" s="2">
        <v>-0.0064060010963574</v>
      </c>
      <c r="J27" s="2">
        <v>-0.0056381447499013</v>
      </c>
      <c r="K27" s="2">
        <v>0.013131984197824</v>
      </c>
      <c r="L27" s="2">
        <v>-0.15104289072043</v>
      </c>
      <c r="M27" s="2">
        <v>-0.15249961182645</v>
      </c>
      <c r="N27" s="2">
        <v>507.48641372521</v>
      </c>
      <c r="O27" s="2">
        <v>568.60073624408</v>
      </c>
    </row>
    <row r="28" spans="1:15">
      <c r="A28" s="2">
        <v>4.6066849390983</v>
      </c>
      <c r="B28" s="2">
        <v>0.012095088224124</v>
      </c>
      <c r="C28" s="2">
        <v>90.292147101085</v>
      </c>
      <c r="D28" s="2">
        <v>0.013898314278188</v>
      </c>
      <c r="E28" s="2">
        <v>6.6959300867159</v>
      </c>
      <c r="F28" s="2">
        <v>0.92357123368106</v>
      </c>
      <c r="G28" s="2">
        <v>17662870.94962</v>
      </c>
      <c r="H28" s="2">
        <v>14378723.989566</v>
      </c>
      <c r="I28" s="2">
        <v>-0.0067192001290091</v>
      </c>
      <c r="J28" s="2">
        <v>-0.0059134550388863</v>
      </c>
      <c r="K28" s="2">
        <v>0.01372385456537</v>
      </c>
      <c r="L28" s="2">
        <v>-0.1581335132853</v>
      </c>
      <c r="M28" s="2">
        <v>-0.15956435102757</v>
      </c>
      <c r="N28" s="2">
        <v>509.13830310303</v>
      </c>
      <c r="O28" s="2">
        <v>570.67448956372</v>
      </c>
    </row>
    <row r="29" spans="1:15">
      <c r="A29" s="2">
        <v>4.8066849390983</v>
      </c>
      <c r="B29" s="2">
        <v>0.012700622797638</v>
      </c>
      <c r="C29" s="2">
        <v>90.291063888655</v>
      </c>
      <c r="D29" s="2">
        <v>0.014511899846831</v>
      </c>
      <c r="E29" s="2">
        <v>6.7004462920801</v>
      </c>
      <c r="F29" s="2">
        <v>0.9201638409126</v>
      </c>
      <c r="G29" s="2">
        <v>17758573.299338</v>
      </c>
      <c r="H29" s="2">
        <v>14963737.672983</v>
      </c>
      <c r="I29" s="2">
        <v>-0.0070322466917729</v>
      </c>
      <c r="J29" s="2">
        <v>-0.0061886099380189</v>
      </c>
      <c r="K29" s="2">
        <v>0.014315370183535</v>
      </c>
      <c r="L29" s="2">
        <v>-0.16519852951454</v>
      </c>
      <c r="M29" s="2">
        <v>-0.16663943306994</v>
      </c>
      <c r="N29" s="2">
        <v>510.76745833028</v>
      </c>
      <c r="O29" s="2">
        <v>572.7100088045</v>
      </c>
    </row>
    <row r="30" spans="1:15">
      <c r="A30" s="2">
        <v>5.0066849390983</v>
      </c>
      <c r="B30" s="2">
        <v>0.013306094045865</v>
      </c>
      <c r="C30" s="2">
        <v>90.289975987804</v>
      </c>
      <c r="D30" s="2">
        <v>0.015125341348846</v>
      </c>
      <c r="E30" s="2">
        <v>6.7049876330434</v>
      </c>
      <c r="F30" s="2">
        <v>0.91677949618796</v>
      </c>
      <c r="G30" s="2">
        <v>17855044.036143</v>
      </c>
      <c r="H30" s="2">
        <v>15552368.494542</v>
      </c>
      <c r="I30" s="2">
        <v>-0.0073451270800735</v>
      </c>
      <c r="J30" s="2">
        <v>-0.0064636167514085</v>
      </c>
      <c r="K30" s="2">
        <v>0.014906531369043</v>
      </c>
      <c r="L30" s="2">
        <v>-0.17221867144939</v>
      </c>
      <c r="M30" s="2">
        <v>-0.1736601186309</v>
      </c>
      <c r="N30" s="2">
        <v>512.37705518027</v>
      </c>
      <c r="O30" s="2">
        <v>574.71388486242</v>
      </c>
    </row>
    <row r="31" spans="1:15">
      <c r="A31" s="2">
        <v>5.2066849390983</v>
      </c>
      <c r="B31" s="2">
        <v>0.013911529076774</v>
      </c>
      <c r="C31" s="2">
        <v>90.288884462021</v>
      </c>
      <c r="D31" s="2">
        <v>0.015738658910631</v>
      </c>
      <c r="E31" s="2">
        <v>6.7095501893185</v>
      </c>
      <c r="F31" s="2">
        <v>0.91341508733132</v>
      </c>
      <c r="G31" s="2">
        <v>17952269.104702</v>
      </c>
      <c r="H31" s="2">
        <v>16144535.993605</v>
      </c>
      <c r="I31" s="2">
        <v>-0.0076578377871628</v>
      </c>
      <c r="J31" s="2">
        <v>-0.0067384787869729</v>
      </c>
      <c r="K31" s="2">
        <v>0.015497338419444</v>
      </c>
      <c r="L31" s="2">
        <v>-0.17915453251734</v>
      </c>
      <c r="M31" s="2">
        <v>-0.18063922400998</v>
      </c>
      <c r="N31" s="2">
        <v>513.96740465564</v>
      </c>
      <c r="O31" s="2">
        <v>576.68865794408</v>
      </c>
    </row>
    <row r="32" spans="1:15">
      <c r="A32" s="2">
        <v>5.4066849390983</v>
      </c>
      <c r="B32" s="2">
        <v>0.014516934392869</v>
      </c>
      <c r="C32" s="2">
        <v>90.287789462353</v>
      </c>
      <c r="D32" s="2">
        <v>0.016351867917953</v>
      </c>
      <c r="E32" s="2">
        <v>6.7141300884916</v>
      </c>
      <c r="F32" s="2">
        <v>0.91006815207319</v>
      </c>
      <c r="G32" s="2">
        <v>18050233.699111</v>
      </c>
      <c r="H32" s="2">
        <v>16740155.400308</v>
      </c>
      <c r="I32" s="2">
        <v>-0.0079703775992553</v>
      </c>
      <c r="J32" s="2">
        <v>-0.0070131921861425</v>
      </c>
      <c r="K32" s="2">
        <v>0.016087791631782</v>
      </c>
      <c r="L32" s="2">
        <v>-0.18604685785788</v>
      </c>
      <c r="M32" s="2">
        <v>-0.18753174907919</v>
      </c>
      <c r="N32" s="2">
        <v>515.54112656204</v>
      </c>
      <c r="O32" s="2">
        <v>578.63809734766</v>
      </c>
    </row>
    <row r="33" spans="1:15">
      <c r="A33" s="2">
        <v>5.6066849390983</v>
      </c>
      <c r="B33" s="2">
        <v>0.015122315350915</v>
      </c>
      <c r="C33" s="2">
        <v>90.286691164736</v>
      </c>
      <c r="D33" s="2">
        <v>0.01696498054388</v>
      </c>
      <c r="E33" s="2">
        <v>6.7187245793442</v>
      </c>
      <c r="F33" s="2">
        <v>0.90673594096098</v>
      </c>
      <c r="G33" s="2">
        <v>18148925.126413</v>
      </c>
      <c r="H33" s="2">
        <v>17339155.098601</v>
      </c>
      <c r="I33" s="2">
        <v>-0.0082827490322438</v>
      </c>
      <c r="J33" s="2">
        <v>-0.0072877527943942</v>
      </c>
      <c r="K33" s="2">
        <v>0.016677891324119</v>
      </c>
      <c r="L33" s="2">
        <v>-0.19288741944094</v>
      </c>
      <c r="M33" s="2">
        <v>-0.19435221805818</v>
      </c>
      <c r="N33" s="2">
        <v>517.09920632393</v>
      </c>
      <c r="O33" s="2">
        <v>580.56365018557</v>
      </c>
    </row>
    <row r="34" spans="1:15">
      <c r="A34" s="2">
        <v>5.8066849390983</v>
      </c>
      <c r="B34" s="2">
        <v>0.015727670001283</v>
      </c>
      <c r="C34" s="2">
        <v>90.285590413702</v>
      </c>
      <c r="D34" s="2">
        <v>0.017578006096378</v>
      </c>
      <c r="E34" s="2">
        <v>6.7233318661052</v>
      </c>
      <c r="F34" s="2">
        <v>0.9034161299659</v>
      </c>
      <c r="G34" s="2">
        <v>18248330.459352</v>
      </c>
      <c r="H34" s="2">
        <v>17941462.242375</v>
      </c>
      <c r="I34" s="2">
        <v>-0.0085949528073798</v>
      </c>
      <c r="J34" s="2">
        <v>-0.0075621567158994</v>
      </c>
      <c r="K34" s="2">
        <v>0.017267637833005</v>
      </c>
      <c r="L34" s="2">
        <v>-0.19972046184084</v>
      </c>
      <c r="M34" s="2">
        <v>-0.20105812007147</v>
      </c>
      <c r="N34" s="2">
        <v>518.64338135225</v>
      </c>
      <c r="O34" s="2">
        <v>582.4675367906</v>
      </c>
    </row>
    <row r="35" spans="1:15">
      <c r="A35" s="2">
        <v>6.0066849390983</v>
      </c>
      <c r="B35" s="2">
        <v>0.016333002741356</v>
      </c>
      <c r="C35" s="2">
        <v>90.284488715414</v>
      </c>
      <c r="D35" s="2">
        <v>0.018190952433249</v>
      </c>
      <c r="E35" s="2">
        <v>6.7279512550788</v>
      </c>
      <c r="F35" s="2">
        <v>0.90010701248482</v>
      </c>
      <c r="G35" s="2">
        <v>18348438.377714</v>
      </c>
      <c r="H35" s="2">
        <v>18547013.911494</v>
      </c>
      <c r="I35" s="2">
        <v>-0.0089069889758625</v>
      </c>
      <c r="J35" s="2">
        <v>-0.0078364039037851</v>
      </c>
      <c r="K35" s="2">
        <v>0.017857031514436</v>
      </c>
      <c r="L35" s="2">
        <v>-0.20652382121947</v>
      </c>
      <c r="M35" s="2">
        <v>-0.20765655436865</v>
      </c>
      <c r="N35" s="2">
        <v>520.17386762255</v>
      </c>
      <c r="O35" s="2">
        <v>584.35076745419</v>
      </c>
    </row>
    <row r="36" spans="1:15">
      <c r="A36" s="2">
        <v>6.2066849390983</v>
      </c>
      <c r="B36" s="2">
        <v>0.016938315865261</v>
      </c>
      <c r="C36" s="2">
        <v>90.283385379834</v>
      </c>
      <c r="D36" s="2">
        <v>0.018803826027312</v>
      </c>
      <c r="E36" s="2">
        <v>6.7325819133532</v>
      </c>
      <c r="F36" s="2">
        <v>0.89680681303594</v>
      </c>
      <c r="G36" s="2">
        <v>18449237.640558</v>
      </c>
      <c r="H36" s="2">
        <v>19155747.850916</v>
      </c>
      <c r="I36" s="2">
        <v>-0.0092188541771146</v>
      </c>
      <c r="J36" s="2">
        <v>-0.0081104972747111</v>
      </c>
      <c r="K36" s="2">
        <v>0.018446072751989</v>
      </c>
      <c r="L36" s="2">
        <v>-0.21337009786362</v>
      </c>
      <c r="M36" s="2">
        <v>-0.21433740678559</v>
      </c>
      <c r="N36" s="2">
        <v>521.69139657138</v>
      </c>
      <c r="O36" s="2">
        <v>586.21510430635</v>
      </c>
    </row>
    <row r="37" spans="1:15">
      <c r="A37" s="2">
        <v>6.4066849390983</v>
      </c>
      <c r="B37" s="2">
        <v>0.017543611223755</v>
      </c>
      <c r="C37" s="2">
        <v>90.282280687554</v>
      </c>
      <c r="D37" s="2">
        <v>0.01941663149806</v>
      </c>
      <c r="E37" s="2">
        <v>6.7372232657386</v>
      </c>
      <c r="F37" s="2">
        <v>0.89351459076388</v>
      </c>
      <c r="G37" s="2">
        <v>18550717.653727</v>
      </c>
      <c r="H37" s="2">
        <v>19767605.859928</v>
      </c>
      <c r="I37" s="2">
        <v>-0.0095305441561536</v>
      </c>
      <c r="J37" s="2">
        <v>-0.0083844394517544</v>
      </c>
      <c r="K37" s="2">
        <v>0.019034761935906</v>
      </c>
      <c r="L37" s="2">
        <v>-0.22015038847153</v>
      </c>
      <c r="M37" s="2">
        <v>-0.22085742032688</v>
      </c>
      <c r="N37" s="2">
        <v>523.19660249508</v>
      </c>
      <c r="O37" s="2">
        <v>588.06189470886</v>
      </c>
    </row>
    <row r="38" spans="1:15">
      <c r="A38" s="2">
        <v>6.6066849390983</v>
      </c>
      <c r="B38" s="2">
        <v>0.01814888690908</v>
      </c>
      <c r="C38" s="2">
        <v>90.281176245217</v>
      </c>
      <c r="D38" s="2">
        <v>0.020029372582711</v>
      </c>
      <c r="E38" s="2">
        <v>6.7418755704087</v>
      </c>
      <c r="F38" s="2">
        <v>0.89023019609988</v>
      </c>
      <c r="G38" s="2">
        <v>18652868.158777</v>
      </c>
      <c r="H38" s="2">
        <v>20382531.950655</v>
      </c>
      <c r="I38" s="2">
        <v>-0.0098420527894683</v>
      </c>
      <c r="J38" s="2">
        <v>-0.0086582364763498</v>
      </c>
      <c r="K38" s="2">
        <v>0.019623099463239</v>
      </c>
      <c r="L38" s="2">
        <v>-0.22698053394195</v>
      </c>
      <c r="M38" s="2">
        <v>-0.22745597930722</v>
      </c>
      <c r="N38" s="2">
        <v>524.69015254193</v>
      </c>
      <c r="O38" s="2">
        <v>589.89249544159</v>
      </c>
    </row>
    <row r="39" spans="1:15">
      <c r="A39" s="2">
        <v>6.8066849390983</v>
      </c>
      <c r="B39" s="2">
        <v>0.018754138790846</v>
      </c>
      <c r="C39" s="2">
        <v>90.280072496758</v>
      </c>
      <c r="D39" s="2">
        <v>0.020642050778011</v>
      </c>
      <c r="E39" s="2">
        <v>6.746539076719</v>
      </c>
      <c r="F39" s="2">
        <v>0.88695372221975</v>
      </c>
      <c r="G39" s="2">
        <v>18755679.347344</v>
      </c>
      <c r="H39" s="2">
        <v>21000473.022731</v>
      </c>
      <c r="I39" s="2">
        <v>-0.0101533740408</v>
      </c>
      <c r="J39" s="2">
        <v>-0.0089318928214321</v>
      </c>
      <c r="K39" s="2">
        <v>0.020211085731527</v>
      </c>
      <c r="L39" s="2">
        <v>-0.23384590900538</v>
      </c>
      <c r="M39" s="2">
        <v>-0.23410212940043</v>
      </c>
      <c r="N39" s="2">
        <v>526.17296179201</v>
      </c>
      <c r="O39" s="2">
        <v>591.70810393256</v>
      </c>
    </row>
    <row r="40" spans="1:15">
      <c r="A40" s="2">
        <v>7.0066849390983</v>
      </c>
      <c r="B40" s="2">
        <v>0.019359364443419</v>
      </c>
      <c r="C40" s="2">
        <v>90.278969800998</v>
      </c>
      <c r="D40" s="2">
        <v>0.021254666845138</v>
      </c>
      <c r="E40" s="2">
        <v>6.7512141136716</v>
      </c>
      <c r="F40" s="2">
        <v>0.88368524867655</v>
      </c>
      <c r="G40" s="2">
        <v>18859142.617246</v>
      </c>
      <c r="H40" s="2">
        <v>21621383.388913</v>
      </c>
      <c r="I40" s="2">
        <v>-0.01046450312455</v>
      </c>
      <c r="J40" s="2">
        <v>-0.0092054138783867</v>
      </c>
      <c r="K40" s="2">
        <v>0.020798721147131</v>
      </c>
      <c r="L40" s="2">
        <v>-0.24085383926233</v>
      </c>
      <c r="M40" s="2">
        <v>-0.24087271674604</v>
      </c>
      <c r="N40" s="2">
        <v>527.64514272328</v>
      </c>
      <c r="O40" s="2">
        <v>593.50898334591</v>
      </c>
    </row>
    <row r="41" spans="1:15">
      <c r="A41" s="2">
        <v>7.2066849390983</v>
      </c>
      <c r="B41" s="2">
        <v>0.01996455364803</v>
      </c>
      <c r="C41" s="2">
        <v>90.277870010601</v>
      </c>
      <c r="D41" s="2">
        <v>0.021867219226774</v>
      </c>
      <c r="E41" s="2">
        <v>6.7559019490083</v>
      </c>
      <c r="F41" s="2">
        <v>0.88042474750675</v>
      </c>
      <c r="G41" s="2">
        <v>18963248.874426</v>
      </c>
      <c r="H41" s="2">
        <v>22245214.410384</v>
      </c>
      <c r="I41" s="2">
        <v>-0.010775429179892</v>
      </c>
      <c r="J41" s="2">
        <v>-0.0094788079402048</v>
      </c>
      <c r="K41" s="2">
        <v>0.021386006127352</v>
      </c>
      <c r="L41" s="2">
        <v>-0.24771241458154</v>
      </c>
      <c r="M41" s="2">
        <v>-0.24761640420753</v>
      </c>
      <c r="N41" s="2">
        <v>529.10769083452</v>
      </c>
      <c r="O41" s="2">
        <v>595.29585461134</v>
      </c>
    </row>
    <row r="42" spans="1:15">
      <c r="A42" s="2">
        <v>7.4066849390983</v>
      </c>
      <c r="B42" s="2">
        <v>0.020569707182346</v>
      </c>
      <c r="C42" s="2">
        <v>90.276770845781</v>
      </c>
      <c r="D42" s="2">
        <v>0.022479707199767</v>
      </c>
      <c r="E42" s="2">
        <v>6.7606023950919</v>
      </c>
      <c r="F42" s="2">
        <v>0.87717222093867</v>
      </c>
      <c r="G42" s="2">
        <v>19067991.137666</v>
      </c>
      <c r="H42" s="2">
        <v>22871930.306611</v>
      </c>
      <c r="I42" s="2">
        <v>-0.011086147431407</v>
      </c>
      <c r="J42" s="2">
        <v>-0.0097520829817284</v>
      </c>
      <c r="K42" s="2">
        <v>0.021972941072078</v>
      </c>
      <c r="L42" s="2">
        <v>-0.2547138748287</v>
      </c>
      <c r="M42" s="2">
        <v>-0.25444770279427</v>
      </c>
      <c r="N42" s="2">
        <v>530.55965961582</v>
      </c>
      <c r="O42" s="2">
        <v>597.06771799653</v>
      </c>
    </row>
    <row r="43" spans="1:15">
      <c r="A43" s="2">
        <v>7.6066849390983</v>
      </c>
      <c r="B43" s="2">
        <v>0.02117481646799</v>
      </c>
      <c r="C43" s="2">
        <v>90.275672568695</v>
      </c>
      <c r="D43" s="2">
        <v>0.023092127699672</v>
      </c>
      <c r="E43" s="2">
        <v>6.765316928844</v>
      </c>
      <c r="F43" s="2">
        <v>0.87392748813062</v>
      </c>
      <c r="G43" s="2">
        <v>19173361.575201</v>
      </c>
      <c r="H43" s="2">
        <v>23501490.207147</v>
      </c>
      <c r="I43" s="2">
        <v>-0.011396646205136</v>
      </c>
      <c r="J43" s="2">
        <v>-0.010025250000654</v>
      </c>
      <c r="K43" s="2">
        <v>0.022559526391755</v>
      </c>
      <c r="L43" s="2">
        <v>-0.26171168514269</v>
      </c>
      <c r="M43" s="2">
        <v>-0.26132082864683</v>
      </c>
      <c r="N43" s="2">
        <v>532.00133654948</v>
      </c>
      <c r="O43" s="2">
        <v>598.82461903225</v>
      </c>
    </row>
    <row r="44" spans="1:15">
      <c r="A44" s="2">
        <v>7.8066849390983</v>
      </c>
      <c r="B44" s="2">
        <v>0.021779867877965</v>
      </c>
      <c r="C44" s="2">
        <v>90.274576069796</v>
      </c>
      <c r="D44" s="2">
        <v>0.023704476247184</v>
      </c>
      <c r="E44" s="2">
        <v>6.7700473790381</v>
      </c>
      <c r="F44" s="2">
        <v>0.8706892715523</v>
      </c>
      <c r="G44" s="2">
        <v>19279352.215736</v>
      </c>
      <c r="H44" s="2">
        <v>24133852.430409</v>
      </c>
      <c r="I44" s="2">
        <v>-0.011706912811541</v>
      </c>
      <c r="J44" s="2">
        <v>-0.010298320774714</v>
      </c>
      <c r="K44" s="2">
        <v>0.023145762493014</v>
      </c>
      <c r="L44" s="2">
        <v>-0.26872972942539</v>
      </c>
      <c r="M44" s="2">
        <v>-0.26824954184335</v>
      </c>
      <c r="N44" s="2">
        <v>533.43342364873</v>
      </c>
      <c r="O44" s="2">
        <v>600.56716287797</v>
      </c>
    </row>
    <row r="45" spans="1:15">
      <c r="A45" s="2">
        <v>8.0066849390983</v>
      </c>
      <c r="B45" s="2">
        <v>0.022384851406526</v>
      </c>
      <c r="C45" s="2">
        <v>90.273481488135</v>
      </c>
      <c r="D45" s="2">
        <v>0.024316748559083</v>
      </c>
      <c r="E45" s="2">
        <v>6.774795897911</v>
      </c>
      <c r="F45" s="2">
        <v>0.86745621626561</v>
      </c>
      <c r="G45" s="2">
        <v>19385955.309228</v>
      </c>
      <c r="H45" s="2">
        <v>24768976.681945</v>
      </c>
      <c r="I45" s="2">
        <v>-0.012016932375246</v>
      </c>
      <c r="J45" s="2">
        <v>-0.010571309551394</v>
      </c>
      <c r="K45" s="2">
        <v>0.023731649765126</v>
      </c>
      <c r="L45" s="2">
        <v>-0.27573918595599</v>
      </c>
      <c r="M45" s="2">
        <v>-0.27514853711571</v>
      </c>
      <c r="N45" s="2">
        <v>534.85628877156</v>
      </c>
      <c r="O45" s="2">
        <v>602.295766018</v>
      </c>
    </row>
    <row r="46" spans="1:15">
      <c r="A46" s="2">
        <v>8.2066849390983</v>
      </c>
      <c r="B46" s="2">
        <v>0.022989766239051</v>
      </c>
      <c r="C46" s="2">
        <v>90.272389842086</v>
      </c>
      <c r="D46" s="2">
        <v>0.024928942360823</v>
      </c>
      <c r="E46" s="2">
        <v>6.7795645123869</v>
      </c>
      <c r="F46" s="2">
        <v>0.86422687851285</v>
      </c>
      <c r="G46" s="2">
        <v>19493163.798181</v>
      </c>
      <c r="H46" s="2">
        <v>25406826.698963</v>
      </c>
      <c r="I46" s="2">
        <v>-0.01232669654213</v>
      </c>
      <c r="J46" s="2">
        <v>-0.01084422555445</v>
      </c>
      <c r="K46" s="2">
        <v>0.024317188579451</v>
      </c>
      <c r="L46" s="2">
        <v>-0.2826961800485</v>
      </c>
      <c r="M46" s="2">
        <v>-0.28201924225686</v>
      </c>
      <c r="N46" s="2">
        <v>536.26962224021</v>
      </c>
      <c r="O46" s="2">
        <v>604.01043164769</v>
      </c>
    </row>
    <row r="47" spans="1:15">
      <c r="A47" s="2">
        <v>8.4066849390983</v>
      </c>
      <c r="B47" s="2">
        <v>0.023594610942216</v>
      </c>
      <c r="C47" s="2">
        <v>90.271301318841</v>
      </c>
      <c r="D47" s="2">
        <v>0.025541059217555</v>
      </c>
      <c r="E47" s="2">
        <v>6.7843533935184</v>
      </c>
      <c r="F47" s="2">
        <v>0.8610002576813</v>
      </c>
      <c r="G47" s="2">
        <v>19600968.382893</v>
      </c>
      <c r="H47" s="2">
        <v>26047352.451547</v>
      </c>
      <c r="I47" s="2">
        <v>-0.012636202748017</v>
      </c>
      <c r="J47" s="2">
        <v>-0.01111706902906</v>
      </c>
      <c r="K47" s="2">
        <v>0.024902379301352</v>
      </c>
      <c r="L47" s="2">
        <v>-0.28964597657772</v>
      </c>
      <c r="M47" s="2">
        <v>-0.28885697073487</v>
      </c>
      <c r="N47" s="2">
        <v>537.67473890146</v>
      </c>
      <c r="O47" s="2">
        <v>605.71315835789</v>
      </c>
    </row>
    <row r="48" spans="1:15">
      <c r="A48" s="2">
        <v>8.6066849390983</v>
      </c>
      <c r="B48" s="2">
        <v>0.024199398867258</v>
      </c>
      <c r="C48" s="2">
        <v>90.270216419977</v>
      </c>
      <c r="D48" s="2">
        <v>0.026153105087509</v>
      </c>
      <c r="E48" s="2">
        <v>6.7891618063352</v>
      </c>
      <c r="F48" s="2">
        <v>0.85777619616765</v>
      </c>
      <c r="G48" s="2">
        <v>19709361.683974</v>
      </c>
      <c r="H48" s="2">
        <v>26690515.178942</v>
      </c>
      <c r="I48" s="2">
        <v>-0.012945454356304</v>
      </c>
      <c r="J48" s="2">
        <v>-0.011389839250099</v>
      </c>
      <c r="K48" s="2">
        <v>0.02548722229775</v>
      </c>
      <c r="L48" s="2">
        <v>-0.29656284124148</v>
      </c>
      <c r="M48" s="2">
        <v>-0.2957100054382</v>
      </c>
      <c r="N48" s="2">
        <v>539.07056822551</v>
      </c>
      <c r="O48" s="2">
        <v>607.40336858466</v>
      </c>
    </row>
    <row r="49" spans="1:15">
      <c r="A49" s="2">
        <v>8.8066849390982</v>
      </c>
      <c r="B49" s="2">
        <v>0.024804128386308</v>
      </c>
      <c r="C49" s="2">
        <v>90.269134945269</v>
      </c>
      <c r="D49" s="2">
        <v>0.026765083440803</v>
      </c>
      <c r="E49" s="2">
        <v>6.7939884509134</v>
      </c>
      <c r="F49" s="2">
        <v>0.85455503994399</v>
      </c>
      <c r="G49" s="2">
        <v>19818333.931096</v>
      </c>
      <c r="H49" s="2">
        <v>27336261.899869</v>
      </c>
      <c r="I49" s="2">
        <v>-0.013254453549005</v>
      </c>
      <c r="J49" s="2">
        <v>-0.011662531103867</v>
      </c>
      <c r="K49" s="2">
        <v>0.026071717934184</v>
      </c>
      <c r="L49" s="2">
        <v>-0.30349081752755</v>
      </c>
      <c r="M49" s="2">
        <v>-0.30253548912515</v>
      </c>
      <c r="N49" s="2">
        <v>540.4587142559</v>
      </c>
      <c r="O49" s="2">
        <v>609.08319115261</v>
      </c>
    </row>
    <row r="50" spans="1:15">
      <c r="A50" s="2">
        <v>9.0066849390982</v>
      </c>
      <c r="B50" s="2">
        <v>0.025408811682323</v>
      </c>
      <c r="C50" s="2">
        <v>90.268056937907</v>
      </c>
      <c r="D50" s="2">
        <v>0.027377000324478</v>
      </c>
      <c r="E50" s="2">
        <v>6.798831838491</v>
      </c>
      <c r="F50" s="2">
        <v>0.85133723200186</v>
      </c>
      <c r="G50" s="2">
        <v>19927877.967427</v>
      </c>
      <c r="H50" s="2">
        <v>27984555.299606</v>
      </c>
      <c r="I50" s="2">
        <v>-0.013563206429426</v>
      </c>
      <c r="J50" s="2">
        <v>-0.01193514017006</v>
      </c>
      <c r="K50" s="2">
        <v>0.026655866612064</v>
      </c>
      <c r="L50" s="2">
        <v>-0.31042005072373</v>
      </c>
      <c r="M50" s="2">
        <v>-0.30938636589509</v>
      </c>
      <c r="N50" s="2">
        <v>541.83856086006</v>
      </c>
      <c r="O50" s="2">
        <v>610.75234994888</v>
      </c>
    </row>
    <row r="51" spans="1:15">
      <c r="A51" s="2">
        <v>9.2066849390982</v>
      </c>
      <c r="B51" s="2">
        <v>0.026013448847247</v>
      </c>
      <c r="C51" s="2">
        <v>90.266982438584</v>
      </c>
      <c r="D51" s="2">
        <v>0.027988859682666</v>
      </c>
      <c r="E51" s="2">
        <v>6.803690585484</v>
      </c>
      <c r="F51" s="2">
        <v>0.84812352134818</v>
      </c>
      <c r="G51" s="2">
        <v>20037984.743374</v>
      </c>
      <c r="H51" s="2">
        <v>28635346.723611</v>
      </c>
      <c r="I51" s="2">
        <v>-0.013871715339725</v>
      </c>
      <c r="J51" s="2">
        <v>-0.012207662118277</v>
      </c>
      <c r="K51" s="2">
        <v>0.027239668728031</v>
      </c>
      <c r="L51" s="2">
        <v>-0.31732932954137</v>
      </c>
      <c r="M51" s="2">
        <v>-0.31619139192117</v>
      </c>
      <c r="N51" s="2">
        <v>543.2111656856</v>
      </c>
      <c r="O51" s="2">
        <v>612.41216439691</v>
      </c>
    </row>
    <row r="52" spans="1:15">
      <c r="A52" s="2">
        <v>9.4066849390982</v>
      </c>
      <c r="B52" s="2">
        <v>0.026618047671299</v>
      </c>
      <c r="C52" s="2">
        <v>90.265911272208</v>
      </c>
      <c r="D52" s="2">
        <v>0.028600665583701</v>
      </c>
      <c r="E52" s="2">
        <v>6.8085644059153</v>
      </c>
      <c r="F52" s="2">
        <v>0.84491396555392</v>
      </c>
      <c r="G52" s="2">
        <v>20148647.88485</v>
      </c>
      <c r="H52" s="2">
        <v>29288603.588837</v>
      </c>
      <c r="I52" s="2">
        <v>-0.014179982069052</v>
      </c>
      <c r="J52" s="2">
        <v>-0.012480097824422</v>
      </c>
      <c r="K52" s="2">
        <v>0.027823124692141</v>
      </c>
      <c r="L52" s="2">
        <v>-0.32423682852895</v>
      </c>
      <c r="M52" s="2">
        <v>-0.32299925246501</v>
      </c>
      <c r="N52" s="2">
        <v>544.57554130338</v>
      </c>
      <c r="O52" s="2">
        <v>614.06175194322</v>
      </c>
    </row>
    <row r="53" spans="1:15">
      <c r="A53" s="2">
        <v>9.6066849390982</v>
      </c>
      <c r="B53" s="2">
        <v>0.027222606596547</v>
      </c>
      <c r="C53" s="2">
        <v>90.264843169647</v>
      </c>
      <c r="D53" s="2">
        <v>0.029212420940997</v>
      </c>
      <c r="E53" s="2">
        <v>6.8134518160514</v>
      </c>
      <c r="F53" s="2">
        <v>0.84170852210998</v>
      </c>
      <c r="G53" s="2">
        <v>20259858.916139</v>
      </c>
      <c r="H53" s="2">
        <v>29944280.774119</v>
      </c>
      <c r="I53" s="2">
        <v>-0.014488009661452</v>
      </c>
      <c r="J53" s="2">
        <v>-0.012752442234607</v>
      </c>
      <c r="K53" s="2">
        <v>0.02840623493018</v>
      </c>
      <c r="L53" s="2">
        <v>-0.33116093438611</v>
      </c>
      <c r="M53" s="2">
        <v>-0.32981700280988</v>
      </c>
      <c r="N53" s="2">
        <v>545.93287420098</v>
      </c>
      <c r="O53" s="2">
        <v>615.70248318067</v>
      </c>
    </row>
    <row r="54" spans="1:15">
      <c r="A54" s="2">
        <v>9.8066849390982</v>
      </c>
      <c r="B54" s="2">
        <v>0.027827130972359</v>
      </c>
      <c r="C54" s="2">
        <v>90.263778274558</v>
      </c>
      <c r="D54" s="2">
        <v>0.029824128656548</v>
      </c>
      <c r="E54" s="2">
        <v>6.8183520628314</v>
      </c>
      <c r="F54" s="2">
        <v>0.83850700460874</v>
      </c>
      <c r="G54" s="2">
        <v>20371611.014968</v>
      </c>
      <c r="H54" s="2">
        <v>30602342.986997</v>
      </c>
      <c r="I54" s="2">
        <v>-0.014795798760328</v>
      </c>
      <c r="J54" s="2">
        <v>-0.013024695847701</v>
      </c>
      <c r="K54" s="2">
        <v>0.028988999861603</v>
      </c>
      <c r="L54" s="2">
        <v>-0.33805512171678</v>
      </c>
      <c r="M54" s="2">
        <v>-0.33660123423522</v>
      </c>
      <c r="N54" s="2">
        <v>547.28273429312</v>
      </c>
      <c r="O54" s="2">
        <v>617.33400441024</v>
      </c>
    </row>
    <row r="55" spans="1:15">
      <c r="A55" s="2">
        <v>10.006684939098</v>
      </c>
      <c r="B55" s="2">
        <v>0.028431623882861</v>
      </c>
      <c r="C55" s="2">
        <v>90.262716756091</v>
      </c>
      <c r="D55" s="2">
        <v>0.030435791981369</v>
      </c>
      <c r="E55" s="2">
        <v>6.8232642928804</v>
      </c>
      <c r="F55" s="2">
        <v>0.83530995445937</v>
      </c>
      <c r="G55" s="2">
        <v>20483897.171876</v>
      </c>
      <c r="H55" s="2">
        <v>31262753.84648</v>
      </c>
      <c r="I55" s="2">
        <v>-0.015103350424847</v>
      </c>
      <c r="J55" s="2">
        <v>-0.01329685843781</v>
      </c>
      <c r="K55" s="2">
        <v>0.029571419904763</v>
      </c>
      <c r="L55" s="2">
        <v>-0.34497602332326</v>
      </c>
      <c r="M55" s="2">
        <v>-0.34340723422967</v>
      </c>
      <c r="N55" s="2">
        <v>548.62503620236</v>
      </c>
      <c r="O55" s="2">
        <v>618.95635833903</v>
      </c>
    </row>
    <row r="56" spans="1:15">
      <c r="A56" s="2">
        <v>10.206684939098</v>
      </c>
      <c r="B56" s="2">
        <v>0.029036084063152</v>
      </c>
      <c r="C56" s="2">
        <v>90.261658542131</v>
      </c>
      <c r="D56" s="2">
        <v>0.031047413523096</v>
      </c>
      <c r="E56" s="2">
        <v>6.1250630163124</v>
      </c>
      <c r="F56" s="2">
        <v>0.83211715710078</v>
      </c>
      <c r="G56" s="2">
        <v>20596709.381533</v>
      </c>
      <c r="H56" s="2">
        <v>31925471.020546</v>
      </c>
      <c r="I56" s="2">
        <v>-0.015410664917166</v>
      </c>
      <c r="J56" s="2">
        <v>-0.013568927941119</v>
      </c>
      <c r="K56" s="2">
        <v>0.03015349547992</v>
      </c>
      <c r="L56" s="2">
        <v>-0.35188091701421</v>
      </c>
      <c r="M56" s="2">
        <v>-0.35022277077987</v>
      </c>
      <c r="N56" s="2">
        <v>549.96079238255</v>
      </c>
      <c r="O56" s="2">
        <v>620.57067183599</v>
      </c>
    </row>
    <row r="57" spans="1:15">
      <c r="A57" s="2">
        <v>10.406684939098</v>
      </c>
      <c r="B57" s="2">
        <v>0.029640513295598</v>
      </c>
      <c r="C57" s="2">
        <v>90.260603432253</v>
      </c>
      <c r="D57" s="2">
        <v>0.031658996769452</v>
      </c>
      <c r="E57" s="2">
        <v>6.1299976387921</v>
      </c>
      <c r="F57" s="2">
        <v>0.82892878736472</v>
      </c>
      <c r="G57" s="2">
        <v>20710040.172733</v>
      </c>
      <c r="H57" s="2">
        <v>32590455.355866</v>
      </c>
      <c r="I57" s="2">
        <v>-0.015717743087849</v>
      </c>
      <c r="J57" s="2">
        <v>-0.013840903322169</v>
      </c>
      <c r="K57" s="2">
        <v>0.030735226990659</v>
      </c>
      <c r="L57" s="2">
        <v>-0.35883791462261</v>
      </c>
      <c r="M57" s="2">
        <v>-0.35704253749327</v>
      </c>
      <c r="N57" s="2">
        <v>551.29036663539</v>
      </c>
      <c r="O57" s="2">
        <v>622.177467019</v>
      </c>
    </row>
    <row r="58" spans="1:15">
      <c r="A58" s="2">
        <v>10.606684939098</v>
      </c>
      <c r="B58" s="2">
        <v>0.030244918315293</v>
      </c>
      <c r="C58" s="2">
        <v>90.259551579252</v>
      </c>
      <c r="D58" s="2">
        <v>0.032270544720411</v>
      </c>
      <c r="E58" s="2">
        <v>6.1349422824689</v>
      </c>
      <c r="F58" s="2">
        <v>0.82574495679899</v>
      </c>
      <c r="G58" s="2">
        <v>20823883.335474</v>
      </c>
      <c r="H58" s="2">
        <v>33257675.164582</v>
      </c>
      <c r="I58" s="2">
        <v>-0.016024585947765</v>
      </c>
      <c r="J58" s="2">
        <v>-0.014112785211314</v>
      </c>
      <c r="K58" s="2">
        <v>0.031316614837766</v>
      </c>
      <c r="L58" s="2">
        <v>-0.36574619486021</v>
      </c>
      <c r="M58" s="2">
        <v>-0.36385180616511</v>
      </c>
      <c r="N58" s="2">
        <v>552.61304371271</v>
      </c>
      <c r="O58" s="2">
        <v>623.77614936758</v>
      </c>
    </row>
    <row r="59" spans="1:15">
      <c r="A59" s="2">
        <v>10.806684939098</v>
      </c>
      <c r="B59" s="2">
        <v>0.030849300663184</v>
      </c>
      <c r="C59" s="2">
        <v>90.258502991611</v>
      </c>
      <c r="D59" s="2">
        <v>0.032882060724289</v>
      </c>
      <c r="E59" s="2">
        <v>5.4367721903887</v>
      </c>
      <c r="F59" s="2">
        <v>0.82256604091359</v>
      </c>
      <c r="G59" s="2">
        <v>20938232.065175</v>
      </c>
      <c r="H59" s="2">
        <v>33927095.220355</v>
      </c>
      <c r="I59" s="2">
        <v>-0.016331192921119</v>
      </c>
      <c r="J59" s="2">
        <v>-0.014384574350914</v>
      </c>
      <c r="K59" s="2">
        <v>0.031897659425081</v>
      </c>
      <c r="L59" s="2">
        <v>-0.37268463884217</v>
      </c>
      <c r="M59" s="2">
        <v>-0.37068016708168</v>
      </c>
      <c r="N59" s="2">
        <v>553.92905429874</v>
      </c>
      <c r="O59" s="2">
        <v>625.36694100822</v>
      </c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topLeftCell="A73" workbookViewId="0">
      <selection activeCell="A1" sqref="A1:O90"/>
    </sheetView>
  </sheetViews>
  <sheetFormatPr defaultColWidth="8.8" defaultRowHeight="15"/>
  <cols>
    <col min="1" max="8" width="12.5" style="2"/>
    <col min="9" max="14" width="13.6" style="2"/>
    <col min="15" max="15" width="12.5" style="2"/>
    <col min="16" max="16384" width="8.8" style="2"/>
  </cols>
  <sheetData>
    <row r="1" s="2" customFormat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="2" customFormat="1" spans="1: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="2" customFormat="1" spans="1:15">
      <c r="A3" s="2">
        <v>0.0025830812468784</v>
      </c>
      <c r="B3" s="3">
        <v>1.4216508212242e-48</v>
      </c>
      <c r="C3" s="2">
        <v>90.287234761845</v>
      </c>
      <c r="D3" s="3">
        <v>6.8929657171565e-6</v>
      </c>
      <c r="E3" s="2">
        <v>6.610782435536</v>
      </c>
      <c r="F3" s="2">
        <v>0.99203966903596</v>
      </c>
      <c r="G3" s="2">
        <v>16000000</v>
      </c>
      <c r="H3" s="2">
        <v>4000000</v>
      </c>
      <c r="I3" s="3">
        <v>-2.0648004110352e-6</v>
      </c>
      <c r="J3" s="3">
        <v>-1.8842559712041e-6</v>
      </c>
      <c r="K3" s="3">
        <v>7.7492133262395e-6</v>
      </c>
      <c r="L3" s="3">
        <v>-1.0513108955201e-7</v>
      </c>
      <c r="M3" s="3">
        <v>-1.0446894710133e-7</v>
      </c>
      <c r="N3" s="2">
        <v>1.7694987586654</v>
      </c>
      <c r="O3" s="2">
        <v>1.8493695870376</v>
      </c>
    </row>
    <row r="4" s="2" customFormat="1" spans="1:15">
      <c r="A4" s="2">
        <v>0.018444056862426</v>
      </c>
      <c r="B4" s="3">
        <v>4.4336392430471e-42</v>
      </c>
      <c r="C4" s="2">
        <v>90.287526426689</v>
      </c>
      <c r="D4" s="3">
        <v>4.9219785544404e-5</v>
      </c>
      <c r="E4" s="2">
        <v>6.6107896979146</v>
      </c>
      <c r="F4" s="2">
        <v>0.99209135600366</v>
      </c>
      <c r="G4" s="2">
        <v>16000000</v>
      </c>
      <c r="H4" s="2">
        <v>4000000</v>
      </c>
      <c r="I4" s="3">
        <v>-1.4745476034498e-5</v>
      </c>
      <c r="J4" s="3">
        <v>-1.3456155085895e-5</v>
      </c>
      <c r="K4" s="3">
        <v>5.5330619976925e-5</v>
      </c>
      <c r="L4" s="3">
        <v>-5.3563919591546e-6</v>
      </c>
      <c r="M4" s="3">
        <v>-5.3231059541327e-6</v>
      </c>
      <c r="N4" s="2">
        <v>12.63811932424</v>
      </c>
      <c r="O4" s="2">
        <v>13.208378406224</v>
      </c>
    </row>
    <row r="5" s="2" customFormat="1" spans="1:15">
      <c r="A5" s="2">
        <v>0.1</v>
      </c>
      <c r="B5" s="3">
        <v>4.2333003647247e-29</v>
      </c>
      <c r="C5" s="2">
        <v>90.289067280297</v>
      </c>
      <c r="D5" s="2">
        <v>0.00026691142683</v>
      </c>
      <c r="E5" s="2">
        <v>6.6108264994721</v>
      </c>
      <c r="F5" s="2">
        <v>0.99235687738115</v>
      </c>
      <c r="G5" s="2">
        <v>16000000</v>
      </c>
      <c r="H5" s="2">
        <v>4000000</v>
      </c>
      <c r="I5" s="3">
        <v>-8.0014513038014e-5</v>
      </c>
      <c r="J5" s="3">
        <v>-7.3018509833648e-5</v>
      </c>
      <c r="K5" s="2">
        <v>0.00029995442567448</v>
      </c>
      <c r="L5" s="2">
        <v>-0.00015593599909935</v>
      </c>
      <c r="M5" s="2">
        <v>-0.00015510809480074</v>
      </c>
      <c r="N5" s="2">
        <v>68.6249120697</v>
      </c>
      <c r="O5" s="2">
        <v>71.71549736156</v>
      </c>
    </row>
    <row r="6" s="2" customFormat="1" spans="1:15">
      <c r="A6" s="2">
        <v>0.20668493909835</v>
      </c>
      <c r="B6" s="3">
        <v>5.9401968845467e-21</v>
      </c>
      <c r="C6" s="2">
        <v>90.291195691174</v>
      </c>
      <c r="D6" s="2">
        <v>0.00055179641520561</v>
      </c>
      <c r="E6" s="2">
        <v>6.6108734702682</v>
      </c>
      <c r="F6" s="2">
        <v>0.9927036142376</v>
      </c>
      <c r="G6" s="2">
        <v>16000000</v>
      </c>
      <c r="H6" s="2">
        <v>4000000</v>
      </c>
      <c r="I6" s="2">
        <v>-0.00016553927120401</v>
      </c>
      <c r="J6" s="2">
        <v>-0.00015106632963332</v>
      </c>
      <c r="K6" s="2">
        <v>0.00061986017284069</v>
      </c>
      <c r="L6" s="2">
        <v>-0.00066985629947438</v>
      </c>
      <c r="M6" s="2">
        <v>-0.00066620378364325</v>
      </c>
      <c r="N6" s="2">
        <v>142.08960225838</v>
      </c>
      <c r="O6" s="2">
        <v>148.47398568058</v>
      </c>
    </row>
    <row r="7" s="2" customFormat="1" spans="1:15">
      <c r="A7" s="2">
        <v>0.40668493909835</v>
      </c>
      <c r="B7" s="3">
        <v>5.7360772626941e-11</v>
      </c>
      <c r="C7" s="2">
        <v>90.295590887199</v>
      </c>
      <c r="D7" s="2">
        <v>0.0010862616417212</v>
      </c>
      <c r="E7" s="2">
        <v>6.610957220686</v>
      </c>
      <c r="F7" s="2">
        <v>0.99335168097349</v>
      </c>
      <c r="G7" s="2">
        <v>16000000.004871</v>
      </c>
      <c r="H7" s="2">
        <v>4000000.0311946</v>
      </c>
      <c r="I7" s="2">
        <v>-0.00032640140916006</v>
      </c>
      <c r="J7" s="2">
        <v>-0.00029786776466915</v>
      </c>
      <c r="K7" s="2">
        <v>0.0012193015256204</v>
      </c>
      <c r="L7" s="2">
        <v>-0.0025949797864814</v>
      </c>
      <c r="M7" s="2">
        <v>-0.0025820259868981</v>
      </c>
      <c r="N7" s="2">
        <v>280.62322067128</v>
      </c>
      <c r="O7" s="2">
        <v>293.17312997157</v>
      </c>
    </row>
    <row r="8" s="2" customFormat="1" spans="1:15">
      <c r="A8" s="2">
        <v>0.60668493909835</v>
      </c>
      <c r="B8" s="3">
        <v>1.9598076697051e-5</v>
      </c>
      <c r="C8" s="2">
        <v>90.300443479037</v>
      </c>
      <c r="D8" s="2">
        <v>0.0016238715515673</v>
      </c>
      <c r="E8" s="2">
        <v>6.6111736219652</v>
      </c>
      <c r="F8" s="2">
        <v>0.99388780898882</v>
      </c>
      <c r="G8" s="2">
        <v>16001676.38825</v>
      </c>
      <c r="H8" s="2">
        <v>4010731.6633261</v>
      </c>
      <c r="I8" s="2">
        <v>-0.00049331353526117</v>
      </c>
      <c r="J8" s="2">
        <v>-0.00044809645523184</v>
      </c>
      <c r="K8" s="2">
        <v>0.0018183789379283</v>
      </c>
      <c r="L8" s="2">
        <v>-0.0066837871080276</v>
      </c>
      <c r="M8" s="2">
        <v>-0.0064574787579424</v>
      </c>
      <c r="N8" s="2">
        <v>416.24673479051</v>
      </c>
      <c r="O8" s="2">
        <v>435.04693707769</v>
      </c>
    </row>
    <row r="9" s="2" customFormat="1" spans="1:15">
      <c r="A9" s="2">
        <v>0.80668493909835</v>
      </c>
      <c r="B9" s="2">
        <v>0.00040349121875671</v>
      </c>
      <c r="C9" s="2">
        <v>90.303340152288</v>
      </c>
      <c r="D9" s="2">
        <v>0.0022005045578319</v>
      </c>
      <c r="E9" s="2">
        <v>6.6156503603626</v>
      </c>
      <c r="F9" s="2">
        <v>0.99339687885614</v>
      </c>
      <c r="G9" s="2">
        <v>16036555.305479</v>
      </c>
      <c r="H9" s="2">
        <v>4233761.5031716</v>
      </c>
      <c r="I9" s="2">
        <v>-0.00074002320645103</v>
      </c>
      <c r="J9" s="2">
        <v>-0.00066348174580303</v>
      </c>
      <c r="K9" s="2">
        <v>0.002417091890769</v>
      </c>
      <c r="L9" s="2">
        <v>-0.016460282533068</v>
      </c>
      <c r="M9" s="2">
        <v>-0.015724518766295</v>
      </c>
      <c r="N9" s="2">
        <v>482.86201128663</v>
      </c>
      <c r="O9" s="2">
        <v>509.06967815877</v>
      </c>
    </row>
    <row r="10" s="2" customFormat="1" spans="1:15">
      <c r="A10" s="2">
        <v>1.0066849390983</v>
      </c>
      <c r="B10" s="2">
        <v>0.0010000377958854</v>
      </c>
      <c r="C10" s="2">
        <v>90.306815523764</v>
      </c>
      <c r="D10" s="2">
        <v>0.0028000407302552</v>
      </c>
      <c r="E10" s="2">
        <v>6.6199623954931</v>
      </c>
      <c r="F10" s="2">
        <v>0.99170802635982</v>
      </c>
      <c r="G10" s="2">
        <v>16095519.9332</v>
      </c>
      <c r="H10" s="2">
        <v>4610016.8994411</v>
      </c>
      <c r="I10" s="2">
        <v>-0.0010324233038251</v>
      </c>
      <c r="J10" s="2">
        <v>-0.00092180005317237</v>
      </c>
      <c r="K10" s="2">
        <v>0.0030154415514307</v>
      </c>
      <c r="L10" s="2">
        <v>-0.016161189221056</v>
      </c>
      <c r="M10" s="2">
        <v>-0.015482055498657</v>
      </c>
      <c r="N10" s="2">
        <v>506.32158394002</v>
      </c>
      <c r="O10" s="2">
        <v>540.5192463657</v>
      </c>
    </row>
    <row r="11" s="2" customFormat="1" spans="1:15">
      <c r="A11" s="2">
        <v>1.2066849390983</v>
      </c>
      <c r="B11" s="2">
        <v>0.001616843234379</v>
      </c>
      <c r="C11" s="2">
        <v>90.308384724391</v>
      </c>
      <c r="D11" s="2">
        <v>0.0034086829986786</v>
      </c>
      <c r="E11" s="2">
        <v>6.6232765201644</v>
      </c>
      <c r="F11" s="2">
        <v>0.98862038293916</v>
      </c>
      <c r="G11" s="2">
        <v>16162229.831444</v>
      </c>
      <c r="H11" s="2">
        <v>5034647.4905015</v>
      </c>
      <c r="I11" s="2">
        <v>-0.0013370238672169</v>
      </c>
      <c r="J11" s="2">
        <v>-0.0011877330578999</v>
      </c>
      <c r="K11" s="2">
        <v>0.0036134265063224</v>
      </c>
      <c r="L11" s="2">
        <v>-0.027465090990344</v>
      </c>
      <c r="M11" s="2">
        <v>-0.027237580086344</v>
      </c>
      <c r="N11" s="2">
        <v>519.97926456085</v>
      </c>
      <c r="O11" s="2">
        <v>561.34772719502</v>
      </c>
    </row>
    <row r="12" s="2" customFormat="1" spans="1:15">
      <c r="A12" s="2">
        <v>1.4066849390983</v>
      </c>
      <c r="B12" s="2">
        <v>0.0022322064166594</v>
      </c>
      <c r="C12" s="2">
        <v>90.30884928641</v>
      </c>
      <c r="D12" s="2">
        <v>0.0040218762707747</v>
      </c>
      <c r="E12" s="2">
        <v>6.6269160055243</v>
      </c>
      <c r="F12" s="2">
        <v>0.98491127622835</v>
      </c>
      <c r="G12" s="2">
        <v>16233708.060779</v>
      </c>
      <c r="H12" s="2">
        <v>5488498.0859252</v>
      </c>
      <c r="I12" s="2">
        <v>-0.0016451603096356</v>
      </c>
      <c r="J12" s="2">
        <v>-0.0014589133959062</v>
      </c>
      <c r="K12" s="2">
        <v>0.0042110451610025</v>
      </c>
      <c r="L12" s="2">
        <v>-0.036912597585337</v>
      </c>
      <c r="M12" s="2">
        <v>-0.036486193876901</v>
      </c>
      <c r="N12" s="2">
        <v>529.16204429346</v>
      </c>
      <c r="O12" s="2">
        <v>576.35605183257</v>
      </c>
    </row>
    <row r="13" s="2" customFormat="1" spans="1:15">
      <c r="A13" s="2">
        <v>1.6066849390983</v>
      </c>
      <c r="B13" s="2">
        <v>0.0028429917225914</v>
      </c>
      <c r="C13" s="2">
        <v>90.308595033964</v>
      </c>
      <c r="D13" s="2">
        <v>0.0046371195545207</v>
      </c>
      <c r="E13" s="2">
        <v>6.6307507231687</v>
      </c>
      <c r="F13" s="2">
        <v>0.98092997657123</v>
      </c>
      <c r="G13" s="2">
        <v>16309041.642821</v>
      </c>
      <c r="H13" s="2">
        <v>5965653.6729797</v>
      </c>
      <c r="I13" s="2">
        <v>-0.0019552733105354</v>
      </c>
      <c r="J13" s="2">
        <v>-0.0017335229882228</v>
      </c>
      <c r="K13" s="2">
        <v>0.0048082991394792</v>
      </c>
      <c r="L13" s="2">
        <v>-0.047738443591472</v>
      </c>
      <c r="M13" s="2">
        <v>-0.047674623145608</v>
      </c>
      <c r="N13" s="2">
        <v>535.49342980853</v>
      </c>
      <c r="O13" s="2">
        <v>586.90997500333</v>
      </c>
    </row>
    <row r="14" s="2" customFormat="1" spans="1:15">
      <c r="A14" s="2">
        <v>1.8066849390983</v>
      </c>
      <c r="B14" s="2">
        <v>0.0034511374272494</v>
      </c>
      <c r="C14" s="2">
        <v>90.307931389443</v>
      </c>
      <c r="D14" s="2">
        <v>0.0052532592741622</v>
      </c>
      <c r="E14" s="2">
        <v>6.6346641734713</v>
      </c>
      <c r="F14" s="2">
        <v>0.97692035585772</v>
      </c>
      <c r="G14" s="2">
        <v>16387106.352693</v>
      </c>
      <c r="H14" s="2">
        <v>6458884.0039304</v>
      </c>
      <c r="I14" s="2">
        <v>-0.0022672851168062</v>
      </c>
      <c r="J14" s="2">
        <v>-0.0020089728600538</v>
      </c>
      <c r="K14" s="2">
        <v>0.0054051894827613</v>
      </c>
      <c r="L14" s="2">
        <v>-0.057740141261823</v>
      </c>
      <c r="M14" s="2">
        <v>-0.058168061734282</v>
      </c>
      <c r="N14" s="2">
        <v>540.27752621504</v>
      </c>
      <c r="O14" s="2">
        <v>594.79503044732</v>
      </c>
    </row>
    <row r="15" s="2" customFormat="1" spans="1:15">
      <c r="A15" s="2">
        <v>2.0066849390983</v>
      </c>
      <c r="B15" s="2">
        <v>0.0040577714597808</v>
      </c>
      <c r="C15" s="2">
        <v>90.306999157542</v>
      </c>
      <c r="D15" s="2">
        <v>0.0058696541499683</v>
      </c>
      <c r="E15" s="2">
        <v>6.638654525703</v>
      </c>
      <c r="F15" s="2">
        <v>0.97287780686293</v>
      </c>
      <c r="G15" s="2">
        <v>16467237.663959</v>
      </c>
      <c r="H15" s="2">
        <v>6963924.9910724</v>
      </c>
      <c r="I15" s="2">
        <v>-0.0025808460673454</v>
      </c>
      <c r="J15" s="2">
        <v>-0.0022842711273371</v>
      </c>
      <c r="K15" s="2">
        <v>0.0060017172708263</v>
      </c>
      <c r="L15" s="2">
        <v>-0.066256180569208</v>
      </c>
      <c r="M15" s="2">
        <v>-0.066376164173689</v>
      </c>
      <c r="N15" s="2">
        <v>544.17405454924</v>
      </c>
      <c r="O15" s="2">
        <v>601.05873013015</v>
      </c>
    </row>
    <row r="16" s="2" customFormat="1" spans="1:15">
      <c r="A16" s="2">
        <v>2.2066849390983</v>
      </c>
      <c r="B16" s="2">
        <v>0.0046635957350601</v>
      </c>
      <c r="C16" s="2">
        <v>90.30591870919</v>
      </c>
      <c r="D16" s="2">
        <v>0.0064859708269248</v>
      </c>
      <c r="E16" s="2">
        <v>6.6426809188193</v>
      </c>
      <c r="F16" s="2">
        <v>0.96885920529951</v>
      </c>
      <c r="G16" s="2">
        <v>16549056.454332</v>
      </c>
      <c r="H16" s="2">
        <v>7478347.3504731</v>
      </c>
      <c r="I16" s="2">
        <v>-0.0028956378207846</v>
      </c>
      <c r="J16" s="2">
        <v>-0.0025590946880477</v>
      </c>
      <c r="K16" s="2">
        <v>0.006597884294791</v>
      </c>
      <c r="L16" s="2">
        <v>-0.075010785256136</v>
      </c>
      <c r="M16" s="2">
        <v>-0.07549527063543</v>
      </c>
      <c r="N16" s="2">
        <v>547.50587661487</v>
      </c>
      <c r="O16" s="2">
        <v>606.26964436621</v>
      </c>
    </row>
    <row r="17" s="2" customFormat="1" spans="1:15">
      <c r="A17" s="2">
        <v>2.4066849390983</v>
      </c>
      <c r="B17" s="2">
        <v>0.0052692529695208</v>
      </c>
      <c r="C17" s="2">
        <v>90.30479365481</v>
      </c>
      <c r="D17" s="2">
        <v>0.0071020879622815</v>
      </c>
      <c r="E17" s="2">
        <v>6.6467154761107</v>
      </c>
      <c r="F17" s="2">
        <v>0.96489631783157</v>
      </c>
      <c r="G17" s="2">
        <v>16632280.431618</v>
      </c>
      <c r="H17" s="2">
        <v>8000349.1652646</v>
      </c>
      <c r="I17" s="2">
        <v>-0.0032110188165223</v>
      </c>
      <c r="J17" s="2">
        <v>-0.0028336755392832</v>
      </c>
      <c r="K17" s="2">
        <v>0.0071936911731359</v>
      </c>
      <c r="L17" s="2">
        <v>-0.084609115395166</v>
      </c>
      <c r="M17" s="2">
        <v>-0.086793414918584</v>
      </c>
      <c r="N17" s="2">
        <v>550.48146762786</v>
      </c>
      <c r="O17" s="2">
        <v>610.82839983949</v>
      </c>
    </row>
    <row r="18" s="2" customFormat="1" spans="1:15">
      <c r="A18" s="2">
        <v>2.6066849390983</v>
      </c>
      <c r="B18" s="2">
        <v>0.0058748837540697</v>
      </c>
      <c r="C18" s="2">
        <v>90.303646162939</v>
      </c>
      <c r="D18" s="2">
        <v>0.0077179700350059</v>
      </c>
      <c r="E18" s="2">
        <v>6.650761690407</v>
      </c>
      <c r="F18" s="2">
        <v>0.96095242825063</v>
      </c>
      <c r="G18" s="2">
        <v>16716748.544223</v>
      </c>
      <c r="H18" s="2">
        <v>8528905.5511747</v>
      </c>
      <c r="I18" s="2">
        <v>-0.0035265679416337</v>
      </c>
      <c r="J18" s="2">
        <v>-0.0031081914364446</v>
      </c>
      <c r="K18" s="2">
        <v>0.0077891378574936</v>
      </c>
      <c r="L18" s="2">
        <v>-0.093499800093167</v>
      </c>
      <c r="M18" s="2">
        <v>-0.095753119739845</v>
      </c>
      <c r="N18" s="2">
        <v>553.21702164379</v>
      </c>
      <c r="O18" s="2">
        <v>614.93496267448</v>
      </c>
    </row>
    <row r="19" s="2" customFormat="1" spans="1:15">
      <c r="A19" s="2">
        <v>2.8066849390983</v>
      </c>
      <c r="B19" s="2">
        <v>0.006480492253613</v>
      </c>
      <c r="C19" s="2">
        <v>90.302482134354</v>
      </c>
      <c r="D19" s="2">
        <v>0.008333639074942</v>
      </c>
      <c r="E19" s="2">
        <v>6.6548297770534</v>
      </c>
      <c r="F19" s="2">
        <v>0.95704805698942</v>
      </c>
      <c r="G19" s="2">
        <v>16802358.121681</v>
      </c>
      <c r="H19" s="2">
        <v>9063365.8850272</v>
      </c>
      <c r="I19" s="2">
        <v>-0.0038420132377616</v>
      </c>
      <c r="J19" s="2">
        <v>-0.0033827973332461</v>
      </c>
      <c r="K19" s="2">
        <v>0.0083842245741067</v>
      </c>
      <c r="L19" s="2">
        <v>-0.10176272648777</v>
      </c>
      <c r="M19" s="2">
        <v>-0.1046403095423</v>
      </c>
      <c r="N19" s="2">
        <v>555.77508339021</v>
      </c>
      <c r="O19" s="2">
        <v>618.69705433626</v>
      </c>
    </row>
    <row r="20" s="2" customFormat="1" spans="1:15">
      <c r="A20" s="2">
        <v>3.0066849390983</v>
      </c>
      <c r="B20" s="2">
        <v>0.0070860113038191</v>
      </c>
      <c r="C20" s="2">
        <v>90.301312849927</v>
      </c>
      <c r="D20" s="2">
        <v>0.0089491051525553</v>
      </c>
      <c r="E20" s="2">
        <v>6.6589203726508</v>
      </c>
      <c r="F20" s="2">
        <v>0.95321023537009</v>
      </c>
      <c r="G20" s="2">
        <v>16889044.891439</v>
      </c>
      <c r="H20" s="2">
        <v>9603326.086201</v>
      </c>
      <c r="I20" s="2">
        <v>-0.0041572015145068</v>
      </c>
      <c r="J20" s="2">
        <v>-0.0036575684227959</v>
      </c>
      <c r="K20" s="2">
        <v>0.0089789518549643</v>
      </c>
      <c r="L20" s="2">
        <v>-0.1114828953374</v>
      </c>
      <c r="M20" s="2">
        <v>-0.11252457502477</v>
      </c>
      <c r="N20" s="2">
        <v>558.19639693849</v>
      </c>
      <c r="O20" s="2">
        <v>622.17468328698</v>
      </c>
    </row>
    <row r="21" s="2" customFormat="1" spans="1:15">
      <c r="A21" s="2">
        <v>3.2066849390983</v>
      </c>
      <c r="B21" s="2">
        <v>0.0076913709569407</v>
      </c>
      <c r="C21" s="2">
        <v>90.300146903665</v>
      </c>
      <c r="D21" s="2">
        <v>0.0095643596434713</v>
      </c>
      <c r="E21" s="2">
        <v>6.6630347767302</v>
      </c>
      <c r="F21" s="2">
        <v>0.94945434619299</v>
      </c>
      <c r="G21" s="2">
        <v>16976759.726448</v>
      </c>
      <c r="H21" s="2">
        <v>10148479.542395</v>
      </c>
      <c r="I21" s="2">
        <v>-0.0044720428554738</v>
      </c>
      <c r="J21" s="2">
        <v>-0.0039325404515932</v>
      </c>
      <c r="K21" s="2">
        <v>0.0095733203316283</v>
      </c>
      <c r="L21" s="2">
        <v>-0.11872382577864</v>
      </c>
      <c r="M21" s="2">
        <v>-0.1214483697982</v>
      </c>
      <c r="N21" s="2">
        <v>560.50645980028</v>
      </c>
      <c r="O21" s="2">
        <v>625.40772846112</v>
      </c>
    </row>
    <row r="22" s="2" customFormat="1" spans="1:15">
      <c r="A22" s="2">
        <v>3.4066849390983</v>
      </c>
      <c r="B22" s="2">
        <v>0.0082966205867148</v>
      </c>
      <c r="C22" s="2">
        <v>90.298992431785</v>
      </c>
      <c r="D22" s="2">
        <v>0.010179419517113</v>
      </c>
      <c r="E22" s="2">
        <v>6.6671788784945</v>
      </c>
      <c r="F22" s="2">
        <v>0.94577127714287</v>
      </c>
      <c r="G22" s="2">
        <v>17065440.080336</v>
      </c>
      <c r="H22" s="2">
        <v>10698436.13485</v>
      </c>
      <c r="I22" s="2">
        <v>-0.0047865063538319</v>
      </c>
      <c r="J22" s="2">
        <v>-0.004207697014255</v>
      </c>
      <c r="K22" s="2">
        <v>0.010167330385009</v>
      </c>
      <c r="L22" s="2">
        <v>-0.1281836859239</v>
      </c>
      <c r="M22" s="2">
        <v>-0.13007141268457</v>
      </c>
      <c r="N22" s="2">
        <v>562.73379318397</v>
      </c>
      <c r="O22" s="2">
        <v>628.45842393094</v>
      </c>
    </row>
    <row r="23" s="2" customFormat="1" spans="1:15">
      <c r="A23" s="2">
        <v>3.6066849390983</v>
      </c>
      <c r="B23" s="2">
        <v>0.0089018611296323</v>
      </c>
      <c r="C23" s="2">
        <v>90.297851163709</v>
      </c>
      <c r="D23" s="2">
        <v>0.010794327297827</v>
      </c>
      <c r="E23" s="2">
        <v>6.6713602781495</v>
      </c>
      <c r="F23" s="2">
        <v>0.94214121264883</v>
      </c>
      <c r="G23" s="2">
        <v>17155030.162588</v>
      </c>
      <c r="H23" s="2">
        <v>11252849.520268</v>
      </c>
      <c r="I23" s="2">
        <v>-0.0051005971672604</v>
      </c>
      <c r="J23" s="2">
        <v>-0.0044829963062986</v>
      </c>
      <c r="K23" s="2">
        <v>0.010760982332296</v>
      </c>
      <c r="L23" s="2">
        <v>-0.13813192836805</v>
      </c>
      <c r="M23" s="2">
        <v>-0.13984282319127</v>
      </c>
      <c r="N23" s="2">
        <v>564.89789861027</v>
      </c>
      <c r="O23" s="2">
        <v>631.37787599822</v>
      </c>
    </row>
    <row r="24" s="2" customFormat="1" spans="1:15">
      <c r="A24" s="2">
        <v>3.8066849390983</v>
      </c>
      <c r="B24" s="2">
        <v>0.0095071226166172</v>
      </c>
      <c r="C24" s="2">
        <v>90.296724935682</v>
      </c>
      <c r="D24" s="2">
        <v>0.011409091902784</v>
      </c>
      <c r="E24" s="2">
        <v>6.675585949341</v>
      </c>
      <c r="F24" s="2">
        <v>0.93855357210979</v>
      </c>
      <c r="G24" s="2">
        <v>17245494.687066</v>
      </c>
      <c r="H24" s="2">
        <v>11811503.711549</v>
      </c>
      <c r="I24" s="2">
        <v>-0.0054143301605724</v>
      </c>
      <c r="J24" s="2">
        <v>-0.0047583782157786</v>
      </c>
      <c r="K24" s="2">
        <v>0.011354276664808</v>
      </c>
      <c r="L24" s="2">
        <v>-0.14374483583549</v>
      </c>
      <c r="M24" s="2">
        <v>-0.14618984650607</v>
      </c>
      <c r="N24" s="2">
        <v>567.01192471502</v>
      </c>
      <c r="O24" s="2">
        <v>634.19054877111</v>
      </c>
    </row>
    <row r="25" s="2" customFormat="1" spans="1:15">
      <c r="A25" s="2">
        <v>4.0066849390983</v>
      </c>
      <c r="B25" s="2">
        <v>0.010112380436666</v>
      </c>
      <c r="C25" s="2">
        <v>90.295609877441</v>
      </c>
      <c r="D25" s="2">
        <v>0.012023713176673</v>
      </c>
      <c r="E25" s="2">
        <v>6.6798583449577</v>
      </c>
      <c r="F25" s="2">
        <v>0.93500567226777</v>
      </c>
      <c r="G25" s="2">
        <v>17336811.196271</v>
      </c>
      <c r="H25" s="2">
        <v>12374264.073456</v>
      </c>
      <c r="I25" s="2">
        <v>-0.0057277357736162</v>
      </c>
      <c r="J25" s="2">
        <v>-0.0050338257053407</v>
      </c>
      <c r="K25" s="2">
        <v>0.011947214002507</v>
      </c>
      <c r="L25" s="2">
        <v>-0.15100681016394</v>
      </c>
      <c r="M25" s="2">
        <v>-0.15318404543147</v>
      </c>
      <c r="N25" s="2">
        <v>569.08041077446</v>
      </c>
      <c r="O25" s="2">
        <v>636.9116883641</v>
      </c>
    </row>
    <row r="26" s="2" customFormat="1" spans="1:15">
      <c r="A26" s="2">
        <v>4.2066849390983</v>
      </c>
      <c r="B26" s="2">
        <v>0.010717619464318</v>
      </c>
      <c r="C26" s="2">
        <v>90.294503312596</v>
      </c>
      <c r="D26" s="2">
        <v>0.01263819650365</v>
      </c>
      <c r="E26" s="2">
        <v>6.6841774072034</v>
      </c>
      <c r="F26" s="2">
        <v>0.93149664445054</v>
      </c>
      <c r="G26" s="2">
        <v>17428955.067529</v>
      </c>
      <c r="H26" s="2">
        <v>12940982.905473</v>
      </c>
      <c r="I26" s="2">
        <v>-0.0060408491296347</v>
      </c>
      <c r="J26" s="2">
        <v>-0.0053093048738068</v>
      </c>
      <c r="K26" s="2">
        <v>0.012539794912481</v>
      </c>
      <c r="L26" s="2">
        <v>-0.16147962888777</v>
      </c>
      <c r="M26" s="2">
        <v>-0.16407788510804</v>
      </c>
      <c r="N26" s="2">
        <v>571.10859618372</v>
      </c>
      <c r="O26" s="2">
        <v>639.557613231</v>
      </c>
    </row>
    <row r="27" s="2" customFormat="1" spans="1:15">
      <c r="A27" s="2">
        <v>4.4066849390983</v>
      </c>
      <c r="B27" s="2">
        <v>0.011322827149148</v>
      </c>
      <c r="C27" s="2">
        <v>90.293402940446</v>
      </c>
      <c r="D27" s="2">
        <v>0.013252534552011</v>
      </c>
      <c r="E27" s="2">
        <v>6.6885417644822</v>
      </c>
      <c r="F27" s="2">
        <v>0.92802246840165</v>
      </c>
      <c r="G27" s="2">
        <v>17521906.686926</v>
      </c>
      <c r="H27" s="2">
        <v>13511544.481995</v>
      </c>
      <c r="I27" s="2">
        <v>-0.0063537306076688</v>
      </c>
      <c r="J27" s="2">
        <v>-0.0055847171197208</v>
      </c>
      <c r="K27" s="2">
        <v>0.013132019934785</v>
      </c>
      <c r="L27" s="2">
        <v>-0.16949521895642</v>
      </c>
      <c r="M27" s="2">
        <v>-0.1726266938817</v>
      </c>
      <c r="N27" s="2">
        <v>573.10314059654</v>
      </c>
      <c r="O27" s="2">
        <v>642.13573247792</v>
      </c>
    </row>
    <row r="28" s="2" customFormat="1" spans="1:15">
      <c r="A28" s="2">
        <v>4.6066849390983</v>
      </c>
      <c r="B28" s="2">
        <v>0.011927950013776</v>
      </c>
      <c r="C28" s="2">
        <v>90.292302985859</v>
      </c>
      <c r="D28" s="2">
        <v>0.013866706831433</v>
      </c>
      <c r="E28" s="2">
        <v>6.6929490377051</v>
      </c>
      <c r="F28" s="2">
        <v>0.9245802095498</v>
      </c>
      <c r="G28" s="2">
        <v>17615656.150643</v>
      </c>
      <c r="H28" s="2">
        <v>14085894.348336</v>
      </c>
      <c r="I28" s="2">
        <v>-0.006666479083189</v>
      </c>
      <c r="J28" s="2">
        <v>-0.0058599698078224</v>
      </c>
      <c r="K28" s="2">
        <v>0.013723889747406</v>
      </c>
      <c r="L28" s="2">
        <v>-0.17773657386761</v>
      </c>
      <c r="M28" s="2">
        <v>-0.17988240899799</v>
      </c>
      <c r="N28" s="2">
        <v>575.06515242691</v>
      </c>
      <c r="O28" s="2">
        <v>644.64878369495</v>
      </c>
    </row>
    <row r="29" s="2" customFormat="1" spans="1:15">
      <c r="A29" s="2">
        <v>4.8066849390983</v>
      </c>
      <c r="B29" s="2">
        <v>0.0125329681802</v>
      </c>
      <c r="C29" s="2">
        <v>90.291201721958</v>
      </c>
      <c r="D29" s="2">
        <v>0.014480710519614</v>
      </c>
      <c r="E29" s="2">
        <v>6.697394263144</v>
      </c>
      <c r="F29" s="2">
        <v>0.92117251482544</v>
      </c>
      <c r="G29" s="2">
        <v>17710188.812254</v>
      </c>
      <c r="H29" s="2">
        <v>14663948.361559</v>
      </c>
      <c r="I29" s="2">
        <v>-0.0069791211848562</v>
      </c>
      <c r="J29" s="2">
        <v>-0.0061350379540587</v>
      </c>
      <c r="K29" s="2">
        <v>0.014315404939531</v>
      </c>
      <c r="L29" s="2">
        <v>-0.18622622743155</v>
      </c>
      <c r="M29" s="2">
        <v>-0.18833860639031</v>
      </c>
      <c r="N29" s="2">
        <v>576.99683109233</v>
      </c>
      <c r="O29" s="2">
        <v>647.10416139961</v>
      </c>
    </row>
    <row r="30" s="2" customFormat="1" spans="1:15">
      <c r="A30" s="2">
        <v>5.0066849390983</v>
      </c>
      <c r="B30" s="2">
        <v>0.013137892331171</v>
      </c>
      <c r="C30" s="2">
        <v>90.290099564256</v>
      </c>
      <c r="D30" s="2">
        <v>0.015094554189379</v>
      </c>
      <c r="E30" s="2">
        <v>6.7018739086906</v>
      </c>
      <c r="F30" s="2">
        <v>0.91779895022099</v>
      </c>
      <c r="G30" s="2">
        <v>17805488.0607</v>
      </c>
      <c r="H30" s="2">
        <v>15245610.293461</v>
      </c>
      <c r="I30" s="2">
        <v>-0.0072916405364252</v>
      </c>
      <c r="J30" s="2">
        <v>-0.006409932562842</v>
      </c>
      <c r="K30" s="2">
        <v>0.014906565920669</v>
      </c>
      <c r="L30" s="2">
        <v>-0.19519004057431</v>
      </c>
      <c r="M30" s="2">
        <v>-0.19757413901729</v>
      </c>
      <c r="N30" s="2">
        <v>578.90098349674</v>
      </c>
      <c r="O30" s="2">
        <v>649.5099285217</v>
      </c>
    </row>
    <row r="31" s="2" customFormat="1" spans="1:15">
      <c r="A31" s="2">
        <v>5.2066849390983</v>
      </c>
      <c r="B31" s="2">
        <v>0.013742723506139</v>
      </c>
      <c r="C31" s="2">
        <v>90.288996034476</v>
      </c>
      <c r="D31" s="2">
        <v>0.015708235735556</v>
      </c>
      <c r="E31" s="2">
        <v>6.7063845136362</v>
      </c>
      <c r="F31" s="2">
        <v>0.9144553646126</v>
      </c>
      <c r="G31" s="2">
        <v>17901538.952547</v>
      </c>
      <c r="H31" s="2">
        <v>15830794.812439</v>
      </c>
      <c r="I31" s="2">
        <v>-0.0076040117842271</v>
      </c>
      <c r="J31" s="2">
        <v>-0.0066846528179468</v>
      </c>
      <c r="K31" s="2">
        <v>0.015497373101231</v>
      </c>
      <c r="L31" s="2">
        <v>-0.20145712286397</v>
      </c>
      <c r="M31" s="2">
        <v>-0.20322540222571</v>
      </c>
      <c r="N31" s="2">
        <v>580.78265438314</v>
      </c>
      <c r="O31" s="2">
        <v>651.87065142577</v>
      </c>
    </row>
    <row r="32" s="2" customFormat="1" spans="1:15">
      <c r="A32" s="2">
        <v>5.4066849390983</v>
      </c>
      <c r="B32" s="2">
        <v>0.014347476781836</v>
      </c>
      <c r="C32" s="2">
        <v>90.287889066665</v>
      </c>
      <c r="D32" s="2">
        <v>0.016321774368215</v>
      </c>
      <c r="E32" s="2">
        <v>6.7109231466038</v>
      </c>
      <c r="F32" s="2">
        <v>0.91113660703335</v>
      </c>
      <c r="G32" s="2">
        <v>17998328.041721</v>
      </c>
      <c r="H32" s="2">
        <v>16419425.754108</v>
      </c>
      <c r="I32" s="2">
        <v>-0.0079162273773842</v>
      </c>
      <c r="J32" s="2">
        <v>-0.0069592307325935</v>
      </c>
      <c r="K32" s="2">
        <v>0.016087826808789</v>
      </c>
      <c r="L32" s="2">
        <v>-0.20932471572778</v>
      </c>
      <c r="M32" s="2">
        <v>-0.2106907213666</v>
      </c>
      <c r="N32" s="2">
        <v>582.64043754902</v>
      </c>
      <c r="O32" s="2">
        <v>654.19231516637</v>
      </c>
    </row>
    <row r="33" s="2" customFormat="1" spans="1:15">
      <c r="A33" s="2">
        <v>5.6066849390983</v>
      </c>
      <c r="B33" s="2">
        <v>0.014952165595717</v>
      </c>
      <c r="C33" s="2">
        <v>90.28677827703</v>
      </c>
      <c r="D33" s="2">
        <v>0.016935181842458</v>
      </c>
      <c r="E33" s="2">
        <v>6.715484696019</v>
      </c>
      <c r="F33" s="2">
        <v>0.90783848324069</v>
      </c>
      <c r="G33" s="2">
        <v>18095839.326786</v>
      </c>
      <c r="H33" s="2">
        <v>17011411.154375</v>
      </c>
      <c r="I33" s="2">
        <v>-0.0082282719305608</v>
      </c>
      <c r="J33" s="2">
        <v>-0.0072336629472958</v>
      </c>
      <c r="K33" s="2">
        <v>0.01667792736792</v>
      </c>
      <c r="L33" s="2">
        <v>-0.21695772453275</v>
      </c>
      <c r="M33" s="2">
        <v>-0.21744890716413</v>
      </c>
      <c r="N33" s="2">
        <v>584.4791073811</v>
      </c>
      <c r="O33" s="2">
        <v>656.48069537063</v>
      </c>
    </row>
    <row r="34" s="2" customFormat="1" spans="1:15">
      <c r="A34" s="2">
        <v>5.8066849390983</v>
      </c>
      <c r="B34" s="2">
        <v>0.015556814745889</v>
      </c>
      <c r="C34" s="2">
        <v>90.285663504972</v>
      </c>
      <c r="D34" s="2">
        <v>0.017548482487027</v>
      </c>
      <c r="E34" s="2">
        <v>6.7200648933714</v>
      </c>
      <c r="F34" s="2">
        <v>0.90455845369806</v>
      </c>
      <c r="G34" s="2">
        <v>18194058.934143</v>
      </c>
      <c r="H34" s="2">
        <v>17606671.948657</v>
      </c>
      <c r="I34" s="2">
        <v>-0.0085401444659571</v>
      </c>
      <c r="J34" s="2">
        <v>-0.0075079647440921</v>
      </c>
      <c r="K34" s="2">
        <v>0.017267675069325</v>
      </c>
      <c r="L34" s="2">
        <v>-0.22569016721455</v>
      </c>
      <c r="M34" s="2">
        <v>-0.22765103404524</v>
      </c>
      <c r="N34" s="2">
        <v>586.29778063351</v>
      </c>
      <c r="O34" s="2">
        <v>658.74015821514</v>
      </c>
    </row>
    <row r="35" s="2" customFormat="1" spans="1:15">
      <c r="A35" s="2">
        <v>6.0066849390983</v>
      </c>
      <c r="B35" s="2">
        <v>0.016161432700459</v>
      </c>
      <c r="C35" s="2">
        <v>90.284544746751</v>
      </c>
      <c r="D35" s="2">
        <v>0.018161684378008</v>
      </c>
      <c r="E35" s="2">
        <v>6.7246600164308</v>
      </c>
      <c r="F35" s="2">
        <v>0.90129296170337</v>
      </c>
      <c r="G35" s="2">
        <v>18292972.742994</v>
      </c>
      <c r="H35" s="2">
        <v>18205127.824581</v>
      </c>
      <c r="I35" s="2">
        <v>-0.0088518446298764</v>
      </c>
      <c r="J35" s="2">
        <v>-0.0077821110094691</v>
      </c>
      <c r="K35" s="2">
        <v>0.017857070204312</v>
      </c>
      <c r="L35" s="2">
        <v>-0.23349306686718</v>
      </c>
      <c r="M35" s="2">
        <v>-0.23542384550283</v>
      </c>
      <c r="N35" s="2">
        <v>588.10071241986</v>
      </c>
      <c r="O35" s="2">
        <v>660.97224443619</v>
      </c>
    </row>
    <row r="36" s="2" customFormat="1" spans="1:15">
      <c r="A36" s="2">
        <v>6.2066849390983</v>
      </c>
      <c r="B36" s="2">
        <v>0.016766026344526</v>
      </c>
      <c r="C36" s="2">
        <v>90.283422413052</v>
      </c>
      <c r="D36" s="2">
        <v>0.018774802101012</v>
      </c>
      <c r="E36" s="2">
        <v>6.7292669680749</v>
      </c>
      <c r="F36" s="2">
        <v>0.89803943196574</v>
      </c>
      <c r="G36" s="2">
        <v>18392568.768465</v>
      </c>
      <c r="H36" s="2">
        <v>18806711.679672</v>
      </c>
      <c r="I36" s="2">
        <v>-0.0091633784604847</v>
      </c>
      <c r="J36" s="2">
        <v>-0.0080561028786407</v>
      </c>
      <c r="K36" s="2">
        <v>0.018446113079356</v>
      </c>
      <c r="L36" s="2">
        <v>-0.24122719689719</v>
      </c>
      <c r="M36" s="2">
        <v>-0.24294671287357</v>
      </c>
      <c r="N36" s="2">
        <v>589.88784032919</v>
      </c>
      <c r="O36" s="2">
        <v>663.17910830368</v>
      </c>
    </row>
    <row r="37" s="2" customFormat="1" spans="1:15">
      <c r="A37" s="2">
        <v>6.4066849390983</v>
      </c>
      <c r="B37" s="2">
        <v>0.01737059943949</v>
      </c>
      <c r="C37" s="2">
        <v>90.282296780927</v>
      </c>
      <c r="D37" s="2">
        <v>0.019387844212139</v>
      </c>
      <c r="E37" s="2">
        <v>6.733883911579</v>
      </c>
      <c r="F37" s="2">
        <v>0.89479542138818</v>
      </c>
      <c r="G37" s="2">
        <v>18492834.840311</v>
      </c>
      <c r="H37" s="2">
        <v>19411355.491842</v>
      </c>
      <c r="I37" s="2">
        <v>-0.0094747481185871</v>
      </c>
      <c r="J37" s="2">
        <v>-0.0083299336758698</v>
      </c>
      <c r="K37" s="2">
        <v>0.019034804032859</v>
      </c>
      <c r="L37" s="2">
        <v>-0.24845114546333</v>
      </c>
      <c r="M37" s="2">
        <v>-0.24977876340197</v>
      </c>
      <c r="N37" s="2">
        <v>591.66065445944</v>
      </c>
      <c r="O37" s="2">
        <v>665.36269449272</v>
      </c>
    </row>
    <row r="38" s="2" customFormat="1" spans="1:15">
      <c r="A38" s="2">
        <v>6.6066849390983</v>
      </c>
      <c r="B38" s="2">
        <v>0.017975160960388</v>
      </c>
      <c r="C38" s="2">
        <v>90.281169200434</v>
      </c>
      <c r="D38" s="2">
        <v>0.020000818787028</v>
      </c>
      <c r="E38" s="2">
        <v>6.7385094815197</v>
      </c>
      <c r="F38" s="2">
        <v>0.89155895012164</v>
      </c>
      <c r="G38" s="2">
        <v>18593760.131767</v>
      </c>
      <c r="H38" s="2">
        <v>20018999.537807</v>
      </c>
      <c r="I38" s="2">
        <v>-0.0097859527721669</v>
      </c>
      <c r="J38" s="2">
        <v>-0.0086036030742155</v>
      </c>
      <c r="K38" s="2">
        <v>0.019623143434081</v>
      </c>
      <c r="L38" s="2">
        <v>-0.25505059897982</v>
      </c>
      <c r="M38" s="2">
        <v>-0.25542441436565</v>
      </c>
      <c r="N38" s="2">
        <v>593.4193180708</v>
      </c>
      <c r="O38" s="2">
        <v>667.52418150792</v>
      </c>
    </row>
    <row r="39" s="2" customFormat="1" spans="1:15">
      <c r="A39" s="2">
        <v>6.8066849390983</v>
      </c>
      <c r="B39" s="2">
        <v>0.018579710507661</v>
      </c>
      <c r="C39" s="2">
        <v>90.280039633735</v>
      </c>
      <c r="D39" s="2">
        <v>0.020613742449646</v>
      </c>
      <c r="E39" s="2">
        <v>6.743142806389</v>
      </c>
      <c r="F39" s="2">
        <v>0.88832869013415</v>
      </c>
      <c r="G39" s="2">
        <v>18695332.970736</v>
      </c>
      <c r="H39" s="2">
        <v>20629579.17586</v>
      </c>
      <c r="I39" s="2">
        <v>-0.010096997475621</v>
      </c>
      <c r="J39" s="2">
        <v>-0.0088771359843123</v>
      </c>
      <c r="K39" s="2">
        <v>0.020211131649138</v>
      </c>
      <c r="L39" s="2">
        <v>-0.26586959495026</v>
      </c>
      <c r="M39" s="2">
        <v>-0.26732163593794</v>
      </c>
      <c r="N39" s="2">
        <v>595.16253655335</v>
      </c>
      <c r="O39" s="2">
        <v>669.66955854641</v>
      </c>
    </row>
    <row r="40" s="2" customFormat="1" spans="1:15">
      <c r="A40" s="2">
        <v>7.0066849390983</v>
      </c>
      <c r="B40" s="2">
        <v>0.019184250222817</v>
      </c>
      <c r="C40" s="2">
        <v>90.278909823656</v>
      </c>
      <c r="D40" s="2">
        <v>0.021226605582673</v>
      </c>
      <c r="E40" s="2">
        <v>6.7477830898292</v>
      </c>
      <c r="F40" s="2">
        <v>0.88510436570567</v>
      </c>
      <c r="G40" s="2">
        <v>18797543.153971</v>
      </c>
      <c r="H40" s="2">
        <v>21243038.78679</v>
      </c>
      <c r="I40" s="2">
        <v>-0.010407864842212</v>
      </c>
      <c r="J40" s="2">
        <v>-0.0091505047768108</v>
      </c>
      <c r="K40" s="2">
        <v>0.020798769105117</v>
      </c>
      <c r="L40" s="2">
        <v>-0.27411458023312</v>
      </c>
      <c r="M40" s="2">
        <v>-0.2756563345145</v>
      </c>
      <c r="N40" s="2">
        <v>596.89489993914</v>
      </c>
      <c r="O40" s="2">
        <v>671.79630272764</v>
      </c>
    </row>
    <row r="41" s="2" customFormat="1" spans="1:15">
      <c r="A41" s="2">
        <v>7.2066849390983</v>
      </c>
      <c r="B41" s="2">
        <v>0.01978878358159</v>
      </c>
      <c r="C41" s="2">
        <v>90.277779807892</v>
      </c>
      <c r="D41" s="2">
        <v>0.021839417790522</v>
      </c>
      <c r="E41" s="2">
        <v>6.7524302916162</v>
      </c>
      <c r="F41" s="2">
        <v>0.88188528150213</v>
      </c>
      <c r="G41" s="2">
        <v>18900381.635259</v>
      </c>
      <c r="H41" s="2">
        <v>21859329.946465</v>
      </c>
      <c r="I41" s="2">
        <v>-0.010718558220123</v>
      </c>
      <c r="J41" s="2">
        <v>-0.0094237237290389</v>
      </c>
      <c r="K41" s="2">
        <v>0.021386056196138</v>
      </c>
      <c r="L41" s="2">
        <v>-0.28243793455748</v>
      </c>
      <c r="M41" s="2">
        <v>-0.28422570111745</v>
      </c>
      <c r="N41" s="2">
        <v>598.61488202048</v>
      </c>
      <c r="O41" s="2">
        <v>673.90657986685</v>
      </c>
    </row>
    <row r="42" s="2" customFormat="1" spans="1:15">
      <c r="A42" s="2">
        <v>7.4066849390983</v>
      </c>
      <c r="B42" s="2">
        <v>0.020393308261462</v>
      </c>
      <c r="C42" s="2">
        <v>90.276650330473</v>
      </c>
      <c r="D42" s="2">
        <v>0.022452180900408</v>
      </c>
      <c r="E42" s="2">
        <v>6.7570845424583</v>
      </c>
      <c r="F42" s="2">
        <v>0.8786714095781</v>
      </c>
      <c r="G42" s="2">
        <v>19003838.992618</v>
      </c>
      <c r="H42" s="2">
        <v>22478402.054059</v>
      </c>
      <c r="I42" s="2">
        <v>-0.011029073330905</v>
      </c>
      <c r="J42" s="2">
        <v>-0.009696795653167</v>
      </c>
      <c r="K42" s="2">
        <v>0.021972993328618</v>
      </c>
      <c r="L42" s="2">
        <v>-0.29085529626778</v>
      </c>
      <c r="M42" s="2">
        <v>-0.29290741383155</v>
      </c>
      <c r="N42" s="2">
        <v>600.32331748224</v>
      </c>
      <c r="O42" s="2">
        <v>676.00151795036</v>
      </c>
    </row>
    <row r="43" s="2" customFormat="1" spans="1:15">
      <c r="A43" s="2">
        <v>7.6066849390983</v>
      </c>
      <c r="B43" s="2">
        <v>0.020997824568129</v>
      </c>
      <c r="C43" s="2">
        <v>90.275521709815</v>
      </c>
      <c r="D43" s="2">
        <v>0.023064891286201</v>
      </c>
      <c r="E43" s="2">
        <v>6.7617463366997</v>
      </c>
      <c r="F43" s="2">
        <v>0.87546266967794</v>
      </c>
      <c r="G43" s="2">
        <v>19107907.11313</v>
      </c>
      <c r="H43" s="2">
        <v>23100212.544865</v>
      </c>
      <c r="I43" s="2">
        <v>-0.011339402648259</v>
      </c>
      <c r="J43" s="2">
        <v>-0.0099697137186573</v>
      </c>
      <c r="K43" s="2">
        <v>0.022559580904749</v>
      </c>
      <c r="L43" s="2">
        <v>-0.29755671048119</v>
      </c>
      <c r="M43" s="2">
        <v>-0.29809562619962</v>
      </c>
      <c r="N43" s="2">
        <v>602.02164278223</v>
      </c>
      <c r="O43" s="2">
        <v>678.0798474612</v>
      </c>
    </row>
    <row r="44" s="2" customFormat="1" spans="1:15">
      <c r="A44" s="2">
        <v>7.8066849390983</v>
      </c>
      <c r="B44" s="2">
        <v>0.021602328617375</v>
      </c>
      <c r="C44" s="2">
        <v>90.274393825584</v>
      </c>
      <c r="D44" s="2">
        <v>0.023677557246743</v>
      </c>
      <c r="E44" s="2">
        <v>6.7664160876046</v>
      </c>
      <c r="F44" s="2">
        <v>0.87225984762638</v>
      </c>
      <c r="G44" s="2">
        <v>19212577.784636</v>
      </c>
      <c r="H44" s="2">
        <v>23724718.275911</v>
      </c>
      <c r="I44" s="2">
        <v>-0.011649548058886</v>
      </c>
      <c r="J44" s="2">
        <v>-0.010242500714099</v>
      </c>
      <c r="K44" s="2">
        <v>0.023145819316671</v>
      </c>
      <c r="L44" s="2">
        <v>-0.30560837259944</v>
      </c>
      <c r="M44" s="2">
        <v>-0.30593604271918</v>
      </c>
      <c r="N44" s="2">
        <v>603.70782418307</v>
      </c>
      <c r="O44" s="2">
        <v>680.14427739569</v>
      </c>
    </row>
    <row r="45" s="2" customFormat="1" spans="1:15">
      <c r="A45" s="2">
        <v>8.0066849390983</v>
      </c>
      <c r="B45" s="2">
        <v>0.02220681444492</v>
      </c>
      <c r="C45" s="2">
        <v>90.273267245495</v>
      </c>
      <c r="D45" s="2">
        <v>0.024290174128821</v>
      </c>
      <c r="E45" s="2">
        <v>6.7710944099335</v>
      </c>
      <c r="F45" s="2">
        <v>0.8690629514727</v>
      </c>
      <c r="G45" s="2">
        <v>19317843.066649</v>
      </c>
      <c r="H45" s="2">
        <v>24351877.863688</v>
      </c>
      <c r="I45" s="2">
        <v>-0.011959501224615</v>
      </c>
      <c r="J45" s="2">
        <v>-0.010515153593238</v>
      </c>
      <c r="K45" s="2">
        <v>0.023731708987898</v>
      </c>
      <c r="L45" s="2">
        <v>-0.31373400207553</v>
      </c>
      <c r="M45" s="2">
        <v>-0.31388045135657</v>
      </c>
      <c r="N45" s="2">
        <v>605.38353541872</v>
      </c>
      <c r="O45" s="2">
        <v>682.19427631567</v>
      </c>
    </row>
    <row r="46" s="2" customFormat="1" spans="1:15">
      <c r="A46" s="2">
        <v>8.2066849390983</v>
      </c>
      <c r="B46" s="2">
        <v>0.022811278722741</v>
      </c>
      <c r="C46" s="2">
        <v>90.272141812042</v>
      </c>
      <c r="D46" s="2">
        <v>0.02490274060033</v>
      </c>
      <c r="E46" s="2">
        <v>6.7757817538021</v>
      </c>
      <c r="F46" s="2">
        <v>0.86587224351688</v>
      </c>
      <c r="G46" s="2">
        <v>19423695.642598</v>
      </c>
      <c r="H46" s="2">
        <v>24981653.552203</v>
      </c>
      <c r="I46" s="2">
        <v>-0.012269256703864</v>
      </c>
      <c r="J46" s="2">
        <v>-0.010787677378504</v>
      </c>
      <c r="K46" s="2">
        <v>0.024317250320102</v>
      </c>
      <c r="L46" s="2">
        <v>-0.32175886952294</v>
      </c>
      <c r="M46" s="2">
        <v>-0.32172784628124</v>
      </c>
      <c r="N46" s="2">
        <v>607.04877468058</v>
      </c>
      <c r="O46" s="2">
        <v>684.22957542629</v>
      </c>
    </row>
    <row r="47" s="2" customFormat="1" spans="1:15">
      <c r="A47" s="2">
        <v>8.4066849390983</v>
      </c>
      <c r="B47" s="2">
        <v>0.023415714059023</v>
      </c>
      <c r="C47" s="2">
        <v>90.271019155408</v>
      </c>
      <c r="D47" s="2">
        <v>0.025515254874107</v>
      </c>
      <c r="E47" s="2">
        <v>6.7804792139546</v>
      </c>
      <c r="F47" s="2">
        <v>0.86268819100396</v>
      </c>
      <c r="G47" s="2">
        <v>19530128.270986</v>
      </c>
      <c r="H47" s="2">
        <v>25614008.123753</v>
      </c>
      <c r="I47" s="2">
        <v>-0.012578805853677</v>
      </c>
      <c r="J47" s="2">
        <v>-0.011060081768217</v>
      </c>
      <c r="K47" s="2">
        <v>0.024902443716389</v>
      </c>
      <c r="L47" s="2">
        <v>-0.32983541085629</v>
      </c>
      <c r="M47" s="2">
        <v>-0.32962997578971</v>
      </c>
      <c r="N47" s="2">
        <v>608.70355598888</v>
      </c>
      <c r="O47" s="2">
        <v>686.24995399954</v>
      </c>
    </row>
    <row r="48" s="2" customFormat="1" spans="1:15">
      <c r="A48" s="2">
        <v>8.6066849390983</v>
      </c>
      <c r="B48" s="2">
        <v>0.024020115885517</v>
      </c>
      <c r="C48" s="2">
        <v>90.269896147311</v>
      </c>
      <c r="D48" s="2">
        <v>0.02612771386656</v>
      </c>
      <c r="E48" s="2">
        <v>6.7851877425495</v>
      </c>
      <c r="F48" s="2">
        <v>0.859510069965</v>
      </c>
      <c r="G48" s="2">
        <v>19637134.320324</v>
      </c>
      <c r="H48" s="2">
        <v>26248908.125506</v>
      </c>
      <c r="I48" s="2">
        <v>-0.012888140199294</v>
      </c>
      <c r="J48" s="2">
        <v>-0.01133237511911</v>
      </c>
      <c r="K48" s="2">
        <v>0.025487289584539</v>
      </c>
      <c r="L48" s="2">
        <v>-0.33791782629031</v>
      </c>
      <c r="M48" s="2">
        <v>-0.3375378850965</v>
      </c>
      <c r="N48" s="2">
        <v>610.34796549335</v>
      </c>
      <c r="O48" s="2">
        <v>688.2553395949</v>
      </c>
    </row>
    <row r="49" s="2" customFormat="1" spans="1:15">
      <c r="A49" s="2">
        <v>8.8066849390982</v>
      </c>
      <c r="B49" s="2">
        <v>0.024624474202567</v>
      </c>
      <c r="C49" s="2">
        <v>90.268774295203</v>
      </c>
      <c r="D49" s="2">
        <v>0.026740113675859</v>
      </c>
      <c r="E49" s="2">
        <v>6.7899094214395</v>
      </c>
      <c r="F49" s="2">
        <v>0.85633704070462</v>
      </c>
      <c r="G49" s="2">
        <v>19744706.930762</v>
      </c>
      <c r="H49" s="2">
        <v>26886318.688799</v>
      </c>
      <c r="I49" s="2">
        <v>-0.013197248782153</v>
      </c>
      <c r="J49" s="2">
        <v>-0.01160456860567</v>
      </c>
      <c r="K49" s="2">
        <v>0.026071788326845</v>
      </c>
      <c r="L49" s="2">
        <v>-0.3460122691322</v>
      </c>
      <c r="M49" s="2">
        <v>-0.34545084322101</v>
      </c>
      <c r="N49" s="2">
        <v>611.98212113789</v>
      </c>
      <c r="O49" s="2">
        <v>690.24570740941</v>
      </c>
    </row>
    <row r="50" s="2" customFormat="1" spans="1:15">
      <c r="A50" s="2">
        <v>9.0066849390982</v>
      </c>
      <c r="B50" s="2">
        <v>0.025228778781651</v>
      </c>
      <c r="C50" s="2">
        <v>90.267654097609</v>
      </c>
      <c r="D50" s="2">
        <v>0.027352449434666</v>
      </c>
      <c r="E50" s="2">
        <v>6.7946465305946</v>
      </c>
      <c r="F50" s="2">
        <v>0.8531676395625</v>
      </c>
      <c r="G50" s="2">
        <v>19852839.372614</v>
      </c>
      <c r="H50" s="2">
        <v>27526205.841721</v>
      </c>
      <c r="I50" s="2">
        <v>-0.01350611840329</v>
      </c>
      <c r="J50" s="2">
        <v>-0.011876675107365</v>
      </c>
      <c r="K50" s="2">
        <v>0.026655940329656</v>
      </c>
      <c r="L50" s="2">
        <v>-0.35410485264153</v>
      </c>
      <c r="M50" s="2">
        <v>-0.35338396505788</v>
      </c>
      <c r="N50" s="2">
        <v>613.60636054335</v>
      </c>
      <c r="O50" s="2">
        <v>692.22139816303</v>
      </c>
    </row>
    <row r="51" spans="1:15">
      <c r="A51" s="2">
        <v>9.2066849390982</v>
      </c>
      <c r="B51" s="2">
        <v>0.025833024330033</v>
      </c>
      <c r="C51" s="2">
        <v>90.266536259366</v>
      </c>
      <c r="D51" s="2">
        <v>0.027964718282316</v>
      </c>
      <c r="E51" s="2">
        <v>6.7994013124849</v>
      </c>
      <c r="F51" s="2">
        <v>0.8500002009619</v>
      </c>
      <c r="G51" s="2">
        <v>19961524.55374</v>
      </c>
      <c r="H51" s="2">
        <v>28168533.268032</v>
      </c>
      <c r="I51" s="2">
        <v>-0.013814737655057</v>
      </c>
      <c r="J51" s="2">
        <v>-0.012148705418033</v>
      </c>
      <c r="K51" s="2">
        <v>0.027239745963009</v>
      </c>
      <c r="L51" s="2">
        <v>-0.36218636289416</v>
      </c>
      <c r="M51" s="2">
        <v>-0.36131984408645</v>
      </c>
      <c r="N51" s="2">
        <v>615.22112005365</v>
      </c>
      <c r="O51" s="2">
        <v>694.18315343614</v>
      </c>
    </row>
    <row r="52" spans="1:15">
      <c r="A52" s="2">
        <v>9.4066849390982</v>
      </c>
      <c r="B52" s="2">
        <v>0.026437213054566</v>
      </c>
      <c r="C52" s="2">
        <v>90.265421076061</v>
      </c>
      <c r="D52" s="2">
        <v>0.0285769221274</v>
      </c>
      <c r="E52" s="2">
        <v>6.8041741741618</v>
      </c>
      <c r="F52" s="2">
        <v>0.84683387059781</v>
      </c>
      <c r="G52" s="2">
        <v>20070754.301467</v>
      </c>
      <c r="H52" s="2">
        <v>28813257.86243</v>
      </c>
      <c r="I52" s="2">
        <v>-0.014123103454435</v>
      </c>
      <c r="J52" s="2">
        <v>-0.012420661791162</v>
      </c>
      <c r="K52" s="2">
        <v>0.027823205584449</v>
      </c>
      <c r="L52" s="2">
        <v>-0.37027758026551</v>
      </c>
      <c r="M52" s="2">
        <v>-0.3692930487226</v>
      </c>
      <c r="N52" s="2">
        <v>616.82702736177</v>
      </c>
      <c r="O52" s="2">
        <v>696.13232657576</v>
      </c>
    </row>
    <row r="53" spans="1:15">
      <c r="A53" s="2">
        <v>9.6066849390982</v>
      </c>
      <c r="B53" s="2">
        <v>0.02704135302879</v>
      </c>
      <c r="C53" s="2">
        <v>90.264309008733</v>
      </c>
      <c r="D53" s="2">
        <v>0.029189065959397</v>
      </c>
      <c r="E53" s="2">
        <v>6.8089653892089</v>
      </c>
      <c r="F53" s="2">
        <v>0.84366813654094</v>
      </c>
      <c r="G53" s="2">
        <v>20180521.101881</v>
      </c>
      <c r="H53" s="2">
        <v>29460340.128766</v>
      </c>
      <c r="I53" s="2">
        <v>-0.014431216204417</v>
      </c>
      <c r="J53" s="2">
        <v>-0.012692544615256</v>
      </c>
      <c r="K53" s="2">
        <v>0.028406319562431</v>
      </c>
      <c r="L53" s="2">
        <v>-0.3783569080437</v>
      </c>
      <c r="M53" s="2">
        <v>-0.37726362130061</v>
      </c>
      <c r="N53" s="2">
        <v>618.42383853753</v>
      </c>
      <c r="O53" s="2">
        <v>698.06914541895</v>
      </c>
    </row>
    <row r="54" spans="1:15">
      <c r="A54" s="2">
        <v>9.8066849390982</v>
      </c>
      <c r="B54" s="2">
        <v>0.027645458154967</v>
      </c>
      <c r="C54" s="2">
        <v>90.263200536258</v>
      </c>
      <c r="D54" s="2">
        <v>0.029801156312577</v>
      </c>
      <c r="E54" s="2">
        <v>6.8137722370152</v>
      </c>
      <c r="F54" s="2">
        <v>0.84050339028053</v>
      </c>
      <c r="G54" s="2">
        <v>20290817.650415</v>
      </c>
      <c r="H54" s="2">
        <v>30109741.869984</v>
      </c>
      <c r="I54" s="2">
        <v>-0.014739083804578</v>
      </c>
      <c r="J54" s="2">
        <v>-0.012964347206233</v>
      </c>
      <c r="K54" s="2">
        <v>0.028989088243503</v>
      </c>
      <c r="L54" s="2">
        <v>-0.38644886250335</v>
      </c>
      <c r="M54" s="2">
        <v>-0.38525132036223</v>
      </c>
      <c r="N54" s="2">
        <v>620.01109078355</v>
      </c>
      <c r="O54" s="2">
        <v>699.99363824811</v>
      </c>
    </row>
    <row r="55" spans="1:15">
      <c r="A55" s="2">
        <v>10.006684939098</v>
      </c>
      <c r="B55" s="2">
        <v>0.028249525608119</v>
      </c>
      <c r="C55" s="2">
        <v>90.262095387184</v>
      </c>
      <c r="D55" s="2">
        <v>0.030413197756539</v>
      </c>
      <c r="E55" s="2">
        <v>6.8185937377829</v>
      </c>
      <c r="F55" s="2">
        <v>0.83734002307312</v>
      </c>
      <c r="G55" s="2">
        <v>20401634.693671</v>
      </c>
      <c r="H55" s="2">
        <v>30761413.227677</v>
      </c>
      <c r="I55" s="2">
        <v>-0.015046709238293</v>
      </c>
      <c r="J55" s="2">
        <v>-0.013236063787622</v>
      </c>
      <c r="K55" s="2">
        <v>0.029571512012215</v>
      </c>
      <c r="L55" s="2">
        <v>-0.39456945784895</v>
      </c>
      <c r="M55" s="2">
        <v>-0.39330452946831</v>
      </c>
      <c r="N55" s="2">
        <v>621.59047635368</v>
      </c>
      <c r="O55" s="2">
        <v>701.90791887461</v>
      </c>
    </row>
    <row r="56" spans="1:15">
      <c r="A56" s="2">
        <v>10.206684939098</v>
      </c>
      <c r="B56" s="2">
        <v>0.028853564048343</v>
      </c>
      <c r="C56" s="2">
        <v>90.26099347476</v>
      </c>
      <c r="D56" s="2">
        <v>0.031025194322743</v>
      </c>
      <c r="E56" s="2">
        <v>6.1203039915729</v>
      </c>
      <c r="F56" s="2">
        <v>0.83417833945688</v>
      </c>
      <c r="G56" s="2">
        <v>20512965.973238</v>
      </c>
      <c r="H56" s="2">
        <v>31415322.31995</v>
      </c>
      <c r="I56" s="2">
        <v>-0.015354097464255</v>
      </c>
      <c r="J56" s="2">
        <v>-0.013507691069508</v>
      </c>
      <c r="K56" s="2">
        <v>0.030153591246983</v>
      </c>
      <c r="L56" s="2">
        <v>-0.40268244351378</v>
      </c>
      <c r="M56" s="2">
        <v>-0.40130652475933</v>
      </c>
      <c r="N56" s="2">
        <v>623.16119481415</v>
      </c>
      <c r="O56" s="2">
        <v>703.81128295136</v>
      </c>
    </row>
    <row r="57" spans="1:15">
      <c r="A57" s="2">
        <v>10.406684939098</v>
      </c>
      <c r="B57" s="2">
        <v>0.029457575377843</v>
      </c>
      <c r="C57" s="2">
        <v>90.259894809501</v>
      </c>
      <c r="D57" s="2">
        <v>0.031637149390165</v>
      </c>
      <c r="E57" s="2">
        <v>6.1251518816767</v>
      </c>
      <c r="F57" s="2">
        <v>0.83101873535746</v>
      </c>
      <c r="G57" s="2">
        <v>20624804.199892</v>
      </c>
      <c r="H57" s="2">
        <v>32071431.102654</v>
      </c>
      <c r="I57" s="2">
        <v>-0.015661251230796</v>
      </c>
      <c r="J57" s="2">
        <v>-0.013779226235427</v>
      </c>
      <c r="K57" s="2">
        <v>0.030735326356528</v>
      </c>
      <c r="L57" s="2">
        <v>-0.41079851400518</v>
      </c>
      <c r="M57" s="2">
        <v>-0.40931142668749</v>
      </c>
      <c r="N57" s="2">
        <v>624.72355340344</v>
      </c>
      <c r="O57" s="2">
        <v>705.70425542997</v>
      </c>
    </row>
    <row r="58" spans="1:15">
      <c r="A58" s="2">
        <v>10.606684939098</v>
      </c>
      <c r="B58" s="2">
        <v>0.030061559609635</v>
      </c>
      <c r="C58" s="2">
        <v>90.258799312725</v>
      </c>
      <c r="D58" s="2">
        <v>0.032249065679684</v>
      </c>
      <c r="E58" s="2">
        <v>6.1300120271396</v>
      </c>
      <c r="F58" s="2">
        <v>0.82786156453569</v>
      </c>
      <c r="G58" s="2">
        <v>20737142.00199</v>
      </c>
      <c r="H58" s="2">
        <v>32729701.119427</v>
      </c>
      <c r="I58" s="2">
        <v>-0.015968172533271</v>
      </c>
      <c r="J58" s="2">
        <v>-0.014050666238276</v>
      </c>
      <c r="K58" s="2">
        <v>0.031316717731712</v>
      </c>
      <c r="L58" s="2">
        <v>-0.41889255314448</v>
      </c>
      <c r="M58" s="2">
        <v>-0.41730389401242</v>
      </c>
      <c r="N58" s="2">
        <v>626.27822898022</v>
      </c>
      <c r="O58" s="2">
        <v>707.58761940066</v>
      </c>
    </row>
    <row r="59" spans="1:15">
      <c r="A59" s="2">
        <v>10.806684939098</v>
      </c>
      <c r="B59" s="2">
        <v>0.030665520208626</v>
      </c>
      <c r="C59" s="2">
        <v>90.257706722964</v>
      </c>
      <c r="D59" s="2">
        <v>0.032860946249715</v>
      </c>
      <c r="E59" s="2">
        <v>5.4317588717002</v>
      </c>
      <c r="F59" s="2">
        <v>0.82470670024387</v>
      </c>
      <c r="G59" s="2">
        <v>20849972.578755</v>
      </c>
      <c r="H59" s="2">
        <v>33390097.198805</v>
      </c>
      <c r="I59" s="2">
        <v>-0.016274865137742</v>
      </c>
      <c r="J59" s="2">
        <v>-0.014322008519991</v>
      </c>
      <c r="K59" s="2">
        <v>0.031897765798027</v>
      </c>
      <c r="L59" s="2">
        <v>-0.42708924475372</v>
      </c>
      <c r="M59" s="2">
        <v>-0.42539677876452</v>
      </c>
      <c r="N59" s="2">
        <v>627.82510043804</v>
      </c>
      <c r="O59" s="2">
        <v>709.46160145667</v>
      </c>
    </row>
    <row r="60" spans="1:15">
      <c r="A60" s="2">
        <v>11.006684939098</v>
      </c>
      <c r="B60" s="2">
        <v>0.031269461120392</v>
      </c>
      <c r="C60" s="2">
        <v>90.25661740044</v>
      </c>
      <c r="D60" s="2">
        <v>0.033472794104909</v>
      </c>
      <c r="E60" s="2">
        <v>5.4366416947567</v>
      </c>
      <c r="F60" s="2">
        <v>0.82155421467663</v>
      </c>
      <c r="G60" s="2">
        <v>20963289.778447</v>
      </c>
      <c r="H60" s="2">
        <v>34052588.042698</v>
      </c>
      <c r="I60" s="2">
        <v>-0.016581329089141</v>
      </c>
      <c r="J60" s="2">
        <v>-0.014593253369091</v>
      </c>
      <c r="K60" s="2">
        <v>0.032478470975171</v>
      </c>
      <c r="L60" s="2">
        <v>-0.4352267080287</v>
      </c>
      <c r="M60" s="2">
        <v>-0.4334201839819</v>
      </c>
      <c r="N60" s="2">
        <v>629.36385178669</v>
      </c>
      <c r="O60" s="2">
        <v>711.32568226247</v>
      </c>
    </row>
    <row r="61" spans="1:15">
      <c r="A61" s="2">
        <v>11.206684939098</v>
      </c>
      <c r="B61" s="2">
        <v>0.031873381490623</v>
      </c>
      <c r="C61" s="2">
        <v>90.25553118024</v>
      </c>
      <c r="D61" s="2">
        <v>0.034084611649841</v>
      </c>
      <c r="E61" s="2">
        <v>5.4415349283762</v>
      </c>
      <c r="F61" s="2">
        <v>0.8184039439856</v>
      </c>
      <c r="G61" s="2">
        <v>21077086.17541</v>
      </c>
      <c r="H61" s="2">
        <v>34717134.790212</v>
      </c>
      <c r="I61" s="2">
        <v>-0.016887566709933</v>
      </c>
      <c r="J61" s="2">
        <v>-0.014864397574448</v>
      </c>
      <c r="K61" s="2">
        <v>0.033058833691384</v>
      </c>
      <c r="L61" s="2">
        <v>-0.44338322669593</v>
      </c>
      <c r="M61" s="2">
        <v>-0.44146914164514</v>
      </c>
      <c r="N61" s="2">
        <v>630.89533221254</v>
      </c>
      <c r="O61" s="2">
        <v>713.18101584089</v>
      </c>
    </row>
    <row r="62" spans="1:15">
      <c r="A62" s="2">
        <v>11.406684939098</v>
      </c>
      <c r="B62" s="2">
        <v>0.032477285708463</v>
      </c>
      <c r="C62" s="2">
        <v>90.254448302085</v>
      </c>
      <c r="D62" s="2">
        <v>0.034696402081441</v>
      </c>
      <c r="E62" s="2">
        <v>5.4464380996368</v>
      </c>
      <c r="F62" s="2">
        <v>0.81525624957198</v>
      </c>
      <c r="G62" s="2">
        <v>21191355.103502</v>
      </c>
      <c r="H62" s="2">
        <v>35383703.053241</v>
      </c>
      <c r="I62" s="2">
        <v>-0.017193579135894</v>
      </c>
      <c r="J62" s="2">
        <v>-0.015135440473754</v>
      </c>
      <c r="K62" s="2">
        <v>0.033638854366644</v>
      </c>
      <c r="L62" s="2">
        <v>-0.45153807497318</v>
      </c>
      <c r="M62" s="2">
        <v>-0.44950832942748</v>
      </c>
      <c r="N62" s="2">
        <v>632.41944637173</v>
      </c>
      <c r="O62" s="2">
        <v>715.02761517283</v>
      </c>
    </row>
    <row r="63" spans="1:15">
      <c r="A63" s="2">
        <v>11.606684939098</v>
      </c>
      <c r="B63" s="2">
        <v>0.033081175174797</v>
      </c>
      <c r="C63" s="2">
        <v>90.253367990223</v>
      </c>
      <c r="D63" s="2">
        <v>0.035308168311559</v>
      </c>
      <c r="E63" s="2">
        <v>5.4513505754709</v>
      </c>
      <c r="F63" s="2">
        <v>0.81211042104541</v>
      </c>
      <c r="G63" s="2">
        <v>21306090.077389</v>
      </c>
      <c r="H63" s="2">
        <v>36052259.544704</v>
      </c>
      <c r="I63" s="2">
        <v>-0.017499368253668</v>
      </c>
      <c r="J63" s="2">
        <v>-0.015406380206474</v>
      </c>
      <c r="K63" s="2">
        <v>0.034218533403054</v>
      </c>
      <c r="L63" s="2">
        <v>-0.45974111689256</v>
      </c>
      <c r="M63" s="2">
        <v>-0.45759075098186</v>
      </c>
      <c r="N63" s="2">
        <v>633.93650111397</v>
      </c>
      <c r="O63" s="2">
        <v>716.86589675935</v>
      </c>
    </row>
    <row r="64" spans="1:15">
      <c r="A64" s="2">
        <v>11.806684939098</v>
      </c>
      <c r="B64" s="2">
        <v>0.033685057446545</v>
      </c>
      <c r="C64" s="2">
        <v>90.25229068687</v>
      </c>
      <c r="D64" s="2">
        <v>0.035919914023735</v>
      </c>
      <c r="E64" s="2">
        <v>5.4562716298513</v>
      </c>
      <c r="F64" s="2">
        <v>0.80896672271623</v>
      </c>
      <c r="G64" s="2">
        <v>21421285.052915</v>
      </c>
      <c r="H64" s="2">
        <v>36722773.411896</v>
      </c>
      <c r="I64" s="2">
        <v>-0.017804937931128</v>
      </c>
      <c r="J64" s="2">
        <v>-0.015677214281824</v>
      </c>
      <c r="K64" s="2">
        <v>0.0347978711992</v>
      </c>
      <c r="L64" s="2">
        <v>-0.46790149064402</v>
      </c>
      <c r="M64" s="2">
        <v>-0.46564105702451</v>
      </c>
      <c r="N64" s="2">
        <v>635.44583423615</v>
      </c>
      <c r="O64" s="2">
        <v>718.69528863661</v>
      </c>
    </row>
    <row r="65" spans="1:15">
      <c r="A65" s="2">
        <v>12.006684939098</v>
      </c>
      <c r="B65" s="2">
        <v>0.034288933005089</v>
      </c>
      <c r="C65" s="2">
        <v>90.251216263347</v>
      </c>
      <c r="D65" s="2">
        <v>0.036531641720728</v>
      </c>
      <c r="E65" s="2">
        <v>5.4612008835581</v>
      </c>
      <c r="F65" s="2">
        <v>0.80582523953771</v>
      </c>
      <c r="G65" s="2">
        <v>21536933.361406</v>
      </c>
      <c r="H65" s="2">
        <v>37395210.323533</v>
      </c>
      <c r="I65" s="2">
        <v>-0.018110288721346</v>
      </c>
      <c r="J65" s="2">
        <v>-0.015947941766157</v>
      </c>
      <c r="K65" s="2">
        <v>0.035376868163043</v>
      </c>
      <c r="L65" s="2">
        <v>-0.47610464825109</v>
      </c>
      <c r="M65" s="2">
        <v>-0.47372455792356</v>
      </c>
      <c r="N65" s="2">
        <v>636.9479947174</v>
      </c>
      <c r="O65" s="2">
        <v>720.51649231132</v>
      </c>
    </row>
    <row r="66" spans="1:15">
      <c r="A66" s="2">
        <v>12.206684939098</v>
      </c>
      <c r="B66" s="2">
        <v>0.03489280261173</v>
      </c>
      <c r="C66" s="2">
        <v>90.25014472427</v>
      </c>
      <c r="D66" s="2">
        <v>0.037143354082231</v>
      </c>
      <c r="E66" s="2">
        <v>5.4661381437265</v>
      </c>
      <c r="F66" s="2">
        <v>0.80268599094118</v>
      </c>
      <c r="G66" s="2">
        <v>21653028.354303</v>
      </c>
      <c r="H66" s="2">
        <v>38069536.032663</v>
      </c>
      <c r="I66" s="2">
        <v>-0.018415421152921</v>
      </c>
      <c r="J66" s="2">
        <v>-0.016218561398656</v>
      </c>
      <c r="K66" s="2">
        <v>0.035955524680949</v>
      </c>
      <c r="L66" s="2">
        <v>-0.48431285595647</v>
      </c>
      <c r="M66" s="2">
        <v>-0.48180161362185</v>
      </c>
      <c r="N66" s="2">
        <v>638.44345877474</v>
      </c>
      <c r="O66" s="2">
        <v>722.32998995137</v>
      </c>
    </row>
    <row r="67" spans="1:15">
      <c r="A67" s="2">
        <v>12.406684939098</v>
      </c>
      <c r="B67" s="2">
        <v>0.035496669644109</v>
      </c>
      <c r="C67" s="2">
        <v>90.249075967714</v>
      </c>
      <c r="D67" s="2">
        <v>0.037755053535131</v>
      </c>
      <c r="E67" s="2">
        <v>5.4710832544156</v>
      </c>
      <c r="F67" s="2">
        <v>0.79954913372846</v>
      </c>
      <c r="G67" s="2">
        <v>21769564.208575</v>
      </c>
      <c r="H67" s="2">
        <v>38745721.154532</v>
      </c>
      <c r="I67" s="2">
        <v>-0.018720337180584</v>
      </c>
      <c r="J67" s="2">
        <v>-0.016489071996302</v>
      </c>
      <c r="K67" s="2">
        <v>0.036533841142384</v>
      </c>
      <c r="L67" s="2">
        <v>-0.49253671708928</v>
      </c>
      <c r="M67" s="2">
        <v>-0.48990199040715</v>
      </c>
      <c r="N67" s="2">
        <v>639.93208416433</v>
      </c>
      <c r="O67" s="2">
        <v>724.13575684653</v>
      </c>
    </row>
    <row r="68" spans="1:15">
      <c r="A68" s="2">
        <v>12.606684939098</v>
      </c>
      <c r="B68" s="2">
        <v>0.03610053571462</v>
      </c>
      <c r="C68" s="2">
        <v>90.248010067808</v>
      </c>
      <c r="D68" s="2">
        <v>0.038366742418731</v>
      </c>
      <c r="E68" s="2">
        <v>5.4760360901843</v>
      </c>
      <c r="F68" s="2">
        <v>0.79641522366386</v>
      </c>
      <c r="G68" s="2">
        <v>21886534.76407</v>
      </c>
      <c r="H68" s="2">
        <v>39423734.359231</v>
      </c>
      <c r="I68" s="2">
        <v>-0.019025036227934</v>
      </c>
      <c r="J68" s="2">
        <v>-0.016759473669565</v>
      </c>
      <c r="K68" s="2">
        <v>0.037111817937837</v>
      </c>
      <c r="L68" s="2">
        <v>-0.50071707607645</v>
      </c>
      <c r="M68" s="2">
        <v>-0.49795366247768</v>
      </c>
      <c r="N68" s="2">
        <v>641.41414384292</v>
      </c>
      <c r="O68" s="2">
        <v>725.93400271936</v>
      </c>
    </row>
    <row r="69" spans="1:15">
      <c r="A69" s="2">
        <v>12.806684939098</v>
      </c>
      <c r="B69" s="2">
        <v>0.036704402211185</v>
      </c>
      <c r="C69" s="2">
        <v>90.246947017592</v>
      </c>
      <c r="D69" s="2">
        <v>0.038978422337847</v>
      </c>
      <c r="E69" s="2">
        <v>5.4809964825609</v>
      </c>
      <c r="F69" s="2">
        <v>0.7932842592577</v>
      </c>
      <c r="G69" s="2">
        <v>22003934.411342</v>
      </c>
      <c r="H69" s="2">
        <v>40103547.593236</v>
      </c>
      <c r="I69" s="2">
        <v>-0.019329521292958</v>
      </c>
      <c r="J69" s="2">
        <v>-0.017029764236586</v>
      </c>
      <c r="K69" s="2">
        <v>0.037689455466571</v>
      </c>
      <c r="L69" s="2">
        <v>-0.50898939663806</v>
      </c>
      <c r="M69" s="2">
        <v>-0.50610025480694</v>
      </c>
      <c r="N69" s="2">
        <v>642.88972421184</v>
      </c>
      <c r="O69" s="2">
        <v>727.7249381534</v>
      </c>
    </row>
    <row r="70" spans="1:15">
      <c r="A70" s="2">
        <v>13.006684939098</v>
      </c>
      <c r="B70" s="2">
        <v>0.037308270157388</v>
      </c>
      <c r="C70" s="2">
        <v>90.245887011384</v>
      </c>
      <c r="D70" s="2">
        <v>0.03959009485503</v>
      </c>
      <c r="E70" s="2">
        <v>5.485964415074</v>
      </c>
      <c r="F70" s="2">
        <v>0.79015671546478</v>
      </c>
      <c r="G70" s="2">
        <v>22121757.810573</v>
      </c>
      <c r="H70" s="2">
        <v>40785134.3282</v>
      </c>
      <c r="I70" s="2">
        <v>-0.019633793261961</v>
      </c>
      <c r="J70" s="2">
        <v>-0.017299943258391</v>
      </c>
      <c r="K70" s="2">
        <v>0.038266754132578</v>
      </c>
      <c r="L70" s="2">
        <v>-0.51724699396994</v>
      </c>
      <c r="M70" s="2">
        <v>-0.51422436504154</v>
      </c>
      <c r="N70" s="2">
        <v>644.3585915454</v>
      </c>
      <c r="O70" s="2">
        <v>729.50810216499</v>
      </c>
    </row>
    <row r="71" spans="1:15">
      <c r="A71" s="2">
        <v>13.206684939098</v>
      </c>
      <c r="B71" s="2">
        <v>0.037912142855038</v>
      </c>
      <c r="C71" s="2">
        <v>90.244829950722</v>
      </c>
      <c r="D71" s="2">
        <v>0.040201761885796</v>
      </c>
      <c r="E71" s="2">
        <v>4.0846893551151</v>
      </c>
      <c r="F71" s="2">
        <v>0.78703278403344</v>
      </c>
      <c r="G71" s="2">
        <v>22239999.399579</v>
      </c>
      <c r="H71" s="2">
        <v>41468466.86675</v>
      </c>
      <c r="I71" s="2">
        <v>-0.01993785489368</v>
      </c>
      <c r="J71" s="2">
        <v>-0.017570007785592</v>
      </c>
      <c r="K71" s="2">
        <v>0.038843714332878</v>
      </c>
      <c r="L71" s="2">
        <v>-0.52548957337574</v>
      </c>
      <c r="M71" s="2">
        <v>-0.52232864540527</v>
      </c>
      <c r="N71" s="2">
        <v>645.82098516842</v>
      </c>
      <c r="O71" s="2">
        <v>731.2838382794</v>
      </c>
    </row>
    <row r="72" spans="1:15">
      <c r="A72" s="2">
        <v>13.406684939098</v>
      </c>
      <c r="B72" s="2">
        <v>0.038516021560695</v>
      </c>
      <c r="C72" s="2">
        <v>90.243775883764</v>
      </c>
      <c r="D72" s="2">
        <v>0.040813424870073</v>
      </c>
      <c r="E72" s="2">
        <v>4.0896709869062</v>
      </c>
      <c r="F72" s="2">
        <v>0.78391282748822</v>
      </c>
      <c r="G72" s="2">
        <v>22358654.223641</v>
      </c>
      <c r="H72" s="2">
        <v>42153520.958609</v>
      </c>
      <c r="I72" s="2">
        <v>-0.020241707796476</v>
      </c>
      <c r="J72" s="2">
        <v>-0.017839957542849</v>
      </c>
      <c r="K72" s="2">
        <v>0.039420336442963</v>
      </c>
      <c r="L72" s="2">
        <v>-0.53377816988615</v>
      </c>
      <c r="M72" s="2">
        <v>-0.53046691520761</v>
      </c>
      <c r="N72" s="2">
        <v>647.2765689583</v>
      </c>
      <c r="O72" s="2">
        <v>733.05166014132</v>
      </c>
    </row>
    <row r="73" spans="1:15">
      <c r="A73" s="2">
        <v>13.606684939098</v>
      </c>
      <c r="B73" s="2">
        <v>0.039119905677784</v>
      </c>
      <c r="C73" s="2">
        <v>90.242725209487</v>
      </c>
      <c r="D73" s="2">
        <v>0.041425084721266</v>
      </c>
      <c r="E73" s="2">
        <v>4.0946587601535</v>
      </c>
      <c r="F73" s="2">
        <v>0.78079724743517</v>
      </c>
      <c r="G73" s="2">
        <v>22477716.600066</v>
      </c>
      <c r="H73" s="2">
        <v>42840268.122485</v>
      </c>
      <c r="I73" s="2">
        <v>-0.020545354610772</v>
      </c>
      <c r="J73" s="2">
        <v>-0.018109789325642</v>
      </c>
      <c r="K73" s="2">
        <v>0.039996620874851</v>
      </c>
      <c r="L73" s="2">
        <v>-0.54207725495053</v>
      </c>
      <c r="M73" s="2">
        <v>-0.53863082396919</v>
      </c>
      <c r="N73" s="2">
        <v>648.72578241794</v>
      </c>
      <c r="O73" s="2">
        <v>734.8119818359</v>
      </c>
    </row>
    <row r="74" spans="1:15">
      <c r="A74" s="2">
        <v>13.806684939098</v>
      </c>
      <c r="B74" s="2">
        <v>0.039723794994167</v>
      </c>
      <c r="C74" s="2">
        <v>90.241677826457</v>
      </c>
      <c r="D74" s="2">
        <v>0.042036742275929</v>
      </c>
      <c r="E74" s="2">
        <v>4.0996525248263</v>
      </c>
      <c r="F74" s="2">
        <v>0.77768623123513</v>
      </c>
      <c r="G74" s="2">
        <v>22597181.13828</v>
      </c>
      <c r="H74" s="2">
        <v>43528681.716001</v>
      </c>
      <c r="I74" s="2">
        <v>-0.02084879767913</v>
      </c>
      <c r="J74" s="2">
        <v>-0.018379500364478</v>
      </c>
      <c r="K74" s="2">
        <v>0.04057256802915</v>
      </c>
      <c r="L74" s="2">
        <v>-0.55040628585561</v>
      </c>
      <c r="M74" s="2">
        <v>-0.54682640332595</v>
      </c>
      <c r="N74" s="2">
        <v>650.16904529547</v>
      </c>
      <c r="O74" s="2">
        <v>736.56522432243</v>
      </c>
    </row>
    <row r="75" spans="1:15">
      <c r="A75" s="2">
        <v>14.006684939098</v>
      </c>
      <c r="B75" s="2">
        <v>0.040327692326228</v>
      </c>
      <c r="C75" s="2">
        <v>90.240633870807</v>
      </c>
      <c r="D75" s="2">
        <v>0.042648399291017</v>
      </c>
      <c r="E75" s="2">
        <v>4.1046521749892</v>
      </c>
      <c r="F75" s="2">
        <v>0.77458009902281</v>
      </c>
      <c r="G75" s="2">
        <v>22717043.418865</v>
      </c>
      <c r="H75" s="2">
        <v>44218740.640464</v>
      </c>
      <c r="I75" s="2">
        <v>-0.021152039173638</v>
      </c>
      <c r="J75" s="2">
        <v>-0.018649089692518</v>
      </c>
      <c r="K75" s="2">
        <v>0.041148178302063</v>
      </c>
      <c r="L75" s="2">
        <v>-0.55871351485611</v>
      </c>
      <c r="M75" s="2">
        <v>-0.55498780290728</v>
      </c>
      <c r="N75" s="2">
        <v>651.60583807753</v>
      </c>
      <c r="O75" s="2">
        <v>738.31068900264</v>
      </c>
    </row>
    <row r="76" spans="1:15">
      <c r="A76" s="2">
        <v>14.206684939098</v>
      </c>
      <c r="B76" s="2">
        <v>0.040931596634225</v>
      </c>
      <c r="C76" s="2">
        <v>90.239593328283</v>
      </c>
      <c r="D76" s="2">
        <v>0.043260056375986</v>
      </c>
      <c r="E76" s="2">
        <v>4.1096569289616</v>
      </c>
      <c r="F76" s="2">
        <v>0.77147940048538</v>
      </c>
      <c r="G76" s="2">
        <v>22837297.849532</v>
      </c>
      <c r="H76" s="2">
        <v>44910416.97318</v>
      </c>
      <c r="I76" s="2">
        <v>-0.021455082106768</v>
      </c>
      <c r="J76" s="2">
        <v>-0.018918553725204</v>
      </c>
      <c r="K76" s="2">
        <v>0.041723452092928</v>
      </c>
      <c r="L76" s="2">
        <v>-0.56708037882023</v>
      </c>
      <c r="M76" s="2">
        <v>-0.56321234984857</v>
      </c>
      <c r="N76" s="2">
        <v>653.03681508986</v>
      </c>
      <c r="O76" s="2">
        <v>740.04919611256</v>
      </c>
    </row>
    <row r="77" spans="1:15">
      <c r="A77" s="2">
        <v>14.406684939098</v>
      </c>
      <c r="B77" s="2">
        <v>0.041535510479626</v>
      </c>
      <c r="C77" s="2">
        <v>90.238556070823</v>
      </c>
      <c r="D77" s="2">
        <v>0.043871715019444</v>
      </c>
      <c r="E77" s="2">
        <v>4.1146663709717</v>
      </c>
      <c r="F77" s="2">
        <v>0.76838424722961</v>
      </c>
      <c r="G77" s="2">
        <v>22957940.088563</v>
      </c>
      <c r="H77" s="2">
        <v>45603690.059348</v>
      </c>
      <c r="I77" s="2">
        <v>-0.021757929544763</v>
      </c>
      <c r="J77" s="2">
        <v>-0.019187890392941</v>
      </c>
      <c r="K77" s="2">
        <v>0.042298389795083</v>
      </c>
      <c r="L77" s="2">
        <v>-0.57545085309631</v>
      </c>
      <c r="M77" s="2">
        <v>-0.57142317887385</v>
      </c>
      <c r="N77" s="2">
        <v>654.4615287416</v>
      </c>
      <c r="O77" s="2">
        <v>741.78007699969</v>
      </c>
    </row>
    <row r="78" spans="1:15">
      <c r="A78" s="2">
        <v>14.606684939098</v>
      </c>
      <c r="B78" s="2">
        <v>0.042139435547197</v>
      </c>
      <c r="C78" s="2">
        <v>90.237521958784</v>
      </c>
      <c r="D78" s="2">
        <v>0.044483377131995</v>
      </c>
      <c r="E78" s="2">
        <v>4.1196800582479</v>
      </c>
      <c r="F78" s="2">
        <v>0.76529496108091</v>
      </c>
      <c r="G78" s="2">
        <v>23078964.790952</v>
      </c>
      <c r="H78" s="2">
        <v>46298533.265403</v>
      </c>
      <c r="I78" s="2">
        <v>-0.022060582679944</v>
      </c>
      <c r="J78" s="2">
        <v>-0.019457098545399</v>
      </c>
      <c r="K78" s="2">
        <v>0.042872991809411</v>
      </c>
      <c r="L78" s="2">
        <v>-0.58381839987615</v>
      </c>
      <c r="M78" s="2">
        <v>-0.57966553935478</v>
      </c>
      <c r="N78" s="2">
        <v>655.88019897689</v>
      </c>
      <c r="O78" s="2">
        <v>743.50362996473</v>
      </c>
    </row>
    <row r="79" spans="1:15">
      <c r="A79" s="2">
        <v>14.806684939098</v>
      </c>
      <c r="B79" s="2">
        <v>0.04274336888334</v>
      </c>
      <c r="C79" s="2">
        <v>90.236491787229</v>
      </c>
      <c r="D79" s="2">
        <v>0.045095043290351</v>
      </c>
      <c r="E79" s="2">
        <v>4.124697197131</v>
      </c>
      <c r="F79" s="2">
        <v>0.76221147840605</v>
      </c>
      <c r="G79" s="2">
        <v>23200366.45715</v>
      </c>
      <c r="H79" s="2">
        <v>46994919.000532</v>
      </c>
      <c r="I79" s="2">
        <v>-0.022363043091488</v>
      </c>
      <c r="J79" s="2">
        <v>-0.019726175705383</v>
      </c>
      <c r="K79" s="2">
        <v>0.043447258542173</v>
      </c>
      <c r="L79" s="2">
        <v>-0.59220521167702</v>
      </c>
      <c r="M79" s="2">
        <v>-0.58790317224824</v>
      </c>
      <c r="N79" s="2">
        <v>657.2934679915</v>
      </c>
      <c r="O79" s="2">
        <v>745.22056095726</v>
      </c>
    </row>
    <row r="80" spans="1:15">
      <c r="A80" s="2">
        <v>15.006684939098</v>
      </c>
      <c r="B80" s="2">
        <v>0.043347315612473</v>
      </c>
      <c r="C80" s="2">
        <v>90.235463109004</v>
      </c>
      <c r="D80" s="2">
        <v>0.045706715352267</v>
      </c>
      <c r="E80" s="2">
        <v>4.129717019156</v>
      </c>
      <c r="F80" s="2">
        <v>0.75913443514521</v>
      </c>
      <c r="G80" s="2">
        <v>23322140.616808</v>
      </c>
      <c r="H80" s="2">
        <v>47692825.769864</v>
      </c>
      <c r="I80" s="2">
        <v>-0.022665313145033</v>
      </c>
      <c r="J80" s="2">
        <v>-0.019995120674943</v>
      </c>
      <c r="K80" s="2">
        <v>0.044021190391461</v>
      </c>
      <c r="L80" s="2">
        <v>-0.60060012590432</v>
      </c>
      <c r="M80" s="2">
        <v>-0.59615269730148</v>
      </c>
      <c r="N80" s="2">
        <v>658.70092257083</v>
      </c>
      <c r="O80" s="2">
        <v>746.93053199234</v>
      </c>
    </row>
    <row r="81" spans="1:15">
      <c r="A81" s="2">
        <v>15.206684939098</v>
      </c>
      <c r="B81" s="2">
        <v>0.043951279468324</v>
      </c>
      <c r="C81" s="2">
        <v>90.234436754551</v>
      </c>
      <c r="D81" s="2">
        <v>0.046318395224967</v>
      </c>
      <c r="E81" s="2">
        <v>4.1347390596755</v>
      </c>
      <c r="F81" s="2">
        <v>0.75606386840857</v>
      </c>
      <c r="G81" s="2">
        <v>23444282.990115</v>
      </c>
      <c r="H81" s="2">
        <v>48392232.987703</v>
      </c>
      <c r="I81" s="2">
        <v>-0.022967395736496</v>
      </c>
      <c r="J81" s="2">
        <v>-0.020263932644296</v>
      </c>
      <c r="K81" s="2">
        <v>0.044594787755875</v>
      </c>
      <c r="L81" s="2">
        <v>-0.60905601130673</v>
      </c>
      <c r="M81" s="2">
        <v>-0.60445782849268</v>
      </c>
      <c r="N81" s="2">
        <v>660.10186066172</v>
      </c>
      <c r="O81" s="2">
        <v>748.63289888924</v>
      </c>
    </row>
    <row r="82" spans="1:15">
      <c r="A82" s="2">
        <v>15.406684939098</v>
      </c>
      <c r="B82" s="2">
        <v>0.044555256835684</v>
      </c>
      <c r="C82" s="2">
        <v>90.233412587205</v>
      </c>
      <c r="D82" s="2">
        <v>0.046930083688361</v>
      </c>
      <c r="E82" s="2">
        <v>4.1397630238287</v>
      </c>
      <c r="F82" s="2">
        <v>0.7530000947539</v>
      </c>
      <c r="G82" s="2">
        <v>23566787.816943</v>
      </c>
      <c r="H82" s="2">
        <v>49093111.591188</v>
      </c>
      <c r="I82" s="2">
        <v>-0.023269289326248</v>
      </c>
      <c r="J82" s="2">
        <v>-0.020532611124118</v>
      </c>
      <c r="K82" s="2">
        <v>0.045168051028433</v>
      </c>
      <c r="L82" s="2">
        <v>-0.61751089429914</v>
      </c>
      <c r="M82" s="2">
        <v>-0.61274799465177</v>
      </c>
      <c r="N82" s="2">
        <v>661.49732956516</v>
      </c>
      <c r="O82" s="2">
        <v>750.32873547118</v>
      </c>
    </row>
    <row r="83" spans="1:15">
      <c r="A83" s="2">
        <v>15.606684939098</v>
      </c>
      <c r="B83" s="2">
        <v>0.045159251608032</v>
      </c>
      <c r="C83" s="2">
        <v>90.232390687184</v>
      </c>
      <c r="D83" s="2">
        <v>0.047541782696078</v>
      </c>
      <c r="E83" s="2">
        <v>4.1447873558818</v>
      </c>
      <c r="F83" s="2">
        <v>0.74994318867364</v>
      </c>
      <c r="G83" s="2">
        <v>23689650.312867</v>
      </c>
      <c r="H83" s="2">
        <v>49795438.056938</v>
      </c>
      <c r="I83" s="2">
        <v>-0.023570995443699</v>
      </c>
      <c r="J83" s="2">
        <v>-0.020801155780551</v>
      </c>
      <c r="K83" s="2">
        <v>0.045740980627114</v>
      </c>
      <c r="L83" s="2">
        <v>-0.62598584118956</v>
      </c>
      <c r="M83" s="2">
        <v>-0.62109667496895</v>
      </c>
      <c r="N83" s="2">
        <v>662.88705837164</v>
      </c>
      <c r="O83" s="2">
        <v>752.0179413765</v>
      </c>
    </row>
    <row r="84" spans="1:15">
      <c r="A84" s="2">
        <v>15.806684939098</v>
      </c>
      <c r="B84" s="2">
        <v>0.045763265913528</v>
      </c>
      <c r="C84" s="2">
        <v>90.231370681295</v>
      </c>
      <c r="D84" s="2">
        <v>0.048153493270983</v>
      </c>
      <c r="E84" s="2">
        <v>4.1498125160499</v>
      </c>
      <c r="F84" s="2">
        <v>0.74689340031366</v>
      </c>
      <c r="G84" s="2">
        <v>23812866.436451</v>
      </c>
      <c r="H84" s="2">
        <v>50499193.255281</v>
      </c>
      <c r="I84" s="2">
        <v>-0.023872514325957</v>
      </c>
      <c r="J84" s="2">
        <v>-0.021069567407138</v>
      </c>
      <c r="K84" s="2">
        <v>0.046313576942772</v>
      </c>
      <c r="L84" s="2">
        <v>-0.63448782182333</v>
      </c>
      <c r="M84" s="2">
        <v>-0.62942990297151</v>
      </c>
      <c r="N84" s="2">
        <v>664.27065614265</v>
      </c>
      <c r="O84" s="2">
        <v>753.700063794</v>
      </c>
    </row>
    <row r="85" spans="1:15">
      <c r="A85" s="2">
        <v>16.006684939098</v>
      </c>
      <c r="B85" s="2">
        <v>0.04636729775868</v>
      </c>
      <c r="C85" s="2">
        <v>90.23035246688</v>
      </c>
      <c r="D85" s="2">
        <v>0.048765216079886</v>
      </c>
      <c r="E85" s="2">
        <v>4.1548375146367</v>
      </c>
      <c r="F85" s="2">
        <v>0.74385094785644</v>
      </c>
      <c r="G85" s="2">
        <v>23936430.796043</v>
      </c>
      <c r="H85" s="2">
        <v>51204350.227829</v>
      </c>
      <c r="I85" s="2">
        <v>-0.024173846314664</v>
      </c>
      <c r="J85" s="2">
        <v>-0.021337844467823</v>
      </c>
      <c r="K85" s="2">
        <v>0.046885840375739</v>
      </c>
      <c r="L85" s="2">
        <v>-0.64299161571281</v>
      </c>
      <c r="M85" s="2">
        <v>-0.63777467753705</v>
      </c>
      <c r="N85" s="2">
        <v>665.64891304305</v>
      </c>
      <c r="O85" s="2">
        <v>755.37595894023</v>
      </c>
    </row>
    <row r="86" spans="1:15">
      <c r="A86" s="2">
        <v>16.206684939098</v>
      </c>
      <c r="B86" s="2">
        <v>0.046971349330855</v>
      </c>
      <c r="C86" s="2">
        <v>90.229336207295</v>
      </c>
      <c r="D86" s="2">
        <v>0.04937695242899</v>
      </c>
      <c r="E86" s="2">
        <v>4.1598619304205</v>
      </c>
      <c r="F86" s="2">
        <v>0.74081627853252</v>
      </c>
      <c r="G86" s="2">
        <v>24060338.994114</v>
      </c>
      <c r="H86" s="2">
        <v>51910887.731091</v>
      </c>
      <c r="I86" s="2">
        <v>-0.024474990595399</v>
      </c>
      <c r="J86" s="2">
        <v>-0.021605988898314</v>
      </c>
      <c r="K86" s="2">
        <v>0.047457771328507</v>
      </c>
      <c r="L86" s="2">
        <v>-0.65154955438722</v>
      </c>
      <c r="M86" s="2">
        <v>-0.64617572635214</v>
      </c>
      <c r="N86" s="2">
        <v>667.02157348817</v>
      </c>
      <c r="O86" s="2">
        <v>757.04542132413</v>
      </c>
    </row>
    <row r="87" spans="1:15">
      <c r="A87" s="2">
        <v>16.406684939098</v>
      </c>
      <c r="B87" s="2">
        <v>0.04757542227705</v>
      </c>
      <c r="C87" s="2">
        <v>90.228321406152</v>
      </c>
      <c r="D87" s="2">
        <v>0.049988703562633</v>
      </c>
      <c r="E87" s="2">
        <v>4.1648856135564</v>
      </c>
      <c r="F87" s="2">
        <v>0.73778944489493</v>
      </c>
      <c r="G87" s="2">
        <v>24184586.66971</v>
      </c>
      <c r="H87" s="2">
        <v>52618784.676293</v>
      </c>
      <c r="I87" s="2">
        <v>-0.024775948187123</v>
      </c>
      <c r="J87" s="2">
        <v>-0.021874000012454</v>
      </c>
      <c r="K87" s="2">
        <v>0.048029370198759</v>
      </c>
      <c r="L87" s="2">
        <v>-0.6600927177919</v>
      </c>
      <c r="M87" s="2">
        <v>-0.6545462994299</v>
      </c>
      <c r="N87" s="2">
        <v>668.38850981939</v>
      </c>
      <c r="O87" s="2">
        <v>758.70827775364</v>
      </c>
    </row>
    <row r="88" spans="1:15">
      <c r="A88" s="2">
        <v>16.606684939098</v>
      </c>
      <c r="B88" s="2">
        <v>0.04817951420156</v>
      </c>
      <c r="C88" s="2">
        <v>90.227308313124</v>
      </c>
      <c r="D88" s="2">
        <v>0.05060047007374</v>
      </c>
      <c r="E88" s="2">
        <v>4.1699081305661</v>
      </c>
      <c r="F88" s="2">
        <v>0.73477064652998</v>
      </c>
      <c r="G88" s="2">
        <v>24309168.569459</v>
      </c>
      <c r="H88" s="2">
        <v>53328014.85584</v>
      </c>
      <c r="I88" s="2">
        <v>-0.025076719202864</v>
      </c>
      <c r="J88" s="2">
        <v>-0.022141876797965</v>
      </c>
      <c r="K88" s="2">
        <v>0.048600637387236</v>
      </c>
      <c r="L88" s="2">
        <v>-0.66865949402695</v>
      </c>
      <c r="M88" s="2">
        <v>-0.66294471570046</v>
      </c>
      <c r="N88" s="2">
        <v>669.75047624568</v>
      </c>
      <c r="O88" s="2">
        <v>760.36533483426</v>
      </c>
    </row>
    <row r="89" spans="1:15">
      <c r="A89" s="2">
        <v>16.806684939098</v>
      </c>
      <c r="B89" s="2">
        <v>0.048783627686057</v>
      </c>
      <c r="C89" s="2">
        <v>90.226296603753</v>
      </c>
      <c r="D89" s="2">
        <v>0.051212253305734</v>
      </c>
      <c r="E89" s="2">
        <v>4.1749292019545</v>
      </c>
      <c r="F89" s="2">
        <v>0.731760148333</v>
      </c>
      <c r="G89" s="2">
        <v>24434080.725094</v>
      </c>
      <c r="H89" s="2">
        <v>54038559.382925</v>
      </c>
      <c r="I89" s="2">
        <v>-0.025377304294589</v>
      </c>
      <c r="J89" s="2">
        <v>-0.022409619923484</v>
      </c>
      <c r="K89" s="2">
        <v>0.049171573273374</v>
      </c>
      <c r="L89" s="2">
        <v>-0.67724300101399</v>
      </c>
      <c r="M89" s="2">
        <v>-0.67135187676091</v>
      </c>
      <c r="N89" s="2">
        <v>671.10699760439</v>
      </c>
      <c r="O89" s="2">
        <v>762.01616382927</v>
      </c>
    </row>
    <row r="90" spans="1:15">
      <c r="A90" s="2">
        <v>17</v>
      </c>
      <c r="B90" s="2">
        <v>0.049367461866632</v>
      </c>
      <c r="C90" s="2">
        <v>90.225320892961</v>
      </c>
      <c r="D90" s="2">
        <v>0.051803591396221</v>
      </c>
      <c r="E90" s="2">
        <v>4.1797806292216</v>
      </c>
      <c r="F90" s="2">
        <v>0.72885921297382</v>
      </c>
      <c r="G90" s="2">
        <v>24555104.977098</v>
      </c>
      <c r="H90" s="2">
        <v>54726455.107571</v>
      </c>
      <c r="I90" s="2">
        <v>-0.025667643549957</v>
      </c>
      <c r="J90" s="2">
        <v>-0.022668264741811</v>
      </c>
      <c r="K90" s="2">
        <v>0.049723111356618</v>
      </c>
      <c r="L90" s="2">
        <v>-0.68506789498927</v>
      </c>
      <c r="M90" s="2">
        <v>-0.67892670937901</v>
      </c>
      <c r="N90" s="2">
        <v>672.43520735717</v>
      </c>
      <c r="O90" s="2">
        <v>763.62894731271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6"/>
  <sheetViews>
    <sheetView topLeftCell="A49" workbookViewId="0">
      <selection activeCell="A1" sqref="A1:O72"/>
    </sheetView>
  </sheetViews>
  <sheetFormatPr defaultColWidth="8.81333333333333" defaultRowHeight="15"/>
  <cols>
    <col min="2" max="2" width="12.5"/>
  </cols>
  <sheetData>
    <row r="1" spans="1:39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>
      <c r="A3" s="2">
        <v>0.0025830812468784</v>
      </c>
      <c r="B3" s="3">
        <v>4.9734611194145e-59</v>
      </c>
      <c r="C3" s="2">
        <v>90.287234003276</v>
      </c>
      <c r="D3" s="3">
        <v>6.8629674595694e-6</v>
      </c>
      <c r="E3" s="2">
        <v>6.6107821995972</v>
      </c>
      <c r="F3" s="2">
        <v>0.9920392498521</v>
      </c>
      <c r="G3" s="2">
        <v>16000000</v>
      </c>
      <c r="H3" s="2">
        <v>4000000</v>
      </c>
      <c r="I3" s="3">
        <v>-2.0508332940263e-6</v>
      </c>
      <c r="J3" s="3">
        <v>-1.8839458297131e-6</v>
      </c>
      <c r="K3" s="3">
        <v>7.7492133919981e-6</v>
      </c>
      <c r="L3" s="3">
        <v>-9.1805925458066e-8</v>
      </c>
      <c r="M3" s="3">
        <v>-9.0437121193626e-8</v>
      </c>
      <c r="N3" s="2">
        <v>1.8236769201752</v>
      </c>
      <c r="O3" s="2">
        <v>1.8934483319625</v>
      </c>
      <c r="P3" s="3"/>
      <c r="Q3" s="3"/>
      <c r="R3" s="3"/>
      <c r="S3" s="3"/>
      <c r="T3" s="3"/>
      <c r="U3" s="2"/>
      <c r="V3" s="3"/>
      <c r="W3" s="3"/>
      <c r="X3" s="3"/>
      <c r="Y3" s="3"/>
      <c r="Z3" s="3"/>
      <c r="AA3" s="3"/>
      <c r="AB3" s="3"/>
      <c r="AC3" s="2"/>
      <c r="AD3" s="2"/>
      <c r="AE3" s="2"/>
      <c r="AF3" s="2"/>
      <c r="AG3" s="3"/>
      <c r="AH3" s="3"/>
      <c r="AI3" s="3"/>
      <c r="AJ3" s="3"/>
      <c r="AK3" s="3"/>
      <c r="AL3" s="2"/>
      <c r="AM3" s="2"/>
    </row>
    <row r="4" spans="1:39">
      <c r="A4" s="2">
        <v>0.018444056862426</v>
      </c>
      <c r="B4" s="3">
        <v>4.0358508874805e-51</v>
      </c>
      <c r="C4" s="2">
        <v>90.287520984663</v>
      </c>
      <c r="D4" s="3">
        <v>4.9005581533315e-5</v>
      </c>
      <c r="E4" s="2">
        <v>6.6107880155523</v>
      </c>
      <c r="F4" s="2">
        <v>0.99208836309819</v>
      </c>
      <c r="G4" s="2">
        <v>16000000</v>
      </c>
      <c r="H4" s="2">
        <v>4000000</v>
      </c>
      <c r="I4" s="3">
        <v>-1.4645712083784e-5</v>
      </c>
      <c r="J4" s="3">
        <v>-1.3453917292186e-5</v>
      </c>
      <c r="K4" s="3">
        <v>5.5330623329729e-5</v>
      </c>
      <c r="L4" s="3">
        <v>-4.6769654405888e-6</v>
      </c>
      <c r="M4" s="3">
        <v>-4.6076732019209e-6</v>
      </c>
      <c r="N4" s="2">
        <v>13.025053372764</v>
      </c>
      <c r="O4" s="2">
        <v>13.523205760565</v>
      </c>
      <c r="P4" s="3"/>
      <c r="Q4" s="3"/>
      <c r="R4" s="3"/>
      <c r="S4" s="3"/>
      <c r="T4" s="3"/>
      <c r="U4" s="2"/>
      <c r="V4" s="3"/>
      <c r="W4" s="3"/>
      <c r="X4" s="3"/>
      <c r="Y4" s="3"/>
      <c r="Z4" s="3"/>
      <c r="AA4" s="3"/>
      <c r="AB4" s="3"/>
      <c r="AC4" s="2"/>
      <c r="AD4" s="2"/>
      <c r="AE4" s="2"/>
      <c r="AF4" s="2"/>
      <c r="AG4" s="3"/>
      <c r="AH4" s="3"/>
      <c r="AI4" s="3"/>
      <c r="AJ4" s="3"/>
      <c r="AK4" s="3"/>
      <c r="AL4" s="2"/>
      <c r="AM4" s="2"/>
    </row>
    <row r="5" spans="1:39">
      <c r="A5" s="2">
        <v>0.1</v>
      </c>
      <c r="B5" s="3">
        <v>3.251557074804e-35</v>
      </c>
      <c r="C5" s="2">
        <v>90.289037025209</v>
      </c>
      <c r="D5" s="2">
        <v>0.00026574977614505</v>
      </c>
      <c r="E5" s="2">
        <v>6.6108174508126</v>
      </c>
      <c r="F5" s="2">
        <v>0.99234065575988</v>
      </c>
      <c r="G5" s="2">
        <v>16000000</v>
      </c>
      <c r="H5" s="2">
        <v>4000000</v>
      </c>
      <c r="I5" s="3">
        <v>-7.9472521509719e-5</v>
      </c>
      <c r="J5" s="3">
        <v>-7.3005636470211e-5</v>
      </c>
      <c r="K5" s="2">
        <v>0.00029995452417871</v>
      </c>
      <c r="L5" s="2">
        <v>-0.00013597069263322</v>
      </c>
      <c r="M5" s="2">
        <v>-0.00013407438775517</v>
      </c>
      <c r="N5" s="2">
        <v>70.725428155972</v>
      </c>
      <c r="O5" s="2">
        <v>73.425246557149</v>
      </c>
      <c r="P5" s="3"/>
      <c r="Q5" s="3"/>
      <c r="R5" s="3"/>
      <c r="S5" s="3"/>
      <c r="T5" s="3"/>
      <c r="U5" s="2"/>
      <c r="V5" s="3"/>
      <c r="W5" s="3"/>
      <c r="X5" s="3"/>
      <c r="Y5" s="3"/>
      <c r="Z5" s="3"/>
      <c r="AA5" s="3"/>
      <c r="AB5" s="3"/>
      <c r="AC5" s="2"/>
      <c r="AD5" s="2"/>
      <c r="AE5" s="2"/>
      <c r="AF5" s="2"/>
      <c r="AG5" s="3"/>
      <c r="AH5" s="3"/>
      <c r="AI5" s="3"/>
      <c r="AJ5" s="3"/>
      <c r="AK5" s="3"/>
      <c r="AL5" s="2"/>
      <c r="AM5" s="2"/>
    </row>
    <row r="6" spans="1:39">
      <c r="A6" s="2">
        <v>0.20668493909835</v>
      </c>
      <c r="B6" s="3">
        <v>1.4771688235313e-25</v>
      </c>
      <c r="C6" s="2">
        <v>90.291130863109</v>
      </c>
      <c r="D6" s="2">
        <v>0.0005493949509937</v>
      </c>
      <c r="E6" s="2">
        <v>6.6108549432201</v>
      </c>
      <c r="F6" s="2">
        <v>0.99267010185484</v>
      </c>
      <c r="G6" s="2">
        <v>16000000</v>
      </c>
      <c r="H6" s="2">
        <v>4000000</v>
      </c>
      <c r="I6" s="2">
        <v>-0.00016441645889012</v>
      </c>
      <c r="J6" s="2">
        <v>-0.00015103795087923</v>
      </c>
      <c r="K6" s="2">
        <v>0.00061986059329908</v>
      </c>
      <c r="L6" s="2">
        <v>-0.00058464043938618</v>
      </c>
      <c r="M6" s="2">
        <v>-0.00057642558536899</v>
      </c>
      <c r="N6" s="2">
        <v>146.43745190292</v>
      </c>
      <c r="O6" s="2">
        <v>152.01466742594</v>
      </c>
      <c r="P6" s="3"/>
      <c r="Q6" s="3"/>
      <c r="R6" s="3"/>
      <c r="S6" s="3"/>
      <c r="T6" s="3"/>
      <c r="U6" s="2"/>
      <c r="V6" s="3"/>
      <c r="W6" s="3"/>
      <c r="X6" s="3"/>
      <c r="Y6" s="3"/>
      <c r="Z6" s="3"/>
      <c r="AA6" s="3"/>
      <c r="AB6" s="3"/>
      <c r="AC6" s="2"/>
      <c r="AD6" s="2"/>
      <c r="AE6" s="2"/>
      <c r="AF6" s="2"/>
      <c r="AG6" s="3"/>
      <c r="AH6" s="3"/>
      <c r="AI6" s="2"/>
      <c r="AJ6" s="3"/>
      <c r="AK6" s="3"/>
      <c r="AL6" s="2"/>
      <c r="AM6" s="2"/>
    </row>
    <row r="7" spans="1:39">
      <c r="A7" s="2">
        <v>0.40668493909835</v>
      </c>
      <c r="B7" s="3">
        <v>2.2949708896972e-13</v>
      </c>
      <c r="C7" s="2">
        <v>90.295452930263</v>
      </c>
      <c r="D7" s="2">
        <v>0.0010815335684718</v>
      </c>
      <c r="E7" s="2">
        <v>6.6109214848639</v>
      </c>
      <c r="F7" s="2">
        <v>0.99328579249402</v>
      </c>
      <c r="G7" s="2">
        <v>16000000.000019</v>
      </c>
      <c r="H7" s="2">
        <v>4000000.0001242</v>
      </c>
      <c r="I7" s="2">
        <v>-0.00032418115262066</v>
      </c>
      <c r="J7" s="2">
        <v>-0.00029780450989402</v>
      </c>
      <c r="K7" s="2">
        <v>0.0012193031512571</v>
      </c>
      <c r="L7" s="2">
        <v>-0.0022655821110163</v>
      </c>
      <c r="M7" s="2">
        <v>-0.0022348506218597</v>
      </c>
      <c r="N7" s="2">
        <v>289.20477135265</v>
      </c>
      <c r="O7" s="2">
        <v>300.1682537858</v>
      </c>
      <c r="P7" s="3"/>
      <c r="Q7" s="3"/>
      <c r="R7" s="3"/>
      <c r="S7" s="3"/>
      <c r="T7" s="3"/>
      <c r="U7" s="2"/>
      <c r="V7" s="3"/>
      <c r="W7" s="3"/>
      <c r="X7" s="3"/>
      <c r="Y7" s="3"/>
      <c r="Z7" s="3"/>
      <c r="AA7" s="3"/>
      <c r="AB7" s="3"/>
      <c r="AC7" s="2"/>
      <c r="AD7" s="2"/>
      <c r="AE7" s="2"/>
      <c r="AF7" s="2"/>
      <c r="AG7" s="3"/>
      <c r="AH7" s="3"/>
      <c r="AI7" s="2"/>
      <c r="AJ7" s="2"/>
      <c r="AK7" s="2"/>
      <c r="AL7" s="2"/>
      <c r="AM7" s="2"/>
    </row>
    <row r="8" spans="1:39">
      <c r="A8" s="2">
        <v>0.60668493909835</v>
      </c>
      <c r="B8" s="3">
        <v>2.2970570668475e-6</v>
      </c>
      <c r="C8" s="2">
        <v>90.300400966568</v>
      </c>
      <c r="D8" s="2">
        <v>0.0016145203554716</v>
      </c>
      <c r="E8" s="2">
        <v>6.6109990358053</v>
      </c>
      <c r="F8" s="2">
        <v>0.99386371108072</v>
      </c>
      <c r="G8" s="2">
        <v>16000194.367772</v>
      </c>
      <c r="H8" s="2">
        <v>4001244.5106824</v>
      </c>
      <c r="I8" s="2">
        <v>-0.0004853574501652</v>
      </c>
      <c r="J8" s="2">
        <v>-0.00044541812419049</v>
      </c>
      <c r="K8" s="2">
        <v>0.0018183826987383</v>
      </c>
      <c r="L8" s="2">
        <v>-0.0048126881411043</v>
      </c>
      <c r="M8" s="2">
        <v>-0.0047849550902121</v>
      </c>
      <c r="N8" s="2">
        <v>432.53529382352</v>
      </c>
      <c r="O8" s="2">
        <v>448.88958200923</v>
      </c>
      <c r="P8" s="3"/>
      <c r="Q8" s="3"/>
      <c r="R8" s="3"/>
      <c r="S8" s="3"/>
      <c r="T8" s="3"/>
      <c r="U8" s="2"/>
      <c r="V8" s="3"/>
      <c r="W8" s="3"/>
      <c r="X8" s="3"/>
      <c r="Y8" s="3"/>
      <c r="Z8" s="3"/>
      <c r="AA8" s="3"/>
      <c r="AB8" s="3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>
      <c r="A9" s="2">
        <v>0.80668493909835</v>
      </c>
      <c r="B9" s="2">
        <v>0.00024245409662349</v>
      </c>
      <c r="C9" s="2">
        <v>90.304178459016</v>
      </c>
      <c r="D9" s="2">
        <v>0.0021746237751541</v>
      </c>
      <c r="E9" s="2">
        <v>6.6137613323832</v>
      </c>
      <c r="F9" s="2">
        <v>0.9938714560832</v>
      </c>
      <c r="G9" s="2">
        <v>16021208.206522</v>
      </c>
      <c r="H9" s="2">
        <v>4135666.5108008</v>
      </c>
      <c r="I9" s="2">
        <v>-0.00070121632747281</v>
      </c>
      <c r="J9" s="2">
        <v>-0.00063342369696595</v>
      </c>
      <c r="K9" s="2">
        <v>0.0024170986273128</v>
      </c>
      <c r="L9" s="2">
        <v>-0.013443472320663</v>
      </c>
      <c r="M9" s="2">
        <v>-0.012611209207642</v>
      </c>
      <c r="N9" s="2">
        <v>530.01584995467</v>
      </c>
      <c r="O9" s="2">
        <v>552.93452069416</v>
      </c>
      <c r="P9" s="3"/>
      <c r="Q9" s="3"/>
      <c r="R9" s="3"/>
      <c r="S9" s="3"/>
      <c r="T9" s="3"/>
      <c r="U9" s="2"/>
      <c r="V9" s="3"/>
      <c r="W9" s="3"/>
      <c r="X9" s="3"/>
      <c r="Y9" s="3"/>
      <c r="Z9" s="3"/>
      <c r="AA9" s="3"/>
      <c r="AB9" s="3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>
      <c r="A10" s="2">
        <v>1.0066849390983</v>
      </c>
      <c r="B10" s="2">
        <v>0.00081093360657719</v>
      </c>
      <c r="C10" s="2">
        <v>90.307734279805</v>
      </c>
      <c r="D10" s="2">
        <v>0.002768481735515</v>
      </c>
      <c r="E10" s="2">
        <v>6.6186771269528</v>
      </c>
      <c r="F10" s="2">
        <v>0.99271988058803</v>
      </c>
      <c r="G10" s="2">
        <v>16074931.304847</v>
      </c>
      <c r="H10" s="2">
        <v>4478714.349515</v>
      </c>
      <c r="I10" s="2">
        <v>-0.00098577140590832</v>
      </c>
      <c r="J10" s="2">
        <v>-0.00088342208626556</v>
      </c>
      <c r="K10" s="2">
        <v>0.0030154510461762</v>
      </c>
      <c r="L10" s="2">
        <v>-0.022341208886827</v>
      </c>
      <c r="M10" s="2">
        <v>-0.022034824377074</v>
      </c>
      <c r="N10" s="2">
        <v>562.29636827804</v>
      </c>
      <c r="O10" s="2">
        <v>593.56021248035</v>
      </c>
      <c r="P10" s="3"/>
      <c r="Q10" s="3"/>
      <c r="R10" s="3"/>
      <c r="S10" s="3"/>
      <c r="T10" s="3"/>
      <c r="U10" s="2"/>
      <c r="V10" s="3"/>
      <c r="W10" s="3"/>
      <c r="X10" s="3"/>
      <c r="Y10" s="3"/>
      <c r="Z10" s="3"/>
      <c r="AA10" s="3"/>
      <c r="AB10" s="3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>
      <c r="A11" s="2">
        <v>1.2066849390983</v>
      </c>
      <c r="B11" s="2">
        <v>0.0014243559335647</v>
      </c>
      <c r="C11" s="2">
        <v>90.309548950017</v>
      </c>
      <c r="D11" s="2">
        <v>0.0033734684429381</v>
      </c>
      <c r="E11" s="2">
        <v>6.6218371671916</v>
      </c>
      <c r="F11" s="2">
        <v>0.99014546574285</v>
      </c>
      <c r="G11" s="2">
        <v>16138052.995454</v>
      </c>
      <c r="H11" s="2">
        <v>4880792.1574542</v>
      </c>
      <c r="I11" s="2">
        <v>-0.0012867202953816</v>
      </c>
      <c r="J11" s="2">
        <v>-0.0011448101649825</v>
      </c>
      <c r="K11" s="2">
        <v>0.003613440369261</v>
      </c>
      <c r="L11" s="2">
        <v>-0.032348185042943</v>
      </c>
      <c r="M11" s="2">
        <v>-0.032314835963537</v>
      </c>
      <c r="N11" s="2">
        <v>580.47465944757</v>
      </c>
      <c r="O11" s="2">
        <v>620.24678485243</v>
      </c>
      <c r="P11" s="3"/>
      <c r="Q11" s="3"/>
      <c r="R11" s="3"/>
      <c r="S11" s="3"/>
      <c r="T11" s="3"/>
      <c r="U11" s="2"/>
      <c r="V11" s="3"/>
      <c r="W11" s="3"/>
      <c r="X11" s="3"/>
      <c r="Y11" s="3"/>
      <c r="Z11" s="3"/>
      <c r="AA11" s="3"/>
      <c r="AB11" s="3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>
      <c r="A12" s="2">
        <v>1.4066849390983</v>
      </c>
      <c r="B12" s="2">
        <v>0.0020396486687144</v>
      </c>
      <c r="C12" s="2">
        <v>90.310072172101</v>
      </c>
      <c r="D12" s="2">
        <v>0.003984331920463</v>
      </c>
      <c r="E12" s="2">
        <v>6.6251980690705</v>
      </c>
      <c r="F12" s="2">
        <v>0.98690437741042</v>
      </c>
      <c r="G12" s="2">
        <v>16206385.871619</v>
      </c>
      <c r="H12" s="2">
        <v>5314979.4180412</v>
      </c>
      <c r="I12" s="2">
        <v>-0.001594049131413</v>
      </c>
      <c r="J12" s="2">
        <v>-0.0014110718098683</v>
      </c>
      <c r="K12" s="2">
        <v>0.0042110635662302</v>
      </c>
      <c r="L12" s="2">
        <v>-0.038202588289868</v>
      </c>
      <c r="M12" s="2">
        <v>-0.037865174496191</v>
      </c>
      <c r="N12" s="2">
        <v>592.8264863545</v>
      </c>
      <c r="O12" s="2">
        <v>640.0713313141</v>
      </c>
      <c r="P12" s="3"/>
      <c r="Q12" s="3"/>
      <c r="R12" s="3"/>
      <c r="S12" s="3"/>
      <c r="T12" s="3"/>
      <c r="U12" s="2"/>
      <c r="V12" s="3"/>
      <c r="W12" s="3"/>
      <c r="X12" s="3"/>
      <c r="Y12" s="3"/>
      <c r="Z12" s="3"/>
      <c r="AA12" s="3"/>
      <c r="AB12" s="3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>
      <c r="A13" s="2">
        <v>1.6066849390983</v>
      </c>
      <c r="B13" s="2">
        <v>0.0026521361321584</v>
      </c>
      <c r="C13" s="2">
        <v>90.309996036392</v>
      </c>
      <c r="D13" s="2">
        <v>0.0045982373869242</v>
      </c>
      <c r="E13" s="2">
        <v>6.6289342673521</v>
      </c>
      <c r="F13" s="2">
        <v>0.98306127848036</v>
      </c>
      <c r="G13" s="2">
        <v>16278718.653445</v>
      </c>
      <c r="H13" s="2">
        <v>5773449.0896498</v>
      </c>
      <c r="I13" s="2">
        <v>-0.0019026605979176</v>
      </c>
      <c r="J13" s="2">
        <v>-0.0016826389133827</v>
      </c>
      <c r="K13" s="2">
        <v>0.004808320620559</v>
      </c>
      <c r="L13" s="2">
        <v>-0.047939008429266</v>
      </c>
      <c r="M13" s="2">
        <v>-0.047171058899525</v>
      </c>
      <c r="N13" s="2">
        <v>601.67743012435</v>
      </c>
      <c r="O13" s="2">
        <v>654.95914457272</v>
      </c>
      <c r="P13" s="3"/>
      <c r="Q13" s="3"/>
      <c r="R13" s="3"/>
      <c r="S13" s="3"/>
      <c r="T13" s="3"/>
      <c r="U13" s="2"/>
      <c r="V13" s="3"/>
      <c r="W13" s="3"/>
      <c r="X13" s="3"/>
      <c r="Y13" s="3"/>
      <c r="Z13" s="3"/>
      <c r="AA13" s="3"/>
      <c r="AB13" s="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>
      <c r="A14" s="2">
        <v>1.8066849390983</v>
      </c>
      <c r="B14" s="2">
        <v>0.0032609074377153</v>
      </c>
      <c r="C14" s="2">
        <v>90.309419972725</v>
      </c>
      <c r="D14" s="2">
        <v>0.0052136744990247</v>
      </c>
      <c r="E14" s="2">
        <v>6.6327895674863</v>
      </c>
      <c r="F14" s="2">
        <v>0.97899523110673</v>
      </c>
      <c r="G14" s="2">
        <v>16354368.549541</v>
      </c>
      <c r="H14" s="2">
        <v>6251773.9756189</v>
      </c>
      <c r="I14" s="2">
        <v>-0.0022128852453601</v>
      </c>
      <c r="J14" s="2">
        <v>-0.0019568360493441</v>
      </c>
      <c r="K14" s="2">
        <v>0.0054052139472031</v>
      </c>
      <c r="L14" s="2">
        <v>-0.060072878940871</v>
      </c>
      <c r="M14" s="2">
        <v>-0.059743203584336</v>
      </c>
      <c r="N14" s="2">
        <v>608.18255188632</v>
      </c>
      <c r="O14" s="2">
        <v>665.96048243006</v>
      </c>
      <c r="P14" s="3"/>
      <c r="Q14" s="3"/>
      <c r="R14" s="3"/>
      <c r="S14" s="3"/>
      <c r="T14" s="3"/>
      <c r="U14" s="2"/>
      <c r="V14" s="3"/>
      <c r="W14" s="3"/>
      <c r="X14" s="3"/>
      <c r="Y14" s="3"/>
      <c r="Z14" s="3"/>
      <c r="AA14" s="3"/>
      <c r="AB14" s="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>
      <c r="A15" s="2">
        <v>2.0066849390983</v>
      </c>
      <c r="B15" s="2">
        <v>0.0038676774434198</v>
      </c>
      <c r="C15" s="2">
        <v>90.308549413384</v>
      </c>
      <c r="D15" s="2">
        <v>0.0058298336458666</v>
      </c>
      <c r="E15" s="2">
        <v>6.6366748466956</v>
      </c>
      <c r="F15" s="2">
        <v>0.97493895630109</v>
      </c>
      <c r="G15" s="2">
        <v>16432475.561237</v>
      </c>
      <c r="H15" s="2">
        <v>6744425.0264813</v>
      </c>
      <c r="I15" s="2">
        <v>-0.0025247386705627</v>
      </c>
      <c r="J15" s="2">
        <v>-0.0022316818090239</v>
      </c>
      <c r="K15" s="2">
        <v>0.0060017438902797</v>
      </c>
      <c r="L15" s="2">
        <v>-0.071277765515685</v>
      </c>
      <c r="M15" s="2">
        <v>-0.071269890885432</v>
      </c>
      <c r="N15" s="2">
        <v>613.32883715464</v>
      </c>
      <c r="O15" s="2">
        <v>674.54285397685</v>
      </c>
      <c r="P15" s="3"/>
      <c r="Q15" s="3"/>
      <c r="R15" s="2"/>
      <c r="S15" s="3"/>
      <c r="T15" s="3"/>
      <c r="U15" s="2"/>
      <c r="V15" s="3"/>
      <c r="W15" s="3"/>
      <c r="X15" s="3"/>
      <c r="Y15" s="3"/>
      <c r="Z15" s="3"/>
      <c r="AA15" s="3"/>
      <c r="AB15" s="3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>
      <c r="A16" s="2">
        <v>2.2066849390983</v>
      </c>
      <c r="B16" s="2">
        <v>0.0044731859979099</v>
      </c>
      <c r="C16" s="2">
        <v>90.307483394557</v>
      </c>
      <c r="D16" s="2">
        <v>0.0064461846011036</v>
      </c>
      <c r="E16" s="2">
        <v>6.6406124628072</v>
      </c>
      <c r="F16" s="2">
        <v>0.97082546087206</v>
      </c>
      <c r="G16" s="2">
        <v>16512531.166885</v>
      </c>
      <c r="H16" s="2">
        <v>7248139.5769086</v>
      </c>
      <c r="I16" s="2">
        <v>-0.0028380073836808</v>
      </c>
      <c r="J16" s="2">
        <v>-0.0025063696283244</v>
      </c>
      <c r="K16" s="2">
        <v>0.0065979116305033</v>
      </c>
      <c r="L16" s="2">
        <v>-0.081562467159116</v>
      </c>
      <c r="M16" s="2">
        <v>-0.081944002665362</v>
      </c>
      <c r="N16" s="2">
        <v>617.63353510237</v>
      </c>
      <c r="O16" s="2">
        <v>681.54480527206</v>
      </c>
      <c r="P16" s="3"/>
      <c r="Q16" s="2"/>
      <c r="R16" s="2"/>
      <c r="S16" s="3"/>
      <c r="T16" s="2"/>
      <c r="U16" s="2"/>
      <c r="V16" s="3"/>
      <c r="W16" s="3"/>
      <c r="X16" s="3"/>
      <c r="Y16" s="3"/>
      <c r="Z16" s="3"/>
      <c r="AA16" s="3"/>
      <c r="AB16" s="3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>
      <c r="A17" s="2">
        <v>2.4066849390983</v>
      </c>
      <c r="B17" s="2">
        <v>0.0050779991456878</v>
      </c>
      <c r="C17" s="2">
        <v>90.306324805595</v>
      </c>
      <c r="D17" s="2">
        <v>0.0070624706674303</v>
      </c>
      <c r="E17" s="2">
        <v>6.6445756408346</v>
      </c>
      <c r="F17" s="2">
        <v>0.96673029374129</v>
      </c>
      <c r="G17" s="2">
        <v>16594210.848062</v>
      </c>
      <c r="H17" s="2">
        <v>7760838.7090612</v>
      </c>
      <c r="I17" s="2">
        <v>-0.0031523997831807</v>
      </c>
      <c r="J17" s="2">
        <v>-0.0027806316086552</v>
      </c>
      <c r="K17" s="2">
        <v>0.0071937192377039</v>
      </c>
      <c r="L17" s="2">
        <v>-0.0895557296091</v>
      </c>
      <c r="M17" s="2">
        <v>-0.090033131257067</v>
      </c>
      <c r="N17" s="2">
        <v>621.37959837661</v>
      </c>
      <c r="O17" s="2">
        <v>687.47082283033</v>
      </c>
      <c r="P17" s="3"/>
      <c r="Q17" s="2"/>
      <c r="R17" s="2"/>
      <c r="S17" s="3"/>
      <c r="T17" s="2"/>
      <c r="U17" s="2"/>
      <c r="V17" s="3"/>
      <c r="W17" s="3"/>
      <c r="X17" s="3"/>
      <c r="Y17" s="3"/>
      <c r="Z17" s="3"/>
      <c r="AA17" s="3"/>
      <c r="AB17" s="3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>
      <c r="A18" s="2">
        <v>2.6066849390983</v>
      </c>
      <c r="B18" s="2">
        <v>0.0056826683582612</v>
      </c>
      <c r="C18" s="2">
        <v>90.305144366883</v>
      </c>
      <c r="D18" s="2">
        <v>0.0076786084398402</v>
      </c>
      <c r="E18" s="2">
        <v>6.6485470137226</v>
      </c>
      <c r="F18" s="2">
        <v>0.96274625158175</v>
      </c>
      <c r="G18" s="2">
        <v>16677242.527346</v>
      </c>
      <c r="H18" s="2">
        <v>8280787.92208</v>
      </c>
      <c r="I18" s="2">
        <v>-0.0034673984312825</v>
      </c>
      <c r="J18" s="2">
        <v>-0.0030546308000292</v>
      </c>
      <c r="K18" s="2">
        <v>0.0077891672253383</v>
      </c>
      <c r="L18" s="2">
        <v>-0.10151407984584</v>
      </c>
      <c r="M18" s="2">
        <v>-0.10389071540134</v>
      </c>
      <c r="N18" s="2">
        <v>624.76857552502</v>
      </c>
      <c r="O18" s="2">
        <v>692.72268667335</v>
      </c>
      <c r="P18" s="3"/>
      <c r="Q18" s="2"/>
      <c r="R18" s="2"/>
      <c r="S18" s="3"/>
      <c r="T18" s="2"/>
      <c r="U18" s="2"/>
      <c r="V18" s="3"/>
      <c r="W18" s="3"/>
      <c r="X18" s="3"/>
      <c r="Y18" s="3"/>
      <c r="Z18" s="3"/>
      <c r="AA18" s="3"/>
      <c r="AB18" s="3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>
      <c r="A19" s="2">
        <v>2.8066849390983</v>
      </c>
      <c r="B19" s="2">
        <v>0.0062873731217567</v>
      </c>
      <c r="C19" s="2">
        <v>90.30394227353</v>
      </c>
      <c r="D19" s="2">
        <v>0.008294573209756</v>
      </c>
      <c r="E19" s="2">
        <v>6.6525317718766</v>
      </c>
      <c r="F19" s="2">
        <v>0.95880844797635</v>
      </c>
      <c r="G19" s="2">
        <v>16761468.384948</v>
      </c>
      <c r="H19" s="2">
        <v>8806983.9829499</v>
      </c>
      <c r="I19" s="2">
        <v>-0.0037826288253546</v>
      </c>
      <c r="J19" s="2">
        <v>-0.0033284865878816</v>
      </c>
      <c r="K19" s="2">
        <v>0.0083842553804395</v>
      </c>
      <c r="L19" s="2">
        <v>-0.1112894374476</v>
      </c>
      <c r="M19" s="2">
        <v>-0.11355767240536</v>
      </c>
      <c r="N19" s="2">
        <v>627.91596149162</v>
      </c>
      <c r="O19" s="2">
        <v>697.50198230139</v>
      </c>
      <c r="P19" s="3"/>
      <c r="Q19" s="2"/>
      <c r="R19" s="2"/>
      <c r="S19" s="3"/>
      <c r="T19" s="2"/>
      <c r="U19" s="2"/>
      <c r="V19" s="3"/>
      <c r="W19" s="3"/>
      <c r="X19" s="3"/>
      <c r="Y19" s="3"/>
      <c r="Z19" s="3"/>
      <c r="AA19" s="3"/>
      <c r="AB19" s="3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>
      <c r="A20" s="2">
        <v>3.0066849390983</v>
      </c>
      <c r="B20" s="2">
        <v>0.0068920808097776</v>
      </c>
      <c r="C20" s="2">
        <v>90.30272401479</v>
      </c>
      <c r="D20" s="2">
        <v>0.0089103454623163</v>
      </c>
      <c r="E20" s="2">
        <v>6.6565487840808</v>
      </c>
      <c r="F20" s="2">
        <v>0.95489856936992</v>
      </c>
      <c r="G20" s="2">
        <v>16846793.724085</v>
      </c>
      <c r="H20" s="2">
        <v>9338828.2378437</v>
      </c>
      <c r="I20" s="2">
        <v>-0.0040978020755471</v>
      </c>
      <c r="J20" s="2">
        <v>-0.0036024052029995</v>
      </c>
      <c r="K20" s="2">
        <v>0.0089789838293833</v>
      </c>
      <c r="L20" s="2">
        <v>-0.12434262610675</v>
      </c>
      <c r="M20" s="2">
        <v>-0.12656948995508</v>
      </c>
      <c r="N20" s="2">
        <v>630.87975545871</v>
      </c>
      <c r="O20" s="2">
        <v>701.92256223327</v>
      </c>
      <c r="P20" s="3"/>
      <c r="Q20" s="2"/>
      <c r="R20" s="2"/>
      <c r="S20" s="3"/>
      <c r="T20" s="2"/>
      <c r="U20" s="2"/>
      <c r="V20" s="3"/>
      <c r="W20" s="3"/>
      <c r="X20" s="3"/>
      <c r="Y20" s="3"/>
      <c r="Z20" s="3"/>
      <c r="AA20" s="3"/>
      <c r="AB20" s="3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>
      <c r="A21" s="2">
        <v>3.2066849390983</v>
      </c>
      <c r="B21" s="2">
        <v>0.0074967550961731</v>
      </c>
      <c r="C21" s="2">
        <v>90.301498043715</v>
      </c>
      <c r="D21" s="2">
        <v>0.0095259189881765</v>
      </c>
      <c r="E21" s="2">
        <v>6.660594876714</v>
      </c>
      <c r="F21" s="2">
        <v>0.95104004826919</v>
      </c>
      <c r="G21" s="2">
        <v>16933159.41155</v>
      </c>
      <c r="H21" s="2">
        <v>9875950.1833872</v>
      </c>
      <c r="I21" s="2">
        <v>-0.0044127211648796</v>
      </c>
      <c r="J21" s="2">
        <v>-0.0038764777543445</v>
      </c>
      <c r="K21" s="2">
        <v>0.0095733531182029</v>
      </c>
      <c r="L21" s="2">
        <v>-0.1334580657647</v>
      </c>
      <c r="M21" s="2">
        <v>-0.13705895691211</v>
      </c>
      <c r="N21" s="2">
        <v>633.70047876457</v>
      </c>
      <c r="O21" s="2">
        <v>706.04376851805</v>
      </c>
      <c r="P21" s="3"/>
      <c r="Q21" s="2"/>
      <c r="R21" s="2"/>
      <c r="S21" s="2"/>
      <c r="T21" s="2"/>
      <c r="U21" s="2"/>
      <c r="V21" s="3"/>
      <c r="W21" s="3"/>
      <c r="X21" s="3"/>
      <c r="Y21" s="3"/>
      <c r="Z21" s="3"/>
      <c r="AA21" s="3"/>
      <c r="AB21" s="3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>
      <c r="A22" s="2">
        <v>3.4066849390983</v>
      </c>
      <c r="B22" s="2">
        <v>0.0081013321932587</v>
      </c>
      <c r="C22" s="2">
        <v>90.300273756423</v>
      </c>
      <c r="D22" s="2">
        <v>0.010141310560555</v>
      </c>
      <c r="E22" s="2">
        <v>6.6646663086459</v>
      </c>
      <c r="F22" s="2">
        <v>0.94725214252768</v>
      </c>
      <c r="G22" s="2">
        <v>17020523.153538</v>
      </c>
      <c r="H22" s="2">
        <v>10418087.133369</v>
      </c>
      <c r="I22" s="2">
        <v>-0.0047272943768114</v>
      </c>
      <c r="J22" s="2">
        <v>-0.0041507504331435</v>
      </c>
      <c r="K22" s="2">
        <v>0.01016736388703</v>
      </c>
      <c r="L22" s="2">
        <v>-0.14167613694286</v>
      </c>
      <c r="M22" s="2">
        <v>-0.14534259134689</v>
      </c>
      <c r="N22" s="2">
        <v>636.40524469508</v>
      </c>
      <c r="O22" s="2">
        <v>709.9064916643</v>
      </c>
      <c r="P22" s="3"/>
      <c r="Q22" s="2"/>
      <c r="R22" s="2"/>
      <c r="S22" s="2"/>
      <c r="T22" s="2"/>
      <c r="U22" s="2"/>
      <c r="V22" s="3"/>
      <c r="W22" s="3"/>
      <c r="X22" s="3"/>
      <c r="Y22" s="3"/>
      <c r="Z22" s="3"/>
      <c r="AA22" s="3"/>
      <c r="AB22" s="3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15">
      <c r="A23" s="2">
        <v>3.6066849390983</v>
      </c>
      <c r="B23" s="2">
        <v>0.008705763690034</v>
      </c>
      <c r="C23" s="2">
        <v>90.299057053083</v>
      </c>
      <c r="D23" s="2">
        <v>0.010756517452468</v>
      </c>
      <c r="E23" s="2">
        <v>6.6687644498155</v>
      </c>
      <c r="F23" s="2">
        <v>0.94354993181027</v>
      </c>
      <c r="G23" s="2">
        <v>17108848.112128</v>
      </c>
      <c r="H23" s="2">
        <v>10965011.828475</v>
      </c>
      <c r="I23" s="2">
        <v>-0.0050415053535644</v>
      </c>
      <c r="J23" s="2">
        <v>-0.0044252216287672</v>
      </c>
      <c r="K23" s="2">
        <v>0.01076101676617</v>
      </c>
      <c r="L23" s="2">
        <v>-0.15213895085638</v>
      </c>
      <c r="M23" s="2">
        <v>-0.15485298536168</v>
      </c>
      <c r="N23" s="2">
        <v>639.01096639074</v>
      </c>
      <c r="O23" s="2">
        <v>713.54489023756</v>
      </c>
    </row>
    <row r="24" spans="1:15">
      <c r="A24" s="2">
        <v>3.8066849390983</v>
      </c>
      <c r="B24" s="2">
        <v>0.0093101099564903</v>
      </c>
      <c r="C24" s="2">
        <v>90.297854269847</v>
      </c>
      <c r="D24" s="2">
        <v>0.011371557239534</v>
      </c>
      <c r="E24" s="2">
        <v>6.6728914578258</v>
      </c>
      <c r="F24" s="2">
        <v>0.93992931111618</v>
      </c>
      <c r="G24" s="2">
        <v>17198083.875475</v>
      </c>
      <c r="H24" s="2">
        <v>11516412.177236</v>
      </c>
      <c r="I24" s="2">
        <v>-0.0053553290655253</v>
      </c>
      <c r="J24" s="2">
        <v>-0.0046998589210252</v>
      </c>
      <c r="K24" s="2">
        <v>0.011354312141642</v>
      </c>
      <c r="L24" s="2">
        <v>-0.15971007473504</v>
      </c>
      <c r="M24" s="2">
        <v>-0.16269424402828</v>
      </c>
      <c r="N24" s="2">
        <v>641.53963911748</v>
      </c>
      <c r="O24" s="2">
        <v>717.00646820536</v>
      </c>
    </row>
    <row r="25" spans="1:15">
      <c r="A25" s="2">
        <v>4.0066849390983</v>
      </c>
      <c r="B25" s="2">
        <v>0.0099144382222843</v>
      </c>
      <c r="C25" s="2">
        <v>90.296669022511</v>
      </c>
      <c r="D25" s="2">
        <v>0.011986468828646</v>
      </c>
      <c r="E25" s="2">
        <v>6.6770547184887</v>
      </c>
      <c r="F25" s="2">
        <v>0.93636555660016</v>
      </c>
      <c r="G25" s="2">
        <v>17288184.39264</v>
      </c>
      <c r="H25" s="2">
        <v>12072004.691659</v>
      </c>
      <c r="I25" s="2">
        <v>-0.0056688011983615</v>
      </c>
      <c r="J25" s="2">
        <v>-0.0049746263372521</v>
      </c>
      <c r="K25" s="2">
        <v>0.01194725032501</v>
      </c>
      <c r="L25" s="2">
        <v>-0.17110771371775</v>
      </c>
      <c r="M25" s="2">
        <v>-0.17462533217725</v>
      </c>
      <c r="N25" s="2">
        <v>644.00630076778</v>
      </c>
      <c r="O25" s="2">
        <v>720.33941307739</v>
      </c>
    </row>
    <row r="26" spans="1:15">
      <c r="A26" s="2">
        <v>4.2066849390983</v>
      </c>
      <c r="B26" s="2">
        <v>0.010518772020476</v>
      </c>
      <c r="C26" s="2">
        <v>90.295502826222</v>
      </c>
      <c r="D26" s="2">
        <v>0.0126012467098</v>
      </c>
      <c r="E26" s="2">
        <v>6.68126062686</v>
      </c>
      <c r="F26" s="2">
        <v>0.93284450652146</v>
      </c>
      <c r="G26" s="2">
        <v>17379120.617087</v>
      </c>
      <c r="H26" s="2">
        <v>12631613.207007</v>
      </c>
      <c r="I26" s="2">
        <v>-0.0059819220913948</v>
      </c>
      <c r="J26" s="2">
        <v>-0.0052494682719928</v>
      </c>
      <c r="K26" s="2">
        <v>0.012539831825118</v>
      </c>
      <c r="L26" s="2">
        <v>-0.17954942988566</v>
      </c>
      <c r="M26" s="2">
        <v>-0.18202821392571</v>
      </c>
      <c r="N26" s="2">
        <v>646.42312417658</v>
      </c>
      <c r="O26" s="2">
        <v>723.56260637249</v>
      </c>
    </row>
    <row r="27" spans="1:15">
      <c r="A27" s="2">
        <v>4.4066849390983</v>
      </c>
      <c r="B27" s="2">
        <v>0.011123086014648</v>
      </c>
      <c r="C27" s="2">
        <v>90.294352208019</v>
      </c>
      <c r="D27" s="2">
        <v>0.013215892793971</v>
      </c>
      <c r="E27" s="2">
        <v>6.685512493502</v>
      </c>
      <c r="F27" s="2">
        <v>0.92936307330441</v>
      </c>
      <c r="G27" s="2">
        <v>17470871.766901</v>
      </c>
      <c r="H27" s="2">
        <v>13195114.023525</v>
      </c>
      <c r="I27" s="2">
        <v>-0.0062947024323102</v>
      </c>
      <c r="J27" s="2">
        <v>-0.0055243942461756</v>
      </c>
      <c r="K27" s="2">
        <v>0.013132057295196</v>
      </c>
      <c r="L27" s="2">
        <v>-0.18904096197267</v>
      </c>
      <c r="M27" s="2">
        <v>-0.19326827392849</v>
      </c>
      <c r="N27" s="2">
        <v>648.79354462173</v>
      </c>
      <c r="O27" s="2">
        <v>726.6912659301</v>
      </c>
    </row>
    <row r="28" spans="1:15">
      <c r="A28" s="2">
        <v>4.6066849390983</v>
      </c>
      <c r="B28" s="2">
        <v>0.011727385230906</v>
      </c>
      <c r="C28" s="2">
        <v>90.293212793015</v>
      </c>
      <c r="D28" s="2">
        <v>0.013830408253444</v>
      </c>
      <c r="E28" s="2">
        <v>6.6898114786988</v>
      </c>
      <c r="F28" s="2">
        <v>0.92591534270567</v>
      </c>
      <c r="G28" s="2">
        <v>17563413.541137</v>
      </c>
      <c r="H28" s="2">
        <v>13762361.466938</v>
      </c>
      <c r="I28" s="2">
        <v>-0.0066071751717932</v>
      </c>
      <c r="J28" s="2">
        <v>-0.0057993519846743</v>
      </c>
      <c r="K28" s="2">
        <v>0.013723927260845</v>
      </c>
      <c r="L28" s="2">
        <v>-0.20097662107309</v>
      </c>
      <c r="M28" s="2">
        <v>-0.20381877770574</v>
      </c>
      <c r="N28" s="2">
        <v>651.12466275657</v>
      </c>
      <c r="O28" s="2">
        <v>729.74116779232</v>
      </c>
    </row>
    <row r="29" spans="1:15">
      <c r="A29" s="2">
        <v>4.8066849390983</v>
      </c>
      <c r="B29" s="2">
        <v>0.012331668030062</v>
      </c>
      <c r="C29" s="2">
        <v>90.29208311734</v>
      </c>
      <c r="D29" s="2">
        <v>0.014444790789767</v>
      </c>
      <c r="E29" s="2">
        <v>6.6941543696741</v>
      </c>
      <c r="F29" s="2">
        <v>0.92249909014705</v>
      </c>
      <c r="G29" s="2">
        <v>17656724.733659</v>
      </c>
      <c r="H29" s="2">
        <v>14333230.088475</v>
      </c>
      <c r="I29" s="2">
        <v>-0.0069193750672957</v>
      </c>
      <c r="J29" s="2">
        <v>-0.006074267705079</v>
      </c>
      <c r="K29" s="2">
        <v>0.014315442203439</v>
      </c>
      <c r="L29" s="2">
        <v>-0.20664293160529</v>
      </c>
      <c r="M29" s="2">
        <v>-0.20958688490808</v>
      </c>
      <c r="N29" s="2">
        <v>653.42323800695</v>
      </c>
      <c r="O29" s="2">
        <v>732.72109684092</v>
      </c>
    </row>
    <row r="30" spans="1:15">
      <c r="A30" s="2">
        <v>5.0066849390983</v>
      </c>
      <c r="B30" s="2">
        <v>0.012935883371757</v>
      </c>
      <c r="C30" s="2">
        <v>90.29095617872</v>
      </c>
      <c r="D30" s="2">
        <v>0.015059041572824</v>
      </c>
      <c r="E30" s="2">
        <v>6.6985405519136</v>
      </c>
      <c r="F30" s="2">
        <v>0.9191105794581</v>
      </c>
      <c r="G30" s="2">
        <v>17750796.303589</v>
      </c>
      <c r="H30" s="2">
        <v>14907671.072746</v>
      </c>
      <c r="I30" s="2">
        <v>-0.0072314270345764</v>
      </c>
      <c r="J30" s="2">
        <v>-0.0063490808581468</v>
      </c>
      <c r="K30" s="2">
        <v>0.014906602734725</v>
      </c>
      <c r="L30" s="2">
        <v>-0.21921491299654</v>
      </c>
      <c r="M30" s="2">
        <v>-0.22353687109114</v>
      </c>
      <c r="N30" s="2">
        <v>655.68498618907</v>
      </c>
      <c r="O30" s="2">
        <v>735.63843163984</v>
      </c>
    </row>
    <row r="31" spans="1:15">
      <c r="A31" s="2">
        <v>5.2066849390983</v>
      </c>
      <c r="B31" s="2">
        <v>0.013540018857324</v>
      </c>
      <c r="C31" s="2">
        <v>90.289828353962</v>
      </c>
      <c r="D31" s="2">
        <v>0.015673129813806</v>
      </c>
      <c r="E31" s="2">
        <v>6.702963430759</v>
      </c>
      <c r="F31" s="2">
        <v>0.91575271641793</v>
      </c>
      <c r="G31" s="2">
        <v>17845615.822355</v>
      </c>
      <c r="H31" s="2">
        <v>15485614.252883</v>
      </c>
      <c r="I31" s="2">
        <v>-0.007543361104902</v>
      </c>
      <c r="J31" s="2">
        <v>-0.0066236851861345</v>
      </c>
      <c r="K31" s="2">
        <v>0.015497409475197</v>
      </c>
      <c r="L31" s="2">
        <v>-0.22715306530342</v>
      </c>
      <c r="M31" s="2">
        <v>-0.2292861286236</v>
      </c>
      <c r="N31" s="2">
        <v>657.91866601652</v>
      </c>
      <c r="O31" s="2">
        <v>738.49180588449</v>
      </c>
    </row>
    <row r="32" spans="1:15">
      <c r="A32" s="2">
        <v>5.4066849390983</v>
      </c>
      <c r="B32" s="2">
        <v>0.014144090422955</v>
      </c>
      <c r="C32" s="2">
        <v>90.288699588174</v>
      </c>
      <c r="D32" s="2">
        <v>0.016287089778175</v>
      </c>
      <c r="E32" s="2">
        <v>6.7074187554152</v>
      </c>
      <c r="F32" s="2">
        <v>0.91242986382558</v>
      </c>
      <c r="G32" s="2">
        <v>17941165.187955</v>
      </c>
      <c r="H32" s="2">
        <v>16066954.355627</v>
      </c>
      <c r="I32" s="2">
        <v>-0.00785517314672</v>
      </c>
      <c r="J32" s="2">
        <v>-0.0068981302212828</v>
      </c>
      <c r="K32" s="2">
        <v>0.016087862769541</v>
      </c>
      <c r="L32" s="2">
        <v>-0.23624569341413</v>
      </c>
      <c r="M32" s="2">
        <v>-0.24026300447062</v>
      </c>
      <c r="N32" s="2">
        <v>660.12249983195</v>
      </c>
      <c r="O32" s="2">
        <v>741.29525037896</v>
      </c>
    </row>
    <row r="33" spans="1:15">
      <c r="A33" s="2">
        <v>5.6066849390983</v>
      </c>
      <c r="B33" s="2">
        <v>0.014748094254701</v>
      </c>
      <c r="C33" s="2">
        <v>90.287571589225</v>
      </c>
      <c r="D33" s="2">
        <v>0.016900915029734</v>
      </c>
      <c r="E33" s="2">
        <v>6.7119053506957</v>
      </c>
      <c r="F33" s="2">
        <v>0.90914017528164</v>
      </c>
      <c r="G33" s="2">
        <v>18037433.422301</v>
      </c>
      <c r="H33" s="2">
        <v>16651631.070901</v>
      </c>
      <c r="I33" s="2">
        <v>-0.0081668635878171</v>
      </c>
      <c r="J33" s="2">
        <v>-0.0071723943430792</v>
      </c>
      <c r="K33" s="2">
        <v>0.01667796306537</v>
      </c>
      <c r="L33" s="2">
        <v>-0.24693432915285</v>
      </c>
      <c r="M33" s="2">
        <v>-0.24976723921663</v>
      </c>
      <c r="N33" s="2">
        <v>662.3006234955</v>
      </c>
      <c r="O33" s="2">
        <v>744.05130501211</v>
      </c>
    </row>
    <row r="34" spans="1:15">
      <c r="A34" s="2">
        <v>5.8066849390983</v>
      </c>
      <c r="B34" s="2">
        <v>0.015352012091488</v>
      </c>
      <c r="C34" s="2">
        <v>90.286441189957</v>
      </c>
      <c r="D34" s="2">
        <v>0.017514597877945</v>
      </c>
      <c r="E34" s="2">
        <v>6.7164208825956</v>
      </c>
      <c r="F34" s="2">
        <v>0.90588178737339</v>
      </c>
      <c r="G34" s="2">
        <v>18134410.944853</v>
      </c>
      <c r="H34" s="2">
        <v>17239593.090947</v>
      </c>
      <c r="I34" s="2">
        <v>-0.0084784097890595</v>
      </c>
      <c r="J34" s="2">
        <v>-0.0074464874206385</v>
      </c>
      <c r="K34" s="2">
        <v>0.017267710867544</v>
      </c>
      <c r="L34" s="2">
        <v>-0.25490176399587</v>
      </c>
      <c r="M34" s="2">
        <v>-0.25786652765704</v>
      </c>
      <c r="N34" s="2">
        <v>664.45510769182</v>
      </c>
      <c r="O34" s="2">
        <v>746.76007131667</v>
      </c>
    </row>
    <row r="35" spans="1:15">
      <c r="A35" s="2">
        <v>6.0066849390983</v>
      </c>
      <c r="B35" s="2">
        <v>0.015955845669147</v>
      </c>
      <c r="C35" s="2">
        <v>90.285307198055</v>
      </c>
      <c r="D35" s="2">
        <v>0.018128139462313</v>
      </c>
      <c r="E35" s="2">
        <v>6.720963968364</v>
      </c>
      <c r="F35" s="2">
        <v>0.9026484326247</v>
      </c>
      <c r="G35" s="2">
        <v>18232087.411339</v>
      </c>
      <c r="H35" s="2">
        <v>17830784.078648</v>
      </c>
      <c r="I35" s="2">
        <v>-0.0087898015345405</v>
      </c>
      <c r="J35" s="2">
        <v>-0.0077204239312514</v>
      </c>
      <c r="K35" s="2">
        <v>0.017857106577328</v>
      </c>
      <c r="L35" s="2">
        <v>-0.26267357126875</v>
      </c>
      <c r="M35" s="2">
        <v>-0.26451607944131</v>
      </c>
      <c r="N35" s="2">
        <v>666.58658912173</v>
      </c>
      <c r="O35" s="2">
        <v>749.42495326424</v>
      </c>
    </row>
    <row r="36" spans="1:15">
      <c r="A36" s="2">
        <v>6.2066849390983</v>
      </c>
      <c r="B36" s="2">
        <v>0.01655960608571</v>
      </c>
      <c r="C36" s="2">
        <v>90.28416927843</v>
      </c>
      <c r="D36" s="2">
        <v>0.018741562698508</v>
      </c>
      <c r="E36" s="2">
        <v>6.7255316344883</v>
      </c>
      <c r="F36" s="2">
        <v>0.89943599428173</v>
      </c>
      <c r="G36" s="2">
        <v>18330448.27223</v>
      </c>
      <c r="H36" s="2">
        <v>18425121.377655</v>
      </c>
      <c r="I36" s="2">
        <v>-0.0091010297883665</v>
      </c>
      <c r="J36" s="2">
        <v>-0.0079942425713176</v>
      </c>
      <c r="K36" s="2">
        <v>0.018446150519976</v>
      </c>
      <c r="L36" s="2">
        <v>-0.27454473970582</v>
      </c>
      <c r="M36" s="2">
        <v>-0.27840152286713</v>
      </c>
      <c r="N36" s="2">
        <v>668.69435040485</v>
      </c>
      <c r="O36" s="2">
        <v>752.05502995461</v>
      </c>
    </row>
    <row r="37" spans="1:15">
      <c r="A37" s="2">
        <v>6.4066849390983</v>
      </c>
      <c r="B37" s="2">
        <v>0.017163317025542</v>
      </c>
      <c r="C37" s="2">
        <v>90.283027512581</v>
      </c>
      <c r="D37" s="2">
        <v>0.019354868580507</v>
      </c>
      <c r="E37" s="2">
        <v>6.7301193042949</v>
      </c>
      <c r="F37" s="2">
        <v>0.89623960612037</v>
      </c>
      <c r="G37" s="2">
        <v>18429479.227767</v>
      </c>
      <c r="H37" s="2">
        <v>19022523.433656</v>
      </c>
      <c r="I37" s="2">
        <v>-0.009412079382559</v>
      </c>
      <c r="J37" s="2">
        <v>-0.0082679003396087</v>
      </c>
      <c r="K37" s="2">
        <v>0.019034842987279</v>
      </c>
      <c r="L37" s="2">
        <v>-0.283177684609</v>
      </c>
      <c r="M37" s="2">
        <v>-0.28540410843731</v>
      </c>
      <c r="N37" s="2">
        <v>670.78504146623</v>
      </c>
      <c r="O37" s="2">
        <v>754.64966977318</v>
      </c>
    </row>
    <row r="38" spans="1:15">
      <c r="A38" s="2">
        <v>6.6066849390983</v>
      </c>
      <c r="B38" s="2">
        <v>0.017766990794007</v>
      </c>
      <c r="C38" s="2">
        <v>90.281881687638</v>
      </c>
      <c r="D38" s="2">
        <v>0.019968084045849</v>
      </c>
      <c r="E38" s="2">
        <v>6.7347214776037</v>
      </c>
      <c r="F38" s="2">
        <v>0.89305765105378</v>
      </c>
      <c r="G38" s="2">
        <v>18529166.149043</v>
      </c>
      <c r="H38" s="2">
        <v>19622909.955339</v>
      </c>
      <c r="I38" s="2">
        <v>-0.0097229546252921</v>
      </c>
      <c r="J38" s="2">
        <v>-0.0085414227393631</v>
      </c>
      <c r="K38" s="2">
        <v>0.019623184229617</v>
      </c>
      <c r="L38" s="2">
        <v>-0.2920972713363</v>
      </c>
      <c r="M38" s="2">
        <v>-0.29476755733098</v>
      </c>
      <c r="N38" s="2">
        <v>672.85758557032</v>
      </c>
      <c r="O38" s="2">
        <v>757.21610116844</v>
      </c>
    </row>
    <row r="39" spans="1:15">
      <c r="A39" s="2">
        <v>6.8066849390983</v>
      </c>
      <c r="B39" s="2">
        <v>0.018370639163879</v>
      </c>
      <c r="C39" s="2">
        <v>90.280731514864</v>
      </c>
      <c r="D39" s="2">
        <v>0.020581219564963</v>
      </c>
      <c r="E39" s="2">
        <v>6.73933476134</v>
      </c>
      <c r="F39" s="2">
        <v>0.88988671096637</v>
      </c>
      <c r="G39" s="2">
        <v>18629497.257652</v>
      </c>
      <c r="H39" s="2">
        <v>20226215.141149</v>
      </c>
      <c r="I39" s="2">
        <v>-0.010033664209575</v>
      </c>
      <c r="J39" s="2">
        <v>-0.0088147895352138</v>
      </c>
      <c r="K39" s="2">
        <v>0.020211174538581</v>
      </c>
      <c r="L39" s="2">
        <v>-0.30053997865315</v>
      </c>
      <c r="M39" s="2">
        <v>-0.30313752641444</v>
      </c>
      <c r="N39" s="2">
        <v>674.91358655937</v>
      </c>
      <c r="O39" s="2">
        <v>759.75463083042</v>
      </c>
    </row>
    <row r="40" spans="1:15">
      <c r="A40" s="2">
        <v>7.0066849390983</v>
      </c>
      <c r="B40" s="2">
        <v>0.018974264368173</v>
      </c>
      <c r="C40" s="2">
        <v>90.279577109592</v>
      </c>
      <c r="D40" s="2">
        <v>0.021194290515149</v>
      </c>
      <c r="E40" s="2">
        <v>6.7439569137543</v>
      </c>
      <c r="F40" s="2">
        <v>0.88672350759217</v>
      </c>
      <c r="G40" s="2">
        <v>18730460.245913</v>
      </c>
      <c r="H40" s="2">
        <v>20832370.132735</v>
      </c>
      <c r="I40" s="2">
        <v>-0.010344217310892</v>
      </c>
      <c r="J40" s="2">
        <v>-0.009088004915837</v>
      </c>
      <c r="K40" s="2">
        <v>0.020798814215016</v>
      </c>
      <c r="L40" s="2">
        <v>-0.31134424639524</v>
      </c>
      <c r="M40" s="2">
        <v>-0.31406637122048</v>
      </c>
      <c r="N40" s="2">
        <v>676.95340834573</v>
      </c>
      <c r="O40" s="2">
        <v>762.26976729528</v>
      </c>
    </row>
    <row r="41" spans="1:15">
      <c r="A41" s="2">
        <v>7.2066849390983</v>
      </c>
      <c r="B41" s="2">
        <v>0.019577877723698</v>
      </c>
      <c r="C41" s="2">
        <v>90.27842028809</v>
      </c>
      <c r="D41" s="2">
        <v>0.021807295772158</v>
      </c>
      <c r="E41" s="2">
        <v>6.7485850902294</v>
      </c>
      <c r="F41" s="2">
        <v>0.88356627295813</v>
      </c>
      <c r="G41" s="2">
        <v>18832044.106476</v>
      </c>
      <c r="H41" s="2">
        <v>21441314.163893</v>
      </c>
      <c r="I41" s="2">
        <v>-0.010654605895945</v>
      </c>
      <c r="J41" s="2">
        <v>-0.0093610453120215</v>
      </c>
      <c r="K41" s="2">
        <v>0.021386103669892</v>
      </c>
      <c r="L41" s="2">
        <v>-0.31927545133497</v>
      </c>
      <c r="M41" s="2">
        <v>-0.32100241179317</v>
      </c>
      <c r="N41" s="2">
        <v>678.98058537308</v>
      </c>
      <c r="O41" s="2">
        <v>764.76118285291</v>
      </c>
    </row>
    <row r="42" spans="1:15">
      <c r="A42" s="2">
        <v>7.4066849390983</v>
      </c>
      <c r="B42" s="2">
        <v>0.020181494836365</v>
      </c>
      <c r="C42" s="2">
        <v>90.277260721039</v>
      </c>
      <c r="D42" s="2">
        <v>0.022420255211417</v>
      </c>
      <c r="E42" s="2">
        <v>6.7532185668181</v>
      </c>
      <c r="F42" s="2">
        <v>0.88041415366928</v>
      </c>
      <c r="G42" s="2">
        <v>18934238.957124</v>
      </c>
      <c r="H42" s="2">
        <v>22052993.226535</v>
      </c>
      <c r="I42" s="2">
        <v>-0.010964836925202</v>
      </c>
      <c r="J42" s="2">
        <v>-0.0096339343615008</v>
      </c>
      <c r="K42" s="2">
        <v>0.021973043247037</v>
      </c>
      <c r="L42" s="2">
        <v>-0.32863283206996</v>
      </c>
      <c r="M42" s="2">
        <v>-0.3301352481627</v>
      </c>
      <c r="N42" s="2">
        <v>680.99129410395</v>
      </c>
      <c r="O42" s="2">
        <v>767.23190390792</v>
      </c>
    </row>
    <row r="43" spans="1:15">
      <c r="A43" s="2">
        <v>7.6066849390983</v>
      </c>
      <c r="B43" s="2">
        <v>0.020785111881106</v>
      </c>
      <c r="C43" s="2">
        <v>90.276099991038</v>
      </c>
      <c r="D43" s="2">
        <v>0.023033171508639</v>
      </c>
      <c r="E43" s="2">
        <v>6.7578563623168</v>
      </c>
      <c r="F43" s="2">
        <v>0.87726697483632</v>
      </c>
      <c r="G43" s="2">
        <v>19037033.61128</v>
      </c>
      <c r="H43" s="2">
        <v>22667345.999467</v>
      </c>
      <c r="I43" s="2">
        <v>-0.011274903825953</v>
      </c>
      <c r="J43" s="2">
        <v>-0.0099066708829232</v>
      </c>
      <c r="K43" s="2">
        <v>0.02255963335298</v>
      </c>
      <c r="L43" s="2">
        <v>-0.33872732120851</v>
      </c>
      <c r="M43" s="2">
        <v>-0.34110477817374</v>
      </c>
      <c r="N43" s="2">
        <v>682.98852825697</v>
      </c>
      <c r="O43" s="2">
        <v>769.6855412744</v>
      </c>
    </row>
    <row r="44" spans="1:15">
      <c r="A44" s="2">
        <v>7.8066849390983</v>
      </c>
      <c r="B44" s="2">
        <v>0.021388733749857</v>
      </c>
      <c r="C44" s="2">
        <v>90.274938743674</v>
      </c>
      <c r="D44" s="2">
        <v>0.023646045777332</v>
      </c>
      <c r="E44" s="2">
        <v>6.7624980892499</v>
      </c>
      <c r="F44" s="2">
        <v>0.87412344778469</v>
      </c>
      <c r="G44" s="2">
        <v>19140419.471398</v>
      </c>
      <c r="H44" s="2">
        <v>23284326.788225</v>
      </c>
      <c r="I44" s="2">
        <v>-0.011584804697328</v>
      </c>
      <c r="J44" s="2">
        <v>-0.010179245581711</v>
      </c>
      <c r="K44" s="2">
        <v>0.023145874396084</v>
      </c>
      <c r="L44" s="2">
        <v>-0.34814723512184</v>
      </c>
      <c r="M44" s="2">
        <v>-0.3507321748197</v>
      </c>
      <c r="N44" s="2">
        <v>684.97326261565</v>
      </c>
      <c r="O44" s="2">
        <v>772.12133878704</v>
      </c>
    </row>
    <row r="45" spans="1:15">
      <c r="A45" s="2">
        <v>8.0066849390983</v>
      </c>
      <c r="B45" s="2">
        <v>0.021992361303344</v>
      </c>
      <c r="C45" s="2">
        <v>90.273777102954</v>
      </c>
      <c r="D45" s="2">
        <v>0.02425888003488</v>
      </c>
      <c r="E45" s="2">
        <v>6.7671438008196</v>
      </c>
      <c r="F45" s="2">
        <v>0.87098354302789</v>
      </c>
      <c r="G45" s="2">
        <v>19244387.627635</v>
      </c>
      <c r="H45" s="2">
        <v>23903888.133697</v>
      </c>
      <c r="I45" s="2">
        <v>-0.011894536823401</v>
      </c>
      <c r="J45" s="2">
        <v>-0.010451659416191</v>
      </c>
      <c r="K45" s="2">
        <v>0.023731766778363</v>
      </c>
      <c r="L45" s="2">
        <v>-0.35694465807427</v>
      </c>
      <c r="M45" s="2">
        <v>-0.35847268999582</v>
      </c>
      <c r="N45" s="2">
        <v>686.94609055816</v>
      </c>
      <c r="O45" s="2">
        <v>774.54014482277</v>
      </c>
    </row>
    <row r="46" spans="1:15">
      <c r="A46" s="2">
        <v>8.2066849390983</v>
      </c>
      <c r="B46" s="2">
        <v>0.022595993753196</v>
      </c>
      <c r="C46" s="2">
        <v>90.272615313987</v>
      </c>
      <c r="D46" s="2">
        <v>0.024871680212416</v>
      </c>
      <c r="E46" s="2">
        <v>6.7717935437629</v>
      </c>
      <c r="F46" s="2">
        <v>0.86784784921284</v>
      </c>
      <c r="G46" s="2">
        <v>19348929.515039</v>
      </c>
      <c r="H46" s="2">
        <v>24525984.739261</v>
      </c>
      <c r="I46" s="2">
        <v>-0.012204097995426</v>
      </c>
      <c r="J46" s="2">
        <v>-0.010723925057325</v>
      </c>
      <c r="K46" s="2">
        <v>0.024317310912417</v>
      </c>
      <c r="L46" s="2">
        <v>-0.36617099602608</v>
      </c>
      <c r="M46" s="2">
        <v>-0.36741180387843</v>
      </c>
      <c r="N46" s="2">
        <v>688.906402217</v>
      </c>
      <c r="O46" s="2">
        <v>776.94383060869</v>
      </c>
    </row>
    <row r="47" spans="1:15">
      <c r="A47" s="2">
        <v>8.4066849390983</v>
      </c>
      <c r="B47" s="2">
        <v>0.023199632258121</v>
      </c>
      <c r="C47" s="2">
        <v>90.271453907343</v>
      </c>
      <c r="D47" s="2">
        <v>0.025484445457231</v>
      </c>
      <c r="E47" s="2">
        <v>6.7764473915791</v>
      </c>
      <c r="F47" s="2">
        <v>0.86471576335861</v>
      </c>
      <c r="G47" s="2">
        <v>19454038.01288</v>
      </c>
      <c r="H47" s="2">
        <v>25150580.047635</v>
      </c>
      <c r="I47" s="2">
        <v>-0.01251348432391</v>
      </c>
      <c r="J47" s="2">
        <v>-0.010996042250305</v>
      </c>
      <c r="K47" s="2">
        <v>0.024902507218862</v>
      </c>
      <c r="L47" s="2">
        <v>-0.37529970631986</v>
      </c>
      <c r="M47" s="2">
        <v>-0.37606419615658</v>
      </c>
      <c r="N47" s="2">
        <v>690.85434099068</v>
      </c>
      <c r="O47" s="2">
        <v>779.33146664971</v>
      </c>
    </row>
    <row r="48" spans="1:15">
      <c r="A48" s="2">
        <v>8.6066849390983</v>
      </c>
      <c r="B48" s="2">
        <v>0.023803271680491</v>
      </c>
      <c r="C48" s="2">
        <v>90.270293005799</v>
      </c>
      <c r="D48" s="2">
        <v>0.026097178238415</v>
      </c>
      <c r="E48" s="2">
        <v>6.7811055450102</v>
      </c>
      <c r="F48" s="2">
        <v>0.86158783618155</v>
      </c>
      <c r="G48" s="2">
        <v>19559704.842952</v>
      </c>
      <c r="H48" s="2">
        <v>25777630.642928</v>
      </c>
      <c r="I48" s="2">
        <v>-0.012822693086023</v>
      </c>
      <c r="J48" s="2">
        <v>-0.011268020421324</v>
      </c>
      <c r="K48" s="2">
        <v>0.025487356111341</v>
      </c>
      <c r="L48" s="2">
        <v>-0.38523734507085</v>
      </c>
      <c r="M48" s="2">
        <v>-0.38661169605456</v>
      </c>
      <c r="N48" s="2">
        <v>692.79004931413</v>
      </c>
      <c r="O48" s="2">
        <v>781.70488393448</v>
      </c>
    </row>
    <row r="49" spans="1:15">
      <c r="A49" s="2">
        <v>8.8066849390982</v>
      </c>
      <c r="B49" s="2">
        <v>0.024406908196045</v>
      </c>
      <c r="C49" s="2">
        <v>90.269133238457</v>
      </c>
      <c r="D49" s="2">
        <v>0.026709874021777</v>
      </c>
      <c r="E49" s="2">
        <v>6.7857686796009</v>
      </c>
      <c r="F49" s="2">
        <v>0.85846312701028</v>
      </c>
      <c r="G49" s="2">
        <v>19665922.650957</v>
      </c>
      <c r="H49" s="2">
        <v>26407098.635386</v>
      </c>
      <c r="I49" s="2">
        <v>-0.013131719064915</v>
      </c>
      <c r="J49" s="2">
        <v>-0.01153985196756</v>
      </c>
      <c r="K49" s="2">
        <v>0.026071857999232</v>
      </c>
      <c r="L49" s="2">
        <v>-0.39455615777892</v>
      </c>
      <c r="M49" s="2">
        <v>-0.39579207599727</v>
      </c>
      <c r="N49" s="2">
        <v>694.71518208852</v>
      </c>
      <c r="O49" s="2">
        <v>784.06318885677</v>
      </c>
    </row>
    <row r="50" spans="1:15">
      <c r="A50" s="2">
        <v>9.0066849390982</v>
      </c>
      <c r="B50" s="2">
        <v>0.025010541666611</v>
      </c>
      <c r="C50" s="2">
        <v>90.26797463351</v>
      </c>
      <c r="D50" s="2">
        <v>0.02732253385593</v>
      </c>
      <c r="E50" s="2">
        <v>6.7904370881986</v>
      </c>
      <c r="F50" s="2">
        <v>0.8553425781396</v>
      </c>
      <c r="G50" s="2">
        <v>19772684.493572</v>
      </c>
      <c r="H50" s="2">
        <v>27038948.682642</v>
      </c>
      <c r="I50" s="2">
        <v>-0.013440559550274</v>
      </c>
      <c r="J50" s="2">
        <v>-0.011811545383326</v>
      </c>
      <c r="K50" s="2">
        <v>0.026656013299664</v>
      </c>
      <c r="L50" s="2">
        <v>-0.40388463926635</v>
      </c>
      <c r="M50" s="2">
        <v>-0.4050181308334</v>
      </c>
      <c r="N50" s="2">
        <v>696.62915267257</v>
      </c>
      <c r="O50" s="2">
        <v>786.40674568709</v>
      </c>
    </row>
    <row r="51" spans="1:15">
      <c r="A51" s="2">
        <v>9.2066849390982</v>
      </c>
      <c r="B51" s="2">
        <v>0.025614168471745</v>
      </c>
      <c r="C51" s="2">
        <v>90.266817056317</v>
      </c>
      <c r="D51" s="2">
        <v>0.027935156800266</v>
      </c>
      <c r="E51" s="2">
        <v>6.7951114029354</v>
      </c>
      <c r="F51" s="2">
        <v>0.85222661391535</v>
      </c>
      <c r="G51" s="2">
        <v>19879983.892018</v>
      </c>
      <c r="H51" s="2">
        <v>27673148.200128</v>
      </c>
      <c r="I51" s="2">
        <v>-0.013749211076123</v>
      </c>
      <c r="J51" s="2">
        <v>-0.012083104559015</v>
      </c>
      <c r="K51" s="2">
        <v>0.027239822405423</v>
      </c>
      <c r="L51" s="2">
        <v>-0.41326704167179</v>
      </c>
      <c r="M51" s="2">
        <v>-0.41418546288789</v>
      </c>
      <c r="N51" s="2">
        <v>698.5318838247</v>
      </c>
      <c r="O51" s="2">
        <v>788.73513675245</v>
      </c>
    </row>
    <row r="52" spans="1:15">
      <c r="A52" s="2">
        <v>9.4066849390982</v>
      </c>
      <c r="B52" s="2">
        <v>0.026217782050324</v>
      </c>
      <c r="C52" s="2">
        <v>90.265660582704</v>
      </c>
      <c r="D52" s="2">
        <v>0.028547740372257</v>
      </c>
      <c r="E52" s="2">
        <v>6.7997921527624</v>
      </c>
      <c r="F52" s="2">
        <v>0.84911530339954</v>
      </c>
      <c r="G52" s="2">
        <v>19987813.922052</v>
      </c>
      <c r="H52" s="2">
        <v>28309661.892224</v>
      </c>
      <c r="I52" s="2">
        <v>-0.014057667153859</v>
      </c>
      <c r="J52" s="2">
        <v>-0.012354534071661</v>
      </c>
      <c r="K52" s="2">
        <v>0.027823285723035</v>
      </c>
      <c r="L52" s="2">
        <v>-0.42250180165217</v>
      </c>
      <c r="M52" s="2">
        <v>-0.42303768116455</v>
      </c>
      <c r="N52" s="2">
        <v>700.42402264027</v>
      </c>
      <c r="O52" s="2">
        <v>791.0484718896</v>
      </c>
    </row>
    <row r="53" spans="1:15">
      <c r="A53" s="2">
        <v>9.6066849390982</v>
      </c>
      <c r="B53" s="2">
        <v>0.026821378246768</v>
      </c>
      <c r="C53" s="2">
        <v>90.264505113704</v>
      </c>
      <c r="D53" s="2">
        <v>0.029160281777482</v>
      </c>
      <c r="E53" s="2">
        <v>6.8044802033324</v>
      </c>
      <c r="F53" s="2">
        <v>0.84600872625467</v>
      </c>
      <c r="G53" s="2">
        <v>20096168.277206</v>
      </c>
      <c r="H53" s="2">
        <v>28948458.137981</v>
      </c>
      <c r="I53" s="2">
        <v>-0.014365921247836</v>
      </c>
      <c r="J53" s="2">
        <v>-0.012625837850399</v>
      </c>
      <c r="K53" s="2">
        <v>0.028406403653879</v>
      </c>
      <c r="L53" s="2">
        <v>-0.43117155899488</v>
      </c>
      <c r="M53" s="2">
        <v>-0.4308325888257</v>
      </c>
      <c r="N53" s="2">
        <v>702.30582146859</v>
      </c>
      <c r="O53" s="2">
        <v>793.34622137026</v>
      </c>
    </row>
    <row r="54" spans="1:15">
      <c r="A54" s="2">
        <v>9.8066849390982</v>
      </c>
      <c r="B54" s="2">
        <v>0.02742494955769</v>
      </c>
      <c r="C54" s="2">
        <v>90.263350060244</v>
      </c>
      <c r="D54" s="2">
        <v>0.029772785084772</v>
      </c>
      <c r="E54" s="2">
        <v>6.8091767773476</v>
      </c>
      <c r="F54" s="2">
        <v>0.84290676278608</v>
      </c>
      <c r="G54" s="2">
        <v>20205040.355049</v>
      </c>
      <c r="H54" s="2">
        <v>29589503.607062</v>
      </c>
      <c r="I54" s="2">
        <v>-0.014673970721684</v>
      </c>
      <c r="J54" s="2">
        <v>-0.012897038888087</v>
      </c>
      <c r="K54" s="2">
        <v>0.028989176573488</v>
      </c>
      <c r="L54" s="2">
        <v>-0.44229960016693</v>
      </c>
      <c r="M54" s="2">
        <v>-0.44252144336398</v>
      </c>
      <c r="N54" s="2">
        <v>704.17574122333</v>
      </c>
      <c r="O54" s="2">
        <v>795.63056853614</v>
      </c>
    </row>
    <row r="55" spans="1:15">
      <c r="A55" s="2">
        <v>10.006684939098</v>
      </c>
      <c r="B55" s="2">
        <v>0.028028489652452</v>
      </c>
      <c r="C55" s="2">
        <v>90.262196014913</v>
      </c>
      <c r="D55" s="2">
        <v>0.030385239301733</v>
      </c>
      <c r="E55" s="2">
        <v>6.8138834534963</v>
      </c>
      <c r="F55" s="2">
        <v>0.83980888631636</v>
      </c>
      <c r="G55" s="2">
        <v>20314424.178421</v>
      </c>
      <c r="H55" s="2">
        <v>30232768.718459</v>
      </c>
      <c r="I55" s="2">
        <v>-0.014981799398423</v>
      </c>
      <c r="J55" s="2">
        <v>-0.013168129125696</v>
      </c>
      <c r="K55" s="2">
        <v>0.029571604893461</v>
      </c>
      <c r="L55" s="2">
        <v>-0.45214293721757</v>
      </c>
      <c r="M55" s="2">
        <v>-0.45236951957348</v>
      </c>
      <c r="N55" s="2">
        <v>706.03603986929</v>
      </c>
      <c r="O55" s="2">
        <v>797.89931043072</v>
      </c>
    </row>
    <row r="56" spans="1:15">
      <c r="A56" s="2">
        <v>10.206684939098</v>
      </c>
      <c r="B56" s="2">
        <v>0.028631990750054</v>
      </c>
      <c r="C56" s="2">
        <v>90.261043380617</v>
      </c>
      <c r="D56" s="2">
        <v>0.030997642916377</v>
      </c>
      <c r="E56" s="2">
        <v>6.1154781237857</v>
      </c>
      <c r="F56" s="2">
        <v>0.83671355050692</v>
      </c>
      <c r="G56" s="2">
        <v>20424314.345526</v>
      </c>
      <c r="H56" s="2">
        <v>30878227.585829</v>
      </c>
      <c r="I56" s="2">
        <v>-0.015289397586529</v>
      </c>
      <c r="J56" s="2">
        <v>-0.013439129156389</v>
      </c>
      <c r="K56" s="2">
        <v>0.030153688979561</v>
      </c>
      <c r="L56" s="2">
        <v>-0.46226937017151</v>
      </c>
      <c r="M56" s="2">
        <v>-0.46272449892706</v>
      </c>
      <c r="N56" s="2">
        <v>707.88559096174</v>
      </c>
      <c r="O56" s="2">
        <v>800.15308214269</v>
      </c>
    </row>
    <row r="57" spans="1:15">
      <c r="A57" s="2">
        <v>10.406684939098</v>
      </c>
      <c r="B57" s="2">
        <v>0.029235443835955</v>
      </c>
      <c r="C57" s="2">
        <v>90.259893355488</v>
      </c>
      <c r="D57" s="2">
        <v>0.031609986622217</v>
      </c>
      <c r="E57" s="2">
        <v>6.1202136708071</v>
      </c>
      <c r="F57" s="2">
        <v>0.83361873961551</v>
      </c>
      <c r="G57" s="2">
        <v>20534704.892961</v>
      </c>
      <c r="H57" s="2">
        <v>31525850.804756</v>
      </c>
      <c r="I57" s="2">
        <v>-0.01559674706251</v>
      </c>
      <c r="J57" s="2">
        <v>-0.013710040768889</v>
      </c>
      <c r="K57" s="2">
        <v>0.030735429226188</v>
      </c>
      <c r="L57" s="2">
        <v>-0.47055266141861</v>
      </c>
      <c r="M57" s="2">
        <v>-0.46986249946663</v>
      </c>
      <c r="N57" s="2">
        <v>709.72655986845</v>
      </c>
      <c r="O57" s="2">
        <v>802.39116246872</v>
      </c>
    </row>
    <row r="58" spans="1:15">
      <c r="A58" s="2">
        <v>10.606684939098</v>
      </c>
      <c r="B58" s="2">
        <v>0.02983885672621</v>
      </c>
      <c r="C58" s="2">
        <v>90.258745988598</v>
      </c>
      <c r="D58" s="2">
        <v>0.032222279423734</v>
      </c>
      <c r="E58" s="2">
        <v>6.1249662227719</v>
      </c>
      <c r="F58" s="2">
        <v>0.83052404483587</v>
      </c>
      <c r="G58" s="2">
        <v>20645589.328611</v>
      </c>
      <c r="H58" s="2">
        <v>32175605.271028</v>
      </c>
      <c r="I58" s="2">
        <v>-0.015903847044923</v>
      </c>
      <c r="J58" s="2">
        <v>-0.013980888049982</v>
      </c>
      <c r="K58" s="2">
        <v>0.031316825953123</v>
      </c>
      <c r="L58" s="2">
        <v>-0.47994133027455</v>
      </c>
      <c r="M58" s="2">
        <v>-0.47906275123923</v>
      </c>
      <c r="N58" s="2">
        <v>711.55617272485</v>
      </c>
      <c r="O58" s="2">
        <v>804.61563101475</v>
      </c>
    </row>
    <row r="59" spans="1:15">
      <c r="A59" s="2">
        <v>10.806684939098</v>
      </c>
      <c r="B59" s="2">
        <v>0.030442232014584</v>
      </c>
      <c r="C59" s="2">
        <v>90.257602055852</v>
      </c>
      <c r="D59" s="2">
        <v>0.032834523218625</v>
      </c>
      <c r="E59" s="2">
        <v>5.4266097400085</v>
      </c>
      <c r="F59" s="2">
        <v>0.82742866187182</v>
      </c>
      <c r="G59" s="2">
        <v>20756959.109676</v>
      </c>
      <c r="H59" s="2">
        <v>32827445.439665</v>
      </c>
      <c r="I59" s="2">
        <v>-0.01621069746441</v>
      </c>
      <c r="J59" s="2">
        <v>-0.014251660321742</v>
      </c>
      <c r="K59" s="2">
        <v>0.031897879524925</v>
      </c>
      <c r="L59" s="2">
        <v>-0.48938043968826</v>
      </c>
      <c r="M59" s="2">
        <v>-0.48829807734162</v>
      </c>
      <c r="N59" s="2">
        <v>713.37673419269</v>
      </c>
      <c r="O59" s="2">
        <v>806.82789438099</v>
      </c>
    </row>
    <row r="60" spans="1:15">
      <c r="A60" s="2">
        <v>11.006684939098</v>
      </c>
      <c r="B60" s="2">
        <v>0.031045583093142</v>
      </c>
      <c r="C60" s="2">
        <v>90.256461512278</v>
      </c>
      <c r="D60" s="2">
        <v>0.033446725201564</v>
      </c>
      <c r="E60" s="2">
        <v>5.4313929223581</v>
      </c>
      <c r="F60" s="2">
        <v>0.82433255191147</v>
      </c>
      <c r="G60" s="2">
        <v>20868807.64538</v>
      </c>
      <c r="H60" s="2">
        <v>33481337.184415</v>
      </c>
      <c r="I60" s="2">
        <v>-0.016517303274189</v>
      </c>
      <c r="J60" s="2">
        <v>-0.014522353824301</v>
      </c>
      <c r="K60" s="2">
        <v>0.032478590301767</v>
      </c>
      <c r="L60" s="2">
        <v>-0.49873475503278</v>
      </c>
      <c r="M60" s="2">
        <v>-0.49737571310144</v>
      </c>
      <c r="N60" s="2">
        <v>715.1874745229</v>
      </c>
      <c r="O60" s="2">
        <v>809.02750872695</v>
      </c>
    </row>
    <row r="61" spans="1:15">
      <c r="A61" s="2">
        <v>11.206684939098</v>
      </c>
      <c r="B61" s="2">
        <v>0.031648913804357</v>
      </c>
      <c r="C61" s="2">
        <v>90.255324279146</v>
      </c>
      <c r="D61" s="2">
        <v>0.034058890985882</v>
      </c>
      <c r="E61" s="2">
        <v>5.4361891913598</v>
      </c>
      <c r="F61" s="2">
        <v>0.82123628323518</v>
      </c>
      <c r="G61" s="2">
        <v>20981126.964855</v>
      </c>
      <c r="H61" s="2">
        <v>34137238.214593</v>
      </c>
      <c r="I61" s="2">
        <v>-0.016823669511387</v>
      </c>
      <c r="J61" s="2">
        <v>-0.014792962080293</v>
      </c>
      <c r="K61" s="2">
        <v>0.033058958655449</v>
      </c>
      <c r="L61" s="2">
        <v>-0.5079412961902</v>
      </c>
      <c r="M61" s="2">
        <v>-0.50624608003742</v>
      </c>
      <c r="N61" s="2">
        <v>716.9892165476</v>
      </c>
      <c r="O61" s="2">
        <v>811.21564562858</v>
      </c>
    </row>
    <row r="62" spans="1:15">
      <c r="A62" s="2">
        <v>11.406684939098</v>
      </c>
      <c r="B62" s="2">
        <v>0.032252229977407</v>
      </c>
      <c r="C62" s="2">
        <v>90.254190381363</v>
      </c>
      <c r="D62" s="2">
        <v>0.034671025584326</v>
      </c>
      <c r="E62" s="2">
        <v>5.4409975174142</v>
      </c>
      <c r="F62" s="2">
        <v>0.81814025459453</v>
      </c>
      <c r="G62" s="2">
        <v>21093910.241062</v>
      </c>
      <c r="H62" s="2">
        <v>34795113.135968</v>
      </c>
      <c r="I62" s="2">
        <v>-0.017129801962572</v>
      </c>
      <c r="J62" s="2">
        <v>-0.01506347974668</v>
      </c>
      <c r="K62" s="2">
        <v>0.033638984943578</v>
      </c>
      <c r="L62" s="2">
        <v>-0.5170220986811</v>
      </c>
      <c r="M62" s="2">
        <v>-0.51489289405455</v>
      </c>
      <c r="N62" s="2">
        <v>718.78194078975</v>
      </c>
      <c r="O62" s="2">
        <v>813.39258711876</v>
      </c>
    </row>
    <row r="63" spans="1:15">
      <c r="A63" s="2">
        <v>11.606684939098</v>
      </c>
      <c r="B63" s="2">
        <v>0.032855530278648</v>
      </c>
      <c r="C63" s="2">
        <v>90.253059562808</v>
      </c>
      <c r="D63" s="2">
        <v>0.03528313629687</v>
      </c>
      <c r="E63" s="2">
        <v>5.4458169420702</v>
      </c>
      <c r="F63" s="2">
        <v>0.81504473945546</v>
      </c>
      <c r="G63" s="2">
        <v>21207150.019758</v>
      </c>
      <c r="H63" s="2">
        <v>35454922.964997</v>
      </c>
      <c r="I63" s="2">
        <v>-0.017435708168868</v>
      </c>
      <c r="J63" s="2">
        <v>-0.015333909725332</v>
      </c>
      <c r="K63" s="2">
        <v>0.034218669524193</v>
      </c>
      <c r="L63" s="2">
        <v>-0.52770758063132</v>
      </c>
      <c r="M63" s="2">
        <v>-0.5262614798399</v>
      </c>
      <c r="N63" s="2">
        <v>720.56559902659</v>
      </c>
      <c r="O63" s="2">
        <v>815.56082016444</v>
      </c>
    </row>
    <row r="64" spans="1:15">
      <c r="A64" s="2">
        <v>11.806684939098</v>
      </c>
      <c r="B64" s="2">
        <v>0.033458826194011</v>
      </c>
      <c r="C64" s="2">
        <v>90.251931738934</v>
      </c>
      <c r="D64" s="2">
        <v>0.035895221882277</v>
      </c>
      <c r="E64" s="2">
        <v>5.4506471346999</v>
      </c>
      <c r="F64" s="2">
        <v>0.81194991109916</v>
      </c>
      <c r="G64" s="2">
        <v>21320841.334084</v>
      </c>
      <c r="H64" s="2">
        <v>36116643.265419</v>
      </c>
      <c r="I64" s="2">
        <v>-0.017741388828921</v>
      </c>
      <c r="J64" s="2">
        <v>-0.015604237412002</v>
      </c>
      <c r="K64" s="2">
        <v>0.034798012783381</v>
      </c>
      <c r="L64" s="2">
        <v>-0.53754266266252</v>
      </c>
      <c r="M64" s="2">
        <v>-0.53608978808057</v>
      </c>
      <c r="N64" s="2">
        <v>722.34018066211</v>
      </c>
      <c r="O64" s="2">
        <v>817.71708262818</v>
      </c>
    </row>
    <row r="65" spans="1:15">
      <c r="A65" s="2">
        <v>12.006684939098</v>
      </c>
      <c r="B65" s="2">
        <v>0.034062111197253</v>
      </c>
      <c r="C65" s="2">
        <v>90.250806997215</v>
      </c>
      <c r="D65" s="2">
        <v>0.036507285141917</v>
      </c>
      <c r="E65" s="2">
        <v>5.4554874190964</v>
      </c>
      <c r="F65" s="2">
        <v>0.80885588326772</v>
      </c>
      <c r="G65" s="2">
        <v>21434976.785588</v>
      </c>
      <c r="H65" s="2">
        <v>36780235.49838</v>
      </c>
      <c r="I65" s="2">
        <v>-0.018046847461551</v>
      </c>
      <c r="J65" s="2">
        <v>-0.015874461167194</v>
      </c>
      <c r="K65" s="2">
        <v>0.035377015111318</v>
      </c>
      <c r="L65" s="2">
        <v>-0.54719181315581</v>
      </c>
      <c r="M65" s="2">
        <v>-0.54562650484085</v>
      </c>
      <c r="N65" s="2">
        <v>724.10699897832</v>
      </c>
      <c r="O65" s="2">
        <v>819.86363971371</v>
      </c>
    </row>
    <row r="66" spans="1:15">
      <c r="A66" s="2">
        <v>12.206684939098</v>
      </c>
      <c r="B66" s="2">
        <v>0.034665388922117</v>
      </c>
      <c r="C66" s="2">
        <v>90.249685165591</v>
      </c>
      <c r="D66" s="2">
        <v>0.037119329317265</v>
      </c>
      <c r="E66" s="2">
        <v>5.4603375032519</v>
      </c>
      <c r="F66" s="2">
        <v>0.8057623725115</v>
      </c>
      <c r="G66" s="2">
        <v>21549550.4548</v>
      </c>
      <c r="H66" s="2">
        <v>37445669.663507</v>
      </c>
      <c r="I66" s="2">
        <v>-0.018352089180969</v>
      </c>
      <c r="J66" s="2">
        <v>-0.016144578056283</v>
      </c>
      <c r="K66" s="2">
        <v>0.035955676919614</v>
      </c>
      <c r="L66" s="2">
        <v>-0.5568378181799</v>
      </c>
      <c r="M66" s="2">
        <v>-0.55515670948831</v>
      </c>
      <c r="N66" s="2">
        <v>725.86567071745</v>
      </c>
      <c r="O66" s="2">
        <v>822.00045760063</v>
      </c>
    </row>
    <row r="67" spans="1:15">
      <c r="A67" s="2">
        <v>12.406684939098</v>
      </c>
      <c r="B67" s="2">
        <v>0.035268662070033</v>
      </c>
      <c r="C67" s="2">
        <v>90.248566181022</v>
      </c>
      <c r="D67" s="2">
        <v>0.037731356544952</v>
      </c>
      <c r="E67" s="2">
        <v>5.4651972171852</v>
      </c>
      <c r="F67" s="2">
        <v>0.80266920061882</v>
      </c>
      <c r="G67" s="2">
        <v>21664556.828602</v>
      </c>
      <c r="H67" s="2">
        <v>38112918.170383</v>
      </c>
      <c r="I67" s="2">
        <v>-0.01865711640601</v>
      </c>
      <c r="J67" s="2">
        <v>-0.016414586810417</v>
      </c>
      <c r="K67" s="2">
        <v>0.036533998616307</v>
      </c>
      <c r="L67" s="2">
        <v>-0.56652084906589</v>
      </c>
      <c r="M67" s="2">
        <v>-0.56473043580345</v>
      </c>
      <c r="N67" s="2">
        <v>727.61591343258</v>
      </c>
      <c r="O67" s="2">
        <v>824.1272757218</v>
      </c>
    </row>
    <row r="68" spans="1:15">
      <c r="A68" s="2">
        <v>12.606684939098</v>
      </c>
      <c r="B68" s="2">
        <v>0.03587193182757</v>
      </c>
      <c r="C68" s="2">
        <v>90.247450199484</v>
      </c>
      <c r="D68" s="2">
        <v>0.038343368957315</v>
      </c>
      <c r="E68" s="2">
        <v>5.4700657258683</v>
      </c>
      <c r="F68" s="2">
        <v>0.79957624449119</v>
      </c>
      <c r="G68" s="2">
        <v>21779989.694411</v>
      </c>
      <c r="H68" s="2">
        <v>38781949.290571</v>
      </c>
      <c r="I68" s="2">
        <v>-0.018961932090726</v>
      </c>
      <c r="J68" s="2">
        <v>-0.016684484169869</v>
      </c>
      <c r="K68" s="2">
        <v>0.037111980618489</v>
      </c>
      <c r="L68" s="2">
        <v>-0.57622445966252</v>
      </c>
      <c r="M68" s="2">
        <v>-0.57431520968992</v>
      </c>
      <c r="N68" s="2">
        <v>729.35803033462</v>
      </c>
      <c r="O68" s="2">
        <v>826.24441462902</v>
      </c>
    </row>
    <row r="69" spans="1:15">
      <c r="A69" s="2">
        <v>12.806684939098</v>
      </c>
      <c r="B69" s="2">
        <v>0.036475198153146</v>
      </c>
      <c r="C69" s="2">
        <v>90.246336977365</v>
      </c>
      <c r="D69" s="2">
        <v>0.038955368432931</v>
      </c>
      <c r="E69" s="2">
        <v>5.4749430748079</v>
      </c>
      <c r="F69" s="2">
        <v>0.79648317687555</v>
      </c>
      <c r="G69" s="2">
        <v>21895842.83048</v>
      </c>
      <c r="H69" s="2">
        <v>39452731.201754</v>
      </c>
      <c r="I69" s="2">
        <v>-0.019266537013339</v>
      </c>
      <c r="J69" s="2">
        <v>-0.016954268851068</v>
      </c>
      <c r="K69" s="2">
        <v>0.037689623350649</v>
      </c>
      <c r="L69" s="2">
        <v>-0.58593182186017</v>
      </c>
      <c r="M69" s="2">
        <v>-0.58392528191859</v>
      </c>
      <c r="N69" s="2">
        <v>731.09250353794</v>
      </c>
      <c r="O69" s="2">
        <v>828.35246233981</v>
      </c>
    </row>
    <row r="70" spans="1:15">
      <c r="A70" s="2">
        <v>13.006684939098</v>
      </c>
      <c r="B70" s="2">
        <v>0.037078467566576</v>
      </c>
      <c r="C70" s="2">
        <v>90.245226634176</v>
      </c>
      <c r="D70" s="2">
        <v>0.039567358511518</v>
      </c>
      <c r="E70" s="2">
        <v>5.4798286438909</v>
      </c>
      <c r="F70" s="2">
        <v>0.79339000564343</v>
      </c>
      <c r="G70" s="2">
        <v>22012110.656009</v>
      </c>
      <c r="H70" s="2">
        <v>40125235.800785</v>
      </c>
      <c r="I70" s="2">
        <v>-0.01957093511123</v>
      </c>
      <c r="J70" s="2">
        <v>-0.017223938527624</v>
      </c>
      <c r="K70" s="2">
        <v>0.038266927210701</v>
      </c>
      <c r="L70" s="2">
        <v>-0.59570788774903</v>
      </c>
      <c r="M70" s="2">
        <v>-0.59359314148573</v>
      </c>
      <c r="N70" s="2">
        <v>732.81880648509</v>
      </c>
      <c r="O70" s="2">
        <v>830.45105430482</v>
      </c>
    </row>
    <row r="71" spans="1:15">
      <c r="A71" s="2">
        <v>13.206684939098</v>
      </c>
      <c r="B71" s="2">
        <v>0.037681741407372</v>
      </c>
      <c r="C71" s="2">
        <v>90.244119111427</v>
      </c>
      <c r="D71" s="2">
        <v>0.040179341278354</v>
      </c>
      <c r="E71" s="2">
        <v>5.4847222744782</v>
      </c>
      <c r="F71" s="2">
        <v>0.79029652530437</v>
      </c>
      <c r="G71" s="2">
        <v>22128786.979781</v>
      </c>
      <c r="H71" s="2">
        <v>40799431.395327</v>
      </c>
      <c r="I71" s="2">
        <v>-0.019875127173628</v>
      </c>
      <c r="J71" s="2">
        <v>-0.017493490248037</v>
      </c>
      <c r="K71" s="2">
        <v>0.038843892604958</v>
      </c>
      <c r="L71" s="2">
        <v>-0.60521614470336</v>
      </c>
      <c r="M71" s="2">
        <v>-0.60295600607595</v>
      </c>
      <c r="N71" s="2">
        <v>734.53749322157</v>
      </c>
      <c r="O71" s="2">
        <v>832.54051538376</v>
      </c>
    </row>
    <row r="72" spans="1:15">
      <c r="A72" s="2">
        <v>13.406684939098</v>
      </c>
      <c r="B72" s="2">
        <v>0.03828501936326</v>
      </c>
      <c r="C72" s="2">
        <v>90.243014341035</v>
      </c>
      <c r="D72" s="2">
        <v>0.04079132007223</v>
      </c>
      <c r="E72" s="2">
        <v>4.0833735941955</v>
      </c>
      <c r="F72" s="2">
        <v>0.7872026311234</v>
      </c>
      <c r="G72" s="2">
        <v>22245865.188162</v>
      </c>
      <c r="H72" s="2">
        <v>41475283.792409</v>
      </c>
      <c r="I72" s="2">
        <v>-0.020179115534566</v>
      </c>
      <c r="J72" s="2">
        <v>-0.017762923606597</v>
      </c>
      <c r="K72" s="2">
        <v>0.039420519924928</v>
      </c>
      <c r="L72" s="2">
        <v>-0.61508784583356</v>
      </c>
      <c r="M72" s="2">
        <v>-0.61269986248771</v>
      </c>
      <c r="N72" s="2">
        <v>736.24920955068</v>
      </c>
      <c r="O72" s="2">
        <v>834.62228595699</v>
      </c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"/>
  <sheetViews>
    <sheetView tabSelected="1" workbookViewId="0">
      <selection activeCell="A1" sqref="A1:A48"/>
    </sheetView>
  </sheetViews>
  <sheetFormatPr defaultColWidth="8.8" defaultRowHeight="15"/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22" spans="1:1">
      <c r="A22" s="1"/>
    </row>
    <row r="23" spans="1:1">
      <c r="A23" s="1"/>
    </row>
    <row r="24" spans="1:1">
      <c r="A24" s="1"/>
    </row>
    <row r="26" spans="1:1">
      <c r="A26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6" spans="1:1">
      <c r="A4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Exp</vt:lpstr>
      <vt:lpstr>Graph</vt:lpstr>
      <vt:lpstr>923K</vt:lpstr>
      <vt:lpstr>873K</vt:lpstr>
      <vt:lpstr>823K</vt:lpstr>
      <vt:lpstr>773K</vt:lpstr>
      <vt:lpstr>723K</vt:lpstr>
      <vt:lpstr>673K</vt:lpstr>
      <vt:lpstr>573K</vt:lpstr>
      <vt:lpstr>473K</vt:lpstr>
      <vt:lpstr>props-723to923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2025-01-26T03:53:00Z</dcterms:created>
  <dcterms:modified xsi:type="dcterms:W3CDTF">2025-04-20T10:00:17Z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