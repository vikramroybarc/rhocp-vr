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13020" windowHeight="12375" tabRatio="500" firstSheet="3" activeTab="4"/>
  </bookViews>
  <sheets>
    <sheet name="Sheet1" sheetId="1" r:id="rId1"/>
    <sheet name="DeltaF" sheetId="2" r:id="rId2"/>
    <sheet name="2013 Morris" sheetId="3" r:id="rId3"/>
    <sheet name="2023 Zinoeve" sheetId="4" r:id="rId4"/>
    <sheet name="Gev_Vacancy Formation" sheetId="5" r:id="rId5"/>
  </sheets>
  <calcPr calcId="144525"/>
</workbook>
</file>

<file path=xl/sharedStrings.xml><?xml version="1.0" encoding="utf-8"?>
<sst xmlns="http://schemas.openxmlformats.org/spreadsheetml/2006/main" count="54" uniqueCount="47">
  <si>
    <t>Temperature</t>
  </si>
  <si>
    <t>C11</t>
  </si>
  <si>
    <t>C12</t>
  </si>
  <si>
    <t>C44</t>
  </si>
  <si>
    <t>E</t>
  </si>
  <si>
    <t>G</t>
  </si>
  <si>
    <t>v</t>
  </si>
  <si>
    <t>C11_Calc</t>
  </si>
  <si>
    <t>C12_Calc</t>
  </si>
  <si>
    <t>C44_calc</t>
  </si>
  <si>
    <t>E_old</t>
  </si>
  <si>
    <t>G_old</t>
  </si>
  <si>
    <t>T(K)</t>
  </si>
  <si>
    <t>C11_2014_Patra</t>
  </si>
  <si>
    <t>C12_2014_Patra</t>
  </si>
  <si>
    <t>C44_2014_Patra</t>
  </si>
  <si>
    <t>C11_2024_Sparks</t>
  </si>
  <si>
    <t>C12_2024_Sparks</t>
  </si>
  <si>
    <t>C44_2024_Sparks</t>
  </si>
  <si>
    <t>C11_Diff</t>
  </si>
  <si>
    <t>C12_Diff</t>
  </si>
  <si>
    <t>C44_Diff</t>
  </si>
  <si>
    <t>C11_PercentDiff</t>
  </si>
  <si>
    <t>C12_PercentDiff</t>
  </si>
  <si>
    <t>C44_PercentDiff</t>
  </si>
  <si>
    <t>T</t>
  </si>
  <si>
    <t>bmag</t>
  </si>
  <si>
    <t>deltaF</t>
  </si>
  <si>
    <t>F/KT</t>
  </si>
  <si>
    <t>F2/KT</t>
  </si>
  <si>
    <t>Alpha_Varied</t>
  </si>
  <si>
    <t>Alpha_Const</t>
  </si>
  <si>
    <t>Irradiation Hardening</t>
  </si>
  <si>
    <t xml:space="preserve">       </t>
  </si>
  <si>
    <t>723K Engg Stress Strain</t>
  </si>
  <si>
    <t>723K True Stress Strain</t>
  </si>
  <si>
    <t>573K Engg Stress Strain</t>
  </si>
  <si>
    <t>573K True Stress Strain</t>
  </si>
  <si>
    <t>723K Plastic Stress Strain</t>
  </si>
  <si>
    <t>573K Plastic  Stress Strain</t>
  </si>
  <si>
    <t>623K Engg Stress Strain</t>
  </si>
  <si>
    <t>823K Engg Stress Strain</t>
  </si>
  <si>
    <t>623K True Stress Strain</t>
  </si>
  <si>
    <t>823K True Stress Strain</t>
  </si>
  <si>
    <t>573K Plastic Stress Strain</t>
  </si>
  <si>
    <t>623K Plastic Stress Strain</t>
  </si>
  <si>
    <t>823K Plastic Stress Strain</t>
  </si>
</sst>
</file>

<file path=xl/styles.xml><?xml version="1.0" encoding="utf-8"?>
<styleSheet xmlns="http://schemas.openxmlformats.org/spreadsheetml/2006/main">
  <numFmts count="4">
    <numFmt numFmtId="176" formatCode="_ &quot;₹&quot;\ * #,##0.00_ ;_ &quot;₹&quot;\ * \-#,##0.00_ ;_ &quot;₹&quot;\ * &quot;-&quot;??_ ;_ @_ "/>
    <numFmt numFmtId="177" formatCode="_ * #,##0.00_ ;_ * \-#,##0.00_ ;_ * &quot;-&quot;??_ ;_ @_ "/>
    <numFmt numFmtId="178" formatCode="_ * #,##0_ ;_ * \-#,##0_ ;_ * &quot;-&quot;_ ;_ @_ "/>
    <numFmt numFmtId="179" formatCode="_ &quot;₹&quot;\ * #,##0_ ;_ &quot;₹&quot;\ * \-#,##0_ ;_ &quot;₹&quot;\ * &quot;-&quot;_ ;_ @_ "/>
  </numFmts>
  <fonts count="22">
    <font>
      <sz val="11"/>
      <color rgb="FF000000"/>
      <name val="Calibri"/>
      <charset val="1"/>
    </font>
    <font>
      <sz val="11"/>
      <color theme="1"/>
      <name val="Calibri"/>
      <charset val="134"/>
      <scheme val="minor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4" fillId="2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21" fillId="12" borderId="8" applyNumberFormat="0" applyAlignment="0" applyProtection="0">
      <alignment vertical="center"/>
    </xf>
    <xf numFmtId="176" fontId="2" fillId="0" borderId="0" applyBorder="0" applyAlignment="0" applyProtection="0"/>
    <xf numFmtId="0" fontId="6" fillId="5" borderId="0" applyNumberFormat="0" applyBorder="0" applyAlignment="0" applyProtection="0">
      <alignment vertical="center"/>
    </xf>
    <xf numFmtId="0" fontId="1" fillId="11" borderId="5" applyNumberFormat="0" applyFont="0" applyAlignment="0" applyProtection="0">
      <alignment vertical="center"/>
    </xf>
    <xf numFmtId="0" fontId="14" fillId="10" borderId="4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12" borderId="4" applyNumberForma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178" fontId="2" fillId="0" borderId="0" applyBorder="0" applyAlignment="0" applyProtection="0"/>
    <xf numFmtId="0" fontId="6" fillId="4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179" fontId="2" fillId="0" borderId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177" fontId="2" fillId="0" borderId="0" applyBorder="0" applyAlignment="0" applyProtection="0"/>
    <xf numFmtId="0" fontId="9" fillId="7" borderId="3" applyNumberFormat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9" fontId="2" fillId="0" borderId="0" applyBorder="0" applyAlignment="0" applyProtection="0"/>
    <xf numFmtId="0" fontId="3" fillId="0" borderId="0" applyNumberFormat="0" applyFill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 applyFill="1" applyAlignment="1">
      <alignment vertical="center"/>
    </xf>
    <xf numFmtId="11" fontId="1" fillId="0" borderId="0" xfId="0" applyNumberFormat="1" applyFont="1" applyFill="1" applyAlignment="1">
      <alignment vertical="center"/>
    </xf>
    <xf numFmtId="0" fontId="0" fillId="2" borderId="0" xfId="0" applyFont="1" applyFill="1" applyBorder="1" applyAlignment="1">
      <alignment horizontal="center"/>
    </xf>
    <xf numFmtId="11" fontId="0" fillId="0" borderId="0" xfId="0" applyNumberFormat="1"/>
    <xf numFmtId="2" fontId="0" fillId="0" borderId="0" xfId="0" applyNumberFormat="1"/>
    <xf numFmtId="0" fontId="0" fillId="0" borderId="0" xfId="0" applyFill="1"/>
    <xf numFmtId="0" fontId="2" fillId="0" borderId="0" xfId="0" applyFont="1" applyFill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5B9BD5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4472C4"/>
      <rgbColor rgb="0033CCCC"/>
      <rgbColor rgb="0099CC00"/>
      <rgbColor rgb="00FFC000"/>
      <rgbColor rgb="00FF9900"/>
      <rgbColor rgb="00ED7D31"/>
      <rgbColor rgb="00595959"/>
      <rgbColor rgb="00A5A5A5"/>
      <rgbColor rgb="00003366"/>
      <rgbColor rgb="0070AD47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tx>
            <c:strRef>
              <c:f>Sheet1!$B$18</c:f>
              <c:strCache>
                <c:ptCount val="1"/>
                <c:pt idx="0">
                  <c:v>C11_2014_Patra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Sheet1!$A$19:$A$33</c:f>
              <c:numCache>
                <c:formatCode>General</c:formatCode>
                <c:ptCount val="15"/>
                <c:pt idx="0">
                  <c:v>10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</c:numCache>
            </c:numRef>
          </c:xVal>
          <c:yVal>
            <c:numRef>
              <c:f>Sheet1!$B$19:$B$33</c:f>
              <c:numCache>
                <c:formatCode>General</c:formatCode>
                <c:ptCount val="15"/>
                <c:pt idx="0">
                  <c:v>239260</c:v>
                </c:pt>
                <c:pt idx="1">
                  <c:v>238763.800089741</c:v>
                </c:pt>
                <c:pt idx="2">
                  <c:v>235240.586194659</c:v>
                </c:pt>
                <c:pt idx="3">
                  <c:v>230159.001154604</c:v>
                </c:pt>
                <c:pt idx="4">
                  <c:v>224530.230745584</c:v>
                </c:pt>
                <c:pt idx="5">
                  <c:v>218660.965397552</c:v>
                </c:pt>
                <c:pt idx="6">
                  <c:v>212666.58360662</c:v>
                </c:pt>
                <c:pt idx="7">
                  <c:v>206599.219915502</c:v>
                </c:pt>
                <c:pt idx="8">
                  <c:v>200485.687821947</c:v>
                </c:pt>
                <c:pt idx="9">
                  <c:v>194341.138323396</c:v>
                </c:pt>
                <c:pt idx="10">
                  <c:v>188174.762698545</c:v>
                </c:pt>
                <c:pt idx="11">
                  <c:v>181992.454437482</c:v>
                </c:pt>
                <c:pt idx="12">
                  <c:v>175798.163984438</c:v>
                </c:pt>
                <c:pt idx="13">
                  <c:v>169594.637353451</c:v>
                </c:pt>
                <c:pt idx="14">
                  <c:v>163383.842057616</c:v>
                </c:pt>
              </c:numCache>
            </c:numRef>
          </c:yVal>
          <c:smooth val="1"/>
        </c:ser>
        <c:ser>
          <c:idx val="0"/>
          <c:order val="1"/>
          <c:tx>
            <c:strRef>
              <c:f>Sheet1!$E$18</c:f>
              <c:strCache>
                <c:ptCount val="1"/>
                <c:pt idx="0">
                  <c:v>C11_2024_Sparks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Sheet1!$A$19:$A$33</c:f>
              <c:numCache>
                <c:formatCode>General</c:formatCode>
                <c:ptCount val="15"/>
                <c:pt idx="0">
                  <c:v>10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</c:numCache>
            </c:numRef>
          </c:xVal>
          <c:yVal>
            <c:numRef>
              <c:f>Sheet1!$E$19:$E$33</c:f>
              <c:numCache>
                <c:formatCode>General</c:formatCode>
                <c:ptCount val="15"/>
                <c:pt idx="0">
                  <c:v>263960</c:v>
                </c:pt>
                <c:pt idx="1">
                  <c:v>254600</c:v>
                </c:pt>
                <c:pt idx="2">
                  <c:v>244200</c:v>
                </c:pt>
                <c:pt idx="3">
                  <c:v>233800</c:v>
                </c:pt>
                <c:pt idx="4">
                  <c:v>223400</c:v>
                </c:pt>
                <c:pt idx="5">
                  <c:v>213000</c:v>
                </c:pt>
                <c:pt idx="6">
                  <c:v>202600</c:v>
                </c:pt>
                <c:pt idx="7">
                  <c:v>192200</c:v>
                </c:pt>
                <c:pt idx="8">
                  <c:v>181800</c:v>
                </c:pt>
                <c:pt idx="9">
                  <c:v>171400</c:v>
                </c:pt>
                <c:pt idx="10">
                  <c:v>161000</c:v>
                </c:pt>
                <c:pt idx="11">
                  <c:v>150600</c:v>
                </c:pt>
                <c:pt idx="12">
                  <c:v>140200</c:v>
                </c:pt>
                <c:pt idx="13">
                  <c:v>129800</c:v>
                </c:pt>
                <c:pt idx="14">
                  <c:v>119400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7138201"/>
        <c:axId val="712464879"/>
      </c:scatterChart>
      <c:valAx>
        <c:axId val="297138201"/>
        <c:scaling>
          <c:orientation val="minMax"/>
          <c:max val="700"/>
          <c:min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2464879"/>
        <c:crosses val="autoZero"/>
        <c:crossBetween val="midCat"/>
      </c:valAx>
      <c:valAx>
        <c:axId val="712464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713820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"C12_Patra"</c:f>
              <c:strCache>
                <c:ptCount val="1"/>
                <c:pt idx="0">
                  <c:v>C12_Patra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Sheet1!$A$19:$A$33</c:f>
              <c:numCache>
                <c:formatCode>General</c:formatCode>
                <c:ptCount val="15"/>
                <c:pt idx="0">
                  <c:v>10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</c:numCache>
            </c:numRef>
          </c:xVal>
          <c:yVal>
            <c:numRef>
              <c:f>Sheet1!$C$19:$C$33</c:f>
              <c:numCache>
                <c:formatCode>General</c:formatCode>
                <c:ptCount val="15"/>
                <c:pt idx="0">
                  <c:v>135780</c:v>
                </c:pt>
                <c:pt idx="1">
                  <c:v>135719.666385503</c:v>
                </c:pt>
                <c:pt idx="2">
                  <c:v>135088.140202364</c:v>
                </c:pt>
                <c:pt idx="3">
                  <c:v>134049.515381704</c:v>
                </c:pt>
                <c:pt idx="4">
                  <c:v>132849.758721449</c:v>
                </c:pt>
                <c:pt idx="5">
                  <c:v>131576.404960518</c:v>
                </c:pt>
                <c:pt idx="6">
                  <c:v>130264.115632141</c:v>
                </c:pt>
                <c:pt idx="7">
                  <c:v>128928.914039717</c:v>
                </c:pt>
                <c:pt idx="8">
                  <c:v>127579.142597594</c:v>
                </c:pt>
                <c:pt idx="9">
                  <c:v>126219.550015494</c:v>
                </c:pt>
                <c:pt idx="10">
                  <c:v>124853.030899485</c:v>
                </c:pt>
                <c:pt idx="11">
                  <c:v>123481.44741104</c:v>
                </c:pt>
                <c:pt idx="12">
                  <c:v>122106.050728681</c:v>
                </c:pt>
                <c:pt idx="13">
                  <c:v>120727.712098345</c:v>
                </c:pt>
                <c:pt idx="14">
                  <c:v>119347.056606264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"C12_Vikram"</c:f>
              <c:strCache>
                <c:ptCount val="1"/>
                <c:pt idx="0">
                  <c:v>C12_Vikram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Sheet1!$A$19:$A$33</c:f>
              <c:numCache>
                <c:formatCode>General</c:formatCode>
                <c:ptCount val="15"/>
                <c:pt idx="0">
                  <c:v>10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</c:numCache>
            </c:numRef>
          </c:xVal>
          <c:yVal>
            <c:numRef>
              <c:f>Sheet1!$F$19:$F$33</c:f>
              <c:numCache>
                <c:formatCode>General</c:formatCode>
                <c:ptCount val="15"/>
                <c:pt idx="0">
                  <c:v>135899</c:v>
                </c:pt>
                <c:pt idx="1">
                  <c:v>134990</c:v>
                </c:pt>
                <c:pt idx="2">
                  <c:v>133980</c:v>
                </c:pt>
                <c:pt idx="3">
                  <c:v>132970</c:v>
                </c:pt>
                <c:pt idx="4">
                  <c:v>131960</c:v>
                </c:pt>
                <c:pt idx="5">
                  <c:v>130950</c:v>
                </c:pt>
                <c:pt idx="6">
                  <c:v>129940</c:v>
                </c:pt>
                <c:pt idx="7">
                  <c:v>128930</c:v>
                </c:pt>
                <c:pt idx="8">
                  <c:v>127920</c:v>
                </c:pt>
                <c:pt idx="9">
                  <c:v>126910</c:v>
                </c:pt>
                <c:pt idx="10">
                  <c:v>125900</c:v>
                </c:pt>
                <c:pt idx="11">
                  <c:v>124890</c:v>
                </c:pt>
                <c:pt idx="12">
                  <c:v>123880</c:v>
                </c:pt>
                <c:pt idx="13">
                  <c:v>122870</c:v>
                </c:pt>
                <c:pt idx="14">
                  <c:v>121860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8279578"/>
        <c:axId val="698412362"/>
      </c:scatterChart>
      <c:valAx>
        <c:axId val="898279578"/>
        <c:scaling>
          <c:orientation val="minMax"/>
          <c:max val="700"/>
          <c:min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8412362"/>
        <c:crosses val="autoZero"/>
        <c:crossBetween val="midCat"/>
      </c:valAx>
      <c:valAx>
        <c:axId val="69841236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827957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Sheet1!$D$18</c:f>
              <c:strCache>
                <c:ptCount val="1"/>
                <c:pt idx="0">
                  <c:v>C44_2014_Patra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Sheet1!$A$19:$A$33</c:f>
              <c:numCache>
                <c:formatCode>General</c:formatCode>
                <c:ptCount val="15"/>
                <c:pt idx="0">
                  <c:v>10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</c:numCache>
            </c:numRef>
          </c:xVal>
          <c:yVal>
            <c:numRef>
              <c:f>Sheet1!$D$19:$D$33</c:f>
              <c:numCache>
                <c:formatCode>General</c:formatCode>
                <c:ptCount val="15"/>
                <c:pt idx="0">
                  <c:v>120719.999705279</c:v>
                </c:pt>
                <c:pt idx="1">
                  <c:v>119866.085996276</c:v>
                </c:pt>
                <c:pt idx="2">
                  <c:v>117937.908582554</c:v>
                </c:pt>
                <c:pt idx="3">
                  <c:v>115866.725663272</c:v>
                </c:pt>
                <c:pt idx="4">
                  <c:v>113757.316206336</c:v>
                </c:pt>
                <c:pt idx="5">
                  <c:v>111632.355698545</c:v>
                </c:pt>
                <c:pt idx="6">
                  <c:v>109499.56523133</c:v>
                </c:pt>
                <c:pt idx="7">
                  <c:v>107362.284404784</c:v>
                </c:pt>
                <c:pt idx="8">
                  <c:v>105222.191199146</c:v>
                </c:pt>
                <c:pt idx="9">
                  <c:v>103080.220561412</c:v>
                </c:pt>
                <c:pt idx="10">
                  <c:v>100936.93452849</c:v>
                </c:pt>
                <c:pt idx="11">
                  <c:v>98792.6912287729</c:v>
                </c:pt>
                <c:pt idx="12">
                  <c:v>96647.7296391543</c:v>
                </c:pt>
                <c:pt idx="13">
                  <c:v>94502.2153208547</c:v>
                </c:pt>
                <c:pt idx="14">
                  <c:v>92356.2665950539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Sheet1!$G$18</c:f>
              <c:strCache>
                <c:ptCount val="1"/>
                <c:pt idx="0">
                  <c:v>C44_2024_Sparks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Sheet1!$A$19:$A$33</c:f>
              <c:numCache>
                <c:formatCode>General</c:formatCode>
                <c:ptCount val="15"/>
                <c:pt idx="0">
                  <c:v>10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</c:numCache>
            </c:numRef>
          </c:xVal>
          <c:yVal>
            <c:numRef>
              <c:f>Sheet1!$G$19:$G$33</c:f>
              <c:numCache>
                <c:formatCode>General</c:formatCode>
                <c:ptCount val="15"/>
                <c:pt idx="0">
                  <c:v>125365</c:v>
                </c:pt>
                <c:pt idx="1">
                  <c:v>124150</c:v>
                </c:pt>
                <c:pt idx="2">
                  <c:v>122800</c:v>
                </c:pt>
                <c:pt idx="3">
                  <c:v>121450</c:v>
                </c:pt>
                <c:pt idx="4">
                  <c:v>120100</c:v>
                </c:pt>
                <c:pt idx="5">
                  <c:v>118750</c:v>
                </c:pt>
                <c:pt idx="6">
                  <c:v>117400</c:v>
                </c:pt>
                <c:pt idx="7">
                  <c:v>116050</c:v>
                </c:pt>
                <c:pt idx="8">
                  <c:v>114700</c:v>
                </c:pt>
                <c:pt idx="9">
                  <c:v>113350</c:v>
                </c:pt>
                <c:pt idx="10">
                  <c:v>112000</c:v>
                </c:pt>
                <c:pt idx="11">
                  <c:v>110650</c:v>
                </c:pt>
                <c:pt idx="12">
                  <c:v>109300</c:v>
                </c:pt>
                <c:pt idx="13">
                  <c:v>107950</c:v>
                </c:pt>
                <c:pt idx="14">
                  <c:v>106600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200294"/>
        <c:axId val="153659993"/>
      </c:scatterChart>
      <c:valAx>
        <c:axId val="26200294"/>
        <c:scaling>
          <c:orientation val="minMax"/>
          <c:max val="700"/>
          <c:min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3659993"/>
        <c:crosses val="autoZero"/>
        <c:crossBetween val="midCat"/>
      </c:valAx>
      <c:valAx>
        <c:axId val="15365999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620029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920" b="0" i="0" u="none" strike="noStrike" kern="1200" spc="-1" baseline="0">
                <a:solidFill>
                  <a:srgbClr val="595959"/>
                </a:solidFill>
                <a:latin typeface="Calibri"/>
                <a:ea typeface="+mn-ea"/>
                <a:cs typeface="+mn-cs"/>
              </a:defRPr>
            </a:pPr>
            <a:r>
              <a:rPr sz="1920" b="0" strike="noStrike" spc="-1">
                <a:solidFill>
                  <a:srgbClr val="595959"/>
                </a:solidFill>
                <a:latin typeface="Calibri"/>
              </a:rPr>
              <a:t>Variation of DeltaF with Temperature</a:t>
            </a:r>
            <a:endParaRPr sz="1920" b="0" strike="noStrike" spc="-1">
              <a:solidFill>
                <a:srgbClr val="595959"/>
              </a:solidFill>
              <a:latin typeface="Calibri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6338605741066"/>
          <c:y val="0.111195158850227"/>
          <c:w val="0.824663151728178"/>
          <c:h val="0.753857791225416"/>
        </c:manualLayout>
      </c:layout>
      <c:scatterChart>
        <c:scatterStyle val="lineMarker"/>
        <c:varyColors val="0"/>
        <c:ser>
          <c:idx val="0"/>
          <c:order val="0"/>
          <c:tx>
            <c:strRef>
              <c:f>"Alpha = Constant"</c:f>
              <c:strCache>
                <c:ptCount val="1"/>
                <c:pt idx="0">
                  <c:v>Alpha = Constant</c:v>
                </c:pt>
              </c:strCache>
            </c:strRef>
          </c:tx>
          <c:spPr>
            <a:ln w="19080" cap="rnd" cmpd="sng" algn="ctr">
              <a:solidFill>
                <a:srgbClr val="4472C4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600" b="0" i="0" u="none" strike="noStrike" kern="1200" spc="-1" baseline="0">
                    <a:solidFill>
                      <a:srgbClr val="000000"/>
                    </a:solidFill>
                    <a:latin typeface="Calibri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xVal>
            <c:numRef>
              <c:f>DeltaF!$A$2:$A$9</c:f>
              <c:numCache>
                <c:formatCode>General</c:formatCode>
                <c:ptCount val="8"/>
                <c:pt idx="0">
                  <c:v>473</c:v>
                </c:pt>
                <c:pt idx="1">
                  <c:v>573</c:v>
                </c:pt>
                <c:pt idx="2">
                  <c:v>673</c:v>
                </c:pt>
                <c:pt idx="3">
                  <c:v>723</c:v>
                </c:pt>
                <c:pt idx="4">
                  <c:v>773</c:v>
                </c:pt>
                <c:pt idx="5">
                  <c:v>823</c:v>
                </c:pt>
                <c:pt idx="6">
                  <c:v>873</c:v>
                </c:pt>
                <c:pt idx="7">
                  <c:v>923</c:v>
                </c:pt>
              </c:numCache>
            </c:numRef>
          </c:xVal>
          <c:yVal>
            <c:numRef>
              <c:f>DeltaF!$F$2:$F$9</c:f>
              <c:numCache>
                <c:formatCode>0.00</c:formatCode>
                <c:ptCount val="8"/>
                <c:pt idx="0">
                  <c:v>5.20289530230154</c:v>
                </c:pt>
                <c:pt idx="1">
                  <c:v>5.03004003714462</c:v>
                </c:pt>
                <c:pt idx="2">
                  <c:v>4.85718477198769</c:v>
                </c:pt>
                <c:pt idx="3">
                  <c:v>4.77075713940923</c:v>
                </c:pt>
                <c:pt idx="4">
                  <c:v>4.68432950683077</c:v>
                </c:pt>
                <c:pt idx="5">
                  <c:v>4.59790187425231</c:v>
                </c:pt>
                <c:pt idx="6">
                  <c:v>4.51147424167385</c:v>
                </c:pt>
                <c:pt idx="7">
                  <c:v>4.42504660909538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"Alpha = Varied"</c:f>
              <c:strCache>
                <c:ptCount val="1"/>
                <c:pt idx="0">
                  <c:v>Alpha = Varied</c:v>
                </c:pt>
              </c:strCache>
            </c:strRef>
          </c:tx>
          <c:dLbls>
            <c:delete val="1"/>
          </c:dLbls>
          <c:xVal>
            <c:numRef>
              <c:f>DeltaF!$A$2:$A$9</c:f>
              <c:numCache>
                <c:formatCode>General</c:formatCode>
                <c:ptCount val="8"/>
                <c:pt idx="0">
                  <c:v>473</c:v>
                </c:pt>
                <c:pt idx="1">
                  <c:v>573</c:v>
                </c:pt>
                <c:pt idx="2">
                  <c:v>673</c:v>
                </c:pt>
                <c:pt idx="3">
                  <c:v>723</c:v>
                </c:pt>
                <c:pt idx="4">
                  <c:v>773</c:v>
                </c:pt>
                <c:pt idx="5">
                  <c:v>823</c:v>
                </c:pt>
                <c:pt idx="6">
                  <c:v>873</c:v>
                </c:pt>
                <c:pt idx="7">
                  <c:v>923</c:v>
                </c:pt>
              </c:numCache>
            </c:numRef>
          </c:xVal>
          <c:yVal>
            <c:numRef>
              <c:f>DeltaF!#REF!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051785"/>
        <c:axId val="34976722"/>
      </c:scatterChart>
      <c:valAx>
        <c:axId val="27051785"/>
        <c:scaling>
          <c:orientation val="minMax"/>
          <c:min val="400"/>
        </c:scaling>
        <c:delete val="0"/>
        <c:axPos val="b"/>
        <c:majorGridlines>
          <c:spPr>
            <a:ln w="9360" cap="flat" cmpd="sng" algn="ctr">
              <a:solidFill>
                <a:srgbClr val="D9D9D9"/>
              </a:solidFill>
              <a:prstDash val="solid"/>
              <a:round/>
            </a:ln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6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600"/>
                  <a:t>Temperature (K)</a:t>
                </a:r>
                <a:endParaRPr sz="1600"/>
              </a:p>
            </c:rich>
          </c:tx>
          <c:layout/>
          <c:overlay val="0"/>
        </c:title>
        <c:numFmt formatCode="General" sourceLinked="0"/>
        <c:majorTickMark val="none"/>
        <c:minorTickMark val="none"/>
        <c:tickLblPos val="nextTo"/>
        <c:spPr>
          <a:ln w="9360" cap="flat" cmpd="sng" algn="ctr">
            <a:solidFill>
              <a:srgbClr val="BFBFBF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600" b="0" i="0" u="none" strike="noStrike" kern="1200" spc="-1" baseline="0">
                <a:solidFill>
                  <a:srgbClr val="595959"/>
                </a:solidFill>
                <a:latin typeface="Calibri"/>
                <a:ea typeface="+mn-ea"/>
                <a:cs typeface="+mn-cs"/>
              </a:defRPr>
            </a:pPr>
          </a:p>
        </c:txPr>
        <c:crossAx val="34976722"/>
        <c:crosses val="autoZero"/>
        <c:crossBetween val="midCat"/>
      </c:valAx>
      <c:valAx>
        <c:axId val="34976722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D9D9D9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6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600"/>
                  <a:t>DeltaF (eV)</a:t>
                </a:r>
                <a:endParaRPr sz="1600"/>
              </a:p>
            </c:rich>
          </c:tx>
          <c:layout/>
          <c:overlay val="0"/>
        </c:title>
        <c:numFmt formatCode="0.00" sourceLinked="0"/>
        <c:majorTickMark val="none"/>
        <c:minorTickMark val="none"/>
        <c:tickLblPos val="nextTo"/>
        <c:spPr>
          <a:ln w="9360" cap="flat" cmpd="sng" algn="ctr">
            <a:solidFill>
              <a:srgbClr val="BFBFBF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600" b="0" i="0" u="none" strike="noStrike" kern="1200" spc="-1" baseline="0">
                <a:solidFill>
                  <a:srgbClr val="595959"/>
                </a:solidFill>
                <a:latin typeface="Calibri"/>
                <a:ea typeface="+mn-ea"/>
                <a:cs typeface="+mn-cs"/>
              </a:defRPr>
            </a:pPr>
          </a:p>
        </c:txPr>
        <c:crossAx val="27051785"/>
        <c:crosses val="autoZero"/>
        <c:crossBetween val="midCat"/>
      </c:valAx>
      <c:spPr>
        <a:noFill/>
        <a:ln w="0">
          <a:noFill/>
        </a:ln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>
        <c:manualLayout>
          <c:xMode val="edge"/>
          <c:yMode val="edge"/>
          <c:x val="0.709944346807264"/>
          <c:y val="0.479954614220877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en-US" sz="16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 sz="1600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962509355650813"/>
          <c:y val="0.0393267023718439"/>
          <c:w val="0.651316595223515"/>
          <c:h val="0.774506503442999"/>
        </c:manualLayout>
      </c:layout>
      <c:scatterChart>
        <c:scatterStyle val="lineMarker"/>
        <c:varyColors val="0"/>
        <c:ser>
          <c:idx val="0"/>
          <c:order val="0"/>
          <c:tx>
            <c:strRef>
              <c:f>"Alpha = Constant"</c:f>
              <c:strCache>
                <c:ptCount val="1"/>
                <c:pt idx="0">
                  <c:v>Alpha = Constant</c:v>
                </c:pt>
              </c:strCache>
            </c:strRef>
          </c:tx>
          <c:spPr>
            <a:ln w="19080" cap="rnd" cmpd="sng" algn="ctr">
              <a:solidFill>
                <a:srgbClr val="4472C4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400" b="0" i="0" u="none" strike="noStrike" kern="1200" spc="-1" baseline="0">
                    <a:solidFill>
                      <a:srgbClr val="000000"/>
                    </a:solidFill>
                    <a:latin typeface="Calibri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xVal>
            <c:numRef>
              <c:f>DeltaF!$A$2:$A$9</c:f>
              <c:numCache>
                <c:formatCode>General</c:formatCode>
                <c:ptCount val="8"/>
                <c:pt idx="0">
                  <c:v>473</c:v>
                </c:pt>
                <c:pt idx="1">
                  <c:v>573</c:v>
                </c:pt>
                <c:pt idx="2">
                  <c:v>673</c:v>
                </c:pt>
                <c:pt idx="3">
                  <c:v>723</c:v>
                </c:pt>
                <c:pt idx="4">
                  <c:v>773</c:v>
                </c:pt>
                <c:pt idx="5">
                  <c:v>823</c:v>
                </c:pt>
                <c:pt idx="6">
                  <c:v>873</c:v>
                </c:pt>
                <c:pt idx="7">
                  <c:v>923</c:v>
                </c:pt>
              </c:numCache>
            </c:numRef>
          </c:xVal>
          <c:yVal>
            <c:numRef>
              <c:f>DeltaF!$H$2:$H$9</c:f>
              <c:numCache>
                <c:formatCode>General</c:formatCode>
                <c:ptCount val="8"/>
                <c:pt idx="0">
                  <c:v>127.533665528119</c:v>
                </c:pt>
                <c:pt idx="1">
                  <c:v>101.778891410974</c:v>
                </c:pt>
                <c:pt idx="2">
                  <c:v>83.6778391711384</c:v>
                </c:pt>
                <c:pt idx="3">
                  <c:v>76.5050155657262</c:v>
                </c:pt>
                <c:pt idx="4">
                  <c:v>70.2601122197465</c:v>
                </c:pt>
                <c:pt idx="5">
                  <c:v>64.7740063641652</c:v>
                </c:pt>
                <c:pt idx="6">
                  <c:v>59.9163204233125</c:v>
                </c:pt>
                <c:pt idx="7">
                  <c:v>55.5849276504829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"Alpha = Varied"</c:f>
              <c:strCache>
                <c:ptCount val="1"/>
                <c:pt idx="0">
                  <c:v>Alpha = Varied</c:v>
                </c:pt>
              </c:strCache>
            </c:strRef>
          </c:tx>
          <c:spPr>
            <a:ln w="19080" cap="rnd" cmpd="sng" algn="ctr">
              <a:solidFill>
                <a:srgbClr val="ED7D3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400" b="0" i="0" u="none" strike="noStrike" kern="1200" spc="-1" baseline="0">
                    <a:solidFill>
                      <a:srgbClr val="000000"/>
                    </a:solidFill>
                    <a:latin typeface="Calibri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xVal>
            <c:numRef>
              <c:f>DeltaF!$A$2:$A$9</c:f>
              <c:numCache>
                <c:formatCode>General</c:formatCode>
                <c:ptCount val="8"/>
                <c:pt idx="0">
                  <c:v>473</c:v>
                </c:pt>
                <c:pt idx="1">
                  <c:v>573</c:v>
                </c:pt>
                <c:pt idx="2">
                  <c:v>673</c:v>
                </c:pt>
                <c:pt idx="3">
                  <c:v>723</c:v>
                </c:pt>
                <c:pt idx="4">
                  <c:v>773</c:v>
                </c:pt>
                <c:pt idx="5">
                  <c:v>823</c:v>
                </c:pt>
                <c:pt idx="6">
                  <c:v>873</c:v>
                </c:pt>
                <c:pt idx="7">
                  <c:v>923</c:v>
                </c:pt>
              </c:numCache>
            </c:numRef>
          </c:xVal>
          <c:yVal>
            <c:numRef>
              <c:f>DeltaF!$I$2:$I$9</c:f>
              <c:numCache>
                <c:formatCode>General</c:formatCode>
                <c:ptCount val="8"/>
              </c:numCache>
            </c:numRef>
          </c:yVal>
          <c:smooth val="1"/>
        </c:ser>
        <c:ser>
          <c:idx val="2"/>
          <c:order val="2"/>
          <c:tx>
            <c:strRef>
              <c:f>"Const DeltaF"</c:f>
              <c:strCache>
                <c:ptCount val="1"/>
                <c:pt idx="0">
                  <c:v>Const DeltaF</c:v>
                </c:pt>
              </c:strCache>
            </c:strRef>
          </c:tx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xVal>
            <c:numRef>
              <c:f>DeltaF!$A$5:$A$9</c:f>
              <c:numCache>
                <c:formatCode>General</c:formatCode>
                <c:ptCount val="5"/>
                <c:pt idx="0">
                  <c:v>723</c:v>
                </c:pt>
                <c:pt idx="1">
                  <c:v>773</c:v>
                </c:pt>
                <c:pt idx="2">
                  <c:v>823</c:v>
                </c:pt>
                <c:pt idx="3">
                  <c:v>873</c:v>
                </c:pt>
                <c:pt idx="4">
                  <c:v>923</c:v>
                </c:pt>
              </c:numCache>
            </c:numRef>
          </c:xVal>
          <c:yVal>
            <c:numRef>
              <c:f>DeltaF!$J$5:$J$9</c:f>
              <c:numCache>
                <c:formatCode>General</c:formatCode>
                <c:ptCount val="5"/>
                <c:pt idx="0">
                  <c:v>76.4928738950027</c:v>
                </c:pt>
                <c:pt idx="1">
                  <c:v>71.5450812756623</c:v>
                </c:pt>
                <c:pt idx="2">
                  <c:v>67.1984785250145</c:v>
                </c:pt>
                <c:pt idx="3">
                  <c:v>63.3497684147617</c:v>
                </c:pt>
                <c:pt idx="4">
                  <c:v>59.9180366479815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1"/>
        </c:dLbls>
        <c:axId val="73841311"/>
        <c:axId val="7571429"/>
      </c:scatterChart>
      <c:valAx>
        <c:axId val="73841311"/>
        <c:scaling>
          <c:orientation val="minMax"/>
          <c:min val="400"/>
        </c:scaling>
        <c:delete val="0"/>
        <c:axPos val="b"/>
        <c:majorGridlines>
          <c:spPr>
            <a:ln w="9360" cap="flat" cmpd="sng" algn="ctr">
              <a:solidFill>
                <a:srgbClr val="D9D9D9"/>
              </a:solidFill>
              <a:prstDash val="solid"/>
              <a:round/>
            </a:ln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Temperature (K)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392084810986192"/>
              <c:y val="0.919191919191919"/>
            </c:manualLayout>
          </c:layout>
          <c:overlay val="0"/>
        </c:title>
        <c:numFmt formatCode="General" sourceLinked="0"/>
        <c:majorTickMark val="none"/>
        <c:minorTickMark val="none"/>
        <c:tickLblPos val="nextTo"/>
        <c:spPr>
          <a:ln w="9360" cap="flat" cmpd="sng" algn="ctr">
            <a:solidFill>
              <a:srgbClr val="BFBFBF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400" b="0" i="0" u="none" strike="noStrike" kern="1200" spc="-1" baseline="0">
                <a:solidFill>
                  <a:srgbClr val="595959"/>
                </a:solidFill>
                <a:latin typeface="Calibri"/>
                <a:ea typeface="+mn-ea"/>
                <a:cs typeface="+mn-cs"/>
              </a:defRPr>
            </a:pPr>
          </a:p>
        </c:txPr>
        <c:crossAx val="7571429"/>
        <c:crosses val="autoZero"/>
        <c:crossBetween val="midCat"/>
      </c:valAx>
      <c:valAx>
        <c:axId val="7571429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D9D9D9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DeltaF/KT</a:t>
                </a:r>
                <a:endParaRPr sz="1400"/>
              </a:p>
            </c:rich>
          </c:tx>
          <c:layout/>
          <c:overlay val="0"/>
        </c:title>
        <c:numFmt formatCode="General" sourceLinked="0"/>
        <c:majorTickMark val="none"/>
        <c:minorTickMark val="none"/>
        <c:tickLblPos val="nextTo"/>
        <c:spPr>
          <a:ln w="9360" cap="flat" cmpd="sng" algn="ctr">
            <a:solidFill>
              <a:srgbClr val="BFBFBF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400" b="0" i="0" u="none" strike="noStrike" kern="1200" spc="-1" baseline="0">
                <a:solidFill>
                  <a:srgbClr val="595959"/>
                </a:solidFill>
                <a:latin typeface="Calibri"/>
                <a:ea typeface="+mn-ea"/>
                <a:cs typeface="+mn-cs"/>
              </a:defRPr>
            </a:pPr>
          </a:p>
        </c:txPr>
        <c:crossAx val="73841311"/>
        <c:crosses val="autoZero"/>
        <c:crossBetween val="midCat"/>
      </c:valAx>
      <c:spPr>
        <a:noFill/>
        <a:ln w="0">
          <a:noFill/>
        </a:ln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 sz="1400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DeltaF!$A$2:$A$9</c:f>
              <c:numCache>
                <c:formatCode>General</c:formatCode>
                <c:ptCount val="8"/>
                <c:pt idx="0">
                  <c:v>473</c:v>
                </c:pt>
                <c:pt idx="1">
                  <c:v>573</c:v>
                </c:pt>
                <c:pt idx="2">
                  <c:v>673</c:v>
                </c:pt>
                <c:pt idx="3">
                  <c:v>723</c:v>
                </c:pt>
                <c:pt idx="4">
                  <c:v>773</c:v>
                </c:pt>
                <c:pt idx="5">
                  <c:v>823</c:v>
                </c:pt>
                <c:pt idx="6">
                  <c:v>873</c:v>
                </c:pt>
                <c:pt idx="7">
                  <c:v>923</c:v>
                </c:pt>
              </c:numCache>
            </c:numRef>
          </c:xVal>
          <c:yVal>
            <c:numRef>
              <c:f>DeltaF!$K$2:$K$9</c:f>
              <c:numCache>
                <c:formatCode>General</c:formatCode>
                <c:ptCount val="8"/>
                <c:pt idx="0">
                  <c:v>0.437884379538099</c:v>
                </c:pt>
                <c:pt idx="1">
                  <c:v>0.54868941119139</c:v>
                </c:pt>
                <c:pt idx="2">
                  <c:v>0.667381000192721</c:v>
                </c:pt>
                <c:pt idx="3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0374702"/>
        <c:axId val="778582958"/>
      </c:scatterChart>
      <c:valAx>
        <c:axId val="340374702"/>
        <c:scaling>
          <c:orientation val="minMax"/>
          <c:min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 b="1"/>
                  <a:t>Temperature (K)</a:t>
                </a:r>
                <a:endParaRPr sz="1400"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78582958"/>
        <c:crosses val="autoZero"/>
        <c:crossBetween val="midCat"/>
      </c:valAx>
      <c:valAx>
        <c:axId val="778582958"/>
        <c:scaling>
          <c:orientation val="minMax"/>
          <c:max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 b="1"/>
                  <a:t>Alpha</a:t>
                </a:r>
                <a:endParaRPr sz="1400"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037470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400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DeltaF!$A$2:$A$9</c:f>
              <c:numCache>
                <c:formatCode>General</c:formatCode>
                <c:ptCount val="8"/>
                <c:pt idx="0">
                  <c:v>473</c:v>
                </c:pt>
                <c:pt idx="1">
                  <c:v>573</c:v>
                </c:pt>
                <c:pt idx="2">
                  <c:v>673</c:v>
                </c:pt>
                <c:pt idx="3">
                  <c:v>723</c:v>
                </c:pt>
                <c:pt idx="4">
                  <c:v>773</c:v>
                </c:pt>
                <c:pt idx="5">
                  <c:v>823</c:v>
                </c:pt>
                <c:pt idx="6">
                  <c:v>873</c:v>
                </c:pt>
                <c:pt idx="7">
                  <c:v>923</c:v>
                </c:pt>
              </c:numCache>
            </c:numRef>
          </c:xVal>
          <c:yVal>
            <c:numRef>
              <c:f>DeltaF!$G$2:$G$9</c:f>
              <c:numCache>
                <c:formatCode>0.00</c:formatCode>
                <c:ptCount val="8"/>
                <c:pt idx="0">
                  <c:v>3.120913125</c:v>
                </c:pt>
                <c:pt idx="1">
                  <c:v>3.780725625</c:v>
                </c:pt>
                <c:pt idx="2">
                  <c:v>4.440538125</c:v>
                </c:pt>
                <c:pt idx="3">
                  <c:v>4.77</c:v>
                </c:pt>
                <c:pt idx="4">
                  <c:v>4.77</c:v>
                </c:pt>
                <c:pt idx="5">
                  <c:v>4.77</c:v>
                </c:pt>
                <c:pt idx="6">
                  <c:v>4.77</c:v>
                </c:pt>
                <c:pt idx="7">
                  <c:v>4.77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339633"/>
        <c:axId val="18123229"/>
      </c:scatterChart>
      <c:valAx>
        <c:axId val="16933963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123229"/>
        <c:crosses val="autoZero"/>
        <c:crossBetween val="midCat"/>
      </c:valAx>
      <c:valAx>
        <c:axId val="1812322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933963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DeltaF!$A$2:$A$9</c:f>
              <c:numCache>
                <c:formatCode>General</c:formatCode>
                <c:ptCount val="8"/>
                <c:pt idx="0">
                  <c:v>473</c:v>
                </c:pt>
                <c:pt idx="1">
                  <c:v>573</c:v>
                </c:pt>
                <c:pt idx="2">
                  <c:v>673</c:v>
                </c:pt>
                <c:pt idx="3">
                  <c:v>723</c:v>
                </c:pt>
                <c:pt idx="4">
                  <c:v>773</c:v>
                </c:pt>
                <c:pt idx="5">
                  <c:v>823</c:v>
                </c:pt>
                <c:pt idx="6">
                  <c:v>873</c:v>
                </c:pt>
                <c:pt idx="7">
                  <c:v>923</c:v>
                </c:pt>
              </c:numCache>
            </c:numRef>
          </c:xVal>
          <c:yVal>
            <c:numRef>
              <c:f>DeltaF!$I$2:$I$9</c:f>
              <c:numCache>
                <c:formatCode>General</c:formatCode>
                <c:ptCount val="8"/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902576"/>
        <c:axId val="928595605"/>
      </c:scatterChart>
      <c:valAx>
        <c:axId val="153902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8595605"/>
        <c:crosses val="autoZero"/>
        <c:crossBetween val="midCat"/>
      </c:valAx>
      <c:valAx>
        <c:axId val="92859560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3902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5" Type="http://schemas.openxmlformats.org/officeDocument/2006/relationships/chart" Target="../charts/chart8.xml"/><Relationship Id="rId4" Type="http://schemas.openxmlformats.org/officeDocument/2006/relationships/chart" Target="../charts/chart7.xml"/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151765</xdr:colOff>
      <xdr:row>25</xdr:row>
      <xdr:rowOff>53340</xdr:rowOff>
    </xdr:from>
    <xdr:to>
      <xdr:col>20</xdr:col>
      <xdr:colOff>425450</xdr:colOff>
      <xdr:row>45</xdr:row>
      <xdr:rowOff>100330</xdr:rowOff>
    </xdr:to>
    <xdr:graphicFrame>
      <xdr:nvGraphicFramePr>
        <xdr:cNvPr id="4" name="Chart 3"/>
        <xdr:cNvGraphicFramePr/>
      </xdr:nvGraphicFramePr>
      <xdr:xfrm>
        <a:off x="14155420" y="4815840"/>
        <a:ext cx="5967730" cy="38569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3810</xdr:colOff>
      <xdr:row>37</xdr:row>
      <xdr:rowOff>127000</xdr:rowOff>
    </xdr:from>
    <xdr:to>
      <xdr:col>15</xdr:col>
      <xdr:colOff>531495</xdr:colOff>
      <xdr:row>52</xdr:row>
      <xdr:rowOff>12700</xdr:rowOff>
    </xdr:to>
    <xdr:graphicFrame>
      <xdr:nvGraphicFramePr>
        <xdr:cNvPr id="5" name="Chart 4"/>
        <xdr:cNvGraphicFramePr/>
      </xdr:nvGraphicFramePr>
      <xdr:xfrm>
        <a:off x="10121265" y="7175500"/>
        <a:ext cx="604075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188595</xdr:colOff>
      <xdr:row>34</xdr:row>
      <xdr:rowOff>185420</xdr:rowOff>
    </xdr:from>
    <xdr:to>
      <xdr:col>7</xdr:col>
      <xdr:colOff>219075</xdr:colOff>
      <xdr:row>49</xdr:row>
      <xdr:rowOff>71120</xdr:rowOff>
    </xdr:to>
    <xdr:graphicFrame>
      <xdr:nvGraphicFramePr>
        <xdr:cNvPr id="7" name="Chart 6"/>
        <xdr:cNvGraphicFramePr/>
      </xdr:nvGraphicFramePr>
      <xdr:xfrm>
        <a:off x="1859280" y="6662420"/>
        <a:ext cx="459105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30480</xdr:colOff>
      <xdr:row>49</xdr:row>
      <xdr:rowOff>114300</xdr:rowOff>
    </xdr:from>
    <xdr:to>
      <xdr:col>9</xdr:col>
      <xdr:colOff>635635</xdr:colOff>
      <xdr:row>76</xdr:row>
      <xdr:rowOff>7620</xdr:rowOff>
    </xdr:to>
    <xdr:graphicFrame>
      <xdr:nvGraphicFramePr>
        <xdr:cNvPr id="3" name="Chart 2"/>
        <xdr:cNvGraphicFramePr/>
      </xdr:nvGraphicFramePr>
      <xdr:xfrm>
        <a:off x="30480" y="9448800"/>
        <a:ext cx="9584055" cy="50368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635</xdr:colOff>
      <xdr:row>24</xdr:row>
      <xdr:rowOff>58420</xdr:rowOff>
    </xdr:from>
    <xdr:to>
      <xdr:col>9</xdr:col>
      <xdr:colOff>349675</xdr:colOff>
      <xdr:row>46</xdr:row>
      <xdr:rowOff>17625</xdr:rowOff>
    </xdr:to>
    <xdr:graphicFrame>
      <xdr:nvGraphicFramePr>
        <xdr:cNvPr id="4" name="Chart 3"/>
        <xdr:cNvGraphicFramePr/>
      </xdr:nvGraphicFramePr>
      <xdr:xfrm>
        <a:off x="635" y="4630420"/>
        <a:ext cx="9327515" cy="4149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1113790</xdr:colOff>
      <xdr:row>15</xdr:row>
      <xdr:rowOff>10795</xdr:rowOff>
    </xdr:from>
    <xdr:to>
      <xdr:col>15</xdr:col>
      <xdr:colOff>494030</xdr:colOff>
      <xdr:row>31</xdr:row>
      <xdr:rowOff>86995</xdr:rowOff>
    </xdr:to>
    <xdr:graphicFrame>
      <xdr:nvGraphicFramePr>
        <xdr:cNvPr id="5" name="Chart 4"/>
        <xdr:cNvGraphicFramePr/>
      </xdr:nvGraphicFramePr>
      <xdr:xfrm>
        <a:off x="8902065" y="2868295"/>
        <a:ext cx="7647940" cy="3124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433705</xdr:colOff>
      <xdr:row>12</xdr:row>
      <xdr:rowOff>104775</xdr:rowOff>
    </xdr:from>
    <xdr:to>
      <xdr:col>5</xdr:col>
      <xdr:colOff>314325</xdr:colOff>
      <xdr:row>26</xdr:row>
      <xdr:rowOff>180975</xdr:rowOff>
    </xdr:to>
    <xdr:graphicFrame>
      <xdr:nvGraphicFramePr>
        <xdr:cNvPr id="6" name="Chart 5"/>
        <xdr:cNvGraphicFramePr/>
      </xdr:nvGraphicFramePr>
      <xdr:xfrm>
        <a:off x="433705" y="2390775"/>
        <a:ext cx="458660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184785</xdr:colOff>
      <xdr:row>12</xdr:row>
      <xdr:rowOff>31115</xdr:rowOff>
    </xdr:from>
    <xdr:to>
      <xdr:col>11</xdr:col>
      <xdr:colOff>474345</xdr:colOff>
      <xdr:row>30</xdr:row>
      <xdr:rowOff>78105</xdr:rowOff>
    </xdr:to>
    <xdr:graphicFrame>
      <xdr:nvGraphicFramePr>
        <xdr:cNvPr id="7" name="Chart 6"/>
        <xdr:cNvGraphicFramePr/>
      </xdr:nvGraphicFramePr>
      <xdr:xfrm>
        <a:off x="6016625" y="2317115"/>
        <a:ext cx="5817870" cy="34759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8"/>
  <sheetViews>
    <sheetView zoomScale="130" zoomScaleNormal="130" topLeftCell="C1" workbookViewId="0">
      <selection activeCell="A18" sqref="A18:M33"/>
    </sheetView>
  </sheetViews>
  <sheetFormatPr defaultColWidth="8.54" defaultRowHeight="15"/>
  <cols>
    <col min="2" max="3" width="9"/>
    <col min="4" max="4" width="12.5"/>
    <col min="5" max="5" width="9.3"/>
    <col min="8" max="13" width="13.6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K1" t="s">
        <v>8</v>
      </c>
      <c r="L1" t="s">
        <v>9</v>
      </c>
      <c r="N1" t="s">
        <v>10</v>
      </c>
      <c r="O1" t="s">
        <v>11</v>
      </c>
    </row>
    <row r="2" spans="1:15">
      <c r="A2">
        <v>300</v>
      </c>
      <c r="B2" s="4">
        <v>230000</v>
      </c>
      <c r="C2" s="4">
        <v>130000</v>
      </c>
      <c r="D2" s="4">
        <v>119000</v>
      </c>
      <c r="E2">
        <v>213.6</v>
      </c>
      <c r="F2">
        <v>83.2</v>
      </c>
      <c r="G2">
        <v>0.28</v>
      </c>
      <c r="H2">
        <f>E2*(1-G2)/((1+G2)*(1-2*G2))</f>
        <v>273.068181818182</v>
      </c>
      <c r="K2">
        <f>E2*G2/((1+G2)*(1-2*G2))</f>
        <v>106.193181818182</v>
      </c>
      <c r="L2">
        <f>E2/(2*(1+G2))</f>
        <v>83.4375</v>
      </c>
      <c r="N2">
        <f>207.3-64.58*(A2-273)*0.001</f>
        <v>205.55634</v>
      </c>
      <c r="O2">
        <f>N2/2/(1+G2)</f>
        <v>80.2954453125</v>
      </c>
    </row>
    <row r="3" spans="1:15">
      <c r="A3">
        <f>273+400</f>
        <v>673</v>
      </c>
      <c r="B3" s="4">
        <v>207000</v>
      </c>
      <c r="C3" s="4">
        <v>140000</v>
      </c>
      <c r="D3" s="4">
        <v>122000</v>
      </c>
      <c r="E3">
        <v>174</v>
      </c>
      <c r="F3">
        <v>66.5</v>
      </c>
      <c r="G3">
        <v>0.296</v>
      </c>
      <c r="H3">
        <f>E3*(1-G3)/((1+G3)*(1-2*G3))</f>
        <v>231.663035584604</v>
      </c>
      <c r="K3">
        <f>E3*G3/((1+G3)*(1-2*G3))</f>
        <v>97.4037763253449</v>
      </c>
      <c r="L3">
        <f>E3/(2*(1+G3))</f>
        <v>67.1296296296296</v>
      </c>
      <c r="N3">
        <f>207.3-64.58*(A3-273)*0.001</f>
        <v>181.468</v>
      </c>
      <c r="O3">
        <f>N3/2/(1+G3)</f>
        <v>70.0108024691358</v>
      </c>
    </row>
    <row r="4" spans="1:15">
      <c r="A4">
        <f>550+273</f>
        <v>823</v>
      </c>
      <c r="B4" s="4">
        <v>170000</v>
      </c>
      <c r="C4" s="4">
        <v>120000</v>
      </c>
      <c r="D4" s="4">
        <v>109000</v>
      </c>
      <c r="E4">
        <v>161</v>
      </c>
      <c r="F4">
        <v>62</v>
      </c>
      <c r="G4">
        <v>0.3</v>
      </c>
      <c r="H4">
        <f>E4*(1-G4)/((1+G4)*(1-2*G4))</f>
        <v>216.730769230769</v>
      </c>
      <c r="K4">
        <f>E4*G4/((1+G4)*(1-2*G4))</f>
        <v>92.8846153846154</v>
      </c>
      <c r="L4">
        <f>E4/(2*(1+G4))</f>
        <v>61.9230769230769</v>
      </c>
      <c r="N4">
        <f>207.3-64.58*(A4-273)*0.001</f>
        <v>171.781</v>
      </c>
      <c r="O4">
        <f>N4/2/(1+G4)</f>
        <v>66.0696153846154</v>
      </c>
    </row>
    <row r="8" spans="1:1">
      <c r="A8">
        <f>273.72-0.1016*723</f>
        <v>200.2632</v>
      </c>
    </row>
    <row r="13" spans="3:3">
      <c r="C13">
        <f>0.1016*723</f>
        <v>73.4568</v>
      </c>
    </row>
    <row r="14" spans="3:3">
      <c r="C14">
        <f>243.72-C13</f>
        <v>170.2632</v>
      </c>
    </row>
    <row r="18" spans="1:13">
      <c r="A18" s="7" t="s">
        <v>12</v>
      </c>
      <c r="B18" s="7" t="s">
        <v>13</v>
      </c>
      <c r="C18" s="7" t="s">
        <v>14</v>
      </c>
      <c r="D18" s="7" t="s">
        <v>15</v>
      </c>
      <c r="E18" t="s">
        <v>16</v>
      </c>
      <c r="F18" t="s">
        <v>17</v>
      </c>
      <c r="G18" t="s">
        <v>18</v>
      </c>
      <c r="H18" t="s">
        <v>19</v>
      </c>
      <c r="I18" t="s">
        <v>20</v>
      </c>
      <c r="J18" t="s">
        <v>21</v>
      </c>
      <c r="K18" t="s">
        <v>22</v>
      </c>
      <c r="L18" t="s">
        <v>23</v>
      </c>
      <c r="M18" t="s">
        <v>24</v>
      </c>
    </row>
    <row r="19" spans="1:13">
      <c r="A19" s="7">
        <v>10</v>
      </c>
      <c r="B19" s="7">
        <f t="shared" ref="B19:B33" si="0">239260-24520/(EXP(392.03/A19)-1)</f>
        <v>239260</v>
      </c>
      <c r="C19" s="7">
        <f t="shared" ref="C19:C33" si="1">135780-6550/(EXP(469.65/A19)-1)</f>
        <v>135780</v>
      </c>
      <c r="D19" s="7">
        <f t="shared" ref="D19:D33" si="2">120720-3500/(EXP(162.9/A19)-1)</f>
        <v>120719.999705279</v>
      </c>
      <c r="E19">
        <f>265000-104*A19</f>
        <v>263960</v>
      </c>
      <c r="F19">
        <f>136000-10.1*A19</f>
        <v>135899</v>
      </c>
      <c r="G19">
        <f>125500-13.5*A19</f>
        <v>125365</v>
      </c>
      <c r="H19">
        <f>B19-E19</f>
        <v>-24700</v>
      </c>
      <c r="I19">
        <f>C19-F19</f>
        <v>-119</v>
      </c>
      <c r="J19">
        <f>D19-G19</f>
        <v>-4645.00029472093</v>
      </c>
      <c r="K19">
        <f>H19/B19*100</f>
        <v>-10.3234974504723</v>
      </c>
      <c r="L19">
        <f>I19/C19*100</f>
        <v>-0.0876417734570629</v>
      </c>
      <c r="M19">
        <f>J19/D19*100</f>
        <v>-3.84774710574971</v>
      </c>
    </row>
    <row r="20" spans="1:13">
      <c r="A20" s="7">
        <v>100</v>
      </c>
      <c r="B20" s="7">
        <f t="shared" si="0"/>
        <v>238763.800089741</v>
      </c>
      <c r="C20" s="7">
        <f t="shared" si="1"/>
        <v>135719.666385503</v>
      </c>
      <c r="D20" s="7">
        <f t="shared" si="2"/>
        <v>119866.085996276</v>
      </c>
      <c r="E20">
        <f t="shared" ref="E20:E33" si="3">265000-104*A20</f>
        <v>254600</v>
      </c>
      <c r="F20">
        <f t="shared" ref="F20:F33" si="4">136000-10.1*A20</f>
        <v>134990</v>
      </c>
      <c r="G20">
        <f t="shared" ref="G20:G33" si="5">125500-13.5*A20</f>
        <v>124150</v>
      </c>
      <c r="H20">
        <f t="shared" ref="H20:H33" si="6">B20-E20</f>
        <v>-15836.1999102593</v>
      </c>
      <c r="I20">
        <f t="shared" ref="I20:I33" si="7">C20-F20</f>
        <v>729.666385503398</v>
      </c>
      <c r="J20">
        <f t="shared" ref="J20:J33" si="8">D20-G20</f>
        <v>-4283.9140037238</v>
      </c>
      <c r="K20">
        <f t="shared" ref="K20:K33" si="9">H20/B20*100</f>
        <v>-6.63257994063888</v>
      </c>
      <c r="L20">
        <f t="shared" ref="L20:L33" si="10">I20/C20*100</f>
        <v>0.537627600285154</v>
      </c>
      <c r="M20">
        <f t="shared" ref="M20:M33" si="11">J20/D20*100</f>
        <v>-3.57391664883166</v>
      </c>
    </row>
    <row r="21" spans="1:13">
      <c r="A21" s="7">
        <v>200</v>
      </c>
      <c r="B21" s="7">
        <f t="shared" si="0"/>
        <v>235240.586194659</v>
      </c>
      <c r="C21" s="7">
        <f t="shared" si="1"/>
        <v>135088.140202364</v>
      </c>
      <c r="D21" s="7">
        <f t="shared" si="2"/>
        <v>117937.908582554</v>
      </c>
      <c r="E21">
        <f t="shared" si="3"/>
        <v>244200</v>
      </c>
      <c r="F21">
        <f t="shared" si="4"/>
        <v>133980</v>
      </c>
      <c r="G21">
        <f t="shared" si="5"/>
        <v>122800</v>
      </c>
      <c r="H21">
        <f t="shared" si="6"/>
        <v>-8959.41380534117</v>
      </c>
      <c r="I21">
        <f t="shared" si="7"/>
        <v>1108.14020236369</v>
      </c>
      <c r="J21">
        <f t="shared" si="8"/>
        <v>-4862.09141744611</v>
      </c>
      <c r="K21">
        <f t="shared" si="9"/>
        <v>-3.80861736075056</v>
      </c>
      <c r="L21">
        <f t="shared" si="10"/>
        <v>0.820309022467615</v>
      </c>
      <c r="M21">
        <f t="shared" si="11"/>
        <v>-4.12258575370849</v>
      </c>
    </row>
    <row r="22" spans="1:13">
      <c r="A22" s="7">
        <v>300</v>
      </c>
      <c r="B22" s="7">
        <f t="shared" si="0"/>
        <v>230159.001154604</v>
      </c>
      <c r="C22" s="7">
        <f t="shared" si="1"/>
        <v>134049.515381704</v>
      </c>
      <c r="D22" s="7">
        <f t="shared" si="2"/>
        <v>115866.725663272</v>
      </c>
      <c r="E22">
        <f t="shared" si="3"/>
        <v>233800</v>
      </c>
      <c r="F22">
        <f t="shared" si="4"/>
        <v>132970</v>
      </c>
      <c r="G22">
        <f t="shared" si="5"/>
        <v>121450</v>
      </c>
      <c r="H22">
        <f t="shared" si="6"/>
        <v>-3640.99884539589</v>
      </c>
      <c r="I22">
        <f t="shared" si="7"/>
        <v>1079.51538170443</v>
      </c>
      <c r="J22">
        <f t="shared" si="8"/>
        <v>-5583.2743367278</v>
      </c>
      <c r="K22">
        <f t="shared" si="9"/>
        <v>-1.58194935984717</v>
      </c>
      <c r="L22">
        <f t="shared" si="10"/>
        <v>0.805310917111879</v>
      </c>
      <c r="M22">
        <f t="shared" si="11"/>
        <v>-4.81870382093451</v>
      </c>
    </row>
    <row r="23" spans="1:13">
      <c r="A23" s="7">
        <v>400</v>
      </c>
      <c r="B23" s="7">
        <f t="shared" si="0"/>
        <v>224530.230745584</v>
      </c>
      <c r="C23" s="7">
        <f t="shared" si="1"/>
        <v>132849.758721449</v>
      </c>
      <c r="D23" s="7">
        <f t="shared" si="2"/>
        <v>113757.316206336</v>
      </c>
      <c r="E23">
        <f t="shared" si="3"/>
        <v>223400</v>
      </c>
      <c r="F23">
        <f t="shared" si="4"/>
        <v>131960</v>
      </c>
      <c r="G23">
        <f t="shared" si="5"/>
        <v>120100</v>
      </c>
      <c r="H23">
        <f t="shared" si="6"/>
        <v>1130.23074558374</v>
      </c>
      <c r="I23">
        <f t="shared" si="7"/>
        <v>889.758721448685</v>
      </c>
      <c r="J23">
        <f t="shared" si="8"/>
        <v>-6342.68379366372</v>
      </c>
      <c r="K23">
        <f t="shared" si="9"/>
        <v>0.5033757556079</v>
      </c>
      <c r="L23">
        <f t="shared" si="10"/>
        <v>0.669748089881199</v>
      </c>
      <c r="M23">
        <f t="shared" si="11"/>
        <v>-5.57562713782661</v>
      </c>
    </row>
    <row r="24" spans="1:13">
      <c r="A24" s="7">
        <v>500</v>
      </c>
      <c r="B24" s="7">
        <f t="shared" si="0"/>
        <v>218660.965397552</v>
      </c>
      <c r="C24" s="7">
        <f t="shared" si="1"/>
        <v>131576.404960518</v>
      </c>
      <c r="D24" s="7">
        <f t="shared" si="2"/>
        <v>111632.355698545</v>
      </c>
      <c r="E24">
        <f t="shared" si="3"/>
        <v>213000</v>
      </c>
      <c r="F24">
        <f t="shared" si="4"/>
        <v>130950</v>
      </c>
      <c r="G24">
        <f t="shared" si="5"/>
        <v>118750</v>
      </c>
      <c r="H24">
        <f t="shared" si="6"/>
        <v>5660.96539755163</v>
      </c>
      <c r="I24">
        <f t="shared" si="7"/>
        <v>626.40496051783</v>
      </c>
      <c r="J24">
        <f t="shared" si="8"/>
        <v>-7117.64430145506</v>
      </c>
      <c r="K24">
        <f t="shared" si="9"/>
        <v>2.58892362761653</v>
      </c>
      <c r="L24">
        <f t="shared" si="10"/>
        <v>0.476076968895597</v>
      </c>
      <c r="M24">
        <f t="shared" si="11"/>
        <v>-6.3759689177175</v>
      </c>
    </row>
    <row r="25" spans="1:13">
      <c r="A25" s="7">
        <v>600</v>
      </c>
      <c r="B25" s="7">
        <f t="shared" si="0"/>
        <v>212666.58360662</v>
      </c>
      <c r="C25" s="7">
        <f t="shared" si="1"/>
        <v>130264.115632141</v>
      </c>
      <c r="D25" s="7">
        <f t="shared" si="2"/>
        <v>109499.56523133</v>
      </c>
      <c r="E25">
        <f t="shared" si="3"/>
        <v>202600</v>
      </c>
      <c r="F25">
        <f t="shared" si="4"/>
        <v>129940</v>
      </c>
      <c r="G25">
        <f t="shared" si="5"/>
        <v>117400</v>
      </c>
      <c r="H25">
        <f t="shared" si="6"/>
        <v>10066.5836066205</v>
      </c>
      <c r="I25">
        <f t="shared" si="7"/>
        <v>324.115632141184</v>
      </c>
      <c r="J25">
        <f t="shared" si="8"/>
        <v>-7900.43476866982</v>
      </c>
      <c r="K25">
        <f t="shared" si="9"/>
        <v>4.73350511204014</v>
      </c>
      <c r="L25">
        <f t="shared" si="10"/>
        <v>0.248814211472075</v>
      </c>
      <c r="M25">
        <f t="shared" si="11"/>
        <v>-7.21503756839514</v>
      </c>
    </row>
    <row r="26" spans="1:13">
      <c r="A26" s="7">
        <v>700</v>
      </c>
      <c r="B26" s="7">
        <f t="shared" si="0"/>
        <v>206599.219915502</v>
      </c>
      <c r="C26" s="7">
        <f t="shared" si="1"/>
        <v>128928.914039717</v>
      </c>
      <c r="D26" s="7">
        <f t="shared" si="2"/>
        <v>107362.284404784</v>
      </c>
      <c r="E26">
        <f t="shared" si="3"/>
        <v>192200</v>
      </c>
      <c r="F26">
        <f t="shared" si="4"/>
        <v>128930</v>
      </c>
      <c r="G26">
        <f t="shared" si="5"/>
        <v>116050</v>
      </c>
      <c r="H26">
        <f t="shared" si="6"/>
        <v>14399.2199155017</v>
      </c>
      <c r="I26">
        <f t="shared" si="7"/>
        <v>-1.085960282624</v>
      </c>
      <c r="J26">
        <f t="shared" si="8"/>
        <v>-8687.71559521607</v>
      </c>
      <c r="K26">
        <f t="shared" si="9"/>
        <v>6.96963905352155</v>
      </c>
      <c r="L26">
        <f t="shared" si="10"/>
        <v>-0.000842293825797264</v>
      </c>
      <c r="M26">
        <f t="shared" si="11"/>
        <v>-8.09196231561272</v>
      </c>
    </row>
    <row r="27" spans="1:13">
      <c r="A27" s="7">
        <v>800</v>
      </c>
      <c r="B27" s="7">
        <f t="shared" si="0"/>
        <v>200485.687821947</v>
      </c>
      <c r="C27" s="7">
        <f t="shared" si="1"/>
        <v>127579.142597594</v>
      </c>
      <c r="D27" s="7">
        <f t="shared" si="2"/>
        <v>105222.191199146</v>
      </c>
      <c r="E27">
        <f t="shared" si="3"/>
        <v>181800</v>
      </c>
      <c r="F27">
        <f t="shared" si="4"/>
        <v>127920</v>
      </c>
      <c r="G27">
        <f t="shared" si="5"/>
        <v>114700</v>
      </c>
      <c r="H27">
        <f t="shared" si="6"/>
        <v>18685.6878219465</v>
      </c>
      <c r="I27">
        <f t="shared" si="7"/>
        <v>-340.857402405993</v>
      </c>
      <c r="J27">
        <f t="shared" si="8"/>
        <v>-9477.80880085431</v>
      </c>
      <c r="K27">
        <f t="shared" si="9"/>
        <v>9.32021034765409</v>
      </c>
      <c r="L27">
        <f t="shared" si="10"/>
        <v>-0.267173297661291</v>
      </c>
      <c r="M27">
        <f t="shared" si="11"/>
        <v>-9.00742390254582</v>
      </c>
    </row>
    <row r="28" spans="1:13">
      <c r="A28" s="7">
        <v>900</v>
      </c>
      <c r="B28" s="7">
        <f t="shared" si="0"/>
        <v>194341.138323396</v>
      </c>
      <c r="C28" s="7">
        <f t="shared" si="1"/>
        <v>126219.550015494</v>
      </c>
      <c r="D28" s="7">
        <f t="shared" si="2"/>
        <v>103080.220561412</v>
      </c>
      <c r="E28">
        <f t="shared" si="3"/>
        <v>171400</v>
      </c>
      <c r="F28">
        <f t="shared" si="4"/>
        <v>126910</v>
      </c>
      <c r="G28">
        <f t="shared" si="5"/>
        <v>113350</v>
      </c>
      <c r="H28">
        <f t="shared" si="6"/>
        <v>22941.138323396</v>
      </c>
      <c r="I28">
        <f t="shared" si="7"/>
        <v>-690.449984506442</v>
      </c>
      <c r="J28">
        <f t="shared" si="8"/>
        <v>-10269.7794385883</v>
      </c>
      <c r="K28">
        <f t="shared" si="9"/>
        <v>11.8045713436239</v>
      </c>
      <c r="L28">
        <f t="shared" si="10"/>
        <v>-0.547023012220919</v>
      </c>
      <c r="M28">
        <f t="shared" si="11"/>
        <v>-9.96290013996424</v>
      </c>
    </row>
    <row r="29" spans="1:13">
      <c r="A29" s="7">
        <v>1000</v>
      </c>
      <c r="B29" s="7">
        <f t="shared" si="0"/>
        <v>188174.762698545</v>
      </c>
      <c r="C29" s="7">
        <f t="shared" si="1"/>
        <v>124853.030899485</v>
      </c>
      <c r="D29" s="7">
        <f t="shared" si="2"/>
        <v>100936.93452849</v>
      </c>
      <c r="E29">
        <f t="shared" si="3"/>
        <v>161000</v>
      </c>
      <c r="F29">
        <f t="shared" si="4"/>
        <v>125900</v>
      </c>
      <c r="G29">
        <f t="shared" si="5"/>
        <v>112000</v>
      </c>
      <c r="H29">
        <f t="shared" si="6"/>
        <v>27174.7626985453</v>
      </c>
      <c r="I29">
        <f t="shared" si="7"/>
        <v>-1046.96910051486</v>
      </c>
      <c r="J29">
        <f t="shared" si="8"/>
        <v>-11063.0654715101</v>
      </c>
      <c r="K29">
        <f t="shared" si="9"/>
        <v>14.4412365977467</v>
      </c>
      <c r="L29">
        <f t="shared" si="10"/>
        <v>-0.838561221119047</v>
      </c>
      <c r="M29">
        <f t="shared" si="11"/>
        <v>-10.9603739435811</v>
      </c>
    </row>
    <row r="30" spans="1:13">
      <c r="A30" s="7">
        <v>1100</v>
      </c>
      <c r="B30" s="7">
        <f t="shared" si="0"/>
        <v>181992.454437482</v>
      </c>
      <c r="C30" s="7">
        <f t="shared" si="1"/>
        <v>123481.44741104</v>
      </c>
      <c r="D30" s="7">
        <f t="shared" si="2"/>
        <v>98792.6912287729</v>
      </c>
      <c r="E30">
        <f t="shared" si="3"/>
        <v>150600</v>
      </c>
      <c r="F30">
        <f t="shared" si="4"/>
        <v>124890</v>
      </c>
      <c r="G30">
        <f t="shared" si="5"/>
        <v>110650</v>
      </c>
      <c r="H30">
        <f t="shared" si="6"/>
        <v>31392.4544374821</v>
      </c>
      <c r="I30">
        <f t="shared" si="7"/>
        <v>-1408.55258895997</v>
      </c>
      <c r="J30">
        <f t="shared" si="8"/>
        <v>-11857.3087712271</v>
      </c>
      <c r="K30">
        <f t="shared" si="9"/>
        <v>17.2493164810116</v>
      </c>
      <c r="L30">
        <f t="shared" si="10"/>
        <v>-1.14069977190277</v>
      </c>
      <c r="M30">
        <f t="shared" si="11"/>
        <v>-12.0022125359146</v>
      </c>
    </row>
    <row r="31" spans="1:13">
      <c r="A31" s="7">
        <v>1200</v>
      </c>
      <c r="B31" s="7">
        <f t="shared" si="0"/>
        <v>175798.163984438</v>
      </c>
      <c r="C31" s="7">
        <f t="shared" si="1"/>
        <v>122106.050728681</v>
      </c>
      <c r="D31" s="7">
        <f t="shared" si="2"/>
        <v>96647.7296391543</v>
      </c>
      <c r="E31">
        <f t="shared" si="3"/>
        <v>140200</v>
      </c>
      <c r="F31">
        <f t="shared" si="4"/>
        <v>123880</v>
      </c>
      <c r="G31">
        <f t="shared" si="5"/>
        <v>109300</v>
      </c>
      <c r="H31">
        <f t="shared" si="6"/>
        <v>35598.163984438</v>
      </c>
      <c r="I31">
        <f t="shared" si="7"/>
        <v>-1773.94927131875</v>
      </c>
      <c r="J31">
        <f t="shared" si="8"/>
        <v>-12652.2703608457</v>
      </c>
      <c r="K31">
        <f t="shared" si="9"/>
        <v>20.2494515173601</v>
      </c>
      <c r="L31">
        <f t="shared" si="10"/>
        <v>-1.45279391212189</v>
      </c>
      <c r="M31">
        <f t="shared" si="11"/>
        <v>-13.0911200998559</v>
      </c>
    </row>
    <row r="32" spans="1:13">
      <c r="A32" s="7">
        <v>1300</v>
      </c>
      <c r="B32" s="7">
        <f t="shared" si="0"/>
        <v>169594.637353451</v>
      </c>
      <c r="C32" s="7">
        <f t="shared" si="1"/>
        <v>120727.712098345</v>
      </c>
      <c r="D32" s="7">
        <f t="shared" si="2"/>
        <v>94502.2153208547</v>
      </c>
      <c r="E32">
        <f t="shared" si="3"/>
        <v>129800</v>
      </c>
      <c r="F32">
        <f t="shared" si="4"/>
        <v>122870</v>
      </c>
      <c r="G32">
        <f t="shared" si="5"/>
        <v>107950</v>
      </c>
      <c r="H32">
        <f t="shared" si="6"/>
        <v>39794.637353451</v>
      </c>
      <c r="I32">
        <f t="shared" si="7"/>
        <v>-2142.28790165512</v>
      </c>
      <c r="J32">
        <f t="shared" si="8"/>
        <v>-13447.7846791453</v>
      </c>
      <c r="K32">
        <f t="shared" si="9"/>
        <v>23.4645611290853</v>
      </c>
      <c r="L32">
        <f t="shared" si="10"/>
        <v>-1.77447900272475</v>
      </c>
      <c r="M32">
        <f t="shared" si="11"/>
        <v>-14.2301263875003</v>
      </c>
    </row>
    <row r="33" spans="1:13">
      <c r="A33" s="7">
        <v>1400</v>
      </c>
      <c r="B33" s="7">
        <f t="shared" si="0"/>
        <v>163383.842057616</v>
      </c>
      <c r="C33" s="7">
        <f t="shared" si="1"/>
        <v>119347.056606264</v>
      </c>
      <c r="D33" s="7">
        <f t="shared" si="2"/>
        <v>92356.2665950539</v>
      </c>
      <c r="E33">
        <f t="shared" si="3"/>
        <v>119400</v>
      </c>
      <c r="F33">
        <f t="shared" si="4"/>
        <v>121860</v>
      </c>
      <c r="G33">
        <f t="shared" si="5"/>
        <v>106600</v>
      </c>
      <c r="H33">
        <f t="shared" si="6"/>
        <v>43983.8420576158</v>
      </c>
      <c r="I33">
        <f t="shared" si="7"/>
        <v>-2512.94339373636</v>
      </c>
      <c r="J33">
        <f t="shared" si="8"/>
        <v>-14243.7334049461</v>
      </c>
      <c r="K33">
        <f t="shared" si="9"/>
        <v>26.9205580574518</v>
      </c>
      <c r="L33">
        <f t="shared" si="10"/>
        <v>-2.10557634615723</v>
      </c>
      <c r="M33">
        <f t="shared" si="11"/>
        <v>-15.4225954881863</v>
      </c>
    </row>
    <row r="38" spans="4:7">
      <c r="D38">
        <f>D24-D26</f>
        <v>4270.07129376101</v>
      </c>
      <c r="G38">
        <f>G24-G26</f>
        <v>2700</v>
      </c>
    </row>
    <row r="39" spans="4:7">
      <c r="D39">
        <f>D38*1000000*0.000000000248</f>
        <v>1.05897768085273</v>
      </c>
      <c r="G39">
        <f>G38*1000000*0.000000000248</f>
        <v>0.6696</v>
      </c>
    </row>
    <row r="40" spans="4:7">
      <c r="D40">
        <f>D39*0.3*SQRT(24*12000000000000)</f>
        <v>5391434.15464442</v>
      </c>
      <c r="G40">
        <f>G39*0.3*SQRT(24*12000000000000)</f>
        <v>3409046.64491409</v>
      </c>
    </row>
    <row r="41" spans="4:7">
      <c r="D41">
        <f>D40/1000000</f>
        <v>5.39143415464442</v>
      </c>
      <c r="G41">
        <f>G40/1000000</f>
        <v>3.40904664491409</v>
      </c>
    </row>
    <row r="45" spans="4:4">
      <c r="D45">
        <f>21.318*250</f>
        <v>5329.5</v>
      </c>
    </row>
    <row r="46" spans="4:4">
      <c r="D46">
        <f>D45*1000000*0.000000000248</f>
        <v>1.321716</v>
      </c>
    </row>
    <row r="47" spans="4:4">
      <c r="D47">
        <f>D46*SQRT(122176000000000)</f>
        <v>14609356.8909973</v>
      </c>
    </row>
    <row r="48" spans="4:4">
      <c r="D48">
        <f>D47*0.000001</f>
        <v>14.6093568909973</v>
      </c>
    </row>
  </sheetData>
  <pageMargins left="0.7" right="0.7" top="0.75" bottom="0.75" header="0.511811023622047" footer="0.511811023622047"/>
  <pageSetup paperSize="9" orientation="portrait" horizontalDpi="300" verticalDpi="3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"/>
  <sheetViews>
    <sheetView zoomScale="130" zoomScaleNormal="130" workbookViewId="0">
      <selection activeCell="F12" sqref="F12"/>
    </sheetView>
  </sheetViews>
  <sheetFormatPr defaultColWidth="8.54" defaultRowHeight="15"/>
  <cols>
    <col min="3" max="4" width="11.8933333333333" style="4" customWidth="1"/>
    <col min="6" max="6" width="11.82" style="5" customWidth="1"/>
    <col min="7" max="7" width="8.72" style="5" customWidth="1"/>
    <col min="8" max="8" width="11.82" customWidth="1"/>
    <col min="9" max="12" width="12.5"/>
    <col min="13" max="13" width="15.76" customWidth="1"/>
    <col min="14" max="14" width="12.5"/>
  </cols>
  <sheetData>
    <row r="1" spans="1:13">
      <c r="A1" t="s">
        <v>25</v>
      </c>
      <c r="B1" t="s">
        <v>4</v>
      </c>
      <c r="C1" s="4" t="s">
        <v>5</v>
      </c>
      <c r="E1" t="s">
        <v>26</v>
      </c>
      <c r="F1" s="5" t="s">
        <v>27</v>
      </c>
      <c r="H1" t="s">
        <v>28</v>
      </c>
      <c r="I1" t="s">
        <v>29</v>
      </c>
      <c r="K1" t="s">
        <v>30</v>
      </c>
      <c r="L1" t="s">
        <v>31</v>
      </c>
      <c r="M1" t="s">
        <v>32</v>
      </c>
    </row>
    <row r="2" spans="1:14">
      <c r="A2">
        <v>473</v>
      </c>
      <c r="B2">
        <f t="shared" ref="B2:B9" si="0">207.3-64.58*(A2-273)*0.001</f>
        <v>194.384</v>
      </c>
      <c r="C2" s="4">
        <f t="shared" ref="C2:C9" si="1">B2/2.6*1000000000</f>
        <v>74763076923.0769</v>
      </c>
      <c r="D2" s="4">
        <f>C2/1000000000</f>
        <v>74.7630769230769</v>
      </c>
      <c r="E2" s="4">
        <v>2.48e-10</v>
      </c>
      <c r="F2" s="5">
        <f>C2*E2^3/1.6E-19*0.73</f>
        <v>5.20289530230154</v>
      </c>
      <c r="G2" s="5">
        <f>76.5*1.38E-23*A2/1.6E-19</f>
        <v>3.120913125</v>
      </c>
      <c r="H2">
        <f>F2*1.6E-19/(1.38E-23*A2)</f>
        <v>127.533665528119</v>
      </c>
      <c r="J2">
        <f t="shared" ref="J2:J9" si="2">G2*1.6E-19/(1.38E-23*A2)</f>
        <v>76.5</v>
      </c>
      <c r="K2" s="6">
        <f>G2*1.6E-19/(C2*E2^3)</f>
        <v>0.437884379538099</v>
      </c>
      <c r="M2">
        <f>0.48*C2*E2^3/1.6E-19</f>
        <v>3.42108184260923</v>
      </c>
      <c r="N2">
        <f>M2*1.6E-19/(1.38E-23*A2)</f>
        <v>83.8577526760237</v>
      </c>
    </row>
    <row r="3" spans="1:14">
      <c r="A3">
        <v>573</v>
      </c>
      <c r="B3">
        <f t="shared" si="0"/>
        <v>187.926</v>
      </c>
      <c r="C3" s="4">
        <f t="shared" si="1"/>
        <v>72279230769.2308</v>
      </c>
      <c r="D3" s="4">
        <f t="shared" ref="D3:D9" si="3">C3/1000000000</f>
        <v>72.2792307692308</v>
      </c>
      <c r="E3" s="4">
        <f>E2</f>
        <v>2.48e-10</v>
      </c>
      <c r="F3" s="5">
        <f t="shared" ref="F3:F9" si="4">C3*E3^3/1.6E-19*0.73</f>
        <v>5.03004003714462</v>
      </c>
      <c r="G3" s="5">
        <f>76.5*1.38E-23*A3/1.6E-19</f>
        <v>3.780725625</v>
      </c>
      <c r="H3">
        <f>F3*1.6E-19/(1.38E-23*A3)</f>
        <v>101.778891410974</v>
      </c>
      <c r="J3">
        <f t="shared" si="2"/>
        <v>76.5</v>
      </c>
      <c r="K3" s="6">
        <f>G3*1.6E-19/(C3*E3^3)</f>
        <v>0.54868941119139</v>
      </c>
      <c r="M3">
        <f>0.6*C3*E3^3/1.6E-19</f>
        <v>4.13427948258462</v>
      </c>
      <c r="N3">
        <f>M3*1.6E-19/(1.38E-23*A3)</f>
        <v>83.6538833514858</v>
      </c>
    </row>
    <row r="4" spans="1:11">
      <c r="A4">
        <v>673</v>
      </c>
      <c r="B4">
        <f t="shared" si="0"/>
        <v>181.468</v>
      </c>
      <c r="C4" s="4">
        <f t="shared" si="1"/>
        <v>69795384615.3846</v>
      </c>
      <c r="D4" s="4">
        <f t="shared" si="3"/>
        <v>69.7953846153846</v>
      </c>
      <c r="E4" s="4">
        <f>E3</f>
        <v>2.48e-10</v>
      </c>
      <c r="F4" s="5">
        <f t="shared" si="4"/>
        <v>4.85718477198769</v>
      </c>
      <c r="G4" s="5">
        <f>76.5*1.38E-23*A4/1.6E-19</f>
        <v>4.440538125</v>
      </c>
      <c r="H4">
        <f>F4*1.6E-19/(1.38E-23*A4)</f>
        <v>83.6778391711384</v>
      </c>
      <c r="J4">
        <f t="shared" si="2"/>
        <v>76.5</v>
      </c>
      <c r="K4" s="6">
        <f>G4*1.6E-19/(C4*E4^3)</f>
        <v>0.667381000192721</v>
      </c>
    </row>
    <row r="5" spans="1:11">
      <c r="A5">
        <v>723</v>
      </c>
      <c r="B5">
        <f t="shared" si="0"/>
        <v>178.239</v>
      </c>
      <c r="C5" s="4">
        <f t="shared" si="1"/>
        <v>68553461538.4615</v>
      </c>
      <c r="D5" s="4">
        <f t="shared" si="3"/>
        <v>68.5534615384615</v>
      </c>
      <c r="E5" s="4">
        <f>E4</f>
        <v>2.48e-10</v>
      </c>
      <c r="F5" s="5">
        <f t="shared" si="4"/>
        <v>4.77075713940923</v>
      </c>
      <c r="G5" s="5">
        <v>4.77</v>
      </c>
      <c r="H5">
        <f t="shared" ref="H3:H9" si="5">F5*1.6E-19/(1.38E-23*A5)</f>
        <v>76.5050155657262</v>
      </c>
      <c r="J5">
        <f t="shared" si="2"/>
        <v>76.4928738950027</v>
      </c>
      <c r="K5" s="6" t="s">
        <v>33</v>
      </c>
    </row>
    <row r="6" spans="1:11">
      <c r="A6">
        <v>773</v>
      </c>
      <c r="B6">
        <f t="shared" si="0"/>
        <v>175.01</v>
      </c>
      <c r="C6" s="4">
        <f t="shared" si="1"/>
        <v>67311538461.5385</v>
      </c>
      <c r="D6" s="4">
        <f t="shared" si="3"/>
        <v>67.3115384615385</v>
      </c>
      <c r="E6" s="4">
        <f>E5</f>
        <v>2.48e-10</v>
      </c>
      <c r="F6" s="5">
        <f t="shared" si="4"/>
        <v>4.68432950683077</v>
      </c>
      <c r="G6" s="5">
        <f>G5</f>
        <v>4.77</v>
      </c>
      <c r="H6">
        <f t="shared" si="5"/>
        <v>70.2601122197465</v>
      </c>
      <c r="J6">
        <f t="shared" si="2"/>
        <v>71.5450812756623</v>
      </c>
      <c r="K6" s="6"/>
    </row>
    <row r="7" spans="1:10">
      <c r="A7">
        <v>823</v>
      </c>
      <c r="B7">
        <f t="shared" si="0"/>
        <v>171.781</v>
      </c>
      <c r="C7" s="4">
        <f t="shared" si="1"/>
        <v>66069615384.6154</v>
      </c>
      <c r="D7" s="4">
        <f t="shared" si="3"/>
        <v>66.0696153846154</v>
      </c>
      <c r="E7" s="4">
        <f>E6</f>
        <v>2.48e-10</v>
      </c>
      <c r="F7" s="5">
        <f t="shared" si="4"/>
        <v>4.59790187425231</v>
      </c>
      <c r="G7" s="5">
        <f>G6</f>
        <v>4.77</v>
      </c>
      <c r="H7">
        <f t="shared" si="5"/>
        <v>64.7740063641652</v>
      </c>
      <c r="J7">
        <f t="shared" si="2"/>
        <v>67.1984785250145</v>
      </c>
    </row>
    <row r="8" spans="1:10">
      <c r="A8">
        <v>873</v>
      </c>
      <c r="B8">
        <f t="shared" si="0"/>
        <v>168.552</v>
      </c>
      <c r="C8" s="4">
        <f t="shared" si="1"/>
        <v>64827692307.6923</v>
      </c>
      <c r="D8" s="4">
        <f t="shared" si="3"/>
        <v>64.8276923076923</v>
      </c>
      <c r="E8" s="4">
        <f>E5</f>
        <v>2.48e-10</v>
      </c>
      <c r="F8" s="5">
        <f t="shared" si="4"/>
        <v>4.51147424167385</v>
      </c>
      <c r="G8" s="5">
        <f>G7</f>
        <v>4.77</v>
      </c>
      <c r="H8">
        <f t="shared" si="5"/>
        <v>59.9163204233125</v>
      </c>
      <c r="J8">
        <f t="shared" si="2"/>
        <v>63.3497684147617</v>
      </c>
    </row>
    <row r="9" spans="1:10">
      <c r="A9">
        <v>923</v>
      </c>
      <c r="B9">
        <f t="shared" si="0"/>
        <v>165.323</v>
      </c>
      <c r="C9" s="4">
        <f t="shared" si="1"/>
        <v>63585769230.7692</v>
      </c>
      <c r="D9" s="4">
        <f t="shared" si="3"/>
        <v>63.5857692307692</v>
      </c>
      <c r="E9" s="4">
        <f>E8</f>
        <v>2.48e-10</v>
      </c>
      <c r="F9" s="5">
        <f t="shared" si="4"/>
        <v>4.42504660909538</v>
      </c>
      <c r="G9" s="5">
        <f>G8</f>
        <v>4.77</v>
      </c>
      <c r="H9">
        <f t="shared" si="5"/>
        <v>55.5849276504829</v>
      </c>
      <c r="J9">
        <f t="shared" si="2"/>
        <v>59.9180366479815</v>
      </c>
    </row>
    <row r="12" spans="6:6">
      <c r="F12" s="5">
        <f>10*1.6E-19/(C2*E2^3)</f>
        <v>1.40306494285418</v>
      </c>
    </row>
  </sheetData>
  <pageMargins left="0.7" right="0.7" top="0.75" bottom="0.75" header="0.511811023622047" footer="0.511811023622047"/>
  <pageSetup paperSize="1" orientation="portrait" horizontalDpi="300" verticalDpi="300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1"/>
  <sheetViews>
    <sheetView zoomScale="130" zoomScaleNormal="130" workbookViewId="0">
      <selection activeCell="A1" sqref="A1:B1"/>
    </sheetView>
  </sheetViews>
  <sheetFormatPr defaultColWidth="8.54" defaultRowHeight="15"/>
  <cols>
    <col min="2" max="2" width="20.9133333333333" customWidth="1"/>
    <col min="5" max="5" width="20.3733333333333" customWidth="1"/>
    <col min="6" max="6" width="20.18" customWidth="1"/>
    <col min="8" max="8" width="13.36" customWidth="1"/>
    <col min="11" max="11" width="14.4533333333333" customWidth="1"/>
  </cols>
  <sheetData>
    <row r="1" spans="1:11">
      <c r="A1" s="3" t="s">
        <v>34</v>
      </c>
      <c r="B1" s="3"/>
      <c r="D1" s="3" t="s">
        <v>35</v>
      </c>
      <c r="E1" s="3"/>
      <c r="G1" s="3" t="s">
        <v>36</v>
      </c>
      <c r="H1" s="3"/>
      <c r="J1" s="3" t="s">
        <v>37</v>
      </c>
      <c r="K1" s="3"/>
    </row>
    <row r="2" spans="1:11">
      <c r="A2">
        <v>0.00293003421596516</v>
      </c>
      <c r="B2">
        <v>373.89151220621</v>
      </c>
      <c r="D2">
        <v>0</v>
      </c>
      <c r="E2">
        <v>0</v>
      </c>
      <c r="G2">
        <v>0.00312601230968578</v>
      </c>
      <c r="H2">
        <v>437.641723356009</v>
      </c>
      <c r="J2">
        <v>0</v>
      </c>
      <c r="K2">
        <v>0</v>
      </c>
    </row>
    <row r="3" spans="1:11">
      <c r="A3">
        <v>0.00445328344667277</v>
      </c>
      <c r="B3">
        <v>396.753002608527</v>
      </c>
      <c r="D3">
        <v>0.00292574981687</v>
      </c>
      <c r="E3">
        <v>374.987027043</v>
      </c>
      <c r="G3">
        <v>0.00747797785737369</v>
      </c>
      <c r="H3">
        <v>505.812918293914</v>
      </c>
      <c r="J3">
        <v>0.00312113618309</v>
      </c>
      <c r="K3">
        <v>439.009796679</v>
      </c>
    </row>
    <row r="4" spans="1:11">
      <c r="A4">
        <v>0.00609262193426241</v>
      </c>
      <c r="B4">
        <v>422.992403277823</v>
      </c>
      <c r="D4">
        <v>0.00444339647605</v>
      </c>
      <c r="E4">
        <v>398.519856002</v>
      </c>
      <c r="G4">
        <v>0.0108441778620787</v>
      </c>
      <c r="H4">
        <v>524.005844470755</v>
      </c>
      <c r="J4">
        <v>0.00745015653529</v>
      </c>
      <c r="K4">
        <v>509.595376175</v>
      </c>
    </row>
    <row r="5" spans="1:11">
      <c r="A5">
        <v>0.00748031119907136</v>
      </c>
      <c r="B5">
        <v>437.072874120468</v>
      </c>
      <c r="D5">
        <v>0.00607413702191</v>
      </c>
      <c r="E5">
        <v>425.569536122</v>
      </c>
      <c r="G5">
        <v>0.0143794902100902</v>
      </c>
      <c r="H5">
        <v>532.281982480599</v>
      </c>
      <c r="J5">
        <v>0.0107858015523</v>
      </c>
      <c r="K5">
        <v>529.688257151</v>
      </c>
    </row>
    <row r="6" spans="1:11">
      <c r="A6">
        <v>0.0107352450969197</v>
      </c>
      <c r="B6">
        <v>446.688877467162</v>
      </c>
      <c r="D6">
        <v>0.00745247221598</v>
      </c>
      <c r="E6">
        <v>440.342315128</v>
      </c>
      <c r="G6">
        <v>0.0180600021118514</v>
      </c>
      <c r="H6">
        <v>539.041770026028</v>
      </c>
      <c r="J6">
        <v>0.0142770856478</v>
      </c>
      <c r="K6">
        <v>539.935925945</v>
      </c>
    </row>
    <row r="7" spans="1:11">
      <c r="A7">
        <v>0.0142699206259439</v>
      </c>
      <c r="B7">
        <v>453.449386287403</v>
      </c>
      <c r="D7">
        <v>0.0106780313615</v>
      </c>
      <c r="E7">
        <v>451.484192039</v>
      </c>
      <c r="G7">
        <v>0.0216454213483736</v>
      </c>
      <c r="H7">
        <v>540.611754485522</v>
      </c>
      <c r="J7">
        <v>0.0178988574523</v>
      </c>
      <c r="K7">
        <v>548.776865444</v>
      </c>
    </row>
    <row r="8" spans="1:11">
      <c r="A8">
        <v>0.0178032459285187</v>
      </c>
      <c r="B8">
        <v>456.996356157751</v>
      </c>
      <c r="D8">
        <v>0.0141690640257</v>
      </c>
      <c r="E8">
        <v>459.92007322</v>
      </c>
      <c r="G8">
        <v>0.0249045810271536</v>
      </c>
      <c r="H8">
        <v>546.639390393988</v>
      </c>
      <c r="J8">
        <v>0.0214144853978</v>
      </c>
      <c r="K8">
        <v>552.313523524</v>
      </c>
    </row>
    <row r="9" spans="1:11">
      <c r="A9">
        <v>0.0213359236960232</v>
      </c>
      <c r="B9">
        <v>459.002192561115</v>
      </c>
      <c r="D9">
        <v>0.0176466243992</v>
      </c>
      <c r="E9">
        <v>465.132374751</v>
      </c>
      <c r="G9">
        <v>0.0284364160062534</v>
      </c>
      <c r="H9">
        <v>546.639390393988</v>
      </c>
      <c r="J9">
        <v>0.0245995165498</v>
      </c>
      <c r="K9">
        <v>560.253215376</v>
      </c>
    </row>
    <row r="10" spans="1:11">
      <c r="A10">
        <v>0.0248681558005493</v>
      </c>
      <c r="B10">
        <v>459.94735107579</v>
      </c>
      <c r="D10">
        <v>0.0211114997605</v>
      </c>
      <c r="E10">
        <v>468.795428497</v>
      </c>
      <c r="G10">
        <v>0.0319682509853532</v>
      </c>
      <c r="H10">
        <v>546.639390393988</v>
      </c>
      <c r="J10">
        <v>0.0280396061288</v>
      </c>
      <c r="K10">
        <v>562.183855507</v>
      </c>
    </row>
    <row r="11" spans="1:11">
      <c r="A11">
        <v>0.0284000128421728</v>
      </c>
      <c r="B11">
        <v>459.999859882161</v>
      </c>
      <c r="D11">
        <v>0.0245639760244</v>
      </c>
      <c r="E11">
        <v>471.385393579</v>
      </c>
      <c r="G11">
        <v>0.0355000859644529</v>
      </c>
      <c r="H11">
        <v>546.639390393988</v>
      </c>
      <c r="J11">
        <v>0.0314679020512</v>
      </c>
      <c r="K11">
        <v>564.114495639</v>
      </c>
    </row>
    <row r="12" spans="1:11">
      <c r="A12">
        <v>0.0319315830709883</v>
      </c>
      <c r="B12">
        <v>459.369754205711</v>
      </c>
      <c r="D12">
        <v>0.0280042090506</v>
      </c>
      <c r="E12">
        <v>473.063861901</v>
      </c>
      <c r="G12">
        <v>0.0387108450363618</v>
      </c>
      <c r="H12">
        <v>546.639390393988</v>
      </c>
      <c r="J12">
        <v>0.0348844849052</v>
      </c>
      <c r="K12">
        <v>566.04513577</v>
      </c>
    </row>
    <row r="13" spans="1:11">
      <c r="A13">
        <v>0.0354631202060184</v>
      </c>
      <c r="B13">
        <v>458.660885319705</v>
      </c>
      <c r="D13">
        <v>0.0314323693191</v>
      </c>
      <c r="E13">
        <v>474.038157634</v>
      </c>
      <c r="J13">
        <v>0.0379803721329</v>
      </c>
      <c r="K13">
        <v>567.800263113</v>
      </c>
    </row>
    <row r="14" spans="1:5">
      <c r="A14">
        <v>0.0389941609342655</v>
      </c>
      <c r="B14">
        <v>456.770568290356</v>
      </c>
      <c r="D14">
        <v>0.0348487855746</v>
      </c>
      <c r="E14">
        <v>474.926431315</v>
      </c>
    </row>
    <row r="15" spans="1:5">
      <c r="A15">
        <v>0.042525311975131</v>
      </c>
      <c r="B15">
        <v>455.142795292861</v>
      </c>
      <c r="D15">
        <v>0.0382530922745</v>
      </c>
      <c r="E15">
        <v>474.58195338</v>
      </c>
    </row>
    <row r="16" spans="4:5">
      <c r="D16">
        <v>0.041645954492</v>
      </c>
      <c r="E16">
        <v>474.497884675</v>
      </c>
    </row>
    <row r="19" spans="4:11">
      <c r="D19" s="3" t="s">
        <v>38</v>
      </c>
      <c r="E19" s="3"/>
      <c r="J19" s="3" t="s">
        <v>39</v>
      </c>
      <c r="K19" s="3"/>
    </row>
    <row r="20" spans="4:11">
      <c r="D20">
        <f t="shared" ref="D20:D31" si="0">D3-E3/170263</f>
        <v>0.0007233510159385</v>
      </c>
      <c r="E20">
        <v>374.987027043</v>
      </c>
      <c r="J20">
        <f t="shared" ref="J20:J29" si="1">J3-K3/185000</f>
        <v>0.000748110255095405</v>
      </c>
      <c r="K20">
        <v>439.009796679</v>
      </c>
    </row>
    <row r="21" spans="4:11">
      <c r="D21">
        <f t="shared" si="0"/>
        <v>0.00210278309556217</v>
      </c>
      <c r="E21">
        <v>398.519856002</v>
      </c>
      <c r="J21">
        <f t="shared" si="1"/>
        <v>0.00469558693434405</v>
      </c>
      <c r="K21">
        <v>509.595376175</v>
      </c>
    </row>
    <row r="22" spans="4:11">
      <c r="D22">
        <f t="shared" si="0"/>
        <v>0.00357465365722125</v>
      </c>
      <c r="E22">
        <v>425.569536122</v>
      </c>
      <c r="J22">
        <f t="shared" si="1"/>
        <v>0.00792262178391622</v>
      </c>
      <c r="K22">
        <v>529.688257151</v>
      </c>
    </row>
    <row r="23" spans="4:11">
      <c r="D23">
        <f t="shared" si="0"/>
        <v>0.0048662243809953</v>
      </c>
      <c r="E23">
        <v>440.342315128</v>
      </c>
      <c r="J23">
        <f t="shared" si="1"/>
        <v>0.0113585130751243</v>
      </c>
      <c r="K23">
        <v>539.935925945</v>
      </c>
    </row>
    <row r="24" spans="4:11">
      <c r="D24">
        <f t="shared" si="0"/>
        <v>0.00802634431241124</v>
      </c>
      <c r="E24">
        <v>451.484192039</v>
      </c>
      <c r="J24">
        <f t="shared" si="1"/>
        <v>0.0149324960174676</v>
      </c>
      <c r="K24">
        <v>548.776865444</v>
      </c>
    </row>
    <row r="25" spans="4:11">
      <c r="D25">
        <f t="shared" si="0"/>
        <v>0.0114678307969891</v>
      </c>
      <c r="E25">
        <v>459.92007322</v>
      </c>
      <c r="J25">
        <f t="shared" si="1"/>
        <v>0.0184290068922649</v>
      </c>
      <c r="K25">
        <v>552.313523524</v>
      </c>
    </row>
    <row r="26" spans="4:11">
      <c r="D26">
        <f t="shared" si="0"/>
        <v>0.014914777933726</v>
      </c>
      <c r="E26">
        <v>465.132374751</v>
      </c>
      <c r="J26">
        <f t="shared" si="1"/>
        <v>0.0215711207910108</v>
      </c>
      <c r="K26">
        <v>560.253215376</v>
      </c>
    </row>
    <row r="27" spans="4:11">
      <c r="D27">
        <f t="shared" si="0"/>
        <v>0.0183581392036145</v>
      </c>
      <c r="E27">
        <v>468.795428497</v>
      </c>
      <c r="J27">
        <f t="shared" si="1"/>
        <v>0.0250007744774108</v>
      </c>
      <c r="K27">
        <v>592.546874196571</v>
      </c>
    </row>
    <row r="28" spans="4:11">
      <c r="D28">
        <f t="shared" si="0"/>
        <v>0.0217954039119681</v>
      </c>
      <c r="E28">
        <v>471.385393579</v>
      </c>
      <c r="J28">
        <f t="shared" si="1"/>
        <v>0.0284186345072054</v>
      </c>
      <c r="K28">
        <v>609.270272735214</v>
      </c>
    </row>
    <row r="29" spans="4:11">
      <c r="D29">
        <f t="shared" si="0"/>
        <v>0.0252257788461457</v>
      </c>
      <c r="E29">
        <v>473.063861901</v>
      </c>
      <c r="J29">
        <f t="shared" si="1"/>
        <v>0.0318247814686054</v>
      </c>
      <c r="K29">
        <v>625.993671273857</v>
      </c>
    </row>
    <row r="30" spans="4:5">
      <c r="D30">
        <f t="shared" si="0"/>
        <v>0.0286482168160077</v>
      </c>
      <c r="E30">
        <v>474.038157634</v>
      </c>
    </row>
    <row r="31" spans="4:5">
      <c r="D31">
        <f t="shared" si="0"/>
        <v>0.0320594160033191</v>
      </c>
      <c r="E31">
        <v>474.926431315</v>
      </c>
    </row>
  </sheetData>
  <mergeCells count="6">
    <mergeCell ref="A1:B1"/>
    <mergeCell ref="D1:E1"/>
    <mergeCell ref="G1:H1"/>
    <mergeCell ref="J1:K1"/>
    <mergeCell ref="D19:E19"/>
    <mergeCell ref="J19:K19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6"/>
  <sheetViews>
    <sheetView zoomScale="130" zoomScaleNormal="130" workbookViewId="0">
      <selection activeCell="A1" sqref="A1:B1"/>
    </sheetView>
  </sheetViews>
  <sheetFormatPr defaultColWidth="8.54" defaultRowHeight="15"/>
  <cols>
    <col min="2" max="2" width="21.18" customWidth="1"/>
    <col min="4" max="4" width="11.82" customWidth="1"/>
    <col min="5" max="5" width="18.5466666666667" customWidth="1"/>
    <col min="7" max="7" width="11.82" customWidth="1"/>
    <col min="8" max="8" width="13.8933333333333" customWidth="1"/>
    <col min="11" max="11" width="12.72" customWidth="1"/>
  </cols>
  <sheetData>
    <row r="1" spans="1:11">
      <c r="A1" s="3" t="s">
        <v>36</v>
      </c>
      <c r="B1" s="3"/>
      <c r="D1" s="3" t="s">
        <v>40</v>
      </c>
      <c r="E1" s="3"/>
      <c r="G1" s="3" t="s">
        <v>34</v>
      </c>
      <c r="H1" s="3"/>
      <c r="J1" s="3" t="s">
        <v>41</v>
      </c>
      <c r="K1" s="3"/>
    </row>
    <row r="2" spans="1:11">
      <c r="A2">
        <v>0.00569</v>
      </c>
      <c r="B2">
        <v>190.69391</v>
      </c>
      <c r="D2">
        <v>0.00245</v>
      </c>
      <c r="E2">
        <v>107.20367</v>
      </c>
      <c r="G2">
        <v>0.00216</v>
      </c>
      <c r="H2">
        <v>72.20148</v>
      </c>
      <c r="J2">
        <v>0.00241</v>
      </c>
      <c r="K2">
        <v>76.95641</v>
      </c>
    </row>
    <row r="3" spans="1:11">
      <c r="A3">
        <v>0.00665</v>
      </c>
      <c r="B3">
        <v>217.96037</v>
      </c>
      <c r="D3">
        <v>0.00099</v>
      </c>
      <c r="E3">
        <v>71.59579</v>
      </c>
      <c r="G3">
        <v>0.00362</v>
      </c>
      <c r="H3">
        <v>102.13022</v>
      </c>
      <c r="J3">
        <v>0.00458</v>
      </c>
      <c r="K3">
        <v>121.27958</v>
      </c>
    </row>
    <row r="4" spans="1:11">
      <c r="A4">
        <v>0.00923</v>
      </c>
      <c r="B4">
        <v>293.20082</v>
      </c>
      <c r="D4">
        <v>0.00538</v>
      </c>
      <c r="E4">
        <v>153.55048</v>
      </c>
      <c r="G4">
        <v>0.00492</v>
      </c>
      <c r="H4">
        <v>141.67934</v>
      </c>
      <c r="J4">
        <v>0.01383</v>
      </c>
      <c r="K4">
        <v>316.84954</v>
      </c>
    </row>
    <row r="5" spans="1:11">
      <c r="A5">
        <v>0.01079</v>
      </c>
      <c r="B5">
        <v>332.98326</v>
      </c>
      <c r="D5">
        <v>0.00772</v>
      </c>
      <c r="E5">
        <v>195.0041</v>
      </c>
      <c r="G5">
        <v>0.00557</v>
      </c>
      <c r="H5">
        <v>175.56681</v>
      </c>
      <c r="J5">
        <v>0.01619</v>
      </c>
      <c r="K5">
        <v>348.71827</v>
      </c>
    </row>
    <row r="6" spans="1:11">
      <c r="A6">
        <v>0.01152</v>
      </c>
      <c r="B6">
        <v>374.26975</v>
      </c>
      <c r="D6">
        <v>0.008</v>
      </c>
      <c r="E6">
        <v>232.33877</v>
      </c>
      <c r="G6">
        <v>0.00839</v>
      </c>
      <c r="H6">
        <v>222.75762</v>
      </c>
      <c r="J6">
        <v>0.02228</v>
      </c>
      <c r="K6">
        <v>367.15659</v>
      </c>
    </row>
    <row r="7" spans="1:11">
      <c r="A7">
        <v>0.01313</v>
      </c>
      <c r="B7">
        <v>413.01242</v>
      </c>
      <c r="D7">
        <v>0.00988</v>
      </c>
      <c r="E7">
        <v>274.89843</v>
      </c>
      <c r="G7">
        <v>0.01011</v>
      </c>
      <c r="H7">
        <v>263.66697</v>
      </c>
      <c r="J7">
        <v>0.02992</v>
      </c>
      <c r="K7">
        <v>364.70021</v>
      </c>
    </row>
    <row r="8" spans="1:8">
      <c r="A8">
        <v>0.01528</v>
      </c>
      <c r="B8">
        <v>463.405</v>
      </c>
      <c r="D8">
        <v>0.01139</v>
      </c>
      <c r="E8">
        <v>320.93868</v>
      </c>
      <c r="G8">
        <v>0.01171</v>
      </c>
      <c r="H8">
        <v>303.13749</v>
      </c>
    </row>
    <row r="9" spans="1:8">
      <c r="A9">
        <v>0.01711</v>
      </c>
      <c r="B9">
        <v>503.02918</v>
      </c>
      <c r="D9">
        <v>0.01318</v>
      </c>
      <c r="E9">
        <v>359.57832</v>
      </c>
      <c r="G9">
        <v>0.01341</v>
      </c>
      <c r="H9">
        <v>347.39</v>
      </c>
    </row>
    <row r="10" spans="1:8">
      <c r="A10">
        <v>0.01866</v>
      </c>
      <c r="B10">
        <v>531.68093</v>
      </c>
      <c r="D10">
        <v>0.0139</v>
      </c>
      <c r="E10">
        <v>391.53476</v>
      </c>
      <c r="G10">
        <v>0.01448</v>
      </c>
      <c r="H10">
        <v>384.1101</v>
      </c>
    </row>
    <row r="11" spans="1:8">
      <c r="A11">
        <v>0.02521</v>
      </c>
      <c r="B11">
        <v>555.1952</v>
      </c>
      <c r="D11">
        <v>0.01506</v>
      </c>
      <c r="E11">
        <v>431.2202</v>
      </c>
      <c r="G11">
        <v>0.01593</v>
      </c>
      <c r="H11">
        <v>421.76594</v>
      </c>
    </row>
    <row r="12" spans="1:8">
      <c r="A12">
        <v>0.03255</v>
      </c>
      <c r="B12">
        <v>560.06019</v>
      </c>
      <c r="D12">
        <v>0.01725</v>
      </c>
      <c r="E12">
        <v>478.42418</v>
      </c>
      <c r="G12">
        <v>0.01793</v>
      </c>
      <c r="H12">
        <v>445.81635</v>
      </c>
    </row>
    <row r="13" spans="1:8">
      <c r="A13">
        <v>0.04017</v>
      </c>
      <c r="B13">
        <v>565.48968</v>
      </c>
      <c r="D13">
        <v>0.01844</v>
      </c>
      <c r="E13">
        <v>505.98965</v>
      </c>
      <c r="G13">
        <v>0.02164</v>
      </c>
      <c r="H13">
        <v>479.04447</v>
      </c>
    </row>
    <row r="14" spans="1:8">
      <c r="A14">
        <v>0.04017</v>
      </c>
      <c r="B14">
        <v>565.48968</v>
      </c>
      <c r="D14">
        <v>0.02212</v>
      </c>
      <c r="E14">
        <v>536.56475</v>
      </c>
      <c r="G14">
        <v>0.02614</v>
      </c>
      <c r="H14">
        <v>505.16635</v>
      </c>
    </row>
    <row r="15" spans="4:8">
      <c r="D15">
        <v>0.02957</v>
      </c>
      <c r="E15">
        <v>552.66384</v>
      </c>
      <c r="G15">
        <v>0.03374</v>
      </c>
      <c r="H15">
        <v>510.92277</v>
      </c>
    </row>
    <row r="16" spans="4:8">
      <c r="D16">
        <v>0.0372</v>
      </c>
      <c r="E16">
        <v>553.72491</v>
      </c>
      <c r="G16">
        <v>0.03926</v>
      </c>
      <c r="H16">
        <v>511.67148</v>
      </c>
    </row>
    <row r="17" spans="4:5">
      <c r="D17">
        <v>0.04447</v>
      </c>
      <c r="E17">
        <v>548.14586</v>
      </c>
    </row>
    <row r="22" spans="1:11">
      <c r="A22" s="3" t="s">
        <v>37</v>
      </c>
      <c r="B22" s="3"/>
      <c r="D22" s="3" t="s">
        <v>42</v>
      </c>
      <c r="E22" s="3"/>
      <c r="G22" s="3" t="s">
        <v>35</v>
      </c>
      <c r="H22" s="3"/>
      <c r="J22" s="3" t="s">
        <v>43</v>
      </c>
      <c r="K22" s="3"/>
    </row>
    <row r="23" spans="1:11">
      <c r="A23">
        <v>0</v>
      </c>
      <c r="B23">
        <v>0</v>
      </c>
      <c r="D23">
        <v>0</v>
      </c>
      <c r="E23">
        <v>0</v>
      </c>
      <c r="G23">
        <v>0</v>
      </c>
      <c r="H23">
        <v>0</v>
      </c>
      <c r="J23">
        <v>0</v>
      </c>
      <c r="K23">
        <v>0</v>
      </c>
    </row>
    <row r="24" spans="1:11">
      <c r="A24">
        <v>0.0056738730958</v>
      </c>
      <c r="B24">
        <v>191.778958348</v>
      </c>
      <c r="D24">
        <v>0.00244700364305</v>
      </c>
      <c r="E24">
        <v>107.466318992</v>
      </c>
      <c r="G24">
        <v>0.0021576705538</v>
      </c>
      <c r="H24">
        <v>72.3574351968</v>
      </c>
      <c r="J24">
        <v>0.00240710060742</v>
      </c>
      <c r="K24">
        <v>77.1418749481</v>
      </c>
    </row>
    <row r="25" spans="1:11">
      <c r="A25">
        <v>0.00662798629022</v>
      </c>
      <c r="B25">
        <v>219.40980646</v>
      </c>
      <c r="D25">
        <v>0.00769035328401</v>
      </c>
      <c r="E25">
        <v>196.509531652</v>
      </c>
      <c r="G25">
        <v>0.00361346356984</v>
      </c>
      <c r="H25">
        <v>102.499931396</v>
      </c>
      <c r="J25">
        <v>0.00456954371437</v>
      </c>
      <c r="K25">
        <v>121.835040476</v>
      </c>
    </row>
    <row r="26" spans="1:11">
      <c r="A26">
        <v>0.00918766385899</v>
      </c>
      <c r="B26">
        <v>295.907063569</v>
      </c>
      <c r="D26">
        <v>0.00796816964918</v>
      </c>
      <c r="E26">
        <v>234.19748016</v>
      </c>
      <c r="G26">
        <v>0.00490793635258</v>
      </c>
      <c r="H26">
        <v>142.376402353</v>
      </c>
      <c r="J26">
        <v>0.0137352382537</v>
      </c>
      <c r="K26">
        <v>321.231569138</v>
      </c>
    </row>
    <row r="27" spans="1:11">
      <c r="A27">
        <v>0.010732203329</v>
      </c>
      <c r="B27">
        <v>336.576149375</v>
      </c>
      <c r="D27">
        <v>0.00983151191329</v>
      </c>
      <c r="E27">
        <v>277.614426488</v>
      </c>
      <c r="G27">
        <v>0.00555454491333</v>
      </c>
      <c r="H27">
        <v>176.544717132</v>
      </c>
      <c r="J27">
        <v>0.0160603395465</v>
      </c>
      <c r="K27">
        <v>354.364018791</v>
      </c>
    </row>
    <row r="28" spans="1:11">
      <c r="A28">
        <v>0.0114541500451</v>
      </c>
      <c r="B28">
        <v>378.58133752</v>
      </c>
      <c r="D28">
        <v>0.0113256223299</v>
      </c>
      <c r="E28">
        <v>324.594171565</v>
      </c>
      <c r="G28">
        <v>0.00835499958273</v>
      </c>
      <c r="H28">
        <v>224.626556432</v>
      </c>
      <c r="J28">
        <v>0.0220354268606</v>
      </c>
      <c r="K28">
        <v>375.336838825</v>
      </c>
    </row>
    <row r="29" spans="1:11">
      <c r="A29">
        <v>0.0130445487208</v>
      </c>
      <c r="B29">
        <v>418.435273075</v>
      </c>
      <c r="D29">
        <v>0.0130938995112</v>
      </c>
      <c r="E29">
        <v>364.317562258</v>
      </c>
      <c r="G29">
        <v>0.0100592358139</v>
      </c>
      <c r="H29">
        <v>266.332643067</v>
      </c>
      <c r="J29">
        <v>0.0294811293222</v>
      </c>
      <c r="K29">
        <v>375.612040283</v>
      </c>
    </row>
    <row r="30" spans="1:8">
      <c r="A30">
        <v>0.0151644365198</v>
      </c>
      <c r="B30">
        <v>470.4858284</v>
      </c>
      <c r="D30">
        <v>0.0138042809764</v>
      </c>
      <c r="E30">
        <v>396.977093164</v>
      </c>
      <c r="G30">
        <v>0.0116419685339</v>
      </c>
      <c r="H30">
        <v>306.687230008</v>
      </c>
    </row>
    <row r="31" spans="1:8">
      <c r="A31">
        <v>0.016965272476</v>
      </c>
      <c r="B31">
        <v>511.63600927</v>
      </c>
      <c r="D31">
        <v>0.0149477240471</v>
      </c>
      <c r="E31">
        <v>437.714376212</v>
      </c>
      <c r="G31">
        <v>0.0133208817828</v>
      </c>
      <c r="H31">
        <v>352.0484999</v>
      </c>
    </row>
    <row r="32" spans="1:8">
      <c r="A32">
        <v>0.0184880381121</v>
      </c>
      <c r="B32">
        <v>541.602096154</v>
      </c>
      <c r="D32">
        <v>0.0171029078997</v>
      </c>
      <c r="E32">
        <v>486.676997105</v>
      </c>
      <c r="G32">
        <v>0.0143761659445</v>
      </c>
      <c r="H32">
        <v>389.672014248</v>
      </c>
    </row>
    <row r="33" spans="1:8">
      <c r="A33">
        <v>0.0248974696545</v>
      </c>
      <c r="B33">
        <v>569.191670992</v>
      </c>
      <c r="D33">
        <v>0.0182720447874</v>
      </c>
      <c r="E33">
        <v>515.320099146</v>
      </c>
      <c r="G33">
        <v>0.0158044491449</v>
      </c>
      <c r="H33">
        <v>428.484671424</v>
      </c>
    </row>
    <row r="34" spans="1:8">
      <c r="A34">
        <v>0.0320314708307</v>
      </c>
      <c r="B34">
        <v>578.290149185</v>
      </c>
      <c r="D34">
        <v>0.0218789017184</v>
      </c>
      <c r="E34">
        <v>548.43356227</v>
      </c>
      <c r="G34">
        <v>0.0177711534851</v>
      </c>
      <c r="H34">
        <v>453.809837156</v>
      </c>
    </row>
    <row r="35" spans="1:8">
      <c r="A35">
        <v>0.0393841613334</v>
      </c>
      <c r="B35">
        <v>588.205400446</v>
      </c>
      <c r="D35">
        <v>0.0291412393461</v>
      </c>
      <c r="E35">
        <v>569.006109749</v>
      </c>
      <c r="G35">
        <v>0.0214091792375</v>
      </c>
      <c r="H35">
        <v>489.410992331</v>
      </c>
    </row>
    <row r="36" spans="1:8">
      <c r="A36">
        <v>0.0393841613334</v>
      </c>
      <c r="B36">
        <v>588.205400446</v>
      </c>
      <c r="D36">
        <v>0.0365247746824</v>
      </c>
      <c r="E36">
        <v>574.323476652</v>
      </c>
      <c r="G36">
        <v>0.0258041896815</v>
      </c>
      <c r="H36">
        <v>518.371398389</v>
      </c>
    </row>
    <row r="37" spans="4:8">
      <c r="D37">
        <v>0.0435095797255</v>
      </c>
      <c r="E37">
        <v>572.521906394</v>
      </c>
      <c r="G37">
        <v>0.0331832937902</v>
      </c>
      <c r="H37">
        <v>528.16130426</v>
      </c>
    </row>
    <row r="38" spans="7:8">
      <c r="G38">
        <v>0.0385089214281</v>
      </c>
      <c r="H38">
        <v>531.759702305</v>
      </c>
    </row>
    <row r="41" spans="1:11">
      <c r="A41" s="3" t="s">
        <v>44</v>
      </c>
      <c r="B41" s="3"/>
      <c r="D41" s="3" t="s">
        <v>45</v>
      </c>
      <c r="E41" s="3"/>
      <c r="G41" s="3" t="s">
        <v>38</v>
      </c>
      <c r="H41" s="3"/>
      <c r="J41" s="3" t="s">
        <v>46</v>
      </c>
      <c r="K41" s="3"/>
    </row>
    <row r="42" spans="1:11">
      <c r="A42">
        <f t="shared" ref="A42:A54" si="0">A24-(B24/185503)</f>
        <v>0.00464004098339211</v>
      </c>
      <c r="B42">
        <f t="shared" ref="B42:B54" si="1">B24</f>
        <v>191.778958348</v>
      </c>
      <c r="D42">
        <f t="shared" ref="D42:D54" si="2">D24-E24/180420</f>
        <v>0.00185135837649419</v>
      </c>
      <c r="E42">
        <v>107.466318992</v>
      </c>
      <c r="G42">
        <f t="shared" ref="G42:G55" si="3">G24-H24/170263</f>
        <v>0.00173269604262141</v>
      </c>
      <c r="H42">
        <v>72.3574351968</v>
      </c>
      <c r="J42">
        <f t="shared" ref="J42:J47" si="4">J24-K24/161000</f>
        <v>0.00192795852699702</v>
      </c>
      <c r="K42">
        <v>77.1418749481</v>
      </c>
    </row>
    <row r="43" spans="1:11">
      <c r="A43">
        <f t="shared" si="0"/>
        <v>0.00544520322762802</v>
      </c>
      <c r="B43">
        <f t="shared" si="1"/>
        <v>219.40980646</v>
      </c>
      <c r="D43">
        <f t="shared" si="2"/>
        <v>0.00660117507953156</v>
      </c>
      <c r="E43">
        <v>196.509531652</v>
      </c>
      <c r="G43">
        <f t="shared" si="3"/>
        <v>0.00301145414092121</v>
      </c>
      <c r="H43">
        <v>102.499931396</v>
      </c>
      <c r="J43">
        <f t="shared" si="4"/>
        <v>0.00381280433253149</v>
      </c>
      <c r="K43">
        <v>121.835040476</v>
      </c>
    </row>
    <row r="44" spans="1:11">
      <c r="A44">
        <f t="shared" si="0"/>
        <v>0.00759250333021688</v>
      </c>
      <c r="B44">
        <f t="shared" si="1"/>
        <v>295.907063569</v>
      </c>
      <c r="D44">
        <f t="shared" si="2"/>
        <v>0.00667010136318067</v>
      </c>
      <c r="E44">
        <v>234.19748016</v>
      </c>
      <c r="G44">
        <f t="shared" si="3"/>
        <v>0.00407172177658287</v>
      </c>
      <c r="H44">
        <v>142.376402353</v>
      </c>
      <c r="J44">
        <f t="shared" si="4"/>
        <v>0.0117400111161969</v>
      </c>
      <c r="K44">
        <v>321.231569138</v>
      </c>
    </row>
    <row r="45" spans="1:11">
      <c r="A45">
        <f t="shared" si="0"/>
        <v>0.00891780599108633</v>
      </c>
      <c r="B45">
        <f t="shared" si="1"/>
        <v>336.576149375</v>
      </c>
      <c r="D45">
        <f t="shared" si="2"/>
        <v>0.00829279987200855</v>
      </c>
      <c r="E45">
        <v>277.614426488</v>
      </c>
      <c r="G45">
        <f t="shared" si="3"/>
        <v>0.0045176507135802</v>
      </c>
      <c r="H45">
        <v>176.544717132</v>
      </c>
      <c r="J45">
        <f t="shared" si="4"/>
        <v>0.0138593207962453</v>
      </c>
      <c r="K45">
        <v>354.364018791</v>
      </c>
    </row>
    <row r="46" spans="1:11">
      <c r="A46">
        <f t="shared" si="0"/>
        <v>0.00941331330650278</v>
      </c>
      <c r="B46">
        <f t="shared" si="1"/>
        <v>378.58133752</v>
      </c>
      <c r="D46">
        <f t="shared" si="2"/>
        <v>0.00952651928386852</v>
      </c>
      <c r="E46">
        <v>324.594171565</v>
      </c>
      <c r="G46">
        <f t="shared" si="3"/>
        <v>0.00703570791964407</v>
      </c>
      <c r="H46">
        <v>224.626556432</v>
      </c>
      <c r="J46">
        <f t="shared" si="4"/>
        <v>0.0197041421474012</v>
      </c>
      <c r="K46">
        <v>375.336838825</v>
      </c>
    </row>
    <row r="47" spans="1:11">
      <c r="A47">
        <f t="shared" si="0"/>
        <v>0.0107888694429716</v>
      </c>
      <c r="B47">
        <f t="shared" si="1"/>
        <v>418.435273075</v>
      </c>
      <c r="D47">
        <f t="shared" si="2"/>
        <v>0.0110746246954479</v>
      </c>
      <c r="E47">
        <v>364.317562258</v>
      </c>
      <c r="G47">
        <f t="shared" si="3"/>
        <v>0.00849499318298782</v>
      </c>
      <c r="H47">
        <v>266.332643067</v>
      </c>
      <c r="J47">
        <f t="shared" si="4"/>
        <v>0.0271481352831752</v>
      </c>
      <c r="K47">
        <v>375.612040283</v>
      </c>
    </row>
    <row r="48" spans="1:8">
      <c r="A48">
        <f t="shared" si="0"/>
        <v>0.0126281657942592</v>
      </c>
      <c r="B48">
        <f t="shared" si="1"/>
        <v>470.4858284</v>
      </c>
      <c r="D48">
        <f t="shared" si="2"/>
        <v>0.0116039867010203</v>
      </c>
      <c r="E48">
        <v>396.977093164</v>
      </c>
      <c r="G48">
        <f t="shared" si="3"/>
        <v>0.00984071265324478</v>
      </c>
      <c r="H48">
        <v>306.687230008</v>
      </c>
    </row>
    <row r="49" spans="1:8">
      <c r="A49">
        <f t="shared" si="0"/>
        <v>0.0142071714788733</v>
      </c>
      <c r="B49">
        <f t="shared" si="1"/>
        <v>511.63600927</v>
      </c>
      <c r="D49">
        <f t="shared" si="2"/>
        <v>0.0125216383791474</v>
      </c>
      <c r="E49">
        <v>437.714376212</v>
      </c>
      <c r="G49">
        <f t="shared" si="3"/>
        <v>0.0112532070683876</v>
      </c>
      <c r="H49">
        <v>352.0484999</v>
      </c>
    </row>
    <row r="50" spans="1:8">
      <c r="A50">
        <f t="shared" si="0"/>
        <v>0.015568397480121</v>
      </c>
      <c r="B50">
        <f t="shared" si="1"/>
        <v>541.602096154</v>
      </c>
      <c r="D50">
        <f t="shared" si="2"/>
        <v>0.0144054408943514</v>
      </c>
      <c r="E50">
        <v>486.676997105</v>
      </c>
      <c r="G50">
        <f t="shared" si="3"/>
        <v>0.0120875182979297</v>
      </c>
      <c r="H50">
        <v>389.672014248</v>
      </c>
    </row>
    <row r="51" spans="1:8">
      <c r="A51">
        <f t="shared" si="0"/>
        <v>0.0218291005661726</v>
      </c>
      <c r="B51">
        <f t="shared" si="1"/>
        <v>569.191670992</v>
      </c>
      <c r="D51">
        <f t="shared" si="2"/>
        <v>0.0154158198725014</v>
      </c>
      <c r="E51">
        <v>515.320099146</v>
      </c>
      <c r="G51">
        <f t="shared" si="3"/>
        <v>0.0132878444132554</v>
      </c>
      <c r="H51">
        <v>428.484671424</v>
      </c>
    </row>
    <row r="52" spans="1:8">
      <c r="A52">
        <f t="shared" si="0"/>
        <v>0.0289140541356331</v>
      </c>
      <c r="B52">
        <f t="shared" si="1"/>
        <v>578.290149185</v>
      </c>
      <c r="D52">
        <f t="shared" si="2"/>
        <v>0.0188391413688268</v>
      </c>
      <c r="E52">
        <v>548.43356227</v>
      </c>
      <c r="G52">
        <f t="shared" si="3"/>
        <v>0.0151058073021008</v>
      </c>
      <c r="H52">
        <v>453.809837156</v>
      </c>
    </row>
    <row r="53" spans="1:8">
      <c r="A53">
        <f t="shared" si="0"/>
        <v>0.036213294013486</v>
      </c>
      <c r="B53">
        <f t="shared" si="1"/>
        <v>588.205400446</v>
      </c>
      <c r="D53">
        <f t="shared" si="2"/>
        <v>0.0259874531264514</v>
      </c>
      <c r="E53">
        <v>569.006109749</v>
      </c>
      <c r="G53">
        <f t="shared" si="3"/>
        <v>0.0185347379770324</v>
      </c>
      <c r="H53">
        <v>489.410992331</v>
      </c>
    </row>
    <row r="54" spans="1:8">
      <c r="A54">
        <f t="shared" si="0"/>
        <v>0.036213294013486</v>
      </c>
      <c r="B54">
        <f t="shared" si="1"/>
        <v>588.205400446</v>
      </c>
      <c r="D54">
        <f t="shared" si="2"/>
        <v>0.0333415163038832</v>
      </c>
      <c r="E54">
        <v>574.323476652</v>
      </c>
      <c r="G54">
        <f t="shared" si="3"/>
        <v>0.0227596562338983</v>
      </c>
      <c r="H54">
        <v>518.371398389</v>
      </c>
    </row>
    <row r="55" spans="7:8">
      <c r="G55">
        <f t="shared" si="3"/>
        <v>0.0300812616149182</v>
      </c>
      <c r="H55">
        <v>528.16130426</v>
      </c>
    </row>
    <row r="56" spans="8:8">
      <c r="H56">
        <v>531.759702305</v>
      </c>
    </row>
  </sheetData>
  <mergeCells count="12">
    <mergeCell ref="A1:B1"/>
    <mergeCell ref="D1:E1"/>
    <mergeCell ref="G1:H1"/>
    <mergeCell ref="J1:K1"/>
    <mergeCell ref="A22:B22"/>
    <mergeCell ref="D22:E22"/>
    <mergeCell ref="G22:H22"/>
    <mergeCell ref="J22:K22"/>
    <mergeCell ref="A41:B41"/>
    <mergeCell ref="D41:E41"/>
    <mergeCell ref="G41:H41"/>
    <mergeCell ref="J41:K41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workbookViewId="0">
      <selection activeCell="A1" sqref="A1:F6"/>
    </sheetView>
  </sheetViews>
  <sheetFormatPr defaultColWidth="8.8" defaultRowHeight="15" outlineLevelRow="5" outlineLevelCol="5"/>
  <sheetData>
    <row r="1" spans="1:6">
      <c r="A1" s="1"/>
      <c r="B1" s="1">
        <v>1.724</v>
      </c>
      <c r="C1" s="2">
        <v>-0.00012</v>
      </c>
      <c r="D1" s="2">
        <v>-2.79e-8</v>
      </c>
      <c r="E1" s="2">
        <v>-5.93e-11</v>
      </c>
      <c r="F1" s="1"/>
    </row>
    <row r="2" spans="1:6">
      <c r="A2" s="1">
        <v>763</v>
      </c>
      <c r="B2" s="1">
        <f>B$1-D$1*A2^2-2*E$1*A2^3</f>
        <v>1.7929240358142</v>
      </c>
      <c r="C2" s="1">
        <f>-C$1-2*D$1*A2-3*E$1*A2^2</f>
        <v>0.0002661432651</v>
      </c>
      <c r="D2" s="1">
        <f t="shared" ref="D2:D6" si="0">C2*A2</f>
        <v>0.2030673112713</v>
      </c>
      <c r="E2" s="1">
        <f t="shared" ref="E2:E6" si="1">B2-D2</f>
        <v>1.5898567245429</v>
      </c>
      <c r="F2" s="1">
        <f t="shared" ref="F2:F6" si="2">E2*1.6</f>
        <v>2.54377075926864</v>
      </c>
    </row>
    <row r="3" spans="1:6">
      <c r="A3" s="1">
        <v>823</v>
      </c>
      <c r="B3" s="1">
        <f>B$1-D$1*A3^2-2*E$1*A3^3</f>
        <v>1.8090100726662</v>
      </c>
      <c r="C3" s="1">
        <f>-C$1-2*D$1*A3-3*E$1*A3^2</f>
        <v>0.0002864202291</v>
      </c>
      <c r="D3" s="1">
        <f t="shared" si="0"/>
        <v>0.2357238485493</v>
      </c>
      <c r="E3" s="1">
        <f t="shared" si="1"/>
        <v>1.5732862241169</v>
      </c>
      <c r="F3" s="1">
        <f t="shared" si="2"/>
        <v>2.51725795858704</v>
      </c>
    </row>
    <row r="4" spans="1:6">
      <c r="A4" s="1">
        <v>873</v>
      </c>
      <c r="B4" s="1">
        <f>B$1-D$1*A4^2-2*E$1*A4^3</f>
        <v>1.8241725590762</v>
      </c>
      <c r="C4" s="1">
        <f>-C$1-2*D$1*A4-3*E$1*A4^2</f>
        <v>0.0003042961491</v>
      </c>
      <c r="D4" s="1">
        <f t="shared" si="0"/>
        <v>0.2656505381643</v>
      </c>
      <c r="E4" s="1">
        <f t="shared" si="1"/>
        <v>1.5585220209119</v>
      </c>
      <c r="F4" s="1">
        <f t="shared" si="2"/>
        <v>2.49363523345904</v>
      </c>
    </row>
    <row r="5" spans="1:6">
      <c r="A5" s="1">
        <v>923</v>
      </c>
      <c r="B5" s="1">
        <f>B$1-D$1*A5^2-2*E$1*A5^3</f>
        <v>1.8410276124862</v>
      </c>
      <c r="C5" s="1">
        <f>-C$1-2*D$1*A5-3*E$1*A5^2</f>
        <v>0.0003230615691</v>
      </c>
      <c r="D5" s="1">
        <f t="shared" si="0"/>
        <v>0.2981858282793</v>
      </c>
      <c r="E5" s="1">
        <f t="shared" si="1"/>
        <v>1.5428417842069</v>
      </c>
      <c r="F5" s="1">
        <f t="shared" si="2"/>
        <v>2.46854685473104</v>
      </c>
    </row>
    <row r="6" spans="1:6">
      <c r="A6" s="1">
        <v>973</v>
      </c>
      <c r="B6" s="1">
        <f>B$1-D$1*A6^2-2*E$1*A6^3</f>
        <v>1.8596641828962</v>
      </c>
      <c r="C6" s="1">
        <f>-C$1-2*D$1*A6-3*E$1*A6^2</f>
        <v>0.0003427164891</v>
      </c>
      <c r="D6" s="1">
        <f t="shared" si="0"/>
        <v>0.3334631438943</v>
      </c>
      <c r="E6" s="1">
        <f t="shared" si="1"/>
        <v>1.5262010390019</v>
      </c>
      <c r="F6" s="1">
        <f t="shared" si="2"/>
        <v>2.44192166240304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LibreOffice/7.3.7.2$Linux_X86_64 LibreOffice_project/30$Build-2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DeltaF</vt:lpstr>
      <vt:lpstr>2013 Morris</vt:lpstr>
      <vt:lpstr>2023 Zinoeve</vt:lpstr>
      <vt:lpstr>Gev_Vacancy Formation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sv1_admin1</dc:creator>
  <cp:lastModifiedBy>vikramroy</cp:lastModifiedBy>
  <cp:revision>1</cp:revision>
  <dcterms:created xsi:type="dcterms:W3CDTF">2025-04-03T20:18:00Z</dcterms:created>
  <dcterms:modified xsi:type="dcterms:W3CDTF">2025-04-19T06:40:32Z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