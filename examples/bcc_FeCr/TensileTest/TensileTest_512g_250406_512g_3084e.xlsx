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/>
  </bookViews>
  <sheets>
    <sheet name="Exp" sheetId="1" r:id="rId1"/>
    <sheet name="Graph" sheetId="3" r:id="rId2"/>
    <sheet name="973K" sheetId="12" r:id="rId3"/>
    <sheet name="923K" sheetId="7" r:id="rId4"/>
    <sheet name="873K" sheetId="2" r:id="rId5"/>
    <sheet name="823K" sheetId="4" r:id="rId6"/>
    <sheet name="773K" sheetId="5" r:id="rId7"/>
    <sheet name="723K" sheetId="6" r:id="rId8"/>
    <sheet name="673K" sheetId="8" r:id="rId9"/>
    <sheet name="573K" sheetId="9" r:id="rId10"/>
    <sheet name="473K" sheetId="10" r:id="rId11"/>
    <sheet name="300K" sheetId="11" r:id="rId12"/>
  </sheets>
  <calcPr calcId="144525"/>
</workbook>
</file>

<file path=xl/sharedStrings.xml><?xml version="1.0" encoding="utf-8"?>
<sst xmlns="http://schemas.openxmlformats.org/spreadsheetml/2006/main" count="135" uniqueCount="30">
  <si>
    <t>Strain Rate 3e-3/s</t>
  </si>
  <si>
    <t>923K 2014 Singh</t>
  </si>
  <si>
    <t>873K 2014 Singh</t>
  </si>
  <si>
    <t>823K 2014 Singh</t>
  </si>
  <si>
    <t>773K 2014 Singh</t>
  </si>
  <si>
    <t>723K 2014 Singh</t>
  </si>
  <si>
    <t>673K 2014 Singh</t>
  </si>
  <si>
    <t>573K 2014 Singh</t>
  </si>
  <si>
    <t>473K 2014 Singh</t>
  </si>
  <si>
    <t>300K 2014 Singh</t>
  </si>
  <si>
    <t>0.3% Pstrain Stress</t>
  </si>
  <si>
    <t>DeltaY</t>
  </si>
  <si>
    <t>G</t>
  </si>
  <si>
    <t>DeltaG</t>
  </si>
  <si>
    <t>DeltaG*b*sqrt(alphaij*rhoj)</t>
  </si>
  <si>
    <t>time</t>
  </si>
  <si>
    <t>Ep_eff</t>
  </si>
  <si>
    <t>Phi</t>
  </si>
  <si>
    <t>eeq</t>
  </si>
  <si>
    <t>phi_1</t>
  </si>
  <si>
    <t>phi_2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</si>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</sst>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0.00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8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5" fillId="9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Alignment="1"/>
    <xf numFmtId="11" fontId="0" fillId="0" borderId="0" xfId="0" applyNumberFormat="1" applyAlignment="1"/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80" fontId="1" fillId="0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chartUserShapes" Target="../drawings/drawing2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chartUserShapes" Target="../drawings/drawing3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chartUserShapes" Target="../drawings/drawing4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chartUserShapes" Target="../drawings/drawing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Exp!$D$2</c:f>
              <c:strCache>
                <c:ptCount val="1"/>
                <c:pt idx="0">
                  <c:v>873K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Exp!$D$3:$D$26</c:f>
              <c:numCache>
                <c:formatCode>General</c:formatCode>
                <c:ptCount val="24"/>
                <c:pt idx="0">
                  <c:v>0.0024</c:v>
                </c:pt>
                <c:pt idx="1">
                  <c:v>0.00271</c:v>
                </c:pt>
                <c:pt idx="2">
                  <c:v>0.00303</c:v>
                </c:pt>
                <c:pt idx="3">
                  <c:v>0.00339</c:v>
                </c:pt>
                <c:pt idx="4">
                  <c:v>0.00379</c:v>
                </c:pt>
                <c:pt idx="5">
                  <c:v>0.00424</c:v>
                </c:pt>
                <c:pt idx="6">
                  <c:v>0.00475</c:v>
                </c:pt>
                <c:pt idx="7">
                  <c:v>0.00531</c:v>
                </c:pt>
                <c:pt idx="8">
                  <c:v>0.00594</c:v>
                </c:pt>
                <c:pt idx="9">
                  <c:v>0.00665</c:v>
                </c:pt>
                <c:pt idx="10">
                  <c:v>0.00743</c:v>
                </c:pt>
                <c:pt idx="11">
                  <c:v>0.00832</c:v>
                </c:pt>
                <c:pt idx="12">
                  <c:v>0.0093</c:v>
                </c:pt>
                <c:pt idx="13">
                  <c:v>0.01041</c:v>
                </c:pt>
                <c:pt idx="14">
                  <c:v>0.01164</c:v>
                </c:pt>
                <c:pt idx="15">
                  <c:v>0.01303</c:v>
                </c:pt>
                <c:pt idx="16">
                  <c:v>0.01457</c:v>
                </c:pt>
                <c:pt idx="17">
                  <c:v>0.0163</c:v>
                </c:pt>
                <c:pt idx="18">
                  <c:v>0.01824</c:v>
                </c:pt>
                <c:pt idx="19">
                  <c:v>0.0204</c:v>
                </c:pt>
                <c:pt idx="20">
                  <c:v>0.02283</c:v>
                </c:pt>
                <c:pt idx="21">
                  <c:v>0.02554</c:v>
                </c:pt>
                <c:pt idx="22">
                  <c:v>0.02857</c:v>
                </c:pt>
                <c:pt idx="23">
                  <c:v>0.03069</c:v>
                </c:pt>
              </c:numCache>
            </c:numRef>
          </c:xVal>
          <c:yVal>
            <c:numRef>
              <c:f>Exp!$E$3:$E$26</c:f>
              <c:numCache>
                <c:formatCode>General</c:formatCode>
                <c:ptCount val="24"/>
                <c:pt idx="0">
                  <c:v>345.07187</c:v>
                </c:pt>
                <c:pt idx="1">
                  <c:v>348.62585</c:v>
                </c:pt>
                <c:pt idx="2">
                  <c:v>351.53479</c:v>
                </c:pt>
                <c:pt idx="3">
                  <c:v>354.33207</c:v>
                </c:pt>
                <c:pt idx="4">
                  <c:v>357.39352</c:v>
                </c:pt>
                <c:pt idx="5">
                  <c:v>359.81189</c:v>
                </c:pt>
                <c:pt idx="6">
                  <c:v>362.70428</c:v>
                </c:pt>
                <c:pt idx="7">
                  <c:v>365.23203</c:v>
                </c:pt>
                <c:pt idx="8">
                  <c:v>367.88623</c:v>
                </c:pt>
                <c:pt idx="9">
                  <c:v>370.04803</c:v>
                </c:pt>
                <c:pt idx="10">
                  <c:v>372.93002</c:v>
                </c:pt>
                <c:pt idx="11">
                  <c:v>375.59997</c:v>
                </c:pt>
                <c:pt idx="12">
                  <c:v>377.9656</c:v>
                </c:pt>
                <c:pt idx="13">
                  <c:v>380.00619</c:v>
                </c:pt>
                <c:pt idx="14">
                  <c:v>381.27192</c:v>
                </c:pt>
                <c:pt idx="15">
                  <c:v>383.65398</c:v>
                </c:pt>
                <c:pt idx="16">
                  <c:v>385.54</c:v>
                </c:pt>
                <c:pt idx="17">
                  <c:v>387.96265</c:v>
                </c:pt>
                <c:pt idx="18">
                  <c:v>389.80265</c:v>
                </c:pt>
                <c:pt idx="19">
                  <c:v>391.88548</c:v>
                </c:pt>
                <c:pt idx="20">
                  <c:v>393.70789</c:v>
                </c:pt>
                <c:pt idx="21">
                  <c:v>395.48788</c:v>
                </c:pt>
                <c:pt idx="22">
                  <c:v>396.45457</c:v>
                </c:pt>
                <c:pt idx="23">
                  <c:v>397.33305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"Sim_873"</c:f>
              <c:strCache>
                <c:ptCount val="1"/>
                <c:pt idx="0">
                  <c:v>Sim_873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'873K'!$B$2:$B$280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2.0624934702784e-21</c:v>
                </c:pt>
                <c:pt idx="2" c:formatCode="0.00E+00">
                  <c:v>7.3304037752633e-19</c:v>
                </c:pt>
                <c:pt idx="3" c:formatCode="0.00E+00">
                  <c:v>1.0285395980713e-13</c:v>
                </c:pt>
                <c:pt idx="4" c:formatCode="0.00E+00">
                  <c:v>2.2905410201962e-10</c:v>
                </c:pt>
                <c:pt idx="5" c:formatCode="0.00E+00">
                  <c:v>6.0828928484294e-6</c:v>
                </c:pt>
                <c:pt idx="6">
                  <c:v>0.0002724383915686</c:v>
                </c:pt>
                <c:pt idx="7">
                  <c:v>0.00084492780661239</c:v>
                </c:pt>
                <c:pt idx="8">
                  <c:v>0.0014695380074104</c:v>
                </c:pt>
                <c:pt idx="9">
                  <c:v>0.002102690817693</c:v>
                </c:pt>
                <c:pt idx="10">
                  <c:v>0.0027371323095628</c:v>
                </c:pt>
                <c:pt idx="11">
                  <c:v>0.0033712516326845</c:v>
                </c:pt>
                <c:pt idx="12">
                  <c:v>0.0040047917706528</c:v>
                </c:pt>
                <c:pt idx="13">
                  <c:v>0.0046377624259129</c:v>
                </c:pt>
                <c:pt idx="14">
                  <c:v>0.0052702115145259</c:v>
                </c:pt>
                <c:pt idx="15">
                  <c:v>0.0059021792137324</c:v>
                </c:pt>
                <c:pt idx="16">
                  <c:v>0.0065336986660521</c:v>
                </c:pt>
                <c:pt idx="17">
                  <c:v>0.0071647955061128</c:v>
                </c:pt>
                <c:pt idx="18">
                  <c:v>0.007795486591411</c:v>
                </c:pt>
                <c:pt idx="19">
                  <c:v>0.0084257820923975</c:v>
                </c:pt>
                <c:pt idx="20">
                  <c:v>0.009055696040709</c:v>
                </c:pt>
                <c:pt idx="21">
                  <c:v>0.0096852395144957</c:v>
                </c:pt>
                <c:pt idx="22">
                  <c:v>0.010314427255974</c:v>
                </c:pt>
                <c:pt idx="23">
                  <c:v>0.010943273377684</c:v>
                </c:pt>
                <c:pt idx="24">
                  <c:v>0.011571789931439</c:v>
                </c:pt>
                <c:pt idx="25">
                  <c:v>0.012199989654619</c:v>
                </c:pt>
                <c:pt idx="26">
                  <c:v>0.012827884846803</c:v>
                </c:pt>
                <c:pt idx="27">
                  <c:v>0.013455486834084</c:v>
                </c:pt>
                <c:pt idx="28">
                  <c:v>0.014082804435759</c:v>
                </c:pt>
                <c:pt idx="29">
                  <c:v>0.014709848492172</c:v>
                </c:pt>
                <c:pt idx="30">
                  <c:v>0.01533662811891</c:v>
                </c:pt>
                <c:pt idx="31">
                  <c:v>0.015963152289704</c:v>
                </c:pt>
                <c:pt idx="32">
                  <c:v>0.016589429315911</c:v>
                </c:pt>
                <c:pt idx="33">
                  <c:v>0.017215467701278</c:v>
                </c:pt>
                <c:pt idx="34">
                  <c:v>0.017841276942904</c:v>
                </c:pt>
                <c:pt idx="35">
                  <c:v>0.018466863795091</c:v>
                </c:pt>
                <c:pt idx="36">
                  <c:v>0.019092236516614</c:v>
                </c:pt>
                <c:pt idx="37">
                  <c:v>0.019717403198167</c:v>
                </c:pt>
                <c:pt idx="38">
                  <c:v>0.020342370781407</c:v>
                </c:pt>
                <c:pt idx="39">
                  <c:v>0.020967145007614</c:v>
                </c:pt>
                <c:pt idx="40">
                  <c:v>0.021591731629376</c:v>
                </c:pt>
                <c:pt idx="41">
                  <c:v>0.022216136961691</c:v>
                </c:pt>
                <c:pt idx="42">
                  <c:v>0.022840366022676</c:v>
                </c:pt>
                <c:pt idx="43">
                  <c:v>0.023464424146465</c:v>
                </c:pt>
                <c:pt idx="44">
                  <c:v>0.024088316140512</c:v>
                </c:pt>
                <c:pt idx="45">
                  <c:v>0.024712047553149</c:v>
                </c:pt>
                <c:pt idx="46">
                  <c:v>0.02533562389256</c:v>
                </c:pt>
                <c:pt idx="47">
                  <c:v>0.025959050130143</c:v>
                </c:pt>
                <c:pt idx="48">
                  <c:v>0.0265823309161</c:v>
                </c:pt>
                <c:pt idx="49">
                  <c:v>0.027205471550738</c:v>
                </c:pt>
                <c:pt idx="50">
                  <c:v>0.027828475563089</c:v>
                </c:pt>
                <c:pt idx="51">
                  <c:v>0.028451348038223</c:v>
                </c:pt>
                <c:pt idx="52">
                  <c:v>0.029074092579802</c:v>
                </c:pt>
                <c:pt idx="53">
                  <c:v>0.029675749904052</c:v>
                </c:pt>
              </c:numCache>
            </c:numRef>
          </c:xVal>
          <c:yVal>
            <c:numRef>
              <c:f>'873K'!$N$2:$N$230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1.5355853290424</c:v>
                </c:pt>
                <c:pt idx="2">
                  <c:v>10.967573083281</c:v>
                </c:pt>
                <c:pt idx="3">
                  <c:v>59.556978069156</c:v>
                </c:pt>
                <c:pt idx="4">
                  <c:v>123.32156659292</c:v>
                </c:pt>
                <c:pt idx="5">
                  <c:v>242.38182670098</c:v>
                </c:pt>
                <c:pt idx="6">
                  <c:v>314.75790154762</c:v>
                </c:pt>
                <c:pt idx="7">
                  <c:v>333.52213278428</c:v>
                </c:pt>
                <c:pt idx="8">
                  <c:v>341.53291230388</c:v>
                </c:pt>
                <c:pt idx="9">
                  <c:v>346.24383258868</c:v>
                </c:pt>
                <c:pt idx="10">
                  <c:v>349.43742521871</c:v>
                </c:pt>
                <c:pt idx="11">
                  <c:v>351.83321175412</c:v>
                </c:pt>
                <c:pt idx="12">
                  <c:v>353.76943320962</c:v>
                </c:pt>
                <c:pt idx="13">
                  <c:v>355.42069250243</c:v>
                </c:pt>
                <c:pt idx="14">
                  <c:v>356.88247076658</c:v>
                </c:pt>
                <c:pt idx="15">
                  <c:v>358.21126889119</c:v>
                </c:pt>
                <c:pt idx="16">
                  <c:v>359.44252733146</c:v>
                </c:pt>
                <c:pt idx="17">
                  <c:v>360.59975278653</c:v>
                </c:pt>
                <c:pt idx="18">
                  <c:v>361.69831043031</c:v>
                </c:pt>
                <c:pt idx="19">
                  <c:v>362.74947289433</c:v>
                </c:pt>
                <c:pt idx="20">
                  <c:v>363.76115737776</c:v>
                </c:pt>
                <c:pt idx="21">
                  <c:v>364.73962762635</c:v>
                </c:pt>
                <c:pt idx="22">
                  <c:v>365.68914352317</c:v>
                </c:pt>
                <c:pt idx="23">
                  <c:v>366.61339922134</c:v>
                </c:pt>
                <c:pt idx="24">
                  <c:v>367.51536852036</c:v>
                </c:pt>
                <c:pt idx="25">
                  <c:v>368.39760564492</c:v>
                </c:pt>
                <c:pt idx="26">
                  <c:v>369.26187564317</c:v>
                </c:pt>
                <c:pt idx="27">
                  <c:v>370.10978280251</c:v>
                </c:pt>
                <c:pt idx="28">
                  <c:v>370.94278853967</c:v>
                </c:pt>
                <c:pt idx="29">
                  <c:v>371.76201979592</c:v>
                </c:pt>
                <c:pt idx="30">
                  <c:v>372.56845650531</c:v>
                </c:pt>
                <c:pt idx="31">
                  <c:v>373.36295082822</c:v>
                </c:pt>
                <c:pt idx="32">
                  <c:v>374.14634508221</c:v>
                </c:pt>
                <c:pt idx="33">
                  <c:v>374.91934356704</c:v>
                </c:pt>
                <c:pt idx="34">
                  <c:v>375.68235242488</c:v>
                </c:pt>
                <c:pt idx="35">
                  <c:v>376.43610782504</c:v>
                </c:pt>
                <c:pt idx="36">
                  <c:v>377.18111093623</c:v>
                </c:pt>
                <c:pt idx="37">
                  <c:v>377.91767631978</c:v>
                </c:pt>
                <c:pt idx="38">
                  <c:v>378.64629322583</c:v>
                </c:pt>
                <c:pt idx="39">
                  <c:v>379.36732409701</c:v>
                </c:pt>
                <c:pt idx="40">
                  <c:v>380.08106987263</c:v>
                </c:pt>
                <c:pt idx="41">
                  <c:v>380.78776706954</c:v>
                </c:pt>
                <c:pt idx="42">
                  <c:v>381.48771315743</c:v>
                </c:pt>
                <c:pt idx="43">
                  <c:v>382.18111476484</c:v>
                </c:pt>
                <c:pt idx="44">
                  <c:v>382.86832972667</c:v>
                </c:pt>
                <c:pt idx="45">
                  <c:v>383.54955010528</c:v>
                </c:pt>
                <c:pt idx="46">
                  <c:v>384.22494928209</c:v>
                </c:pt>
                <c:pt idx="47">
                  <c:v>384.89468185639</c:v>
                </c:pt>
                <c:pt idx="48">
                  <c:v>385.55906203243</c:v>
                </c:pt>
                <c:pt idx="49">
                  <c:v>386.21808887638</c:v>
                </c:pt>
                <c:pt idx="50">
                  <c:v>386.87207222925</c:v>
                </c:pt>
                <c:pt idx="51">
                  <c:v>387.52108311041</c:v>
                </c:pt>
                <c:pt idx="52">
                  <c:v>388.16531120734</c:v>
                </c:pt>
                <c:pt idx="53">
                  <c:v>388.80872207704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Exp!$G$2</c:f>
              <c:strCache>
                <c:ptCount val="1"/>
                <c:pt idx="0">
                  <c:v>823K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Exp!$G$3:$G$28</c:f>
              <c:numCache>
                <c:formatCode>General</c:formatCode>
                <c:ptCount val="26"/>
                <c:pt idx="0">
                  <c:v>0.00257</c:v>
                </c:pt>
                <c:pt idx="1">
                  <c:v>0.00288</c:v>
                </c:pt>
                <c:pt idx="2">
                  <c:v>0.00321</c:v>
                </c:pt>
                <c:pt idx="3">
                  <c:v>0.0036</c:v>
                </c:pt>
                <c:pt idx="4">
                  <c:v>0.00402</c:v>
                </c:pt>
                <c:pt idx="5">
                  <c:v>0.0045</c:v>
                </c:pt>
                <c:pt idx="6">
                  <c:v>0.00503</c:v>
                </c:pt>
                <c:pt idx="7">
                  <c:v>0.00563</c:v>
                </c:pt>
                <c:pt idx="8">
                  <c:v>0.0063</c:v>
                </c:pt>
                <c:pt idx="9">
                  <c:v>0.00705</c:v>
                </c:pt>
                <c:pt idx="10">
                  <c:v>0.00789</c:v>
                </c:pt>
                <c:pt idx="11">
                  <c:v>0.00882</c:v>
                </c:pt>
                <c:pt idx="12">
                  <c:v>0.00987</c:v>
                </c:pt>
                <c:pt idx="13">
                  <c:v>0.01104</c:v>
                </c:pt>
                <c:pt idx="14">
                  <c:v>0.01235</c:v>
                </c:pt>
                <c:pt idx="15">
                  <c:v>0.01382</c:v>
                </c:pt>
                <c:pt idx="16">
                  <c:v>0.01545</c:v>
                </c:pt>
                <c:pt idx="17">
                  <c:v>0.01729</c:v>
                </c:pt>
                <c:pt idx="18">
                  <c:v>0.01934</c:v>
                </c:pt>
                <c:pt idx="19">
                  <c:v>0.02164</c:v>
                </c:pt>
                <c:pt idx="20">
                  <c:v>0.02421</c:v>
                </c:pt>
                <c:pt idx="21">
                  <c:v>0.02708</c:v>
                </c:pt>
                <c:pt idx="22">
                  <c:v>0.03029</c:v>
                </c:pt>
                <c:pt idx="23">
                  <c:v>0.03389</c:v>
                </c:pt>
                <c:pt idx="24">
                  <c:v>0.03791</c:v>
                </c:pt>
                <c:pt idx="25">
                  <c:v>0.04114</c:v>
                </c:pt>
              </c:numCache>
            </c:numRef>
          </c:xVal>
          <c:yVal>
            <c:numRef>
              <c:f>Exp!$H$3:$H$28</c:f>
              <c:numCache>
                <c:formatCode>General</c:formatCode>
                <c:ptCount val="26"/>
                <c:pt idx="0">
                  <c:v>403.8299</c:v>
                </c:pt>
                <c:pt idx="1">
                  <c:v>406.36375</c:v>
                </c:pt>
                <c:pt idx="2">
                  <c:v>408.43995</c:v>
                </c:pt>
                <c:pt idx="3">
                  <c:v>411.55532</c:v>
                </c:pt>
                <c:pt idx="4">
                  <c:v>414.21106</c:v>
                </c:pt>
                <c:pt idx="5">
                  <c:v>416.91328</c:v>
                </c:pt>
                <c:pt idx="6">
                  <c:v>419.94125</c:v>
                </c:pt>
                <c:pt idx="7">
                  <c:v>422.52788</c:v>
                </c:pt>
                <c:pt idx="8">
                  <c:v>425.47316</c:v>
                </c:pt>
                <c:pt idx="9">
                  <c:v>428.29775</c:v>
                </c:pt>
                <c:pt idx="10">
                  <c:v>430.91264</c:v>
                </c:pt>
                <c:pt idx="11">
                  <c:v>434.36473</c:v>
                </c:pt>
                <c:pt idx="12">
                  <c:v>437.61184</c:v>
                </c:pt>
                <c:pt idx="13">
                  <c:v>440.57302</c:v>
                </c:pt>
                <c:pt idx="14">
                  <c:v>443.75498</c:v>
                </c:pt>
                <c:pt idx="15">
                  <c:v>446.82512</c:v>
                </c:pt>
                <c:pt idx="16">
                  <c:v>449.76384</c:v>
                </c:pt>
                <c:pt idx="17">
                  <c:v>452.89263</c:v>
                </c:pt>
                <c:pt idx="18">
                  <c:v>455.81969</c:v>
                </c:pt>
                <c:pt idx="19">
                  <c:v>458.76568</c:v>
                </c:pt>
                <c:pt idx="20">
                  <c:v>461.38264</c:v>
                </c:pt>
                <c:pt idx="21">
                  <c:v>464.08453</c:v>
                </c:pt>
                <c:pt idx="22">
                  <c:v>466.80223</c:v>
                </c:pt>
                <c:pt idx="23">
                  <c:v>469.39424</c:v>
                </c:pt>
                <c:pt idx="24">
                  <c:v>471.78712</c:v>
                </c:pt>
                <c:pt idx="25">
                  <c:v>472.94071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"Sim_823"</c:f>
              <c:strCache>
                <c:ptCount val="1"/>
                <c:pt idx="0">
                  <c:v>Sim_823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'823K'!$B$2:$B$280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1.2036973687345e-23</c:v>
                </c:pt>
                <c:pt idx="2" c:formatCode="0.00E+00">
                  <c:v>4.4168786388483e-21</c:v>
                </c:pt>
                <c:pt idx="3" c:formatCode="0.00E+00">
                  <c:v>2.7846586853371e-15</c:v>
                </c:pt>
                <c:pt idx="4" c:formatCode="0.00E+00">
                  <c:v>1.3421705172969e-11</c:v>
                </c:pt>
                <c:pt idx="5" c:formatCode="0.00E+00">
                  <c:v>9.6076515243452e-7</c:v>
                </c:pt>
                <c:pt idx="6">
                  <c:v>0.00015712499315494</c:v>
                </c:pt>
                <c:pt idx="7">
                  <c:v>0.00068599464602969</c:v>
                </c:pt>
                <c:pt idx="8">
                  <c:v>0.0013063508166755</c:v>
                </c:pt>
                <c:pt idx="9">
                  <c:v>0.0019409513355188</c:v>
                </c:pt>
                <c:pt idx="10">
                  <c:v>0.0025776939543489</c:v>
                </c:pt>
                <c:pt idx="11">
                  <c:v>0.0032139153443018</c:v>
                </c:pt>
                <c:pt idx="12">
                  <c:v>0.0038491849664088</c:v>
                </c:pt>
                <c:pt idx="13">
                  <c:v>0.0044835862856725</c:v>
                </c:pt>
                <c:pt idx="14">
                  <c:v>0.005117254945122</c:v>
                </c:pt>
                <c:pt idx="15">
                  <c:v>0.0057502998053601</c:v>
                </c:pt>
                <c:pt idx="16">
                  <c:v>0.0063827976579425</c:v>
                </c:pt>
                <c:pt idx="17">
                  <c:v>0.0070148017859037</c:v>
                </c:pt>
                <c:pt idx="18">
                  <c:v>0.0076463554650402</c:v>
                </c:pt>
                <c:pt idx="19">
                  <c:v>0.0082774889679231</c:v>
                </c:pt>
                <c:pt idx="20">
                  <c:v>0.0089082234714537</c:v>
                </c:pt>
                <c:pt idx="21">
                  <c:v>0.0095385762033959</c:v>
                </c:pt>
                <c:pt idx="22">
                  <c:v>0.010168563008497</c:v>
                </c:pt>
                <c:pt idx="23">
                  <c:v>0.010798198305584</c:v>
                </c:pt>
                <c:pt idx="24">
                  <c:v>0.011427496768682</c:v>
                </c:pt>
                <c:pt idx="25">
                  <c:v>0.012056472361695</c:v>
                </c:pt>
                <c:pt idx="26">
                  <c:v>0.012685138441024</c:v>
                </c:pt>
                <c:pt idx="27">
                  <c:v>0.013313509303648</c:v>
                </c:pt>
                <c:pt idx="28">
                  <c:v>0.013941597446977</c:v>
                </c:pt>
                <c:pt idx="29">
                  <c:v>0.014569413800023</c:v>
                </c:pt>
                <c:pt idx="30">
                  <c:v>0.015196967190786</c:v>
                </c:pt>
                <c:pt idx="31">
                  <c:v>0.015824267134145</c:v>
                </c:pt>
                <c:pt idx="32">
                  <c:v>0.016451320780383</c:v>
                </c:pt>
                <c:pt idx="33">
                  <c:v>0.017078136281848</c:v>
                </c:pt>
                <c:pt idx="34">
                  <c:v>0.017704720575546</c:v>
                </c:pt>
                <c:pt idx="35">
                  <c:v>0.018331083740856</c:v>
                </c:pt>
                <c:pt idx="36">
                  <c:v>0.018957231663801</c:v>
                </c:pt>
                <c:pt idx="37">
                  <c:v>0.019583169804778</c:v>
                </c:pt>
                <c:pt idx="38">
                  <c:v>0.020208906629797</c:v>
                </c:pt>
                <c:pt idx="39">
                  <c:v>0.020834448069586</c:v>
                </c:pt>
                <c:pt idx="40">
                  <c:v>0.021459800552703</c:v>
                </c:pt>
                <c:pt idx="41">
                  <c:v>0.022084971653378</c:v>
                </c:pt>
                <c:pt idx="42">
                  <c:v>0.022709966596332</c:v>
                </c:pt>
                <c:pt idx="43">
                  <c:v>0.023334790420435</c:v>
                </c:pt>
                <c:pt idx="44">
                  <c:v>0.02395945011853</c:v>
                </c:pt>
                <c:pt idx="45">
                  <c:v>0.024583949050041</c:v>
                </c:pt>
                <c:pt idx="46">
                  <c:v>0.025208290731948</c:v>
                </c:pt>
                <c:pt idx="47">
                  <c:v>0.025832480999892</c:v>
                </c:pt>
                <c:pt idx="48">
                  <c:v>0.026456522984483</c:v>
                </c:pt>
                <c:pt idx="49">
                  <c:v>0.02708042218263</c:v>
                </c:pt>
                <c:pt idx="50">
                  <c:v>0.027704181754536</c:v>
                </c:pt>
                <c:pt idx="51">
                  <c:v>0.02832780685401</c:v>
                </c:pt>
                <c:pt idx="52">
                  <c:v>0.028951301018552</c:v>
                </c:pt>
                <c:pt idx="53">
                  <c:v>0.029574668412116</c:v>
                </c:pt>
                <c:pt idx="54">
                  <c:v>0.030197913580187</c:v>
                </c:pt>
                <c:pt idx="55">
                  <c:v>0.030821039986205</c:v>
                </c:pt>
                <c:pt idx="56">
                  <c:v>0.031444052012126</c:v>
                </c:pt>
                <c:pt idx="57">
                  <c:v>0.032066951517562</c:v>
                </c:pt>
                <c:pt idx="58">
                  <c:v>0.032689744265452</c:v>
                </c:pt>
                <c:pt idx="59">
                  <c:v>0.033312432301289</c:v>
                </c:pt>
                <c:pt idx="60">
                  <c:v>0.033935019240946</c:v>
                </c:pt>
                <c:pt idx="61">
                  <c:v>0.034557508773926</c:v>
                </c:pt>
                <c:pt idx="62">
                  <c:v>0.035179902607632</c:v>
                </c:pt>
                <c:pt idx="63">
                  <c:v>0.035802204959128</c:v>
                </c:pt>
                <c:pt idx="64">
                  <c:v>0.036424418210769</c:v>
                </c:pt>
                <c:pt idx="65">
                  <c:v>0.037046545622423</c:v>
                </c:pt>
                <c:pt idx="66">
                  <c:v>0.037668590023531</c:v>
                </c:pt>
                <c:pt idx="67">
                  <c:v>0.038290553900831</c:v>
                </c:pt>
                <c:pt idx="68">
                  <c:v>0.038912440241401</c:v>
                </c:pt>
                <c:pt idx="69">
                  <c:v>0.039534251541288</c:v>
                </c:pt>
                <c:pt idx="70">
                  <c:v>0.040155990842554</c:v>
                </c:pt>
                <c:pt idx="71">
                  <c:v>0.040777659979046</c:v>
                </c:pt>
                <c:pt idx="72">
                  <c:v>0.041399261154582</c:v>
                </c:pt>
                <c:pt idx="73">
                  <c:v>0.042020798078398</c:v>
                </c:pt>
                <c:pt idx="74">
                  <c:v>0.042642272650614</c:v>
                </c:pt>
                <c:pt idx="75">
                  <c:v>0.043263686372931</c:v>
                </c:pt>
                <c:pt idx="76">
                  <c:v>0.04388504010913</c:v>
                </c:pt>
                <c:pt idx="77">
                  <c:v>0.044506337606508</c:v>
                </c:pt>
                <c:pt idx="78">
                  <c:v>0.045127581195894</c:v>
                </c:pt>
                <c:pt idx="79">
                  <c:v>0.045748772462626</c:v>
                </c:pt>
                <c:pt idx="80">
                  <c:v>0.046369912433968</c:v>
                </c:pt>
                <c:pt idx="81">
                  <c:v>0.046991004158873</c:v>
                </c:pt>
                <c:pt idx="82">
                  <c:v>0.047612049041199</c:v>
                </c:pt>
                <c:pt idx="83">
                  <c:v>0.048233049844935</c:v>
                </c:pt>
                <c:pt idx="84">
                  <c:v>0.048854007691571</c:v>
                </c:pt>
                <c:pt idx="85">
                  <c:v>0.049474924950599</c:v>
                </c:pt>
                <c:pt idx="86">
                  <c:v>0.050095803633135</c:v>
                </c:pt>
                <c:pt idx="87">
                  <c:v>0.050716644187936</c:v>
                </c:pt>
                <c:pt idx="88">
                  <c:v>0.051337449565318</c:v>
                </c:pt>
                <c:pt idx="89">
                  <c:v>0.051958221274451</c:v>
                </c:pt>
                <c:pt idx="90">
                  <c:v>0.052578960319899</c:v>
                </c:pt>
                <c:pt idx="91">
                  <c:v>0.053199669326943</c:v>
                </c:pt>
                <c:pt idx="92">
                  <c:v>0.053820349457373</c:v>
                </c:pt>
                <c:pt idx="93">
                  <c:v>0.054420100007039</c:v>
                </c:pt>
              </c:numCache>
            </c:numRef>
          </c:xVal>
          <c:yVal>
            <c:numRef>
              <c:f>'823K'!$N$2:$N$230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1.569678130494</c:v>
                </c:pt>
                <c:pt idx="2">
                  <c:v>11.21105179746</c:v>
                </c:pt>
                <c:pt idx="3">
                  <c:v>60.878476622556</c:v>
                </c:pt>
                <c:pt idx="4">
                  <c:v>126.05633661256</c:v>
                </c:pt>
                <c:pt idx="5">
                  <c:v>248.78362122621</c:v>
                </c:pt>
                <c:pt idx="6">
                  <c:v>343.53871563187</c:v>
                </c:pt>
                <c:pt idx="7">
                  <c:v>372.17148659275</c:v>
                </c:pt>
                <c:pt idx="8">
                  <c:v>383.12671823151</c:v>
                </c:pt>
                <c:pt idx="9">
                  <c:v>389.35046413449</c:v>
                </c:pt>
                <c:pt idx="10">
                  <c:v>393.47883918007</c:v>
                </c:pt>
                <c:pt idx="11">
                  <c:v>396.50713671258</c:v>
                </c:pt>
                <c:pt idx="12">
                  <c:v>398.90468830606</c:v>
                </c:pt>
                <c:pt idx="13">
                  <c:v>400.91259866518</c:v>
                </c:pt>
                <c:pt idx="14">
                  <c:v>402.66519953801</c:v>
                </c:pt>
                <c:pt idx="15">
                  <c:v>404.24050718661</c:v>
                </c:pt>
                <c:pt idx="16">
                  <c:v>405.68650559881</c:v>
                </c:pt>
                <c:pt idx="17">
                  <c:v>407.03508820186</c:v>
                </c:pt>
                <c:pt idx="18">
                  <c:v>408.30798417529</c:v>
                </c:pt>
                <c:pt idx="19">
                  <c:v>409.520304848</c:v>
                </c:pt>
                <c:pt idx="20">
                  <c:v>410.68271980392</c:v>
                </c:pt>
                <c:pt idx="21">
                  <c:v>411.80322518174</c:v>
                </c:pt>
                <c:pt idx="22">
                  <c:v>412.88782000302</c:v>
                </c:pt>
                <c:pt idx="23">
                  <c:v>413.94164671792</c:v>
                </c:pt>
                <c:pt idx="24">
                  <c:v>414.96832541264</c:v>
                </c:pt>
                <c:pt idx="25">
                  <c:v>415.97080396673</c:v>
                </c:pt>
                <c:pt idx="26">
                  <c:v>416.95160764604</c:v>
                </c:pt>
                <c:pt idx="27">
                  <c:v>417.91285359363</c:v>
                </c:pt>
                <c:pt idx="28">
                  <c:v>418.85621853704</c:v>
                </c:pt>
                <c:pt idx="29">
                  <c:v>419.78317300318</c:v>
                </c:pt>
                <c:pt idx="30">
                  <c:v>420.69509696849</c:v>
                </c:pt>
                <c:pt idx="31">
                  <c:v>421.59281053524</c:v>
                </c:pt>
                <c:pt idx="32">
                  <c:v>422.47746103232</c:v>
                </c:pt>
                <c:pt idx="33">
                  <c:v>423.34983617439</c:v>
                </c:pt>
                <c:pt idx="34">
                  <c:v>424.21092608104</c:v>
                </c:pt>
                <c:pt idx="35">
                  <c:v>425.06095190553</c:v>
                </c:pt>
                <c:pt idx="36">
                  <c:v>425.90068763345</c:v>
                </c:pt>
                <c:pt idx="37">
                  <c:v>426.73091102568</c:v>
                </c:pt>
                <c:pt idx="38">
                  <c:v>427.55177272229</c:v>
                </c:pt>
                <c:pt idx="39">
                  <c:v>428.3638626548</c:v>
                </c:pt>
                <c:pt idx="40">
                  <c:v>429.16756839915</c:v>
                </c:pt>
                <c:pt idx="41">
                  <c:v>429.96313953586</c:v>
                </c:pt>
                <c:pt idx="42">
                  <c:v>430.75105853674</c:v>
                </c:pt>
                <c:pt idx="43">
                  <c:v>431.53164250133</c:v>
                </c:pt>
                <c:pt idx="44">
                  <c:v>432.30486304866</c:v>
                </c:pt>
                <c:pt idx="45">
                  <c:v>433.071266415</c:v>
                </c:pt>
                <c:pt idx="46">
                  <c:v>433.83112288997</c:v>
                </c:pt>
                <c:pt idx="47">
                  <c:v>434.58442719277</c:v>
                </c:pt>
                <c:pt idx="48">
                  <c:v>435.331607368</c:v>
                </c:pt>
                <c:pt idx="49">
                  <c:v>436.07258088107</c:v>
                </c:pt>
                <c:pt idx="50">
                  <c:v>436.80771548564</c:v>
                </c:pt>
                <c:pt idx="51">
                  <c:v>437.53717889091</c:v>
                </c:pt>
                <c:pt idx="52">
                  <c:v>438.26115757452</c:v>
                </c:pt>
                <c:pt idx="53">
                  <c:v>438.97987382743</c:v>
                </c:pt>
                <c:pt idx="54">
                  <c:v>439.69332240491</c:v>
                </c:pt>
                <c:pt idx="55">
                  <c:v>440.40170562911</c:v>
                </c:pt>
                <c:pt idx="56">
                  <c:v>441.10507518743</c:v>
                </c:pt>
                <c:pt idx="57">
                  <c:v>441.80384932504</c:v>
                </c:pt>
                <c:pt idx="58">
                  <c:v>442.4977652796</c:v>
                </c:pt>
                <c:pt idx="59">
                  <c:v>443.18715505454</c:v>
                </c:pt>
                <c:pt idx="60">
                  <c:v>443.87207711829</c:v>
                </c:pt>
                <c:pt idx="61">
                  <c:v>444.55258520535</c:v>
                </c:pt>
                <c:pt idx="62">
                  <c:v>445.22899990073</c:v>
                </c:pt>
                <c:pt idx="63">
                  <c:v>445.90119537878</c:v>
                </c:pt>
                <c:pt idx="64">
                  <c:v>446.5693475168</c:v>
                </c:pt>
                <c:pt idx="65">
                  <c:v>447.23349863231</c:v>
                </c:pt>
                <c:pt idx="66">
                  <c:v>447.89375508639</c:v>
                </c:pt>
                <c:pt idx="67">
                  <c:v>448.55019077957</c:v>
                </c:pt>
                <c:pt idx="68">
                  <c:v>449.20294122512</c:v>
                </c:pt>
                <c:pt idx="69">
                  <c:v>449.85202519235</c:v>
                </c:pt>
                <c:pt idx="70">
                  <c:v>450.4974684842</c:v>
                </c:pt>
                <c:pt idx="71">
                  <c:v>451.13940062333</c:v>
                </c:pt>
                <c:pt idx="72">
                  <c:v>451.77797716615</c:v>
                </c:pt>
                <c:pt idx="73">
                  <c:v>452.41303701903</c:v>
                </c:pt>
                <c:pt idx="74">
                  <c:v>453.04461079961</c:v>
                </c:pt>
                <c:pt idx="75">
                  <c:v>453.67293812277</c:v>
                </c:pt>
                <c:pt idx="76">
                  <c:v>454.29815444178</c:v>
                </c:pt>
                <c:pt idx="77">
                  <c:v>454.92005566813</c:v>
                </c:pt>
                <c:pt idx="78">
                  <c:v>455.53874051668</c:v>
                </c:pt>
                <c:pt idx="79">
                  <c:v>456.15430415239</c:v>
                </c:pt>
                <c:pt idx="80">
                  <c:v>456.76692883102</c:v>
                </c:pt>
                <c:pt idx="81">
                  <c:v>457.37650581564</c:v>
                </c:pt>
                <c:pt idx="82">
                  <c:v>457.98316020822</c:v>
                </c:pt>
                <c:pt idx="83">
                  <c:v>458.58680981798</c:v>
                </c:pt>
                <c:pt idx="84">
                  <c:v>459.18771806975</c:v>
                </c:pt>
                <c:pt idx="85">
                  <c:v>459.78571015808</c:v>
                </c:pt>
                <c:pt idx="86">
                  <c:v>460.38083364259</c:v>
                </c:pt>
                <c:pt idx="87">
                  <c:v>460.97331833463</c:v>
                </c:pt>
                <c:pt idx="88">
                  <c:v>461.563013449</c:v>
                </c:pt>
                <c:pt idx="89">
                  <c:v>462.14997865497</c:v>
                </c:pt>
                <c:pt idx="90">
                  <c:v>462.73445045376</c:v>
                </c:pt>
                <c:pt idx="91">
                  <c:v>463.31620627178</c:v>
                </c:pt>
                <c:pt idx="92">
                  <c:v>463.89535201571</c:v>
                </c:pt>
                <c:pt idx="93">
                  <c:v>464.47897393951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Exp!$J$2</c:f>
              <c:strCache>
                <c:ptCount val="1"/>
                <c:pt idx="0">
                  <c:v>773K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Exp!$J$3:$J$34</c:f>
              <c:numCache>
                <c:formatCode>General</c:formatCode>
                <c:ptCount val="32"/>
                <c:pt idx="0">
                  <c:v>0.00232</c:v>
                </c:pt>
                <c:pt idx="1">
                  <c:v>0.00266</c:v>
                </c:pt>
                <c:pt idx="2">
                  <c:v>0.00297</c:v>
                </c:pt>
                <c:pt idx="3">
                  <c:v>0.0033</c:v>
                </c:pt>
                <c:pt idx="4">
                  <c:v>0.0037</c:v>
                </c:pt>
                <c:pt idx="5">
                  <c:v>0.00418</c:v>
                </c:pt>
                <c:pt idx="6">
                  <c:v>0.0048</c:v>
                </c:pt>
                <c:pt idx="7">
                  <c:v>0.00535</c:v>
                </c:pt>
                <c:pt idx="8">
                  <c:v>0.00598</c:v>
                </c:pt>
                <c:pt idx="9">
                  <c:v>0.00669</c:v>
                </c:pt>
                <c:pt idx="10">
                  <c:v>0.00748</c:v>
                </c:pt>
                <c:pt idx="11">
                  <c:v>0.00837</c:v>
                </c:pt>
                <c:pt idx="12">
                  <c:v>0.00937</c:v>
                </c:pt>
                <c:pt idx="13">
                  <c:v>0.01048</c:v>
                </c:pt>
                <c:pt idx="14">
                  <c:v>0.01172</c:v>
                </c:pt>
                <c:pt idx="15">
                  <c:v>0.01311</c:v>
                </c:pt>
                <c:pt idx="16">
                  <c:v>0.01467</c:v>
                </c:pt>
                <c:pt idx="17">
                  <c:v>0.01641</c:v>
                </c:pt>
                <c:pt idx="18">
                  <c:v>0.01835</c:v>
                </c:pt>
                <c:pt idx="19">
                  <c:v>0.02053</c:v>
                </c:pt>
                <c:pt idx="20">
                  <c:v>0.02297</c:v>
                </c:pt>
                <c:pt idx="21">
                  <c:v>0.02569</c:v>
                </c:pt>
                <c:pt idx="22">
                  <c:v>0.02874</c:v>
                </c:pt>
                <c:pt idx="23">
                  <c:v>0.03215</c:v>
                </c:pt>
                <c:pt idx="24">
                  <c:v>0.03597</c:v>
                </c:pt>
                <c:pt idx="25">
                  <c:v>0.04024</c:v>
                </c:pt>
                <c:pt idx="26">
                  <c:v>0.04501</c:v>
                </c:pt>
                <c:pt idx="27">
                  <c:v>0.05035</c:v>
                </c:pt>
                <c:pt idx="28">
                  <c:v>0.05633</c:v>
                </c:pt>
                <c:pt idx="29">
                  <c:v>0.06301</c:v>
                </c:pt>
                <c:pt idx="30">
                  <c:v>0.07049</c:v>
                </c:pt>
                <c:pt idx="31">
                  <c:v>0.07886</c:v>
                </c:pt>
              </c:numCache>
            </c:numRef>
          </c:xVal>
          <c:yVal>
            <c:numRef>
              <c:f>Exp!$K$3:$K$34</c:f>
              <c:numCache>
                <c:formatCode>General</c:formatCode>
                <c:ptCount val="32"/>
                <c:pt idx="0">
                  <c:v>429.74229</c:v>
                </c:pt>
                <c:pt idx="1">
                  <c:v>435.39068</c:v>
                </c:pt>
                <c:pt idx="2">
                  <c:v>437.97853</c:v>
                </c:pt>
                <c:pt idx="3">
                  <c:v>440.511</c:v>
                </c:pt>
                <c:pt idx="4">
                  <c:v>443.71927</c:v>
                </c:pt>
                <c:pt idx="5">
                  <c:v>448.91837</c:v>
                </c:pt>
                <c:pt idx="6">
                  <c:v>452.71912</c:v>
                </c:pt>
                <c:pt idx="7">
                  <c:v>455.1512</c:v>
                </c:pt>
                <c:pt idx="8">
                  <c:v>458.30018</c:v>
                </c:pt>
                <c:pt idx="9">
                  <c:v>461.9584</c:v>
                </c:pt>
                <c:pt idx="10">
                  <c:v>465.36499</c:v>
                </c:pt>
                <c:pt idx="11">
                  <c:v>468.65532</c:v>
                </c:pt>
                <c:pt idx="12">
                  <c:v>472.3962</c:v>
                </c:pt>
                <c:pt idx="13">
                  <c:v>475.30592</c:v>
                </c:pt>
                <c:pt idx="14">
                  <c:v>479.24442</c:v>
                </c:pt>
                <c:pt idx="15">
                  <c:v>483.9449</c:v>
                </c:pt>
                <c:pt idx="16">
                  <c:v>488.17582</c:v>
                </c:pt>
                <c:pt idx="17">
                  <c:v>492.22097</c:v>
                </c:pt>
                <c:pt idx="18">
                  <c:v>496.37449</c:v>
                </c:pt>
                <c:pt idx="19">
                  <c:v>500.41209</c:v>
                </c:pt>
                <c:pt idx="20">
                  <c:v>504.25433</c:v>
                </c:pt>
                <c:pt idx="21">
                  <c:v>508.43271</c:v>
                </c:pt>
                <c:pt idx="22">
                  <c:v>512.87771</c:v>
                </c:pt>
                <c:pt idx="23">
                  <c:v>516.89362</c:v>
                </c:pt>
                <c:pt idx="24">
                  <c:v>521.01954</c:v>
                </c:pt>
                <c:pt idx="25">
                  <c:v>525.25761</c:v>
                </c:pt>
                <c:pt idx="26">
                  <c:v>529.61002</c:v>
                </c:pt>
                <c:pt idx="27">
                  <c:v>533.75694</c:v>
                </c:pt>
                <c:pt idx="28">
                  <c:v>538.09862</c:v>
                </c:pt>
                <c:pt idx="29">
                  <c:v>542.39381</c:v>
                </c:pt>
                <c:pt idx="30">
                  <c:v>546.64083</c:v>
                </c:pt>
                <c:pt idx="31">
                  <c:v>550.75495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"Sim_773"</c:f>
              <c:strCache>
                <c:ptCount val="1"/>
                <c:pt idx="0">
                  <c:v>Sim_773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'773K'!$B$2:$B$280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3.6759470707094e-26</c:v>
                </c:pt>
                <c:pt idx="2" c:formatCode="0.00E+00">
                  <c:v>2.3928362061348e-23</c:v>
                </c:pt>
                <c:pt idx="3" c:formatCode="0.00E+00">
                  <c:v>3.5600705507011e-17</c:v>
                </c:pt>
                <c:pt idx="4" c:formatCode="0.00E+00">
                  <c:v>5.5322808998361e-13</c:v>
                </c:pt>
                <c:pt idx="5" c:formatCode="0.00E+00">
                  <c:v>9.7695832904896e-8</c:v>
                </c:pt>
                <c:pt idx="6" c:formatCode="0.00E+00">
                  <c:v>7.3506378406874e-5</c:v>
                </c:pt>
                <c:pt idx="7">
                  <c:v>0.00053077993986496</c:v>
                </c:pt>
                <c:pt idx="8">
                  <c:v>0.0011412379826529</c:v>
                </c:pt>
                <c:pt idx="9">
                  <c:v>0.0017758500405281</c:v>
                </c:pt>
                <c:pt idx="10">
                  <c:v>0.0024143863235548</c:v>
                </c:pt>
                <c:pt idx="11">
                  <c:v>0.0030525602307011</c:v>
                </c:pt>
                <c:pt idx="12">
                  <c:v>0.0036895139179455</c:v>
                </c:pt>
                <c:pt idx="13">
                  <c:v>0.0043253058615602</c:v>
                </c:pt>
                <c:pt idx="14">
                  <c:v>0.0049601304402179</c:v>
                </c:pt>
                <c:pt idx="15">
                  <c:v>0.0055941693676653</c:v>
                </c:pt>
                <c:pt idx="16">
                  <c:v>0.0062275539626394</c:v>
                </c:pt>
                <c:pt idx="17">
                  <c:v>0.006860368556997</c:v>
                </c:pt>
                <c:pt idx="18">
                  <c:v>0.0074926733126382</c:v>
                </c:pt>
                <c:pt idx="19">
                  <c:v>0.0081245159275691</c:v>
                </c:pt>
                <c:pt idx="20">
                  <c:v>0.0087559347574303</c:v>
                </c:pt>
                <c:pt idx="21">
                  <c:v>0.0093869573211326</c:v>
                </c:pt>
                <c:pt idx="22">
                  <c:v>0.010017602894923</c:v>
                </c:pt>
                <c:pt idx="23">
                  <c:v>0.010647888693982</c:v>
                </c:pt>
                <c:pt idx="24">
                  <c:v>0.011277830777508</c:v>
                </c:pt>
                <c:pt idx="25">
                  <c:v>0.011907444081713</c:v>
                </c:pt>
                <c:pt idx="26">
                  <c:v>0.012536744254123</c:v>
                </c:pt>
                <c:pt idx="27">
                  <c:v>0.013165742943418</c:v>
                </c:pt>
                <c:pt idx="28">
                  <c:v>0.013794452081712</c:v>
                </c:pt>
                <c:pt idx="29">
                  <c:v>0.014422884230066</c:v>
                </c:pt>
                <c:pt idx="30">
                  <c:v>0.015051052330544</c:v>
                </c:pt>
                <c:pt idx="31">
                  <c:v>0.015678968627496</c:v>
                </c:pt>
                <c:pt idx="32">
                  <c:v>0.016306640894579</c:v>
                </c:pt>
                <c:pt idx="33">
                  <c:v>0.016934078126843</c:v>
                </c:pt>
                <c:pt idx="34">
                  <c:v>0.017561286967374</c:v>
                </c:pt>
                <c:pt idx="35">
                  <c:v>0.018188272866646</c:v>
                </c:pt>
                <c:pt idx="36">
                  <c:v>0.018815043774287</c:v>
                </c:pt>
                <c:pt idx="37">
                  <c:v>0.019441607093487</c:v>
                </c:pt>
                <c:pt idx="38">
                  <c:v>0.0200679693991</c:v>
                </c:pt>
                <c:pt idx="39">
                  <c:v>0.020694136942868</c:v>
                </c:pt>
                <c:pt idx="40">
                  <c:v>0.021320116620079</c:v>
                </c:pt>
                <c:pt idx="41">
                  <c:v>0.021945912887608</c:v>
                </c:pt>
                <c:pt idx="42">
                  <c:v>0.022571531126605</c:v>
                </c:pt>
                <c:pt idx="43">
                  <c:v>0.023196976878767</c:v>
                </c:pt>
                <c:pt idx="44">
                  <c:v>0.023822255230585</c:v>
                </c:pt>
                <c:pt idx="45">
                  <c:v>0.024447372720869</c:v>
                </c:pt>
                <c:pt idx="46">
                  <c:v>0.025072333571683</c:v>
                </c:pt>
                <c:pt idx="47">
                  <c:v>0.025697142803947</c:v>
                </c:pt>
                <c:pt idx="48">
                  <c:v>0.026321804874671</c:v>
                </c:pt>
                <c:pt idx="49">
                  <c:v>0.026946323798705</c:v>
                </c:pt>
                <c:pt idx="50">
                  <c:v>0.027570704225625</c:v>
                </c:pt>
                <c:pt idx="51">
                  <c:v>0.028194949261517</c:v>
                </c:pt>
                <c:pt idx="52">
                  <c:v>0.028819063049132</c:v>
                </c:pt>
                <c:pt idx="53">
                  <c:v>0.029443047885934</c:v>
                </c:pt>
                <c:pt idx="54">
                  <c:v>0.030066906630493</c:v>
                </c:pt>
                <c:pt idx="55">
                  <c:v>0.030690644162079</c:v>
                </c:pt>
                <c:pt idx="56">
                  <c:v>0.031314263981527</c:v>
                </c:pt>
                <c:pt idx="57">
                  <c:v>0.031937770174561</c:v>
                </c:pt>
                <c:pt idx="58">
                  <c:v>0.032561165267633</c:v>
                </c:pt>
                <c:pt idx="59">
                  <c:v>0.033184453820079</c:v>
                </c:pt>
                <c:pt idx="60">
                  <c:v>0.033807638226846</c:v>
                </c:pt>
                <c:pt idx="61">
                  <c:v>0.034430722429831</c:v>
                </c:pt>
                <c:pt idx="62">
                  <c:v>0.035053708846509</c:v>
                </c:pt>
                <c:pt idx="63">
                  <c:v>0.03567660168005</c:v>
                </c:pt>
                <c:pt idx="64">
                  <c:v>0.036299402736717</c:v>
                </c:pt>
                <c:pt idx="65">
                  <c:v>0.036922115536543</c:v>
                </c:pt>
                <c:pt idx="66">
                  <c:v>0.037544743884831</c:v>
                </c:pt>
                <c:pt idx="67">
                  <c:v>0.038167289278733</c:v>
                </c:pt>
                <c:pt idx="68">
                  <c:v>0.038789753970172</c:v>
                </c:pt>
                <c:pt idx="69">
                  <c:v>0.039412142334843</c:v>
                </c:pt>
                <c:pt idx="70">
                  <c:v>0.040034455266302</c:v>
                </c:pt>
                <c:pt idx="71">
                  <c:v>0.040656695838071</c:v>
                </c:pt>
                <c:pt idx="72">
                  <c:v>0.041278866713797</c:v>
                </c:pt>
                <c:pt idx="73">
                  <c:v>0.041900970057669</c:v>
                </c:pt>
                <c:pt idx="74">
                  <c:v>0.042523008050506</c:v>
                </c:pt>
                <c:pt idx="75">
                  <c:v>0.043144982967456</c:v>
                </c:pt>
                <c:pt idx="76">
                  <c:v>0.043766897337787</c:v>
                </c:pt>
                <c:pt idx="77">
                  <c:v>0.044388753439478</c:v>
                </c:pt>
                <c:pt idx="78">
                  <c:v>0.045010553569294</c:v>
                </c:pt>
                <c:pt idx="79">
                  <c:v>0.045632298913992</c:v>
                </c:pt>
                <c:pt idx="80">
                  <c:v>0.046253992029482</c:v>
                </c:pt>
                <c:pt idx="81">
                  <c:v>0.046875634887741</c:v>
                </c:pt>
                <c:pt idx="82">
                  <c:v>0.047497229670993</c:v>
                </c:pt>
                <c:pt idx="83">
                  <c:v>0.048118778230139</c:v>
                </c:pt>
                <c:pt idx="84">
                  <c:v>0.048740282348105</c:v>
                </c:pt>
                <c:pt idx="85">
                  <c:v>0.049361742535563</c:v>
                </c:pt>
                <c:pt idx="86">
                  <c:v>0.049983162104289</c:v>
                </c:pt>
                <c:pt idx="87">
                  <c:v>0.050604542333854</c:v>
                </c:pt>
                <c:pt idx="88">
                  <c:v>0.051225885623987</c:v>
                </c:pt>
                <c:pt idx="89">
                  <c:v>0.051847192326844</c:v>
                </c:pt>
                <c:pt idx="90">
                  <c:v>0.052468465576027</c:v>
                </c:pt>
                <c:pt idx="91">
                  <c:v>0.053089706465299</c:v>
                </c:pt>
                <c:pt idx="92">
                  <c:v>0.05371091640614</c:v>
                </c:pt>
                <c:pt idx="93">
                  <c:v>0.054311184705576</c:v>
                </c:pt>
              </c:numCache>
            </c:numRef>
          </c:xVal>
          <c:yVal>
            <c:numRef>
              <c:f>'773K'!$N$2:$N$230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1.6028890157408</c:v>
                </c:pt>
                <c:pt idx="2">
                  <c:v>11.448233403899</c:v>
                </c:pt>
                <c:pt idx="3">
                  <c:v>62.165835065623</c:v>
                </c:pt>
                <c:pt idx="4">
                  <c:v>128.72051070099</c:v>
                </c:pt>
                <c:pt idx="5">
                  <c:v>254.21381492403</c:v>
                </c:pt>
                <c:pt idx="6">
                  <c:v>366.67984830628</c:v>
                </c:pt>
                <c:pt idx="7">
                  <c:v>410.10720147815</c:v>
                </c:pt>
                <c:pt idx="8">
                  <c:v>425.04779672375</c:v>
                </c:pt>
                <c:pt idx="9">
                  <c:v>433.18555308906</c:v>
                </c:pt>
                <c:pt idx="10">
                  <c:v>438.48724643792</c:v>
                </c:pt>
                <c:pt idx="11">
                  <c:v>442.31095479056</c:v>
                </c:pt>
                <c:pt idx="12">
                  <c:v>445.28082393352</c:v>
                </c:pt>
                <c:pt idx="13">
                  <c:v>447.72527641264</c:v>
                </c:pt>
                <c:pt idx="14">
                  <c:v>449.82646160596</c:v>
                </c:pt>
                <c:pt idx="15">
                  <c:v>451.6918481817</c:v>
                </c:pt>
                <c:pt idx="16">
                  <c:v>453.3874860627</c:v>
                </c:pt>
                <c:pt idx="17">
                  <c:v>454.95582327386</c:v>
                </c:pt>
                <c:pt idx="18">
                  <c:v>456.42603594173</c:v>
                </c:pt>
                <c:pt idx="19">
                  <c:v>457.81854257656</c:v>
                </c:pt>
                <c:pt idx="20">
                  <c:v>459.14814742151</c:v>
                </c:pt>
                <c:pt idx="21">
                  <c:v>460.42544243039</c:v>
                </c:pt>
                <c:pt idx="22">
                  <c:v>461.65833966773</c:v>
                </c:pt>
                <c:pt idx="23">
                  <c:v>462.85308825021</c:v>
                </c:pt>
                <c:pt idx="24">
                  <c:v>464.01471432064</c:v>
                </c:pt>
                <c:pt idx="25">
                  <c:v>465.14723111747</c:v>
                </c:pt>
                <c:pt idx="26">
                  <c:v>466.25358693721</c:v>
                </c:pt>
                <c:pt idx="27">
                  <c:v>467.33642271477</c:v>
                </c:pt>
                <c:pt idx="28">
                  <c:v>468.39806970828</c:v>
                </c:pt>
                <c:pt idx="29">
                  <c:v>469.44051696263</c:v>
                </c:pt>
                <c:pt idx="30">
                  <c:v>470.46520350275</c:v>
                </c:pt>
                <c:pt idx="31">
                  <c:v>471.47334204691</c:v>
                </c:pt>
                <c:pt idx="32">
                  <c:v>472.46638429081</c:v>
                </c:pt>
                <c:pt idx="33">
                  <c:v>473.44515199023</c:v>
                </c:pt>
                <c:pt idx="34">
                  <c:v>474.41052447305</c:v>
                </c:pt>
                <c:pt idx="35">
                  <c:v>475.3634530938</c:v>
                </c:pt>
                <c:pt idx="36">
                  <c:v>476.30450605382</c:v>
                </c:pt>
                <c:pt idx="37">
                  <c:v>477.23445186058</c:v>
                </c:pt>
                <c:pt idx="38">
                  <c:v>478.15366060966</c:v>
                </c:pt>
                <c:pt idx="39">
                  <c:v>479.0629006624</c:v>
                </c:pt>
                <c:pt idx="40">
                  <c:v>479.96238556617</c:v>
                </c:pt>
                <c:pt idx="41">
                  <c:v>480.8527361975</c:v>
                </c:pt>
                <c:pt idx="42">
                  <c:v>481.73443076568</c:v>
                </c:pt>
                <c:pt idx="43">
                  <c:v>482.60764205502</c:v>
                </c:pt>
                <c:pt idx="44">
                  <c:v>483.47284830504</c:v>
                </c:pt>
                <c:pt idx="45">
                  <c:v>484.33009907172</c:v>
                </c:pt>
                <c:pt idx="46">
                  <c:v>485.17987249493</c:v>
                </c:pt>
                <c:pt idx="47">
                  <c:v>486.02228218332</c:v>
                </c:pt>
                <c:pt idx="48">
                  <c:v>486.85769967928</c:v>
                </c:pt>
                <c:pt idx="49">
                  <c:v>487.68639560745</c:v>
                </c:pt>
                <c:pt idx="50">
                  <c:v>488.50845309222</c:v>
                </c:pt>
                <c:pt idx="51">
                  <c:v>489.32412058132</c:v>
                </c:pt>
                <c:pt idx="52">
                  <c:v>490.13352818015</c:v>
                </c:pt>
                <c:pt idx="53">
                  <c:v>490.93692618231</c:v>
                </c:pt>
                <c:pt idx="54">
                  <c:v>491.73460117831</c:v>
                </c:pt>
                <c:pt idx="55">
                  <c:v>492.52652451846</c:v>
                </c:pt>
                <c:pt idx="56">
                  <c:v>493.31280905649</c:v>
                </c:pt>
                <c:pt idx="57">
                  <c:v>494.09372422736</c:v>
                </c:pt>
                <c:pt idx="58">
                  <c:v>494.86933685776</c:v>
                </c:pt>
                <c:pt idx="59">
                  <c:v>495.63973135371</c:v>
                </c:pt>
                <c:pt idx="60">
                  <c:v>496.40516850808</c:v>
                </c:pt>
                <c:pt idx="61">
                  <c:v>497.16556112089</c:v>
                </c:pt>
                <c:pt idx="62">
                  <c:v>497.92127861491</c:v>
                </c:pt>
                <c:pt idx="63">
                  <c:v>498.67219073774</c:v>
                </c:pt>
                <c:pt idx="64">
                  <c:v>499.41859184324</c:v>
                </c:pt>
                <c:pt idx="65">
                  <c:v>500.16046712953</c:v>
                </c:pt>
                <c:pt idx="66">
                  <c:v>500.89781736834</c:v>
                </c:pt>
                <c:pt idx="67">
                  <c:v>501.63096042947</c:v>
                </c:pt>
                <c:pt idx="68">
                  <c:v>502.36004093749</c:v>
                </c:pt>
                <c:pt idx="69">
                  <c:v>503.08481234277</c:v>
                </c:pt>
                <c:pt idx="70">
                  <c:v>503.80559563692</c:v>
                </c:pt>
                <c:pt idx="71">
                  <c:v>504.52250211961</c:v>
                </c:pt>
                <c:pt idx="72">
                  <c:v>505.23545469232</c:v>
                </c:pt>
                <c:pt idx="73">
                  <c:v>505.94454985745</c:v>
                </c:pt>
                <c:pt idx="74">
                  <c:v>506.6498268563</c:v>
                </c:pt>
                <c:pt idx="75">
                  <c:v>507.35137633671</c:v>
                </c:pt>
                <c:pt idx="76">
                  <c:v>508.04936496124</c:v>
                </c:pt>
                <c:pt idx="77">
                  <c:v>508.74367388116</c:v>
                </c:pt>
                <c:pt idx="78">
                  <c:v>509.43438790167</c:v>
                </c:pt>
                <c:pt idx="79">
                  <c:v>510.12180000952</c:v>
                </c:pt>
                <c:pt idx="80">
                  <c:v>510.80577248312</c:v>
                </c:pt>
                <c:pt idx="81">
                  <c:v>511.48643472662</c:v>
                </c:pt>
                <c:pt idx="82">
                  <c:v>512.16373704225</c:v>
                </c:pt>
                <c:pt idx="83">
                  <c:v>512.83773730627</c:v>
                </c:pt>
                <c:pt idx="84">
                  <c:v>513.50848661264</c:v>
                </c:pt>
                <c:pt idx="85">
                  <c:v>514.17620515277</c:v>
                </c:pt>
                <c:pt idx="86">
                  <c:v>514.84077074468</c:v>
                </c:pt>
                <c:pt idx="87">
                  <c:v>515.50221792166</c:v>
                </c:pt>
                <c:pt idx="88">
                  <c:v>516.16049848341</c:v>
                </c:pt>
                <c:pt idx="89">
                  <c:v>516.81588448352</c:v>
                </c:pt>
                <c:pt idx="90">
                  <c:v>517.46822461945</c:v>
                </c:pt>
                <c:pt idx="91">
                  <c:v>518.1176631221</c:v>
                </c:pt>
                <c:pt idx="92">
                  <c:v>518.76419076368</c:v>
                </c:pt>
                <c:pt idx="93">
                  <c:v>519.41225467379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Exp!$M$2</c:f>
              <c:strCache>
                <c:ptCount val="1"/>
                <c:pt idx="0">
                  <c:v>723K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Exp!$M$3:$M$35</c:f>
              <c:numCache>
                <c:formatCode>General</c:formatCode>
                <c:ptCount val="33"/>
                <c:pt idx="0">
                  <c:v>0.00231</c:v>
                </c:pt>
                <c:pt idx="1">
                  <c:v>0.00259</c:v>
                </c:pt>
                <c:pt idx="2">
                  <c:v>0.00291</c:v>
                </c:pt>
                <c:pt idx="3">
                  <c:v>0.00324</c:v>
                </c:pt>
                <c:pt idx="4">
                  <c:v>0.00363</c:v>
                </c:pt>
                <c:pt idx="5">
                  <c:v>0.00406</c:v>
                </c:pt>
                <c:pt idx="6">
                  <c:v>0.00454</c:v>
                </c:pt>
                <c:pt idx="7">
                  <c:v>0.00508</c:v>
                </c:pt>
                <c:pt idx="8">
                  <c:v>0.00568</c:v>
                </c:pt>
                <c:pt idx="9">
                  <c:v>0.00635</c:v>
                </c:pt>
                <c:pt idx="10">
                  <c:v>0.00711</c:v>
                </c:pt>
                <c:pt idx="11">
                  <c:v>0.00795</c:v>
                </c:pt>
                <c:pt idx="12">
                  <c:v>0.00889</c:v>
                </c:pt>
                <c:pt idx="13">
                  <c:v>0.00995</c:v>
                </c:pt>
                <c:pt idx="14">
                  <c:v>0.01113</c:v>
                </c:pt>
                <c:pt idx="15">
                  <c:v>0.01245</c:v>
                </c:pt>
                <c:pt idx="16">
                  <c:v>0.01392</c:v>
                </c:pt>
                <c:pt idx="17">
                  <c:v>0.01558</c:v>
                </c:pt>
                <c:pt idx="18">
                  <c:v>0.01742</c:v>
                </c:pt>
                <c:pt idx="19">
                  <c:v>0.01949</c:v>
                </c:pt>
                <c:pt idx="20">
                  <c:v>0.0218</c:v>
                </c:pt>
                <c:pt idx="21">
                  <c:v>0.02439</c:v>
                </c:pt>
                <c:pt idx="22">
                  <c:v>0.02728</c:v>
                </c:pt>
                <c:pt idx="23">
                  <c:v>0.03052</c:v>
                </c:pt>
                <c:pt idx="24">
                  <c:v>0.03414</c:v>
                </c:pt>
                <c:pt idx="25">
                  <c:v>0.03819</c:v>
                </c:pt>
                <c:pt idx="26">
                  <c:v>0.04272</c:v>
                </c:pt>
                <c:pt idx="27">
                  <c:v>0.04779</c:v>
                </c:pt>
                <c:pt idx="28">
                  <c:v>0.05346</c:v>
                </c:pt>
                <c:pt idx="29">
                  <c:v>0.0598</c:v>
                </c:pt>
                <c:pt idx="30">
                  <c:v>0.0669</c:v>
                </c:pt>
                <c:pt idx="31">
                  <c:v>0.07467</c:v>
                </c:pt>
                <c:pt idx="32">
                  <c:v>0.08182</c:v>
                </c:pt>
              </c:numCache>
            </c:numRef>
          </c:xVal>
          <c:yVal>
            <c:numRef>
              <c:f>Exp!$N$3:$N$35</c:f>
              <c:numCache>
                <c:formatCode>General</c:formatCode>
                <c:ptCount val="33"/>
                <c:pt idx="0">
                  <c:v>448.23921</c:v>
                </c:pt>
                <c:pt idx="1">
                  <c:v>452.40283</c:v>
                </c:pt>
                <c:pt idx="2">
                  <c:v>457.36345</c:v>
                </c:pt>
                <c:pt idx="3">
                  <c:v>460.4656</c:v>
                </c:pt>
                <c:pt idx="4">
                  <c:v>465.00311</c:v>
                </c:pt>
                <c:pt idx="5">
                  <c:v>468.78553</c:v>
                </c:pt>
                <c:pt idx="6">
                  <c:v>472.95524</c:v>
                </c:pt>
                <c:pt idx="7">
                  <c:v>476.58667</c:v>
                </c:pt>
                <c:pt idx="8">
                  <c:v>480.02872</c:v>
                </c:pt>
                <c:pt idx="9">
                  <c:v>483.95422</c:v>
                </c:pt>
                <c:pt idx="10">
                  <c:v>489.56507</c:v>
                </c:pt>
                <c:pt idx="11">
                  <c:v>493.47286</c:v>
                </c:pt>
                <c:pt idx="12">
                  <c:v>497.712</c:v>
                </c:pt>
                <c:pt idx="13">
                  <c:v>502.21475</c:v>
                </c:pt>
                <c:pt idx="14">
                  <c:v>505.8419</c:v>
                </c:pt>
                <c:pt idx="15">
                  <c:v>510.57218</c:v>
                </c:pt>
                <c:pt idx="16">
                  <c:v>514.88056</c:v>
                </c:pt>
                <c:pt idx="17">
                  <c:v>519.46027</c:v>
                </c:pt>
                <c:pt idx="18">
                  <c:v>524.23883</c:v>
                </c:pt>
                <c:pt idx="19">
                  <c:v>529.30078</c:v>
                </c:pt>
                <c:pt idx="20">
                  <c:v>534.65347</c:v>
                </c:pt>
                <c:pt idx="21">
                  <c:v>539.97884</c:v>
                </c:pt>
                <c:pt idx="22">
                  <c:v>545.275</c:v>
                </c:pt>
                <c:pt idx="23">
                  <c:v>551.20474</c:v>
                </c:pt>
                <c:pt idx="24">
                  <c:v>557.03091</c:v>
                </c:pt>
                <c:pt idx="25">
                  <c:v>562.57917</c:v>
                </c:pt>
                <c:pt idx="26">
                  <c:v>568.52557</c:v>
                </c:pt>
                <c:pt idx="27">
                  <c:v>574.01515</c:v>
                </c:pt>
                <c:pt idx="28">
                  <c:v>579.82002</c:v>
                </c:pt>
                <c:pt idx="29">
                  <c:v>585.77193</c:v>
                </c:pt>
                <c:pt idx="30">
                  <c:v>592.3207</c:v>
                </c:pt>
                <c:pt idx="31">
                  <c:v>597.33227</c:v>
                </c:pt>
                <c:pt idx="32">
                  <c:v>601.62688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"Sim_723"</c:f>
              <c:strCache>
                <c:ptCount val="1"/>
                <c:pt idx="0">
                  <c:v>Sim_723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'723K'!$B$2:$B$280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5.1960033963469e-29</c:v>
                </c:pt>
                <c:pt idx="2" c:formatCode="0.00E+00">
                  <c:v>6.5368427962001e-26</c:v>
                </c:pt>
                <c:pt idx="3" c:formatCode="0.00E+00">
                  <c:v>2.3923847674098e-19</c:v>
                </c:pt>
                <c:pt idx="4" c:formatCode="0.00E+00">
                  <c:v>1.4563680341037e-14</c:v>
                </c:pt>
                <c:pt idx="5" c:formatCode="0.00E+00">
                  <c:v>6.4964680196625e-9</c:v>
                </c:pt>
                <c:pt idx="6" c:formatCode="0.00E+00">
                  <c:v>2.6062392268319e-5</c:v>
                </c:pt>
                <c:pt idx="7">
                  <c:v>0.00038384976410005</c:v>
                </c:pt>
                <c:pt idx="8">
                  <c:v>0.00097559357234484</c:v>
                </c:pt>
                <c:pt idx="9">
                  <c:v>0.0016082015510705</c:v>
                </c:pt>
                <c:pt idx="10">
                  <c:v>0.0022477961346166</c:v>
                </c:pt>
                <c:pt idx="11">
                  <c:v>0.0028876110325518</c:v>
                </c:pt>
                <c:pt idx="12">
                  <c:v>0.0035261307148471</c:v>
                </c:pt>
                <c:pt idx="13">
                  <c:v>0.0041632444932549</c:v>
                </c:pt>
                <c:pt idx="14">
                  <c:v>0.0047991768411928</c:v>
                </c:pt>
                <c:pt idx="15">
                  <c:v>0.0054341415728191</c:v>
                </c:pt>
                <c:pt idx="16">
                  <c:v>0.0060683231625934</c:v>
                </c:pt>
                <c:pt idx="17">
                  <c:v>0.006701853423035</c:v>
                </c:pt>
                <c:pt idx="18">
                  <c:v>0.007334814659939</c:v>
                </c:pt>
                <c:pt idx="19">
                  <c:v>0.007967266106744</c:v>
                </c:pt>
                <c:pt idx="20">
                  <c:v>0.008599255779538</c:v>
                </c:pt>
                <c:pt idx="21">
                  <c:v>0.0092308254145675</c:v>
                </c:pt>
                <c:pt idx="22">
                  <c:v>0.0098620050803271</c:v>
                </c:pt>
                <c:pt idx="23">
                  <c:v>0.010492815292021</c:v>
                </c:pt>
                <c:pt idx="24">
                  <c:v>0.011123272976786</c:v>
                </c:pt>
                <c:pt idx="25">
                  <c:v>0.011753395091455</c:v>
                </c:pt>
                <c:pt idx="26">
                  <c:v>0.012383197738431</c:v>
                </c:pt>
                <c:pt idx="27">
                  <c:v>0.013012695172527</c:v>
                </c:pt>
                <c:pt idx="28">
                  <c:v>0.013641900675372</c:v>
                </c:pt>
                <c:pt idx="29">
                  <c:v>0.014270824321031</c:v>
                </c:pt>
                <c:pt idx="30">
                  <c:v>0.014899478680936</c:v>
                </c:pt>
                <c:pt idx="31">
                  <c:v>0.015527873361532</c:v>
                </c:pt>
                <c:pt idx="32">
                  <c:v>0.016156020374825</c:v>
                </c:pt>
                <c:pt idx="33">
                  <c:v>0.016783931689354</c:v>
                </c:pt>
                <c:pt idx="34">
                  <c:v>0.017411616989326</c:v>
                </c:pt>
                <c:pt idx="35">
                  <c:v>0.018039084491959</c:v>
                </c:pt>
                <c:pt idx="36">
                  <c:v>0.018666340911271</c:v>
                </c:pt>
                <c:pt idx="37">
                  <c:v>0.019293390771339</c:v>
                </c:pt>
                <c:pt idx="38">
                  <c:v>0.019920240044389</c:v>
                </c:pt>
                <c:pt idx="39">
                  <c:v>0.020546894586731</c:v>
                </c:pt>
                <c:pt idx="40">
                  <c:v>0.021173359827022</c:v>
                </c:pt>
                <c:pt idx="41">
                  <c:v>0.021799642840746</c:v>
                </c:pt>
                <c:pt idx="42">
                  <c:v>0.022425749867995</c:v>
                </c:pt>
                <c:pt idx="43">
                  <c:v>0.023051686176522</c:v>
                </c:pt>
                <c:pt idx="44">
                  <c:v>0.023677457230875</c:v>
                </c:pt>
                <c:pt idx="45">
                  <c:v>0.024303067803467</c:v>
                </c:pt>
                <c:pt idx="46">
                  <c:v>0.024928522859507</c:v>
                </c:pt>
                <c:pt idx="47">
                  <c:v>0.025553825438188</c:v>
                </c:pt>
                <c:pt idx="48">
                  <c:v>0.026178980199465</c:v>
                </c:pt>
                <c:pt idx="49">
                  <c:v>0.026803991929443</c:v>
                </c:pt>
                <c:pt idx="50">
                  <c:v>0.027428863874373</c:v>
                </c:pt>
                <c:pt idx="51">
                  <c:v>0.028053600368023</c:v>
                </c:pt>
                <c:pt idx="52">
                  <c:v>0.028678206094792</c:v>
                </c:pt>
                <c:pt idx="53">
                  <c:v>0.029302683317518</c:v>
                </c:pt>
                <c:pt idx="54">
                  <c:v>0.029927036706435</c:v>
                </c:pt>
                <c:pt idx="55">
                  <c:v>0.030551269956594</c:v>
                </c:pt>
                <c:pt idx="56">
                  <c:v>0.031175385044648</c:v>
                </c:pt>
                <c:pt idx="57">
                  <c:v>0.031799386364071</c:v>
                </c:pt>
                <c:pt idx="58">
                  <c:v>0.032423276052887</c:v>
                </c:pt>
                <c:pt idx="59">
                  <c:v>0.033047056589779</c:v>
                </c:pt>
                <c:pt idx="60">
                  <c:v>0.033670730662911</c:v>
                </c:pt>
                <c:pt idx="61">
                  <c:v>0.034294302612197</c:v>
                </c:pt>
                <c:pt idx="62">
                  <c:v>0.034917774854269</c:v>
                </c:pt>
                <c:pt idx="63">
                  <c:v>0.03554115003946</c:v>
                </c:pt>
                <c:pt idx="64">
                  <c:v>0.036164431636573</c:v>
                </c:pt>
                <c:pt idx="65">
                  <c:v>0.036787622858526</c:v>
                </c:pt>
                <c:pt idx="66">
                  <c:v>0.03741072664935</c:v>
                </c:pt>
                <c:pt idx="67">
                  <c:v>0.038033745182501</c:v>
                </c:pt>
                <c:pt idx="68">
                  <c:v>0.038656681365813</c:v>
                </c:pt>
                <c:pt idx="69">
                  <c:v>0.039279537333424</c:v>
                </c:pt>
                <c:pt idx="70">
                  <c:v>0.039902316285721</c:v>
                </c:pt>
                <c:pt idx="71">
                  <c:v>0.040525021167058</c:v>
                </c:pt>
                <c:pt idx="72">
                  <c:v>0.041147653569612</c:v>
                </c:pt>
                <c:pt idx="73">
                  <c:v>0.041770216613228</c:v>
                </c:pt>
                <c:pt idx="74">
                  <c:v>0.042392713166718</c:v>
                </c:pt>
                <c:pt idx="75">
                  <c:v>0.043015145760667</c:v>
                </c:pt>
                <c:pt idx="76">
                  <c:v>0.043637515939456</c:v>
                </c:pt>
                <c:pt idx="77">
                  <c:v>0.044259825905329</c:v>
                </c:pt>
                <c:pt idx="78">
                  <c:v>0.044861138221004</c:v>
                </c:pt>
              </c:numCache>
            </c:numRef>
          </c:xVal>
          <c:yVal>
            <c:numRef>
              <c:f>'723K'!$N$2:$N$230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1.6353103255471</c:v>
                </c:pt>
                <c:pt idx="2">
                  <c:v>11.679777186108</c:v>
                </c:pt>
                <c:pt idx="3">
                  <c:v>63.422626074531</c:v>
                </c:pt>
                <c:pt idx="4">
                  <c:v>131.32150603195</c:v>
                </c:pt>
                <c:pt idx="5">
                  <c:v>259.36452932378</c:v>
                </c:pt>
                <c:pt idx="6">
                  <c:v>383.24777725618</c:v>
                </c:pt>
                <c:pt idx="7">
                  <c:v>446.58991478102</c:v>
                </c:pt>
                <c:pt idx="8">
                  <c:v>467.06320746926</c:v>
                </c:pt>
                <c:pt idx="9">
                  <c:v>477.59493610148</c:v>
                </c:pt>
                <c:pt idx="10">
                  <c:v>484.33919625466</c:v>
                </c:pt>
                <c:pt idx="11">
                  <c:v>489.14369256548</c:v>
                </c:pt>
                <c:pt idx="12">
                  <c:v>492.82232950154</c:v>
                </c:pt>
                <c:pt idx="13">
                  <c:v>495.80064092611</c:v>
                </c:pt>
                <c:pt idx="14">
                  <c:v>498.32287207253</c:v>
                </c:pt>
                <c:pt idx="15">
                  <c:v>500.53322788261</c:v>
                </c:pt>
                <c:pt idx="16">
                  <c:v>502.5213640556</c:v>
                </c:pt>
                <c:pt idx="17">
                  <c:v>504.34435830429</c:v>
                </c:pt>
                <c:pt idx="18">
                  <c:v>506.04106327687</c:v>
                </c:pt>
                <c:pt idx="19">
                  <c:v>507.63824061454</c:v>
                </c:pt>
                <c:pt idx="20">
                  <c:v>509.1556131541</c:v>
                </c:pt>
                <c:pt idx="21">
                  <c:v>510.60720144822</c:v>
                </c:pt>
                <c:pt idx="22">
                  <c:v>512.00409354317</c:v>
                </c:pt>
                <c:pt idx="23">
                  <c:v>513.35432140913</c:v>
                </c:pt>
                <c:pt idx="24">
                  <c:v>514.66426629974</c:v>
                </c:pt>
                <c:pt idx="25">
                  <c:v>515.93883003938</c:v>
                </c:pt>
                <c:pt idx="26">
                  <c:v>517.18205913129</c:v>
                </c:pt>
                <c:pt idx="27">
                  <c:v>518.39739211473</c:v>
                </c:pt>
                <c:pt idx="28">
                  <c:v>519.5875172679</c:v>
                </c:pt>
                <c:pt idx="29">
                  <c:v>520.75484770052</c:v>
                </c:pt>
                <c:pt idx="30">
                  <c:v>521.90116335644</c:v>
                </c:pt>
                <c:pt idx="31">
                  <c:v>523.02817792803</c:v>
                </c:pt>
                <c:pt idx="32">
                  <c:v>524.13755916392</c:v>
                </c:pt>
                <c:pt idx="33">
                  <c:v>525.2303959379</c:v>
                </c:pt>
                <c:pt idx="34">
                  <c:v>526.30797135725</c:v>
                </c:pt>
                <c:pt idx="35">
                  <c:v>527.37113124288</c:v>
                </c:pt>
                <c:pt idx="36">
                  <c:v>528.4207459829</c:v>
                </c:pt>
                <c:pt idx="37">
                  <c:v>529.45762806031</c:v>
                </c:pt>
                <c:pt idx="38">
                  <c:v>530.48234539812</c:v>
                </c:pt>
                <c:pt idx="39">
                  <c:v>531.49561234578</c:v>
                </c:pt>
                <c:pt idx="40">
                  <c:v>532.49800642429</c:v>
                </c:pt>
                <c:pt idx="41">
                  <c:v>533.49000550104</c:v>
                </c:pt>
                <c:pt idx="42">
                  <c:v>534.4719388474</c:v>
                </c:pt>
                <c:pt idx="43">
                  <c:v>535.4443933837</c:v>
                </c:pt>
                <c:pt idx="44">
                  <c:v>536.40772246491</c:v>
                </c:pt>
                <c:pt idx="45">
                  <c:v>537.36231925381</c:v>
                </c:pt>
                <c:pt idx="46">
                  <c:v>538.30837478755</c:v>
                </c:pt>
                <c:pt idx="47">
                  <c:v>539.24632092276</c:v>
                </c:pt>
                <c:pt idx="48">
                  <c:v>540.17648412421</c:v>
                </c:pt>
                <c:pt idx="49">
                  <c:v>541.09896495583</c:v>
                </c:pt>
                <c:pt idx="50">
                  <c:v>542.01415191729</c:v>
                </c:pt>
                <c:pt idx="51">
                  <c:v>542.92213826942</c:v>
                </c:pt>
                <c:pt idx="52">
                  <c:v>543.8230718409</c:v>
                </c:pt>
                <c:pt idx="53">
                  <c:v>544.71736889639</c:v>
                </c:pt>
                <c:pt idx="54">
                  <c:v>545.60507974314</c:v>
                </c:pt>
                <c:pt idx="55">
                  <c:v>546.48640806418</c:v>
                </c:pt>
                <c:pt idx="56">
                  <c:v>547.36173570239</c:v>
                </c:pt>
                <c:pt idx="57">
                  <c:v>548.23089233053</c:v>
                </c:pt>
                <c:pt idx="58">
                  <c:v>549.09409382148</c:v>
                </c:pt>
                <c:pt idx="59">
                  <c:v>549.95167552373</c:v>
                </c:pt>
                <c:pt idx="60">
                  <c:v>550.803599538</c:v>
                </c:pt>
                <c:pt idx="61">
                  <c:v>551.64983044148</c:v>
                </c:pt>
                <c:pt idx="62">
                  <c:v>552.4907567663</c:v>
                </c:pt>
                <c:pt idx="63">
                  <c:v>553.32646852407</c:v>
                </c:pt>
                <c:pt idx="64">
                  <c:v>554.15706777004</c:v>
                </c:pt>
                <c:pt idx="65">
                  <c:v>554.98258729964</c:v>
                </c:pt>
                <c:pt idx="66">
                  <c:v>555.80309091814</c:v>
                </c:pt>
                <c:pt idx="67">
                  <c:v>556.61877042663</c:v>
                </c:pt>
                <c:pt idx="68">
                  <c:v>557.42969579356</c:v>
                </c:pt>
                <c:pt idx="69">
                  <c:v>558.23606817643</c:v>
                </c:pt>
                <c:pt idx="70">
                  <c:v>559.03789642368</c:v>
                </c:pt>
                <c:pt idx="71">
                  <c:v>559.83519467079</c:v>
                </c:pt>
                <c:pt idx="72">
                  <c:v>560.62827213011</c:v>
                </c:pt>
                <c:pt idx="73">
                  <c:v>561.41709827629</c:v>
                </c:pt>
                <c:pt idx="74">
                  <c:v>562.20164521945</c:v>
                </c:pt>
                <c:pt idx="75">
                  <c:v>562.98204483259</c:v>
                </c:pt>
                <c:pt idx="76">
                  <c:v>563.75839181375</c:v>
                </c:pt>
                <c:pt idx="77">
                  <c:v>564.5307668858</c:v>
                </c:pt>
                <c:pt idx="78">
                  <c:v>565.29893305189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Exp!$A$2</c:f>
              <c:strCache>
                <c:ptCount val="1"/>
                <c:pt idx="0">
                  <c:v>923K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Exp!$A$3:$A$24</c:f>
              <c:numCache>
                <c:formatCode>General</c:formatCode>
                <c:ptCount val="22"/>
                <c:pt idx="0">
                  <c:v>0.00243</c:v>
                </c:pt>
                <c:pt idx="1">
                  <c:v>0.00272</c:v>
                </c:pt>
                <c:pt idx="2">
                  <c:v>0.00304</c:v>
                </c:pt>
                <c:pt idx="3">
                  <c:v>0.0034</c:v>
                </c:pt>
                <c:pt idx="4">
                  <c:v>0.0038</c:v>
                </c:pt>
                <c:pt idx="5">
                  <c:v>0.00426</c:v>
                </c:pt>
                <c:pt idx="6">
                  <c:v>0.00476</c:v>
                </c:pt>
                <c:pt idx="7">
                  <c:v>0.00533</c:v>
                </c:pt>
                <c:pt idx="8">
                  <c:v>0.00596</c:v>
                </c:pt>
                <c:pt idx="9">
                  <c:v>0.00667</c:v>
                </c:pt>
                <c:pt idx="10">
                  <c:v>0.00746</c:v>
                </c:pt>
                <c:pt idx="11">
                  <c:v>0.00834</c:v>
                </c:pt>
                <c:pt idx="12">
                  <c:v>0.00933</c:v>
                </c:pt>
                <c:pt idx="13">
                  <c:v>0.01044</c:v>
                </c:pt>
                <c:pt idx="14">
                  <c:v>0.01168</c:v>
                </c:pt>
                <c:pt idx="15">
                  <c:v>0.01307</c:v>
                </c:pt>
                <c:pt idx="16">
                  <c:v>0.01462</c:v>
                </c:pt>
                <c:pt idx="17">
                  <c:v>0.01636</c:v>
                </c:pt>
                <c:pt idx="18">
                  <c:v>0.0183</c:v>
                </c:pt>
                <c:pt idx="19">
                  <c:v>0.02047</c:v>
                </c:pt>
                <c:pt idx="20">
                  <c:v>0.0229</c:v>
                </c:pt>
                <c:pt idx="21">
                  <c:v>0.02485</c:v>
                </c:pt>
              </c:numCache>
            </c:numRef>
          </c:xVal>
          <c:yVal>
            <c:numRef>
              <c:f>Exp!$B$3:$B$24</c:f>
              <c:numCache>
                <c:formatCode>General</c:formatCode>
                <c:ptCount val="22"/>
                <c:pt idx="0">
                  <c:v>287.54627</c:v>
                </c:pt>
                <c:pt idx="1">
                  <c:v>290.5856</c:v>
                </c:pt>
                <c:pt idx="2">
                  <c:v>292.9537</c:v>
                </c:pt>
                <c:pt idx="3">
                  <c:v>294.97606</c:v>
                </c:pt>
                <c:pt idx="4">
                  <c:v>297.23668</c:v>
                </c:pt>
                <c:pt idx="5">
                  <c:v>298.57603</c:v>
                </c:pt>
                <c:pt idx="6">
                  <c:v>300.50574</c:v>
                </c:pt>
                <c:pt idx="7">
                  <c:v>302.7674</c:v>
                </c:pt>
                <c:pt idx="8">
                  <c:v>305.13811</c:v>
                </c:pt>
                <c:pt idx="9">
                  <c:v>306.97131</c:v>
                </c:pt>
                <c:pt idx="10">
                  <c:v>309.18836</c:v>
                </c:pt>
                <c:pt idx="11">
                  <c:v>310.48345</c:v>
                </c:pt>
                <c:pt idx="12">
                  <c:v>311.97212</c:v>
                </c:pt>
                <c:pt idx="13">
                  <c:v>313.5625</c:v>
                </c:pt>
                <c:pt idx="14">
                  <c:v>314.68601</c:v>
                </c:pt>
                <c:pt idx="15">
                  <c:v>316.00413</c:v>
                </c:pt>
                <c:pt idx="16">
                  <c:v>317.23207</c:v>
                </c:pt>
                <c:pt idx="17">
                  <c:v>318.36874</c:v>
                </c:pt>
                <c:pt idx="18">
                  <c:v>319.75051</c:v>
                </c:pt>
                <c:pt idx="19">
                  <c:v>320.75103</c:v>
                </c:pt>
                <c:pt idx="20">
                  <c:v>321.65765</c:v>
                </c:pt>
                <c:pt idx="21">
                  <c:v>322.01648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"Sim_923"</c:f>
              <c:strCache>
                <c:ptCount val="1"/>
                <c:pt idx="0">
                  <c:v>Sim_923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'923K'!$B$2:$B$280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2.1522136771662e-19</c:v>
                </c:pt>
                <c:pt idx="2" c:formatCode="0.00E+00">
                  <c:v>9.7850042971516e-17</c:v>
                </c:pt>
                <c:pt idx="3" c:formatCode="0.00E+00">
                  <c:v>2.6211973696342e-12</c:v>
                </c:pt>
                <c:pt idx="4" c:formatCode="0.00E+00">
                  <c:v>2.9772293534004e-9</c:v>
                </c:pt>
                <c:pt idx="5" c:formatCode="0.00E+00">
                  <c:v>2.5838715339709e-5</c:v>
                </c:pt>
                <c:pt idx="6">
                  <c:v>0.00040843007794426</c:v>
                </c:pt>
                <c:pt idx="7">
                  <c:v>0.0010041764251469</c:v>
                </c:pt>
                <c:pt idx="8">
                  <c:v>0.0016293971184004</c:v>
                </c:pt>
                <c:pt idx="9">
                  <c:v>0.0022601328497744</c:v>
                </c:pt>
                <c:pt idx="10">
                  <c:v>0.0028920218131447</c:v>
                </c:pt>
                <c:pt idx="11">
                  <c:v>0.0035240020398961</c:v>
                </c:pt>
                <c:pt idx="12">
                  <c:v>0.0041557934750022</c:v>
                </c:pt>
                <c:pt idx="13">
                  <c:v>0.0047872938627361</c:v>
                </c:pt>
                <c:pt idx="14">
                  <c:v>0.0054184531976057</c:v>
                </c:pt>
                <c:pt idx="15">
                  <c:v>0.0060492557283198</c:v>
                </c:pt>
                <c:pt idx="16">
                  <c:v>0.0066796916822215</c:v>
                </c:pt>
                <c:pt idx="17">
                  <c:v>0.00730975380538</c:v>
                </c:pt>
                <c:pt idx="18">
                  <c:v>0.0079394404625628</c:v>
                </c:pt>
                <c:pt idx="19">
                  <c:v>0.0085687537882841</c:v>
                </c:pt>
                <c:pt idx="20">
                  <c:v>0.0091977001502204</c:v>
                </c:pt>
                <c:pt idx="21">
                  <c:v>0.0098262875600622</c:v>
                </c:pt>
                <c:pt idx="22">
                  <c:v>0.01045452631863</c:v>
                </c:pt>
                <c:pt idx="23">
                  <c:v>0.01108242786037</c:v>
                </c:pt>
                <c:pt idx="24">
                  <c:v>0.011710003366145</c:v>
                </c:pt>
                <c:pt idx="25">
                  <c:v>0.012337263626964</c:v>
                </c:pt>
                <c:pt idx="26">
                  <c:v>0.012964219479995</c:v>
                </c:pt>
                <c:pt idx="27">
                  <c:v>0.013590881121253</c:v>
                </c:pt>
                <c:pt idx="28">
                  <c:v>0.014217259315947</c:v>
                </c:pt>
                <c:pt idx="29">
                  <c:v>0.014843363720896</c:v>
                </c:pt>
                <c:pt idx="30">
                  <c:v>0.015469204062334</c:v>
                </c:pt>
                <c:pt idx="31">
                  <c:v>0.016094790730826</c:v>
                </c:pt>
                <c:pt idx="32">
                  <c:v>0.01672013115343</c:v>
                </c:pt>
                <c:pt idx="33">
                  <c:v>0.017345236951609</c:v>
                </c:pt>
                <c:pt idx="34">
                  <c:v>0.017970113819641</c:v>
                </c:pt>
                <c:pt idx="35">
                  <c:v>0.018594770115525</c:v>
                </c:pt>
                <c:pt idx="36">
                  <c:v>0.019219212428855</c:v>
                </c:pt>
                <c:pt idx="37">
                  <c:v>0.019843447945242</c:v>
                </c:pt>
                <c:pt idx="38">
                  <c:v>0.020467484939005</c:v>
                </c:pt>
                <c:pt idx="39">
                  <c:v>0.02109132846873</c:v>
                </c:pt>
                <c:pt idx="40">
                  <c:v>0.021714983991588</c:v>
                </c:pt>
                <c:pt idx="41">
                  <c:v>0.022338459844117</c:v>
                </c:pt>
                <c:pt idx="42">
                  <c:v>0.022961761217771</c:v>
                </c:pt>
                <c:pt idx="43">
                  <c:v>0.023584894157957</c:v>
                </c:pt>
                <c:pt idx="44">
                  <c:v>0.024207864174021</c:v>
                </c:pt>
                <c:pt idx="45">
                  <c:v>0.024830676208422</c:v>
                </c:pt>
                <c:pt idx="46">
                  <c:v>0.025453335172259</c:v>
                </c:pt>
                <c:pt idx="47">
                  <c:v>0.026075846476498</c:v>
                </c:pt>
                <c:pt idx="48">
                  <c:v>0.026698214513724</c:v>
                </c:pt>
                <c:pt idx="49">
                  <c:v>0.027320443952015</c:v>
                </c:pt>
                <c:pt idx="50">
                  <c:v>0.027942541570194</c:v>
                </c:pt>
                <c:pt idx="51">
                  <c:v>0.028564510275155</c:v>
                </c:pt>
                <c:pt idx="52">
                  <c:v>0.029186354441526</c:v>
                </c:pt>
                <c:pt idx="53">
                  <c:v>0.02978713828707</c:v>
                </c:pt>
              </c:numCache>
            </c:numRef>
          </c:xVal>
          <c:yVal>
            <c:numRef>
              <c:f>'923K'!$N$2:$N$230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1.5005008775323</c:v>
                </c:pt>
                <c:pt idx="2">
                  <c:v>10.717013809756</c:v>
                </c:pt>
                <c:pt idx="3">
                  <c:v>58.197093816804</c:v>
                </c:pt>
                <c:pt idx="4">
                  <c:v>120.50697442427</c:v>
                </c:pt>
                <c:pt idx="5">
                  <c:v>233.04402073685</c:v>
                </c:pt>
                <c:pt idx="6">
                  <c:v>282.29427121816</c:v>
                </c:pt>
                <c:pt idx="7">
                  <c:v>294.69451293698</c:v>
                </c:pt>
                <c:pt idx="8">
                  <c:v>300.5110691738</c:v>
                </c:pt>
                <c:pt idx="9">
                  <c:v>304.04966682311</c:v>
                </c:pt>
                <c:pt idx="10">
                  <c:v>306.5149501359</c:v>
                </c:pt>
                <c:pt idx="11">
                  <c:v>308.41072544637</c:v>
                </c:pt>
                <c:pt idx="12">
                  <c:v>309.9751779751</c:v>
                </c:pt>
                <c:pt idx="13">
                  <c:v>311.33091395892</c:v>
                </c:pt>
                <c:pt idx="14">
                  <c:v>312.54740244511</c:v>
                </c:pt>
                <c:pt idx="15">
                  <c:v>313.66495967915</c:v>
                </c:pt>
                <c:pt idx="16">
                  <c:v>314.70921773015</c:v>
                </c:pt>
                <c:pt idx="17">
                  <c:v>315.69665237696</c:v>
                </c:pt>
                <c:pt idx="18">
                  <c:v>316.63889459273</c:v>
                </c:pt>
                <c:pt idx="19">
                  <c:v>317.54395818871</c:v>
                </c:pt>
                <c:pt idx="20">
                  <c:v>318.41773709836</c:v>
                </c:pt>
                <c:pt idx="21">
                  <c:v>319.26505344789</c:v>
                </c:pt>
                <c:pt idx="22">
                  <c:v>320.08926119219</c:v>
                </c:pt>
                <c:pt idx="23">
                  <c:v>320.89315472634</c:v>
                </c:pt>
                <c:pt idx="24">
                  <c:v>321.67897192872</c:v>
                </c:pt>
                <c:pt idx="25">
                  <c:v>322.44856607067</c:v>
                </c:pt>
                <c:pt idx="26">
                  <c:v>323.2033378572</c:v>
                </c:pt>
                <c:pt idx="27">
                  <c:v>323.94465053171</c:v>
                </c:pt>
                <c:pt idx="28">
                  <c:v>324.67350649252</c:v>
                </c:pt>
                <c:pt idx="29">
                  <c:v>325.39085048592</c:v>
                </c:pt>
                <c:pt idx="30">
                  <c:v>326.09757384146</c:v>
                </c:pt>
                <c:pt idx="31">
                  <c:v>326.79428189363</c:v>
                </c:pt>
                <c:pt idx="32">
                  <c:v>327.48179091412</c:v>
                </c:pt>
                <c:pt idx="33">
                  <c:v>328.16040960752</c:v>
                </c:pt>
                <c:pt idx="34">
                  <c:v>328.83081692839</c:v>
                </c:pt>
                <c:pt idx="35">
                  <c:v>329.49334376619</c:v>
                </c:pt>
                <c:pt idx="36">
                  <c:v>330.14840761487</c:v>
                </c:pt>
                <c:pt idx="37">
                  <c:v>330.79632712015</c:v>
                </c:pt>
                <c:pt idx="38">
                  <c:v>331.43729594061</c:v>
                </c:pt>
                <c:pt idx="39">
                  <c:v>332.07174908022</c:v>
                </c:pt>
                <c:pt idx="40">
                  <c:v>332.70015856277</c:v>
                </c:pt>
                <c:pt idx="41">
                  <c:v>333.32245822819</c:v>
                </c:pt>
                <c:pt idx="42">
                  <c:v>333.93906749509</c:v>
                </c:pt>
                <c:pt idx="43">
                  <c:v>334.55014435763</c:v>
                </c:pt>
                <c:pt idx="44">
                  <c:v>335.1558764682</c:v>
                </c:pt>
                <c:pt idx="45">
                  <c:v>335.75654024363</c:v>
                </c:pt>
                <c:pt idx="46">
                  <c:v>336.35225681064</c:v>
                </c:pt>
                <c:pt idx="47">
                  <c:v>336.94312853454</c:v>
                </c:pt>
                <c:pt idx="48">
                  <c:v>337.52951817037</c:v>
                </c:pt>
                <c:pt idx="49">
                  <c:v>338.11145943353</c:v>
                </c:pt>
                <c:pt idx="50">
                  <c:v>338.68889851967</c:v>
                </c:pt>
                <c:pt idx="51">
                  <c:v>339.26212189982</c:v>
                </c:pt>
                <c:pt idx="52">
                  <c:v>339.83130920118</c:v>
                </c:pt>
                <c:pt idx="53">
                  <c:v>340.40287515592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Exp!$P$2</c:f>
              <c:strCache>
                <c:ptCount val="1"/>
                <c:pt idx="0">
                  <c:v>673K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Exp!$P$3:$P$19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Exp!$Q$3:$Q$19</c:f>
              <c:numCache>
                <c:formatCode>General</c:formatCode>
                <c:ptCount val="17"/>
                <c:pt idx="0">
                  <c:v>462.167963485811</c:v>
                </c:pt>
                <c:pt idx="1">
                  <c:v>516.303040216597</c:v>
                </c:pt>
                <c:pt idx="2">
                  <c:v>535.926310003873</c:v>
                </c:pt>
                <c:pt idx="3">
                  <c:v>550.299910236815</c:v>
                </c:pt>
                <c:pt idx="4">
                  <c:v>561.713889963145</c:v>
                </c:pt>
                <c:pt idx="5">
                  <c:v>571.215308290564</c:v>
                </c:pt>
                <c:pt idx="6">
                  <c:v>579.373920694223</c:v>
                </c:pt>
                <c:pt idx="7">
                  <c:v>586.535363184391</c:v>
                </c:pt>
                <c:pt idx="8">
                  <c:v>592.925643555112</c:v>
                </c:pt>
                <c:pt idx="9">
                  <c:v>598.700916221245</c:v>
                </c:pt>
                <c:pt idx="10">
                  <c:v>603.973730731917</c:v>
                </c:pt>
                <c:pt idx="11">
                  <c:v>608.827971933541</c:v>
                </c:pt>
                <c:pt idx="12">
                  <c:v>613.327886146323</c:v>
                </c:pt>
                <c:pt idx="13">
                  <c:v>617.523802334824</c:v>
                </c:pt>
                <c:pt idx="14">
                  <c:v>621.455904446707</c:v>
                </c:pt>
                <c:pt idx="15">
                  <c:v>625.156802438509</c:v>
                </c:pt>
                <c:pt idx="16">
                  <c:v>628.653334582081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"Sim_673K"</c:f>
              <c:strCache>
                <c:ptCount val="1"/>
                <c:pt idx="0">
                  <c:v>Sim_673K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'673K'!$K$2:$K$280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7.7492133356817e-6</c:v>
                </c:pt>
                <c:pt idx="2" c:formatCode="0.00E+00">
                  <c:v>5.5330620461022e-5</c:v>
                </c:pt>
                <c:pt idx="3">
                  <c:v>0.0002999544401568</c:v>
                </c:pt>
                <c:pt idx="4">
                  <c:v>0.00061986023612824</c:v>
                </c:pt>
                <c:pt idx="5">
                  <c:v>0.0012193017804912</c:v>
                </c:pt>
                <c:pt idx="6">
                  <c:v>0.0018183801488677</c:v>
                </c:pt>
                <c:pt idx="7">
                  <c:v>0.0024170972227441</c:v>
                </c:pt>
                <c:pt idx="8">
                  <c:v>0.0030154486342787</c:v>
                </c:pt>
                <c:pt idx="9">
                  <c:v>0.0036134338775587</c:v>
                </c:pt>
                <c:pt idx="10">
                  <c:v>0.0042110535451619</c:v>
                </c:pt>
                <c:pt idx="11">
                  <c:v>0.0048083086833877</c:v>
                </c:pt>
                <c:pt idx="12">
                  <c:v>0.0054052005398985</c:v>
                </c:pt>
                <c:pt idx="13">
                  <c:v>0.0060017300084981</c:v>
                </c:pt>
                <c:pt idx="14">
                  <c:v>0.0065978977371924</c:v>
                </c:pt>
                <c:pt idx="15">
                  <c:v>0.0071937042157804</c:v>
                </c:pt>
                <c:pt idx="16">
                  <c:v>0.0077891498773963</c:v>
                </c:pt>
                <c:pt idx="17">
                  <c:v>0.0083842352028218</c:v>
                </c:pt>
                <c:pt idx="18">
                  <c:v>0.0089789607131438</c:v>
                </c:pt>
                <c:pt idx="19">
                  <c:v>0.0095733269291035</c:v>
                </c:pt>
                <c:pt idx="20">
                  <c:v>0.010167334347525</c:v>
                </c:pt>
                <c:pt idx="21">
                  <c:v>0.010760983445249</c:v>
                </c:pt>
                <c:pt idx="22">
                  <c:v>0.011354274695494</c:v>
                </c:pt>
                <c:pt idx="23">
                  <c:v>0.011947208556296</c:v>
                </c:pt>
                <c:pt idx="24">
                  <c:v>0.012539785479178</c:v>
                </c:pt>
                <c:pt idx="25">
                  <c:v>0.013132005918978</c:v>
                </c:pt>
                <c:pt idx="26">
                  <c:v>0.013723870318633</c:v>
                </c:pt>
                <c:pt idx="27">
                  <c:v>0.014315379137966</c:v>
                </c:pt>
                <c:pt idx="28">
                  <c:v>0.014906532844609</c:v>
                </c:pt>
                <c:pt idx="29">
                  <c:v>0.015497331905195</c:v>
                </c:pt>
                <c:pt idx="30">
                  <c:v>0.016087776782706</c:v>
                </c:pt>
                <c:pt idx="31">
                  <c:v>0.016677867948346</c:v>
                </c:pt>
                <c:pt idx="32">
                  <c:v>0.017267605847744</c:v>
                </c:pt>
                <c:pt idx="33">
                  <c:v>0.017856990931132</c:v>
                </c:pt>
                <c:pt idx="34">
                  <c:v>0.018446023655011</c:v>
                </c:pt>
                <c:pt idx="35">
                  <c:v>0.019034704459449</c:v>
                </c:pt>
                <c:pt idx="36">
                  <c:v>0.019623033778147</c:v>
                </c:pt>
                <c:pt idx="37">
                  <c:v>0.020211012035989</c:v>
                </c:pt>
                <c:pt idx="38">
                  <c:v>0.020798639674935</c:v>
                </c:pt>
                <c:pt idx="39">
                  <c:v>0.021385917108434</c:v>
                </c:pt>
                <c:pt idx="40">
                  <c:v>0.021972844758998</c:v>
                </c:pt>
                <c:pt idx="41">
                  <c:v>0.02255942304608</c:v>
                </c:pt>
                <c:pt idx="42">
                  <c:v>0.023145652389963</c:v>
                </c:pt>
                <c:pt idx="43">
                  <c:v>0.023731533209561</c:v>
                </c:pt>
                <c:pt idx="44">
                  <c:v>0.024317065926397</c:v>
                </c:pt>
                <c:pt idx="45">
                  <c:v>0.02490225096084</c:v>
                </c:pt>
                <c:pt idx="46">
                  <c:v>0.025487088743947</c:v>
                </c:pt>
                <c:pt idx="47">
                  <c:v>0.026071579695426</c:v>
                </c:pt>
                <c:pt idx="48">
                  <c:v>0.026655724248978</c:v>
                </c:pt>
                <c:pt idx="49">
                  <c:v>0.02723952282396</c:v>
                </c:pt>
                <c:pt idx="50">
                  <c:v>0.027822975846548</c:v>
                </c:pt>
                <c:pt idx="51">
                  <c:v>0.028406083739437</c:v>
                </c:pt>
                <c:pt idx="52">
                  <c:v>0.02898884692027</c:v>
                </c:pt>
                <c:pt idx="53">
                  <c:v>0.029571265809264</c:v>
                </c:pt>
                <c:pt idx="54">
                  <c:v>0.030153340824767</c:v>
                </c:pt>
                <c:pt idx="55">
                  <c:v>0.030735072378814</c:v>
                </c:pt>
                <c:pt idx="56">
                  <c:v>0.03131646088801</c:v>
                </c:pt>
                <c:pt idx="57">
                  <c:v>0.031897506761456</c:v>
                </c:pt>
                <c:pt idx="58">
                  <c:v>0.0324782104081</c:v>
                </c:pt>
                <c:pt idx="59">
                  <c:v>0.033058572229873</c:v>
                </c:pt>
                <c:pt idx="60">
                  <c:v>0.033638592646454</c:v>
                </c:pt>
                <c:pt idx="61">
                  <c:v>0.034218272066628</c:v>
                </c:pt>
                <c:pt idx="62">
                  <c:v>0.034797610894826</c:v>
                </c:pt>
                <c:pt idx="63">
                  <c:v>0.035376609547991</c:v>
                </c:pt>
                <c:pt idx="64">
                  <c:v>0.03595526842347</c:v>
                </c:pt>
                <c:pt idx="65">
                  <c:v>0.036533587937118</c:v>
                </c:pt>
                <c:pt idx="66">
                  <c:v>0.037111568482936</c:v>
                </c:pt>
                <c:pt idx="67">
                  <c:v>0.037689210472155</c:v>
                </c:pt>
                <c:pt idx="68">
                  <c:v>0.038266514299512</c:v>
                </c:pt>
                <c:pt idx="69">
                  <c:v>0.038843480366027</c:v>
                </c:pt>
                <c:pt idx="70">
                  <c:v>0.039420109066153</c:v>
                </c:pt>
                <c:pt idx="71">
                  <c:v>0.039996400794719</c:v>
                </c:pt>
                <c:pt idx="72">
                  <c:v>0.040572355947258</c:v>
                </c:pt>
                <c:pt idx="73">
                  <c:v>0.041147974910683</c:v>
                </c:pt>
                <c:pt idx="74">
                  <c:v>0.041723258083313</c:v>
                </c:pt>
                <c:pt idx="75">
                  <c:v>0.042298205849143</c:v>
                </c:pt>
                <c:pt idx="76">
                  <c:v>0.04287281859692</c:v>
                </c:pt>
                <c:pt idx="77">
                  <c:v>0.043447096716494</c:v>
                </c:pt>
                <c:pt idx="78">
                  <c:v>0.044021040595932</c:v>
                </c:pt>
                <c:pt idx="79">
                  <c:v>0.044594650625546</c:v>
                </c:pt>
                <c:pt idx="80">
                  <c:v>0.045167927183105</c:v>
                </c:pt>
                <c:pt idx="81">
                  <c:v>0.045740870654259</c:v>
                </c:pt>
                <c:pt idx="82">
                  <c:v>0.046313481423535</c:v>
                </c:pt>
                <c:pt idx="83">
                  <c:v>0.046885759871196</c:v>
                </c:pt>
                <c:pt idx="84">
                  <c:v>0.04745770638597</c:v>
                </c:pt>
                <c:pt idx="85">
                  <c:v>0.048029321346897</c:v>
                </c:pt>
                <c:pt idx="86">
                  <c:v>0.048600605138996</c:v>
                </c:pt>
                <c:pt idx="87">
                  <c:v>0.049171558149329</c:v>
                </c:pt>
                <c:pt idx="88">
                  <c:v>0.04972311328445</c:v>
                </c:pt>
              </c:numCache>
            </c:numRef>
          </c:xVal>
          <c:yVal>
            <c:numRef>
              <c:f>'673K'!$N$2:$N$230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1.6670205580898</c:v>
                </c:pt>
                <c:pt idx="2">
                  <c:v>11.906243604032</c:v>
                </c:pt>
                <c:pt idx="3">
                  <c:v>64.651887085243</c:v>
                </c:pt>
                <c:pt idx="4">
                  <c:v>133.86559854449</c:v>
                </c:pt>
                <c:pt idx="5">
                  <c:v>264.38480492272</c:v>
                </c:pt>
                <c:pt idx="6">
                  <c:v>391.12302946245</c:v>
                </c:pt>
                <c:pt idx="7">
                  <c:v>456.19383123068</c:v>
                </c:pt>
                <c:pt idx="8">
                  <c:v>476.93126842346</c:v>
                </c:pt>
                <c:pt idx="9">
                  <c:v>487.63500956947</c:v>
                </c:pt>
                <c:pt idx="10">
                  <c:v>494.52775742518</c:v>
                </c:pt>
                <c:pt idx="11">
                  <c:v>499.4651111065</c:v>
                </c:pt>
                <c:pt idx="12">
                  <c:v>503.25633223213</c:v>
                </c:pt>
                <c:pt idx="13">
                  <c:v>506.32981170067</c:v>
                </c:pt>
                <c:pt idx="14">
                  <c:v>508.93472239356</c:v>
                </c:pt>
                <c:pt idx="15">
                  <c:v>511.21861722095</c:v>
                </c:pt>
                <c:pt idx="16">
                  <c:v>513.27311120225</c:v>
                </c:pt>
                <c:pt idx="17">
                  <c:v>515.15817795524</c:v>
                </c:pt>
                <c:pt idx="18">
                  <c:v>516.91324416535</c:v>
                </c:pt>
                <c:pt idx="19">
                  <c:v>518.56569977746</c:v>
                </c:pt>
                <c:pt idx="20">
                  <c:v>520.13581423084</c:v>
                </c:pt>
                <c:pt idx="21">
                  <c:v>521.63832948465</c:v>
                </c:pt>
                <c:pt idx="22">
                  <c:v>523.08449571013</c:v>
                </c:pt>
                <c:pt idx="23">
                  <c:v>524.48250894607</c:v>
                </c:pt>
                <c:pt idx="24">
                  <c:v>525.83899823104</c:v>
                </c:pt>
                <c:pt idx="25">
                  <c:v>527.15905838875</c:v>
                </c:pt>
                <c:pt idx="26">
                  <c:v>528.446943551</c:v>
                </c:pt>
                <c:pt idx="27">
                  <c:v>529.70607602641</c:v>
                </c:pt>
                <c:pt idx="28">
                  <c:v>530.93936243697</c:v>
                </c:pt>
                <c:pt idx="29">
                  <c:v>532.14892831328</c:v>
                </c:pt>
                <c:pt idx="30">
                  <c:v>533.33683866091</c:v>
                </c:pt>
                <c:pt idx="31">
                  <c:v>534.50488976652</c:v>
                </c:pt>
                <c:pt idx="32">
                  <c:v>535.65449608059</c:v>
                </c:pt>
                <c:pt idx="33">
                  <c:v>536.78722698676</c:v>
                </c:pt>
                <c:pt idx="34">
                  <c:v>537.90415263347</c:v>
                </c:pt>
                <c:pt idx="35">
                  <c:v>539.00635889266</c:v>
                </c:pt>
                <c:pt idx="36">
                  <c:v>540.09444915185</c:v>
                </c:pt>
                <c:pt idx="37">
                  <c:v>541.16950157103</c:v>
                </c:pt>
                <c:pt idx="38">
                  <c:v>542.23191196965</c:v>
                </c:pt>
                <c:pt idx="39">
                  <c:v>543.28253712185</c:v>
                </c:pt>
                <c:pt idx="40">
                  <c:v>544.32199358708</c:v>
                </c:pt>
                <c:pt idx="41">
                  <c:v>545.35063050268</c:v>
                </c:pt>
                <c:pt idx="42">
                  <c:v>546.36899787659</c:v>
                </c:pt>
                <c:pt idx="43">
                  <c:v>547.37751824737</c:v>
                </c:pt>
                <c:pt idx="44">
                  <c:v>548.37653558243</c:v>
                </c:pt>
                <c:pt idx="45">
                  <c:v>549.36662787311</c:v>
                </c:pt>
                <c:pt idx="46">
                  <c:v>550.34798808387</c:v>
                </c:pt>
                <c:pt idx="47">
                  <c:v>551.3209304292</c:v>
                </c:pt>
                <c:pt idx="48">
                  <c:v>552.28582468615</c:v>
                </c:pt>
                <c:pt idx="49">
                  <c:v>553.24280695953</c:v>
                </c:pt>
                <c:pt idx="50">
                  <c:v>554.19207398013</c:v>
                </c:pt>
                <c:pt idx="51">
                  <c:v>555.13413224293</c:v>
                </c:pt>
                <c:pt idx="52">
                  <c:v>556.06893021169</c:v>
                </c:pt>
                <c:pt idx="53">
                  <c:v>556.99692588661</c:v>
                </c:pt>
                <c:pt idx="54">
                  <c:v>557.91808922047</c:v>
                </c:pt>
                <c:pt idx="55">
                  <c:v>558.8326522158</c:v>
                </c:pt>
                <c:pt idx="56">
                  <c:v>559.74078183564</c:v>
                </c:pt>
                <c:pt idx="57">
                  <c:v>560.64275605422</c:v>
                </c:pt>
                <c:pt idx="58">
                  <c:v>561.5385500103</c:v>
                </c:pt>
                <c:pt idx="59">
                  <c:v>562.42851434064</c:v>
                </c:pt>
                <c:pt idx="60">
                  <c:v>563.31250124807</c:v>
                </c:pt>
                <c:pt idx="61">
                  <c:v>564.19089456904</c:v>
                </c:pt>
                <c:pt idx="62">
                  <c:v>565.06380420226</c:v>
                </c:pt>
                <c:pt idx="63">
                  <c:v>565.93119299304</c:v>
                </c:pt>
                <c:pt idx="64">
                  <c:v>566.79331169028</c:v>
                </c:pt>
                <c:pt idx="65">
                  <c:v>567.65013509998</c:v>
                </c:pt>
                <c:pt idx="66">
                  <c:v>568.50189454105</c:v>
                </c:pt>
                <c:pt idx="67">
                  <c:v>569.34870380353</c:v>
                </c:pt>
                <c:pt idx="68">
                  <c:v>570.19064349344</c:v>
                </c:pt>
                <c:pt idx="69">
                  <c:v>571.02778849729</c:v>
                </c:pt>
                <c:pt idx="70">
                  <c:v>571.86015824984</c:v>
                </c:pt>
                <c:pt idx="71">
                  <c:v>572.68789019414</c:v>
                </c:pt>
                <c:pt idx="72">
                  <c:v>573.51103633176</c:v>
                </c:pt>
                <c:pt idx="73">
                  <c:v>574.32981681657</c:v>
                </c:pt>
                <c:pt idx="74">
                  <c:v>575.1442925282</c:v>
                </c:pt>
                <c:pt idx="75">
                  <c:v>575.95446342496</c:v>
                </c:pt>
                <c:pt idx="76">
                  <c:v>576.76053341754</c:v>
                </c:pt>
                <c:pt idx="77">
                  <c:v>577.56238111832</c:v>
                </c:pt>
                <c:pt idx="78">
                  <c:v>578.36021336264</c:v>
                </c:pt>
                <c:pt idx="79">
                  <c:v>579.15396624017</c:v>
                </c:pt>
                <c:pt idx="80">
                  <c:v>579.94383211358</c:v>
                </c:pt>
                <c:pt idx="81">
                  <c:v>580.72978848562</c:v>
                </c:pt>
                <c:pt idx="82">
                  <c:v>581.5119354503</c:v>
                </c:pt>
                <c:pt idx="83">
                  <c:v>582.29031191209</c:v>
                </c:pt>
                <c:pt idx="84">
                  <c:v>583.06504708759</c:v>
                </c:pt>
                <c:pt idx="85">
                  <c:v>583.83612043195</c:v>
                </c:pt>
                <c:pt idx="86">
                  <c:v>584.60357003149</c:v>
                </c:pt>
                <c:pt idx="87">
                  <c:v>585.36738749836</c:v>
                </c:pt>
                <c:pt idx="88">
                  <c:v>586.12838328864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Exp!$U$2</c:f>
              <c:strCache>
                <c:ptCount val="1"/>
                <c:pt idx="0">
                  <c:v>573K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Exp!$U$3:$U$19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Exp!$V$3:$V$19</c:f>
              <c:numCache>
                <c:formatCode>General</c:formatCode>
                <c:ptCount val="17"/>
                <c:pt idx="0">
                  <c:v>474.289681235917</c:v>
                </c:pt>
                <c:pt idx="1">
                  <c:v>527.883459464422</c:v>
                </c:pt>
                <c:pt idx="2">
                  <c:v>547.26300261885</c:v>
                </c:pt>
                <c:pt idx="3">
                  <c:v>561.442961094595</c:v>
                </c:pt>
                <c:pt idx="4">
                  <c:v>572.694325207371</c:v>
                </c:pt>
                <c:pt idx="5">
                  <c:v>582.05453339944</c:v>
                </c:pt>
                <c:pt idx="6">
                  <c:v>590.087730607861</c:v>
                </c:pt>
                <c:pt idx="7">
                  <c:v>597.135964219224</c:v>
                </c:pt>
                <c:pt idx="8">
                  <c:v>603.422793279546</c:v>
                </c:pt>
                <c:pt idx="9">
                  <c:v>609.102619113544</c:v>
                </c:pt>
                <c:pt idx="10">
                  <c:v>614.28668876971</c:v>
                </c:pt>
                <c:pt idx="11">
                  <c:v>619.057890318952</c:v>
                </c:pt>
                <c:pt idx="12">
                  <c:v>623.479688622804</c:v>
                </c:pt>
                <c:pt idx="13">
                  <c:v>627.601787550224</c:v>
                </c:pt>
                <c:pt idx="14">
                  <c:v>631.463862454191</c:v>
                </c:pt>
                <c:pt idx="15">
                  <c:v>635.098103409913</c:v>
                </c:pt>
                <c:pt idx="16">
                  <c:v>638.530997640319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'573K'!$K$2:$K$280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7.7492134034667e-6</c:v>
                </c:pt>
                <c:pt idx="2" c:formatCode="0.00E+00">
                  <c:v>5.53306239158e-5</c:v>
                </c:pt>
                <c:pt idx="3">
                  <c:v>0.00029995454157326</c:v>
                </c:pt>
                <c:pt idx="4">
                  <c:v>0.00061986066854954</c:v>
                </c:pt>
                <c:pt idx="5">
                  <c:v>0.0012193034488482</c:v>
                </c:pt>
                <c:pt idx="6">
                  <c:v>0.0018183837103193</c:v>
                </c:pt>
                <c:pt idx="7">
                  <c:v>0.0024171020293862</c:v>
                </c:pt>
                <c:pt idx="8">
                  <c:v>0.0030154540462429</c:v>
                </c:pt>
                <c:pt idx="9">
                  <c:v>0.003613439970349</c:v>
                </c:pt>
                <c:pt idx="10">
                  <c:v>0.0042110603786745</c:v>
                </c:pt>
                <c:pt idx="11">
                  <c:v>0.0048083162103915</c:v>
                </c:pt>
                <c:pt idx="12">
                  <c:v>0.0054052086657917</c:v>
                </c:pt>
                <c:pt idx="13">
                  <c:v>0.006001738678545</c:v>
                </c:pt>
                <c:pt idx="14">
                  <c:v>0.006597906934091</c:v>
                </c:pt>
                <c:pt idx="15">
                  <c:v>0.0071937139434584</c:v>
                </c:pt>
                <c:pt idx="16">
                  <c:v>0.0077891601487483</c:v>
                </c:pt>
                <c:pt idx="17">
                  <c:v>0.0083842460334659</c:v>
                </c:pt>
                <c:pt idx="18">
                  <c:v>0.0089789721106658</c:v>
                </c:pt>
                <c:pt idx="19">
                  <c:v>0.0095733388924924</c:v>
                </c:pt>
                <c:pt idx="20">
                  <c:v>0.010167346877217</c:v>
                </c:pt>
                <c:pt idx="21">
                  <c:v>0.010760996531809</c:v>
                </c:pt>
                <c:pt idx="22">
                  <c:v>0.011354288337313</c:v>
                </c:pt>
                <c:pt idx="23">
                  <c:v>0.01194722275226</c:v>
                </c:pt>
                <c:pt idx="24">
                  <c:v>0.012539800236596</c:v>
                </c:pt>
                <c:pt idx="25">
                  <c:v>0.013132021225459</c:v>
                </c:pt>
                <c:pt idx="26">
                  <c:v>0.013723886176782</c:v>
                </c:pt>
                <c:pt idx="27">
                  <c:v>0.014315395537892</c:v>
                </c:pt>
                <c:pt idx="28">
                  <c:v>0.014906549774659</c:v>
                </c:pt>
                <c:pt idx="29">
                  <c:v>0.015497349350803</c:v>
                </c:pt>
                <c:pt idx="30">
                  <c:v>0.016087794742943</c:v>
                </c:pt>
                <c:pt idx="31">
                  <c:v>0.016677886407045</c:v>
                </c:pt>
                <c:pt idx="32">
                  <c:v>0.017267624794865</c:v>
                </c:pt>
                <c:pt idx="33">
                  <c:v>0.017857010360394</c:v>
                </c:pt>
                <c:pt idx="34">
                  <c:v>0.018446043552325</c:v>
                </c:pt>
                <c:pt idx="35">
                  <c:v>0.019034724800582</c:v>
                </c:pt>
                <c:pt idx="36">
                  <c:v>0.019623054553933</c:v>
                </c:pt>
                <c:pt idx="37">
                  <c:v>0.020211033239212</c:v>
                </c:pt>
                <c:pt idx="38">
                  <c:v>0.020798661286436</c:v>
                </c:pt>
                <c:pt idx="39">
                  <c:v>0.021385939122344</c:v>
                </c:pt>
                <c:pt idx="40">
                  <c:v>0.021972867165457</c:v>
                </c:pt>
                <c:pt idx="41">
                  <c:v>0.022559445841696</c:v>
                </c:pt>
                <c:pt idx="42">
                  <c:v>0.023145675568184</c:v>
                </c:pt>
                <c:pt idx="43">
                  <c:v>0.023731556760016</c:v>
                </c:pt>
                <c:pt idx="44">
                  <c:v>0.024317089846678</c:v>
                </c:pt>
                <c:pt idx="45">
                  <c:v>0.02490227524386</c:v>
                </c:pt>
                <c:pt idx="46">
                  <c:v>0.025487113373269</c:v>
                </c:pt>
                <c:pt idx="47">
                  <c:v>0.02607160466322</c:v>
                </c:pt>
                <c:pt idx="48">
                  <c:v>0.026655749534633</c:v>
                </c:pt>
                <c:pt idx="49">
                  <c:v>0.027239548413067</c:v>
                </c:pt>
                <c:pt idx="50">
                  <c:v>0.02782300172142</c:v>
                </c:pt>
                <c:pt idx="51">
                  <c:v>0.028406109881874</c:v>
                </c:pt>
                <c:pt idx="52">
                  <c:v>0.028988873319534</c:v>
                </c:pt>
                <c:pt idx="53">
                  <c:v>0.029571292452546</c:v>
                </c:pt>
                <c:pt idx="54">
                  <c:v>0.030153367697861</c:v>
                </c:pt>
                <c:pt idx="55">
                  <c:v>0.030735099464135</c:v>
                </c:pt>
                <c:pt idx="56">
                  <c:v>0.031316488169355</c:v>
                </c:pt>
                <c:pt idx="57">
                  <c:v>0.031897534217768</c:v>
                </c:pt>
                <c:pt idx="58">
                  <c:v>0.032478238021698</c:v>
                </c:pt>
                <c:pt idx="59">
                  <c:v>0.033058599985861</c:v>
                </c:pt>
                <c:pt idx="60">
                  <c:v>0.033638620521866</c:v>
                </c:pt>
                <c:pt idx="61">
                  <c:v>0.034218300042585</c:v>
                </c:pt>
                <c:pt idx="62">
                  <c:v>0.034797638954399</c:v>
                </c:pt>
                <c:pt idx="63">
                  <c:v>0.035376637667764</c:v>
                </c:pt>
                <c:pt idx="64">
                  <c:v>0.035955296591441</c:v>
                </c:pt>
                <c:pt idx="65">
                  <c:v>0.036533616138241</c:v>
                </c:pt>
                <c:pt idx="66">
                  <c:v>0.037111596702611</c:v>
                </c:pt>
                <c:pt idx="67">
                  <c:v>0.037689238691599</c:v>
                </c:pt>
                <c:pt idx="68">
                  <c:v>0.038266542499368</c:v>
                </c:pt>
                <c:pt idx="69">
                  <c:v>0.03884350852883</c:v>
                </c:pt>
                <c:pt idx="70">
                  <c:v>0.0394201371733</c:v>
                </c:pt>
                <c:pt idx="71">
                  <c:v>0.039996428827478</c:v>
                </c:pt>
                <c:pt idx="72">
                  <c:v>0.040572383884598</c:v>
                </c:pt>
                <c:pt idx="73">
                  <c:v>0.041148002739911</c:v>
                </c:pt>
                <c:pt idx="74">
                  <c:v>0.041723285781915</c:v>
                </c:pt>
                <c:pt idx="75">
                  <c:v>0.042298233400371</c:v>
                </c:pt>
                <c:pt idx="76">
                  <c:v>0.042872845983996</c:v>
                </c:pt>
                <c:pt idx="77">
                  <c:v>0.043447123915006</c:v>
                </c:pt>
                <c:pt idx="78">
                  <c:v>0.044021067579529</c:v>
                </c:pt>
                <c:pt idx="79">
                  <c:v>0.044594677363423</c:v>
                </c:pt>
                <c:pt idx="80">
                  <c:v>0.045167953649845</c:v>
                </c:pt>
                <c:pt idx="81">
                  <c:v>0.045740896822666</c:v>
                </c:pt>
                <c:pt idx="82">
                  <c:v>0.046313507264808</c:v>
                </c:pt>
                <c:pt idx="83">
                  <c:v>0.046885785362217</c:v>
                </c:pt>
                <c:pt idx="84">
                  <c:v>0.047457731493199</c:v>
                </c:pt>
                <c:pt idx="85">
                  <c:v>0.048029346048556</c:v>
                </c:pt>
                <c:pt idx="86">
                  <c:v>0.048600629409533</c:v>
                </c:pt>
                <c:pt idx="87">
                  <c:v>0.049171581958395</c:v>
                </c:pt>
                <c:pt idx="88">
                  <c:v>0.049723136629415</c:v>
                </c:pt>
              </c:numCache>
            </c:numRef>
          </c:xVal>
          <c:yVal>
            <c:numRef>
              <c:f>'573K'!$N$2:$N$230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1.7285679921267</c:v>
                </c:pt>
                <c:pt idx="2">
                  <c:v>12.345802152104</c:v>
                </c:pt>
                <c:pt idx="3">
                  <c:v>67.037888326357</c:v>
                </c:pt>
                <c:pt idx="4">
                  <c:v>138.8038793381</c:v>
                </c:pt>
                <c:pt idx="5">
                  <c:v>274.13001004031</c:v>
                </c:pt>
                <c:pt idx="6">
                  <c:v>406.32450360985</c:v>
                </c:pt>
                <c:pt idx="7">
                  <c:v>474.70909134668</c:v>
                </c:pt>
                <c:pt idx="8">
                  <c:v>496.00288712787</c:v>
                </c:pt>
                <c:pt idx="9">
                  <c:v>507.12495493198</c:v>
                </c:pt>
                <c:pt idx="10">
                  <c:v>514.40288501317</c:v>
                </c:pt>
                <c:pt idx="11">
                  <c:v>519.66984322686</c:v>
                </c:pt>
                <c:pt idx="12">
                  <c:v>523.73054512797</c:v>
                </c:pt>
                <c:pt idx="13">
                  <c:v>527.02373886757</c:v>
                </c:pt>
                <c:pt idx="14">
                  <c:v>529.81374046712</c:v>
                </c:pt>
                <c:pt idx="15">
                  <c:v>532.25890335614</c:v>
                </c:pt>
                <c:pt idx="16">
                  <c:v>534.45797412246</c:v>
                </c:pt>
                <c:pt idx="17">
                  <c:v>536.47513903438</c:v>
                </c:pt>
                <c:pt idx="18">
                  <c:v>538.35295850097</c:v>
                </c:pt>
                <c:pt idx="19">
                  <c:v>540.12095486003</c:v>
                </c:pt>
                <c:pt idx="20">
                  <c:v>541.80075202023</c:v>
                </c:pt>
                <c:pt idx="21">
                  <c:v>543.40815197857</c:v>
                </c:pt>
                <c:pt idx="22">
                  <c:v>544.95519692261</c:v>
                </c:pt>
                <c:pt idx="23">
                  <c:v>546.45089664043</c:v>
                </c:pt>
                <c:pt idx="24">
                  <c:v>547.90207801453</c:v>
                </c:pt>
                <c:pt idx="25">
                  <c:v>549.3146754356</c:v>
                </c:pt>
                <c:pt idx="26">
                  <c:v>550.69300493654</c:v>
                </c:pt>
                <c:pt idx="27">
                  <c:v>552.04061732291</c:v>
                </c:pt>
                <c:pt idx="28">
                  <c:v>553.36061888931</c:v>
                </c:pt>
                <c:pt idx="29">
                  <c:v>554.65551172928</c:v>
                </c:pt>
                <c:pt idx="30">
                  <c:v>555.9273702074</c:v>
                </c:pt>
                <c:pt idx="31">
                  <c:v>557.17811625578</c:v>
                </c:pt>
                <c:pt idx="32">
                  <c:v>558.40928555415</c:v>
                </c:pt>
                <c:pt idx="33">
                  <c:v>559.62222586173</c:v>
                </c:pt>
                <c:pt idx="34">
                  <c:v>560.81840952656</c:v>
                </c:pt>
                <c:pt idx="35">
                  <c:v>561.99903092901</c:v>
                </c:pt>
                <c:pt idx="36">
                  <c:v>563.16473032109</c:v>
                </c:pt>
                <c:pt idx="37">
                  <c:v>564.31643661993</c:v>
                </c:pt>
                <c:pt idx="38">
                  <c:v>565.45487596297</c:v>
                </c:pt>
                <c:pt idx="39">
                  <c:v>566.58074532248</c:v>
                </c:pt>
                <c:pt idx="40">
                  <c:v>567.69448899158</c:v>
                </c:pt>
                <c:pt idx="41">
                  <c:v>568.79679302471</c:v>
                </c:pt>
                <c:pt idx="42">
                  <c:v>569.88817412579</c:v>
                </c:pt>
                <c:pt idx="43">
                  <c:v>570.96914630753</c:v>
                </c:pt>
                <c:pt idx="44">
                  <c:v>572.04005628942</c:v>
                </c:pt>
                <c:pt idx="45">
                  <c:v>573.10149358911</c:v>
                </c:pt>
                <c:pt idx="46">
                  <c:v>574.15366256247</c:v>
                </c:pt>
                <c:pt idx="47">
                  <c:v>575.19689431503</c:v>
                </c:pt>
                <c:pt idx="48">
                  <c:v>576.23159455009</c:v>
                </c:pt>
                <c:pt idx="49">
                  <c:v>577.25790394445</c:v>
                </c:pt>
                <c:pt idx="50">
                  <c:v>578.27600306545</c:v>
                </c:pt>
                <c:pt idx="51">
                  <c:v>579.28634259255</c:v>
                </c:pt>
                <c:pt idx="52">
                  <c:v>580.28905568163</c:v>
                </c:pt>
                <c:pt idx="53">
                  <c:v>581.28444340702</c:v>
                </c:pt>
                <c:pt idx="54">
                  <c:v>582.27258044839</c:v>
                </c:pt>
                <c:pt idx="55">
                  <c:v>583.2537898264</c:v>
                </c:pt>
                <c:pt idx="56">
                  <c:v>584.22815642355</c:v>
                </c:pt>
                <c:pt idx="57">
                  <c:v>585.19592108075</c:v>
                </c:pt>
                <c:pt idx="58">
                  <c:v>586.15727921557</c:v>
                </c:pt>
                <c:pt idx="59">
                  <c:v>587.11227290189</c:v>
                </c:pt>
                <c:pt idx="60">
                  <c:v>588.06097069552</c:v>
                </c:pt>
                <c:pt idx="61">
                  <c:v>589.00368267815</c:v>
                </c:pt>
                <c:pt idx="62">
                  <c:v>589.94046680318</c:v>
                </c:pt>
                <c:pt idx="63">
                  <c:v>590.87143943378</c:v>
                </c:pt>
                <c:pt idx="64">
                  <c:v>591.79684694609</c:v>
                </c:pt>
                <c:pt idx="65">
                  <c:v>592.71666472428</c:v>
                </c:pt>
                <c:pt idx="66">
                  <c:v>593.63104195557</c:v>
                </c:pt>
                <c:pt idx="67">
                  <c:v>594.54011077537</c:v>
                </c:pt>
                <c:pt idx="68">
                  <c:v>595.44404888698</c:v>
                </c:pt>
                <c:pt idx="69">
                  <c:v>596.34290423235</c:v>
                </c:pt>
                <c:pt idx="70">
                  <c:v>597.23661260121</c:v>
                </c:pt>
                <c:pt idx="71">
                  <c:v>598.12551433466</c:v>
                </c:pt>
                <c:pt idx="72">
                  <c:v>599.00952341033</c:v>
                </c:pt>
                <c:pt idx="73">
                  <c:v>599.88876597492</c:v>
                </c:pt>
                <c:pt idx="74">
                  <c:v>600.76340677167</c:v>
                </c:pt>
                <c:pt idx="75">
                  <c:v>601.63343889269</c:v>
                </c:pt>
                <c:pt idx="76">
                  <c:v>602.49900000742</c:v>
                </c:pt>
                <c:pt idx="77">
                  <c:v>603.36012196707</c:v>
                </c:pt>
                <c:pt idx="78">
                  <c:v>604.21698690126</c:v>
                </c:pt>
                <c:pt idx="79">
                  <c:v>605.06962503429</c:v>
                </c:pt>
                <c:pt idx="80">
                  <c:v>605.91793283583</c:v>
                </c:pt>
                <c:pt idx="81">
                  <c:v>606.76216691113</c:v>
                </c:pt>
                <c:pt idx="82">
                  <c:v>607.60229826154</c:v>
                </c:pt>
                <c:pt idx="83">
                  <c:v>608.43849594959</c:v>
                </c:pt>
                <c:pt idx="84">
                  <c:v>609.27061448739</c:v>
                </c:pt>
                <c:pt idx="85">
                  <c:v>610.09887853629</c:v>
                </c:pt>
                <c:pt idx="86">
                  <c:v>610.92334580895</c:v>
                </c:pt>
                <c:pt idx="87">
                  <c:v>611.74384364476</c:v>
                </c:pt>
                <c:pt idx="88">
                  <c:v>612.56029822401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Exp!$X$2</c:f>
              <c:strCache>
                <c:ptCount val="1"/>
                <c:pt idx="0">
                  <c:v>473K 2014 Singh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Exp!$X$3:$X$19</c:f>
              <c:numCache>
                <c:formatCode>General</c:formatCode>
                <c:ptCount val="17"/>
                <c:pt idx="0">
                  <c:v>0.003</c:v>
                </c:pt>
                <c:pt idx="1">
                  <c:v>0.01</c:v>
                </c:pt>
                <c:pt idx="2">
                  <c:v>0.015</c:v>
                </c:pt>
                <c:pt idx="3">
                  <c:v>0.02</c:v>
                </c:pt>
                <c:pt idx="4">
                  <c:v>0.025</c:v>
                </c:pt>
                <c:pt idx="5">
                  <c:v>0.03</c:v>
                </c:pt>
                <c:pt idx="6">
                  <c:v>0.035</c:v>
                </c:pt>
                <c:pt idx="7">
                  <c:v>0.04</c:v>
                </c:pt>
                <c:pt idx="8">
                  <c:v>0.045</c:v>
                </c:pt>
                <c:pt idx="9">
                  <c:v>0.05</c:v>
                </c:pt>
                <c:pt idx="10">
                  <c:v>0.055</c:v>
                </c:pt>
                <c:pt idx="11">
                  <c:v>0.06</c:v>
                </c:pt>
                <c:pt idx="12">
                  <c:v>0.065</c:v>
                </c:pt>
                <c:pt idx="13">
                  <c:v>0.07</c:v>
                </c:pt>
                <c:pt idx="14">
                  <c:v>0.075</c:v>
                </c:pt>
                <c:pt idx="15">
                  <c:v>0.08</c:v>
                </c:pt>
                <c:pt idx="16">
                  <c:v>0.085</c:v>
                </c:pt>
              </c:numCache>
            </c:numRef>
          </c:xVal>
          <c:yVal>
            <c:numRef>
              <c:f>Exp!$Y$3:$Y$19</c:f>
              <c:numCache>
                <c:formatCode>General</c:formatCode>
                <c:ptCount val="17"/>
                <c:pt idx="0">
                  <c:v>481.332546568632</c:v>
                </c:pt>
                <c:pt idx="1">
                  <c:v>544.585964245692</c:v>
                </c:pt>
                <c:pt idx="2">
                  <c:v>567.707461883112</c:v>
                </c:pt>
                <c:pt idx="3">
                  <c:v>584.705353244797</c:v>
                </c:pt>
                <c:pt idx="4">
                  <c:v>598.239647420862</c:v>
                </c:pt>
                <c:pt idx="5">
                  <c:v>609.530200617355</c:v>
                </c:pt>
                <c:pt idx="6">
                  <c:v>619.242309807394</c:v>
                </c:pt>
                <c:pt idx="7">
                  <c:v>627.780318552026</c:v>
                </c:pt>
                <c:pt idx="8">
                  <c:v>635.409037052353</c:v>
                </c:pt>
                <c:pt idx="9">
                  <c:v>642.311677743583</c:v>
                </c:pt>
                <c:pt idx="10">
                  <c:v>648.620450875041</c:v>
                </c:pt>
                <c:pt idx="11">
                  <c:v>654.434000624652</c:v>
                </c:pt>
                <c:pt idx="12">
                  <c:v>659.827950881944</c:v>
                </c:pt>
                <c:pt idx="13">
                  <c:v>664.861596279968</c:v>
                </c:pt>
                <c:pt idx="14">
                  <c:v>669.582318036353</c:v>
                </c:pt>
                <c:pt idx="15">
                  <c:v>674.028596068425</c:v>
                </c:pt>
                <c:pt idx="16">
                  <c:v>678.23212213654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"Sim_473K"</c:f>
              <c:strCache>
                <c:ptCount val="1"/>
                <c:pt idx="0">
                  <c:v>Sim_473K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'473K'!$K$2:$K$280</c:f>
              <c:numCache>
                <c:formatCode>General</c:formatCode>
                <c:ptCount val="279"/>
                <c:pt idx="0">
                  <c:v>0</c:v>
                </c:pt>
                <c:pt idx="1" c:formatCode="0.00E+00">
                  <c:v>7.7492134578107e-6</c:v>
                </c:pt>
                <c:pt idx="2" c:formatCode="0.00E+00">
                  <c:v>5.5330626685958e-5</c:v>
                </c:pt>
                <c:pt idx="3">
                  <c:v>0.00029995462290753</c:v>
                </c:pt>
                <c:pt idx="4">
                  <c:v>0.00061986101542332</c:v>
                </c:pt>
                <c:pt idx="5">
                  <c:v>0.0012193047878076</c:v>
                </c:pt>
                <c:pt idx="6">
                  <c:v>0.0018183865826422</c:v>
                </c:pt>
                <c:pt idx="7">
                  <c:v>0.0024171059610721</c:v>
                </c:pt>
                <c:pt idx="8">
                  <c:v>0.0030154585320424</c:v>
                </c:pt>
                <c:pt idx="9">
                  <c:v>0.0036134451421079</c:v>
                </c:pt>
                <c:pt idx="10">
                  <c:v>0.0042110663639724</c:v>
                </c:pt>
                <c:pt idx="11">
                  <c:v>0.0048083228968834</c:v>
                </c:pt>
                <c:pt idx="12">
                  <c:v>0.0054052159131171</c:v>
                </c:pt>
                <c:pt idx="13">
                  <c:v>0.0060017464183872</c:v>
                </c:pt>
                <c:pt idx="14">
                  <c:v>0.0065979151361434</c:v>
                </c:pt>
                <c:pt idx="15">
                  <c:v>0.0071937226056726</c:v>
                </c:pt>
                <c:pt idx="16">
                  <c:v>0.0077891692839505</c:v>
                </c:pt>
                <c:pt idx="17">
                  <c:v>0.0083842556490617</c:v>
                </c:pt>
                <c:pt idx="18">
                  <c:v>0.0089789822156913</c:v>
                </c:pt>
                <c:pt idx="19">
                  <c:v>0.0095733495125941</c:v>
                </c:pt>
                <c:pt idx="20">
                  <c:v>0.010167357961432</c:v>
                </c:pt>
                <c:pt idx="21">
                  <c:v>0.010761008084529</c:v>
                </c:pt>
                <c:pt idx="22">
                  <c:v>0.011354300350315</c:v>
                </c:pt>
                <c:pt idx="23">
                  <c:v>0.01194723523292</c:v>
                </c:pt>
                <c:pt idx="24">
                  <c:v>0.012539813186734</c:v>
                </c:pt>
                <c:pt idx="25">
                  <c:v>0.013132034655491</c:v>
                </c:pt>
                <c:pt idx="26">
                  <c:v>0.013723900079978</c:v>
                </c:pt>
                <c:pt idx="27">
                  <c:v>0.014315409909553</c:v>
                </c:pt>
                <c:pt idx="28">
                  <c:v>0.014906564607496</c:v>
                </c:pt>
                <c:pt idx="29">
                  <c:v>0.015497364637336</c:v>
                </c:pt>
                <c:pt idx="30">
                  <c:v>0.016087810472352</c:v>
                </c:pt>
                <c:pt idx="31">
                  <c:v>0.016677902575835</c:v>
                </c:pt>
                <c:pt idx="32">
                  <c:v>0.017267641400769</c:v>
                </c:pt>
                <c:pt idx="33">
                  <c:v>0.017857027391314</c:v>
                </c:pt>
                <c:pt idx="34">
                  <c:v>0.018446061000332</c:v>
                </c:pt>
                <c:pt idx="35">
                  <c:v>0.019034742662856</c:v>
                </c:pt>
                <c:pt idx="36">
                  <c:v>0.019623072817433</c:v>
                </c:pt>
                <c:pt idx="37">
                  <c:v>0.020211051896136</c:v>
                </c:pt>
                <c:pt idx="38">
                  <c:v>0.020798680330046</c:v>
                </c:pt>
                <c:pt idx="39">
                  <c:v>0.021385958538187</c:v>
                </c:pt>
                <c:pt idx="40">
                  <c:v>0.02197288694836</c:v>
                </c:pt>
                <c:pt idx="41">
                  <c:v>0.022559465981232</c:v>
                </c:pt>
                <c:pt idx="42">
                  <c:v>0.023145696058852</c:v>
                </c:pt>
                <c:pt idx="43">
                  <c:v>0.023731577603853</c:v>
                </c:pt>
                <c:pt idx="44">
                  <c:v>0.024317111036659</c:v>
                </c:pt>
                <c:pt idx="45">
                  <c:v>0.024902296778756</c:v>
                </c:pt>
                <c:pt idx="46">
                  <c:v>0.025487135250135</c:v>
                </c:pt>
                <c:pt idx="47">
                  <c:v>0.026071626868978</c:v>
                </c:pt>
                <c:pt idx="48">
                  <c:v>0.02665577206142</c:v>
                </c:pt>
                <c:pt idx="49">
                  <c:v>0.027239571249812</c:v>
                </c:pt>
                <c:pt idx="50">
                  <c:v>0.027823024857759</c:v>
                </c:pt>
                <c:pt idx="51">
                  <c:v>0.028406133306503</c:v>
                </c:pt>
                <c:pt idx="52">
                  <c:v>0.028988897014803</c:v>
                </c:pt>
                <c:pt idx="53">
                  <c:v>0.02957131640781</c:v>
                </c:pt>
                <c:pt idx="54">
                  <c:v>0.030153391897058</c:v>
                </c:pt>
                <c:pt idx="55">
                  <c:v>0.030735123903173</c:v>
                </c:pt>
                <c:pt idx="56">
                  <c:v>0.03131651283741</c:v>
                </c:pt>
                <c:pt idx="57">
                  <c:v>0.031897559103836</c:v>
                </c:pt>
                <c:pt idx="58">
                  <c:v>0.032478263106337</c:v>
                </c:pt>
                <c:pt idx="59">
                  <c:v>0.033058625259881</c:v>
                </c:pt>
                <c:pt idx="60">
                  <c:v>0.03363864597025</c:v>
                </c:pt>
                <c:pt idx="61">
                  <c:v>0.034218325649798</c:v>
                </c:pt>
                <c:pt idx="62">
                  <c:v>0.034797664702468</c:v>
                </c:pt>
                <c:pt idx="63">
                  <c:v>0.035376663544233</c:v>
                </c:pt>
                <c:pt idx="64">
                  <c:v>0.035955322582213</c:v>
                </c:pt>
                <c:pt idx="65">
                  <c:v>0.036533642224276</c:v>
                </c:pt>
                <c:pt idx="66">
                  <c:v>0.037111622872983</c:v>
                </c:pt>
                <c:pt idx="67">
                  <c:v>0.037689264930718</c:v>
                </c:pt>
                <c:pt idx="68">
                  <c:v>0.038266568793211</c:v>
                </c:pt>
                <c:pt idx="69">
                  <c:v>0.038843534860379</c:v>
                </c:pt>
                <c:pt idx="70">
                  <c:v>0.039420163531329</c:v>
                </c:pt>
                <c:pt idx="71">
                  <c:v>0.039996455196348</c:v>
                </c:pt>
                <c:pt idx="72">
                  <c:v>0.04057241025205</c:v>
                </c:pt>
                <c:pt idx="73">
                  <c:v>0.041148029089639</c:v>
                </c:pt>
                <c:pt idx="74">
                  <c:v>0.041723312094765</c:v>
                </c:pt>
                <c:pt idx="75">
                  <c:v>0.042298259661</c:v>
                </c:pt>
                <c:pt idx="76">
                  <c:v>0.042872872168429</c:v>
                </c:pt>
                <c:pt idx="77">
                  <c:v>0.043447150004747</c:v>
                </c:pt>
                <c:pt idx="78">
                  <c:v>0.044021093556518</c:v>
                </c:pt>
                <c:pt idx="79">
                  <c:v>0.044594703204848</c:v>
                </c:pt>
                <c:pt idx="80">
                  <c:v>0.04516797933904</c:v>
                </c:pt>
                <c:pt idx="81">
                  <c:v>0.04574092233822</c:v>
                </c:pt>
                <c:pt idx="82">
                  <c:v>0.046313532584023</c:v>
                </c:pt>
                <c:pt idx="83">
                  <c:v>0.046885810465904</c:v>
                </c:pt>
                <c:pt idx="84">
                  <c:v>0.047457756363132</c:v>
                </c:pt>
                <c:pt idx="85">
                  <c:v>0.048029370658765</c:v>
                </c:pt>
                <c:pt idx="86">
                  <c:v>0.048600653732536</c:v>
                </c:pt>
                <c:pt idx="87">
                  <c:v>0.049171605971872</c:v>
                </c:pt>
              </c:numCache>
            </c:numRef>
          </c:xVal>
          <c:yVal>
            <c:numRef>
              <c:f>'473K'!$N$2:$N$230</c:f>
              <c:numCache>
                <c:formatCode>General</c:formatCode>
                <c:ptCount val="229"/>
                <c:pt idx="0">
                  <c:v>0</c:v>
                </c:pt>
                <c:pt idx="1">
                  <c:v>1.7879697504556</c:v>
                </c:pt>
                <c:pt idx="2">
                  <c:v>12.770039448113</c:v>
                </c:pt>
                <c:pt idx="3">
                  <c:v>69.340806613095</c:v>
                </c:pt>
                <c:pt idx="4">
                  <c:v>143.5704118708</c:v>
                </c:pt>
                <c:pt idx="5">
                  <c:v>283.53695035663</c:v>
                </c:pt>
                <c:pt idx="6">
                  <c:v>420.98472115967</c:v>
                </c:pt>
                <c:pt idx="7">
                  <c:v>492.90236863685</c:v>
                </c:pt>
                <c:pt idx="8">
                  <c:v>514.90940385745</c:v>
                </c:pt>
                <c:pt idx="9">
                  <c:v>526.59944086989</c:v>
                </c:pt>
                <c:pt idx="10">
                  <c:v>534.38345771774</c:v>
                </c:pt>
                <c:pt idx="11">
                  <c:v>540.05955627087</c:v>
                </c:pt>
                <c:pt idx="12">
                  <c:v>544.44390912221</c:v>
                </c:pt>
                <c:pt idx="13">
                  <c:v>547.99419690281</c:v>
                </c:pt>
                <c:pt idx="14">
                  <c:v>550.99569912371</c:v>
                </c:pt>
                <c:pt idx="15">
                  <c:v>553.62240332135</c:v>
                </c:pt>
                <c:pt idx="16">
                  <c:v>555.98119554991</c:v>
                </c:pt>
                <c:pt idx="17">
                  <c:v>558.14227709757</c:v>
                </c:pt>
                <c:pt idx="18">
                  <c:v>560.15253922386</c:v>
                </c:pt>
                <c:pt idx="19">
                  <c:v>562.36291565852</c:v>
                </c:pt>
                <c:pt idx="20">
                  <c:v>564.16027196735</c:v>
                </c:pt>
                <c:pt idx="21">
                  <c:v>565.87955410861</c:v>
                </c:pt>
                <c:pt idx="22">
                  <c:v>567.53345355106</c:v>
                </c:pt>
                <c:pt idx="23">
                  <c:v>569.13209484318</c:v>
                </c:pt>
                <c:pt idx="24">
                  <c:v>570.68302746645</c:v>
                </c:pt>
                <c:pt idx="25">
                  <c:v>572.19235105345</c:v>
                </c:pt>
                <c:pt idx="26">
                  <c:v>573.66508649998</c:v>
                </c:pt>
                <c:pt idx="27">
                  <c:v>575.10503518729</c:v>
                </c:pt>
                <c:pt idx="28">
                  <c:v>576.51543023019</c:v>
                </c:pt>
                <c:pt idx="29">
                  <c:v>577.89895398368</c:v>
                </c:pt>
                <c:pt idx="30">
                  <c:v>579.25785424841</c:v>
                </c:pt>
                <c:pt idx="31">
                  <c:v>580.59411653371</c:v>
                </c:pt>
                <c:pt idx="32">
                  <c:v>581.90950408604</c:v>
                </c:pt>
                <c:pt idx="33">
                  <c:v>583.20557181034</c:v>
                </c:pt>
                <c:pt idx="34">
                  <c:v>584.48381006042</c:v>
                </c:pt>
                <c:pt idx="35">
                  <c:v>585.74521569203</c:v>
                </c:pt>
                <c:pt idx="36">
                  <c:v>586.99110595065</c:v>
                </c:pt>
                <c:pt idx="37">
                  <c:v>588.22211773226</c:v>
                </c:pt>
                <c:pt idx="38">
                  <c:v>589.43895236877</c:v>
                </c:pt>
                <c:pt idx="39">
                  <c:v>590.64231152256</c:v>
                </c:pt>
                <c:pt idx="40">
                  <c:v>591.83297347616</c:v>
                </c:pt>
                <c:pt idx="41">
                  <c:v>593.01151804742</c:v>
                </c:pt>
                <c:pt idx="42">
                  <c:v>594.17848070148</c:v>
                </c:pt>
                <c:pt idx="43">
                  <c:v>595.3342057687</c:v>
                </c:pt>
                <c:pt idx="44">
                  <c:v>596.47938388498</c:v>
                </c:pt>
                <c:pt idx="45">
                  <c:v>597.61440393287</c:v>
                </c:pt>
                <c:pt idx="46">
                  <c:v>598.73960231739</c:v>
                </c:pt>
                <c:pt idx="47">
                  <c:v>599.85521414309</c:v>
                </c:pt>
                <c:pt idx="48">
                  <c:v>600.96166359044</c:v>
                </c:pt>
                <c:pt idx="49">
                  <c:v>602.05932259346</c:v>
                </c:pt>
                <c:pt idx="50">
                  <c:v>603.14841789036</c:v>
                </c:pt>
                <c:pt idx="51">
                  <c:v>604.22926313523</c:v>
                </c:pt>
                <c:pt idx="52">
                  <c:v>605.30201826621</c:v>
                </c:pt>
                <c:pt idx="53">
                  <c:v>606.36685547609</c:v>
                </c:pt>
                <c:pt idx="54">
                  <c:v>607.42406879364</c:v>
                </c:pt>
                <c:pt idx="55">
                  <c:v>608.47388162225</c:v>
                </c:pt>
                <c:pt idx="56">
                  <c:v>609.51647494294</c:v>
                </c:pt>
                <c:pt idx="57">
                  <c:v>610.55206721733</c:v>
                </c:pt>
                <c:pt idx="58">
                  <c:v>611.58083616153</c:v>
                </c:pt>
                <c:pt idx="59">
                  <c:v>612.60289462055</c:v>
                </c:pt>
                <c:pt idx="60">
                  <c:v>613.61843860252</c:v>
                </c:pt>
                <c:pt idx="61">
                  <c:v>614.62758829694</c:v>
                </c:pt>
                <c:pt idx="62">
                  <c:v>615.63036795309</c:v>
                </c:pt>
                <c:pt idx="63">
                  <c:v>616.62702876844</c:v>
                </c:pt>
                <c:pt idx="64">
                  <c:v>617.61757761166</c:v>
                </c:pt>
                <c:pt idx="65">
                  <c:v>618.60231950201</c:v>
                </c:pt>
                <c:pt idx="66">
                  <c:v>619.58109820415</c:v>
                </c:pt>
                <c:pt idx="67">
                  <c:v>620.55431420587</c:v>
                </c:pt>
                <c:pt idx="68">
                  <c:v>621.52199259322</c:v>
                </c:pt>
                <c:pt idx="69">
                  <c:v>622.48435564121</c:v>
                </c:pt>
                <c:pt idx="70">
                  <c:v>623.4413663014</c:v>
                </c:pt>
                <c:pt idx="71">
                  <c:v>624.39300543829</c:v>
                </c:pt>
                <c:pt idx="72">
                  <c:v>625.33979359496</c:v>
                </c:pt>
                <c:pt idx="73">
                  <c:v>626.281393386</c:v>
                </c:pt>
                <c:pt idx="74">
                  <c:v>627.21817955874</c:v>
                </c:pt>
                <c:pt idx="75">
                  <c:v>628.14993895599</c:v>
                </c:pt>
                <c:pt idx="76">
                  <c:v>629.07697969752</c:v>
                </c:pt>
                <c:pt idx="77">
                  <c:v>629.99930294464</c:v>
                </c:pt>
                <c:pt idx="78">
                  <c:v>630.91700732129</c:v>
                </c:pt>
                <c:pt idx="79">
                  <c:v>631.83000672888</c:v>
                </c:pt>
                <c:pt idx="80">
                  <c:v>632.73863920796</c:v>
                </c:pt>
                <c:pt idx="81">
                  <c:v>633.64300937647</c:v>
                </c:pt>
                <c:pt idx="82">
                  <c:v>634.54283867683</c:v>
                </c:pt>
                <c:pt idx="83">
                  <c:v>635.4384336408</c:v>
                </c:pt>
                <c:pt idx="84">
                  <c:v>636.32992060767</c:v>
                </c:pt>
                <c:pt idx="85">
                  <c:v>637.21705756038</c:v>
                </c:pt>
                <c:pt idx="86">
                  <c:v>638.10017064141</c:v>
                </c:pt>
                <c:pt idx="87">
                  <c:v>638.979159014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67379"/>
        <c:axId val="892031439"/>
      </c:scatterChart>
      <c:valAx>
        <c:axId val="3451673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1439"/>
        <c:crosses val="autoZero"/>
        <c:crossBetween val="midCat"/>
      </c:valAx>
      <c:valAx>
        <c:axId val="8920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673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671274961598"/>
          <c:y val="0.0876229403499808"/>
          <c:w val="0.819247311827957"/>
          <c:h val="0.8878528547707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"Change in Yeild Stress wrt to Temperature (0.3% Pstrain)"</c:f>
              <c:strCache>
                <c:ptCount val="1"/>
                <c:pt idx="0">
                  <c:v>Change in Yeild Stress wrt to Temperature (0.3% Pstrain)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Exp!$Q$39:$Q$43</c:f>
              <c:numCache>
                <c:formatCode>General</c:formatCode>
                <c:ptCount val="5"/>
                <c:pt idx="0">
                  <c:v>723</c:v>
                </c:pt>
                <c:pt idx="1">
                  <c:v>773</c:v>
                </c:pt>
                <c:pt idx="2">
                  <c:v>823</c:v>
                </c:pt>
                <c:pt idx="3">
                  <c:v>873</c:v>
                </c:pt>
                <c:pt idx="4">
                  <c:v>923</c:v>
                </c:pt>
              </c:numCache>
            </c:numRef>
          </c:xVal>
          <c:yVal>
            <c:numRef>
              <c:f>Exp!$S$39:$S$43</c:f>
              <c:numCache>
                <c:formatCode>General</c:formatCode>
                <c:ptCount val="5"/>
                <c:pt idx="0">
                  <c:v>0</c:v>
                </c:pt>
                <c:pt idx="1">
                  <c:v>-18.25771</c:v>
                </c:pt>
                <c:pt idx="2">
                  <c:v>-44.1701</c:v>
                </c:pt>
                <c:pt idx="3">
                  <c:v>-102.92813</c:v>
                </c:pt>
                <c:pt idx="4">
                  <c:v>-160.45373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Exp!$V$33</c:f>
              <c:strCache>
                <c:ptCount val="1"/>
                <c:pt idx="0">
                  <c:v>DeltaG*b*sqrt(alphaij*rhoj)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Exp!$Q$39:$Q$43</c:f>
              <c:numCache>
                <c:formatCode>General</c:formatCode>
                <c:ptCount val="5"/>
                <c:pt idx="0">
                  <c:v>723</c:v>
                </c:pt>
                <c:pt idx="1">
                  <c:v>773</c:v>
                </c:pt>
                <c:pt idx="2">
                  <c:v>823</c:v>
                </c:pt>
                <c:pt idx="3">
                  <c:v>873</c:v>
                </c:pt>
                <c:pt idx="4">
                  <c:v>923</c:v>
                </c:pt>
              </c:numCache>
            </c:numRef>
          </c:xVal>
          <c:yVal>
            <c:numRef>
              <c:f>Exp!$V$39:$V$43</c:f>
              <c:numCache>
                <c:formatCode>General</c:formatCode>
                <c:ptCount val="5"/>
                <c:pt idx="0">
                  <c:v>0</c:v>
                </c:pt>
                <c:pt idx="1">
                  <c:v>-3.26209310848052</c:v>
                </c:pt>
                <c:pt idx="2">
                  <c:v>-6.5241862169613</c:v>
                </c:pt>
                <c:pt idx="3">
                  <c:v>-9.78627932544208</c:v>
                </c:pt>
                <c:pt idx="4">
                  <c:v>-13.0483724339229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41961"/>
        <c:axId val="466539477"/>
      </c:scatterChart>
      <c:valAx>
        <c:axId val="718441961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Temperature (K)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21177984544032"/>
              <c:y val="0.02199720743260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539477"/>
        <c:crosses val="autoZero"/>
        <c:crossBetween val="midCat"/>
      </c:valAx>
      <c:valAx>
        <c:axId val="4665394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Change in Yeild Stress (MPa) </a:t>
                </a:r>
                <a:endParaRPr sz="16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44196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72042296952359"/>
          <c:y val="0.596604583498884"/>
          <c:w val="0.3942843866171"/>
          <c:h val="0.27157872385603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/>
      </a:pPr>
    </a:p>
  </c:txPr>
  <c:externalData r:id="rId1">
    <c:autoUpdate val="0"/>
  </c:externalData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52959144712"/>
          <c:y val="0.0876072849068453"/>
          <c:w val="0.809209621993127"/>
          <c:h val="0.8877956876700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"Change in Yeild Stress wrt to Temperature (0.3% Pstrain)"</c:f>
              <c:strCache>
                <c:ptCount val="1"/>
                <c:pt idx="0">
                  <c:v>Change in Yeild Stress wrt to Temperature (0.3% Pstrain)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Exp!$Q$34:$Q$38</c:f>
              <c:numCache>
                <c:formatCode>General</c:formatCode>
                <c:ptCount val="5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</c:numCache>
            </c:numRef>
          </c:xVal>
          <c:yVal>
            <c:numRef>
              <c:f>Exp!$S$34:$S$37</c:f>
              <c:numCache>
                <c:formatCode>General</c:formatCode>
                <c:ptCount val="4"/>
                <c:pt idx="0">
                  <c:v>0</c:v>
                </c:pt>
                <c:pt idx="1">
                  <c:v>-7</c:v>
                </c:pt>
                <c:pt idx="2">
                  <c:v>-12</c:v>
                </c:pt>
                <c:pt idx="3">
                  <c:v>-14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Exp!$V$33</c:f>
              <c:strCache>
                <c:ptCount val="1"/>
                <c:pt idx="0">
                  <c:v>DeltaG*b*sqrt(alphaij*rhoj)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Exp!$Q$34:$Q$38</c:f>
              <c:numCache>
                <c:formatCode>General</c:formatCode>
                <c:ptCount val="5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</c:numCache>
            </c:numRef>
          </c:xVal>
          <c:yVal>
            <c:numRef>
              <c:f>Exp!$V$34:$V$37</c:f>
              <c:numCache>
                <c:formatCode>General</c:formatCode>
                <c:ptCount val="4"/>
                <c:pt idx="0">
                  <c:v>0</c:v>
                </c:pt>
                <c:pt idx="1">
                  <c:v>-6.5241862169613</c:v>
                </c:pt>
                <c:pt idx="2">
                  <c:v>-13.0483724339229</c:v>
                </c:pt>
                <c:pt idx="3">
                  <c:v>-16.3104655424036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41961"/>
        <c:axId val="466539477"/>
      </c:scatterChart>
      <c:valAx>
        <c:axId val="718441961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Temperature (K)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21177984544032"/>
              <c:y val="0.02199720743260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539477"/>
        <c:crosses val="autoZero"/>
        <c:crossBetween val="midCat"/>
      </c:valAx>
      <c:valAx>
        <c:axId val="4665394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Change in Yeild Stress (MPa) </a:t>
                </a:r>
                <a:endParaRPr sz="16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44196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01765799256506"/>
          <c:y val="0.290052022507697"/>
          <c:w val="0.3942843866171"/>
          <c:h val="0.27157872385603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/>
      </a:pPr>
    </a:p>
  </c:txPr>
  <c:externalData r:id="rId1">
    <c:autoUpdate val="0"/>
  </c:externalData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671274961598"/>
          <c:y val="0.0876229403499808"/>
          <c:w val="0.819247311827957"/>
          <c:h val="0.8878528547707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"Change in Yeild Stress wrt to Temperature (0.3% Pstrain)"</c:f>
              <c:strCache>
                <c:ptCount val="1"/>
                <c:pt idx="0">
                  <c:v>Change in Yeild Stress wrt to Temperature (0.3% Pstrain)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Exp!$Q$39:$Q$43</c:f>
              <c:numCache>
                <c:formatCode>General</c:formatCode>
                <c:ptCount val="5"/>
                <c:pt idx="0">
                  <c:v>723</c:v>
                </c:pt>
                <c:pt idx="1">
                  <c:v>773</c:v>
                </c:pt>
                <c:pt idx="2">
                  <c:v>823</c:v>
                </c:pt>
                <c:pt idx="3">
                  <c:v>873</c:v>
                </c:pt>
                <c:pt idx="4">
                  <c:v>923</c:v>
                </c:pt>
              </c:numCache>
            </c:numRef>
          </c:xVal>
          <c:yVal>
            <c:numRef>
              <c:f>Exp!$S$39:$S$43</c:f>
              <c:numCache>
                <c:formatCode>General</c:formatCode>
                <c:ptCount val="5"/>
                <c:pt idx="0">
                  <c:v>0</c:v>
                </c:pt>
                <c:pt idx="1">
                  <c:v>-18.25771</c:v>
                </c:pt>
                <c:pt idx="2">
                  <c:v>-44.1701</c:v>
                </c:pt>
                <c:pt idx="3">
                  <c:v>-102.92813</c:v>
                </c:pt>
                <c:pt idx="4">
                  <c:v>-160.45373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Exp!$V$33</c:f>
              <c:strCache>
                <c:ptCount val="1"/>
                <c:pt idx="0">
                  <c:v>DeltaG*b*sqrt(alphaij*rhoj)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Exp!$Q$39:$Q$43</c:f>
              <c:numCache>
                <c:formatCode>General</c:formatCode>
                <c:ptCount val="5"/>
                <c:pt idx="0">
                  <c:v>723</c:v>
                </c:pt>
                <c:pt idx="1">
                  <c:v>773</c:v>
                </c:pt>
                <c:pt idx="2">
                  <c:v>823</c:v>
                </c:pt>
                <c:pt idx="3">
                  <c:v>873</c:v>
                </c:pt>
                <c:pt idx="4">
                  <c:v>923</c:v>
                </c:pt>
              </c:numCache>
            </c:numRef>
          </c:xVal>
          <c:yVal>
            <c:numRef>
              <c:f>Exp!$V$39:$V$43</c:f>
              <c:numCache>
                <c:formatCode>General</c:formatCode>
                <c:ptCount val="5"/>
                <c:pt idx="0">
                  <c:v>0</c:v>
                </c:pt>
                <c:pt idx="1">
                  <c:v>-3.26209310848052</c:v>
                </c:pt>
                <c:pt idx="2">
                  <c:v>-6.5241862169613</c:v>
                </c:pt>
                <c:pt idx="3">
                  <c:v>-9.78627932544208</c:v>
                </c:pt>
                <c:pt idx="4">
                  <c:v>-13.0483724339229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41961"/>
        <c:axId val="466539477"/>
      </c:scatterChart>
      <c:valAx>
        <c:axId val="718441961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Temperature (K)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21177984544032"/>
              <c:y val="0.02199720743260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539477"/>
        <c:crosses val="autoZero"/>
        <c:crossBetween val="midCat"/>
      </c:valAx>
      <c:valAx>
        <c:axId val="4665394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Change in Yeild Stress (MPa) </a:t>
                </a:r>
                <a:endParaRPr sz="16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44196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72042296952359"/>
          <c:y val="0.596604583498884"/>
          <c:w val="0.3942843866171"/>
          <c:h val="0.27157872385603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/>
      </a:pPr>
    </a:p>
  </c:txPr>
  <c:externalData r:id="rId1">
    <c:autoUpdate val="0"/>
  </c:externalData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52959144712"/>
          <c:y val="0.0876072849068453"/>
          <c:w val="0.809209621993127"/>
          <c:h val="0.8877956876700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"Change in Yeild Stress wrt to Temperature (0.3% Pstrain)"</c:f>
              <c:strCache>
                <c:ptCount val="1"/>
                <c:pt idx="0">
                  <c:v>Change in Yeild Stress wrt to Temperature (0.3% Pstrain)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Exp!$Q$34:$Q$38</c:f>
              <c:numCache>
                <c:formatCode>General</c:formatCode>
                <c:ptCount val="5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</c:numCache>
            </c:numRef>
          </c:xVal>
          <c:yVal>
            <c:numRef>
              <c:f>Exp!$S$34:$S$37</c:f>
              <c:numCache>
                <c:formatCode>General</c:formatCode>
                <c:ptCount val="4"/>
                <c:pt idx="0">
                  <c:v>0</c:v>
                </c:pt>
                <c:pt idx="1">
                  <c:v>-7</c:v>
                </c:pt>
                <c:pt idx="2">
                  <c:v>-12</c:v>
                </c:pt>
                <c:pt idx="3">
                  <c:v>-14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Exp!$V$33</c:f>
              <c:strCache>
                <c:ptCount val="1"/>
                <c:pt idx="0">
                  <c:v>DeltaG*b*sqrt(alphaij*rhoj)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Exp!$Q$34:$Q$38</c:f>
              <c:numCache>
                <c:formatCode>General</c:formatCode>
                <c:ptCount val="5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</c:numCache>
            </c:numRef>
          </c:xVal>
          <c:yVal>
            <c:numRef>
              <c:f>Exp!$V$34:$V$37</c:f>
              <c:numCache>
                <c:formatCode>General</c:formatCode>
                <c:ptCount val="4"/>
                <c:pt idx="0">
                  <c:v>0</c:v>
                </c:pt>
                <c:pt idx="1">
                  <c:v>-6.5241862169613</c:v>
                </c:pt>
                <c:pt idx="2">
                  <c:v>-13.0483724339229</c:v>
                </c:pt>
                <c:pt idx="3">
                  <c:v>-16.3104655424036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41961"/>
        <c:axId val="466539477"/>
      </c:scatterChart>
      <c:valAx>
        <c:axId val="718441961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Temperature (K)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21177984544032"/>
              <c:y val="0.02199720743260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539477"/>
        <c:crosses val="autoZero"/>
        <c:crossBetween val="midCat"/>
      </c:valAx>
      <c:valAx>
        <c:axId val="4665394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Change in Yeild Stress (MPa) </a:t>
                </a:r>
                <a:endParaRPr sz="16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44196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01765799256506"/>
          <c:y val="0.290052022507697"/>
          <c:w val="0.3942843866171"/>
          <c:h val="0.27157872385603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/>
      </a:pPr>
    </a:p>
  </c:txPr>
  <c:externalData r:id="rId1">
    <c:autoUpdate val="0"/>
  </c:externalData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'473K'!$N$1</c:f>
              <c:strCache>
                <c:ptCount val="1"/>
                <c:pt idx="0">
                  <c:v>stress_zz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'473K'!$K$2:$K$90</c:f>
              <c:numCache>
                <c:formatCode>General</c:formatCode>
                <c:ptCount val="89"/>
                <c:pt idx="0">
                  <c:v>0</c:v>
                </c:pt>
                <c:pt idx="1" c:formatCode="0.00E+00">
                  <c:v>7.7492134578107e-6</c:v>
                </c:pt>
                <c:pt idx="2" c:formatCode="0.00E+00">
                  <c:v>5.5330626685958e-5</c:v>
                </c:pt>
                <c:pt idx="3">
                  <c:v>0.00029995462290753</c:v>
                </c:pt>
                <c:pt idx="4">
                  <c:v>0.00061986101542332</c:v>
                </c:pt>
                <c:pt idx="5">
                  <c:v>0.0012193047878076</c:v>
                </c:pt>
                <c:pt idx="6">
                  <c:v>0.0018183865826422</c:v>
                </c:pt>
                <c:pt idx="7">
                  <c:v>0.0024171059610721</c:v>
                </c:pt>
                <c:pt idx="8">
                  <c:v>0.0030154585320424</c:v>
                </c:pt>
                <c:pt idx="9">
                  <c:v>0.0036134451421079</c:v>
                </c:pt>
                <c:pt idx="10">
                  <c:v>0.0042110663639724</c:v>
                </c:pt>
                <c:pt idx="11">
                  <c:v>0.0048083228968834</c:v>
                </c:pt>
                <c:pt idx="12">
                  <c:v>0.0054052159131171</c:v>
                </c:pt>
                <c:pt idx="13">
                  <c:v>0.0060017464183872</c:v>
                </c:pt>
                <c:pt idx="14">
                  <c:v>0.0065979151361434</c:v>
                </c:pt>
                <c:pt idx="15">
                  <c:v>0.0071937226056726</c:v>
                </c:pt>
                <c:pt idx="16">
                  <c:v>0.0077891692839505</c:v>
                </c:pt>
                <c:pt idx="17">
                  <c:v>0.0083842556490617</c:v>
                </c:pt>
                <c:pt idx="18">
                  <c:v>0.0089789822156913</c:v>
                </c:pt>
                <c:pt idx="19">
                  <c:v>0.0095733495125941</c:v>
                </c:pt>
                <c:pt idx="20">
                  <c:v>0.010167357961432</c:v>
                </c:pt>
                <c:pt idx="21">
                  <c:v>0.010761008084529</c:v>
                </c:pt>
                <c:pt idx="22">
                  <c:v>0.011354300350315</c:v>
                </c:pt>
                <c:pt idx="23">
                  <c:v>0.01194723523292</c:v>
                </c:pt>
                <c:pt idx="24">
                  <c:v>0.012539813186734</c:v>
                </c:pt>
                <c:pt idx="25">
                  <c:v>0.013132034655491</c:v>
                </c:pt>
                <c:pt idx="26">
                  <c:v>0.013723900079978</c:v>
                </c:pt>
                <c:pt idx="27">
                  <c:v>0.014315409909553</c:v>
                </c:pt>
                <c:pt idx="28">
                  <c:v>0.014906564607496</c:v>
                </c:pt>
                <c:pt idx="29">
                  <c:v>0.015497364637336</c:v>
                </c:pt>
                <c:pt idx="30">
                  <c:v>0.016087810472352</c:v>
                </c:pt>
                <c:pt idx="31">
                  <c:v>0.016677902575835</c:v>
                </c:pt>
                <c:pt idx="32">
                  <c:v>0.017267641400769</c:v>
                </c:pt>
                <c:pt idx="33">
                  <c:v>0.017857027391314</c:v>
                </c:pt>
                <c:pt idx="34">
                  <c:v>0.018446061000332</c:v>
                </c:pt>
                <c:pt idx="35">
                  <c:v>0.019034742662856</c:v>
                </c:pt>
                <c:pt idx="36">
                  <c:v>0.019623072817433</c:v>
                </c:pt>
                <c:pt idx="37">
                  <c:v>0.020211051896136</c:v>
                </c:pt>
                <c:pt idx="38">
                  <c:v>0.020798680330046</c:v>
                </c:pt>
                <c:pt idx="39">
                  <c:v>0.021385958538187</c:v>
                </c:pt>
                <c:pt idx="40">
                  <c:v>0.02197288694836</c:v>
                </c:pt>
                <c:pt idx="41">
                  <c:v>0.022559465981232</c:v>
                </c:pt>
                <c:pt idx="42">
                  <c:v>0.023145696058852</c:v>
                </c:pt>
                <c:pt idx="43">
                  <c:v>0.023731577603853</c:v>
                </c:pt>
                <c:pt idx="44">
                  <c:v>0.024317111036659</c:v>
                </c:pt>
                <c:pt idx="45">
                  <c:v>0.024902296778756</c:v>
                </c:pt>
                <c:pt idx="46">
                  <c:v>0.025487135250135</c:v>
                </c:pt>
                <c:pt idx="47">
                  <c:v>0.026071626868978</c:v>
                </c:pt>
                <c:pt idx="48">
                  <c:v>0.02665577206142</c:v>
                </c:pt>
                <c:pt idx="49">
                  <c:v>0.027239571249812</c:v>
                </c:pt>
                <c:pt idx="50">
                  <c:v>0.027823024857759</c:v>
                </c:pt>
                <c:pt idx="51">
                  <c:v>0.028406133306503</c:v>
                </c:pt>
                <c:pt idx="52">
                  <c:v>0.028988897014803</c:v>
                </c:pt>
                <c:pt idx="53">
                  <c:v>0.02957131640781</c:v>
                </c:pt>
                <c:pt idx="54">
                  <c:v>0.030153391897058</c:v>
                </c:pt>
                <c:pt idx="55">
                  <c:v>0.030735123903173</c:v>
                </c:pt>
                <c:pt idx="56">
                  <c:v>0.03131651283741</c:v>
                </c:pt>
                <c:pt idx="57">
                  <c:v>0.031897559103836</c:v>
                </c:pt>
                <c:pt idx="58">
                  <c:v>0.032478263106337</c:v>
                </c:pt>
                <c:pt idx="59">
                  <c:v>0.033058625259881</c:v>
                </c:pt>
                <c:pt idx="60">
                  <c:v>0.03363864597025</c:v>
                </c:pt>
                <c:pt idx="61">
                  <c:v>0.034218325649798</c:v>
                </c:pt>
                <c:pt idx="62">
                  <c:v>0.034797664702468</c:v>
                </c:pt>
                <c:pt idx="63">
                  <c:v>0.035376663544233</c:v>
                </c:pt>
                <c:pt idx="64">
                  <c:v>0.035955322582213</c:v>
                </c:pt>
                <c:pt idx="65">
                  <c:v>0.036533642224276</c:v>
                </c:pt>
                <c:pt idx="66">
                  <c:v>0.037111622872983</c:v>
                </c:pt>
                <c:pt idx="67">
                  <c:v>0.037689264930718</c:v>
                </c:pt>
                <c:pt idx="68">
                  <c:v>0.038266568793211</c:v>
                </c:pt>
                <c:pt idx="69">
                  <c:v>0.038843534860379</c:v>
                </c:pt>
                <c:pt idx="70">
                  <c:v>0.039420163531329</c:v>
                </c:pt>
                <c:pt idx="71">
                  <c:v>0.039996455196348</c:v>
                </c:pt>
                <c:pt idx="72">
                  <c:v>0.04057241025205</c:v>
                </c:pt>
                <c:pt idx="73">
                  <c:v>0.041148029089639</c:v>
                </c:pt>
                <c:pt idx="74">
                  <c:v>0.041723312094765</c:v>
                </c:pt>
                <c:pt idx="75">
                  <c:v>0.042298259661</c:v>
                </c:pt>
                <c:pt idx="76">
                  <c:v>0.042872872168429</c:v>
                </c:pt>
                <c:pt idx="77">
                  <c:v>0.043447150004747</c:v>
                </c:pt>
                <c:pt idx="78">
                  <c:v>0.044021093556518</c:v>
                </c:pt>
                <c:pt idx="79">
                  <c:v>0.044594703204848</c:v>
                </c:pt>
                <c:pt idx="80">
                  <c:v>0.04516797933904</c:v>
                </c:pt>
                <c:pt idx="81">
                  <c:v>0.04574092233822</c:v>
                </c:pt>
                <c:pt idx="82">
                  <c:v>0.046313532584023</c:v>
                </c:pt>
                <c:pt idx="83">
                  <c:v>0.046885810465904</c:v>
                </c:pt>
                <c:pt idx="84">
                  <c:v>0.047457756363132</c:v>
                </c:pt>
                <c:pt idx="85">
                  <c:v>0.048029370658765</c:v>
                </c:pt>
                <c:pt idx="86">
                  <c:v>0.048600653732536</c:v>
                </c:pt>
                <c:pt idx="87">
                  <c:v>0.049171605971872</c:v>
                </c:pt>
              </c:numCache>
            </c:numRef>
          </c:xVal>
          <c:yVal>
            <c:numRef>
              <c:f>'473K'!$N$2:$N$90</c:f>
              <c:numCache>
                <c:formatCode>General</c:formatCode>
                <c:ptCount val="89"/>
                <c:pt idx="0">
                  <c:v>0</c:v>
                </c:pt>
                <c:pt idx="1">
                  <c:v>1.7879697504556</c:v>
                </c:pt>
                <c:pt idx="2">
                  <c:v>12.770039448113</c:v>
                </c:pt>
                <c:pt idx="3">
                  <c:v>69.340806613095</c:v>
                </c:pt>
                <c:pt idx="4">
                  <c:v>143.5704118708</c:v>
                </c:pt>
                <c:pt idx="5">
                  <c:v>283.53695035663</c:v>
                </c:pt>
                <c:pt idx="6">
                  <c:v>420.98472115967</c:v>
                </c:pt>
                <c:pt idx="7">
                  <c:v>492.90236863685</c:v>
                </c:pt>
                <c:pt idx="8">
                  <c:v>514.90940385745</c:v>
                </c:pt>
                <c:pt idx="9">
                  <c:v>526.59944086989</c:v>
                </c:pt>
                <c:pt idx="10">
                  <c:v>534.38345771774</c:v>
                </c:pt>
                <c:pt idx="11">
                  <c:v>540.05955627087</c:v>
                </c:pt>
                <c:pt idx="12">
                  <c:v>544.44390912221</c:v>
                </c:pt>
                <c:pt idx="13">
                  <c:v>547.99419690281</c:v>
                </c:pt>
                <c:pt idx="14">
                  <c:v>550.99569912371</c:v>
                </c:pt>
                <c:pt idx="15">
                  <c:v>553.62240332135</c:v>
                </c:pt>
                <c:pt idx="16">
                  <c:v>555.98119554991</c:v>
                </c:pt>
                <c:pt idx="17">
                  <c:v>558.14227709757</c:v>
                </c:pt>
                <c:pt idx="18">
                  <c:v>560.15253922386</c:v>
                </c:pt>
                <c:pt idx="19">
                  <c:v>562.36291565852</c:v>
                </c:pt>
                <c:pt idx="20">
                  <c:v>564.16027196735</c:v>
                </c:pt>
                <c:pt idx="21">
                  <c:v>565.87955410861</c:v>
                </c:pt>
                <c:pt idx="22">
                  <c:v>567.53345355106</c:v>
                </c:pt>
                <c:pt idx="23">
                  <c:v>569.13209484318</c:v>
                </c:pt>
                <c:pt idx="24">
                  <c:v>570.68302746645</c:v>
                </c:pt>
                <c:pt idx="25">
                  <c:v>572.19235105345</c:v>
                </c:pt>
                <c:pt idx="26">
                  <c:v>573.66508649998</c:v>
                </c:pt>
                <c:pt idx="27">
                  <c:v>575.10503518729</c:v>
                </c:pt>
                <c:pt idx="28">
                  <c:v>576.51543023019</c:v>
                </c:pt>
                <c:pt idx="29">
                  <c:v>577.89895398368</c:v>
                </c:pt>
                <c:pt idx="30">
                  <c:v>579.25785424841</c:v>
                </c:pt>
                <c:pt idx="31">
                  <c:v>580.59411653371</c:v>
                </c:pt>
                <c:pt idx="32">
                  <c:v>581.90950408604</c:v>
                </c:pt>
                <c:pt idx="33">
                  <c:v>583.20557181034</c:v>
                </c:pt>
                <c:pt idx="34">
                  <c:v>584.48381006042</c:v>
                </c:pt>
                <c:pt idx="35">
                  <c:v>585.74521569203</c:v>
                </c:pt>
                <c:pt idx="36">
                  <c:v>586.99110595065</c:v>
                </c:pt>
                <c:pt idx="37">
                  <c:v>588.22211773226</c:v>
                </c:pt>
                <c:pt idx="38">
                  <c:v>589.43895236877</c:v>
                </c:pt>
                <c:pt idx="39">
                  <c:v>590.64231152256</c:v>
                </c:pt>
                <c:pt idx="40">
                  <c:v>591.83297347616</c:v>
                </c:pt>
                <c:pt idx="41">
                  <c:v>593.01151804742</c:v>
                </c:pt>
                <c:pt idx="42">
                  <c:v>594.17848070148</c:v>
                </c:pt>
                <c:pt idx="43">
                  <c:v>595.3342057687</c:v>
                </c:pt>
                <c:pt idx="44">
                  <c:v>596.47938388498</c:v>
                </c:pt>
                <c:pt idx="45">
                  <c:v>597.61440393287</c:v>
                </c:pt>
                <c:pt idx="46">
                  <c:v>598.73960231739</c:v>
                </c:pt>
                <c:pt idx="47">
                  <c:v>599.85521414309</c:v>
                </c:pt>
                <c:pt idx="48">
                  <c:v>600.96166359044</c:v>
                </c:pt>
                <c:pt idx="49">
                  <c:v>602.05932259346</c:v>
                </c:pt>
                <c:pt idx="50">
                  <c:v>603.14841789036</c:v>
                </c:pt>
                <c:pt idx="51">
                  <c:v>604.22926313523</c:v>
                </c:pt>
                <c:pt idx="52">
                  <c:v>605.30201826621</c:v>
                </c:pt>
                <c:pt idx="53">
                  <c:v>606.36685547609</c:v>
                </c:pt>
                <c:pt idx="54">
                  <c:v>607.42406879364</c:v>
                </c:pt>
                <c:pt idx="55">
                  <c:v>608.47388162225</c:v>
                </c:pt>
                <c:pt idx="56">
                  <c:v>609.51647494294</c:v>
                </c:pt>
                <c:pt idx="57">
                  <c:v>610.55206721733</c:v>
                </c:pt>
                <c:pt idx="58">
                  <c:v>611.58083616153</c:v>
                </c:pt>
                <c:pt idx="59">
                  <c:v>612.60289462055</c:v>
                </c:pt>
                <c:pt idx="60">
                  <c:v>613.61843860252</c:v>
                </c:pt>
                <c:pt idx="61">
                  <c:v>614.62758829694</c:v>
                </c:pt>
                <c:pt idx="62">
                  <c:v>615.63036795309</c:v>
                </c:pt>
                <c:pt idx="63">
                  <c:v>616.62702876844</c:v>
                </c:pt>
                <c:pt idx="64">
                  <c:v>617.61757761166</c:v>
                </c:pt>
                <c:pt idx="65">
                  <c:v>618.60231950201</c:v>
                </c:pt>
                <c:pt idx="66">
                  <c:v>619.58109820415</c:v>
                </c:pt>
                <c:pt idx="67">
                  <c:v>620.55431420587</c:v>
                </c:pt>
                <c:pt idx="68">
                  <c:v>621.52199259322</c:v>
                </c:pt>
                <c:pt idx="69">
                  <c:v>622.48435564121</c:v>
                </c:pt>
                <c:pt idx="70">
                  <c:v>623.4413663014</c:v>
                </c:pt>
                <c:pt idx="71">
                  <c:v>624.39300543829</c:v>
                </c:pt>
                <c:pt idx="72">
                  <c:v>625.33979359496</c:v>
                </c:pt>
                <c:pt idx="73">
                  <c:v>626.281393386</c:v>
                </c:pt>
                <c:pt idx="74">
                  <c:v>627.21817955874</c:v>
                </c:pt>
                <c:pt idx="75">
                  <c:v>628.14993895599</c:v>
                </c:pt>
                <c:pt idx="76">
                  <c:v>629.07697969752</c:v>
                </c:pt>
                <c:pt idx="77">
                  <c:v>629.99930294464</c:v>
                </c:pt>
                <c:pt idx="78">
                  <c:v>630.91700732129</c:v>
                </c:pt>
                <c:pt idx="79">
                  <c:v>631.83000672888</c:v>
                </c:pt>
                <c:pt idx="80">
                  <c:v>632.73863920796</c:v>
                </c:pt>
                <c:pt idx="81">
                  <c:v>633.64300937647</c:v>
                </c:pt>
                <c:pt idx="82">
                  <c:v>634.54283867683</c:v>
                </c:pt>
                <c:pt idx="83">
                  <c:v>635.4384336408</c:v>
                </c:pt>
                <c:pt idx="84">
                  <c:v>636.32992060767</c:v>
                </c:pt>
                <c:pt idx="85">
                  <c:v>637.21705756038</c:v>
                </c:pt>
                <c:pt idx="86">
                  <c:v>638.10017064141</c:v>
                </c:pt>
                <c:pt idx="87">
                  <c:v>638.979159014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801829"/>
        <c:axId val="781958567"/>
      </c:scatterChart>
      <c:valAx>
        <c:axId val="7398018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1958567"/>
        <c:crosses val="autoZero"/>
        <c:crossBetween val="midCat"/>
      </c:valAx>
      <c:valAx>
        <c:axId val="781958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80182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11</xdr:col>
      <xdr:colOff>161925</xdr:colOff>
      <xdr:row>33</xdr:row>
      <xdr:rowOff>113665</xdr:rowOff>
    </xdr:to>
    <xdr:graphicFrame>
      <xdr:nvGraphicFramePr>
        <xdr:cNvPr id="2" name="Chart 1"/>
        <xdr:cNvGraphicFramePr/>
      </xdr:nvGraphicFramePr>
      <xdr:xfrm>
        <a:off x="9525" y="9525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11</xdr:col>
      <xdr:colOff>152400</xdr:colOff>
      <xdr:row>73</xdr:row>
      <xdr:rowOff>104140</xdr:rowOff>
    </xdr:to>
    <xdr:graphicFrame>
      <xdr:nvGraphicFramePr>
        <xdr:cNvPr id="3" name="Chart 2"/>
        <xdr:cNvGraphicFramePr/>
      </xdr:nvGraphicFramePr>
      <xdr:xfrm>
        <a:off x="0" y="7620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11</xdr:col>
      <xdr:colOff>152400</xdr:colOff>
      <xdr:row>110</xdr:row>
      <xdr:rowOff>104140</xdr:rowOff>
    </xdr:to>
    <xdr:graphicFrame>
      <xdr:nvGraphicFramePr>
        <xdr:cNvPr id="4" name="Chart 3"/>
        <xdr:cNvGraphicFramePr/>
      </xdr:nvGraphicFramePr>
      <xdr:xfrm>
        <a:off x="0" y="146685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118</xdr:row>
      <xdr:rowOff>0</xdr:rowOff>
    </xdr:from>
    <xdr:to>
      <xdr:col>11</xdr:col>
      <xdr:colOff>152400</xdr:colOff>
      <xdr:row>151</xdr:row>
      <xdr:rowOff>104140</xdr:rowOff>
    </xdr:to>
    <xdr:graphicFrame>
      <xdr:nvGraphicFramePr>
        <xdr:cNvPr id="5" name="Chart 4"/>
        <xdr:cNvGraphicFramePr/>
      </xdr:nvGraphicFramePr>
      <xdr:xfrm>
        <a:off x="0" y="22479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156</xdr:row>
      <xdr:rowOff>0</xdr:rowOff>
    </xdr:from>
    <xdr:to>
      <xdr:col>11</xdr:col>
      <xdr:colOff>152400</xdr:colOff>
      <xdr:row>189</xdr:row>
      <xdr:rowOff>104140</xdr:rowOff>
    </xdr:to>
    <xdr:graphicFrame>
      <xdr:nvGraphicFramePr>
        <xdr:cNvPr id="6" name="Chart 5"/>
        <xdr:cNvGraphicFramePr/>
      </xdr:nvGraphicFramePr>
      <xdr:xfrm>
        <a:off x="0" y="29718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196</xdr:row>
      <xdr:rowOff>0</xdr:rowOff>
    </xdr:from>
    <xdr:to>
      <xdr:col>11</xdr:col>
      <xdr:colOff>152400</xdr:colOff>
      <xdr:row>229</xdr:row>
      <xdr:rowOff>104140</xdr:rowOff>
    </xdr:to>
    <xdr:graphicFrame>
      <xdr:nvGraphicFramePr>
        <xdr:cNvPr id="7" name="Chart 6"/>
        <xdr:cNvGraphicFramePr/>
      </xdr:nvGraphicFramePr>
      <xdr:xfrm>
        <a:off x="0" y="37338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236</xdr:row>
      <xdr:rowOff>0</xdr:rowOff>
    </xdr:from>
    <xdr:to>
      <xdr:col>11</xdr:col>
      <xdr:colOff>152400</xdr:colOff>
      <xdr:row>269</xdr:row>
      <xdr:rowOff>104140</xdr:rowOff>
    </xdr:to>
    <xdr:graphicFrame>
      <xdr:nvGraphicFramePr>
        <xdr:cNvPr id="8" name="Chart 7"/>
        <xdr:cNvGraphicFramePr/>
      </xdr:nvGraphicFramePr>
      <xdr:xfrm>
        <a:off x="0" y="449580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275</xdr:row>
      <xdr:rowOff>0</xdr:rowOff>
    </xdr:from>
    <xdr:to>
      <xdr:col>11</xdr:col>
      <xdr:colOff>152400</xdr:colOff>
      <xdr:row>308</xdr:row>
      <xdr:rowOff>104140</xdr:rowOff>
    </xdr:to>
    <xdr:graphicFrame>
      <xdr:nvGraphicFramePr>
        <xdr:cNvPr id="9" name="Chart 8"/>
        <xdr:cNvGraphicFramePr/>
      </xdr:nvGraphicFramePr>
      <xdr:xfrm>
        <a:off x="0" y="52387500"/>
        <a:ext cx="9386570" cy="6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772160</xdr:colOff>
      <xdr:row>283</xdr:row>
      <xdr:rowOff>76200</xdr:rowOff>
    </xdr:from>
    <xdr:to>
      <xdr:col>20</xdr:col>
      <xdr:colOff>447040</xdr:colOff>
      <xdr:row>309</xdr:row>
      <xdr:rowOff>94615</xdr:rowOff>
    </xdr:to>
    <xdr:graphicFrame>
      <xdr:nvGraphicFramePr>
        <xdr:cNvPr id="11" name="Chart 10"/>
        <xdr:cNvGraphicFramePr/>
      </xdr:nvGraphicFramePr>
      <xdr:xfrm>
        <a:off x="10006330" y="53987700"/>
        <a:ext cx="8270240" cy="4971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283</xdr:row>
      <xdr:rowOff>0</xdr:rowOff>
    </xdr:from>
    <xdr:to>
      <xdr:col>31</xdr:col>
      <xdr:colOff>772795</xdr:colOff>
      <xdr:row>314</xdr:row>
      <xdr:rowOff>161290</xdr:rowOff>
    </xdr:to>
    <xdr:graphicFrame>
      <xdr:nvGraphicFramePr>
        <xdr:cNvPr id="12" name="Chart 11"/>
        <xdr:cNvGraphicFramePr/>
      </xdr:nvGraphicFramePr>
      <xdr:xfrm>
        <a:off x="19508470" y="53911500"/>
        <a:ext cx="8328025" cy="6066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0</xdr:row>
      <xdr:rowOff>76200</xdr:rowOff>
    </xdr:from>
    <xdr:to>
      <xdr:col>22</xdr:col>
      <xdr:colOff>514350</xdr:colOff>
      <xdr:row>26</xdr:row>
      <xdr:rowOff>94615</xdr:rowOff>
    </xdr:to>
    <xdr:graphicFrame>
      <xdr:nvGraphicFramePr>
        <xdr:cNvPr id="13" name="Chart 12"/>
        <xdr:cNvGraphicFramePr/>
      </xdr:nvGraphicFramePr>
      <xdr:xfrm>
        <a:off x="11752580" y="76200"/>
        <a:ext cx="8270240" cy="4971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67310</xdr:colOff>
      <xdr:row>0</xdr:row>
      <xdr:rowOff>0</xdr:rowOff>
    </xdr:from>
    <xdr:to>
      <xdr:col>33</xdr:col>
      <xdr:colOff>840105</xdr:colOff>
      <xdr:row>31</xdr:row>
      <xdr:rowOff>161290</xdr:rowOff>
    </xdr:to>
    <xdr:graphicFrame>
      <xdr:nvGraphicFramePr>
        <xdr:cNvPr id="14" name="Chart 13"/>
        <xdr:cNvGraphicFramePr/>
      </xdr:nvGraphicFramePr>
      <xdr:xfrm>
        <a:off x="21254720" y="0"/>
        <a:ext cx="8327390" cy="6066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0.606872157655381</cdr:x>
      <cdr:y>0.378990407296745</cdr:y>
    </cdr:from>
    <cdr:to>
      <cdr:x>0.752400202122284</cdr:x>
      <cdr:y>0.60544110709231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813175" y="1530350"/>
          <a:ext cx="914400" cy="9144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0.606872157655381</cdr:x>
      <cdr:y>0.378990407296745</cdr:y>
    </cdr:from>
    <cdr:to>
      <cdr:x>0.752400202122284</cdr:x>
      <cdr:y>0.60544110709231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813175" y="1530350"/>
          <a:ext cx="914400" cy="9144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0.606872157655381</cdr:x>
      <cdr:y>0.378990407296745</cdr:y>
    </cdr:from>
    <cdr:to>
      <cdr:x>0.752400202122284</cdr:x>
      <cdr:y>0.60544110709231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813175" y="1530350"/>
          <a:ext cx="914400" cy="9144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0.606872157655381</cdr:x>
      <cdr:y>0.378990407296745</cdr:y>
    </cdr:from>
    <cdr:to>
      <cdr:x>0.752400202122284</cdr:x>
      <cdr:y>0.60544110709231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813175" y="1530350"/>
          <a:ext cx="914400" cy="9144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cdr:txBody>
    </cdr:sp>
  </cdr:relSizeAnchor>
</c:userShapes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177800</xdr:colOff>
      <xdr:row>12</xdr:row>
      <xdr:rowOff>127000</xdr:rowOff>
    </xdr:from>
    <xdr:to>
      <xdr:col>15</xdr:col>
      <xdr:colOff>415925</xdr:colOff>
      <xdr:row>33</xdr:row>
      <xdr:rowOff>183515</xdr:rowOff>
    </xdr:to>
    <xdr:graphicFrame>
      <xdr:nvGraphicFramePr>
        <xdr:cNvPr id="2" name="Chart 1"/>
        <xdr:cNvGraphicFramePr/>
      </xdr:nvGraphicFramePr>
      <xdr:xfrm>
        <a:off x="6054090" y="2413000"/>
        <a:ext cx="6953885" cy="4057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3"/>
  <sheetViews>
    <sheetView tabSelected="1" topLeftCell="O1" workbookViewId="0">
      <selection activeCell="R37" sqref="R34:R37"/>
    </sheetView>
  </sheetViews>
  <sheetFormatPr defaultColWidth="8.81333333333333" defaultRowHeight="15"/>
  <cols>
    <col min="17" max="17" width="12.4533333333333"/>
    <col min="18" max="20" width="16" customWidth="1"/>
    <col min="21" max="21" width="13.6"/>
    <col min="22" max="22" width="15.6" customWidth="1"/>
    <col min="25" max="25" width="12.4533333333333"/>
    <col min="26" max="26" width="12.5"/>
    <col min="28" max="28" width="12.4533333333333"/>
  </cols>
  <sheetData>
    <row r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27">
      <c r="A2" s="6" t="s">
        <v>1</v>
      </c>
      <c r="B2" s="6"/>
      <c r="C2" s="1"/>
      <c r="D2" s="6" t="s">
        <v>2</v>
      </c>
      <c r="E2" s="6"/>
      <c r="F2" s="1"/>
      <c r="G2" s="6" t="s">
        <v>3</v>
      </c>
      <c r="H2" s="6"/>
      <c r="I2" s="1"/>
      <c r="J2" s="6" t="s">
        <v>4</v>
      </c>
      <c r="K2" s="6"/>
      <c r="L2" s="1"/>
      <c r="M2" s="6" t="s">
        <v>5</v>
      </c>
      <c r="N2" s="6"/>
      <c r="P2" t="s">
        <v>6</v>
      </c>
      <c r="U2" t="s">
        <v>7</v>
      </c>
      <c r="X2" t="s">
        <v>8</v>
      </c>
      <c r="AA2" t="s">
        <v>9</v>
      </c>
    </row>
    <row r="3" spans="1:28">
      <c r="A3" s="1">
        <v>0.00243</v>
      </c>
      <c r="B3" s="1">
        <v>287.54627</v>
      </c>
      <c r="C3" s="1"/>
      <c r="D3" s="1">
        <v>0.0024</v>
      </c>
      <c r="E3" s="1">
        <v>345.07187</v>
      </c>
      <c r="F3" s="1"/>
      <c r="G3" s="1">
        <v>0.00257</v>
      </c>
      <c r="H3" s="1">
        <v>403.8299</v>
      </c>
      <c r="I3" s="1"/>
      <c r="J3" s="1">
        <v>0.00232</v>
      </c>
      <c r="K3" s="1">
        <v>429.74229</v>
      </c>
      <c r="L3" s="1"/>
      <c r="M3" s="1">
        <v>0.00231</v>
      </c>
      <c r="N3" s="1">
        <v>448.23921</v>
      </c>
      <c r="P3">
        <v>0.003</v>
      </c>
      <c r="Q3">
        <f>788.687*P3^0.092</f>
        <v>462.167963485811</v>
      </c>
      <c r="U3">
        <v>0.003</v>
      </c>
      <c r="V3">
        <f>795.02*U3^0.08892</f>
        <v>474.289681235917</v>
      </c>
      <c r="X3">
        <v>0.003</v>
      </c>
      <c r="Y3">
        <f>873.306*X3^0.10255</f>
        <v>481.332546568632</v>
      </c>
      <c r="AA3">
        <v>0.003</v>
      </c>
      <c r="AB3">
        <f>976.79*AA3^0.09551</f>
        <v>560.842679910816</v>
      </c>
    </row>
    <row r="4" spans="1:28">
      <c r="A4" s="1">
        <v>0.00272</v>
      </c>
      <c r="B4" s="1">
        <v>290.5856</v>
      </c>
      <c r="C4" s="1"/>
      <c r="D4" s="1">
        <v>0.00271</v>
      </c>
      <c r="E4" s="1">
        <v>348.62585</v>
      </c>
      <c r="F4" s="1"/>
      <c r="G4" s="1">
        <v>0.00288</v>
      </c>
      <c r="H4" s="1">
        <v>406.36375</v>
      </c>
      <c r="I4" s="1"/>
      <c r="J4" s="1">
        <v>0.00266</v>
      </c>
      <c r="K4" s="1">
        <v>435.39068</v>
      </c>
      <c r="L4" s="1"/>
      <c r="M4" s="1">
        <v>0.00259</v>
      </c>
      <c r="N4" s="1">
        <v>452.40283</v>
      </c>
      <c r="P4">
        <v>0.01</v>
      </c>
      <c r="Q4">
        <f t="shared" ref="Q4:Q19" si="0">788.687*P4^0.092</f>
        <v>516.303040216597</v>
      </c>
      <c r="U4">
        <v>0.01</v>
      </c>
      <c r="V4">
        <f t="shared" ref="V4:V19" si="1">795.02*U4^0.08892</f>
        <v>527.883459464422</v>
      </c>
      <c r="X4">
        <v>0.01</v>
      </c>
      <c r="Y4">
        <f t="shared" ref="Y4:Y19" si="2">873.306*X4^0.10255</f>
        <v>544.585964245692</v>
      </c>
      <c r="AA4">
        <v>0.01</v>
      </c>
      <c r="AB4">
        <f t="shared" ref="AB4:AB11" si="3">976.79*AA4^0.09551</f>
        <v>629.189120965568</v>
      </c>
    </row>
    <row r="5" spans="1:28">
      <c r="A5" s="1">
        <v>0.00304</v>
      </c>
      <c r="B5" s="1">
        <v>292.9537</v>
      </c>
      <c r="C5" s="1"/>
      <c r="D5" s="1">
        <v>0.00303</v>
      </c>
      <c r="E5" s="1">
        <v>351.53479</v>
      </c>
      <c r="F5" s="1"/>
      <c r="G5" s="1">
        <v>0.00321</v>
      </c>
      <c r="H5" s="1">
        <v>408.43995</v>
      </c>
      <c r="I5" s="1"/>
      <c r="J5" s="1">
        <v>0.00297</v>
      </c>
      <c r="K5" s="1">
        <v>437.97853</v>
      </c>
      <c r="L5" s="1"/>
      <c r="M5" s="1">
        <v>0.00291</v>
      </c>
      <c r="N5" s="1">
        <v>457.36345</v>
      </c>
      <c r="P5">
        <v>0.015</v>
      </c>
      <c r="Q5">
        <f t="shared" si="0"/>
        <v>535.926310003873</v>
      </c>
      <c r="U5">
        <v>0.015</v>
      </c>
      <c r="V5">
        <f t="shared" si="1"/>
        <v>547.26300261885</v>
      </c>
      <c r="X5">
        <v>0.015</v>
      </c>
      <c r="Y5">
        <f t="shared" si="2"/>
        <v>567.707461883112</v>
      </c>
      <c r="AA5">
        <v>0.015</v>
      </c>
      <c r="AB5">
        <f t="shared" si="3"/>
        <v>654.033029003581</v>
      </c>
    </row>
    <row r="6" spans="1:28">
      <c r="A6" s="1">
        <v>0.0034</v>
      </c>
      <c r="B6" s="1">
        <v>294.97606</v>
      </c>
      <c r="C6" s="1"/>
      <c r="D6" s="1">
        <v>0.00339</v>
      </c>
      <c r="E6" s="1">
        <v>354.33207</v>
      </c>
      <c r="F6" s="1"/>
      <c r="G6" s="1">
        <v>0.0036</v>
      </c>
      <c r="H6" s="1">
        <v>411.55532</v>
      </c>
      <c r="I6" s="1"/>
      <c r="J6" s="1">
        <v>0.0033</v>
      </c>
      <c r="K6" s="1">
        <v>440.511</v>
      </c>
      <c r="L6" s="1"/>
      <c r="M6" s="1">
        <v>0.00324</v>
      </c>
      <c r="N6" s="1">
        <v>460.4656</v>
      </c>
      <c r="P6">
        <v>0.02</v>
      </c>
      <c r="Q6">
        <f t="shared" si="0"/>
        <v>550.299910236815</v>
      </c>
      <c r="U6">
        <v>0.02</v>
      </c>
      <c r="V6">
        <f t="shared" si="1"/>
        <v>561.442961094595</v>
      </c>
      <c r="X6">
        <v>0.02</v>
      </c>
      <c r="Y6">
        <f t="shared" si="2"/>
        <v>584.705353244797</v>
      </c>
      <c r="AA6">
        <v>0.02</v>
      </c>
      <c r="AB6">
        <f t="shared" si="3"/>
        <v>672.252737969871</v>
      </c>
    </row>
    <row r="7" spans="1:28">
      <c r="A7" s="1">
        <v>0.0038</v>
      </c>
      <c r="B7" s="1">
        <v>297.23668</v>
      </c>
      <c r="C7" s="1"/>
      <c r="D7" s="1">
        <v>0.00379</v>
      </c>
      <c r="E7" s="1">
        <v>357.39352</v>
      </c>
      <c r="F7" s="1"/>
      <c r="G7" s="1">
        <v>0.00402</v>
      </c>
      <c r="H7" s="1">
        <v>414.21106</v>
      </c>
      <c r="I7" s="1"/>
      <c r="J7" s="1">
        <v>0.0037</v>
      </c>
      <c r="K7" s="1">
        <v>443.71927</v>
      </c>
      <c r="L7" s="1"/>
      <c r="M7" s="1">
        <v>0.00363</v>
      </c>
      <c r="N7" s="1">
        <v>465.00311</v>
      </c>
      <c r="P7">
        <v>0.025</v>
      </c>
      <c r="Q7">
        <f t="shared" si="0"/>
        <v>561.713889963145</v>
      </c>
      <c r="U7">
        <v>0.025</v>
      </c>
      <c r="V7">
        <f t="shared" si="1"/>
        <v>572.694325207371</v>
      </c>
      <c r="X7">
        <v>0.025</v>
      </c>
      <c r="Y7">
        <f t="shared" si="2"/>
        <v>598.239647420862</v>
      </c>
      <c r="AA7">
        <v>0.025</v>
      </c>
      <c r="AB7">
        <f t="shared" si="3"/>
        <v>686.733850299478</v>
      </c>
    </row>
    <row r="8" spans="1:28">
      <c r="A8" s="1">
        <v>0.00426</v>
      </c>
      <c r="B8" s="1">
        <v>298.57603</v>
      </c>
      <c r="C8" s="1"/>
      <c r="D8" s="1">
        <v>0.00424</v>
      </c>
      <c r="E8" s="1">
        <v>359.81189</v>
      </c>
      <c r="F8" s="1"/>
      <c r="G8" s="1">
        <v>0.0045</v>
      </c>
      <c r="H8" s="1">
        <v>416.91328</v>
      </c>
      <c r="I8" s="1"/>
      <c r="J8" s="1">
        <v>0.00418</v>
      </c>
      <c r="K8" s="1">
        <v>448.91837</v>
      </c>
      <c r="L8" s="1"/>
      <c r="M8" s="1">
        <v>0.00406</v>
      </c>
      <c r="N8" s="1">
        <v>468.78553</v>
      </c>
      <c r="P8">
        <v>0.03</v>
      </c>
      <c r="Q8">
        <f t="shared" si="0"/>
        <v>571.215308290564</v>
      </c>
      <c r="U8">
        <v>0.03</v>
      </c>
      <c r="V8">
        <f t="shared" si="1"/>
        <v>582.05453339944</v>
      </c>
      <c r="X8">
        <v>0.03</v>
      </c>
      <c r="Y8">
        <f t="shared" si="2"/>
        <v>609.530200617355</v>
      </c>
      <c r="AA8">
        <v>0.03</v>
      </c>
      <c r="AB8">
        <f t="shared" si="3"/>
        <v>698.797038632278</v>
      </c>
    </row>
    <row r="9" spans="1:28">
      <c r="A9" s="1">
        <v>0.00476</v>
      </c>
      <c r="B9" s="1">
        <v>300.50574</v>
      </c>
      <c r="C9" s="1"/>
      <c r="D9" s="1">
        <v>0.00475</v>
      </c>
      <c r="E9" s="1">
        <v>362.70428</v>
      </c>
      <c r="F9" s="1"/>
      <c r="G9" s="1">
        <v>0.00503</v>
      </c>
      <c r="H9" s="1">
        <v>419.94125</v>
      </c>
      <c r="I9" s="1"/>
      <c r="J9" s="1">
        <v>0.0048</v>
      </c>
      <c r="K9" s="1">
        <v>452.71912</v>
      </c>
      <c r="L9" s="1"/>
      <c r="M9" s="1">
        <v>0.00454</v>
      </c>
      <c r="N9" s="1">
        <v>472.95524</v>
      </c>
      <c r="P9">
        <v>0.035</v>
      </c>
      <c r="Q9">
        <f t="shared" si="0"/>
        <v>579.373920694223</v>
      </c>
      <c r="U9">
        <v>0.035</v>
      </c>
      <c r="V9">
        <f t="shared" si="1"/>
        <v>590.087730607861</v>
      </c>
      <c r="X9">
        <v>0.035</v>
      </c>
      <c r="Y9">
        <f t="shared" si="2"/>
        <v>619.242309807394</v>
      </c>
      <c r="AA9">
        <v>0.035</v>
      </c>
      <c r="AB9">
        <f t="shared" si="3"/>
        <v>709.161489848112</v>
      </c>
    </row>
    <row r="10" spans="1:28">
      <c r="A10" s="1">
        <v>0.00533</v>
      </c>
      <c r="B10" s="1">
        <v>302.7674</v>
      </c>
      <c r="C10" s="1"/>
      <c r="D10" s="1">
        <v>0.00531</v>
      </c>
      <c r="E10" s="1">
        <v>365.23203</v>
      </c>
      <c r="F10" s="1"/>
      <c r="G10" s="1">
        <v>0.00563</v>
      </c>
      <c r="H10" s="1">
        <v>422.52788</v>
      </c>
      <c r="I10" s="1"/>
      <c r="J10" s="1">
        <v>0.00535</v>
      </c>
      <c r="K10" s="1">
        <v>455.1512</v>
      </c>
      <c r="L10" s="1"/>
      <c r="M10" s="1">
        <v>0.00508</v>
      </c>
      <c r="N10" s="1">
        <v>476.58667</v>
      </c>
      <c r="P10">
        <v>0.04</v>
      </c>
      <c r="Q10">
        <f t="shared" si="0"/>
        <v>586.535363184391</v>
      </c>
      <c r="U10">
        <v>0.04</v>
      </c>
      <c r="V10">
        <f t="shared" si="1"/>
        <v>597.135964219224</v>
      </c>
      <c r="X10">
        <v>0.04</v>
      </c>
      <c r="Y10">
        <f t="shared" si="2"/>
        <v>627.780318552026</v>
      </c>
      <c r="AA10">
        <v>0.04</v>
      </c>
      <c r="AB10">
        <f t="shared" si="3"/>
        <v>718.263759892185</v>
      </c>
    </row>
    <row r="11" spans="1:28">
      <c r="A11" s="1">
        <v>0.00596</v>
      </c>
      <c r="B11" s="1">
        <v>305.13811</v>
      </c>
      <c r="C11" s="1"/>
      <c r="D11" s="1">
        <v>0.00594</v>
      </c>
      <c r="E11" s="1">
        <v>367.88623</v>
      </c>
      <c r="F11" s="1"/>
      <c r="G11" s="1">
        <v>0.0063</v>
      </c>
      <c r="H11" s="1">
        <v>425.47316</v>
      </c>
      <c r="I11" s="1"/>
      <c r="J11" s="1">
        <v>0.00598</v>
      </c>
      <c r="K11" s="1">
        <v>458.30018</v>
      </c>
      <c r="L11" s="1"/>
      <c r="M11" s="1">
        <v>0.00568</v>
      </c>
      <c r="N11" s="1">
        <v>480.02872</v>
      </c>
      <c r="P11">
        <v>0.045</v>
      </c>
      <c r="Q11">
        <f t="shared" si="0"/>
        <v>592.925643555112</v>
      </c>
      <c r="U11">
        <v>0.045</v>
      </c>
      <c r="V11">
        <f t="shared" si="1"/>
        <v>603.422793279546</v>
      </c>
      <c r="X11">
        <v>0.045</v>
      </c>
      <c r="Y11">
        <f t="shared" si="2"/>
        <v>635.409037052353</v>
      </c>
      <c r="AA11">
        <v>0.045</v>
      </c>
      <c r="AB11">
        <f t="shared" si="3"/>
        <v>726.389456852056</v>
      </c>
    </row>
    <row r="12" spans="1:28">
      <c r="A12" s="1">
        <v>0.00667</v>
      </c>
      <c r="B12" s="1">
        <v>306.97131</v>
      </c>
      <c r="C12" s="1"/>
      <c r="D12" s="1">
        <v>0.00665</v>
      </c>
      <c r="E12" s="1">
        <v>370.04803</v>
      </c>
      <c r="F12" s="1"/>
      <c r="G12" s="1">
        <v>0.00705</v>
      </c>
      <c r="H12" s="1">
        <v>428.29775</v>
      </c>
      <c r="I12" s="1"/>
      <c r="J12" s="1">
        <v>0.00669</v>
      </c>
      <c r="K12" s="1">
        <v>461.9584</v>
      </c>
      <c r="L12" s="1"/>
      <c r="M12" s="1">
        <v>0.00635</v>
      </c>
      <c r="N12" s="1">
        <v>483.95422</v>
      </c>
      <c r="P12">
        <v>0.05</v>
      </c>
      <c r="Q12">
        <f t="shared" si="0"/>
        <v>598.700916221245</v>
      </c>
      <c r="U12">
        <v>0.05</v>
      </c>
      <c r="V12">
        <f t="shared" si="1"/>
        <v>609.102619113544</v>
      </c>
      <c r="X12">
        <v>0.05</v>
      </c>
      <c r="Y12">
        <f t="shared" si="2"/>
        <v>642.311677743583</v>
      </c>
      <c r="AA12">
        <v>0.05</v>
      </c>
      <c r="AB12">
        <f t="shared" ref="AB12:AB19" si="4">976.79*AA12^0.09551</f>
        <v>733.736003591326</v>
      </c>
    </row>
    <row r="13" spans="1:28">
      <c r="A13" s="1">
        <v>0.00746</v>
      </c>
      <c r="B13" s="1">
        <v>309.18836</v>
      </c>
      <c r="C13" s="1"/>
      <c r="D13" s="1">
        <v>0.00743</v>
      </c>
      <c r="E13" s="1">
        <v>372.93002</v>
      </c>
      <c r="F13" s="1"/>
      <c r="G13" s="1">
        <v>0.00789</v>
      </c>
      <c r="H13" s="1">
        <v>430.91264</v>
      </c>
      <c r="I13" s="1"/>
      <c r="J13" s="1">
        <v>0.00748</v>
      </c>
      <c r="K13" s="1">
        <v>465.36499</v>
      </c>
      <c r="L13" s="1"/>
      <c r="M13" s="1">
        <v>0.00711</v>
      </c>
      <c r="N13" s="1">
        <v>489.56507</v>
      </c>
      <c r="P13">
        <v>0.055</v>
      </c>
      <c r="Q13">
        <f t="shared" si="0"/>
        <v>603.973730731917</v>
      </c>
      <c r="U13">
        <v>0.055</v>
      </c>
      <c r="V13">
        <f t="shared" si="1"/>
        <v>614.28668876971</v>
      </c>
      <c r="X13">
        <v>0.055</v>
      </c>
      <c r="Y13">
        <f t="shared" si="2"/>
        <v>648.620450875041</v>
      </c>
      <c r="AA13">
        <v>0.055</v>
      </c>
      <c r="AB13">
        <f t="shared" si="4"/>
        <v>740.445750996371</v>
      </c>
    </row>
    <row r="14" spans="1:28">
      <c r="A14" s="1">
        <v>0.00834</v>
      </c>
      <c r="B14" s="1">
        <v>310.48345</v>
      </c>
      <c r="C14" s="1"/>
      <c r="D14" s="1">
        <v>0.00832</v>
      </c>
      <c r="E14" s="1">
        <v>375.59997</v>
      </c>
      <c r="F14" s="1"/>
      <c r="G14" s="1">
        <v>0.00882</v>
      </c>
      <c r="H14" s="1">
        <v>434.36473</v>
      </c>
      <c r="I14" s="1"/>
      <c r="J14" s="1">
        <v>0.00837</v>
      </c>
      <c r="K14" s="1">
        <v>468.65532</v>
      </c>
      <c r="L14" s="1"/>
      <c r="M14" s="1">
        <v>0.00795</v>
      </c>
      <c r="N14" s="1">
        <v>493.47286</v>
      </c>
      <c r="P14">
        <v>0.06</v>
      </c>
      <c r="Q14">
        <f t="shared" si="0"/>
        <v>608.827971933541</v>
      </c>
      <c r="U14">
        <v>0.06</v>
      </c>
      <c r="V14">
        <f t="shared" si="1"/>
        <v>619.057890318952</v>
      </c>
      <c r="X14">
        <v>0.06</v>
      </c>
      <c r="Y14">
        <f t="shared" si="2"/>
        <v>654.434000624652</v>
      </c>
      <c r="AA14">
        <v>0.06</v>
      </c>
      <c r="AB14">
        <f t="shared" si="4"/>
        <v>746.624833221638</v>
      </c>
    </row>
    <row r="15" spans="1:28">
      <c r="A15" s="1">
        <v>0.00933</v>
      </c>
      <c r="B15" s="1">
        <v>311.97212</v>
      </c>
      <c r="C15" s="1"/>
      <c r="D15" s="1">
        <v>0.0093</v>
      </c>
      <c r="E15" s="1">
        <v>377.9656</v>
      </c>
      <c r="F15" s="1"/>
      <c r="G15" s="1">
        <v>0.00987</v>
      </c>
      <c r="H15" s="1">
        <v>437.61184</v>
      </c>
      <c r="I15" s="1"/>
      <c r="J15" s="1">
        <v>0.00937</v>
      </c>
      <c r="K15" s="1">
        <v>472.3962</v>
      </c>
      <c r="L15" s="1"/>
      <c r="M15" s="1">
        <v>0.00889</v>
      </c>
      <c r="N15" s="1">
        <v>497.712</v>
      </c>
      <c r="P15">
        <v>0.065</v>
      </c>
      <c r="Q15">
        <f t="shared" si="0"/>
        <v>613.327886146323</v>
      </c>
      <c r="U15">
        <v>0.065</v>
      </c>
      <c r="V15">
        <f t="shared" si="1"/>
        <v>623.479688622804</v>
      </c>
      <c r="X15">
        <v>0.065</v>
      </c>
      <c r="Y15">
        <f t="shared" si="2"/>
        <v>659.827950881944</v>
      </c>
      <c r="AA15">
        <v>0.065</v>
      </c>
      <c r="AB15">
        <f t="shared" si="4"/>
        <v>752.354563378556</v>
      </c>
    </row>
    <row r="16" spans="1:28">
      <c r="A16" s="1">
        <v>0.01044</v>
      </c>
      <c r="B16" s="1">
        <v>313.5625</v>
      </c>
      <c r="C16" s="1"/>
      <c r="D16" s="1">
        <v>0.01041</v>
      </c>
      <c r="E16" s="1">
        <v>380.00619</v>
      </c>
      <c r="F16" s="1"/>
      <c r="G16" s="1">
        <v>0.01104</v>
      </c>
      <c r="H16" s="1">
        <v>440.57302</v>
      </c>
      <c r="I16" s="1"/>
      <c r="J16" s="1">
        <v>0.01048</v>
      </c>
      <c r="K16" s="1">
        <v>475.30592</v>
      </c>
      <c r="L16" s="1"/>
      <c r="M16" s="1">
        <v>0.00995</v>
      </c>
      <c r="N16" s="1">
        <v>502.21475</v>
      </c>
      <c r="P16">
        <v>0.07</v>
      </c>
      <c r="Q16">
        <f t="shared" si="0"/>
        <v>617.523802334824</v>
      </c>
      <c r="U16">
        <v>0.07</v>
      </c>
      <c r="V16">
        <f t="shared" si="1"/>
        <v>627.601787550224</v>
      </c>
      <c r="X16">
        <v>0.07</v>
      </c>
      <c r="Y16">
        <f t="shared" si="2"/>
        <v>664.861596279968</v>
      </c>
      <c r="AA16">
        <v>0.07</v>
      </c>
      <c r="AB16">
        <f t="shared" si="4"/>
        <v>757.698659000296</v>
      </c>
    </row>
    <row r="17" spans="1:28">
      <c r="A17" s="1">
        <v>0.01168</v>
      </c>
      <c r="B17" s="1">
        <v>314.68601</v>
      </c>
      <c r="C17" s="1"/>
      <c r="D17" s="1">
        <v>0.01164</v>
      </c>
      <c r="E17" s="1">
        <v>381.27192</v>
      </c>
      <c r="F17" s="1"/>
      <c r="G17" s="1">
        <v>0.01235</v>
      </c>
      <c r="H17" s="1">
        <v>443.75498</v>
      </c>
      <c r="I17" s="1"/>
      <c r="J17" s="1">
        <v>0.01172</v>
      </c>
      <c r="K17" s="1">
        <v>479.24442</v>
      </c>
      <c r="L17" s="1"/>
      <c r="M17" s="1">
        <v>0.01113</v>
      </c>
      <c r="N17" s="1">
        <v>505.8419</v>
      </c>
      <c r="P17">
        <v>0.075</v>
      </c>
      <c r="Q17">
        <f t="shared" si="0"/>
        <v>621.455904446707</v>
      </c>
      <c r="U17">
        <v>0.075</v>
      </c>
      <c r="V17">
        <f t="shared" si="1"/>
        <v>631.463862454191</v>
      </c>
      <c r="X17">
        <v>0.075</v>
      </c>
      <c r="Y17">
        <f t="shared" si="2"/>
        <v>669.582318036353</v>
      </c>
      <c r="AA17">
        <v>0.075</v>
      </c>
      <c r="AB17">
        <f t="shared" si="4"/>
        <v>762.708007699452</v>
      </c>
    </row>
    <row r="18" spans="1:28">
      <c r="A18" s="1">
        <v>0.01307</v>
      </c>
      <c r="B18" s="1">
        <v>316.00413</v>
      </c>
      <c r="C18" s="1"/>
      <c r="D18" s="1">
        <v>0.01303</v>
      </c>
      <c r="E18" s="1">
        <v>383.65398</v>
      </c>
      <c r="F18" s="1"/>
      <c r="G18" s="1">
        <v>0.01382</v>
      </c>
      <c r="H18" s="1">
        <v>446.82512</v>
      </c>
      <c r="I18" s="1"/>
      <c r="J18" s="1">
        <v>0.01311</v>
      </c>
      <c r="K18" s="1">
        <v>483.9449</v>
      </c>
      <c r="L18" s="1"/>
      <c r="M18" s="1">
        <v>0.01245</v>
      </c>
      <c r="N18" s="1">
        <v>510.57218</v>
      </c>
      <c r="P18">
        <v>0.08</v>
      </c>
      <c r="Q18">
        <f t="shared" si="0"/>
        <v>625.156802438509</v>
      </c>
      <c r="U18">
        <v>0.08</v>
      </c>
      <c r="V18">
        <f t="shared" si="1"/>
        <v>635.098103409913</v>
      </c>
      <c r="X18">
        <v>0.08</v>
      </c>
      <c r="Y18">
        <f t="shared" si="2"/>
        <v>674.028596068425</v>
      </c>
      <c r="AA18">
        <v>0.08</v>
      </c>
      <c r="AB18">
        <f t="shared" si="4"/>
        <v>767.4239160891</v>
      </c>
    </row>
    <row r="19" spans="1:28">
      <c r="A19" s="1">
        <v>0.01462</v>
      </c>
      <c r="B19" s="1">
        <v>317.23207</v>
      </c>
      <c r="C19" s="1"/>
      <c r="D19" s="1">
        <v>0.01457</v>
      </c>
      <c r="E19" s="1">
        <v>385.54</v>
      </c>
      <c r="F19" s="1"/>
      <c r="G19" s="1">
        <v>0.01545</v>
      </c>
      <c r="H19" s="1">
        <v>449.76384</v>
      </c>
      <c r="I19" s="1"/>
      <c r="J19" s="1">
        <v>0.01467</v>
      </c>
      <c r="K19" s="1">
        <v>488.17582</v>
      </c>
      <c r="L19" s="1"/>
      <c r="M19" s="1">
        <v>0.01392</v>
      </c>
      <c r="N19" s="1">
        <v>514.88056</v>
      </c>
      <c r="P19">
        <v>0.085</v>
      </c>
      <c r="Q19">
        <f t="shared" si="0"/>
        <v>628.653334582081</v>
      </c>
      <c r="U19">
        <v>0.085</v>
      </c>
      <c r="V19">
        <f t="shared" si="1"/>
        <v>638.530997640319</v>
      </c>
      <c r="X19">
        <v>0.085</v>
      </c>
      <c r="Y19">
        <f t="shared" si="2"/>
        <v>678.23212213654</v>
      </c>
      <c r="AA19">
        <v>0.085</v>
      </c>
      <c r="AB19">
        <f t="shared" si="4"/>
        <v>771.880387883309</v>
      </c>
    </row>
    <row r="20" spans="1:14">
      <c r="A20" s="1">
        <v>0.01636</v>
      </c>
      <c r="B20" s="1">
        <v>318.36874</v>
      </c>
      <c r="C20" s="1"/>
      <c r="D20" s="1">
        <v>0.0163</v>
      </c>
      <c r="E20" s="1">
        <v>387.96265</v>
      </c>
      <c r="F20" s="1"/>
      <c r="G20" s="1">
        <v>0.01729</v>
      </c>
      <c r="H20" s="1">
        <v>452.89263</v>
      </c>
      <c r="I20" s="1"/>
      <c r="J20" s="1">
        <v>0.01641</v>
      </c>
      <c r="K20" s="1">
        <v>492.22097</v>
      </c>
      <c r="L20" s="1"/>
      <c r="M20" s="1">
        <v>0.01558</v>
      </c>
      <c r="N20" s="1">
        <v>519.46027</v>
      </c>
    </row>
    <row r="21" spans="1:14">
      <c r="A21" s="1">
        <v>0.0183</v>
      </c>
      <c r="B21" s="1">
        <v>319.75051</v>
      </c>
      <c r="C21" s="1"/>
      <c r="D21" s="1">
        <v>0.01824</v>
      </c>
      <c r="E21" s="1">
        <v>389.80265</v>
      </c>
      <c r="F21" s="1"/>
      <c r="G21" s="1">
        <v>0.01934</v>
      </c>
      <c r="H21" s="1">
        <v>455.81969</v>
      </c>
      <c r="I21" s="1"/>
      <c r="J21" s="1">
        <v>0.01835</v>
      </c>
      <c r="K21" s="1">
        <v>496.37449</v>
      </c>
      <c r="L21" s="1"/>
      <c r="M21" s="1">
        <v>0.01742</v>
      </c>
      <c r="N21" s="1">
        <v>524.23883</v>
      </c>
    </row>
    <row r="22" spans="1:14">
      <c r="A22" s="1">
        <v>0.02047</v>
      </c>
      <c r="B22" s="1">
        <v>320.75103</v>
      </c>
      <c r="C22" s="1"/>
      <c r="D22" s="1">
        <v>0.0204</v>
      </c>
      <c r="E22" s="1">
        <v>391.88548</v>
      </c>
      <c r="F22" s="1"/>
      <c r="G22" s="1">
        <v>0.02164</v>
      </c>
      <c r="H22" s="1">
        <v>458.76568</v>
      </c>
      <c r="I22" s="1"/>
      <c r="J22" s="1">
        <v>0.02053</v>
      </c>
      <c r="K22" s="1">
        <v>500.41209</v>
      </c>
      <c r="L22" s="1"/>
      <c r="M22" s="1">
        <v>0.01949</v>
      </c>
      <c r="N22" s="1">
        <v>529.30078</v>
      </c>
    </row>
    <row r="23" spans="1:14">
      <c r="A23" s="1">
        <v>0.0229</v>
      </c>
      <c r="B23" s="1">
        <v>321.65765</v>
      </c>
      <c r="C23" s="1"/>
      <c r="D23" s="1">
        <v>0.02283</v>
      </c>
      <c r="E23" s="1">
        <v>393.70789</v>
      </c>
      <c r="F23" s="1"/>
      <c r="G23" s="1">
        <v>0.02421</v>
      </c>
      <c r="H23" s="1">
        <v>461.38264</v>
      </c>
      <c r="I23" s="1"/>
      <c r="J23" s="1">
        <v>0.02297</v>
      </c>
      <c r="K23" s="1">
        <v>504.25433</v>
      </c>
      <c r="L23" s="1"/>
      <c r="M23" s="1">
        <v>0.0218</v>
      </c>
      <c r="N23" s="1">
        <v>534.65347</v>
      </c>
    </row>
    <row r="24" spans="1:14">
      <c r="A24" s="1">
        <v>0.02485</v>
      </c>
      <c r="B24" s="1">
        <v>322.01648</v>
      </c>
      <c r="C24" s="1"/>
      <c r="D24" s="1">
        <v>0.02554</v>
      </c>
      <c r="E24" s="1">
        <v>395.48788</v>
      </c>
      <c r="F24" s="1"/>
      <c r="G24" s="1">
        <v>0.02708</v>
      </c>
      <c r="H24" s="1">
        <v>464.08453</v>
      </c>
      <c r="I24" s="1"/>
      <c r="J24" s="1">
        <v>0.02569</v>
      </c>
      <c r="K24" s="1">
        <v>508.43271</v>
      </c>
      <c r="L24" s="1"/>
      <c r="M24" s="1">
        <v>0.02439</v>
      </c>
      <c r="N24" s="1">
        <v>539.97884</v>
      </c>
    </row>
    <row r="25" spans="1:14">
      <c r="A25" s="1"/>
      <c r="B25" s="1"/>
      <c r="C25" s="1"/>
      <c r="D25" s="1">
        <v>0.02857</v>
      </c>
      <c r="E25" s="1">
        <v>396.45457</v>
      </c>
      <c r="F25" s="1"/>
      <c r="G25" s="1">
        <v>0.03029</v>
      </c>
      <c r="H25" s="1">
        <v>466.80223</v>
      </c>
      <c r="I25" s="1"/>
      <c r="J25" s="1">
        <v>0.02874</v>
      </c>
      <c r="K25" s="1">
        <v>512.87771</v>
      </c>
      <c r="L25" s="1"/>
      <c r="M25" s="1">
        <v>0.02728</v>
      </c>
      <c r="N25" s="1">
        <v>545.275</v>
      </c>
    </row>
    <row r="26" spans="1:14">
      <c r="A26" s="1"/>
      <c r="B26" s="1"/>
      <c r="C26" s="1"/>
      <c r="D26" s="1">
        <v>0.03069</v>
      </c>
      <c r="E26" s="1">
        <v>397.33305</v>
      </c>
      <c r="F26" s="1"/>
      <c r="G26" s="1">
        <v>0.03389</v>
      </c>
      <c r="H26" s="1">
        <v>469.39424</v>
      </c>
      <c r="I26" s="1"/>
      <c r="J26" s="1">
        <v>0.03215</v>
      </c>
      <c r="K26" s="1">
        <v>516.89362</v>
      </c>
      <c r="L26" s="1"/>
      <c r="M26" s="1">
        <v>0.03052</v>
      </c>
      <c r="N26" s="1">
        <v>551.20474</v>
      </c>
    </row>
    <row r="27" spans="1:14">
      <c r="A27" s="1"/>
      <c r="B27" s="1"/>
      <c r="C27" s="1"/>
      <c r="D27" s="1"/>
      <c r="E27" s="1"/>
      <c r="F27" s="1"/>
      <c r="G27" s="1">
        <v>0.03791</v>
      </c>
      <c r="H27" s="1">
        <v>471.78712</v>
      </c>
      <c r="I27" s="1"/>
      <c r="J27" s="1">
        <v>0.03597</v>
      </c>
      <c r="K27" s="1">
        <v>521.01954</v>
      </c>
      <c r="L27" s="1"/>
      <c r="M27" s="1">
        <v>0.03414</v>
      </c>
      <c r="N27" s="1">
        <v>557.03091</v>
      </c>
    </row>
    <row r="28" spans="1:14">
      <c r="A28" s="1"/>
      <c r="B28" s="1"/>
      <c r="C28" s="1"/>
      <c r="D28" s="1"/>
      <c r="E28" s="1"/>
      <c r="F28" s="1"/>
      <c r="G28" s="1">
        <v>0.04114</v>
      </c>
      <c r="H28" s="1">
        <v>472.94071</v>
      </c>
      <c r="I28" s="1"/>
      <c r="J28" s="1">
        <v>0.04024</v>
      </c>
      <c r="K28" s="1">
        <v>525.25761</v>
      </c>
      <c r="L28" s="1"/>
      <c r="M28" s="1">
        <v>0.03819</v>
      </c>
      <c r="N28" s="1">
        <v>562.57917</v>
      </c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>
        <v>0.04501</v>
      </c>
      <c r="K29" s="1">
        <v>529.61002</v>
      </c>
      <c r="L29" s="1"/>
      <c r="M29" s="1">
        <v>0.04272</v>
      </c>
      <c r="N29" s="1">
        <v>568.52557</v>
      </c>
      <c r="Z29">
        <f>75765*0.000000248*SQRT(11217600)</f>
        <v>62.9318187641611</v>
      </c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>
        <v>0.05035</v>
      </c>
      <c r="K30" s="1">
        <v>533.75694</v>
      </c>
      <c r="L30" s="1"/>
      <c r="M30" s="1">
        <v>0.04779</v>
      </c>
      <c r="N30" s="1">
        <v>574.01515</v>
      </c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>
        <v>0.05633</v>
      </c>
      <c r="K31" s="1">
        <v>538.09862</v>
      </c>
      <c r="L31" s="1"/>
      <c r="M31" s="1">
        <v>0.05346</v>
      </c>
      <c r="N31" s="1">
        <v>579.82002</v>
      </c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>
        <v>0.06301</v>
      </c>
      <c r="K32" s="1">
        <v>542.39381</v>
      </c>
      <c r="L32" s="1"/>
      <c r="M32" s="1">
        <v>0.0598</v>
      </c>
      <c r="N32" s="1">
        <v>585.77193</v>
      </c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>
        <v>0.07049</v>
      </c>
      <c r="K33" s="1">
        <v>546.64083</v>
      </c>
      <c r="L33" s="1"/>
      <c r="M33" s="1">
        <v>0.0669</v>
      </c>
      <c r="N33" s="1">
        <v>592.3207</v>
      </c>
      <c r="R33" t="s">
        <v>10</v>
      </c>
      <c r="S33" t="s">
        <v>11</v>
      </c>
      <c r="T33" t="s">
        <v>12</v>
      </c>
      <c r="U33" t="s">
        <v>13</v>
      </c>
      <c r="V33" t="s">
        <v>14</v>
      </c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>
        <v>0.07886</v>
      </c>
      <c r="K34" s="1">
        <v>550.75495</v>
      </c>
      <c r="L34" s="1"/>
      <c r="M34" s="1">
        <v>0.07467</v>
      </c>
      <c r="N34" s="1">
        <v>597.33227</v>
      </c>
      <c r="P34">
        <f>Q34-273</f>
        <v>200</v>
      </c>
      <c r="Q34">
        <v>473</v>
      </c>
      <c r="R34">
        <v>481</v>
      </c>
      <c r="S34">
        <f>R35-R$35</f>
        <v>0</v>
      </c>
      <c r="T34" s="7">
        <f>74763076923.0769/1000000000</f>
        <v>74.7630769230769</v>
      </c>
      <c r="U34">
        <f>T34-T34</f>
        <v>0</v>
      </c>
      <c r="V34">
        <f t="shared" ref="V34:V43" si="5">U34*0.248*SQRT(112176000*1000000)*0.000001</f>
        <v>0</v>
      </c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>
        <v>0.08182</v>
      </c>
      <c r="N35" s="1">
        <v>601.62688</v>
      </c>
      <c r="P35">
        <f>Q35-273</f>
        <v>300</v>
      </c>
      <c r="Q35">
        <v>573</v>
      </c>
      <c r="R35">
        <v>474</v>
      </c>
      <c r="S35">
        <f>R35-R34</f>
        <v>-7</v>
      </c>
      <c r="T35" s="7">
        <f>72279230769.2308/1000000000</f>
        <v>72.2792307692308</v>
      </c>
      <c r="U35">
        <f>T35-T34</f>
        <v>-2.4838461538461</v>
      </c>
      <c r="V35">
        <f t="shared" si="5"/>
        <v>-6.5241862169613</v>
      </c>
    </row>
    <row r="36" spans="16:22">
      <c r="P36">
        <f>Q36-273</f>
        <v>400</v>
      </c>
      <c r="Q36">
        <v>673</v>
      </c>
      <c r="R36">
        <v>462</v>
      </c>
      <c r="S36">
        <f>R36-R35</f>
        <v>-12</v>
      </c>
      <c r="T36" s="7">
        <f>69795384615.3846/1000000000</f>
        <v>69.7953846153846</v>
      </c>
      <c r="U36">
        <f>T36-T34</f>
        <v>-4.96769230769232</v>
      </c>
      <c r="V36">
        <f t="shared" si="5"/>
        <v>-13.0483724339229</v>
      </c>
    </row>
    <row r="37" spans="16:22">
      <c r="P37">
        <f>Q37-273</f>
        <v>450</v>
      </c>
      <c r="Q37">
        <v>723</v>
      </c>
      <c r="R37">
        <v>448</v>
      </c>
      <c r="S37">
        <f>R37-R36</f>
        <v>-14</v>
      </c>
      <c r="T37" s="7">
        <f>68553461538.4615/1000000000</f>
        <v>68.5534615384615</v>
      </c>
      <c r="U37">
        <f>T37-T34</f>
        <v>-6.2096153846154</v>
      </c>
      <c r="V37">
        <f t="shared" si="5"/>
        <v>-16.3104655424036</v>
      </c>
    </row>
    <row r="38" spans="20:20">
      <c r="T38" s="7"/>
    </row>
    <row r="39" spans="16:22">
      <c r="P39">
        <f>Q39-273</f>
        <v>450</v>
      </c>
      <c r="Q39">
        <v>723</v>
      </c>
      <c r="R39">
        <v>448</v>
      </c>
      <c r="S39">
        <f>R39-R$39</f>
        <v>0</v>
      </c>
      <c r="T39" s="7">
        <v>68.5534615384615</v>
      </c>
      <c r="U39">
        <f>T39-T$39</f>
        <v>0</v>
      </c>
      <c r="V39">
        <f t="shared" si="5"/>
        <v>0</v>
      </c>
    </row>
    <row r="40" spans="17:22">
      <c r="Q40">
        <v>773</v>
      </c>
      <c r="R40" s="1">
        <v>429.74229</v>
      </c>
      <c r="S40">
        <f>R40-R$39</f>
        <v>-18.25771</v>
      </c>
      <c r="T40" s="7">
        <v>67.3115384615385</v>
      </c>
      <c r="U40">
        <f>T40-T$39</f>
        <v>-1.241923076923</v>
      </c>
      <c r="V40">
        <f t="shared" si="5"/>
        <v>-3.26209310848052</v>
      </c>
    </row>
    <row r="41" spans="17:22">
      <c r="Q41">
        <v>823</v>
      </c>
      <c r="R41" s="1">
        <v>403.8299</v>
      </c>
      <c r="S41">
        <f>R41-R$39</f>
        <v>-44.1701</v>
      </c>
      <c r="T41" s="7">
        <v>66.0696153846154</v>
      </c>
      <c r="U41">
        <f>T41-T$39</f>
        <v>-2.4838461538461</v>
      </c>
      <c r="V41">
        <f t="shared" si="5"/>
        <v>-6.5241862169613</v>
      </c>
    </row>
    <row r="42" spans="17:22">
      <c r="Q42">
        <v>873</v>
      </c>
      <c r="R42" s="1">
        <v>345.07187</v>
      </c>
      <c r="S42">
        <f>R42-R$39</f>
        <v>-102.92813</v>
      </c>
      <c r="T42" s="7">
        <v>64.8276923076923</v>
      </c>
      <c r="U42">
        <f>T42-T$39</f>
        <v>-3.7257692307692</v>
      </c>
      <c r="V42">
        <f t="shared" si="5"/>
        <v>-9.78627932544208</v>
      </c>
    </row>
    <row r="43" spans="17:22">
      <c r="Q43">
        <v>923</v>
      </c>
      <c r="R43" s="1">
        <v>287.54627</v>
      </c>
      <c r="S43">
        <f>R43-R$39</f>
        <v>-160.45373</v>
      </c>
      <c r="T43" s="7">
        <v>63.5857692307692</v>
      </c>
      <c r="U43">
        <f>T43-T$39</f>
        <v>-4.9676923076923</v>
      </c>
      <c r="V43">
        <f t="shared" si="5"/>
        <v>-13.0483724339229</v>
      </c>
    </row>
  </sheetData>
  <mergeCells count="6">
    <mergeCell ref="A1:N1"/>
    <mergeCell ref="A2:B2"/>
    <mergeCell ref="D2:E2"/>
    <mergeCell ref="G2:H2"/>
    <mergeCell ref="J2:K2"/>
    <mergeCell ref="M2:N2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244:R256"/>
  <sheetViews>
    <sheetView topLeftCell="P1" workbookViewId="0">
      <selection activeCell="T29" sqref="T29"/>
    </sheetView>
  </sheetViews>
  <sheetFormatPr defaultColWidth="8.81333333333333" defaultRowHeight="15"/>
  <cols>
    <col min="15" max="16" width="12.4533333333333"/>
    <col min="18" max="18" width="12.4533333333333"/>
  </cols>
  <sheetData>
    <row r="244" spans="16:18">
      <c r="P244">
        <f>0.0015/(0.000000000000000001)</f>
        <v>1500000000000000</v>
      </c>
      <c r="R244">
        <f>SQRT(P244)</f>
        <v>38729833.4620742</v>
      </c>
    </row>
    <row r="245" spans="18:18">
      <c r="R245">
        <f>R244*0.5*74.76*0.248</f>
        <v>359034851.353458</v>
      </c>
    </row>
    <row r="246" spans="18:18">
      <c r="R246">
        <f>R245/1000000</f>
        <v>359.034851353458</v>
      </c>
    </row>
    <row r="252" spans="15:16">
      <c r="O252">
        <f>50000000000000*SQRT(2.95)*1000000000</f>
        <v>8.58778201865883e+22</v>
      </c>
      <c r="P252">
        <f>50000000000000*0.0000037</f>
        <v>185000000</v>
      </c>
    </row>
    <row r="253" spans="15:18">
      <c r="O253">
        <f>0.0000037*SQRT(2.95)*0.001</f>
        <v>6.35495869380754e-9</v>
      </c>
      <c r="P253">
        <f>SQRT(P252)</f>
        <v>13601.4705087354</v>
      </c>
      <c r="R253">
        <f>O252*O253</f>
        <v>545750000000000</v>
      </c>
    </row>
    <row r="254" spans="15:15">
      <c r="O254">
        <f>SQRT(O252*O253)</f>
        <v>23361292.7724473</v>
      </c>
    </row>
    <row r="255" spans="15:15">
      <c r="O255">
        <f>O254*0.5*80*0.248</f>
        <v>231744024.302678</v>
      </c>
    </row>
    <row r="256" spans="15:15">
      <c r="O256">
        <f>O255/1000000</f>
        <v>231.744024302678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workbookViewId="0">
      <selection activeCell="A1" sqref="A1:O18"/>
    </sheetView>
  </sheetViews>
  <sheetFormatPr defaultColWidth="9" defaultRowHeight="15"/>
  <sheetData>
    <row r="1" spans="1: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/>
      <c r="B3" s="4"/>
      <c r="C3" s="3"/>
      <c r="D3" s="4"/>
      <c r="E3" s="3"/>
      <c r="F3" s="3"/>
      <c r="G3" s="3"/>
      <c r="H3" s="3"/>
      <c r="I3" s="4"/>
      <c r="J3" s="4"/>
      <c r="K3" s="4"/>
      <c r="L3" s="4"/>
      <c r="M3" s="4"/>
      <c r="N3" s="3"/>
      <c r="O3" s="3"/>
    </row>
    <row r="4" spans="1:15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3"/>
      <c r="O4" s="3"/>
    </row>
    <row r="5" spans="1:15">
      <c r="A5" s="3"/>
      <c r="B5" s="4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3"/>
      <c r="O5" s="3"/>
    </row>
    <row r="6" spans="1:15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4"/>
      <c r="M6" s="4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workbookViewId="0">
      <selection activeCell="A1" sqref="A1:O55"/>
    </sheetView>
  </sheetViews>
  <sheetFormatPr defaultColWidth="8.81333333333333" defaultRowHeight="15"/>
  <cols>
    <col min="1" max="4" width="12.4533333333333" style="1"/>
    <col min="5" max="6" width="13.6266666666667" style="1"/>
    <col min="7" max="8" width="12.4533333333333" style="1"/>
    <col min="9" max="14" width="13.6266666666667" style="1"/>
    <col min="15" max="15" width="12.4533333333333" style="1"/>
  </cols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0.0025830812468784</v>
      </c>
      <c r="B3" s="2">
        <v>2.1522136771662e-19</v>
      </c>
      <c r="C3" s="1">
        <v>92.681597653647</v>
      </c>
      <c r="D3" s="2">
        <v>7.2937689349216e-6</v>
      </c>
      <c r="E3" s="1">
        <v>-5.6421882977933</v>
      </c>
      <c r="F3" s="1">
        <v>-2.7149595452955</v>
      </c>
      <c r="G3" s="1">
        <v>8000000</v>
      </c>
      <c r="H3" s="1">
        <v>4000000</v>
      </c>
      <c r="I3" s="2">
        <v>-2.1508385557307e-6</v>
      </c>
      <c r="J3" s="2">
        <v>-2.0429349377588e-6</v>
      </c>
      <c r="K3" s="2">
        <v>7.7492130701593e-6</v>
      </c>
      <c r="L3" s="2">
        <v>-2.2281581880105e-7</v>
      </c>
      <c r="M3" s="2">
        <v>-2.3122283680628e-7</v>
      </c>
      <c r="N3" s="1">
        <v>1.5005008775323</v>
      </c>
      <c r="O3" s="1">
        <v>1.6159520571841</v>
      </c>
    </row>
    <row r="4" spans="1:15">
      <c r="A4" s="1">
        <v>0.018444056862426</v>
      </c>
      <c r="B4" s="2">
        <v>9.7850042971516e-17</v>
      </c>
      <c r="C4" s="1">
        <v>92.681702268497</v>
      </c>
      <c r="D4" s="2">
        <v>5.2081837114986e-5</v>
      </c>
      <c r="E4" s="1">
        <v>-5.6421931752264</v>
      </c>
      <c r="F4" s="1">
        <v>-2.7148310660571</v>
      </c>
      <c r="G4" s="1">
        <v>8000000</v>
      </c>
      <c r="H4" s="1">
        <v>4000000.0000001</v>
      </c>
      <c r="I4" s="2">
        <v>-1.536033520908e-5</v>
      </c>
      <c r="J4" s="2">
        <v>-1.4589688138057e-5</v>
      </c>
      <c r="K4" s="2">
        <v>5.533060692824e-5</v>
      </c>
      <c r="L4" s="2">
        <v>-1.1355899114434e-5</v>
      </c>
      <c r="M4" s="2">
        <v>-1.1784546342441e-5</v>
      </c>
      <c r="N4" s="1">
        <v>10.717013809756</v>
      </c>
      <c r="O4" s="1">
        <v>11.541294604316</v>
      </c>
    </row>
    <row r="5" spans="1:15">
      <c r="A5" s="1">
        <v>0.1</v>
      </c>
      <c r="B5" s="2">
        <v>2.6211973696342e-12</v>
      </c>
      <c r="C5" s="1">
        <v>92.681434370161</v>
      </c>
      <c r="D5" s="1">
        <v>0.00028243543515298</v>
      </c>
      <c r="E5" s="1">
        <v>-5.9012753961851</v>
      </c>
      <c r="F5" s="1">
        <v>-3.0087188064437</v>
      </c>
      <c r="G5" s="1">
        <v>8000000.0001332</v>
      </c>
      <c r="H5" s="1">
        <v>4000000.000683</v>
      </c>
      <c r="I5" s="2">
        <v>-8.3363917746433e-5</v>
      </c>
      <c r="J5" s="2">
        <v>-7.9180295354479e-5</v>
      </c>
      <c r="K5" s="1">
        <v>0.0002999540430901</v>
      </c>
      <c r="L5" s="1">
        <v>-0.0003320271675062</v>
      </c>
      <c r="M5" s="1">
        <v>-0.00034468762886005</v>
      </c>
      <c r="N5" s="1">
        <v>58.197093816804</v>
      </c>
      <c r="O5" s="1">
        <v>62.663978885071</v>
      </c>
    </row>
    <row r="6" spans="1:15">
      <c r="A6" s="1">
        <v>0.20668493909835</v>
      </c>
      <c r="B6" s="2">
        <v>2.9772293534004e-9</v>
      </c>
      <c r="C6" s="1">
        <v>92.686978438116</v>
      </c>
      <c r="D6" s="1">
        <v>0.00058389649442872</v>
      </c>
      <c r="E6" s="1">
        <v>-5.8276780824703</v>
      </c>
      <c r="F6" s="1">
        <v>-2.6709391697564</v>
      </c>
      <c r="G6" s="1">
        <v>8000000.1382723</v>
      </c>
      <c r="H6" s="1">
        <v>4000000.7091998</v>
      </c>
      <c r="I6" s="1">
        <v>-0.00017250022018352</v>
      </c>
      <c r="J6" s="1">
        <v>-0.00016384048118362</v>
      </c>
      <c r="K6" s="1">
        <v>0.00061985854416147</v>
      </c>
      <c r="L6" s="1">
        <v>-0.0014229982808927</v>
      </c>
      <c r="M6" s="1">
        <v>-0.0014767150985977</v>
      </c>
      <c r="N6" s="1">
        <v>120.50697442427</v>
      </c>
      <c r="O6" s="1">
        <v>129.73345351964</v>
      </c>
    </row>
    <row r="7" spans="1:15">
      <c r="A7" s="1">
        <v>0.40668493909835</v>
      </c>
      <c r="B7" s="2">
        <v>2.5838715339709e-5</v>
      </c>
      <c r="C7" s="1">
        <v>92.694897588327</v>
      </c>
      <c r="D7" s="1">
        <v>0.0011538999037604</v>
      </c>
      <c r="E7" s="1">
        <v>-6.0837953328895</v>
      </c>
      <c r="F7" s="1">
        <v>-2.5557095693374</v>
      </c>
      <c r="G7" s="1">
        <v>8001146.3737766</v>
      </c>
      <c r="H7" s="1">
        <v>4005880.8676204</v>
      </c>
      <c r="I7" s="1">
        <v>-0.00034600306437079</v>
      </c>
      <c r="J7" s="1">
        <v>-0.00032897226265659</v>
      </c>
      <c r="K7" s="1">
        <v>0.0012192957219289</v>
      </c>
      <c r="L7" s="1">
        <v>-0.005566211954929</v>
      </c>
      <c r="M7" s="1">
        <v>-0.0058278662201854</v>
      </c>
      <c r="N7" s="1">
        <v>233.04402073685</v>
      </c>
      <c r="O7" s="1">
        <v>250.94166235891</v>
      </c>
    </row>
    <row r="8" spans="1:15">
      <c r="A8" s="1">
        <v>0.60668493909835</v>
      </c>
      <c r="B8" s="1">
        <v>0.00040843007794426</v>
      </c>
      <c r="C8" s="1">
        <v>92.698428772515</v>
      </c>
      <c r="D8" s="1">
        <v>0.0017670392310798</v>
      </c>
      <c r="E8" s="1">
        <v>-6.0658340591939</v>
      </c>
      <c r="F8" s="1">
        <v>-2.3608983226384</v>
      </c>
      <c r="G8" s="1">
        <v>8018707.3657705</v>
      </c>
      <c r="H8" s="1">
        <v>4096044.4355661</v>
      </c>
      <c r="I8" s="1">
        <v>-0.00059472918946454</v>
      </c>
      <c r="J8" s="1">
        <v>-0.00056716858861494</v>
      </c>
      <c r="K8" s="1">
        <v>0.0018183713113527</v>
      </c>
      <c r="L8" s="1">
        <v>-0.01232394965991</v>
      </c>
      <c r="M8" s="1">
        <v>-0.012777059577994</v>
      </c>
      <c r="N8" s="1">
        <v>282.29427121816</v>
      </c>
      <c r="O8" s="1">
        <v>305.48687862217</v>
      </c>
    </row>
    <row r="9" spans="1:15">
      <c r="A9" s="1">
        <v>0.80668493909835</v>
      </c>
      <c r="B9" s="1">
        <v>0.0010041764251469</v>
      </c>
      <c r="C9" s="1">
        <v>92.698470280487</v>
      </c>
      <c r="D9" s="1">
        <v>0.0023978051429275</v>
      </c>
      <c r="E9" s="1">
        <v>-6.1070876121299</v>
      </c>
      <c r="F9" s="1">
        <v>-2.2019434956809</v>
      </c>
      <c r="G9" s="1">
        <v>8047652.3841791</v>
      </c>
      <c r="H9" s="1">
        <v>4244817.764436</v>
      </c>
      <c r="I9" s="1">
        <v>-0.00088721551785778</v>
      </c>
      <c r="J9" s="1">
        <v>-0.00084582565728072</v>
      </c>
      <c r="K9" s="1">
        <v>0.0024170821571885</v>
      </c>
      <c r="L9" s="1">
        <v>-0.016196153812599</v>
      </c>
      <c r="M9" s="1">
        <v>-0.01678908581075</v>
      </c>
      <c r="N9" s="1">
        <v>294.69451293698</v>
      </c>
      <c r="O9" s="1">
        <v>320.43354394559</v>
      </c>
    </row>
    <row r="10" spans="1:15">
      <c r="A10" s="1">
        <v>1.0066849390983</v>
      </c>
      <c r="B10" s="1">
        <v>0.0016293971184004</v>
      </c>
      <c r="C10" s="1">
        <v>92.698645201134</v>
      </c>
      <c r="D10" s="1">
        <v>0.0030323446430843</v>
      </c>
      <c r="E10" s="1">
        <v>-6.1941633556817</v>
      </c>
      <c r="F10" s="1">
        <v>-2.1612193831222</v>
      </c>
      <c r="G10" s="1">
        <v>8079608.2482972</v>
      </c>
      <c r="H10" s="1">
        <v>4409213.5085336</v>
      </c>
      <c r="I10" s="1">
        <v>-0.0011872232172152</v>
      </c>
      <c r="J10" s="1">
        <v>-0.0011314911695782</v>
      </c>
      <c r="K10" s="1">
        <v>0.0030154271407366</v>
      </c>
      <c r="L10" s="1">
        <v>-0.021832894481248</v>
      </c>
      <c r="M10" s="1">
        <v>-0.022458003584803</v>
      </c>
      <c r="N10" s="1">
        <v>300.5110691738</v>
      </c>
      <c r="O10" s="1">
        <v>327.88180701815</v>
      </c>
    </row>
    <row r="11" spans="1:15">
      <c r="A11" s="1">
        <v>1.2066849390983</v>
      </c>
      <c r="B11" s="1">
        <v>0.0022601328497744</v>
      </c>
      <c r="C11" s="1">
        <v>92.698780977139</v>
      </c>
      <c r="D11" s="1">
        <v>0.0036686676436212</v>
      </c>
      <c r="E11" s="1">
        <v>-6.2288269167096</v>
      </c>
      <c r="F11" s="1">
        <v>-2.1286252522353</v>
      </c>
      <c r="G11" s="1">
        <v>8113016.4316645</v>
      </c>
      <c r="H11" s="1">
        <v>4581202.5537479</v>
      </c>
      <c r="I11" s="1">
        <v>-0.0014892581855562</v>
      </c>
      <c r="J11" s="1">
        <v>-0.0014198358260606</v>
      </c>
      <c r="K11" s="1">
        <v>0.0036134074717349</v>
      </c>
      <c r="L11" s="1">
        <v>-0.027388403788886</v>
      </c>
      <c r="M11" s="1">
        <v>-0.028072482435491</v>
      </c>
      <c r="N11" s="1">
        <v>304.04966682311</v>
      </c>
      <c r="O11" s="1">
        <v>332.60240332536</v>
      </c>
    </row>
    <row r="12" spans="1:15">
      <c r="A12" s="1">
        <v>1.4066849390983</v>
      </c>
      <c r="B12" s="1">
        <v>0.0028920218131447</v>
      </c>
      <c r="C12" s="1">
        <v>92.698861642343</v>
      </c>
      <c r="D12" s="1">
        <v>0.0043055375595904</v>
      </c>
      <c r="E12" s="1">
        <v>-6.2562141879539</v>
      </c>
      <c r="F12" s="1">
        <v>-2.1250013653765</v>
      </c>
      <c r="G12" s="1">
        <v>8147313.9175656</v>
      </c>
      <c r="H12" s="1">
        <v>4757879.6894049</v>
      </c>
      <c r="I12" s="1">
        <v>-0.0017919488841244</v>
      </c>
      <c r="J12" s="1">
        <v>-0.0017095084161094</v>
      </c>
      <c r="K12" s="1">
        <v>0.00421102412829</v>
      </c>
      <c r="L12" s="1">
        <v>-0.033036664367549</v>
      </c>
      <c r="M12" s="1">
        <v>-0.033771625510212</v>
      </c>
      <c r="N12" s="1">
        <v>306.5149501359</v>
      </c>
      <c r="O12" s="1">
        <v>335.97615814648</v>
      </c>
    </row>
    <row r="13" spans="1:15">
      <c r="A13" s="1">
        <v>1.6066849390983</v>
      </c>
      <c r="B13" s="1">
        <v>0.0035240020398961</v>
      </c>
      <c r="C13" s="1">
        <v>92.698887600244</v>
      </c>
      <c r="D13" s="1">
        <v>0.004942326188466</v>
      </c>
      <c r="E13" s="1">
        <v>-6.2724989426613</v>
      </c>
      <c r="F13" s="1">
        <v>-2.121368386971</v>
      </c>
      <c r="G13" s="1">
        <v>8182212.3499035</v>
      </c>
      <c r="H13" s="1">
        <v>4937758.4103538</v>
      </c>
      <c r="I13" s="1">
        <v>-0.0020948469717028</v>
      </c>
      <c r="J13" s="1">
        <v>-0.001999833793864</v>
      </c>
      <c r="K13" s="1">
        <v>0.004808277847614</v>
      </c>
      <c r="L13" s="1">
        <v>-0.038762753036311</v>
      </c>
      <c r="M13" s="1">
        <v>-0.039534842035295</v>
      </c>
      <c r="N13" s="1">
        <v>308.41072544637</v>
      </c>
      <c r="O13" s="1">
        <v>338.59682941882</v>
      </c>
    </row>
    <row r="14" spans="1:15">
      <c r="A14" s="1">
        <v>1.8066849390983</v>
      </c>
      <c r="B14" s="1">
        <v>0.0041557934750022</v>
      </c>
      <c r="C14" s="1">
        <v>92.69887426106</v>
      </c>
      <c r="D14" s="1">
        <v>0.0055787592146181</v>
      </c>
      <c r="E14" s="1">
        <v>-6.2803867791029</v>
      </c>
      <c r="F14" s="1">
        <v>-2.1260541521737</v>
      </c>
      <c r="G14" s="1">
        <v>8217549.4872593</v>
      </c>
      <c r="H14" s="1">
        <v>5120003.997577</v>
      </c>
      <c r="I14" s="1">
        <v>-0.0023978025475871</v>
      </c>
      <c r="J14" s="1">
        <v>-0.002290439119015</v>
      </c>
      <c r="K14" s="1">
        <v>0.0054051691956714</v>
      </c>
      <c r="L14" s="1">
        <v>-0.044511789864488</v>
      </c>
      <c r="M14" s="1">
        <v>-0.045334659857703</v>
      </c>
      <c r="N14" s="1">
        <v>309.9751779751</v>
      </c>
      <c r="O14" s="1">
        <v>340.7551242599</v>
      </c>
    </row>
    <row r="15" spans="1:15">
      <c r="A15" s="1">
        <v>2.0066849390983</v>
      </c>
      <c r="B15" s="1">
        <v>0.0047872938627361</v>
      </c>
      <c r="C15" s="1">
        <v>92.698827125492</v>
      </c>
      <c r="D15" s="1">
        <v>0.0062147310918853</v>
      </c>
      <c r="E15" s="1">
        <v>-6.2813943298162</v>
      </c>
      <c r="F15" s="1">
        <v>-2.1265836427281</v>
      </c>
      <c r="G15" s="1">
        <v>8253227.3125479</v>
      </c>
      <c r="H15" s="1">
        <v>5304113.489589</v>
      </c>
      <c r="I15" s="1">
        <v>-0.0027007507166469</v>
      </c>
      <c r="J15" s="1">
        <v>-0.0025811254112643</v>
      </c>
      <c r="K15" s="1">
        <v>0.0060016986917356</v>
      </c>
      <c r="L15" s="1">
        <v>-0.050309372504033</v>
      </c>
      <c r="M15" s="1">
        <v>-0.051185785978774</v>
      </c>
      <c r="N15" s="1">
        <v>311.33091395892</v>
      </c>
      <c r="O15" s="1">
        <v>342.60777505909</v>
      </c>
    </row>
    <row r="16" spans="1:15">
      <c r="A16" s="1">
        <v>2.2066849390983</v>
      </c>
      <c r="B16" s="1">
        <v>0.0054184531976057</v>
      </c>
      <c r="C16" s="1">
        <v>92.698773484334</v>
      </c>
      <c r="D16" s="1">
        <v>0.0068502058920748</v>
      </c>
      <c r="E16" s="1">
        <v>-6.2850419961486</v>
      </c>
      <c r="F16" s="1">
        <v>-2.1354164720557</v>
      </c>
      <c r="G16" s="1">
        <v>8289182.4800301</v>
      </c>
      <c r="H16" s="1">
        <v>5489762.9127148</v>
      </c>
      <c r="I16" s="1">
        <v>-0.003003652698903</v>
      </c>
      <c r="J16" s="1">
        <v>-0.0028717846405746</v>
      </c>
      <c r="K16" s="1">
        <v>0.0065978668589919</v>
      </c>
      <c r="L16" s="1">
        <v>-0.056184795193726</v>
      </c>
      <c r="M16" s="1">
        <v>-0.057118321471988</v>
      </c>
      <c r="N16" s="1">
        <v>312.54740244511</v>
      </c>
      <c r="O16" s="1">
        <v>344.24748923222</v>
      </c>
    </row>
    <row r="17" spans="1:15">
      <c r="A17" s="1">
        <v>2.4066849390983</v>
      </c>
      <c r="B17" s="1">
        <v>0.0060492557283198</v>
      </c>
      <c r="C17" s="1">
        <v>92.6987125023</v>
      </c>
      <c r="D17" s="1">
        <v>0.0074851826182617</v>
      </c>
      <c r="E17" s="1">
        <v>-6.2708519501945</v>
      </c>
      <c r="F17" s="1">
        <v>-2.1400931611487</v>
      </c>
      <c r="G17" s="1">
        <v>8325372.1122605</v>
      </c>
      <c r="H17" s="1">
        <v>5676733.8790172</v>
      </c>
      <c r="I17" s="1">
        <v>-0.0033064875840388</v>
      </c>
      <c r="J17" s="1">
        <v>-0.0031623544626445</v>
      </c>
      <c r="K17" s="1">
        <v>0.0071936742121733</v>
      </c>
      <c r="L17" s="1">
        <v>-0.062223522654944</v>
      </c>
      <c r="M17" s="1">
        <v>-0.063165237161219</v>
      </c>
      <c r="N17" s="1">
        <v>313.66495967915</v>
      </c>
      <c r="O17" s="1">
        <v>345.73156108099</v>
      </c>
    </row>
    <row r="18" spans="1:15">
      <c r="A18" s="1">
        <v>2.6066849390983</v>
      </c>
      <c r="B18" s="1">
        <v>0.0066796916822215</v>
      </c>
      <c r="C18" s="1">
        <v>92.698638349674</v>
      </c>
      <c r="D18" s="1">
        <v>0.0081196703004272</v>
      </c>
      <c r="E18" s="1">
        <v>-6.2592050268334</v>
      </c>
      <c r="F18" s="1">
        <v>-2.1531701689933</v>
      </c>
      <c r="G18" s="1">
        <v>8361765.6606279</v>
      </c>
      <c r="H18" s="1">
        <v>5864871.5020658</v>
      </c>
      <c r="I18" s="1">
        <v>-0.0036092423013232</v>
      </c>
      <c r="J18" s="1">
        <v>-0.0034527951407989</v>
      </c>
      <c r="K18" s="1">
        <v>0.007789121253336</v>
      </c>
      <c r="L18" s="1">
        <v>-0.068292019680217</v>
      </c>
      <c r="M18" s="1">
        <v>-0.069257861414598</v>
      </c>
      <c r="N18" s="1">
        <v>314.70921773015</v>
      </c>
      <c r="O18" s="1">
        <v>347.09802890893</v>
      </c>
    </row>
    <row r="19" spans="1:15">
      <c r="A19" s="1">
        <v>2.8066849390983</v>
      </c>
      <c r="B19" s="1">
        <v>0.00730975380538</v>
      </c>
      <c r="C19" s="1">
        <v>92.698534059799</v>
      </c>
      <c r="D19" s="1">
        <v>0.0087536841491547</v>
      </c>
      <c r="E19" s="1">
        <v>-6.2600992453627</v>
      </c>
      <c r="F19" s="1">
        <v>-2.1537083074253</v>
      </c>
      <c r="G19" s="1">
        <v>8398340.6373926</v>
      </c>
      <c r="H19" s="1">
        <v>6054062.3099614</v>
      </c>
      <c r="I19" s="1">
        <v>-0.0039119079764653</v>
      </c>
      <c r="J19" s="1">
        <v>-0.0037430832529093</v>
      </c>
      <c r="K19" s="1">
        <v>0.0083842084822922</v>
      </c>
      <c r="L19" s="1">
        <v>-0.074529343836394</v>
      </c>
      <c r="M19" s="1">
        <v>-0.075506933095338</v>
      </c>
      <c r="N19" s="1">
        <v>315.69665237696</v>
      </c>
      <c r="O19" s="1">
        <v>348.3725740164</v>
      </c>
    </row>
    <row r="20" spans="1:15">
      <c r="A20" s="1">
        <v>3.0066849390983</v>
      </c>
      <c r="B20" s="1">
        <v>0.0079394404625628</v>
      </c>
      <c r="C20" s="1">
        <v>92.698420993916</v>
      </c>
      <c r="D20" s="1">
        <v>0.0093872411245044</v>
      </c>
      <c r="E20" s="1">
        <v>-6.2677618446424</v>
      </c>
      <c r="F20" s="1">
        <v>-2.1584348499865</v>
      </c>
      <c r="G20" s="1">
        <v>8435079.7872734</v>
      </c>
      <c r="H20" s="1">
        <v>6244219.6732437</v>
      </c>
      <c r="I20" s="1">
        <v>-0.0042144760684904</v>
      </c>
      <c r="J20" s="1">
        <v>-0.0040332032579432</v>
      </c>
      <c r="K20" s="1">
        <v>0.0089789363823761</v>
      </c>
      <c r="L20" s="1">
        <v>-0.080708267816691</v>
      </c>
      <c r="M20" s="1">
        <v>-0.081691848785324</v>
      </c>
      <c r="N20" s="1">
        <v>316.63889459273</v>
      </c>
      <c r="O20" s="1">
        <v>349.57348134579</v>
      </c>
    </row>
    <row r="21" spans="1:15">
      <c r="A21" s="1">
        <v>3.2066849390983</v>
      </c>
      <c r="B21" s="1">
        <v>0.0085687537882841</v>
      </c>
      <c r="C21" s="1">
        <v>92.698302039063</v>
      </c>
      <c r="D21" s="1">
        <v>0.010020362383308</v>
      </c>
      <c r="E21" s="1">
        <v>-6.2644159555466</v>
      </c>
      <c r="F21" s="1">
        <v>-2.1631680032609</v>
      </c>
      <c r="G21" s="1">
        <v>8471969.328083</v>
      </c>
      <c r="H21" s="1">
        <v>6435274.7638598</v>
      </c>
      <c r="I21" s="1">
        <v>-0.0045169399995187</v>
      </c>
      <c r="J21" s="1">
        <v>-0.0043231470067794</v>
      </c>
      <c r="K21" s="1">
        <v>0.0095733054466391</v>
      </c>
      <c r="L21" s="1">
        <v>-0.086972165455278</v>
      </c>
      <c r="M21" s="1">
        <v>-0.087959356306032</v>
      </c>
      <c r="N21" s="1">
        <v>317.54395818871</v>
      </c>
      <c r="O21" s="1">
        <v>350.71427819226</v>
      </c>
    </row>
    <row r="22" spans="1:15">
      <c r="A22" s="1">
        <v>3.4066849390983</v>
      </c>
      <c r="B22" s="1">
        <v>0.0091977001502204</v>
      </c>
      <c r="C22" s="1">
        <v>92.698177719623</v>
      </c>
      <c r="D22" s="1">
        <v>0.01065306941444</v>
      </c>
      <c r="E22" s="1">
        <v>-6.2610957506368</v>
      </c>
      <c r="F22" s="1">
        <v>-2.1678587170842</v>
      </c>
      <c r="G22" s="1">
        <v>8508997.9913563</v>
      </c>
      <c r="H22" s="1">
        <v>6627171.600377</v>
      </c>
      <c r="I22" s="1">
        <v>-0.0048192947933828</v>
      </c>
      <c r="J22" s="1">
        <v>-0.004612908383044</v>
      </c>
      <c r="K22" s="1">
        <v>0.010167316156291</v>
      </c>
      <c r="L22" s="1">
        <v>-0.093337928521891</v>
      </c>
      <c r="M22" s="1">
        <v>-0.094325457398335</v>
      </c>
      <c r="N22" s="1">
        <v>318.41773709836</v>
      </c>
      <c r="O22" s="1">
        <v>351.80500640239</v>
      </c>
    </row>
    <row r="23" spans="1:15">
      <c r="A23" s="1">
        <v>3.6066849390983</v>
      </c>
      <c r="B23" s="1">
        <v>0.0098262875600622</v>
      </c>
      <c r="C23" s="1">
        <v>92.698055237773</v>
      </c>
      <c r="D23" s="1">
        <v>0.011285382701562</v>
      </c>
      <c r="E23" s="1">
        <v>-6.253614502958</v>
      </c>
      <c r="F23" s="1">
        <v>-2.1766879319342</v>
      </c>
      <c r="G23" s="1">
        <v>8546156.2852776</v>
      </c>
      <c r="H23" s="1">
        <v>6819863.2345728</v>
      </c>
      <c r="I23" s="1">
        <v>-0.0051215353086327</v>
      </c>
      <c r="J23" s="1">
        <v>-0.0049024830015017</v>
      </c>
      <c r="K23" s="1">
        <v>0.010760968996988</v>
      </c>
      <c r="L23" s="1">
        <v>-0.099726642653436</v>
      </c>
      <c r="M23" s="1">
        <v>-0.10072223177308</v>
      </c>
      <c r="N23" s="1">
        <v>319.26505344789</v>
      </c>
      <c r="O23" s="1">
        <v>352.85378655322</v>
      </c>
    </row>
    <row r="24" spans="1:15">
      <c r="A24" s="1">
        <v>3.8066849390983</v>
      </c>
      <c r="B24" s="1">
        <v>0.01045452631863</v>
      </c>
      <c r="C24" s="1">
        <v>92.697930568264</v>
      </c>
      <c r="D24" s="1">
        <v>0.011917322069425</v>
      </c>
      <c r="E24" s="1">
        <v>-6.2460555363071</v>
      </c>
      <c r="F24" s="1">
        <v>-2.1745946680822</v>
      </c>
      <c r="G24" s="1">
        <v>8583436.2111807</v>
      </c>
      <c r="H24" s="1">
        <v>7013310.3014555</v>
      </c>
      <c r="I24" s="1">
        <v>-0.0054236581314477</v>
      </c>
      <c r="J24" s="1">
        <v>-0.0051918681394366</v>
      </c>
      <c r="K24" s="1">
        <v>0.011354264450797</v>
      </c>
      <c r="L24" s="1">
        <v>-0.10614921769337</v>
      </c>
      <c r="M24" s="1">
        <v>-0.10713926659508</v>
      </c>
      <c r="N24" s="1">
        <v>320.08926119219</v>
      </c>
      <c r="O24" s="1">
        <v>353.86660710793</v>
      </c>
    </row>
    <row r="25" spans="1:15">
      <c r="A25" s="1">
        <v>4.0066849390983</v>
      </c>
      <c r="B25" s="1">
        <v>0.01108242786037</v>
      </c>
      <c r="C25" s="1">
        <v>92.69780007736</v>
      </c>
      <c r="D25" s="1">
        <v>0.012548905758721</v>
      </c>
      <c r="E25" s="1">
        <v>-6.246843996022</v>
      </c>
      <c r="F25" s="1">
        <v>-2.1751404524695</v>
      </c>
      <c r="G25" s="1">
        <v>8620830.8376001</v>
      </c>
      <c r="H25" s="1">
        <v>7207478.7964698</v>
      </c>
      <c r="I25" s="1">
        <v>-0.0057256595368954</v>
      </c>
      <c r="J25" s="1">
        <v>-0.0054810625184407</v>
      </c>
      <c r="K25" s="1">
        <v>0.011947202990847</v>
      </c>
      <c r="L25" s="1">
        <v>-0.1126396723102</v>
      </c>
      <c r="M25" s="1">
        <v>-0.11360518466288</v>
      </c>
      <c r="N25" s="1">
        <v>320.89315472634</v>
      </c>
      <c r="O25" s="1">
        <v>354.84841208392</v>
      </c>
    </row>
    <row r="26" spans="1:15">
      <c r="A26" s="1">
        <v>4.2066849390983</v>
      </c>
      <c r="B26" s="1">
        <v>0.011710003366145</v>
      </c>
      <c r="C26" s="1">
        <v>92.69769036065</v>
      </c>
      <c r="D26" s="1">
        <v>0.013180150332743</v>
      </c>
      <c r="E26" s="1">
        <v>-6.2308142024391</v>
      </c>
      <c r="F26" s="1">
        <v>-2.1814792288362</v>
      </c>
      <c r="G26" s="1">
        <v>8658334.0827604</v>
      </c>
      <c r="H26" s="1">
        <v>7402338.9821595</v>
      </c>
      <c r="I26" s="1">
        <v>-0.0060275358615657</v>
      </c>
      <c r="J26" s="1">
        <v>-0.0057700663780273</v>
      </c>
      <c r="K26" s="1">
        <v>0.01253978508071</v>
      </c>
      <c r="L26" s="1">
        <v>-0.11932087505382</v>
      </c>
      <c r="M26" s="1">
        <v>-0.12027217858781</v>
      </c>
      <c r="N26" s="1">
        <v>321.67897192872</v>
      </c>
      <c r="O26" s="1">
        <v>355.80331268014</v>
      </c>
    </row>
    <row r="27" spans="1:15">
      <c r="A27" s="1">
        <v>4.4066849390983</v>
      </c>
      <c r="B27" s="1">
        <v>0.012337263626964</v>
      </c>
      <c r="C27" s="1">
        <v>92.697556584541</v>
      </c>
      <c r="D27" s="1">
        <v>0.013811071435985</v>
      </c>
      <c r="E27" s="1">
        <v>-6.2315702789266</v>
      </c>
      <c r="F27" s="1">
        <v>-2.1710501249354</v>
      </c>
      <c r="G27" s="1">
        <v>8695940.516365</v>
      </c>
      <c r="H27" s="1">
        <v>7597864.3668132</v>
      </c>
      <c r="I27" s="1">
        <v>-0.0063292823557397</v>
      </c>
      <c r="J27" s="1">
        <v>-0.0060588788076264</v>
      </c>
      <c r="K27" s="1">
        <v>0.013132011182749</v>
      </c>
      <c r="L27" s="1">
        <v>-0.12568647467919</v>
      </c>
      <c r="M27" s="1">
        <v>-0.12665948084869</v>
      </c>
      <c r="N27" s="1">
        <v>322.44856607067</v>
      </c>
      <c r="O27" s="1">
        <v>356.73405297789</v>
      </c>
    </row>
    <row r="28" spans="1:15">
      <c r="A28" s="1">
        <v>4.6066849390983</v>
      </c>
      <c r="B28" s="1">
        <v>0.012964219479995</v>
      </c>
      <c r="C28" s="1">
        <v>92.697419100202</v>
      </c>
      <c r="D28" s="1">
        <v>0.014441683280221</v>
      </c>
      <c r="E28" s="1">
        <v>-6.2323170896388</v>
      </c>
      <c r="F28" s="1">
        <v>-2.171607938925</v>
      </c>
      <c r="G28" s="1">
        <v>8733645.2507324</v>
      </c>
      <c r="H28" s="1">
        <v>7794031.1563547</v>
      </c>
      <c r="I28" s="1">
        <v>-0.006630896983792</v>
      </c>
      <c r="J28" s="1">
        <v>-0.0063475019730801</v>
      </c>
      <c r="K28" s="1">
        <v>0.013723881751262</v>
      </c>
      <c r="L28" s="1">
        <v>-0.13231364726851</v>
      </c>
      <c r="M28" s="1">
        <v>-0.1332567664614</v>
      </c>
      <c r="N28" s="1">
        <v>323.2033378572</v>
      </c>
      <c r="O28" s="1">
        <v>357.64369747892</v>
      </c>
    </row>
    <row r="29" spans="1:15">
      <c r="A29" s="1">
        <v>4.8066849390983</v>
      </c>
      <c r="B29" s="1">
        <v>0.013590881121253</v>
      </c>
      <c r="C29" s="1">
        <v>92.697276591297</v>
      </c>
      <c r="D29" s="1">
        <v>0.015071998680705</v>
      </c>
      <c r="E29" s="1">
        <v>-6.228808891532</v>
      </c>
      <c r="F29" s="1">
        <v>-2.1764067108013</v>
      </c>
      <c r="G29" s="1">
        <v>8771443.808806</v>
      </c>
      <c r="H29" s="1">
        <v>7990817.5651949</v>
      </c>
      <c r="I29" s="1">
        <v>-0.0069323754956858</v>
      </c>
      <c r="J29" s="1">
        <v>-0.0066359363521863</v>
      </c>
      <c r="K29" s="1">
        <v>0.014315397245218</v>
      </c>
      <c r="L29" s="1">
        <v>-0.13887001536665</v>
      </c>
      <c r="M29" s="1">
        <v>-0.13981772256816</v>
      </c>
      <c r="N29" s="1">
        <v>323.94465053171</v>
      </c>
      <c r="O29" s="1">
        <v>358.53426440362</v>
      </c>
    </row>
    <row r="30" spans="1:15">
      <c r="A30" s="1">
        <v>5.0066849390983</v>
      </c>
      <c r="B30" s="1">
        <v>0.014217259315947</v>
      </c>
      <c r="C30" s="1">
        <v>92.697140125999</v>
      </c>
      <c r="D30" s="1">
        <v>0.015702030486772</v>
      </c>
      <c r="E30" s="1">
        <v>-6.2143469517606</v>
      </c>
      <c r="F30" s="1">
        <v>-2.181167062012</v>
      </c>
      <c r="G30" s="1">
        <v>8809332.0656995</v>
      </c>
      <c r="H30" s="1">
        <v>8188203.5366526</v>
      </c>
      <c r="I30" s="1">
        <v>-0.0072337144976507</v>
      </c>
      <c r="J30" s="1">
        <v>-0.0069241843312143</v>
      </c>
      <c r="K30" s="1">
        <v>0.014906558115146</v>
      </c>
      <c r="L30" s="1">
        <v>-0.14551045235481</v>
      </c>
      <c r="M30" s="1">
        <v>-0.14645705444527</v>
      </c>
      <c r="N30" s="1">
        <v>324.67350649252</v>
      </c>
      <c r="O30" s="1">
        <v>359.40767068486</v>
      </c>
    </row>
    <row r="31" spans="1:15">
      <c r="A31" s="1">
        <v>5.2066849390983</v>
      </c>
      <c r="B31" s="1">
        <v>0.014843363720896</v>
      </c>
      <c r="C31" s="1">
        <v>92.696994387279</v>
      </c>
      <c r="D31" s="1">
        <v>0.016331789814237</v>
      </c>
      <c r="E31" s="1">
        <v>-6.2108526781342</v>
      </c>
      <c r="F31" s="1">
        <v>-2.1859392867116</v>
      </c>
      <c r="G31" s="1">
        <v>8847306.1985391</v>
      </c>
      <c r="H31" s="1">
        <v>8386170.4785175</v>
      </c>
      <c r="I31" s="1">
        <v>-0.0075349103453707</v>
      </c>
      <c r="J31" s="1">
        <v>-0.0072122476305958</v>
      </c>
      <c r="K31" s="1">
        <v>0.01549736481074</v>
      </c>
      <c r="L31" s="1">
        <v>-0.15215758375899</v>
      </c>
      <c r="M31" s="1">
        <v>-0.15309134615634</v>
      </c>
      <c r="N31" s="1">
        <v>325.39085048592</v>
      </c>
      <c r="O31" s="1">
        <v>360.26543349262</v>
      </c>
    </row>
    <row r="32" spans="1:15">
      <c r="A32" s="1">
        <v>5.4066849390983</v>
      </c>
      <c r="B32" s="1">
        <v>0.015469204062334</v>
      </c>
      <c r="C32" s="1">
        <v>92.696839417485</v>
      </c>
      <c r="D32" s="1">
        <v>0.016961288045742</v>
      </c>
      <c r="E32" s="1">
        <v>-6.2005741813688</v>
      </c>
      <c r="F32" s="1">
        <v>-2.1645381139374</v>
      </c>
      <c r="G32" s="1">
        <v>8885362.5853457</v>
      </c>
      <c r="H32" s="1">
        <v>8584700.7488989</v>
      </c>
      <c r="I32" s="1">
        <v>-0.0078359605497432</v>
      </c>
      <c r="J32" s="1">
        <v>-0.0075001275199495</v>
      </c>
      <c r="K32" s="1">
        <v>0.016087817784196</v>
      </c>
      <c r="L32" s="1">
        <v>-0.15886371536524</v>
      </c>
      <c r="M32" s="1">
        <v>-0.15977418300976</v>
      </c>
      <c r="N32" s="1">
        <v>326.09757384146</v>
      </c>
      <c r="O32" s="1">
        <v>361.1090334081</v>
      </c>
    </row>
    <row r="33" spans="1:15">
      <c r="A33" s="1">
        <v>5.6066849390983</v>
      </c>
      <c r="B33" s="1">
        <v>0.016094790730826</v>
      </c>
      <c r="C33" s="1">
        <v>92.696678463665</v>
      </c>
      <c r="D33" s="1">
        <v>0.017590535462743</v>
      </c>
      <c r="E33" s="1">
        <v>-6.2012752564846</v>
      </c>
      <c r="F33" s="1">
        <v>-2.1431388858674</v>
      </c>
      <c r="G33" s="1">
        <v>8923497.8844941</v>
      </c>
      <c r="H33" s="1">
        <v>8783778.0721494</v>
      </c>
      <c r="I33" s="1">
        <v>-0.0081368627110561</v>
      </c>
      <c r="J33" s="1">
        <v>-0.0077878253468104</v>
      </c>
      <c r="K33" s="1">
        <v>0.016677917483747</v>
      </c>
      <c r="L33" s="1">
        <v>-0.1655631995299</v>
      </c>
      <c r="M33" s="1">
        <v>-0.16648301847324</v>
      </c>
      <c r="N33" s="1">
        <v>326.79428189363</v>
      </c>
      <c r="O33" s="1">
        <v>361.93951517593</v>
      </c>
    </row>
    <row r="34" spans="1:15">
      <c r="A34" s="1">
        <v>5.8066849390983</v>
      </c>
      <c r="B34" s="1">
        <v>0.01672013115343</v>
      </c>
      <c r="C34" s="1">
        <v>92.696522126105</v>
      </c>
      <c r="D34" s="1">
        <v>0.01821954189882</v>
      </c>
      <c r="E34" s="1">
        <v>-6.197712035056</v>
      </c>
      <c r="F34" s="1">
        <v>-2.1479669105678</v>
      </c>
      <c r="G34" s="1">
        <v>8961708.8120277</v>
      </c>
      <c r="H34" s="1">
        <v>8983386.3828373</v>
      </c>
      <c r="I34" s="1">
        <v>-0.0084376151965116</v>
      </c>
      <c r="J34" s="1">
        <v>-0.0080753415779177</v>
      </c>
      <c r="K34" s="1">
        <v>0.01726766435437</v>
      </c>
      <c r="L34" s="1">
        <v>-0.17232206142845</v>
      </c>
      <c r="M34" s="1">
        <v>-0.17322134119978</v>
      </c>
      <c r="N34" s="1">
        <v>327.48179091412</v>
      </c>
      <c r="O34" s="1">
        <v>362.75810798825</v>
      </c>
    </row>
    <row r="35" spans="1:15">
      <c r="A35" s="1">
        <v>6.0066849390983</v>
      </c>
      <c r="B35" s="1">
        <v>0.017345236951609</v>
      </c>
      <c r="C35" s="1">
        <v>92.69635873246</v>
      </c>
      <c r="D35" s="1">
        <v>0.018848316765644</v>
      </c>
      <c r="E35" s="1">
        <v>-6.1983976849117</v>
      </c>
      <c r="F35" s="1">
        <v>-2.1155882981656</v>
      </c>
      <c r="G35" s="1">
        <v>8999992.4789204</v>
      </c>
      <c r="H35" s="1">
        <v>9183511.581845</v>
      </c>
      <c r="I35" s="1">
        <v>-0.008738216369318</v>
      </c>
      <c r="J35" s="1">
        <v>-0.0083626771835056</v>
      </c>
      <c r="K35" s="1">
        <v>0.017857058838912</v>
      </c>
      <c r="L35" s="1">
        <v>-0.17903990672117</v>
      </c>
      <c r="M35" s="1">
        <v>-0.1799121342394</v>
      </c>
      <c r="N35" s="1">
        <v>328.16040960752</v>
      </c>
      <c r="O35" s="1">
        <v>363.56530107883</v>
      </c>
    </row>
    <row r="36" spans="1:15">
      <c r="A36" s="1">
        <v>6.2066849390983</v>
      </c>
      <c r="B36" s="1">
        <v>0.017970113819641</v>
      </c>
      <c r="C36" s="1">
        <v>92.696189687236</v>
      </c>
      <c r="D36" s="1">
        <v>0.019476868708699</v>
      </c>
      <c r="E36" s="1">
        <v>-6.2100640257816</v>
      </c>
      <c r="F36" s="1">
        <v>-2.1161706505293</v>
      </c>
      <c r="G36" s="1">
        <v>9038345.9386124</v>
      </c>
      <c r="H36" s="1">
        <v>9384139.1766652</v>
      </c>
      <c r="I36" s="1">
        <v>-0.0090386650389064</v>
      </c>
      <c r="J36" s="1">
        <v>-0.0086498326455642</v>
      </c>
      <c r="K36" s="1">
        <v>0.018446101385916</v>
      </c>
      <c r="L36" s="1">
        <v>-0.18576851630538</v>
      </c>
      <c r="M36" s="1">
        <v>-0.18664301546138</v>
      </c>
      <c r="N36" s="1">
        <v>328.83081692839</v>
      </c>
      <c r="O36" s="1">
        <v>364.36211271138</v>
      </c>
    </row>
    <row r="37" spans="1:15">
      <c r="A37" s="1">
        <v>6.4066849390983</v>
      </c>
      <c r="B37" s="1">
        <v>0.018594770115525</v>
      </c>
      <c r="C37" s="1">
        <v>92.696016599608</v>
      </c>
      <c r="D37" s="1">
        <v>0.020105205994224</v>
      </c>
      <c r="E37" s="1">
        <v>-6.2107385469439</v>
      </c>
      <c r="F37" s="1">
        <v>-2.1167550887551</v>
      </c>
      <c r="G37" s="1">
        <v>9076766.5149639</v>
      </c>
      <c r="H37" s="1">
        <v>9585256.0066569</v>
      </c>
      <c r="I37" s="1">
        <v>-0.0093389600805916</v>
      </c>
      <c r="J37" s="1">
        <v>-0.0089368088893863</v>
      </c>
      <c r="K37" s="1">
        <v>0.01903479243239</v>
      </c>
      <c r="L37" s="1">
        <v>-0.1925449845029</v>
      </c>
      <c r="M37" s="1">
        <v>-0.19341130662977</v>
      </c>
      <c r="N37" s="1">
        <v>329.49334376619</v>
      </c>
      <c r="O37" s="1">
        <v>365.14905224374</v>
      </c>
    </row>
    <row r="38" spans="1:15">
      <c r="A38" s="1">
        <v>6.6066849390983</v>
      </c>
      <c r="B38" s="1">
        <v>0.019219212428855</v>
      </c>
      <c r="C38" s="1">
        <v>92.695839992065</v>
      </c>
      <c r="D38" s="1">
        <v>0.020733335948414</v>
      </c>
      <c r="E38" s="1">
        <v>-6.1894350773718</v>
      </c>
      <c r="F38" s="1">
        <v>-2.1173415887348</v>
      </c>
      <c r="G38" s="1">
        <v>9115251.6126952</v>
      </c>
      <c r="H38" s="1">
        <v>9786849.2505756</v>
      </c>
      <c r="I38" s="1">
        <v>-0.0096391003425621</v>
      </c>
      <c r="J38" s="1">
        <v>-0.0092236065330623</v>
      </c>
      <c r="K38" s="1">
        <v>0.019623132419029</v>
      </c>
      <c r="L38" s="1">
        <v>-0.19936281511872</v>
      </c>
      <c r="M38" s="1">
        <v>-0.20020993776311</v>
      </c>
      <c r="N38" s="1">
        <v>330.14840761487</v>
      </c>
      <c r="O38" s="1">
        <v>365.92668576548</v>
      </c>
    </row>
    <row r="39" spans="1:15">
      <c r="A39" s="1">
        <v>6.8066849390983</v>
      </c>
      <c r="B39" s="1">
        <v>0.019843447945242</v>
      </c>
      <c r="C39" s="1">
        <v>92.695660761004</v>
      </c>
      <c r="D39" s="1">
        <v>0.021361265816512</v>
      </c>
      <c r="E39" s="1">
        <v>-6.1969397982384</v>
      </c>
      <c r="F39" s="1">
        <v>-2.1220703767739</v>
      </c>
      <c r="G39" s="1">
        <v>9153798.7598717</v>
      </c>
      <c r="H39" s="1">
        <v>9988906.6663461</v>
      </c>
      <c r="I39" s="1">
        <v>-0.0099390849075813</v>
      </c>
      <c r="J39" s="1">
        <v>-0.0095102265601139</v>
      </c>
      <c r="K39" s="1">
        <v>0.02021112178647</v>
      </c>
      <c r="L39" s="1">
        <v>-0.20628795125842</v>
      </c>
      <c r="M39" s="1">
        <v>-0.20712025519979</v>
      </c>
      <c r="N39" s="1">
        <v>330.79632712015</v>
      </c>
      <c r="O39" s="1">
        <v>366.69554617778</v>
      </c>
    </row>
    <row r="40" spans="1:15">
      <c r="A40" s="1">
        <v>7.0066849390983</v>
      </c>
      <c r="B40" s="1">
        <v>0.020467484939005</v>
      </c>
      <c r="C40" s="1">
        <v>92.695471740465</v>
      </c>
      <c r="D40" s="1">
        <v>0.021989002549186</v>
      </c>
      <c r="E40" s="1">
        <v>-6.1966820386779</v>
      </c>
      <c r="F40" s="1">
        <v>-2.121768323626</v>
      </c>
      <c r="G40" s="1">
        <v>9192405.6405729</v>
      </c>
      <c r="H40" s="1">
        <v>10191416.745068</v>
      </c>
      <c r="I40" s="1">
        <v>-0.010238911979715</v>
      </c>
      <c r="J40" s="1">
        <v>-0.0097966691660557</v>
      </c>
      <c r="K40" s="1">
        <v>0.020798760967398</v>
      </c>
      <c r="L40" s="1">
        <v>-0.21298118912015</v>
      </c>
      <c r="M40" s="1">
        <v>-0.21382426535982</v>
      </c>
      <c r="N40" s="1">
        <v>331.43729594061</v>
      </c>
      <c r="O40" s="1">
        <v>367.45562604395</v>
      </c>
    </row>
    <row r="41" spans="1:15">
      <c r="A41" s="1">
        <v>7.2066849390983</v>
      </c>
      <c r="B41" s="1">
        <v>0.02109132846873</v>
      </c>
      <c r="C41" s="1">
        <v>92.695282922414</v>
      </c>
      <c r="D41" s="1">
        <v>0.022616552817523</v>
      </c>
      <c r="E41" s="1">
        <v>-6.1973317039793</v>
      </c>
      <c r="F41" s="1">
        <v>-2.1223552987277</v>
      </c>
      <c r="G41" s="1">
        <v>9231069.8264251</v>
      </c>
      <c r="H41" s="1">
        <v>10394367.356626</v>
      </c>
      <c r="I41" s="1">
        <v>-0.010538581944381</v>
      </c>
      <c r="J41" s="1">
        <v>-0.010082934865933</v>
      </c>
      <c r="K41" s="1">
        <v>0.021386050395328</v>
      </c>
      <c r="L41" s="1">
        <v>-0.21977249454246</v>
      </c>
      <c r="M41" s="1">
        <v>-0.22059250842699</v>
      </c>
      <c r="N41" s="1">
        <v>332.07174908022</v>
      </c>
      <c r="O41" s="1">
        <v>368.20777448856</v>
      </c>
    </row>
    <row r="42" spans="1:15">
      <c r="A42" s="1">
        <v>7.4066849390983</v>
      </c>
      <c r="B42" s="1">
        <v>0.021714983991588</v>
      </c>
      <c r="C42" s="1">
        <v>92.695106250083</v>
      </c>
      <c r="D42" s="1">
        <v>0.023243923067553</v>
      </c>
      <c r="E42" s="1">
        <v>-6.1937231690454</v>
      </c>
      <c r="F42" s="1">
        <v>-2.1271920060106</v>
      </c>
      <c r="G42" s="1">
        <v>9269788.9506956</v>
      </c>
      <c r="H42" s="1">
        <v>10597746.637929</v>
      </c>
      <c r="I42" s="1">
        <v>-0.010838094636185</v>
      </c>
      <c r="J42" s="1">
        <v>-0.010369023009598</v>
      </c>
      <c r="K42" s="1">
        <v>0.021972990509448</v>
      </c>
      <c r="L42" s="1">
        <v>-0.22659200035474</v>
      </c>
      <c r="M42" s="1">
        <v>-0.22742061844169</v>
      </c>
      <c r="N42" s="1">
        <v>332.70015856277</v>
      </c>
      <c r="O42" s="1">
        <v>368.95257386219</v>
      </c>
    </row>
    <row r="43" spans="1:15">
      <c r="A43" s="1">
        <v>7.6066849390983</v>
      </c>
      <c r="B43" s="1">
        <v>0.022338459844117</v>
      </c>
      <c r="C43" s="1">
        <v>92.694923742164</v>
      </c>
      <c r="D43" s="1">
        <v>0.023871119627299</v>
      </c>
      <c r="E43" s="1">
        <v>-6.1791533307617</v>
      </c>
      <c r="F43" s="1">
        <v>-2.132001143948</v>
      </c>
      <c r="G43" s="1">
        <v>9308560.9322272</v>
      </c>
      <c r="H43" s="1">
        <v>10801544.150496</v>
      </c>
      <c r="I43" s="1">
        <v>-0.011137450314241</v>
      </c>
      <c r="J43" s="1">
        <v>-0.010654933871301</v>
      </c>
      <c r="K43" s="1">
        <v>0.022559581736257</v>
      </c>
      <c r="L43" s="1">
        <v>-0.23346896907864</v>
      </c>
      <c r="M43" s="1">
        <v>-0.23426426234863</v>
      </c>
      <c r="N43" s="1">
        <v>333.32245822819</v>
      </c>
      <c r="O43" s="1">
        <v>369.69003560972</v>
      </c>
    </row>
    <row r="44" spans="1:15">
      <c r="A44" s="1">
        <v>7.8066849390983</v>
      </c>
      <c r="B44" s="1">
        <v>0.022961761217771</v>
      </c>
      <c r="C44" s="1">
        <v>92.694741059464</v>
      </c>
      <c r="D44" s="1">
        <v>0.024498148384656</v>
      </c>
      <c r="E44" s="1">
        <v>-6.1907724814714</v>
      </c>
      <c r="F44" s="1">
        <v>-2.1325991557024</v>
      </c>
      <c r="G44" s="1">
        <v>9347383.5761391</v>
      </c>
      <c r="H44" s="1">
        <v>11005748.802594</v>
      </c>
      <c r="I44" s="1">
        <v>-0.011436648894343</v>
      </c>
      <c r="J44" s="1">
        <v>-0.010940667360733</v>
      </c>
      <c r="K44" s="1">
        <v>0.02314582451324</v>
      </c>
      <c r="L44" s="1">
        <v>-0.24043922566704</v>
      </c>
      <c r="M44" s="1">
        <v>-0.24123123956758</v>
      </c>
      <c r="N44" s="1">
        <v>333.93906749509</v>
      </c>
      <c r="O44" s="1">
        <v>370.42076901763</v>
      </c>
    </row>
    <row r="45" spans="1:15">
      <c r="A45" s="1">
        <v>8.0066849390983</v>
      </c>
      <c r="B45" s="1">
        <v>0.023584894157957</v>
      </c>
      <c r="C45" s="1">
        <v>92.694560700115</v>
      </c>
      <c r="D45" s="1">
        <v>0.025125015069325</v>
      </c>
      <c r="E45" s="1">
        <v>-6.1980735233816</v>
      </c>
      <c r="F45" s="1">
        <v>-2.134759020765</v>
      </c>
      <c r="G45" s="1">
        <v>9386254.8426052</v>
      </c>
      <c r="H45" s="1">
        <v>11210350.251027</v>
      </c>
      <c r="I45" s="1">
        <v>-0.011735690043555</v>
      </c>
      <c r="J45" s="1">
        <v>-0.011226222777718</v>
      </c>
      <c r="K45" s="1">
        <v>0.02373171927014</v>
      </c>
      <c r="L45" s="1">
        <v>-0.24728105363128</v>
      </c>
      <c r="M45" s="1">
        <v>-0.24808370879824</v>
      </c>
      <c r="N45" s="1">
        <v>334.55014435763</v>
      </c>
      <c r="O45" s="1">
        <v>371.14476862438</v>
      </c>
    </row>
    <row r="46" spans="1:15">
      <c r="A46" s="1">
        <v>8.2066849390983</v>
      </c>
      <c r="B46" s="1">
        <v>0.024207864174021</v>
      </c>
      <c r="C46" s="1">
        <v>92.694373013286</v>
      </c>
      <c r="D46" s="1">
        <v>0.025751725288582</v>
      </c>
      <c r="E46" s="1">
        <v>-6.2165299965088</v>
      </c>
      <c r="F46" s="1">
        <v>-2.1504872908598</v>
      </c>
      <c r="G46" s="1">
        <v>9425172.7136858</v>
      </c>
      <c r="H46" s="1">
        <v>11415338.230046</v>
      </c>
      <c r="I46" s="1">
        <v>-0.012034574859719</v>
      </c>
      <c r="J46" s="1">
        <v>-0.011511599727915</v>
      </c>
      <c r="K46" s="1">
        <v>0.024317266431091</v>
      </c>
      <c r="L46" s="1">
        <v>-0.25416926358622</v>
      </c>
      <c r="M46" s="1">
        <v>-0.25494480603282</v>
      </c>
      <c r="N46" s="1">
        <v>335.1558764682</v>
      </c>
      <c r="O46" s="1">
        <v>371.86242885263</v>
      </c>
    </row>
    <row r="47" spans="1:15">
      <c r="A47" s="1">
        <v>8.4066849390983</v>
      </c>
      <c r="B47" s="1">
        <v>0.024830676208422</v>
      </c>
      <c r="C47" s="1">
        <v>92.694188053539</v>
      </c>
      <c r="D47" s="1">
        <v>0.026378283940483</v>
      </c>
      <c r="E47" s="1">
        <v>-6.2281380467022</v>
      </c>
      <c r="F47" s="1">
        <v>-2.1620814691117</v>
      </c>
      <c r="G47" s="1">
        <v>9464135.2221494</v>
      </c>
      <c r="H47" s="1">
        <v>11620702.684772</v>
      </c>
      <c r="I47" s="1">
        <v>-0.012333303105881</v>
      </c>
      <c r="J47" s="1">
        <v>-0.011796797387023</v>
      </c>
      <c r="K47" s="1">
        <v>0.024902466426606</v>
      </c>
      <c r="L47" s="1">
        <v>-0.26088606116759</v>
      </c>
      <c r="M47" s="1">
        <v>-0.26167060685678</v>
      </c>
      <c r="N47" s="1">
        <v>335.75654024363</v>
      </c>
      <c r="O47" s="1">
        <v>372.57392381061</v>
      </c>
    </row>
    <row r="48" spans="1:15">
      <c r="A48" s="1">
        <v>8.6066849390983</v>
      </c>
      <c r="B48" s="1">
        <v>0.025453335172259</v>
      </c>
      <c r="C48" s="1">
        <v>92.693996932979</v>
      </c>
      <c r="D48" s="1">
        <v>0.027004696501389</v>
      </c>
      <c r="E48" s="1">
        <v>-6.2355954945127</v>
      </c>
      <c r="F48" s="1">
        <v>-2.1778196210096</v>
      </c>
      <c r="G48" s="1">
        <v>9503140.4607682</v>
      </c>
      <c r="H48" s="1">
        <v>11826433.819258</v>
      </c>
      <c r="I48" s="1">
        <v>-0.01263187599301</v>
      </c>
      <c r="J48" s="1">
        <v>-0.012081816170397</v>
      </c>
      <c r="K48" s="1">
        <v>0.025487319682462</v>
      </c>
      <c r="L48" s="1">
        <v>-0.26776849929246</v>
      </c>
      <c r="M48" s="1">
        <v>-0.26854173255225</v>
      </c>
      <c r="N48" s="1">
        <v>336.35225681064</v>
      </c>
      <c r="O48" s="1">
        <v>373.27974255718</v>
      </c>
    </row>
    <row r="49" spans="1:15">
      <c r="A49" s="1">
        <v>8.8066849390982</v>
      </c>
      <c r="B49" s="1">
        <v>0.026075846476498</v>
      </c>
      <c r="C49" s="1">
        <v>92.693802570891</v>
      </c>
      <c r="D49" s="1">
        <v>0.027630967810067</v>
      </c>
      <c r="E49" s="1">
        <v>-6.2801559623711</v>
      </c>
      <c r="F49" s="1">
        <v>-2.1784308476691</v>
      </c>
      <c r="G49" s="1">
        <v>9542186.6000136</v>
      </c>
      <c r="H49" s="1">
        <v>12032522.202736</v>
      </c>
      <c r="I49" s="1">
        <v>-0.012930293230237</v>
      </c>
      <c r="J49" s="1">
        <v>-0.012366656169295</v>
      </c>
      <c r="K49" s="1">
        <v>0.026071826630847</v>
      </c>
      <c r="L49" s="1">
        <v>-0.27472104931388</v>
      </c>
      <c r="M49" s="1">
        <v>-0.27548911213594</v>
      </c>
      <c r="N49" s="1">
        <v>336.94312853454</v>
      </c>
      <c r="O49" s="1">
        <v>373.97995305191</v>
      </c>
    </row>
    <row r="50" spans="1:15">
      <c r="A50" s="1">
        <v>9.0066849390982</v>
      </c>
      <c r="B50" s="1">
        <v>0.026698214513724</v>
      </c>
      <c r="C50" s="1">
        <v>92.693612316424</v>
      </c>
      <c r="D50" s="1">
        <v>0.028257102102188</v>
      </c>
      <c r="E50" s="1">
        <v>-6.324713049059</v>
      </c>
      <c r="F50" s="1">
        <v>-2.1790438766973</v>
      </c>
      <c r="G50" s="1">
        <v>9581271.8010521</v>
      </c>
      <c r="H50" s="1">
        <v>12238958.313765</v>
      </c>
      <c r="I50" s="1">
        <v>-0.013228554284756</v>
      </c>
      <c r="J50" s="1">
        <v>-0.012651316636306</v>
      </c>
      <c r="K50" s="1">
        <v>0.026655987691198</v>
      </c>
      <c r="L50" s="1">
        <v>-0.28157000192961</v>
      </c>
      <c r="M50" s="1">
        <v>-0.2823261099576</v>
      </c>
      <c r="N50" s="1">
        <v>337.52951817037</v>
      </c>
      <c r="O50" s="1">
        <v>374.67482595254</v>
      </c>
    </row>
    <row r="51" spans="1:15">
      <c r="A51" s="1">
        <v>9.2066849390982</v>
      </c>
      <c r="B51" s="1">
        <v>0.027320443952015</v>
      </c>
      <c r="C51" s="1">
        <v>92.693423248292</v>
      </c>
      <c r="D51" s="1">
        <v>0.028883104567594</v>
      </c>
      <c r="E51" s="1">
        <v>-6.3320776874514</v>
      </c>
      <c r="F51" s="1">
        <v>-2.1728962202758</v>
      </c>
      <c r="G51" s="1">
        <v>9620394.3035246</v>
      </c>
      <c r="H51" s="1">
        <v>12445732.991204</v>
      </c>
      <c r="I51" s="1">
        <v>-0.0135266601227</v>
      </c>
      <c r="J51" s="1">
        <v>-0.01293579802244</v>
      </c>
      <c r="K51" s="1">
        <v>0.027239803284756</v>
      </c>
      <c r="L51" s="1">
        <v>-0.28853093455588</v>
      </c>
      <c r="M51" s="1">
        <v>-0.2892827406163</v>
      </c>
      <c r="N51" s="1">
        <v>338.11145943353</v>
      </c>
      <c r="O51" s="1">
        <v>375.3646457944</v>
      </c>
    </row>
    <row r="52" spans="1:15">
      <c r="A52" s="1">
        <v>9.4066849390982</v>
      </c>
      <c r="B52" s="1">
        <v>0.027942541570194</v>
      </c>
      <c r="C52" s="1">
        <v>92.693233786499</v>
      </c>
      <c r="D52" s="1">
        <v>0.02950897951995</v>
      </c>
      <c r="E52" s="1">
        <v>-6.3172945624785</v>
      </c>
      <c r="F52" s="1">
        <v>-2.1779074951926</v>
      </c>
      <c r="G52" s="1">
        <v>9659552.5122341</v>
      </c>
      <c r="H52" s="1">
        <v>12652837.898647</v>
      </c>
      <c r="I52" s="1">
        <v>-0.013824610383451</v>
      </c>
      <c r="J52" s="1">
        <v>-0.013220100426232</v>
      </c>
      <c r="K52" s="1">
        <v>0.027823273826532</v>
      </c>
      <c r="L52" s="1">
        <v>-0.29545134943645</v>
      </c>
      <c r="M52" s="1">
        <v>-0.29619018944306</v>
      </c>
      <c r="N52" s="1">
        <v>338.68889851967</v>
      </c>
      <c r="O52" s="1">
        <v>376.04925595206</v>
      </c>
    </row>
    <row r="53" spans="1:15">
      <c r="A53" s="1">
        <v>9.6066849390982</v>
      </c>
      <c r="B53" s="1">
        <v>0.028564510275155</v>
      </c>
      <c r="C53" s="1">
        <v>92.69303118852</v>
      </c>
      <c r="D53" s="1">
        <v>0.030134731212822</v>
      </c>
      <c r="E53" s="1">
        <v>-6.339825197047</v>
      </c>
      <c r="F53" s="1">
        <v>-2.1979448266386</v>
      </c>
      <c r="G53" s="1">
        <v>9698744.685774</v>
      </c>
      <c r="H53" s="1">
        <v>12860263.890984</v>
      </c>
      <c r="I53" s="1">
        <v>-0.014122405098147</v>
      </c>
      <c r="J53" s="1">
        <v>-0.013504223848057</v>
      </c>
      <c r="K53" s="1">
        <v>0.028406399738411</v>
      </c>
      <c r="L53" s="1">
        <v>-0.30237340754559</v>
      </c>
      <c r="M53" s="1">
        <v>-0.30311778516641</v>
      </c>
      <c r="N53" s="1">
        <v>339.26212189982</v>
      </c>
      <c r="O53" s="1">
        <v>376.7290402533</v>
      </c>
    </row>
    <row r="54" spans="1:15">
      <c r="A54" s="1">
        <v>9.8066849390982</v>
      </c>
      <c r="B54" s="1">
        <v>0.029186354441526</v>
      </c>
      <c r="C54" s="1">
        <v>92.692820077208</v>
      </c>
      <c r="D54" s="1">
        <v>0.030760363737391</v>
      </c>
      <c r="E54" s="1">
        <v>-6.3723478213979</v>
      </c>
      <c r="F54" s="1">
        <v>-2.1975554858656</v>
      </c>
      <c r="G54" s="1">
        <v>9737969.178554</v>
      </c>
      <c r="H54" s="1">
        <v>13068002.298327</v>
      </c>
      <c r="I54" s="1">
        <v>-0.014420043994725</v>
      </c>
      <c r="J54" s="1">
        <v>-0.013788168523757</v>
      </c>
      <c r="K54" s="1">
        <v>0.028989181439185</v>
      </c>
      <c r="L54" s="1">
        <v>-0.30930640925303</v>
      </c>
      <c r="M54" s="1">
        <v>-0.31003482948886</v>
      </c>
      <c r="N54" s="1">
        <v>339.83130920118</v>
      </c>
      <c r="O54" s="1">
        <v>377.40421542346</v>
      </c>
    </row>
    <row r="55" spans="1:15">
      <c r="A55" s="1">
        <v>10</v>
      </c>
      <c r="B55" s="1">
        <v>0.02978713828707</v>
      </c>
      <c r="C55" s="1">
        <v>92.692612611426</v>
      </c>
      <c r="D55" s="1">
        <v>0.031364961577677</v>
      </c>
      <c r="E55" s="1">
        <v>-6.416861228665</v>
      </c>
      <c r="F55" s="1">
        <v>-2.2201329207381</v>
      </c>
      <c r="G55" s="1">
        <v>9775901.9180695</v>
      </c>
      <c r="H55" s="1">
        <v>13269034.059706</v>
      </c>
      <c r="I55" s="1">
        <v>-0.014707556103734</v>
      </c>
      <c r="J55" s="1">
        <v>-0.014062424194937</v>
      </c>
      <c r="K55" s="1">
        <v>0.029552157105489</v>
      </c>
      <c r="L55" s="1">
        <v>-0.31535987645952</v>
      </c>
      <c r="M55" s="1">
        <v>-0.31611244081707</v>
      </c>
      <c r="N55" s="1">
        <v>340.40287515592</v>
      </c>
      <c r="O55" s="1">
        <v>378.07895277911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"/>
  <sheetViews>
    <sheetView topLeftCell="A22" workbookViewId="0">
      <selection activeCell="A1" sqref="A1:O55"/>
    </sheetView>
  </sheetViews>
  <sheetFormatPr defaultColWidth="8.81333333333333" defaultRowHeight="15"/>
  <cols>
    <col min="1" max="4" width="12.4533333333333"/>
    <col min="5" max="7" width="13.6266666666667"/>
    <col min="8" max="8" width="12.4533333333333"/>
    <col min="9" max="13" width="13.6266666666667"/>
    <col min="14" max="15" width="12.4533333333333"/>
  </cols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0.0025830812468784</v>
      </c>
      <c r="B3" s="2">
        <v>2.0624934702784e-21</v>
      </c>
      <c r="C3" s="1">
        <v>92.681598231872</v>
      </c>
      <c r="D3" s="2">
        <v>7.2351255025664e-6</v>
      </c>
      <c r="E3" s="1">
        <v>-5.6421880966083</v>
      </c>
      <c r="F3" s="1">
        <v>-2.7149608611125</v>
      </c>
      <c r="G3" s="1">
        <v>8000000</v>
      </c>
      <c r="H3" s="1">
        <v>4000000</v>
      </c>
      <c r="I3" s="2">
        <v>-2.1337915820279e-6</v>
      </c>
      <c r="J3" s="2">
        <v>-2.0297791373742e-6</v>
      </c>
      <c r="K3" s="2">
        <v>7.7492131385757e-6</v>
      </c>
      <c r="L3" s="2">
        <v>-2.0538906475729e-7</v>
      </c>
      <c r="M3" s="2">
        <v>-2.1304619872103e-7</v>
      </c>
      <c r="N3" s="1">
        <v>1.5355853290424</v>
      </c>
      <c r="O3" s="1">
        <v>1.6420169383928</v>
      </c>
    </row>
    <row r="4" spans="1:15">
      <c r="A4" s="1">
        <v>0.018444056862426</v>
      </c>
      <c r="B4" s="2">
        <v>7.3304037752633e-19</v>
      </c>
      <c r="C4" s="1">
        <v>92.681705772793</v>
      </c>
      <c r="D4" s="2">
        <v>5.1663091206693e-5</v>
      </c>
      <c r="E4" s="1">
        <v>-5.6421917404062</v>
      </c>
      <c r="F4" s="1">
        <v>-2.7148404608121</v>
      </c>
      <c r="G4" s="1">
        <v>8000000</v>
      </c>
      <c r="H4" s="1">
        <v>4000000</v>
      </c>
      <c r="I4" s="2">
        <v>-1.5238535228156e-5</v>
      </c>
      <c r="J4" s="2">
        <v>-1.4495684937793e-5</v>
      </c>
      <c r="K4" s="2">
        <v>5.5330610414988e-5</v>
      </c>
      <c r="L4" s="2">
        <v>-1.0467530124829e-5</v>
      </c>
      <c r="M4" s="2">
        <v>-1.0857947556015e-5</v>
      </c>
      <c r="N4" s="1">
        <v>10.967573083281</v>
      </c>
      <c r="O4" s="1">
        <v>11.727458529745</v>
      </c>
    </row>
    <row r="5" spans="1:15">
      <c r="A5" s="1">
        <v>0.1</v>
      </c>
      <c r="B5" s="2">
        <v>1.0285395980713e-13</v>
      </c>
      <c r="C5" s="1">
        <v>92.681455632049</v>
      </c>
      <c r="D5" s="1">
        <v>0.00028016455086679</v>
      </c>
      <c r="E5" s="1">
        <v>-5.895518940161</v>
      </c>
      <c r="F5" s="1">
        <v>-3.0144704264315</v>
      </c>
      <c r="G5" s="1">
        <v>8000000.000005</v>
      </c>
      <c r="H5" s="1">
        <v>4000000.0000256</v>
      </c>
      <c r="I5" s="2">
        <v>-8.2701074093865e-5</v>
      </c>
      <c r="J5" s="2">
        <v>-7.8668532088214e-5</v>
      </c>
      <c r="K5" s="1">
        <v>0.00029995414536603</v>
      </c>
      <c r="L5" s="1">
        <v>-0.00030595948178708</v>
      </c>
      <c r="M5" s="1">
        <v>-0.00031749494074776</v>
      </c>
      <c r="N5" s="1">
        <v>59.556978069156</v>
      </c>
      <c r="O5" s="1">
        <v>63.674933471677</v>
      </c>
    </row>
    <row r="6" spans="1:15">
      <c r="A6" s="1">
        <v>0.20668493909835</v>
      </c>
      <c r="B6" s="2">
        <v>2.2905410201962e-10</v>
      </c>
      <c r="C6" s="1">
        <v>92.68702170896</v>
      </c>
      <c r="D6" s="1">
        <v>0.0005792014885435</v>
      </c>
      <c r="E6" s="1">
        <v>-5.8042223446794</v>
      </c>
      <c r="F6" s="1">
        <v>-2.6881316530796</v>
      </c>
      <c r="G6" s="1">
        <v>8000000.0102244</v>
      </c>
      <c r="H6" s="1">
        <v>4000000.0524409</v>
      </c>
      <c r="I6" s="1">
        <v>-0.00017112367125117</v>
      </c>
      <c r="J6" s="1">
        <v>-0.00016277708247115</v>
      </c>
      <c r="K6" s="1">
        <v>0.00061985897980057</v>
      </c>
      <c r="L6" s="1">
        <v>-0.0013116240555474</v>
      </c>
      <c r="M6" s="1">
        <v>-0.0013605689969826</v>
      </c>
      <c r="N6" s="1">
        <v>123.32156659292</v>
      </c>
      <c r="O6" s="1">
        <v>131.82744260938</v>
      </c>
    </row>
    <row r="7" spans="1:15">
      <c r="A7" s="1">
        <v>0.40668493909835</v>
      </c>
      <c r="B7" s="2">
        <v>6.0828928484294e-6</v>
      </c>
      <c r="C7" s="1">
        <v>92.694891669222</v>
      </c>
      <c r="D7" s="1">
        <v>0.0011413904868988</v>
      </c>
      <c r="E7" s="1">
        <v>-6.0946038046028</v>
      </c>
      <c r="F7" s="1">
        <v>-2.5556247168088</v>
      </c>
      <c r="G7" s="1">
        <v>8000258.7925502</v>
      </c>
      <c r="H7" s="1">
        <v>4001327.4889326</v>
      </c>
      <c r="I7" s="1">
        <v>-0.00033886719391886</v>
      </c>
      <c r="J7" s="1">
        <v>-0.00032243983637837</v>
      </c>
      <c r="K7" s="1">
        <v>0.0012192970689048</v>
      </c>
      <c r="L7" s="1">
        <v>-0.0050651210610893</v>
      </c>
      <c r="M7" s="1">
        <v>-0.0052706501639145</v>
      </c>
      <c r="N7" s="1">
        <v>242.38182670098</v>
      </c>
      <c r="O7" s="1">
        <v>259.05213485771</v>
      </c>
    </row>
    <row r="8" spans="1:15">
      <c r="A8" s="1">
        <v>0.60668493909835</v>
      </c>
      <c r="B8" s="1">
        <v>0.0002724383915686</v>
      </c>
      <c r="C8" s="1">
        <v>92.698991497923</v>
      </c>
      <c r="D8" s="1">
        <v>0.0017382428932698</v>
      </c>
      <c r="E8" s="1">
        <v>-6.0272842151688</v>
      </c>
      <c r="F8" s="1">
        <v>-2.3446182401679</v>
      </c>
      <c r="G8" s="1">
        <v>8011970.8758914</v>
      </c>
      <c r="H8" s="1">
        <v>4061458.452689</v>
      </c>
      <c r="I8" s="1">
        <v>-0.00056175706776682</v>
      </c>
      <c r="J8" s="1">
        <v>-0.00053582333457094</v>
      </c>
      <c r="K8" s="1">
        <v>0.0018183729595745</v>
      </c>
      <c r="L8" s="1">
        <v>-0.011085715355078</v>
      </c>
      <c r="M8" s="1">
        <v>-0.011570313933412</v>
      </c>
      <c r="N8" s="1">
        <v>314.75790154762</v>
      </c>
      <c r="O8" s="1">
        <v>337.73402897726</v>
      </c>
    </row>
    <row r="9" spans="1:15">
      <c r="A9" s="1">
        <v>0.80668493909835</v>
      </c>
      <c r="B9" s="1">
        <v>0.00084492780661239</v>
      </c>
      <c r="C9" s="1">
        <v>92.698875004464</v>
      </c>
      <c r="D9" s="1">
        <v>0.00236518308741</v>
      </c>
      <c r="E9" s="1">
        <v>-6.1275064881312</v>
      </c>
      <c r="F9" s="1">
        <v>-2.1811022200307</v>
      </c>
      <c r="G9" s="1">
        <v>8038592.7148822</v>
      </c>
      <c r="H9" s="1">
        <v>4198315.1326171</v>
      </c>
      <c r="I9" s="1">
        <v>-0.00084727965476742</v>
      </c>
      <c r="J9" s="1">
        <v>-0.0008076758673777</v>
      </c>
      <c r="K9" s="1">
        <v>0.002417085296195</v>
      </c>
      <c r="L9" s="1">
        <v>-0.017623195123432</v>
      </c>
      <c r="M9" s="1">
        <v>-0.018333936008336</v>
      </c>
      <c r="N9" s="1">
        <v>333.52213278428</v>
      </c>
      <c r="O9" s="1">
        <v>360.11371872895</v>
      </c>
    </row>
    <row r="10" spans="1:15">
      <c r="A10" s="1">
        <v>1.0066849390983</v>
      </c>
      <c r="B10" s="1">
        <v>0.0014695380074104</v>
      </c>
      <c r="C10" s="1">
        <v>92.699245901292</v>
      </c>
      <c r="D10" s="1">
        <v>0.0029983409663124</v>
      </c>
      <c r="E10" s="1">
        <v>-6.2245613677323</v>
      </c>
      <c r="F10" s="1">
        <v>-2.1196284814788</v>
      </c>
      <c r="G10" s="1">
        <v>8069322.581672</v>
      </c>
      <c r="H10" s="1">
        <v>4356483.540743</v>
      </c>
      <c r="I10" s="1">
        <v>-0.0011452197064747</v>
      </c>
      <c r="J10" s="1">
        <v>-0.0010907364269022</v>
      </c>
      <c r="K10" s="1">
        <v>0.0030154313846576</v>
      </c>
      <c r="L10" s="1">
        <v>-0.023064404607061</v>
      </c>
      <c r="M10" s="1">
        <v>-0.02385792303139</v>
      </c>
      <c r="N10" s="1">
        <v>341.53291230388</v>
      </c>
      <c r="O10" s="1">
        <v>370.64577248838</v>
      </c>
    </row>
    <row r="11" spans="1:15">
      <c r="A11" s="1">
        <v>1.2066849390983</v>
      </c>
      <c r="B11" s="1">
        <v>0.002102690817693</v>
      </c>
      <c r="C11" s="1">
        <v>92.699531279879</v>
      </c>
      <c r="D11" s="1">
        <v>0.0036344482874065</v>
      </c>
      <c r="E11" s="1">
        <v>-6.245384278099</v>
      </c>
      <c r="F11" s="1">
        <v>-2.1119053791319</v>
      </c>
      <c r="G11" s="1">
        <v>8101803.4302259</v>
      </c>
      <c r="H11" s="1">
        <v>4523828.5254904</v>
      </c>
      <c r="I11" s="1">
        <v>-0.0014462226723703</v>
      </c>
      <c r="J11" s="1">
        <v>-0.0013776536376426</v>
      </c>
      <c r="K11" s="1">
        <v>0.0036134122590354</v>
      </c>
      <c r="L11" s="1">
        <v>-0.029488087580802</v>
      </c>
      <c r="M11" s="1">
        <v>-0.030369406582707</v>
      </c>
      <c r="N11" s="1">
        <v>346.24383258868</v>
      </c>
      <c r="O11" s="1">
        <v>377.26341375807</v>
      </c>
    </row>
    <row r="12" spans="1:15">
      <c r="A12" s="1">
        <v>1.4066849390983</v>
      </c>
      <c r="B12" s="1">
        <v>0.0027371323095628</v>
      </c>
      <c r="C12" s="1">
        <v>92.699638424717</v>
      </c>
      <c r="D12" s="1">
        <v>0.0042717910405011</v>
      </c>
      <c r="E12" s="1">
        <v>-6.2769952022827</v>
      </c>
      <c r="F12" s="1">
        <v>-2.1041211688165</v>
      </c>
      <c r="G12" s="1">
        <v>8135318.438334</v>
      </c>
      <c r="H12" s="1">
        <v>4696648.4155549</v>
      </c>
      <c r="I12" s="1">
        <v>-0.0017482388444559</v>
      </c>
      <c r="J12" s="1">
        <v>-0.0016664971609282</v>
      </c>
      <c r="K12" s="1">
        <v>0.0042110290583735</v>
      </c>
      <c r="L12" s="1">
        <v>-0.035998480595099</v>
      </c>
      <c r="M12" s="1">
        <v>-0.036960377539388</v>
      </c>
      <c r="N12" s="1">
        <v>349.43742521871</v>
      </c>
      <c r="O12" s="1">
        <v>381.9367846533</v>
      </c>
    </row>
    <row r="13" spans="1:15">
      <c r="A13" s="1">
        <v>1.6066849390983</v>
      </c>
      <c r="B13" s="1">
        <v>0.0033712516326845</v>
      </c>
      <c r="C13" s="1">
        <v>92.699679754096</v>
      </c>
      <c r="D13" s="1">
        <v>0.0049094191349744</v>
      </c>
      <c r="E13" s="1">
        <v>-6.2933745518898</v>
      </c>
      <c r="F13" s="1">
        <v>-2.1004433343057</v>
      </c>
      <c r="G13" s="1">
        <v>8169513.2445896</v>
      </c>
      <c r="H13" s="1">
        <v>4873113.7091969</v>
      </c>
      <c r="I13" s="1">
        <v>-0.0020505944218328</v>
      </c>
      <c r="J13" s="1">
        <v>-0.0019563519199253</v>
      </c>
      <c r="K13" s="1">
        <v>0.0048082826966543</v>
      </c>
      <c r="L13" s="1">
        <v>-0.042758409617923</v>
      </c>
      <c r="M13" s="1">
        <v>-0.043787889833412</v>
      </c>
      <c r="N13" s="1">
        <v>351.83321175412</v>
      </c>
      <c r="O13" s="1">
        <v>385.50646687397</v>
      </c>
    </row>
    <row r="14" spans="1:15">
      <c r="A14" s="1">
        <v>1.8066849390983</v>
      </c>
      <c r="B14" s="1">
        <v>0.0040047917706528</v>
      </c>
      <c r="C14" s="1">
        <v>92.699675220851</v>
      </c>
      <c r="D14" s="1">
        <v>0.0055468916111646</v>
      </c>
      <c r="E14" s="1">
        <v>-6.3055065502643</v>
      </c>
      <c r="F14" s="1">
        <v>-2.1009211510572</v>
      </c>
      <c r="G14" s="1">
        <v>8204189.7622043</v>
      </c>
      <c r="H14" s="1">
        <v>5052203.4749711</v>
      </c>
      <c r="I14" s="1">
        <v>-0.0023530628865626</v>
      </c>
      <c r="J14" s="1">
        <v>-0.0022467033521887</v>
      </c>
      <c r="K14" s="1">
        <v>0.0054051738108325</v>
      </c>
      <c r="L14" s="1">
        <v>-0.04927104572216</v>
      </c>
      <c r="M14" s="1">
        <v>-0.050359709461727</v>
      </c>
      <c r="N14" s="1">
        <v>353.76943320962</v>
      </c>
      <c r="O14" s="1">
        <v>388.39443233765</v>
      </c>
    </row>
    <row r="15" spans="1:15">
      <c r="A15" s="1">
        <v>2.0066849390983</v>
      </c>
      <c r="B15" s="1">
        <v>0.0046377624259129</v>
      </c>
      <c r="C15" s="1">
        <v>92.699630682219</v>
      </c>
      <c r="D15" s="1">
        <v>0.006184018166022</v>
      </c>
      <c r="E15" s="1">
        <v>-6.3065990455983</v>
      </c>
      <c r="F15" s="1">
        <v>-2.101403086141</v>
      </c>
      <c r="G15" s="1">
        <v>8239228.7391804</v>
      </c>
      <c r="H15" s="1">
        <v>5233304.4889498</v>
      </c>
      <c r="I15" s="1">
        <v>-0.0026555645433868</v>
      </c>
      <c r="J15" s="1">
        <v>-0.0025372569490264</v>
      </c>
      <c r="K15" s="1">
        <v>0.0060017029050017</v>
      </c>
      <c r="L15" s="1">
        <v>-0.055984912062179</v>
      </c>
      <c r="M15" s="1">
        <v>-0.057118180193402</v>
      </c>
      <c r="N15" s="1">
        <v>355.42069250243</v>
      </c>
      <c r="O15" s="1">
        <v>390.83401153632</v>
      </c>
    </row>
    <row r="16" spans="1:15">
      <c r="A16" s="1">
        <v>2.2066849390983</v>
      </c>
      <c r="B16" s="1">
        <v>0.0052702115145259</v>
      </c>
      <c r="C16" s="1">
        <v>92.699554631817</v>
      </c>
      <c r="D16" s="1">
        <v>0.0068207211126433</v>
      </c>
      <c r="E16" s="1">
        <v>-6.3076524707254</v>
      </c>
      <c r="F16" s="1">
        <v>-2.1018905731743</v>
      </c>
      <c r="G16" s="1">
        <v>8274554.9005318</v>
      </c>
      <c r="H16" s="1">
        <v>5416030.6726242</v>
      </c>
      <c r="I16" s="1">
        <v>-0.0029580527048782</v>
      </c>
      <c r="J16" s="1">
        <v>-0.0028278558784331</v>
      </c>
      <c r="K16" s="1">
        <v>0.0065978704903678</v>
      </c>
      <c r="L16" s="1">
        <v>-0.062725645194683</v>
      </c>
      <c r="M16" s="1">
        <v>-0.063926074790974</v>
      </c>
      <c r="N16" s="1">
        <v>356.88247076658</v>
      </c>
      <c r="O16" s="1">
        <v>392.96036803164</v>
      </c>
    </row>
    <row r="17" spans="1:15">
      <c r="A17" s="1">
        <v>2.4066849390983</v>
      </c>
      <c r="B17" s="1">
        <v>0.0059021792137324</v>
      </c>
      <c r="C17" s="1">
        <v>92.699461828563</v>
      </c>
      <c r="D17" s="1">
        <v>0.0074569714073896</v>
      </c>
      <c r="E17" s="1">
        <v>-6.3086748911718</v>
      </c>
      <c r="F17" s="1">
        <v>-2.1023818951821</v>
      </c>
      <c r="G17" s="1">
        <v>8310117.7027586</v>
      </c>
      <c r="H17" s="1">
        <v>5600123.5512353</v>
      </c>
      <c r="I17" s="1">
        <v>-0.0032604983519627</v>
      </c>
      <c r="J17" s="1">
        <v>-0.0031184117503664</v>
      </c>
      <c r="K17" s="1">
        <v>0.0071936770870559</v>
      </c>
      <c r="L17" s="1">
        <v>-0.069726628651444</v>
      </c>
      <c r="M17" s="1">
        <v>-0.070952073957121</v>
      </c>
      <c r="N17" s="1">
        <v>358.21126889119</v>
      </c>
      <c r="O17" s="1">
        <v>394.85826622673</v>
      </c>
    </row>
    <row r="18" spans="1:15">
      <c r="A18" s="1">
        <v>2.6066849390983</v>
      </c>
      <c r="B18" s="1">
        <v>0.0065336986660521</v>
      </c>
      <c r="C18" s="1">
        <v>92.699349231728</v>
      </c>
      <c r="D18" s="1">
        <v>0.00809276572639</v>
      </c>
      <c r="E18" s="1">
        <v>-6.316459028604</v>
      </c>
      <c r="F18" s="1">
        <v>-2.1070661013822</v>
      </c>
      <c r="G18" s="1">
        <v>8345881.0474711</v>
      </c>
      <c r="H18" s="1">
        <v>5785399.1781375</v>
      </c>
      <c r="I18" s="1">
        <v>-0.0035628805689627</v>
      </c>
      <c r="J18" s="1">
        <v>-0.0034088710808849</v>
      </c>
      <c r="K18" s="1">
        <v>0.0077891232184307</v>
      </c>
      <c r="L18" s="1">
        <v>-0.076659931001848</v>
      </c>
      <c r="M18" s="1">
        <v>-0.07794891463936</v>
      </c>
      <c r="N18" s="1">
        <v>359.44252733146</v>
      </c>
      <c r="O18" s="1">
        <v>396.58379652977</v>
      </c>
    </row>
    <row r="19" spans="1:15">
      <c r="A19" s="1">
        <v>2.8066849390983</v>
      </c>
      <c r="B19" s="1">
        <v>0.0071647955061128</v>
      </c>
      <c r="C19" s="1">
        <v>92.699234146152</v>
      </c>
      <c r="D19" s="1">
        <v>0.0087281090862597</v>
      </c>
      <c r="E19" s="1">
        <v>-6.3090614365406</v>
      </c>
      <c r="F19" s="1">
        <v>-2.1159235048543</v>
      </c>
      <c r="G19" s="1">
        <v>8381818.3335769</v>
      </c>
      <c r="H19" s="1">
        <v>5971722.5021291</v>
      </c>
      <c r="I19" s="1">
        <v>-0.0038651851023936</v>
      </c>
      <c r="J19" s="1">
        <v>-0.0036992007786737</v>
      </c>
      <c r="K19" s="1">
        <v>0.0083842093764483</v>
      </c>
      <c r="L19" s="1">
        <v>-0.083681190314872</v>
      </c>
      <c r="M19" s="1">
        <v>-0.084993552455313</v>
      </c>
      <c r="N19" s="1">
        <v>360.59975278653</v>
      </c>
      <c r="O19" s="1">
        <v>398.17621313311</v>
      </c>
    </row>
    <row r="20" spans="1:15">
      <c r="A20" s="1">
        <v>3.0066849390983</v>
      </c>
      <c r="B20" s="1">
        <v>0.007795486591411</v>
      </c>
      <c r="C20" s="1">
        <v>92.699098914455</v>
      </c>
      <c r="D20" s="1">
        <v>0.0093630136309363</v>
      </c>
      <c r="E20" s="1">
        <v>-6.3100058566729</v>
      </c>
      <c r="F20" s="1">
        <v>-2.1164336933325</v>
      </c>
      <c r="G20" s="1">
        <v>8417909.5733021</v>
      </c>
      <c r="H20" s="1">
        <v>6158992.3901768</v>
      </c>
      <c r="I20" s="1">
        <v>-0.0041674041948932</v>
      </c>
      <c r="J20" s="1">
        <v>-0.0039893781311146</v>
      </c>
      <c r="K20" s="1">
        <v>0.008978936057922</v>
      </c>
      <c r="L20" s="1">
        <v>-0.090829455339108</v>
      </c>
      <c r="M20" s="1">
        <v>-0.092133558413759</v>
      </c>
      <c r="N20" s="1">
        <v>361.69831043031</v>
      </c>
      <c r="O20" s="1">
        <v>399.6625801931</v>
      </c>
    </row>
    <row r="21" spans="1:15">
      <c r="A21" s="1">
        <v>3.2066849390983</v>
      </c>
      <c r="B21" s="1">
        <v>0.0084257820923975</v>
      </c>
      <c r="C21" s="1">
        <v>92.698998909934</v>
      </c>
      <c r="D21" s="1">
        <v>0.0099974920243297</v>
      </c>
      <c r="E21" s="1">
        <v>-6.3093830536491</v>
      </c>
      <c r="F21" s="1">
        <v>-2.1294626227441</v>
      </c>
      <c r="G21" s="1">
        <v>8454139.0771829</v>
      </c>
      <c r="H21" s="1">
        <v>6347129.6981708</v>
      </c>
      <c r="I21" s="1">
        <v>-0.0044695311807323</v>
      </c>
      <c r="J21" s="1">
        <v>-0.004279387601184</v>
      </c>
      <c r="K21" s="1">
        <v>0.0095733037447863</v>
      </c>
      <c r="L21" s="1">
        <v>-0.098093580837482</v>
      </c>
      <c r="M21" s="1">
        <v>-0.099428318518251</v>
      </c>
      <c r="N21" s="1">
        <v>362.74947289433</v>
      </c>
      <c r="O21" s="1">
        <v>401.06306683073</v>
      </c>
    </row>
    <row r="22" spans="1:15">
      <c r="A22" s="1">
        <v>3.4066849390983</v>
      </c>
      <c r="B22" s="1">
        <v>0.009055696040709</v>
      </c>
      <c r="C22" s="1">
        <v>92.698884427222</v>
      </c>
      <c r="D22" s="1">
        <v>0.010631560155393</v>
      </c>
      <c r="E22" s="1">
        <v>-6.2935397306741</v>
      </c>
      <c r="F22" s="1">
        <v>-2.1467034103193</v>
      </c>
      <c r="G22" s="1">
        <v>8490494.2728435</v>
      </c>
      <c r="H22" s="1">
        <v>6536071.2445335</v>
      </c>
      <c r="I22" s="1">
        <v>-0.0047715603206768</v>
      </c>
      <c r="J22" s="1">
        <v>-0.0045692188468534</v>
      </c>
      <c r="K22" s="1">
        <v>0.010167312910512</v>
      </c>
      <c r="L22" s="1">
        <v>-0.10535691304077</v>
      </c>
      <c r="M22" s="1">
        <v>-0.1067105765308</v>
      </c>
      <c r="N22" s="1">
        <v>363.76115737776</v>
      </c>
      <c r="O22" s="1">
        <v>402.3923391972</v>
      </c>
    </row>
    <row r="23" spans="1:15">
      <c r="A23" s="1">
        <v>3.6066849390983</v>
      </c>
      <c r="B23" s="1">
        <v>0.0096852395144957</v>
      </c>
      <c r="C23" s="1">
        <v>92.69874586397</v>
      </c>
      <c r="D23" s="1">
        <v>0.01126523527408</v>
      </c>
      <c r="E23" s="1">
        <v>-6.2834318602517</v>
      </c>
      <c r="F23" s="1">
        <v>-2.147231544031</v>
      </c>
      <c r="G23" s="1">
        <v>8526964.5778509</v>
      </c>
      <c r="H23" s="1">
        <v>6725763.981379</v>
      </c>
      <c r="I23" s="1">
        <v>-0.0050734858046626</v>
      </c>
      <c r="J23" s="1">
        <v>-0.0048588658893187</v>
      </c>
      <c r="K23" s="1">
        <v>0.010760964026049</v>
      </c>
      <c r="L23" s="1">
        <v>-0.11267277592764</v>
      </c>
      <c r="M23" s="1">
        <v>-0.11403403349127</v>
      </c>
      <c r="N23" s="1">
        <v>364.73962762635</v>
      </c>
      <c r="O23" s="1">
        <v>403.66216225482</v>
      </c>
    </row>
    <row r="24" spans="1:15">
      <c r="A24" s="1">
        <v>3.8066849390983</v>
      </c>
      <c r="B24" s="1">
        <v>0.010314427255974</v>
      </c>
      <c r="C24" s="1">
        <v>92.698612540244</v>
      </c>
      <c r="D24" s="1">
        <v>0.011898536253317</v>
      </c>
      <c r="E24" s="1">
        <v>-6.2800645625657</v>
      </c>
      <c r="F24" s="1">
        <v>-2.1409961759583</v>
      </c>
      <c r="G24" s="1">
        <v>8563541.2059423</v>
      </c>
      <c r="H24" s="1">
        <v>6916164.0011828</v>
      </c>
      <c r="I24" s="1">
        <v>-0.0053753028618626</v>
      </c>
      <c r="J24" s="1">
        <v>-0.0051483259230223</v>
      </c>
      <c r="K24" s="1">
        <v>0.011354257572913</v>
      </c>
      <c r="L24" s="1">
        <v>-0.12011650481478</v>
      </c>
      <c r="M24" s="1">
        <v>-0.12146063308322</v>
      </c>
      <c r="N24" s="1">
        <v>365.68914352317</v>
      </c>
      <c r="O24" s="1">
        <v>404.88121252483</v>
      </c>
    </row>
    <row r="25" spans="1:15">
      <c r="A25" s="1">
        <v>4.0066849390983</v>
      </c>
      <c r="B25" s="1">
        <v>0.010943273377684</v>
      </c>
      <c r="C25" s="1">
        <v>92.698463666271</v>
      </c>
      <c r="D25" s="1">
        <v>0.012531479278672</v>
      </c>
      <c r="E25" s="1">
        <v>-6.2766799810343</v>
      </c>
      <c r="F25" s="1">
        <v>-2.1457519444408</v>
      </c>
      <c r="G25" s="1">
        <v>8600216.6237617</v>
      </c>
      <c r="H25" s="1">
        <v>7107233.7179795</v>
      </c>
      <c r="I25" s="1">
        <v>-0.0056770069753281</v>
      </c>
      <c r="J25" s="1">
        <v>-0.0054375965949295</v>
      </c>
      <c r="K25" s="1">
        <v>0.01194719403279</v>
      </c>
      <c r="L25" s="1">
        <v>-0.12769448228474</v>
      </c>
      <c r="M25" s="1">
        <v>-0.12902998916047</v>
      </c>
      <c r="N25" s="1">
        <v>366.61339922134</v>
      </c>
      <c r="O25" s="1">
        <v>406.05674805526</v>
      </c>
    </row>
    <row r="26" spans="1:15">
      <c r="A26" s="1">
        <v>4.2066849390983</v>
      </c>
      <c r="B26" s="1">
        <v>0.011571789931439</v>
      </c>
      <c r="C26" s="1">
        <v>92.698318896032</v>
      </c>
      <c r="D26" s="1">
        <v>0.013164081397381</v>
      </c>
      <c r="E26" s="1">
        <v>-6.2732832364713</v>
      </c>
      <c r="F26" s="1">
        <v>-2.1285336098377</v>
      </c>
      <c r="G26" s="1">
        <v>8636984.1221169</v>
      </c>
      <c r="H26" s="1">
        <v>7298939.6836167</v>
      </c>
      <c r="I26" s="1">
        <v>-0.0059785932106923</v>
      </c>
      <c r="J26" s="1">
        <v>-0.0057266757514503</v>
      </c>
      <c r="K26" s="1">
        <v>0.012539773881389</v>
      </c>
      <c r="L26" s="1">
        <v>-0.13505750960159</v>
      </c>
      <c r="M26" s="1">
        <v>-0.13640142722255</v>
      </c>
      <c r="N26" s="1">
        <v>367.51536852036</v>
      </c>
      <c r="O26" s="1">
        <v>407.19428615044</v>
      </c>
    </row>
    <row r="27" spans="1:15">
      <c r="A27" s="1">
        <v>4.4066849390983</v>
      </c>
      <c r="B27" s="1">
        <v>0.012199989654619</v>
      </c>
      <c r="C27" s="1">
        <v>92.698171619175</v>
      </c>
      <c r="D27" s="1">
        <v>0.013796357611138</v>
      </c>
      <c r="E27" s="1">
        <v>-6.2699436462511</v>
      </c>
      <c r="F27" s="1">
        <v>-2.1332236419521</v>
      </c>
      <c r="G27" s="1">
        <v>8673837.789953</v>
      </c>
      <c r="H27" s="1">
        <v>7491252.4391461</v>
      </c>
      <c r="I27" s="1">
        <v>-0.0062800589947492</v>
      </c>
      <c r="J27" s="1">
        <v>-0.006015563173023</v>
      </c>
      <c r="K27" s="1">
        <v>0.013131997585446</v>
      </c>
      <c r="L27" s="1">
        <v>-0.1426328704286</v>
      </c>
      <c r="M27" s="1">
        <v>-0.14398080403748</v>
      </c>
      <c r="N27" s="1">
        <v>368.39760564492</v>
      </c>
      <c r="O27" s="1">
        <v>408.29915359145</v>
      </c>
    </row>
    <row r="28" spans="1:15">
      <c r="A28" s="1">
        <v>4.6066849390983</v>
      </c>
      <c r="B28" s="1">
        <v>0.012827884846803</v>
      </c>
      <c r="C28" s="1">
        <v>92.698032455071</v>
      </c>
      <c r="D28" s="1">
        <v>0.014428322773557</v>
      </c>
      <c r="E28" s="1">
        <v>-6.2623875139582</v>
      </c>
      <c r="F28" s="1">
        <v>-2.1421148969628</v>
      </c>
      <c r="G28" s="1">
        <v>8710772.4139221</v>
      </c>
      <c r="H28" s="1">
        <v>7684146.0155435</v>
      </c>
      <c r="I28" s="1">
        <v>-0.0065814006883243</v>
      </c>
      <c r="J28" s="1">
        <v>-0.0063042586871775</v>
      </c>
      <c r="K28" s="1">
        <v>0.013723865615425</v>
      </c>
      <c r="L28" s="1">
        <v>-0.15025983083959</v>
      </c>
      <c r="M28" s="1">
        <v>-0.15160431630557</v>
      </c>
      <c r="N28" s="1">
        <v>369.26187564317</v>
      </c>
      <c r="O28" s="1">
        <v>409.37489988422</v>
      </c>
    </row>
    <row r="29" spans="1:15">
      <c r="A29" s="1">
        <v>4.8066849390983</v>
      </c>
      <c r="B29" s="1">
        <v>0.013455486834084</v>
      </c>
      <c r="C29" s="1">
        <v>92.697889591407</v>
      </c>
      <c r="D29" s="1">
        <v>0.015059990083091</v>
      </c>
      <c r="E29" s="1">
        <v>-6.2547928743589</v>
      </c>
      <c r="F29" s="1">
        <v>-2.1510347282624</v>
      </c>
      <c r="G29" s="1">
        <v>8747783.320647</v>
      </c>
      <c r="H29" s="1">
        <v>7877597.0986746</v>
      </c>
      <c r="I29" s="1">
        <v>-0.0068826151585117</v>
      </c>
      <c r="J29" s="1">
        <v>-0.0065927624066185</v>
      </c>
      <c r="K29" s="1">
        <v>0.014315378420897</v>
      </c>
      <c r="L29" s="1">
        <v>-0.15791247214654</v>
      </c>
      <c r="M29" s="1">
        <v>-0.15922200250839</v>
      </c>
      <c r="N29" s="1">
        <v>370.10978280251</v>
      </c>
      <c r="O29" s="1">
        <v>410.42462239166</v>
      </c>
    </row>
    <row r="30" spans="1:15">
      <c r="A30" s="1">
        <v>5.0066849390983</v>
      </c>
      <c r="B30" s="1">
        <v>0.014082804435759</v>
      </c>
      <c r="C30" s="1">
        <v>92.697743738344</v>
      </c>
      <c r="D30" s="1">
        <v>0.015691371368892</v>
      </c>
      <c r="E30" s="1">
        <v>-6.2445879371119</v>
      </c>
      <c r="F30" s="1">
        <v>-2.1515844786553</v>
      </c>
      <c r="G30" s="1">
        <v>8784866.1698391</v>
      </c>
      <c r="H30" s="1">
        <v>8071583.9922489</v>
      </c>
      <c r="I30" s="1">
        <v>-0.0071836991706885</v>
      </c>
      <c r="J30" s="1">
        <v>-0.0068810752825048</v>
      </c>
      <c r="K30" s="1">
        <v>0.014906536454571</v>
      </c>
      <c r="L30" s="1">
        <v>-0.16561064913887</v>
      </c>
      <c r="M30" s="1">
        <v>-0.16692494936566</v>
      </c>
      <c r="N30" s="1">
        <v>370.94278853967</v>
      </c>
      <c r="O30" s="1">
        <v>411.45115485186</v>
      </c>
    </row>
    <row r="31" spans="1:15">
      <c r="A31" s="1">
        <v>5.2066849390983</v>
      </c>
      <c r="B31" s="1">
        <v>0.014709848492172</v>
      </c>
      <c r="C31" s="1">
        <v>92.697606358699</v>
      </c>
      <c r="D31" s="1">
        <v>0.016322477955377</v>
      </c>
      <c r="E31" s="1">
        <v>-6.2368834570995</v>
      </c>
      <c r="F31" s="1">
        <v>-2.1496117347577</v>
      </c>
      <c r="G31" s="1">
        <v>8822017.1032202</v>
      </c>
      <c r="H31" s="1">
        <v>8266087.3682616</v>
      </c>
      <c r="I31" s="1">
        <v>-0.0074846489934692</v>
      </c>
      <c r="J31" s="1">
        <v>-0.0071691986885987</v>
      </c>
      <c r="K31" s="1">
        <v>0.015497340164923</v>
      </c>
      <c r="L31" s="1">
        <v>-0.17328032167732</v>
      </c>
      <c r="M31" s="1">
        <v>-0.17460293888569</v>
      </c>
      <c r="N31" s="1">
        <v>371.76201979592</v>
      </c>
      <c r="O31" s="1">
        <v>412.45662400117</v>
      </c>
    </row>
    <row r="32" spans="1:15">
      <c r="A32" s="1">
        <v>5.4066849390983</v>
      </c>
      <c r="B32" s="1">
        <v>0.01533662811891</v>
      </c>
      <c r="C32" s="1">
        <v>92.697460610681</v>
      </c>
      <c r="D32" s="1">
        <v>0.016953320020313</v>
      </c>
      <c r="E32" s="1">
        <v>-6.2182524817313</v>
      </c>
      <c r="F32" s="1">
        <v>-2.1475723658124</v>
      </c>
      <c r="G32" s="1">
        <v>8859232.4862191</v>
      </c>
      <c r="H32" s="1">
        <v>8461088.9681695</v>
      </c>
      <c r="I32" s="1">
        <v>-0.0077854617415474</v>
      </c>
      <c r="J32" s="1">
        <v>-0.0074571345093529</v>
      </c>
      <c r="K32" s="1">
        <v>0.016087789995454</v>
      </c>
      <c r="L32" s="1">
        <v>-0.18106069873887</v>
      </c>
      <c r="M32" s="1">
        <v>-0.18236960936125</v>
      </c>
      <c r="N32" s="1">
        <v>372.56845650531</v>
      </c>
      <c r="O32" s="1">
        <v>413.44305839028</v>
      </c>
    </row>
    <row r="33" spans="1:15">
      <c r="A33" s="1">
        <v>5.6066849390983</v>
      </c>
      <c r="B33" s="1">
        <v>0.015963152289704</v>
      </c>
      <c r="C33" s="1">
        <v>92.697302896049</v>
      </c>
      <c r="D33" s="1">
        <v>0.01758390762085</v>
      </c>
      <c r="E33" s="1">
        <v>-6.2189991225585</v>
      </c>
      <c r="F33" s="1">
        <v>-2.1371523668059</v>
      </c>
      <c r="G33" s="1">
        <v>8896508.9142789</v>
      </c>
      <c r="H33" s="1">
        <v>8656571.6443983</v>
      </c>
      <c r="I33" s="1">
        <v>-0.0080861345581947</v>
      </c>
      <c r="J33" s="1">
        <v>-0.0077448837405751</v>
      </c>
      <c r="K33" s="1">
        <v>0.016677886393612</v>
      </c>
      <c r="L33" s="1">
        <v>-0.18883966863622</v>
      </c>
      <c r="M33" s="1">
        <v>-0.19011175396628</v>
      </c>
      <c r="N33" s="1">
        <v>373.36295082822</v>
      </c>
      <c r="O33" s="1">
        <v>414.41200874129</v>
      </c>
    </row>
    <row r="34" spans="1:15">
      <c r="A34" s="1">
        <v>5.8066849390983</v>
      </c>
      <c r="B34" s="1">
        <v>0.016589429315911</v>
      </c>
      <c r="C34" s="1">
        <v>92.697148130422</v>
      </c>
      <c r="D34" s="1">
        <v>0.018214250021541</v>
      </c>
      <c r="E34" s="1">
        <v>-6.2155567102982</v>
      </c>
      <c r="F34" s="1">
        <v>-2.1309110295161</v>
      </c>
      <c r="G34" s="1">
        <v>8933843.1974512</v>
      </c>
      <c r="H34" s="1">
        <v>8852519.260463</v>
      </c>
      <c r="I34" s="1">
        <v>-0.0083866641925367</v>
      </c>
      <c r="J34" s="1">
        <v>-0.0080324486584621</v>
      </c>
      <c r="K34" s="1">
        <v>0.017267629801015</v>
      </c>
      <c r="L34" s="1">
        <v>-0.19666729229054</v>
      </c>
      <c r="M34" s="1">
        <v>-0.19794057620127</v>
      </c>
      <c r="N34" s="1">
        <v>374.14634508221</v>
      </c>
      <c r="O34" s="1">
        <v>415.36508297318</v>
      </c>
    </row>
    <row r="35" spans="1:15">
      <c r="A35" s="1">
        <v>6.0066849390983</v>
      </c>
      <c r="B35" s="1">
        <v>0.017215467701278</v>
      </c>
      <c r="C35" s="1">
        <v>92.69700504823</v>
      </c>
      <c r="D35" s="1">
        <v>0.018844356153259</v>
      </c>
      <c r="E35" s="1">
        <v>-6.2078027081844</v>
      </c>
      <c r="F35" s="1">
        <v>-2.1069970711882</v>
      </c>
      <c r="G35" s="1">
        <v>8971232.3257535</v>
      </c>
      <c r="H35" s="1">
        <v>9048916.5466784</v>
      </c>
      <c r="I35" s="1">
        <v>-0.00868704767824</v>
      </c>
      <c r="J35" s="1">
        <v>-0.0083198306461417</v>
      </c>
      <c r="K35" s="1">
        <v>0.017857020662214</v>
      </c>
      <c r="L35" s="1">
        <v>-0.20445496335508</v>
      </c>
      <c r="M35" s="1">
        <v>-0.20572868234156</v>
      </c>
      <c r="N35" s="1">
        <v>374.91934356704</v>
      </c>
      <c r="O35" s="1">
        <v>416.30344240509</v>
      </c>
    </row>
    <row r="36" spans="1:15">
      <c r="A36" s="1">
        <v>6.2066849390983</v>
      </c>
      <c r="B36" s="1">
        <v>0.017841276942904</v>
      </c>
      <c r="C36" s="1">
        <v>92.696851096372</v>
      </c>
      <c r="D36" s="1">
        <v>0.019474234895103</v>
      </c>
      <c r="E36" s="1">
        <v>-6.2042907143546</v>
      </c>
      <c r="F36" s="1">
        <v>-2.1118018804315</v>
      </c>
      <c r="G36" s="1">
        <v>9008673.5462895</v>
      </c>
      <c r="H36" s="1">
        <v>9245749.4750375</v>
      </c>
      <c r="I36" s="1">
        <v>-0.0089872840210207</v>
      </c>
      <c r="J36" s="1">
        <v>-0.0086070314836073</v>
      </c>
      <c r="K36" s="1">
        <v>0.01844605941632</v>
      </c>
      <c r="L36" s="1">
        <v>-0.21246843769783</v>
      </c>
      <c r="M36" s="1">
        <v>-0.21373081830898</v>
      </c>
      <c r="N36" s="1">
        <v>375.68235242488</v>
      </c>
      <c r="O36" s="1">
        <v>417.22824159207</v>
      </c>
    </row>
    <row r="37" spans="1:15">
      <c r="A37" s="1">
        <v>6.4066849390983</v>
      </c>
      <c r="B37" s="1">
        <v>0.018466863795091</v>
      </c>
      <c r="C37" s="1">
        <v>92.696685930433</v>
      </c>
      <c r="D37" s="1">
        <v>0.020103894137699</v>
      </c>
      <c r="E37" s="1">
        <v>-6.205004208621</v>
      </c>
      <c r="F37" s="1">
        <v>-2.1123844367827</v>
      </c>
      <c r="G37" s="1">
        <v>9046164.0866048</v>
      </c>
      <c r="H37" s="1">
        <v>9443003.854076</v>
      </c>
      <c r="I37" s="1">
        <v>-0.0092873697328766</v>
      </c>
      <c r="J37" s="1">
        <v>-0.0088940512274841</v>
      </c>
      <c r="K37" s="1">
        <v>0.019034746500037</v>
      </c>
      <c r="L37" s="1">
        <v>-0.22021804024391</v>
      </c>
      <c r="M37" s="1">
        <v>-0.22145430837908</v>
      </c>
      <c r="N37" s="1">
        <v>376.43610782504</v>
      </c>
      <c r="O37" s="1">
        <v>418.14016298939</v>
      </c>
    </row>
    <row r="38" spans="1:15">
      <c r="A38" s="1">
        <v>6.6066849390983</v>
      </c>
      <c r="B38" s="1">
        <v>0.019092236516614</v>
      </c>
      <c r="C38" s="1">
        <v>92.696514160923</v>
      </c>
      <c r="D38" s="1">
        <v>0.020733342175568</v>
      </c>
      <c r="E38" s="1">
        <v>-6.2166986747895</v>
      </c>
      <c r="F38" s="1">
        <v>-2.1239555294009</v>
      </c>
      <c r="G38" s="1">
        <v>9083701.3715703</v>
      </c>
      <c r="H38" s="1">
        <v>9640666.4392603</v>
      </c>
      <c r="I38" s="1">
        <v>-0.009587304789946</v>
      </c>
      <c r="J38" s="1">
        <v>-0.0091808914024309</v>
      </c>
      <c r="K38" s="1">
        <v>0.019623082356532</v>
      </c>
      <c r="L38" s="1">
        <v>-0.22813793423253</v>
      </c>
      <c r="M38" s="1">
        <v>-0.22938845424353</v>
      </c>
      <c r="N38" s="1">
        <v>377.18111093623</v>
      </c>
      <c r="O38" s="1">
        <v>419.04056872067</v>
      </c>
    </row>
    <row r="39" spans="1:15">
      <c r="A39" s="1">
        <v>6.8066849390983</v>
      </c>
      <c r="B39" s="1">
        <v>0.019717403198167</v>
      </c>
      <c r="C39" s="1">
        <v>92.696326460666</v>
      </c>
      <c r="D39" s="1">
        <v>0.021362586743001</v>
      </c>
      <c r="E39" s="1">
        <v>-6.2164811409453</v>
      </c>
      <c r="F39" s="1">
        <v>-2.1126663497677</v>
      </c>
      <c r="G39" s="1">
        <v>9121283.0011179</v>
      </c>
      <c r="H39" s="1">
        <v>9838724.8270251</v>
      </c>
      <c r="I39" s="1">
        <v>-0.0098870881134571</v>
      </c>
      <c r="J39" s="1">
        <v>-0.0094675521551242</v>
      </c>
      <c r="K39" s="1">
        <v>0.020211067421467</v>
      </c>
      <c r="L39" s="1">
        <v>-0.23611909181336</v>
      </c>
      <c r="M39" s="1">
        <v>-0.2373511554892</v>
      </c>
      <c r="N39" s="1">
        <v>377.91767631978</v>
      </c>
      <c r="O39" s="1">
        <v>419.92992152961</v>
      </c>
    </row>
    <row r="40" spans="1:15">
      <c r="A40" s="1">
        <v>7.0066849390983</v>
      </c>
      <c r="B40" s="1">
        <v>0.020342370781407</v>
      </c>
      <c r="C40" s="1">
        <v>92.696136227794</v>
      </c>
      <c r="D40" s="1">
        <v>0.021991634714898</v>
      </c>
      <c r="E40" s="1">
        <v>-6.2281598298983</v>
      </c>
      <c r="F40" s="1">
        <v>-2.1132496962271</v>
      </c>
      <c r="G40" s="1">
        <v>9158906.6420972</v>
      </c>
      <c r="H40" s="1">
        <v>10037166.88951</v>
      </c>
      <c r="I40" s="1">
        <v>-0.010186718306056</v>
      </c>
      <c r="J40" s="1">
        <v>-0.0097540337534991</v>
      </c>
      <c r="K40" s="1">
        <v>0.020798702127704</v>
      </c>
      <c r="L40" s="1">
        <v>-0.2440468470097</v>
      </c>
      <c r="M40" s="1">
        <v>-0.2452513240504</v>
      </c>
      <c r="N40" s="1">
        <v>378.64629322583</v>
      </c>
      <c r="O40" s="1">
        <v>420.80884340414</v>
      </c>
    </row>
    <row r="41" spans="1:15">
      <c r="A41" s="1">
        <v>7.2066849390983</v>
      </c>
      <c r="B41" s="1">
        <v>0.020967145007614</v>
      </c>
      <c r="C41" s="1">
        <v>92.695957296752</v>
      </c>
      <c r="D41" s="1">
        <v>0.022620492898584</v>
      </c>
      <c r="E41" s="1">
        <v>-6.2245602126697</v>
      </c>
      <c r="F41" s="1">
        <v>-2.1181172937786</v>
      </c>
      <c r="G41" s="1">
        <v>9196570.0760605</v>
      </c>
      <c r="H41" s="1">
        <v>10235981.023504</v>
      </c>
      <c r="I41" s="1">
        <v>-0.01048619473738</v>
      </c>
      <c r="J41" s="1">
        <v>-0.010040337015576</v>
      </c>
      <c r="K41" s="1">
        <v>0.021385986915981</v>
      </c>
      <c r="L41" s="1">
        <v>-0.25201351389793</v>
      </c>
      <c r="M41" s="1">
        <v>-0.25323095707334</v>
      </c>
      <c r="N41" s="1">
        <v>379.36732409701</v>
      </c>
      <c r="O41" s="1">
        <v>421.67803743153</v>
      </c>
    </row>
    <row r="42" spans="1:15">
      <c r="A42" s="1">
        <v>7.4066849390983</v>
      </c>
      <c r="B42" s="1">
        <v>0.021591731629376</v>
      </c>
      <c r="C42" s="1">
        <v>92.695769258616</v>
      </c>
      <c r="D42" s="1">
        <v>0.02324916742025</v>
      </c>
      <c r="E42" s="1">
        <v>-6.2142541751959</v>
      </c>
      <c r="F42" s="1">
        <v>-2.1187080619884</v>
      </c>
      <c r="G42" s="1">
        <v>9234271.2298438</v>
      </c>
      <c r="H42" s="1">
        <v>10435156.31457</v>
      </c>
      <c r="I42" s="1">
        <v>-0.010785516549831</v>
      </c>
      <c r="J42" s="1">
        <v>-0.01032646256406</v>
      </c>
      <c r="K42" s="1">
        <v>0.021972922217016</v>
      </c>
      <c r="L42" s="1">
        <v>-0.26005375393967</v>
      </c>
      <c r="M42" s="1">
        <v>-0.26125378584063</v>
      </c>
      <c r="N42" s="1">
        <v>380.08106987263</v>
      </c>
      <c r="O42" s="1">
        <v>422.53791285581</v>
      </c>
    </row>
    <row r="43" spans="1:15">
      <c r="A43" s="1">
        <v>7.6066849390983</v>
      </c>
      <c r="B43" s="1">
        <v>0.022216136961691</v>
      </c>
      <c r="C43" s="1">
        <v>92.695577496705</v>
      </c>
      <c r="D43" s="1">
        <v>0.023877663833948</v>
      </c>
      <c r="E43" s="1">
        <v>-6.2259164361191</v>
      </c>
      <c r="F43" s="1">
        <v>-2.1302874546106</v>
      </c>
      <c r="G43" s="1">
        <v>9272008.157163</v>
      </c>
      <c r="H43" s="1">
        <v>10634682.437842</v>
      </c>
      <c r="I43" s="1">
        <v>-0.011084682426306</v>
      </c>
      <c r="J43" s="1">
        <v>-0.010612411196694</v>
      </c>
      <c r="K43" s="1">
        <v>0.022559508466546</v>
      </c>
      <c r="L43" s="1">
        <v>-0.26806959957187</v>
      </c>
      <c r="M43" s="1">
        <v>-0.26924489555287</v>
      </c>
      <c r="N43" s="1">
        <v>380.78776706954</v>
      </c>
      <c r="O43" s="1">
        <v>423.38874035213</v>
      </c>
    </row>
    <row r="44" spans="1:15">
      <c r="A44" s="1">
        <v>7.8066849390983</v>
      </c>
      <c r="B44" s="1">
        <v>0.022840366022676</v>
      </c>
      <c r="C44" s="1">
        <v>92.695382405803</v>
      </c>
      <c r="D44" s="1">
        <v>0.024505988143825</v>
      </c>
      <c r="E44" s="1">
        <v>-6.2156019007181</v>
      </c>
      <c r="F44" s="1">
        <v>-2.1308827852641</v>
      </c>
      <c r="G44" s="1">
        <v>9309778.8956248</v>
      </c>
      <c r="H44" s="1">
        <v>10834548.95225</v>
      </c>
      <c r="I44" s="1">
        <v>-0.011383691805596</v>
      </c>
      <c r="J44" s="1">
        <v>-0.010898183462868</v>
      </c>
      <c r="K44" s="1">
        <v>0.023145746094576</v>
      </c>
      <c r="L44" s="1">
        <v>-0.27609362121077</v>
      </c>
      <c r="M44" s="1">
        <v>-0.27726990736178</v>
      </c>
      <c r="N44" s="1">
        <v>381.48771315743</v>
      </c>
      <c r="O44" s="1">
        <v>424.23099755077</v>
      </c>
    </row>
    <row r="45" spans="1:15">
      <c r="A45" s="1">
        <v>8.0066849390983</v>
      </c>
      <c r="B45" s="1">
        <v>0.023464424146465</v>
      </c>
      <c r="C45" s="1">
        <v>92.695184530446</v>
      </c>
      <c r="D45" s="1">
        <v>0.025134145597694</v>
      </c>
      <c r="E45" s="1">
        <v>-6.2272558196832</v>
      </c>
      <c r="F45" s="1">
        <v>-2.1204940955478</v>
      </c>
      <c r="G45" s="1">
        <v>9347581.5882997</v>
      </c>
      <c r="H45" s="1">
        <v>11034745.91742</v>
      </c>
      <c r="I45" s="1">
        <v>-0.011682544018884</v>
      </c>
      <c r="J45" s="1">
        <v>-0.011183779952669</v>
      </c>
      <c r="K45" s="1">
        <v>0.023731635522242</v>
      </c>
      <c r="L45" s="1">
        <v>-0.28414575774492</v>
      </c>
      <c r="M45" s="1">
        <v>-0.28529406387574</v>
      </c>
      <c r="N45" s="1">
        <v>382.18111476484</v>
      </c>
      <c r="O45" s="1">
        <v>425.06497282859</v>
      </c>
    </row>
    <row r="46" spans="1:15">
      <c r="A46" s="1">
        <v>8.2066849390983</v>
      </c>
      <c r="B46" s="1">
        <v>0.024088316140512</v>
      </c>
      <c r="C46" s="1">
        <v>92.694969225025</v>
      </c>
      <c r="D46" s="1">
        <v>0.025762141481549</v>
      </c>
      <c r="E46" s="1">
        <v>-6.2540295396917</v>
      </c>
      <c r="F46" s="1">
        <v>-2.1472016589545</v>
      </c>
      <c r="G46" s="1">
        <v>9385414.3667776</v>
      </c>
      <c r="H46" s="1">
        <v>11235263.286257</v>
      </c>
      <c r="I46" s="1">
        <v>-0.011981238302826</v>
      </c>
      <c r="J46" s="1">
        <v>-0.011469201072146</v>
      </c>
      <c r="K46" s="1">
        <v>0.02431717718448</v>
      </c>
      <c r="L46" s="1">
        <v>-0.29219180599325</v>
      </c>
      <c r="M46" s="1">
        <v>-0.29335813540974</v>
      </c>
      <c r="N46" s="1">
        <v>382.86832972667</v>
      </c>
      <c r="O46" s="1">
        <v>425.89119458787</v>
      </c>
    </row>
    <row r="47" spans="1:15">
      <c r="A47" s="1">
        <v>8.4066849390983</v>
      </c>
      <c r="B47" s="1">
        <v>0.024712047553149</v>
      </c>
      <c r="C47" s="1">
        <v>92.694759368621</v>
      </c>
      <c r="D47" s="1">
        <v>0.02638998113247</v>
      </c>
      <c r="E47" s="1">
        <v>-6.2546914556632</v>
      </c>
      <c r="F47" s="1">
        <v>-2.1587924366658</v>
      </c>
      <c r="G47" s="1">
        <v>9423275.4568102</v>
      </c>
      <c r="H47" s="1">
        <v>11436091.470433</v>
      </c>
      <c r="I47" s="1">
        <v>-0.012279774528566</v>
      </c>
      <c r="J47" s="1">
        <v>-0.011754446853109</v>
      </c>
      <c r="K47" s="1">
        <v>0.024902371500831</v>
      </c>
      <c r="L47" s="1">
        <v>-0.30025568814251</v>
      </c>
      <c r="M47" s="1">
        <v>-0.30140330164108</v>
      </c>
      <c r="N47" s="1">
        <v>383.54955010528</v>
      </c>
      <c r="O47" s="1">
        <v>426.70994041954</v>
      </c>
    </row>
    <row r="48" spans="1:15">
      <c r="A48" s="1">
        <v>8.6066849390983</v>
      </c>
      <c r="B48" s="1">
        <v>0.02533562389256</v>
      </c>
      <c r="C48" s="1">
        <v>92.694548881132</v>
      </c>
      <c r="D48" s="1">
        <v>0.027017670025992</v>
      </c>
      <c r="E48" s="1">
        <v>-6.3102811603442</v>
      </c>
      <c r="F48" s="1">
        <v>-2.1484129076829</v>
      </c>
      <c r="G48" s="1">
        <v>9461163.0924467</v>
      </c>
      <c r="H48" s="1">
        <v>11637220.903751</v>
      </c>
      <c r="I48" s="1">
        <v>-0.012578152734111</v>
      </c>
      <c r="J48" s="1">
        <v>-0.01203951747811</v>
      </c>
      <c r="K48" s="1">
        <v>0.025487218901148</v>
      </c>
      <c r="L48" s="1">
        <v>-0.30835535470071</v>
      </c>
      <c r="M48" s="1">
        <v>-0.30948806461159</v>
      </c>
      <c r="N48" s="1">
        <v>384.22494928209</v>
      </c>
      <c r="O48" s="1">
        <v>427.52155565298</v>
      </c>
    </row>
    <row r="49" spans="1:15">
      <c r="A49" s="1">
        <v>8.8066849390982</v>
      </c>
      <c r="B49" s="1">
        <v>0.025959050130143</v>
      </c>
      <c r="C49" s="1">
        <v>92.69433716278</v>
      </c>
      <c r="D49" s="1">
        <v>0.027645212957583</v>
      </c>
      <c r="E49" s="1">
        <v>-6.3548807392649</v>
      </c>
      <c r="F49" s="1">
        <v>-2.1490220659967</v>
      </c>
      <c r="G49" s="1">
        <v>9499075.6025592</v>
      </c>
      <c r="H49" s="1">
        <v>11838642.454612</v>
      </c>
      <c r="I49" s="1">
        <v>-0.012876373324506</v>
      </c>
      <c r="J49" s="1">
        <v>-0.012324412780635</v>
      </c>
      <c r="K49" s="1">
        <v>0.026071719805652</v>
      </c>
      <c r="L49" s="1">
        <v>-0.31652304845608</v>
      </c>
      <c r="M49" s="1">
        <v>-0.3176503878767</v>
      </c>
      <c r="N49" s="1">
        <v>384.89468185639</v>
      </c>
      <c r="O49" s="1">
        <v>428.32631606997</v>
      </c>
    </row>
    <row r="50" spans="1:15">
      <c r="A50" s="1">
        <v>9.0066849390982</v>
      </c>
      <c r="B50" s="1">
        <v>0.0265823309161</v>
      </c>
      <c r="C50" s="1">
        <v>92.69413940794</v>
      </c>
      <c r="D50" s="1">
        <v>0.028272614396611</v>
      </c>
      <c r="E50" s="1">
        <v>-6.3622336998644</v>
      </c>
      <c r="F50" s="1">
        <v>-2.1429244424205</v>
      </c>
      <c r="G50" s="1">
        <v>9537011.3496799</v>
      </c>
      <c r="H50" s="1">
        <v>12040347.121111</v>
      </c>
      <c r="I50" s="1">
        <v>-0.013174436166973</v>
      </c>
      <c r="J50" s="1">
        <v>-0.012609132068974</v>
      </c>
      <c r="K50" s="1">
        <v>0.026655874636791</v>
      </c>
      <c r="L50" s="1">
        <v>-0.32465793404446</v>
      </c>
      <c r="M50" s="1">
        <v>-0.32576734141927</v>
      </c>
      <c r="N50" s="1">
        <v>385.55906203243</v>
      </c>
      <c r="O50" s="1">
        <v>429.12451707414</v>
      </c>
    </row>
    <row r="51" spans="1:15">
      <c r="A51" s="1">
        <v>9.2066849390982</v>
      </c>
      <c r="B51" s="1">
        <v>0.027205471550738</v>
      </c>
      <c r="C51" s="1">
        <v>92.693938051214</v>
      </c>
      <c r="D51" s="1">
        <v>0.028899879051416</v>
      </c>
      <c r="E51" s="1">
        <v>-6.3697208564854</v>
      </c>
      <c r="F51" s="1">
        <v>-2.158664707029</v>
      </c>
      <c r="G51" s="1">
        <v>9574968.8113341</v>
      </c>
      <c r="H51" s="1">
        <v>12242326.475505</v>
      </c>
      <c r="I51" s="1">
        <v>-0.013472341486914</v>
      </c>
      <c r="J51" s="1">
        <v>-0.012893675490718</v>
      </c>
      <c r="K51" s="1">
        <v>0.027239683821165</v>
      </c>
      <c r="L51" s="1">
        <v>-0.33273211818397</v>
      </c>
      <c r="M51" s="1">
        <v>-0.33384063169089</v>
      </c>
      <c r="N51" s="1">
        <v>386.21808887638</v>
      </c>
      <c r="O51" s="1">
        <v>429.91620442281</v>
      </c>
    </row>
    <row r="52" spans="1:15">
      <c r="A52" s="1">
        <v>9.4066849390982</v>
      </c>
      <c r="B52" s="1">
        <v>0.027828475563089</v>
      </c>
      <c r="C52" s="1">
        <v>92.69373658116</v>
      </c>
      <c r="D52" s="1">
        <v>0.029527011453853</v>
      </c>
      <c r="E52" s="1">
        <v>-6.3880604580952</v>
      </c>
      <c r="F52" s="1">
        <v>-2.1745366556902</v>
      </c>
      <c r="G52" s="1">
        <v>9612946.384333</v>
      </c>
      <c r="H52" s="1">
        <v>12444571.630732</v>
      </c>
      <c r="I52" s="1">
        <v>-0.013770089894853</v>
      </c>
      <c r="J52" s="1">
        <v>-0.013178042912622</v>
      </c>
      <c r="K52" s="1">
        <v>0.027823147780511</v>
      </c>
      <c r="L52" s="1">
        <v>-0.34092612432468</v>
      </c>
      <c r="M52" s="1">
        <v>-0.34201720601469</v>
      </c>
      <c r="N52" s="1">
        <v>386.87207222925</v>
      </c>
      <c r="O52" s="1">
        <v>430.70191319339</v>
      </c>
    </row>
    <row r="53" spans="1:15">
      <c r="A53" s="1">
        <v>9.6066849390982</v>
      </c>
      <c r="B53" s="1">
        <v>0.028451348038223</v>
      </c>
      <c r="C53" s="1">
        <v>92.693516599139</v>
      </c>
      <c r="D53" s="1">
        <v>0.030154015606542</v>
      </c>
      <c r="E53" s="1">
        <v>-6.4038983273633</v>
      </c>
      <c r="F53" s="1">
        <v>-2.1903543227677</v>
      </c>
      <c r="G53" s="1">
        <v>9650942.6618644</v>
      </c>
      <c r="H53" s="1">
        <v>12647074.67927</v>
      </c>
      <c r="I53" s="1">
        <v>-0.014067681500136</v>
      </c>
      <c r="J53" s="1">
        <v>-0.013462233812773</v>
      </c>
      <c r="K53" s="1">
        <v>0.028406266935252</v>
      </c>
      <c r="L53" s="1">
        <v>-0.34907920905375</v>
      </c>
      <c r="M53" s="1">
        <v>-0.35017615775337</v>
      </c>
      <c r="N53" s="1">
        <v>387.52108311041</v>
      </c>
      <c r="O53" s="1">
        <v>431.4816334958</v>
      </c>
    </row>
    <row r="54" spans="1:15">
      <c r="A54" s="1">
        <v>9.8066849390982</v>
      </c>
      <c r="B54" s="1">
        <v>0.029074092579802</v>
      </c>
      <c r="C54" s="1">
        <v>92.693283152872</v>
      </c>
      <c r="D54" s="1">
        <v>0.030780895590785</v>
      </c>
      <c r="E54" s="1">
        <v>-6.4364515359052</v>
      </c>
      <c r="F54" s="1">
        <v>-2.1899540727612</v>
      </c>
      <c r="G54" s="1">
        <v>9688956.1837332</v>
      </c>
      <c r="H54" s="1">
        <v>12849827.408981</v>
      </c>
      <c r="I54" s="1">
        <v>-0.014365116986851</v>
      </c>
      <c r="J54" s="1">
        <v>-0.013746247682304</v>
      </c>
      <c r="K54" s="1">
        <v>0.028989041701763</v>
      </c>
      <c r="L54" s="1">
        <v>-0.35725942519859</v>
      </c>
      <c r="M54" s="1">
        <v>-0.35833359435263</v>
      </c>
      <c r="N54" s="1">
        <v>388.16531120734</v>
      </c>
      <c r="O54" s="1">
        <v>432.25565076594</v>
      </c>
    </row>
    <row r="55" spans="1:15">
      <c r="A55" s="1">
        <v>10</v>
      </c>
      <c r="B55" s="1">
        <v>0.029675749904052</v>
      </c>
      <c r="C55" s="1">
        <v>92.693070060639</v>
      </c>
      <c r="D55" s="1">
        <v>0.031386694016854</v>
      </c>
      <c r="E55" s="1">
        <v>-6.4328094374491</v>
      </c>
      <c r="F55" s="1">
        <v>-2.1947982512965</v>
      </c>
      <c r="G55" s="1">
        <v>9725704.8831959</v>
      </c>
      <c r="H55" s="1">
        <v>13045983.855023</v>
      </c>
      <c r="I55" s="1">
        <v>-0.014652432739154</v>
      </c>
      <c r="J55" s="1">
        <v>-0.014020572484771</v>
      </c>
      <c r="K55" s="1">
        <v>0.02955201049898</v>
      </c>
      <c r="L55" s="1">
        <v>-0.36450897481349</v>
      </c>
      <c r="M55" s="1">
        <v>-0.36560284391199</v>
      </c>
      <c r="N55" s="1">
        <v>388.80872207704</v>
      </c>
      <c r="O55" s="1">
        <v>433.0246914987</v>
      </c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workbookViewId="0">
      <selection activeCell="A1" sqref="A1:O95"/>
    </sheetView>
  </sheetViews>
  <sheetFormatPr defaultColWidth="8.81333333333333" defaultRowHeight="15"/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0.0025830812468784</v>
      </c>
      <c r="B3" s="2">
        <v>1.2036973687345e-23</v>
      </c>
      <c r="C3" s="1">
        <v>92.681598736748</v>
      </c>
      <c r="D3" s="2">
        <v>7.1835902265732e-6</v>
      </c>
      <c r="E3" s="1">
        <v>-5.6421879249099</v>
      </c>
      <c r="F3" s="1">
        <v>-2.7149620604439</v>
      </c>
      <c r="G3" s="1">
        <v>8000000</v>
      </c>
      <c r="H3" s="1">
        <v>4000000</v>
      </c>
      <c r="I3" s="2">
        <v>-2.1183853267389e-6</v>
      </c>
      <c r="J3" s="2">
        <v>-2.0181316771108e-6</v>
      </c>
      <c r="K3" s="2">
        <v>7.7492131979224e-6</v>
      </c>
      <c r="L3" s="2">
        <v>-1.8962200135854e-7</v>
      </c>
      <c r="M3" s="2">
        <v>-1.9661225944599e-7</v>
      </c>
      <c r="N3" s="1">
        <v>1.569678130494</v>
      </c>
      <c r="O3" s="1">
        <v>1.6679864928678</v>
      </c>
    </row>
    <row r="4" spans="1:15">
      <c r="A4" s="1">
        <v>0.018444056862426</v>
      </c>
      <c r="B4" s="2">
        <v>4.4168786388483e-21</v>
      </c>
      <c r="C4" s="1">
        <v>92.681708716851</v>
      </c>
      <c r="D4" s="2">
        <v>5.1295099406569e-5</v>
      </c>
      <c r="E4" s="1">
        <v>-5.6421905160236</v>
      </c>
      <c r="F4" s="1">
        <v>-2.7148490239275</v>
      </c>
      <c r="G4" s="1">
        <v>8000000</v>
      </c>
      <c r="H4" s="1">
        <v>4000000</v>
      </c>
      <c r="I4" s="2">
        <v>-1.5128460728661e-5</v>
      </c>
      <c r="J4" s="2">
        <v>-1.4412460420323e-5</v>
      </c>
      <c r="K4" s="2">
        <v>5.533061343943e-5</v>
      </c>
      <c r="L4" s="2">
        <v>-9.663744083292e-6</v>
      </c>
      <c r="M4" s="2">
        <v>-1.0020180791567e-5</v>
      </c>
      <c r="N4" s="1">
        <v>11.21105179746</v>
      </c>
      <c r="O4" s="1">
        <v>11.912941043287</v>
      </c>
    </row>
    <row r="5" spans="1:15">
      <c r="A5" s="1">
        <v>0.1</v>
      </c>
      <c r="B5" s="2">
        <v>2.7846586853371e-15</v>
      </c>
      <c r="C5" s="1">
        <v>92.681470012489</v>
      </c>
      <c r="D5" s="1">
        <v>0.00027816884974201</v>
      </c>
      <c r="E5" s="1">
        <v>-5.8926365877929</v>
      </c>
      <c r="F5" s="1">
        <v>-3.0173622905179</v>
      </c>
      <c r="G5" s="1">
        <v>8000000.0000001</v>
      </c>
      <c r="H5" s="1">
        <v>4000000.0000007</v>
      </c>
      <c r="I5" s="2">
        <v>-8.2102123949841e-5</v>
      </c>
      <c r="J5" s="2">
        <v>-7.8215481664958e-5</v>
      </c>
      <c r="K5" s="1">
        <v>0.00029995423409739</v>
      </c>
      <c r="L5" s="1">
        <v>-0.00028237087806503</v>
      </c>
      <c r="M5" s="1">
        <v>-0.00029290614934686</v>
      </c>
      <c r="N5" s="1">
        <v>60.878476622556</v>
      </c>
      <c r="O5" s="1">
        <v>64.68217141938</v>
      </c>
    </row>
    <row r="6" spans="1:15">
      <c r="A6" s="1">
        <v>0.20668493909835</v>
      </c>
      <c r="B6" s="2">
        <v>1.3421705172969e-11</v>
      </c>
      <c r="C6" s="1">
        <v>92.687033934218</v>
      </c>
      <c r="D6" s="1">
        <v>0.00057507565272803</v>
      </c>
      <c r="E6" s="1">
        <v>-5.7945053405752</v>
      </c>
      <c r="F6" s="1">
        <v>-2.6947031016509</v>
      </c>
      <c r="G6" s="1">
        <v>8000000.000579</v>
      </c>
      <c r="H6" s="1">
        <v>4000000.00297</v>
      </c>
      <c r="I6" s="1">
        <v>-0.00016988052484402</v>
      </c>
      <c r="J6" s="1">
        <v>-0.00016183628313242</v>
      </c>
      <c r="K6" s="1">
        <v>0.00061985935785781</v>
      </c>
      <c r="L6" s="1">
        <v>-0.0012107958192669</v>
      </c>
      <c r="M6" s="1">
        <v>-0.0012554947081787</v>
      </c>
      <c r="N6" s="1">
        <v>126.05633661256</v>
      </c>
      <c r="O6" s="1">
        <v>133.91316934882</v>
      </c>
    </row>
    <row r="7" spans="1:15">
      <c r="A7" s="1">
        <v>0.40668493909835</v>
      </c>
      <c r="B7" s="2">
        <v>9.6076515243452e-7</v>
      </c>
      <c r="C7" s="1">
        <v>92.694851032586</v>
      </c>
      <c r="D7" s="1">
        <v>0.00113231803335</v>
      </c>
      <c r="E7" s="1">
        <v>-6.0945116942252</v>
      </c>
      <c r="F7" s="1">
        <v>-2.5555831106106</v>
      </c>
      <c r="G7" s="1">
        <v>8000039.4955109</v>
      </c>
      <c r="H7" s="1">
        <v>4000202.581463</v>
      </c>
      <c r="I7" s="1">
        <v>-0.00033526031567781</v>
      </c>
      <c r="J7" s="1">
        <v>-0.00031939989336722</v>
      </c>
      <c r="K7" s="1">
        <v>0.0012192984222204</v>
      </c>
      <c r="L7" s="1">
        <v>-0.004556137224903</v>
      </c>
      <c r="M7" s="1">
        <v>-0.0047595604059995</v>
      </c>
      <c r="N7" s="1">
        <v>248.78362122621</v>
      </c>
      <c r="O7" s="1">
        <v>264.21877936409</v>
      </c>
    </row>
    <row r="8" spans="1:15">
      <c r="A8" s="1">
        <v>0.60668493909835</v>
      </c>
      <c r="B8" s="1">
        <v>0.00015712499315494</v>
      </c>
      <c r="C8" s="1">
        <v>92.699483633359</v>
      </c>
      <c r="D8" s="1">
        <v>0.0017120608746397</v>
      </c>
      <c r="E8" s="1">
        <v>-6.0117945988134</v>
      </c>
      <c r="F8" s="1">
        <v>-2.3404038557143</v>
      </c>
      <c r="G8" s="1">
        <v>8006649.5520422</v>
      </c>
      <c r="H8" s="1">
        <v>4034135.2295073</v>
      </c>
      <c r="I8" s="1">
        <v>-0.00053387774310477</v>
      </c>
      <c r="J8" s="1">
        <v>-0.0005095065133217</v>
      </c>
      <c r="K8" s="1">
        <v>0.0018183745835917</v>
      </c>
      <c r="L8" s="1">
        <v>-0.010619895349413</v>
      </c>
      <c r="M8" s="1">
        <v>-0.011060941787898</v>
      </c>
      <c r="N8" s="1">
        <v>343.53871563187</v>
      </c>
      <c r="O8" s="1">
        <v>365.71231668596</v>
      </c>
    </row>
    <row r="9" spans="1:15">
      <c r="A9" s="1">
        <v>0.80668493909835</v>
      </c>
      <c r="B9" s="1">
        <v>0.00068599464602969</v>
      </c>
      <c r="C9" s="1">
        <v>92.699313013942</v>
      </c>
      <c r="D9" s="1">
        <v>0.0023328093682429</v>
      </c>
      <c r="E9" s="1">
        <v>-6.1644807771207</v>
      </c>
      <c r="F9" s="1">
        <v>-2.1436707747929</v>
      </c>
      <c r="G9" s="1">
        <v>8030244.1463173</v>
      </c>
      <c r="H9" s="1">
        <v>4155432.4943718</v>
      </c>
      <c r="I9" s="1">
        <v>-0.0008085308619699</v>
      </c>
      <c r="J9" s="1">
        <v>-0.00077115848783598</v>
      </c>
      <c r="K9" s="1">
        <v>0.0024170884524869</v>
      </c>
      <c r="L9" s="1">
        <v>-0.018144207877642</v>
      </c>
      <c r="M9" s="1">
        <v>-0.01890453634279</v>
      </c>
      <c r="N9" s="1">
        <v>372.17148659275</v>
      </c>
      <c r="O9" s="1">
        <v>398.89533359594</v>
      </c>
    </row>
    <row r="10" spans="1:15">
      <c r="A10" s="1">
        <v>1.0066849390983</v>
      </c>
      <c r="B10" s="1">
        <v>0.0013063508166755</v>
      </c>
      <c r="C10" s="1">
        <v>92.699953691823</v>
      </c>
      <c r="D10" s="1">
        <v>0.0029637548290833</v>
      </c>
      <c r="E10" s="1">
        <v>-6.2383019864162</v>
      </c>
      <c r="F10" s="1">
        <v>-2.0946092640954</v>
      </c>
      <c r="G10" s="1">
        <v>8059627.0673345</v>
      </c>
      <c r="H10" s="1">
        <v>4306721.0266469</v>
      </c>
      <c r="I10" s="1">
        <v>-0.0011036569289683</v>
      </c>
      <c r="J10" s="1">
        <v>-0.0010508706973957</v>
      </c>
      <c r="K10" s="1">
        <v>0.0030154360116919</v>
      </c>
      <c r="L10" s="1">
        <v>-0.02437962749474</v>
      </c>
      <c r="M10" s="1">
        <v>-0.025339295863029</v>
      </c>
      <c r="N10" s="1">
        <v>383.12671823151</v>
      </c>
      <c r="O10" s="1">
        <v>413.26357862654</v>
      </c>
    </row>
    <row r="11" spans="1:15">
      <c r="A11" s="1">
        <v>1.2066849390983</v>
      </c>
      <c r="B11" s="1">
        <v>0.0019409513355188</v>
      </c>
      <c r="C11" s="1">
        <v>92.700296370806</v>
      </c>
      <c r="D11" s="1">
        <v>0.0035989865188145</v>
      </c>
      <c r="E11" s="1">
        <v>-6.278520880938</v>
      </c>
      <c r="F11" s="1">
        <v>-2.0785844135552</v>
      </c>
      <c r="G11" s="1">
        <v>8091139.9901531</v>
      </c>
      <c r="H11" s="1">
        <v>4469182.8852443</v>
      </c>
      <c r="I11" s="1">
        <v>-0.0014033909877669</v>
      </c>
      <c r="J11" s="1">
        <v>-0.0013359287093463</v>
      </c>
      <c r="K11" s="1">
        <v>0.0036134178426</v>
      </c>
      <c r="L11" s="1">
        <v>-0.031072805531871</v>
      </c>
      <c r="M11" s="1">
        <v>-0.032171182101648</v>
      </c>
      <c r="N11" s="1">
        <v>389.35046413449</v>
      </c>
      <c r="O11" s="1">
        <v>422.19415964027</v>
      </c>
    </row>
    <row r="12" spans="1:15">
      <c r="A12" s="1">
        <v>1.4066849390983</v>
      </c>
      <c r="B12" s="1">
        <v>0.0025776939543489</v>
      </c>
      <c r="C12" s="1">
        <v>92.700452294193</v>
      </c>
      <c r="D12" s="1">
        <v>0.0042362963276079</v>
      </c>
      <c r="E12" s="1">
        <v>-6.2950718307846</v>
      </c>
      <c r="F12" s="1">
        <v>-2.0749374188503</v>
      </c>
      <c r="G12" s="1">
        <v>8123855.5596691</v>
      </c>
      <c r="H12" s="1">
        <v>4638027.8199799</v>
      </c>
      <c r="I12" s="1">
        <v>-0.0017046278057142</v>
      </c>
      <c r="J12" s="1">
        <v>-0.0016236474231861</v>
      </c>
      <c r="K12" s="1">
        <v>0.0042110350794902</v>
      </c>
      <c r="L12" s="1">
        <v>-0.038475583420065</v>
      </c>
      <c r="M12" s="1">
        <v>-0.039687803537144</v>
      </c>
      <c r="N12" s="1">
        <v>393.47883918007</v>
      </c>
      <c r="O12" s="1">
        <v>428.47912936201</v>
      </c>
    </row>
    <row r="13" spans="1:15">
      <c r="A13" s="1">
        <v>1.6066849390983</v>
      </c>
      <c r="B13" s="1">
        <v>0.0032139153443018</v>
      </c>
      <c r="C13" s="1">
        <v>92.700508821638</v>
      </c>
      <c r="D13" s="1">
        <v>0.0048743798119869</v>
      </c>
      <c r="E13" s="1">
        <v>-6.3073493385302</v>
      </c>
      <c r="F13" s="1">
        <v>-2.0753935896264</v>
      </c>
      <c r="G13" s="1">
        <v>8157349.2226559</v>
      </c>
      <c r="H13" s="1">
        <v>4811060.3706772</v>
      </c>
      <c r="I13" s="1">
        <v>-0.0020064001413758</v>
      </c>
      <c r="J13" s="1">
        <v>-0.0019128176940484</v>
      </c>
      <c r="K13" s="1">
        <v>0.004808288838861</v>
      </c>
      <c r="L13" s="1">
        <v>-0.04599310139671</v>
      </c>
      <c r="M13" s="1">
        <v>-0.047304685191774</v>
      </c>
      <c r="N13" s="1">
        <v>396.50713671258</v>
      </c>
      <c r="O13" s="1">
        <v>433.23186363119</v>
      </c>
    </row>
    <row r="14" spans="1:15">
      <c r="A14" s="1">
        <v>1.8066849390983</v>
      </c>
      <c r="B14" s="1">
        <v>0.0038491849664088</v>
      </c>
      <c r="C14" s="1">
        <v>92.700520000813</v>
      </c>
      <c r="D14" s="1">
        <v>0.0055125776708067</v>
      </c>
      <c r="E14" s="1">
        <v>-6.3112349974386</v>
      </c>
      <c r="F14" s="1">
        <v>-2.0841260812136</v>
      </c>
      <c r="G14" s="1">
        <v>8191382.7541429</v>
      </c>
      <c r="H14" s="1">
        <v>4987050.3284361</v>
      </c>
      <c r="I14" s="1">
        <v>-0.0023083557664954</v>
      </c>
      <c r="J14" s="1">
        <v>-0.002202775398075</v>
      </c>
      <c r="K14" s="1">
        <v>0.0054051799342397</v>
      </c>
      <c r="L14" s="1">
        <v>-0.053709834570021</v>
      </c>
      <c r="M14" s="1">
        <v>-0.055104603436936</v>
      </c>
      <c r="N14" s="1">
        <v>398.90468830606</v>
      </c>
      <c r="O14" s="1">
        <v>437.02838047465</v>
      </c>
    </row>
    <row r="15" spans="1:15">
      <c r="A15" s="1">
        <v>2.0066849390983</v>
      </c>
      <c r="B15" s="1">
        <v>0.0044835862856725</v>
      </c>
      <c r="C15" s="1">
        <v>92.700479993956</v>
      </c>
      <c r="D15" s="1">
        <v>0.006150583924464</v>
      </c>
      <c r="E15" s="1">
        <v>-6.3233730315323</v>
      </c>
      <c r="F15" s="1">
        <v>-2.0845766056025</v>
      </c>
      <c r="G15" s="1">
        <v>8225813.2537421</v>
      </c>
      <c r="H15" s="1">
        <v>5165261.1950595</v>
      </c>
      <c r="I15" s="1">
        <v>-0.0026103804734355</v>
      </c>
      <c r="J15" s="1">
        <v>-0.0024931158190483</v>
      </c>
      <c r="K15" s="1">
        <v>0.0060017089143553</v>
      </c>
      <c r="L15" s="1">
        <v>-0.06124656066676</v>
      </c>
      <c r="M15" s="1">
        <v>-0.062716144523211</v>
      </c>
      <c r="N15" s="1">
        <v>400.91259866518</v>
      </c>
      <c r="O15" s="1">
        <v>440.19125724679</v>
      </c>
    </row>
    <row r="16" spans="1:15">
      <c r="A16" s="1">
        <v>2.2066849390983</v>
      </c>
      <c r="B16" s="1">
        <v>0.005117254945122</v>
      </c>
      <c r="C16" s="1">
        <v>92.700405488199</v>
      </c>
      <c r="D16" s="1">
        <v>0.0067882632528318</v>
      </c>
      <c r="E16" s="1">
        <v>-6.3244824083903</v>
      </c>
      <c r="F16" s="1">
        <v>-2.0850376955434</v>
      </c>
      <c r="G16" s="1">
        <v>8260549.5054334</v>
      </c>
      <c r="H16" s="1">
        <v>5345223.8595286</v>
      </c>
      <c r="I16" s="1">
        <v>-0.0029124260352756</v>
      </c>
      <c r="J16" s="1">
        <v>-0.002783604116378</v>
      </c>
      <c r="K16" s="1">
        <v>0.0065978762555335</v>
      </c>
      <c r="L16" s="1">
        <v>-0.069010593541606</v>
      </c>
      <c r="M16" s="1">
        <v>-0.070547272641474</v>
      </c>
      <c r="N16" s="1">
        <v>402.66519953801</v>
      </c>
      <c r="O16" s="1">
        <v>442.91477599593</v>
      </c>
    </row>
    <row r="17" spans="1:15">
      <c r="A17" s="1">
        <v>2.4066849390983</v>
      </c>
      <c r="B17" s="1">
        <v>0.0057502998053601</v>
      </c>
      <c r="C17" s="1">
        <v>92.700325642146</v>
      </c>
      <c r="D17" s="1">
        <v>0.0074255550283377</v>
      </c>
      <c r="E17" s="1">
        <v>-6.3171868741078</v>
      </c>
      <c r="F17" s="1">
        <v>-2.0938678504153</v>
      </c>
      <c r="G17" s="1">
        <v>8295531.2725907</v>
      </c>
      <c r="H17" s="1">
        <v>5526629.1702551</v>
      </c>
      <c r="I17" s="1">
        <v>-0.0032144592897881</v>
      </c>
      <c r="J17" s="1">
        <v>-0.0030741087271235</v>
      </c>
      <c r="K17" s="1">
        <v>0.0071936824485546</v>
      </c>
      <c r="L17" s="1">
        <v>-0.076748827475743</v>
      </c>
      <c r="M17" s="1">
        <v>-0.078358956764636</v>
      </c>
      <c r="N17" s="1">
        <v>404.24050718661</v>
      </c>
      <c r="O17" s="1">
        <v>445.31879145498</v>
      </c>
    </row>
    <row r="18" spans="1:15">
      <c r="A18" s="1">
        <v>2.6066849390983</v>
      </c>
      <c r="B18" s="1">
        <v>0.0063827976579425</v>
      </c>
      <c r="C18" s="1">
        <v>92.700215509233</v>
      </c>
      <c r="D18" s="1">
        <v>0.0080624337957585</v>
      </c>
      <c r="E18" s="1">
        <v>-6.3182298831565</v>
      </c>
      <c r="F18" s="1">
        <v>-2.0943502588619</v>
      </c>
      <c r="G18" s="1">
        <v>8330716.7734788</v>
      </c>
      <c r="H18" s="1">
        <v>5709263.1372864</v>
      </c>
      <c r="I18" s="1">
        <v>-0.0035164549983483</v>
      </c>
      <c r="J18" s="1">
        <v>-0.0033645562197932</v>
      </c>
      <c r="K18" s="1">
        <v>0.007789128024809</v>
      </c>
      <c r="L18" s="1">
        <v>-0.084650282938974</v>
      </c>
      <c r="M18" s="1">
        <v>-0.086301024988642</v>
      </c>
      <c r="N18" s="1">
        <v>405.68650559881</v>
      </c>
      <c r="O18" s="1">
        <v>447.48144488252</v>
      </c>
    </row>
    <row r="19" spans="1:15">
      <c r="A19" s="1">
        <v>2.8066849390983</v>
      </c>
      <c r="B19" s="1">
        <v>0.0070148017859037</v>
      </c>
      <c r="C19" s="1">
        <v>92.700084526559</v>
      </c>
      <c r="D19" s="1">
        <v>0.0086988926689534</v>
      </c>
      <c r="E19" s="1">
        <v>-6.330236813666</v>
      </c>
      <c r="F19" s="1">
        <v>-2.0948372176016</v>
      </c>
      <c r="G19" s="1">
        <v>8366075.0170312</v>
      </c>
      <c r="H19" s="1">
        <v>5892967.4301192</v>
      </c>
      <c r="I19" s="1">
        <v>-0.0038183912346262</v>
      </c>
      <c r="J19" s="1">
        <v>-0.0036549035201218</v>
      </c>
      <c r="K19" s="1">
        <v>0.0083842135057834</v>
      </c>
      <c r="L19" s="1">
        <v>-0.092762749163642</v>
      </c>
      <c r="M19" s="1">
        <v>-0.094442415127209</v>
      </c>
      <c r="N19" s="1">
        <v>407.03508820186</v>
      </c>
      <c r="O19" s="1">
        <v>449.4574549953</v>
      </c>
    </row>
    <row r="20" spans="1:15">
      <c r="A20" s="1">
        <v>3.0066849390983</v>
      </c>
      <c r="B20" s="1">
        <v>0.0076463554650402</v>
      </c>
      <c r="C20" s="1">
        <v>92.699936397078</v>
      </c>
      <c r="D20" s="1">
        <v>0.0093349357585166</v>
      </c>
      <c r="E20" s="1">
        <v>-6.3312374789028</v>
      </c>
      <c r="F20" s="1">
        <v>-2.0953283632908</v>
      </c>
      <c r="G20" s="1">
        <v>8401582.3704032</v>
      </c>
      <c r="H20" s="1">
        <v>6077621.6201929</v>
      </c>
      <c r="I20" s="1">
        <v>-0.0041202503775782</v>
      </c>
      <c r="J20" s="1">
        <v>-0.0039451226559088</v>
      </c>
      <c r="K20" s="1">
        <v>0.0089789393863725</v>
      </c>
      <c r="L20" s="1">
        <v>-0.10072122410849</v>
      </c>
      <c r="M20" s="1">
        <v>-0.10241328253472</v>
      </c>
      <c r="N20" s="1">
        <v>408.30798417529</v>
      </c>
      <c r="O20" s="1">
        <v>451.2859416964</v>
      </c>
    </row>
    <row r="21" spans="1:15">
      <c r="A21" s="1">
        <v>3.2066849390983</v>
      </c>
      <c r="B21" s="1">
        <v>0.0082774889679231</v>
      </c>
      <c r="C21" s="1">
        <v>92.69978028994</v>
      </c>
      <c r="D21" s="1">
        <v>0.0099705714682283</v>
      </c>
      <c r="E21" s="1">
        <v>-6.3541922398433</v>
      </c>
      <c r="F21" s="1">
        <v>-2.0958236590044</v>
      </c>
      <c r="G21" s="1">
        <v>8437220.6373748</v>
      </c>
      <c r="H21" s="1">
        <v>6263133.1323726</v>
      </c>
      <c r="I21" s="1">
        <v>-0.0044220239975897</v>
      </c>
      <c r="J21" s="1">
        <v>-0.0042351937982783</v>
      </c>
      <c r="K21" s="1">
        <v>0.0095733061528613</v>
      </c>
      <c r="L21" s="1">
        <v>-0.10891860086665</v>
      </c>
      <c r="M21" s="1">
        <v>-0.11064969815095</v>
      </c>
      <c r="N21" s="1">
        <v>409.520304848</v>
      </c>
      <c r="O21" s="1">
        <v>452.995930408</v>
      </c>
    </row>
    <row r="22" spans="1:15">
      <c r="A22" s="1">
        <v>3.4066849390983</v>
      </c>
      <c r="B22" s="1">
        <v>0.0089082234714537</v>
      </c>
      <c r="C22" s="1">
        <v>92.699622825849</v>
      </c>
      <c r="D22" s="1">
        <v>0.010605810122819</v>
      </c>
      <c r="E22" s="1">
        <v>-6.3468114730991</v>
      </c>
      <c r="F22" s="1">
        <v>-2.1046593055715</v>
      </c>
      <c r="G22" s="1">
        <v>8472975.5508899</v>
      </c>
      <c r="H22" s="1">
        <v>6449429.4712719</v>
      </c>
      <c r="I22" s="1">
        <v>-0.0047237087235196</v>
      </c>
      <c r="J22" s="1">
        <v>-0.0045250984432651</v>
      </c>
      <c r="K22" s="1">
        <v>0.010167314280994</v>
      </c>
      <c r="L22" s="1">
        <v>-0.11718748956608</v>
      </c>
      <c r="M22" s="1">
        <v>-0.11894170149554</v>
      </c>
      <c r="N22" s="1">
        <v>410.68271980392</v>
      </c>
      <c r="O22" s="1">
        <v>454.60812345527</v>
      </c>
    </row>
    <row r="23" spans="1:15">
      <c r="A23" s="1">
        <v>3.6066849390983</v>
      </c>
      <c r="B23" s="1">
        <v>0.0095385762033959</v>
      </c>
      <c r="C23" s="1">
        <v>92.699474195495</v>
      </c>
      <c r="D23" s="1">
        <v>0.011240663142098</v>
      </c>
      <c r="E23" s="1">
        <v>-6.328352958242</v>
      </c>
      <c r="F23" s="1">
        <v>-2.1135655319466</v>
      </c>
      <c r="G23" s="1">
        <v>8508835.4887985</v>
      </c>
      <c r="H23" s="1">
        <v>6636451.6225211</v>
      </c>
      <c r="I23" s="1">
        <v>-0.0050253017383033</v>
      </c>
      <c r="J23" s="1">
        <v>-0.0048148240726606</v>
      </c>
      <c r="K23" s="1">
        <v>0.010760964236602</v>
      </c>
      <c r="L23" s="1">
        <v>-0.12558678181506</v>
      </c>
      <c r="M23" s="1">
        <v>-0.12733709823667</v>
      </c>
      <c r="N23" s="1">
        <v>411.80322518174</v>
      </c>
      <c r="O23" s="1">
        <v>456.13860807449</v>
      </c>
    </row>
    <row r="24" spans="1:15">
      <c r="A24" s="1">
        <v>3.8066849390983</v>
      </c>
      <c r="B24" s="1">
        <v>0.010168563008497</v>
      </c>
      <c r="C24" s="1">
        <v>92.699321441215</v>
      </c>
      <c r="D24" s="1">
        <v>0.011875146212831</v>
      </c>
      <c r="E24" s="1">
        <v>-6.3251073942424</v>
      </c>
      <c r="F24" s="1">
        <v>-2.1072561149242</v>
      </c>
      <c r="G24" s="1">
        <v>8544790.6565516</v>
      </c>
      <c r="H24" s="1">
        <v>6824149.8835936</v>
      </c>
      <c r="I24" s="1">
        <v>-0.0053267978710655</v>
      </c>
      <c r="J24" s="1">
        <v>-0.0051043636291722</v>
      </c>
      <c r="K24" s="1">
        <v>0.011354256490209</v>
      </c>
      <c r="L24" s="1">
        <v>-0.13390400356549</v>
      </c>
      <c r="M24" s="1">
        <v>-0.13570061015298</v>
      </c>
      <c r="N24" s="1">
        <v>412.88782000302</v>
      </c>
      <c r="O24" s="1">
        <v>457.59968779547</v>
      </c>
    </row>
    <row r="25" spans="1:15">
      <c r="A25" s="1">
        <v>4.0066849390983</v>
      </c>
      <c r="B25" s="1">
        <v>0.010798198305584</v>
      </c>
      <c r="C25" s="1">
        <v>92.699151962828</v>
      </c>
      <c r="D25" s="1">
        <v>0.012509273088546</v>
      </c>
      <c r="E25" s="1">
        <v>-6.326016916146</v>
      </c>
      <c r="F25" s="1">
        <v>-2.1077700798673</v>
      </c>
      <c r="G25" s="1">
        <v>8580832.6219498</v>
      </c>
      <c r="H25" s="1">
        <v>7012481.4654178</v>
      </c>
      <c r="I25" s="1">
        <v>-0.005628190947451</v>
      </c>
      <c r="J25" s="1">
        <v>-0.005393714296294</v>
      </c>
      <c r="K25" s="1">
        <v>0.011947191502775</v>
      </c>
      <c r="L25" s="1">
        <v>-0.1423765176477</v>
      </c>
      <c r="M25" s="1">
        <v>-0.14417653239114</v>
      </c>
      <c r="N25" s="1">
        <v>413.94164671792</v>
      </c>
      <c r="O25" s="1">
        <v>459.00190678399</v>
      </c>
    </row>
    <row r="26" spans="1:15">
      <c r="A26" s="1">
        <v>4.2066849390983</v>
      </c>
      <c r="B26" s="1">
        <v>0.011427496768682</v>
      </c>
      <c r="C26" s="1">
        <v>92.699024506594</v>
      </c>
      <c r="D26" s="1">
        <v>0.013143058411428</v>
      </c>
      <c r="E26" s="1">
        <v>-6.3142724831603</v>
      </c>
      <c r="F26" s="1">
        <v>-2.1099182473195</v>
      </c>
      <c r="G26" s="1">
        <v>8616954.2838035</v>
      </c>
      <c r="H26" s="1">
        <v>7201410.3070115</v>
      </c>
      <c r="I26" s="1">
        <v>-0.0059294753071265</v>
      </c>
      <c r="J26" s="1">
        <v>-0.0056828743781331</v>
      </c>
      <c r="K26" s="1">
        <v>0.012539769745877</v>
      </c>
      <c r="L26" s="1">
        <v>-0.1508559575933</v>
      </c>
      <c r="M26" s="1">
        <v>-0.15263822800006</v>
      </c>
      <c r="N26" s="1">
        <v>414.96832541264</v>
      </c>
      <c r="O26" s="1">
        <v>460.35300325188</v>
      </c>
    </row>
    <row r="27" spans="1:15">
      <c r="A27" s="1">
        <v>4.4066849390983</v>
      </c>
      <c r="B27" s="1">
        <v>0.012056472361695</v>
      </c>
      <c r="C27" s="1">
        <v>92.698879637575</v>
      </c>
      <c r="D27" s="1">
        <v>0.013776516573861</v>
      </c>
      <c r="E27" s="1">
        <v>-6.2916110719237</v>
      </c>
      <c r="F27" s="1">
        <v>-2.1119909344252</v>
      </c>
      <c r="G27" s="1">
        <v>8653149.4241222</v>
      </c>
      <c r="H27" s="1">
        <v>7390904.7876029</v>
      </c>
      <c r="I27" s="1">
        <v>-0.0062306465299135</v>
      </c>
      <c r="J27" s="1">
        <v>-0.005971843277053</v>
      </c>
      <c r="K27" s="1">
        <v>0.013131991703656</v>
      </c>
      <c r="L27" s="1">
        <v>-0.15940681922955</v>
      </c>
      <c r="M27" s="1">
        <v>-0.16119254302382</v>
      </c>
      <c r="N27" s="1">
        <v>415.97080396673</v>
      </c>
      <c r="O27" s="1">
        <v>461.65951138452</v>
      </c>
    </row>
    <row r="28" spans="1:15">
      <c r="A28" s="1">
        <v>4.6066849390983</v>
      </c>
      <c r="B28" s="1">
        <v>0.012685138441024</v>
      </c>
      <c r="C28" s="1">
        <v>92.698716365513</v>
      </c>
      <c r="D28" s="1">
        <v>0.014409661347026</v>
      </c>
      <c r="E28" s="1">
        <v>-6.2924734821267</v>
      </c>
      <c r="F28" s="1">
        <v>-2.1125192020383</v>
      </c>
      <c r="G28" s="1">
        <v>8689412.480718</v>
      </c>
      <c r="H28" s="1">
        <v>7580936.5565389</v>
      </c>
      <c r="I28" s="1">
        <v>-0.0065317010250141</v>
      </c>
      <c r="J28" s="1">
        <v>-0.0062606203198504</v>
      </c>
      <c r="K28" s="1">
        <v>0.013723857846286</v>
      </c>
      <c r="L28" s="1">
        <v>-0.16810954528288</v>
      </c>
      <c r="M28" s="1">
        <v>-0.16990784913752</v>
      </c>
      <c r="N28" s="1">
        <v>416.95160764604</v>
      </c>
      <c r="O28" s="1">
        <v>462.92694807464</v>
      </c>
    </row>
    <row r="29" spans="1:15">
      <c r="A29" s="1">
        <v>4.8066849390983</v>
      </c>
      <c r="B29" s="1">
        <v>0.013313509303648</v>
      </c>
      <c r="C29" s="1">
        <v>92.698549034867</v>
      </c>
      <c r="D29" s="1">
        <v>0.015042505888551</v>
      </c>
      <c r="E29" s="1">
        <v>-6.2933262697614</v>
      </c>
      <c r="F29" s="1">
        <v>-2.1130476778831</v>
      </c>
      <c r="G29" s="1">
        <v>8725738.4615961</v>
      </c>
      <c r="H29" s="1">
        <v>7771480.118796</v>
      </c>
      <c r="I29" s="1">
        <v>-0.0068326351607732</v>
      </c>
      <c r="J29" s="1">
        <v>-0.0065492045446645</v>
      </c>
      <c r="K29" s="1">
        <v>0.014315368637793</v>
      </c>
      <c r="L29" s="1">
        <v>-0.1768140413376</v>
      </c>
      <c r="M29" s="1">
        <v>-0.17860327454703</v>
      </c>
      <c r="N29" s="1">
        <v>417.91285359363</v>
      </c>
      <c r="O29" s="1">
        <v>464.15970644929</v>
      </c>
    </row>
    <row r="30" spans="1:15">
      <c r="A30" s="1">
        <v>5.0066849390983</v>
      </c>
      <c r="B30" s="1">
        <v>0.013941597446977</v>
      </c>
      <c r="C30" s="1">
        <v>92.698386024704</v>
      </c>
      <c r="D30" s="1">
        <v>0.015675063325584</v>
      </c>
      <c r="E30" s="1">
        <v>-6.2746550069933</v>
      </c>
      <c r="F30" s="1">
        <v>-2.1220885621183</v>
      </c>
      <c r="G30" s="1">
        <v>8762122.8215692</v>
      </c>
      <c r="H30" s="1">
        <v>7962512.1811308</v>
      </c>
      <c r="I30" s="1">
        <v>-0.0071334457820984</v>
      </c>
      <c r="J30" s="1">
        <v>-0.0068375962895791</v>
      </c>
      <c r="K30" s="1">
        <v>0.014906524538649</v>
      </c>
      <c r="L30" s="1">
        <v>-0.18552725635367</v>
      </c>
      <c r="M30" s="1">
        <v>-0.18730520226874</v>
      </c>
      <c r="N30" s="1">
        <v>418.85621853704</v>
      </c>
      <c r="O30" s="1">
        <v>465.36154787989</v>
      </c>
    </row>
    <row r="31" spans="1:15">
      <c r="A31" s="1">
        <v>5.2066849390983</v>
      </c>
      <c r="B31" s="1">
        <v>0.014569413800023</v>
      </c>
      <c r="C31" s="1">
        <v>92.698213581841</v>
      </c>
      <c r="D31" s="1">
        <v>0.01630734612498</v>
      </c>
      <c r="E31" s="1">
        <v>-6.2754804442228</v>
      </c>
      <c r="F31" s="1">
        <v>-2.1226286784845</v>
      </c>
      <c r="G31" s="1">
        <v>8798561.4449454</v>
      </c>
      <c r="H31" s="1">
        <v>8154011.561806</v>
      </c>
      <c r="I31" s="1">
        <v>-0.0074341307071462</v>
      </c>
      <c r="J31" s="1">
        <v>-0.0071257956301377</v>
      </c>
      <c r="K31" s="1">
        <v>0.015497326016326</v>
      </c>
      <c r="L31" s="1">
        <v>-0.19433074428294</v>
      </c>
      <c r="M31" s="1">
        <v>-0.19610969881729</v>
      </c>
      <c r="N31" s="1">
        <v>419.78317300318</v>
      </c>
      <c r="O31" s="1">
        <v>466.53575679535</v>
      </c>
    </row>
    <row r="32" spans="1:15">
      <c r="A32" s="1">
        <v>5.4066849390983</v>
      </c>
      <c r="B32" s="1">
        <v>0.015196967190786</v>
      </c>
      <c r="C32" s="1">
        <v>92.698049270585</v>
      </c>
      <c r="D32" s="1">
        <v>0.016939364056184</v>
      </c>
      <c r="E32" s="1">
        <v>-6.2568934663416</v>
      </c>
      <c r="F32" s="1">
        <v>-2.0986120655377</v>
      </c>
      <c r="G32" s="1">
        <v>8835050.6015859</v>
      </c>
      <c r="H32" s="1">
        <v>8345958.9532097</v>
      </c>
      <c r="I32" s="1">
        <v>-0.0077346867187066</v>
      </c>
      <c r="J32" s="1">
        <v>-0.0074138029159801</v>
      </c>
      <c r="K32" s="1">
        <v>0.016087773501524</v>
      </c>
      <c r="L32" s="1">
        <v>-0.20314388704707</v>
      </c>
      <c r="M32" s="1">
        <v>-0.20490121419604</v>
      </c>
      <c r="N32" s="1">
        <v>420.69509696849</v>
      </c>
      <c r="O32" s="1">
        <v>467.68492420799</v>
      </c>
    </row>
    <row r="33" spans="1:15">
      <c r="A33" s="1">
        <v>5.6066849390983</v>
      </c>
      <c r="B33" s="1">
        <v>0.015824267134145</v>
      </c>
      <c r="C33" s="1">
        <v>92.697899782473</v>
      </c>
      <c r="D33" s="1">
        <v>0.017571127576467</v>
      </c>
      <c r="E33" s="1">
        <v>-6.24929583231</v>
      </c>
      <c r="F33" s="1">
        <v>-2.1075478602306</v>
      </c>
      <c r="G33" s="1">
        <v>8871586.9512799</v>
      </c>
      <c r="H33" s="1">
        <v>8538336.9744011</v>
      </c>
      <c r="I33" s="1">
        <v>-0.0080351109082129</v>
      </c>
      <c r="J33" s="1">
        <v>-0.0077016200322251</v>
      </c>
      <c r="K33" s="1">
        <v>0.016677867452557</v>
      </c>
      <c r="L33" s="1">
        <v>-0.2119799968605</v>
      </c>
      <c r="M33" s="1">
        <v>-0.21373723475435</v>
      </c>
      <c r="N33" s="1">
        <v>421.59281053524</v>
      </c>
      <c r="O33" s="1">
        <v>468.81113037749</v>
      </c>
    </row>
    <row r="34" spans="1:15">
      <c r="A34" s="1">
        <v>5.8066849390983</v>
      </c>
      <c r="B34" s="1">
        <v>0.016451320780383</v>
      </c>
      <c r="C34" s="1">
        <v>92.697748879647</v>
      </c>
      <c r="D34" s="1">
        <v>0.01820264540259</v>
      </c>
      <c r="E34" s="1">
        <v>-6.2374351353866</v>
      </c>
      <c r="F34" s="1">
        <v>-2.1207353584667</v>
      </c>
      <c r="G34" s="1">
        <v>8908167.290824</v>
      </c>
      <c r="H34" s="1">
        <v>8731128.8424591</v>
      </c>
      <c r="I34" s="1">
        <v>-0.0083354002644606</v>
      </c>
      <c r="J34" s="1">
        <v>-0.007989248316492</v>
      </c>
      <c r="K34" s="1">
        <v>0.017267608299752</v>
      </c>
      <c r="L34" s="1">
        <v>-0.2209300443381</v>
      </c>
      <c r="M34" s="1">
        <v>-0.22266533912308</v>
      </c>
      <c r="N34" s="1">
        <v>422.47746103232</v>
      </c>
      <c r="O34" s="1">
        <v>469.91655639494</v>
      </c>
    </row>
    <row r="35" spans="1:15">
      <c r="A35" s="1">
        <v>6.0066849390983</v>
      </c>
      <c r="B35" s="1">
        <v>0.017078136281848</v>
      </c>
      <c r="C35" s="1">
        <v>92.697594071823</v>
      </c>
      <c r="D35" s="1">
        <v>0.018833925883492</v>
      </c>
      <c r="E35" s="1">
        <v>-6.2339552393405</v>
      </c>
      <c r="F35" s="1">
        <v>-2.1035767854599</v>
      </c>
      <c r="G35" s="1">
        <v>8944788.6758128</v>
      </c>
      <c r="H35" s="1">
        <v>8924319.0518253</v>
      </c>
      <c r="I35" s="1">
        <v>-0.0086355522566066</v>
      </c>
      <c r="J35" s="1">
        <v>-0.0082766894477808</v>
      </c>
      <c r="K35" s="1">
        <v>0.017856996482973</v>
      </c>
      <c r="L35" s="1">
        <v>-0.23005261635799</v>
      </c>
      <c r="M35" s="1">
        <v>-0.23177319337498</v>
      </c>
      <c r="N35" s="1">
        <v>423.34983617439</v>
      </c>
      <c r="O35" s="1">
        <v>471.0029872554</v>
      </c>
    </row>
    <row r="36" spans="1:15">
      <c r="A36" s="1">
        <v>6.2066849390983</v>
      </c>
      <c r="B36" s="1">
        <v>0.017704720575546</v>
      </c>
      <c r="C36" s="1">
        <v>92.697426649014</v>
      </c>
      <c r="D36" s="1">
        <v>0.019464976905487</v>
      </c>
      <c r="E36" s="1">
        <v>-6.2304461574863</v>
      </c>
      <c r="F36" s="1">
        <v>-2.0864384984138</v>
      </c>
      <c r="G36" s="1">
        <v>8981448.2426676</v>
      </c>
      <c r="H36" s="1">
        <v>9117892.4538031</v>
      </c>
      <c r="I36" s="1">
        <v>-0.00893556271872</v>
      </c>
      <c r="J36" s="1">
        <v>-0.0085639438210421</v>
      </c>
      <c r="K36" s="1">
        <v>0.01844603243932</v>
      </c>
      <c r="L36" s="1">
        <v>-0.23888333065292</v>
      </c>
      <c r="M36" s="1">
        <v>-0.24061097678436</v>
      </c>
      <c r="N36" s="1">
        <v>424.21092608104</v>
      </c>
      <c r="O36" s="1">
        <v>472.07175685801</v>
      </c>
    </row>
    <row r="37" spans="1:15">
      <c r="A37" s="1">
        <v>6.4066849390983</v>
      </c>
      <c r="B37" s="1">
        <v>0.018331083740856</v>
      </c>
      <c r="C37" s="1">
        <v>92.697249444666</v>
      </c>
      <c r="D37" s="1">
        <v>0.020095806750186</v>
      </c>
      <c r="E37" s="1">
        <v>-6.2312060821899</v>
      </c>
      <c r="F37" s="1">
        <v>-2.0979982910381</v>
      </c>
      <c r="G37" s="1">
        <v>9018143.5068917</v>
      </c>
      <c r="H37" s="1">
        <v>9311835.7863445</v>
      </c>
      <c r="I37" s="1">
        <v>-0.0092354308330352</v>
      </c>
      <c r="J37" s="1">
        <v>-0.0088510145824888</v>
      </c>
      <c r="K37" s="1">
        <v>0.019034716596825</v>
      </c>
      <c r="L37" s="1">
        <v>-0.24795473870309</v>
      </c>
      <c r="M37" s="1">
        <v>-0.24966186071869</v>
      </c>
      <c r="N37" s="1">
        <v>425.06095190553</v>
      </c>
      <c r="O37" s="1">
        <v>473.12424237507</v>
      </c>
    </row>
    <row r="38" spans="1:15">
      <c r="A38" s="1">
        <v>6.6066849390983</v>
      </c>
      <c r="B38" s="1">
        <v>0.018957231663801</v>
      </c>
      <c r="C38" s="1">
        <v>92.69706904042</v>
      </c>
      <c r="D38" s="1">
        <v>0.020726422419914</v>
      </c>
      <c r="E38" s="1">
        <v>-6.2319602411599</v>
      </c>
      <c r="F38" s="1">
        <v>-2.0985735744419</v>
      </c>
      <c r="G38" s="1">
        <v>9054871.9510148</v>
      </c>
      <c r="H38" s="1">
        <v>9506135.5430534</v>
      </c>
      <c r="I38" s="1">
        <v>-0.009535153355008</v>
      </c>
      <c r="J38" s="1">
        <v>-0.0091379028721221</v>
      </c>
      <c r="K38" s="1">
        <v>0.019623049398888</v>
      </c>
      <c r="L38" s="1">
        <v>-0.25705088778488</v>
      </c>
      <c r="M38" s="1">
        <v>-0.25875265351727</v>
      </c>
      <c r="N38" s="1">
        <v>425.90068763345</v>
      </c>
      <c r="O38" s="1">
        <v>474.16164363367</v>
      </c>
    </row>
    <row r="39" spans="1:15">
      <c r="A39" s="1">
        <v>6.8066849390983</v>
      </c>
      <c r="B39" s="1">
        <v>0.019583169804778</v>
      </c>
      <c r="C39" s="1">
        <v>92.696885254713</v>
      </c>
      <c r="D39" s="1">
        <v>0.021356830905731</v>
      </c>
      <c r="E39" s="1">
        <v>-6.2275237285127</v>
      </c>
      <c r="F39" s="1">
        <v>-2.0915191423136</v>
      </c>
      <c r="G39" s="1">
        <v>9091631.1582678</v>
      </c>
      <c r="H39" s="1">
        <v>9700778.6884641</v>
      </c>
      <c r="I39" s="1">
        <v>-0.0098347276752166</v>
      </c>
      <c r="J39" s="1">
        <v>-0.0094246098098111</v>
      </c>
      <c r="K39" s="1">
        <v>0.020211031281267</v>
      </c>
      <c r="L39" s="1">
        <v>-0.26612354742935</v>
      </c>
      <c r="M39" s="1">
        <v>-0.26782121456228</v>
      </c>
      <c r="N39" s="1">
        <v>426.73091102568</v>
      </c>
      <c r="O39" s="1">
        <v>475.1851716953</v>
      </c>
    </row>
    <row r="40" spans="1:15">
      <c r="A40" s="1">
        <v>7.0066849390983</v>
      </c>
      <c r="B40" s="1">
        <v>0.020208906629797</v>
      </c>
      <c r="C40" s="1">
        <v>92.696705129925</v>
      </c>
      <c r="D40" s="1">
        <v>0.021987039257047</v>
      </c>
      <c r="E40" s="1">
        <v>-6.2307999005387</v>
      </c>
      <c r="F40" s="1">
        <v>-2.1005259117198</v>
      </c>
      <c r="G40" s="1">
        <v>9128419.0344863</v>
      </c>
      <c r="H40" s="1">
        <v>9895753.7922029</v>
      </c>
      <c r="I40" s="1">
        <v>-0.010134152854758</v>
      </c>
      <c r="J40" s="1">
        <v>-0.0097111373164546</v>
      </c>
      <c r="K40" s="1">
        <v>0.020798662675097</v>
      </c>
      <c r="L40" s="1">
        <v>-0.27536771941038</v>
      </c>
      <c r="M40" s="1">
        <v>-0.27705486475386</v>
      </c>
      <c r="N40" s="1">
        <v>427.55177272229</v>
      </c>
      <c r="O40" s="1">
        <v>476.19558135409</v>
      </c>
    </row>
    <row r="41" spans="1:15">
      <c r="A41" s="1">
        <v>7.2066849390983</v>
      </c>
      <c r="B41" s="1">
        <v>0.020834448069586</v>
      </c>
      <c r="C41" s="1">
        <v>92.696535653138</v>
      </c>
      <c r="D41" s="1">
        <v>0.022617053723609</v>
      </c>
      <c r="E41" s="1">
        <v>-6.2339828775052</v>
      </c>
      <c r="F41" s="1">
        <v>-2.1096249466615</v>
      </c>
      <c r="G41" s="1">
        <v>9165233.4237638</v>
      </c>
      <c r="H41" s="1">
        <v>10091049.057536</v>
      </c>
      <c r="I41" s="1">
        <v>-0.010433426525504</v>
      </c>
      <c r="J41" s="1">
        <v>-0.0099974850356111</v>
      </c>
      <c r="K41" s="1">
        <v>0.021385944012307</v>
      </c>
      <c r="L41" s="1">
        <v>-0.28437910397972</v>
      </c>
      <c r="M41" s="1">
        <v>-0.28604414888159</v>
      </c>
      <c r="N41" s="1">
        <v>428.3638626548</v>
      </c>
      <c r="O41" s="1">
        <v>477.1934380328</v>
      </c>
    </row>
    <row r="42" spans="1:15">
      <c r="A42" s="1">
        <v>7.4066849390983</v>
      </c>
      <c r="B42" s="1">
        <v>0.021459800552703</v>
      </c>
      <c r="C42" s="1">
        <v>92.696353503026</v>
      </c>
      <c r="D42" s="1">
        <v>0.023246881381508</v>
      </c>
      <c r="E42" s="1">
        <v>-6.2237125162756</v>
      </c>
      <c r="F42" s="1">
        <v>-2.1212017678622</v>
      </c>
      <c r="G42" s="1">
        <v>9202072.2550554</v>
      </c>
      <c r="H42" s="1">
        <v>10286653.084428</v>
      </c>
      <c r="I42" s="1">
        <v>-0.010732548632724</v>
      </c>
      <c r="J42" s="1">
        <v>-0.010283654700998</v>
      </c>
      <c r="K42" s="1">
        <v>0.021972875732674</v>
      </c>
      <c r="L42" s="1">
        <v>-0.29358055720101</v>
      </c>
      <c r="M42" s="1">
        <v>-0.29525701852758</v>
      </c>
      <c r="N42" s="1">
        <v>429.16756839915</v>
      </c>
      <c r="O42" s="1">
        <v>478.17996946986</v>
      </c>
    </row>
    <row r="43" spans="1:15">
      <c r="A43" s="1">
        <v>7.6066849390983</v>
      </c>
      <c r="B43" s="1">
        <v>0.022084971653378</v>
      </c>
      <c r="C43" s="1">
        <v>92.696169213788</v>
      </c>
      <c r="D43" s="1">
        <v>0.023876528545077</v>
      </c>
      <c r="E43" s="1">
        <v>-6.2202310139541</v>
      </c>
      <c r="F43" s="1">
        <v>-2.1259817836459</v>
      </c>
      <c r="G43" s="1">
        <v>9238933.6545873</v>
      </c>
      <c r="H43" s="1">
        <v>10482555.445006</v>
      </c>
      <c r="I43" s="1">
        <v>-0.011031518574652</v>
      </c>
      <c r="J43" s="1">
        <v>-0.010569646022346</v>
      </c>
      <c r="K43" s="1">
        <v>0.022559458259411</v>
      </c>
      <c r="L43" s="1">
        <v>-0.30283959875147</v>
      </c>
      <c r="M43" s="1">
        <v>-0.3044933759242</v>
      </c>
      <c r="N43" s="1">
        <v>429.96313953586</v>
      </c>
      <c r="O43" s="1">
        <v>479.15553321029</v>
      </c>
    </row>
    <row r="44" spans="1:15">
      <c r="A44" s="1">
        <v>7.8066849390983</v>
      </c>
      <c r="B44" s="1">
        <v>0.022709966596332</v>
      </c>
      <c r="C44" s="1">
        <v>92.695976088943</v>
      </c>
      <c r="D44" s="1">
        <v>0.024506000979424</v>
      </c>
      <c r="E44" s="1">
        <v>-6.2319238241772</v>
      </c>
      <c r="F44" s="1">
        <v>-2.1265772880782</v>
      </c>
      <c r="G44" s="1">
        <v>9275815.7312344</v>
      </c>
      <c r="H44" s="1">
        <v>10678745.575547</v>
      </c>
      <c r="I44" s="1">
        <v>-0.011330335116932</v>
      </c>
      <c r="J44" s="1">
        <v>-0.010855459324925</v>
      </c>
      <c r="K44" s="1">
        <v>0.023145692022995</v>
      </c>
      <c r="L44" s="1">
        <v>-0.31207716990585</v>
      </c>
      <c r="M44" s="1">
        <v>-0.31370704072632</v>
      </c>
      <c r="N44" s="1">
        <v>430.75105853674</v>
      </c>
      <c r="O44" s="1">
        <v>480.12079951458</v>
      </c>
    </row>
    <row r="45" spans="1:15">
      <c r="A45" s="1">
        <v>8.0066849390983</v>
      </c>
      <c r="B45" s="1">
        <v>0.023334790420435</v>
      </c>
      <c r="C45" s="1">
        <v>92.695778119774</v>
      </c>
      <c r="D45" s="1">
        <v>0.025135304456472</v>
      </c>
      <c r="E45" s="1">
        <v>-6.254598825505</v>
      </c>
      <c r="F45" s="1">
        <v>-2.1491477110281</v>
      </c>
      <c r="G45" s="1">
        <v>9312716.7056749</v>
      </c>
      <c r="H45" s="1">
        <v>10875213.450476</v>
      </c>
      <c r="I45" s="1">
        <v>-0.011628997628034</v>
      </c>
      <c r="J45" s="1">
        <v>-0.011141095100948</v>
      </c>
      <c r="K45" s="1">
        <v>0.023731577460447</v>
      </c>
      <c r="L45" s="1">
        <v>-0.32129840961621</v>
      </c>
      <c r="M45" s="1">
        <v>-0.32293677375044</v>
      </c>
      <c r="N45" s="1">
        <v>431.53164250133</v>
      </c>
      <c r="O45" s="1">
        <v>481.07631180751</v>
      </c>
    </row>
    <row r="46" spans="1:15">
      <c r="A46" s="1">
        <v>8.2066849390983</v>
      </c>
      <c r="B46" s="1">
        <v>0.02395945011853</v>
      </c>
      <c r="C46" s="1">
        <v>92.695568036677</v>
      </c>
      <c r="D46" s="1">
        <v>0.025764444515959</v>
      </c>
      <c r="E46" s="1">
        <v>-6.2594446527498</v>
      </c>
      <c r="F46" s="1">
        <v>-2.1758655544758</v>
      </c>
      <c r="G46" s="1">
        <v>9349635.0294602</v>
      </c>
      <c r="H46" s="1">
        <v>11071950.181432</v>
      </c>
      <c r="I46" s="1">
        <v>-0.011927506172457</v>
      </c>
      <c r="J46" s="1">
        <v>-0.011426554265148</v>
      </c>
      <c r="K46" s="1">
        <v>0.024317114996631</v>
      </c>
      <c r="L46" s="1">
        <v>-0.33064515833033</v>
      </c>
      <c r="M46" s="1">
        <v>-0.33226719152096</v>
      </c>
      <c r="N46" s="1">
        <v>432.30486304866</v>
      </c>
      <c r="O46" s="1">
        <v>482.0222929217</v>
      </c>
    </row>
    <row r="47" spans="1:15">
      <c r="A47" s="1">
        <v>8.4066849390983</v>
      </c>
      <c r="B47" s="1">
        <v>0.024583949050041</v>
      </c>
      <c r="C47" s="1">
        <v>92.695361185006</v>
      </c>
      <c r="D47" s="1">
        <v>0.026393425777379</v>
      </c>
      <c r="E47" s="1">
        <v>-6.2777991005249</v>
      </c>
      <c r="F47" s="1">
        <v>-2.1588065465169</v>
      </c>
      <c r="G47" s="1">
        <v>9386569.0305324</v>
      </c>
      <c r="H47" s="1">
        <v>11268946.207922</v>
      </c>
      <c r="I47" s="1">
        <v>-0.012225859292777</v>
      </c>
      <c r="J47" s="1">
        <v>-0.0117118367896</v>
      </c>
      <c r="K47" s="1">
        <v>0.024902305060054</v>
      </c>
      <c r="L47" s="1">
        <v>-0.3399562922647</v>
      </c>
      <c r="M47" s="1">
        <v>-0.34155725283483</v>
      </c>
      <c r="N47" s="1">
        <v>433.071266415</v>
      </c>
      <c r="O47" s="1">
        <v>482.95927440188</v>
      </c>
    </row>
    <row r="48" spans="1:15">
      <c r="A48" s="1">
        <v>8.6066849390983</v>
      </c>
      <c r="B48" s="1">
        <v>0.025208290731948</v>
      </c>
      <c r="C48" s="1">
        <v>92.695153054394</v>
      </c>
      <c r="D48" s="1">
        <v>0.027022252786243</v>
      </c>
      <c r="E48" s="1">
        <v>-6.3444070138023</v>
      </c>
      <c r="F48" s="1">
        <v>-2.1594158152925</v>
      </c>
      <c r="G48" s="1">
        <v>9423517.1672067</v>
      </c>
      <c r="H48" s="1">
        <v>11466192.598305</v>
      </c>
      <c r="I48" s="1">
        <v>-0.012524056692736</v>
      </c>
      <c r="J48" s="1">
        <v>-0.01199694309291</v>
      </c>
      <c r="K48" s="1">
        <v>0.025487148082775</v>
      </c>
      <c r="L48" s="1">
        <v>-0.34927236934174</v>
      </c>
      <c r="M48" s="1">
        <v>-0.35088323233048</v>
      </c>
      <c r="N48" s="1">
        <v>433.83112288997</v>
      </c>
      <c r="O48" s="1">
        <v>483.88769430625</v>
      </c>
    </row>
    <row r="49" spans="1:15">
      <c r="A49" s="1">
        <v>8.8066849390982</v>
      </c>
      <c r="B49" s="1">
        <v>0.025832480999892</v>
      </c>
      <c r="C49" s="1">
        <v>92.694941175583</v>
      </c>
      <c r="D49" s="1">
        <v>0.027650930125742</v>
      </c>
      <c r="E49" s="1">
        <v>-6.367065892012</v>
      </c>
      <c r="F49" s="1">
        <v>-2.1600271971026</v>
      </c>
      <c r="G49" s="1">
        <v>9460478.0788315</v>
      </c>
      <c r="H49" s="1">
        <v>11663681.327128</v>
      </c>
      <c r="I49" s="1">
        <v>-0.012822098074274</v>
      </c>
      <c r="J49" s="1">
        <v>-0.012281874448544</v>
      </c>
      <c r="K49" s="1">
        <v>0.026071644477548</v>
      </c>
      <c r="L49" s="1">
        <v>-0.35875037629028</v>
      </c>
      <c r="M49" s="1">
        <v>-0.3603438748132</v>
      </c>
      <c r="N49" s="1">
        <v>434.58442719277</v>
      </c>
      <c r="O49" s="1">
        <v>484.80776564251</v>
      </c>
    </row>
    <row r="50" spans="1:15">
      <c r="A50" s="1">
        <v>9.0066849390982</v>
      </c>
      <c r="B50" s="1">
        <v>0.026456522984483</v>
      </c>
      <c r="C50" s="1">
        <v>92.694726399532</v>
      </c>
      <c r="D50" s="1">
        <v>0.028279461728447</v>
      </c>
      <c r="E50" s="1">
        <v>-6.4007075224673</v>
      </c>
      <c r="F50" s="1">
        <v>-2.1606406208642</v>
      </c>
      <c r="G50" s="1">
        <v>9497450.3008327</v>
      </c>
      <c r="H50" s="1">
        <v>11861403.799009</v>
      </c>
      <c r="I50" s="1">
        <v>-0.013119981848318</v>
      </c>
      <c r="J50" s="1">
        <v>-0.012566630116137</v>
      </c>
      <c r="K50" s="1">
        <v>0.026655794670676</v>
      </c>
      <c r="L50" s="1">
        <v>-0.36797928454641</v>
      </c>
      <c r="M50" s="1">
        <v>-0.36956552513625</v>
      </c>
      <c r="N50" s="1">
        <v>435.331607368</v>
      </c>
      <c r="O50" s="1">
        <v>485.71961975908</v>
      </c>
    </row>
    <row r="51" spans="1:15">
      <c r="A51" s="1">
        <v>9.2066849390982</v>
      </c>
      <c r="B51" s="1">
        <v>0.02708042218263</v>
      </c>
      <c r="C51" s="1">
        <v>92.694508998979</v>
      </c>
      <c r="D51" s="1">
        <v>0.028907852675004</v>
      </c>
      <c r="E51" s="1">
        <v>-6.4343456513032</v>
      </c>
      <c r="F51" s="1">
        <v>-2.1612561147104</v>
      </c>
      <c r="G51" s="1">
        <v>9534432.510208</v>
      </c>
      <c r="H51" s="1">
        <v>12059352.151037</v>
      </c>
      <c r="I51" s="1">
        <v>-0.013417708711266</v>
      </c>
      <c r="J51" s="1">
        <v>-0.012851211909353</v>
      </c>
      <c r="K51" s="1">
        <v>0.027239599082923</v>
      </c>
      <c r="L51" s="1">
        <v>-0.37738245740556</v>
      </c>
      <c r="M51" s="1">
        <v>-0.37895838164808</v>
      </c>
      <c r="N51" s="1">
        <v>436.07258088107</v>
      </c>
      <c r="O51" s="1">
        <v>486.62368900987</v>
      </c>
    </row>
    <row r="52" spans="1:15">
      <c r="A52" s="1">
        <v>9.4066849390982</v>
      </c>
      <c r="B52" s="1">
        <v>0.027704181754536</v>
      </c>
      <c r="C52" s="1">
        <v>92.694289185931</v>
      </c>
      <c r="D52" s="1">
        <v>0.02953610718702</v>
      </c>
      <c r="E52" s="1">
        <v>-6.4240350445809</v>
      </c>
      <c r="F52" s="1">
        <v>-2.1728600029142</v>
      </c>
      <c r="G52" s="1">
        <v>9571423.2564626</v>
      </c>
      <c r="H52" s="1">
        <v>12257517.849658</v>
      </c>
      <c r="I52" s="1">
        <v>-0.013715278192164</v>
      </c>
      <c r="J52" s="1">
        <v>-0.013135619405818</v>
      </c>
      <c r="K52" s="1">
        <v>0.027823058135019</v>
      </c>
      <c r="L52" s="1">
        <v>-0.38685078130895</v>
      </c>
      <c r="M52" s="1">
        <v>-0.38840697025543</v>
      </c>
      <c r="N52" s="1">
        <v>436.80771548564</v>
      </c>
      <c r="O52" s="1">
        <v>487.52036085246</v>
      </c>
    </row>
    <row r="53" spans="1:15">
      <c r="A53" s="1">
        <v>9.6066849390982</v>
      </c>
      <c r="B53" s="1">
        <v>0.02832780685401</v>
      </c>
      <c r="C53" s="1">
        <v>92.694067044915</v>
      </c>
      <c r="D53" s="1">
        <v>0.030164229493305</v>
      </c>
      <c r="E53" s="1">
        <v>-6.4796391187111</v>
      </c>
      <c r="F53" s="1">
        <v>-2.1734796320304</v>
      </c>
      <c r="G53" s="1">
        <v>9608421.2355104</v>
      </c>
      <c r="H53" s="1">
        <v>12455893.093425</v>
      </c>
      <c r="I53" s="1">
        <v>-0.014012689787341</v>
      </c>
      <c r="J53" s="1">
        <v>-0.013419852597837</v>
      </c>
      <c r="K53" s="1">
        <v>0.028406172244189</v>
      </c>
      <c r="L53" s="1">
        <v>-0.3962497453764</v>
      </c>
      <c r="M53" s="1">
        <v>-0.39781261973155</v>
      </c>
      <c r="N53" s="1">
        <v>437.53717889091</v>
      </c>
      <c r="O53" s="1">
        <v>488.40980231765</v>
      </c>
    </row>
    <row r="54" spans="1:15">
      <c r="A54" s="1">
        <v>9.8066849390982</v>
      </c>
      <c r="B54" s="1">
        <v>0.028951301018552</v>
      </c>
      <c r="C54" s="1">
        <v>92.693814640901</v>
      </c>
      <c r="D54" s="1">
        <v>0.030792223674224</v>
      </c>
      <c r="E54" s="1">
        <v>-6.4834887368664</v>
      </c>
      <c r="F54" s="1">
        <v>-2.1882821829969</v>
      </c>
      <c r="G54" s="1">
        <v>9645425.1118507</v>
      </c>
      <c r="H54" s="1">
        <v>12654469.89705</v>
      </c>
      <c r="I54" s="1">
        <v>-0.014309943979778</v>
      </c>
      <c r="J54" s="1">
        <v>-0.013703911628524</v>
      </c>
      <c r="K54" s="1">
        <v>0.028988941826018</v>
      </c>
      <c r="L54" s="1">
        <v>-0.40574262147108</v>
      </c>
      <c r="M54" s="1">
        <v>-0.40728024123967</v>
      </c>
      <c r="N54" s="1">
        <v>438.26115757452</v>
      </c>
      <c r="O54" s="1">
        <v>489.29244395973</v>
      </c>
    </row>
    <row r="55" spans="1:15">
      <c r="A55" s="1">
        <v>10.006684939098</v>
      </c>
      <c r="B55" s="1">
        <v>0.029574668412116</v>
      </c>
      <c r="C55" s="1">
        <v>92.693569694246</v>
      </c>
      <c r="D55" s="1">
        <v>0.031420093843435</v>
      </c>
      <c r="E55" s="1">
        <v>-6.4841525847943</v>
      </c>
      <c r="F55" s="1">
        <v>-2.1889036874532</v>
      </c>
      <c r="G55" s="1">
        <v>9682433.6538338</v>
      </c>
      <c r="H55" s="1">
        <v>12853240.776808</v>
      </c>
      <c r="I55" s="1">
        <v>-0.014607040441484</v>
      </c>
      <c r="J55" s="1">
        <v>-0.013987796225521</v>
      </c>
      <c r="K55" s="1">
        <v>0.029571367303167</v>
      </c>
      <c r="L55" s="1">
        <v>-0.41518559301915</v>
      </c>
      <c r="M55" s="1">
        <v>-0.41672785813488</v>
      </c>
      <c r="N55" s="1">
        <v>438.97987382743</v>
      </c>
      <c r="O55" s="1">
        <v>490.16850457505</v>
      </c>
    </row>
    <row r="56" spans="1:15">
      <c r="A56" s="1">
        <v>10.206684939098</v>
      </c>
      <c r="B56" s="1">
        <v>0.030197913580187</v>
      </c>
      <c r="C56" s="1">
        <v>92.693328422317</v>
      </c>
      <c r="D56" s="1">
        <v>0.03204784409369</v>
      </c>
      <c r="E56" s="1">
        <v>-6.4738268896865</v>
      </c>
      <c r="F56" s="1">
        <v>-2.1895272486814</v>
      </c>
      <c r="G56" s="1">
        <v>9719445.6686009</v>
      </c>
      <c r="H56" s="1">
        <v>13052198.461937</v>
      </c>
      <c r="I56" s="1">
        <v>-0.014903979584313</v>
      </c>
      <c r="J56" s="1">
        <v>-0.014271506843889</v>
      </c>
      <c r="K56" s="1">
        <v>0.030153449080882</v>
      </c>
      <c r="L56" s="1">
        <v>-0.42470414487709</v>
      </c>
      <c r="M56" s="1">
        <v>-0.4262212659959</v>
      </c>
      <c r="N56" s="1">
        <v>439.69332240491</v>
      </c>
      <c r="O56" s="1">
        <v>491.03811552764</v>
      </c>
    </row>
    <row r="57" spans="1:15">
      <c r="A57" s="1">
        <v>10.406684939098</v>
      </c>
      <c r="B57" s="1">
        <v>0.030821039986205</v>
      </c>
      <c r="C57" s="1">
        <v>92.693087561291</v>
      </c>
      <c r="D57" s="1">
        <v>0.032675478118086</v>
      </c>
      <c r="E57" s="1">
        <v>-6.5294161092472</v>
      </c>
      <c r="F57" s="1">
        <v>-2.2011390736843</v>
      </c>
      <c r="G57" s="1">
        <v>9756459.9807004</v>
      </c>
      <c r="H57" s="1">
        <v>13251335.729986</v>
      </c>
      <c r="I57" s="1">
        <v>-0.015200761933038</v>
      </c>
      <c r="J57" s="1">
        <v>-0.014555043165924</v>
      </c>
      <c r="K57" s="1">
        <v>0.030735187587276</v>
      </c>
      <c r="L57" s="1">
        <v>-0.43432345541101</v>
      </c>
      <c r="M57" s="1">
        <v>-0.43583483165856</v>
      </c>
      <c r="N57" s="1">
        <v>440.40170562911</v>
      </c>
      <c r="O57" s="1">
        <v>491.90162123762</v>
      </c>
    </row>
    <row r="58" spans="1:15">
      <c r="A58" s="1">
        <v>10.606684939098</v>
      </c>
      <c r="B58" s="1">
        <v>0.031444052012126</v>
      </c>
      <c r="C58" s="1">
        <v>92.692864957774</v>
      </c>
      <c r="D58" s="1">
        <v>0.03330299941811</v>
      </c>
      <c r="E58" s="1">
        <v>-6.5697115742711</v>
      </c>
      <c r="F58" s="1">
        <v>-2.1950773761633</v>
      </c>
      <c r="G58" s="1">
        <v>9793475.5169462</v>
      </c>
      <c r="H58" s="1">
        <v>13450645.879598</v>
      </c>
      <c r="I58" s="1">
        <v>-0.015497387458814</v>
      </c>
      <c r="J58" s="1">
        <v>-0.014838404490797</v>
      </c>
      <c r="K58" s="1">
        <v>0.031316583219925</v>
      </c>
      <c r="L58" s="1">
        <v>-0.44383511593676</v>
      </c>
      <c r="M58" s="1">
        <v>-0.44535155394825</v>
      </c>
      <c r="N58" s="1">
        <v>441.10507518743</v>
      </c>
      <c r="O58" s="1">
        <v>492.75889393288</v>
      </c>
    </row>
    <row r="59" spans="1:15">
      <c r="A59" s="1">
        <v>10.806684939098</v>
      </c>
      <c r="B59" s="1">
        <v>0.032066951517562</v>
      </c>
      <c r="C59" s="1">
        <v>92.692634154566</v>
      </c>
      <c r="D59" s="1">
        <v>0.033930411257431</v>
      </c>
      <c r="E59" s="1">
        <v>-6.6099874914353</v>
      </c>
      <c r="F59" s="1">
        <v>-2.2110068095268</v>
      </c>
      <c r="G59" s="1">
        <v>9830491.0650807</v>
      </c>
      <c r="H59" s="1">
        <v>13650121.467257</v>
      </c>
      <c r="I59" s="1">
        <v>-0.015793856148571</v>
      </c>
      <c r="J59" s="1">
        <v>-0.015121590209843</v>
      </c>
      <c r="K59" s="1">
        <v>0.031897636403721</v>
      </c>
      <c r="L59" s="1">
        <v>-0.45322210489257</v>
      </c>
      <c r="M59" s="1">
        <v>-0.45472771374758</v>
      </c>
      <c r="N59" s="1">
        <v>441.80384932504</v>
      </c>
      <c r="O59" s="1">
        <v>493.6103976041</v>
      </c>
    </row>
    <row r="60" spans="1:15">
      <c r="A60" s="1">
        <v>11.006684939098</v>
      </c>
      <c r="B60" s="1">
        <v>0.032689744265452</v>
      </c>
      <c r="C60" s="1">
        <v>92.692393671669</v>
      </c>
      <c r="D60" s="1">
        <v>0.034557717763603</v>
      </c>
      <c r="E60" s="1">
        <v>-6.6216181564422</v>
      </c>
      <c r="F60" s="1">
        <v>-2.2226283363736</v>
      </c>
      <c r="G60" s="1">
        <v>9867505.6814582</v>
      </c>
      <c r="H60" s="1">
        <v>13849756.454476</v>
      </c>
      <c r="I60" s="1">
        <v>-0.016090169452247</v>
      </c>
      <c r="J60" s="1">
        <v>-0.015404601221328</v>
      </c>
      <c r="K60" s="1">
        <v>0.032478347548908</v>
      </c>
      <c r="L60" s="1">
        <v>-0.46277282592736</v>
      </c>
      <c r="M60" s="1">
        <v>-0.46427164440514</v>
      </c>
      <c r="N60" s="1">
        <v>442.4977652796</v>
      </c>
      <c r="O60" s="1">
        <v>494.45621974349</v>
      </c>
    </row>
    <row r="61" spans="1:15">
      <c r="A61" s="1">
        <v>11.206684939098</v>
      </c>
      <c r="B61" s="1">
        <v>0.033312432301289</v>
      </c>
      <c r="C61" s="1">
        <v>92.692146209809</v>
      </c>
      <c r="D61" s="1">
        <v>0.035184921969691</v>
      </c>
      <c r="E61" s="1">
        <v>-6.6371975849163</v>
      </c>
      <c r="F61" s="1">
        <v>-2.2272111120454</v>
      </c>
      <c r="G61" s="1">
        <v>9904518.252165</v>
      </c>
      <c r="H61" s="1">
        <v>14049543.888865</v>
      </c>
      <c r="I61" s="1">
        <v>-0.016386327137248</v>
      </c>
      <c r="J61" s="1">
        <v>-0.01568743675444</v>
      </c>
      <c r="K61" s="1">
        <v>0.033058717063023</v>
      </c>
      <c r="L61" s="1">
        <v>-0.47234469451091</v>
      </c>
      <c r="M61" s="1">
        <v>-0.47383222433341</v>
      </c>
      <c r="N61" s="1">
        <v>443.18715505454</v>
      </c>
      <c r="O61" s="1">
        <v>495.29661016478</v>
      </c>
    </row>
    <row r="62" spans="1:15">
      <c r="A62" s="1">
        <v>11.406684939098</v>
      </c>
      <c r="B62" s="1">
        <v>0.033935019240946</v>
      </c>
      <c r="C62" s="1">
        <v>92.691900534877</v>
      </c>
      <c r="D62" s="1">
        <v>0.035812027436093</v>
      </c>
      <c r="E62" s="1">
        <v>-6.6707942429102</v>
      </c>
      <c r="F62" s="1">
        <v>-2.2278485711047</v>
      </c>
      <c r="G62" s="1">
        <v>9941527.782694</v>
      </c>
      <c r="H62" s="1">
        <v>14249477.429543</v>
      </c>
      <c r="I62" s="1">
        <v>-0.016682329855828</v>
      </c>
      <c r="J62" s="1">
        <v>-0.015970097156701</v>
      </c>
      <c r="K62" s="1">
        <v>0.033638745359309</v>
      </c>
      <c r="L62" s="1">
        <v>-0.48208573988441</v>
      </c>
      <c r="M62" s="1">
        <v>-0.48357031422836</v>
      </c>
      <c r="N62" s="1">
        <v>443.87207711829</v>
      </c>
      <c r="O62" s="1">
        <v>496.13182047109</v>
      </c>
    </row>
    <row r="63" spans="1:15">
      <c r="A63" s="1">
        <v>11.606684939098</v>
      </c>
      <c r="B63" s="1">
        <v>0.034557508773926</v>
      </c>
      <c r="C63" s="1">
        <v>92.691660503109</v>
      </c>
      <c r="D63" s="1">
        <v>0.036439036989345</v>
      </c>
      <c r="E63" s="1">
        <v>-6.6824155427568</v>
      </c>
      <c r="F63" s="1">
        <v>-2.228487602764</v>
      </c>
      <c r="G63" s="1">
        <v>9978533.3378773</v>
      </c>
      <c r="H63" s="1">
        <v>14449551.032704</v>
      </c>
      <c r="I63" s="1">
        <v>-0.016978177191442</v>
      </c>
      <c r="J63" s="1">
        <v>-0.016252581664499</v>
      </c>
      <c r="K63" s="1">
        <v>0.034218432842322</v>
      </c>
      <c r="L63" s="1">
        <v>-0.49169423601482</v>
      </c>
      <c r="M63" s="1">
        <v>-0.49315671435963</v>
      </c>
      <c r="N63" s="1">
        <v>444.55258520535</v>
      </c>
      <c r="O63" s="1">
        <v>496.9616409713</v>
      </c>
    </row>
    <row r="64" spans="1:15">
      <c r="A64" s="1">
        <v>11.806684939098</v>
      </c>
      <c r="B64" s="1">
        <v>0.035179902607632</v>
      </c>
      <c r="C64" s="1">
        <v>92.691425093287</v>
      </c>
      <c r="D64" s="1">
        <v>0.037065953683798</v>
      </c>
      <c r="E64" s="1">
        <v>-6.6965855789708</v>
      </c>
      <c r="F64" s="1">
        <v>-2.2375494093863</v>
      </c>
      <c r="G64" s="1">
        <v>10015533.883066</v>
      </c>
      <c r="H64" s="1">
        <v>14649758.119667</v>
      </c>
      <c r="I64" s="1">
        <v>-0.017273869441476</v>
      </c>
      <c r="J64" s="1">
        <v>-0.016534889861501</v>
      </c>
      <c r="K64" s="1">
        <v>0.034797779924328</v>
      </c>
      <c r="L64" s="1">
        <v>-0.5011922090789</v>
      </c>
      <c r="M64" s="1">
        <v>-0.50264806831837</v>
      </c>
      <c r="N64" s="1">
        <v>445.22899990073</v>
      </c>
      <c r="O64" s="1">
        <v>497.78647378496</v>
      </c>
    </row>
    <row r="65" spans="1:15">
      <c r="A65" s="1">
        <v>12.006684939098</v>
      </c>
      <c r="B65" s="1">
        <v>0.035802204959128</v>
      </c>
      <c r="C65" s="1">
        <v>92.691193350888</v>
      </c>
      <c r="D65" s="1">
        <v>0.037692780748604</v>
      </c>
      <c r="E65" s="1">
        <v>-6.703916206906</v>
      </c>
      <c r="F65" s="1">
        <v>-2.2534563231394</v>
      </c>
      <c r="G65" s="1">
        <v>10052528.570482</v>
      </c>
      <c r="H65" s="1">
        <v>14850093.077916</v>
      </c>
      <c r="I65" s="1">
        <v>-0.017569407691251</v>
      </c>
      <c r="J65" s="1">
        <v>-0.016817022392117</v>
      </c>
      <c r="K65" s="1">
        <v>0.035376787012689</v>
      </c>
      <c r="L65" s="1">
        <v>-0.51080659983029</v>
      </c>
      <c r="M65" s="1">
        <v>-0.51227305950185</v>
      </c>
      <c r="N65" s="1">
        <v>445.90119537878</v>
      </c>
      <c r="O65" s="1">
        <v>498.60645919622</v>
      </c>
    </row>
    <row r="66" spans="1:15">
      <c r="A66" s="1">
        <v>12.206684939098</v>
      </c>
      <c r="B66" s="1">
        <v>0.036424418210769</v>
      </c>
      <c r="C66" s="1">
        <v>92.690948827573</v>
      </c>
      <c r="D66" s="1">
        <v>0.038319521078544</v>
      </c>
      <c r="E66" s="1">
        <v>-6.7196740720575</v>
      </c>
      <c r="F66" s="1">
        <v>-2.2582470344943</v>
      </c>
      <c r="G66" s="1">
        <v>10089516.479464</v>
      </c>
      <c r="H66" s="1">
        <v>15050549.908069</v>
      </c>
      <c r="I66" s="1">
        <v>-0.017864791683388</v>
      </c>
      <c r="J66" s="1">
        <v>-0.017098979024573</v>
      </c>
      <c r="K66" s="1">
        <v>0.035955454501188</v>
      </c>
      <c r="L66" s="1">
        <v>-0.52045519596064</v>
      </c>
      <c r="M66" s="1">
        <v>-0.52190211899606</v>
      </c>
      <c r="N66" s="1">
        <v>446.5693475168</v>
      </c>
      <c r="O66" s="1">
        <v>499.42168737559</v>
      </c>
    </row>
    <row r="67" spans="1:15">
      <c r="A67" s="1">
        <v>12.406684939098</v>
      </c>
      <c r="B67" s="1">
        <v>0.037046545622423</v>
      </c>
      <c r="C67" s="1">
        <v>92.690702872264</v>
      </c>
      <c r="D67" s="1">
        <v>0.038946177466858</v>
      </c>
      <c r="E67" s="1">
        <v>-6.7475907262795</v>
      </c>
      <c r="F67" s="1">
        <v>-2.2402949530264</v>
      </c>
      <c r="G67" s="1">
        <v>10126496.767639</v>
      </c>
      <c r="H67" s="1">
        <v>15251123.013832</v>
      </c>
      <c r="I67" s="1">
        <v>-0.018160021954744</v>
      </c>
      <c r="J67" s="1">
        <v>-0.017380759568804</v>
      </c>
      <c r="K67" s="1">
        <v>0.036533782801692</v>
      </c>
      <c r="L67" s="1">
        <v>-0.53012184178837</v>
      </c>
      <c r="M67" s="1">
        <v>-0.53156856676294</v>
      </c>
      <c r="N67" s="1">
        <v>447.23349863231</v>
      </c>
      <c r="O67" s="1">
        <v>500.23227684135</v>
      </c>
    </row>
    <row r="68" spans="1:15">
      <c r="A68" s="1">
        <v>12.606684939098</v>
      </c>
      <c r="B68" s="1">
        <v>0.037668590023531</v>
      </c>
      <c r="C68" s="1">
        <v>92.690438755881</v>
      </c>
      <c r="D68" s="1">
        <v>0.039572752609071</v>
      </c>
      <c r="E68" s="1">
        <v>-6.7758962105839</v>
      </c>
      <c r="F68" s="1">
        <v>-2.2442333418764</v>
      </c>
      <c r="G68" s="1">
        <v>10163468.591765</v>
      </c>
      <c r="H68" s="1">
        <v>15451806.782349</v>
      </c>
      <c r="I68" s="1">
        <v>-0.018455098697282</v>
      </c>
      <c r="J68" s="1">
        <v>-0.017662363734669</v>
      </c>
      <c r="K68" s="1">
        <v>0.037111772304587</v>
      </c>
      <c r="L68" s="1">
        <v>-0.53977080707957</v>
      </c>
      <c r="M68" s="1">
        <v>-0.54120257042486</v>
      </c>
      <c r="N68" s="1">
        <v>447.89375508639</v>
      </c>
      <c r="O68" s="1">
        <v>501.03828596398</v>
      </c>
    </row>
    <row r="69" spans="1:15">
      <c r="A69" s="1">
        <v>12.806684939098</v>
      </c>
      <c r="B69" s="1">
        <v>0.038290553900831</v>
      </c>
      <c r="C69" s="1">
        <v>92.690166021362</v>
      </c>
      <c r="D69" s="1">
        <v>0.040199249374721</v>
      </c>
      <c r="E69" s="1">
        <v>-6.8136465155348</v>
      </c>
      <c r="F69" s="1">
        <v>-2.249060854523</v>
      </c>
      <c r="G69" s="1">
        <v>10200431.112533</v>
      </c>
      <c r="H69" s="1">
        <v>15652595.612175</v>
      </c>
      <c r="I69" s="1">
        <v>-0.018750022809541</v>
      </c>
      <c r="J69" s="1">
        <v>-0.017943791811141</v>
      </c>
      <c r="K69" s="1">
        <v>0.037689423414181</v>
      </c>
      <c r="L69" s="1">
        <v>-0.54959051882321</v>
      </c>
      <c r="M69" s="1">
        <v>-0.55102321875992</v>
      </c>
      <c r="N69" s="1">
        <v>448.55019077957</v>
      </c>
      <c r="O69" s="1">
        <v>501.84004845384</v>
      </c>
    </row>
    <row r="70" spans="1:15">
      <c r="A70" s="1">
        <v>13.006684939098</v>
      </c>
      <c r="B70" s="1">
        <v>0.038912440241401</v>
      </c>
      <c r="C70" s="1">
        <v>92.689903022008</v>
      </c>
      <c r="D70" s="1">
        <v>0.040825669888351</v>
      </c>
      <c r="E70" s="1">
        <v>-6.8362236851939</v>
      </c>
      <c r="F70" s="1">
        <v>-2.2497146946214</v>
      </c>
      <c r="G70" s="1">
        <v>10237383.576474</v>
      </c>
      <c r="H70" s="1">
        <v>15853484.340988</v>
      </c>
      <c r="I70" s="1">
        <v>-0.019044793352939</v>
      </c>
      <c r="J70" s="1">
        <v>-0.018225042896733</v>
      </c>
      <c r="K70" s="1">
        <v>0.038266736527504</v>
      </c>
      <c r="L70" s="1">
        <v>-0.55917102610345</v>
      </c>
      <c r="M70" s="1">
        <v>-0.56060414345465</v>
      </c>
      <c r="N70" s="1">
        <v>449.20294122512</v>
      </c>
      <c r="O70" s="1">
        <v>502.6373156729</v>
      </c>
    </row>
    <row r="71" spans="1:15">
      <c r="A71" s="1">
        <v>13.206684939098</v>
      </c>
      <c r="B71" s="1">
        <v>0.039534251541288</v>
      </c>
      <c r="C71" s="1">
        <v>92.68964452961</v>
      </c>
      <c r="D71" s="1">
        <v>0.041452017132095</v>
      </c>
      <c r="E71" s="1">
        <v>-6.8216968987044</v>
      </c>
      <c r="F71" s="1">
        <v>-2.2545068446962</v>
      </c>
      <c r="G71" s="1">
        <v>10274325.204761</v>
      </c>
      <c r="H71" s="1">
        <v>16054467.668572</v>
      </c>
      <c r="I71" s="1">
        <v>-0.019339411678676</v>
      </c>
      <c r="J71" s="1">
        <v>-0.018506117703567</v>
      </c>
      <c r="K71" s="1">
        <v>0.038843712038676</v>
      </c>
      <c r="L71" s="1">
        <v>-0.56889501596917</v>
      </c>
      <c r="M71" s="1">
        <v>-0.57030448156853</v>
      </c>
      <c r="N71" s="1">
        <v>449.85202519235</v>
      </c>
      <c r="O71" s="1">
        <v>503.43049226794</v>
      </c>
    </row>
    <row r="72" spans="1:15">
      <c r="A72" s="1">
        <v>13.406684939098</v>
      </c>
      <c r="B72" s="1">
        <v>0.040155990842554</v>
      </c>
      <c r="C72" s="1">
        <v>92.689383052506</v>
      </c>
      <c r="D72" s="1">
        <v>0.042078293619282</v>
      </c>
      <c r="E72" s="1">
        <v>-6.844270234612</v>
      </c>
      <c r="F72" s="1">
        <v>-2.2661496039382</v>
      </c>
      <c r="G72" s="1">
        <v>10311255.275364</v>
      </c>
      <c r="H72" s="1">
        <v>16255540.602198</v>
      </c>
      <c r="I72" s="1">
        <v>-0.019633877520462</v>
      </c>
      <c r="J72" s="1">
        <v>-0.018787016255404</v>
      </c>
      <c r="K72" s="1">
        <v>0.039420350350838</v>
      </c>
      <c r="L72" s="1">
        <v>-0.57860835445481</v>
      </c>
      <c r="M72" s="1">
        <v>-0.58002394656589</v>
      </c>
      <c r="N72" s="1">
        <v>450.4974684842</v>
      </c>
      <c r="O72" s="1">
        <v>504.21948841869</v>
      </c>
    </row>
    <row r="73" spans="1:15">
      <c r="A73" s="1">
        <v>13.606684939098</v>
      </c>
      <c r="B73" s="1">
        <v>0.040777659979046</v>
      </c>
      <c r="C73" s="1">
        <v>92.689120124456</v>
      </c>
      <c r="D73" s="1">
        <v>0.042704501900787</v>
      </c>
      <c r="E73" s="1">
        <v>-6.8558552658048</v>
      </c>
      <c r="F73" s="1">
        <v>-2.2558210695178</v>
      </c>
      <c r="G73" s="1">
        <v>10348173.031515</v>
      </c>
      <c r="H73" s="1">
        <v>16456697.95496</v>
      </c>
      <c r="I73" s="1">
        <v>-0.019928190969111</v>
      </c>
      <c r="J73" s="1">
        <v>-0.019067738627956</v>
      </c>
      <c r="K73" s="1">
        <v>0.039996651854101</v>
      </c>
      <c r="L73" s="1">
        <v>-0.58834868349277</v>
      </c>
      <c r="M73" s="1">
        <v>-0.58975070195757</v>
      </c>
      <c r="N73" s="1">
        <v>451.13940062333</v>
      </c>
      <c r="O73" s="1">
        <v>505.00446838058</v>
      </c>
    </row>
    <row r="74" spans="1:15">
      <c r="A74" s="1">
        <v>13.806684939098</v>
      </c>
      <c r="B74" s="1">
        <v>0.041399261154582</v>
      </c>
      <c r="C74" s="1">
        <v>92.688863564406</v>
      </c>
      <c r="D74" s="1">
        <v>0.043330644184062</v>
      </c>
      <c r="E74" s="1">
        <v>-6.8894110348446</v>
      </c>
      <c r="F74" s="1">
        <v>-2.2564801940183</v>
      </c>
      <c r="G74" s="1">
        <v>10385077.760295</v>
      </c>
      <c r="H74" s="1">
        <v>16657934.753029</v>
      </c>
      <c r="I74" s="1">
        <v>-0.020222351922933</v>
      </c>
      <c r="J74" s="1">
        <v>-0.019348285056406</v>
      </c>
      <c r="K74" s="1">
        <v>0.040572616954949</v>
      </c>
      <c r="L74" s="1">
        <v>-0.59812367632074</v>
      </c>
      <c r="M74" s="1">
        <v>-0.59951283291051</v>
      </c>
      <c r="N74" s="1">
        <v>451.77797716615</v>
      </c>
      <c r="O74" s="1">
        <v>505.7856391969</v>
      </c>
    </row>
    <row r="75" spans="1:15">
      <c r="A75" s="1">
        <v>14.006684939098</v>
      </c>
      <c r="B75" s="1">
        <v>0.042020798078398</v>
      </c>
      <c r="C75" s="1">
        <v>92.688601390544</v>
      </c>
      <c r="D75" s="1">
        <v>0.043956722682614</v>
      </c>
      <c r="E75" s="1">
        <v>-6.8747999996903</v>
      </c>
      <c r="F75" s="1">
        <v>-2.250367528175</v>
      </c>
      <c r="G75" s="1">
        <v>10421968.895623</v>
      </c>
      <c r="H75" s="1">
        <v>16859246.801604</v>
      </c>
      <c r="I75" s="1">
        <v>-0.020516360601143</v>
      </c>
      <c r="J75" s="1">
        <v>-0.019628655840474</v>
      </c>
      <c r="K75" s="1">
        <v>0.041148246050169</v>
      </c>
      <c r="L75" s="1">
        <v>-0.60787456766986</v>
      </c>
      <c r="M75" s="1">
        <v>-0.60927498994724</v>
      </c>
      <c r="N75" s="1">
        <v>452.41303701903</v>
      </c>
      <c r="O75" s="1">
        <v>506.56281137088</v>
      </c>
    </row>
    <row r="76" spans="1:15">
      <c r="A76" s="1">
        <v>14.206684939098</v>
      </c>
      <c r="B76" s="1">
        <v>0.042642272650614</v>
      </c>
      <c r="C76" s="1">
        <v>92.688325267503</v>
      </c>
      <c r="D76" s="1">
        <v>0.044582739752261</v>
      </c>
      <c r="E76" s="1">
        <v>-6.9522970207849</v>
      </c>
      <c r="F76" s="1">
        <v>-2.2510298560599</v>
      </c>
      <c r="G76" s="1">
        <v>10458845.806614</v>
      </c>
      <c r="H76" s="1">
        <v>17060629.545798</v>
      </c>
      <c r="I76" s="1">
        <v>-0.020810216801389</v>
      </c>
      <c r="J76" s="1">
        <v>-0.019908851711363</v>
      </c>
      <c r="K76" s="1">
        <v>0.04172353953274</v>
      </c>
      <c r="L76" s="1">
        <v>-0.6176714620344</v>
      </c>
      <c r="M76" s="1">
        <v>-0.61905819326106</v>
      </c>
      <c r="N76" s="1">
        <v>453.04461079961</v>
      </c>
      <c r="O76" s="1">
        <v>507.3360219966</v>
      </c>
    </row>
    <row r="77" spans="1:15">
      <c r="A77" s="1">
        <v>14.406684939098</v>
      </c>
      <c r="B77" s="1">
        <v>0.043263686372931</v>
      </c>
      <c r="C77" s="1">
        <v>92.688037895993</v>
      </c>
      <c r="D77" s="1">
        <v>0.045208697242022</v>
      </c>
      <c r="E77" s="1">
        <v>-6.944882007118</v>
      </c>
      <c r="F77" s="1">
        <v>-2.2436955595048</v>
      </c>
      <c r="G77" s="1">
        <v>10495707.808045</v>
      </c>
      <c r="H77" s="1">
        <v>17262078.161823</v>
      </c>
      <c r="I77" s="1">
        <v>-0.021103920289422</v>
      </c>
      <c r="J77" s="1">
        <v>-0.020188872425474</v>
      </c>
      <c r="K77" s="1">
        <v>0.042298497799158</v>
      </c>
      <c r="L77" s="1">
        <v>-0.62742612668817</v>
      </c>
      <c r="M77" s="1">
        <v>-0.628812502525</v>
      </c>
      <c r="N77" s="1">
        <v>453.67293812277</v>
      </c>
      <c r="O77" s="1">
        <v>508.10548244398</v>
      </c>
    </row>
    <row r="78" spans="1:15">
      <c r="A78" s="1">
        <v>14.606684939098</v>
      </c>
      <c r="B78" s="1">
        <v>0.04388504010913</v>
      </c>
      <c r="C78" s="1">
        <v>92.687751827689</v>
      </c>
      <c r="D78" s="1">
        <v>0.045834597466637</v>
      </c>
      <c r="E78" s="1">
        <v>-6.9674410923027</v>
      </c>
      <c r="F78" s="1">
        <v>-2.2443574275239</v>
      </c>
      <c r="G78" s="1">
        <v>10532554.229334</v>
      </c>
      <c r="H78" s="1">
        <v>17463587.891726</v>
      </c>
      <c r="I78" s="1">
        <v>-0.021397471318021</v>
      </c>
      <c r="J78" s="1">
        <v>-0.020468718384146</v>
      </c>
      <c r="K78" s="1">
        <v>0.042873121245341</v>
      </c>
      <c r="L78" s="1">
        <v>-0.63725570585999</v>
      </c>
      <c r="M78" s="1">
        <v>-0.63864423276205</v>
      </c>
      <c r="N78" s="1">
        <v>454.29815444178</v>
      </c>
      <c r="O78" s="1">
        <v>508.87142492132</v>
      </c>
    </row>
    <row r="79" spans="1:15">
      <c r="A79" s="1">
        <v>14.806684939098</v>
      </c>
      <c r="B79" s="1">
        <v>0.044506337606508</v>
      </c>
      <c r="C79" s="1">
        <v>92.687465885833</v>
      </c>
      <c r="D79" s="1">
        <v>0.046460442420425</v>
      </c>
      <c r="E79" s="1">
        <v>-6.9828386439571</v>
      </c>
      <c r="F79" s="1">
        <v>-2.2573290168379</v>
      </c>
      <c r="G79" s="1">
        <v>10569384.577572</v>
      </c>
      <c r="H79" s="1">
        <v>17665154.923395</v>
      </c>
      <c r="I79" s="1">
        <v>-0.021690869990019</v>
      </c>
      <c r="J79" s="1">
        <v>-0.020748389926041</v>
      </c>
      <c r="K79" s="1">
        <v>0.043447410264038</v>
      </c>
      <c r="L79" s="1">
        <v>-0.64709502359742</v>
      </c>
      <c r="M79" s="1">
        <v>-0.64846453246647</v>
      </c>
      <c r="N79" s="1">
        <v>454.92005566813</v>
      </c>
      <c r="O79" s="1">
        <v>509.63357965805</v>
      </c>
    </row>
    <row r="80" spans="1:15">
      <c r="A80" s="1">
        <v>15.006684939098</v>
      </c>
      <c r="B80" s="1">
        <v>0.045127581195894</v>
      </c>
      <c r="C80" s="1">
        <v>92.687187309033</v>
      </c>
      <c r="D80" s="1">
        <v>0.047086233953694</v>
      </c>
      <c r="E80" s="1">
        <v>-7.001249648349</v>
      </c>
      <c r="F80" s="1">
        <v>-2.2511470014623</v>
      </c>
      <c r="G80" s="1">
        <v>10606198.278688</v>
      </c>
      <c r="H80" s="1">
        <v>17866775.006265</v>
      </c>
      <c r="I80" s="1">
        <v>-0.0219841162131</v>
      </c>
      <c r="J80" s="1">
        <v>-0.021027887240815</v>
      </c>
      <c r="K80" s="1">
        <v>0.0440213652538</v>
      </c>
      <c r="L80" s="1">
        <v>-0.65690408566266</v>
      </c>
      <c r="M80" s="1">
        <v>-0.65827943372312</v>
      </c>
      <c r="N80" s="1">
        <v>455.53874051668</v>
      </c>
      <c r="O80" s="1">
        <v>510.39206133343</v>
      </c>
    </row>
    <row r="81" spans="1:15">
      <c r="A81" s="1">
        <v>15.206684939098</v>
      </c>
      <c r="B81" s="1">
        <v>0.045748772462626</v>
      </c>
      <c r="C81" s="1">
        <v>92.686890593212</v>
      </c>
      <c r="D81" s="1">
        <v>0.047711974323893</v>
      </c>
      <c r="E81" s="1">
        <v>-7.0338450466526</v>
      </c>
      <c r="F81" s="1">
        <v>-2.2398734100793</v>
      </c>
      <c r="G81" s="1">
        <v>10642994.730015</v>
      </c>
      <c r="H81" s="1">
        <v>18068443.753661</v>
      </c>
      <c r="I81" s="1">
        <v>-0.022277210508431</v>
      </c>
      <c r="J81" s="1">
        <v>-0.021307210147713</v>
      </c>
      <c r="K81" s="1">
        <v>0.04459498659958</v>
      </c>
      <c r="L81" s="1">
        <v>-0.66673639863769</v>
      </c>
      <c r="M81" s="1">
        <v>-0.66810372480401</v>
      </c>
      <c r="N81" s="1">
        <v>456.15430415239</v>
      </c>
      <c r="O81" s="1">
        <v>511.14700295348</v>
      </c>
    </row>
    <row r="82" spans="1:15">
      <c r="A82" s="1">
        <v>15.406684939098</v>
      </c>
      <c r="B82" s="1">
        <v>0.046369912433968</v>
      </c>
      <c r="C82" s="1">
        <v>92.686592983274</v>
      </c>
      <c r="D82" s="1">
        <v>0.048337665447903</v>
      </c>
      <c r="E82" s="1">
        <v>-7.0274726837254</v>
      </c>
      <c r="F82" s="1">
        <v>-2.2555571780854</v>
      </c>
      <c r="G82" s="1">
        <v>10679773.325628</v>
      </c>
      <c r="H82" s="1">
        <v>18270156.747094</v>
      </c>
      <c r="I82" s="1">
        <v>-0.022570152977265</v>
      </c>
      <c r="J82" s="1">
        <v>-0.021586358734629</v>
      </c>
      <c r="K82" s="1">
        <v>0.045168274690378</v>
      </c>
      <c r="L82" s="1">
        <v>-0.67663125961016</v>
      </c>
      <c r="M82" s="1">
        <v>-0.67798434576873</v>
      </c>
      <c r="N82" s="1">
        <v>456.76692883102</v>
      </c>
      <c r="O82" s="1">
        <v>511.8986445579</v>
      </c>
    </row>
    <row r="83" spans="1:15">
      <c r="A83" s="1">
        <v>15.606684939098</v>
      </c>
      <c r="B83" s="1">
        <v>0.046991004158873</v>
      </c>
      <c r="C83" s="1">
        <v>92.686307174362</v>
      </c>
      <c r="D83" s="1">
        <v>0.048963309304566</v>
      </c>
      <c r="E83" s="1">
        <v>-7.0170621779429</v>
      </c>
      <c r="F83" s="1">
        <v>-2.245237849965</v>
      </c>
      <c r="G83" s="1">
        <v>10716533.595934</v>
      </c>
      <c r="H83" s="1">
        <v>18471910.317879</v>
      </c>
      <c r="I83" s="1">
        <v>-0.022862943872127</v>
      </c>
      <c r="J83" s="1">
        <v>-0.021865332967702</v>
      </c>
      <c r="K83" s="1">
        <v>0.045741229922087</v>
      </c>
      <c r="L83" s="1">
        <v>-0.68648338186335</v>
      </c>
      <c r="M83" s="1">
        <v>-0.68785024333286</v>
      </c>
      <c r="N83" s="1">
        <v>457.37650581564</v>
      </c>
      <c r="O83" s="1">
        <v>512.64678765789</v>
      </c>
    </row>
    <row r="84" spans="1:15">
      <c r="A84" s="1">
        <v>15.806684939098</v>
      </c>
      <c r="B84" s="1">
        <v>0.047612049041199</v>
      </c>
      <c r="C84" s="1">
        <v>92.686009801635</v>
      </c>
      <c r="D84" s="1">
        <v>0.049588907902352</v>
      </c>
      <c r="E84" s="1">
        <v>-7.0286994081497</v>
      </c>
      <c r="F84" s="1">
        <v>-2.2544865993495</v>
      </c>
      <c r="G84" s="1">
        <v>10753274.980941</v>
      </c>
      <c r="H84" s="1">
        <v>18673700.292194</v>
      </c>
      <c r="I84" s="1">
        <v>-0.023155583466614</v>
      </c>
      <c r="J84" s="1">
        <v>-0.022144132877737</v>
      </c>
      <c r="K84" s="1">
        <v>0.046313852678704</v>
      </c>
      <c r="L84" s="1">
        <v>-0.69636014871755</v>
      </c>
      <c r="M84" s="1">
        <v>-0.69771460841552</v>
      </c>
      <c r="N84" s="1">
        <v>457.98316020822</v>
      </c>
      <c r="O84" s="1">
        <v>513.3916036284</v>
      </c>
    </row>
    <row r="85" spans="1:15">
      <c r="A85" s="1">
        <v>16.006684939098</v>
      </c>
      <c r="B85" s="1">
        <v>0.048233049844935</v>
      </c>
      <c r="C85" s="1">
        <v>92.685704362322</v>
      </c>
      <c r="D85" s="1">
        <v>0.050214463301352</v>
      </c>
      <c r="E85" s="1">
        <v>-7.0444981861359</v>
      </c>
      <c r="F85" s="1">
        <v>-2.2593847123311</v>
      </c>
      <c r="G85" s="1">
        <v>10789997.043138</v>
      </c>
      <c r="H85" s="1">
        <v>18875523.141776</v>
      </c>
      <c r="I85" s="1">
        <v>-0.023448072690461</v>
      </c>
      <c r="J85" s="1">
        <v>-0.022422758668794</v>
      </c>
      <c r="K85" s="1">
        <v>0.04688614335988</v>
      </c>
      <c r="L85" s="1">
        <v>-0.70636955580644</v>
      </c>
      <c r="M85" s="1">
        <v>-0.7077250399406</v>
      </c>
      <c r="N85" s="1">
        <v>458.58680981798</v>
      </c>
      <c r="O85" s="1">
        <v>514.13314397815</v>
      </c>
    </row>
    <row r="86" spans="1:15">
      <c r="A86" s="1">
        <v>16.206684939098</v>
      </c>
      <c r="B86" s="1">
        <v>0.048854007691571</v>
      </c>
      <c r="C86" s="1">
        <v>92.685405392864</v>
      </c>
      <c r="D86" s="1">
        <v>0.050839976879457</v>
      </c>
      <c r="E86" s="1">
        <v>-7.0780327442596</v>
      </c>
      <c r="F86" s="1">
        <v>-2.2600600759216</v>
      </c>
      <c r="G86" s="1">
        <v>10826699.223119</v>
      </c>
      <c r="H86" s="1">
        <v>19077374.724967</v>
      </c>
      <c r="I86" s="1">
        <v>-0.023740410593534</v>
      </c>
      <c r="J86" s="1">
        <v>-0.022701209473072</v>
      </c>
      <c r="K86" s="1">
        <v>0.047458102345613</v>
      </c>
      <c r="L86" s="1">
        <v>-0.71616451501504</v>
      </c>
      <c r="M86" s="1">
        <v>-0.71752316139245</v>
      </c>
      <c r="N86" s="1">
        <v>459.18771806975</v>
      </c>
      <c r="O86" s="1">
        <v>514.87132978999</v>
      </c>
    </row>
    <row r="87" spans="1:15">
      <c r="A87" s="1">
        <v>16.406684939098</v>
      </c>
      <c r="B87" s="1">
        <v>0.049474924950599</v>
      </c>
      <c r="C87" s="1">
        <v>92.685098653289</v>
      </c>
      <c r="D87" s="1">
        <v>0.051465450955863</v>
      </c>
      <c r="E87" s="1">
        <v>-7.0886201122613</v>
      </c>
      <c r="F87" s="1">
        <v>-2.2597595727704</v>
      </c>
      <c r="G87" s="1">
        <v>10863381.085471</v>
      </c>
      <c r="H87" s="1">
        <v>19279251.545574</v>
      </c>
      <c r="I87" s="1">
        <v>-0.024032598922069</v>
      </c>
      <c r="J87" s="1">
        <v>-0.022979485905272</v>
      </c>
      <c r="K87" s="1">
        <v>0.048029730026918</v>
      </c>
      <c r="L87" s="1">
        <v>-0.7260973830125</v>
      </c>
      <c r="M87" s="1">
        <v>-0.72744257500082</v>
      </c>
      <c r="N87" s="1">
        <v>459.78571015808</v>
      </c>
      <c r="O87" s="1">
        <v>515.60633222938</v>
      </c>
    </row>
    <row r="88" spans="1:15">
      <c r="A88" s="1">
        <v>16.606684939098</v>
      </c>
      <c r="B88" s="1">
        <v>0.050095803633135</v>
      </c>
      <c r="C88" s="1">
        <v>92.684776197279</v>
      </c>
      <c r="D88" s="1">
        <v>0.05209088710482</v>
      </c>
      <c r="E88" s="1">
        <v>-7.1151815699828</v>
      </c>
      <c r="F88" s="1">
        <v>-2.2534657112652</v>
      </c>
      <c r="G88" s="1">
        <v>10900042.210823</v>
      </c>
      <c r="H88" s="1">
        <v>19481150.172225</v>
      </c>
      <c r="I88" s="1">
        <v>-0.024324637527208</v>
      </c>
      <c r="J88" s="1">
        <v>-0.023257587597876</v>
      </c>
      <c r="K88" s="1">
        <v>0.048601026787656</v>
      </c>
      <c r="L88" s="1">
        <v>-0.73598475117405</v>
      </c>
      <c r="M88" s="1">
        <v>-0.73733065012683</v>
      </c>
      <c r="N88" s="1">
        <v>460.38083364259</v>
      </c>
      <c r="O88" s="1">
        <v>516.33801285442</v>
      </c>
    </row>
    <row r="89" spans="1:15">
      <c r="A89" s="1">
        <v>16.806684939098</v>
      </c>
      <c r="B89" s="1">
        <v>0.050716644187936</v>
      </c>
      <c r="C89" s="1">
        <v>92.684442631323</v>
      </c>
      <c r="D89" s="1">
        <v>0.052716287160597</v>
      </c>
      <c r="E89" s="1">
        <v>-7.1462872612106</v>
      </c>
      <c r="F89" s="1">
        <v>-2.262693410835</v>
      </c>
      <c r="G89" s="1">
        <v>10936682.059266</v>
      </c>
      <c r="H89" s="1">
        <v>19683066.555576</v>
      </c>
      <c r="I89" s="1">
        <v>-0.02461652671635</v>
      </c>
      <c r="J89" s="1">
        <v>-0.02353551464939</v>
      </c>
      <c r="K89" s="1">
        <v>0.049171993023701</v>
      </c>
      <c r="L89" s="1">
        <v>-0.7459453635018</v>
      </c>
      <c r="M89" s="1">
        <v>-0.74729338181179</v>
      </c>
      <c r="N89" s="1">
        <v>460.97331833463</v>
      </c>
      <c r="O89" s="1">
        <v>517.06672851956</v>
      </c>
    </row>
    <row r="90" spans="1:15">
      <c r="A90" s="1">
        <v>17.006684939098</v>
      </c>
      <c r="B90" s="1">
        <v>0.051337449565318</v>
      </c>
      <c r="C90" s="1">
        <v>92.684108077801</v>
      </c>
      <c r="D90" s="1">
        <v>0.053341652928601</v>
      </c>
      <c r="E90" s="1">
        <v>-7.1403132798073</v>
      </c>
      <c r="F90" s="1">
        <v>-2.2787950290709</v>
      </c>
      <c r="G90" s="1">
        <v>10973300.249475</v>
      </c>
      <c r="H90" s="1">
        <v>19884997.517616</v>
      </c>
      <c r="I90" s="1">
        <v>-0.02490826672563</v>
      </c>
      <c r="J90" s="1">
        <v>-0.023813267200242</v>
      </c>
      <c r="K90" s="1">
        <v>0.049742629113735</v>
      </c>
      <c r="L90" s="1">
        <v>-0.75591685431585</v>
      </c>
      <c r="M90" s="1">
        <v>-0.75725057797563</v>
      </c>
      <c r="N90" s="1">
        <v>461.563013449</v>
      </c>
      <c r="O90" s="1">
        <v>517.79225735028</v>
      </c>
    </row>
    <row r="91" spans="1:15">
      <c r="A91" s="1">
        <v>17.206684939098</v>
      </c>
      <c r="B91" s="1">
        <v>0.051958221274451</v>
      </c>
      <c r="C91" s="1">
        <v>92.683761643132</v>
      </c>
      <c r="D91" s="1">
        <v>0.053966986199496</v>
      </c>
      <c r="E91" s="1">
        <v>-7.1384979758818</v>
      </c>
      <c r="F91" s="1">
        <v>-2.2990550176505</v>
      </c>
      <c r="G91" s="1">
        <v>11009896.347995</v>
      </c>
      <c r="H91" s="1">
        <v>20086939.587709</v>
      </c>
      <c r="I91" s="1">
        <v>-0.025199858054264</v>
      </c>
      <c r="J91" s="1">
        <v>-0.024090845450164</v>
      </c>
      <c r="K91" s="1">
        <v>0.050312935437418</v>
      </c>
      <c r="L91" s="1">
        <v>-0.76598054730002</v>
      </c>
      <c r="M91" s="1">
        <v>-0.76731688502878</v>
      </c>
      <c r="N91" s="1">
        <v>462.14997865497</v>
      </c>
      <c r="O91" s="1">
        <v>518.51477537999</v>
      </c>
    </row>
    <row r="92" spans="1:15">
      <c r="A92" s="1">
        <v>17.406684939098</v>
      </c>
      <c r="B92" s="1">
        <v>0.052578960319899</v>
      </c>
      <c r="C92" s="1">
        <v>92.683400504897</v>
      </c>
      <c r="D92" s="1">
        <v>0.05459228831259</v>
      </c>
      <c r="E92" s="1">
        <v>-7.1571765943171</v>
      </c>
      <c r="F92" s="1">
        <v>-2.2958645804378</v>
      </c>
      <c r="G92" s="1">
        <v>11046469.865424</v>
      </c>
      <c r="H92" s="1">
        <v>20288889.014617</v>
      </c>
      <c r="I92" s="1">
        <v>-0.025491300014426</v>
      </c>
      <c r="J92" s="1">
        <v>-0.024368248572099</v>
      </c>
      <c r="K92" s="1">
        <v>0.050882912378485</v>
      </c>
      <c r="L92" s="1">
        <v>-0.77584598247861</v>
      </c>
      <c r="M92" s="1">
        <v>-0.77718475244933</v>
      </c>
      <c r="N92" s="1">
        <v>462.73445045376</v>
      </c>
      <c r="O92" s="1">
        <v>519.23423626421</v>
      </c>
    </row>
    <row r="93" spans="1:15">
      <c r="A93" s="1">
        <v>17.606684939098</v>
      </c>
      <c r="B93" s="1">
        <v>0.053199669326943</v>
      </c>
      <c r="C93" s="1">
        <v>92.683043859831</v>
      </c>
      <c r="D93" s="1">
        <v>0.055217561422347</v>
      </c>
      <c r="E93" s="1">
        <v>-7.1507094674497</v>
      </c>
      <c r="F93" s="1">
        <v>-2.2895064955637</v>
      </c>
      <c r="G93" s="1">
        <v>11083020.48677</v>
      </c>
      <c r="H93" s="1">
        <v>20490842.943388</v>
      </c>
      <c r="I93" s="1">
        <v>-0.025782594013754</v>
      </c>
      <c r="J93" s="1">
        <v>-0.024645477550092</v>
      </c>
      <c r="K93" s="1">
        <v>0.051452560319609</v>
      </c>
      <c r="L93" s="1">
        <v>-0.78585041651463</v>
      </c>
      <c r="M93" s="1">
        <v>-0.78717809137625</v>
      </c>
      <c r="N93" s="1">
        <v>463.31620627178</v>
      </c>
      <c r="O93" s="1">
        <v>519.95074317682</v>
      </c>
    </row>
    <row r="94" spans="1:15">
      <c r="A94" s="1">
        <v>17.806684939098</v>
      </c>
      <c r="B94" s="1">
        <v>0.053820349457373</v>
      </c>
      <c r="C94" s="1">
        <v>92.682697191719</v>
      </c>
      <c r="D94" s="1">
        <v>0.05584280711168</v>
      </c>
      <c r="E94" s="1">
        <v>-7.1512809801855</v>
      </c>
      <c r="F94" s="1">
        <v>-2.290193763644</v>
      </c>
      <c r="G94" s="1">
        <v>11119547.779603</v>
      </c>
      <c r="H94" s="1">
        <v>20692797.95405</v>
      </c>
      <c r="I94" s="1">
        <v>-0.026073739871726</v>
      </c>
      <c r="J94" s="1">
        <v>-0.024922532091598</v>
      </c>
      <c r="K94" s="1">
        <v>0.05202187963773</v>
      </c>
      <c r="L94" s="1">
        <v>-0.79584975369026</v>
      </c>
      <c r="M94" s="1">
        <v>-0.79716849581746</v>
      </c>
      <c r="N94" s="1">
        <v>463.89535201571</v>
      </c>
      <c r="O94" s="1">
        <v>520.66424956004</v>
      </c>
    </row>
    <row r="95" spans="1:15">
      <c r="A95" s="1">
        <v>18</v>
      </c>
      <c r="B95" s="1">
        <v>0.054420100007039</v>
      </c>
      <c r="C95" s="1">
        <v>92.682363997297</v>
      </c>
      <c r="D95" s="1">
        <v>0.056447115245845</v>
      </c>
      <c r="E95" s="1">
        <v>-7.1668934333819</v>
      </c>
      <c r="F95" s="1">
        <v>-2.2949277012445</v>
      </c>
      <c r="G95" s="1">
        <v>11154822.163679</v>
      </c>
      <c r="H95" s="1">
        <v>20887949.036091</v>
      </c>
      <c r="I95" s="1">
        <v>-0.026354983529629</v>
      </c>
      <c r="J95" s="1">
        <v>-0.025190132098467</v>
      </c>
      <c r="K95" s="1">
        <v>0.052571857715402</v>
      </c>
      <c r="L95" s="1">
        <v>-0.80487324321941</v>
      </c>
      <c r="M95" s="1">
        <v>-0.80619381902966</v>
      </c>
      <c r="N95" s="1">
        <v>464.47897393951</v>
      </c>
      <c r="O95" s="1">
        <v>521.37821175191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workbookViewId="0">
      <selection activeCell="A1" sqref="A1:O95"/>
    </sheetView>
  </sheetViews>
  <sheetFormatPr defaultColWidth="8.81333333333333" defaultRowHeight="15"/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0.0025830812468784</v>
      </c>
      <c r="B3" s="2">
        <v>3.6759470707094e-26</v>
      </c>
      <c r="C3" s="1">
        <v>92.681599180244</v>
      </c>
      <c r="D3" s="2">
        <v>7.1380553568813e-6</v>
      </c>
      <c r="E3" s="1">
        <v>-5.6421877781134</v>
      </c>
      <c r="F3" s="1">
        <v>-2.714963158662</v>
      </c>
      <c r="G3" s="1">
        <v>8000000</v>
      </c>
      <c r="H3" s="1">
        <v>4000000</v>
      </c>
      <c r="I3" s="2">
        <v>-2.1044268737559e-6</v>
      </c>
      <c r="J3" s="2">
        <v>-2.007802853243e-6</v>
      </c>
      <c r="K3" s="2">
        <v>7.749213249776e-6</v>
      </c>
      <c r="L3" s="2">
        <v>-1.7529278809932e-7</v>
      </c>
      <c r="M3" s="2">
        <v>-1.8168693182589e-7</v>
      </c>
      <c r="N3" s="1">
        <v>1.6028890157408</v>
      </c>
      <c r="O3" s="1">
        <v>1.6938420313532</v>
      </c>
    </row>
    <row r="4" spans="1:15">
      <c r="A4" s="1">
        <v>0.018444056862426</v>
      </c>
      <c r="B4" s="2">
        <v>2.3928362061348e-23</v>
      </c>
      <c r="C4" s="1">
        <v>92.681711206599</v>
      </c>
      <c r="D4" s="2">
        <v>5.0969952442964e-5</v>
      </c>
      <c r="E4" s="1">
        <v>-5.6421894693405</v>
      </c>
      <c r="F4" s="1">
        <v>-2.7148568651501</v>
      </c>
      <c r="G4" s="1">
        <v>8000000</v>
      </c>
      <c r="H4" s="1">
        <v>4000000</v>
      </c>
      <c r="I4" s="2">
        <v>-1.5028732508241e-5</v>
      </c>
      <c r="J4" s="2">
        <v>-1.4338658621498e-5</v>
      </c>
      <c r="K4" s="2">
        <v>5.5330616082206e-5</v>
      </c>
      <c r="L4" s="2">
        <v>-8.9332652319243e-6</v>
      </c>
      <c r="M4" s="2">
        <v>-9.259316978458e-6</v>
      </c>
      <c r="N4" s="1">
        <v>11.448233403899</v>
      </c>
      <c r="O4" s="1">
        <v>12.097608761396</v>
      </c>
    </row>
    <row r="5" spans="1:15">
      <c r="A5" s="1">
        <v>0.1</v>
      </c>
      <c r="B5" s="2">
        <v>3.5600705507011e-17</v>
      </c>
      <c r="C5" s="1">
        <v>92.681485926574</v>
      </c>
      <c r="D5" s="1">
        <v>0.00027640545895778</v>
      </c>
      <c r="E5" s="1">
        <v>-5.8868887807615</v>
      </c>
      <c r="F5" s="1">
        <v>-3.0231126707829</v>
      </c>
      <c r="G5" s="1">
        <v>8000000</v>
      </c>
      <c r="H5" s="1">
        <v>4000000</v>
      </c>
      <c r="I5" s="2">
        <v>-8.155953520343e-5</v>
      </c>
      <c r="J5" s="2">
        <v>-7.7813747057783e-5</v>
      </c>
      <c r="K5" s="1">
        <v>0.00029995431164395</v>
      </c>
      <c r="L5" s="1">
        <v>-0.00026093105039704</v>
      </c>
      <c r="M5" s="1">
        <v>-0.00027057179671208</v>
      </c>
      <c r="N5" s="1">
        <v>62.165835065623</v>
      </c>
      <c r="O5" s="1">
        <v>65.684971758436</v>
      </c>
    </row>
    <row r="6" spans="1:15">
      <c r="A6" s="1">
        <v>0.20668493909835</v>
      </c>
      <c r="B6" s="2">
        <v>5.5322808998361e-13</v>
      </c>
      <c r="C6" s="1">
        <v>92.687072509591</v>
      </c>
      <c r="D6" s="1">
        <v>0.00057142999941518</v>
      </c>
      <c r="E6" s="1">
        <v>-5.7857561058281</v>
      </c>
      <c r="F6" s="1">
        <v>-2.6941022032839</v>
      </c>
      <c r="G6" s="1">
        <v>8000000.0000232</v>
      </c>
      <c r="H6" s="1">
        <v>4000000.000119</v>
      </c>
      <c r="I6" s="1">
        <v>-0.00016875455411389</v>
      </c>
      <c r="J6" s="1">
        <v>-0.00016100213761346</v>
      </c>
      <c r="K6" s="1">
        <v>0.00061985968832705</v>
      </c>
      <c r="L6" s="1">
        <v>-0.0011191544437308</v>
      </c>
      <c r="M6" s="1">
        <v>-0.0011600554225464</v>
      </c>
      <c r="N6" s="1">
        <v>128.72051070099</v>
      </c>
      <c r="O6" s="1">
        <v>135.98963275521</v>
      </c>
    </row>
    <row r="7" spans="1:15">
      <c r="A7" s="1">
        <v>0.40668493909835</v>
      </c>
      <c r="B7" s="2">
        <v>9.7695832904896e-8</v>
      </c>
      <c r="C7" s="1">
        <v>92.694810201873</v>
      </c>
      <c r="D7" s="1">
        <v>0.0011249638098013</v>
      </c>
      <c r="E7" s="1">
        <v>-6.0944550452227</v>
      </c>
      <c r="F7" s="1">
        <v>-2.5555601047411</v>
      </c>
      <c r="G7" s="1">
        <v>8000003.9209652</v>
      </c>
      <c r="H7" s="1">
        <v>4000020.1108839</v>
      </c>
      <c r="I7" s="1">
        <v>-0.00033283567674464</v>
      </c>
      <c r="J7" s="1">
        <v>-0.00031754033955266</v>
      </c>
      <c r="K7" s="1">
        <v>0.0012192996717483</v>
      </c>
      <c r="L7" s="1">
        <v>-0.0043218164357144</v>
      </c>
      <c r="M7" s="1">
        <v>-0.004479733413088</v>
      </c>
      <c r="N7" s="1">
        <v>254.21381492403</v>
      </c>
      <c r="O7" s="1">
        <v>268.50027718637</v>
      </c>
    </row>
    <row r="8" spans="1:15">
      <c r="A8" s="1">
        <v>0.60668493909835</v>
      </c>
      <c r="B8" s="2">
        <v>7.3506378406874e-5</v>
      </c>
      <c r="C8" s="1">
        <v>92.699880929071</v>
      </c>
      <c r="D8" s="1">
        <v>0.0016902190576229</v>
      </c>
      <c r="E8" s="1">
        <v>-5.9194260148826</v>
      </c>
      <c r="F8" s="1">
        <v>-2.336170290639</v>
      </c>
      <c r="G8" s="1">
        <v>8003010.9016165</v>
      </c>
      <c r="H8" s="1">
        <v>4015453.6194401</v>
      </c>
      <c r="I8" s="1">
        <v>-0.00051308969163363</v>
      </c>
      <c r="J8" s="1">
        <v>-0.000490026851239</v>
      </c>
      <c r="K8" s="1">
        <v>0.0018183762580535</v>
      </c>
      <c r="L8" s="1">
        <v>-0.0099806682684602</v>
      </c>
      <c r="M8" s="1">
        <v>-0.010380369613428</v>
      </c>
      <c r="N8" s="1">
        <v>366.67984830628</v>
      </c>
      <c r="O8" s="1">
        <v>387.66943317493</v>
      </c>
    </row>
    <row r="9" spans="1:15">
      <c r="A9" s="1">
        <v>0.80668493909835</v>
      </c>
      <c r="B9" s="1">
        <v>0.00053077993986496</v>
      </c>
      <c r="C9" s="1">
        <v>92.699799491779</v>
      </c>
      <c r="D9" s="1">
        <v>0.0023013070365979</v>
      </c>
      <c r="E9" s="1">
        <v>-6.188936940263</v>
      </c>
      <c r="F9" s="1">
        <v>-2.1186879661416</v>
      </c>
      <c r="G9" s="1">
        <v>8022649.8963149</v>
      </c>
      <c r="H9" s="1">
        <v>4116405.0792538</v>
      </c>
      <c r="I9" s="1">
        <v>-0.00077155604193726</v>
      </c>
      <c r="J9" s="1">
        <v>-0.00073671849719116</v>
      </c>
      <c r="K9" s="1">
        <v>0.0024170915029187</v>
      </c>
      <c r="L9" s="1">
        <v>-0.018493571011165</v>
      </c>
      <c r="M9" s="1">
        <v>-0.019248052224198</v>
      </c>
      <c r="N9" s="1">
        <v>410.10720147815</v>
      </c>
      <c r="O9" s="1">
        <v>436.35112393263</v>
      </c>
    </row>
    <row r="10" spans="1:15">
      <c r="A10" s="1">
        <v>1.0066849390983</v>
      </c>
      <c r="B10" s="1">
        <v>0.0011412379826529</v>
      </c>
      <c r="C10" s="1">
        <v>92.700689770844</v>
      </c>
      <c r="D10" s="1">
        <v>0.0029291547170281</v>
      </c>
      <c r="E10" s="1">
        <v>-6.2519143495529</v>
      </c>
      <c r="F10" s="1">
        <v>-2.0696160313796</v>
      </c>
      <c r="G10" s="1">
        <v>8050509.3115311</v>
      </c>
      <c r="H10" s="1">
        <v>4259875.8923985</v>
      </c>
      <c r="I10" s="1">
        <v>-0.001062729781682</v>
      </c>
      <c r="J10" s="1">
        <v>-0.0010121709559098</v>
      </c>
      <c r="K10" s="1">
        <v>0.0030154407601098</v>
      </c>
      <c r="L10" s="1">
        <v>-0.024916553777731</v>
      </c>
      <c r="M10" s="1">
        <v>-0.025962174914402</v>
      </c>
      <c r="N10" s="1">
        <v>425.04779672375</v>
      </c>
      <c r="O10" s="1">
        <v>455.52162666616</v>
      </c>
    </row>
    <row r="11" spans="1:15">
      <c r="A11" s="1">
        <v>1.2066849390983</v>
      </c>
      <c r="B11" s="1">
        <v>0.0017758500405281</v>
      </c>
      <c r="C11" s="1">
        <v>92.701229679729</v>
      </c>
      <c r="D11" s="1">
        <v>0.0035628791758037</v>
      </c>
      <c r="E11" s="1">
        <v>-6.2839830764351</v>
      </c>
      <c r="F11" s="1">
        <v>-2.0618666336141</v>
      </c>
      <c r="G11" s="1">
        <v>8081007.7290494</v>
      </c>
      <c r="H11" s="1">
        <v>4417184.5555348</v>
      </c>
      <c r="I11" s="1">
        <v>-0.0013608756618833</v>
      </c>
      <c r="J11" s="1">
        <v>-0.0012949263438537</v>
      </c>
      <c r="K11" s="1">
        <v>0.0036134239632474</v>
      </c>
      <c r="L11" s="1">
        <v>-0.032082676566037</v>
      </c>
      <c r="M11" s="1">
        <v>-0.033364226754885</v>
      </c>
      <c r="N11" s="1">
        <v>433.18555308906</v>
      </c>
      <c r="O11" s="1">
        <v>467.18482752506</v>
      </c>
    </row>
    <row r="12" spans="1:15">
      <c r="A12" s="1">
        <v>1.4066849390983</v>
      </c>
      <c r="B12" s="1">
        <v>0.0024143863235548</v>
      </c>
      <c r="C12" s="1">
        <v>92.701421502079</v>
      </c>
      <c r="D12" s="1">
        <v>0.0041996394325067</v>
      </c>
      <c r="E12" s="1">
        <v>-6.3074483482234</v>
      </c>
      <c r="F12" s="1">
        <v>-2.0623650322765</v>
      </c>
      <c r="G12" s="1">
        <v>8112903.2834509</v>
      </c>
      <c r="H12" s="1">
        <v>4581917.8568565</v>
      </c>
      <c r="I12" s="1">
        <v>-0.0016612058408153</v>
      </c>
      <c r="J12" s="1">
        <v>-0.0015811975960595</v>
      </c>
      <c r="K12" s="1">
        <v>0.0042110420178832</v>
      </c>
      <c r="L12" s="1">
        <v>-0.040397549187899</v>
      </c>
      <c r="M12" s="1">
        <v>-0.041869205580153</v>
      </c>
      <c r="N12" s="1">
        <v>438.48724643792</v>
      </c>
      <c r="O12" s="1">
        <v>475.38917205979</v>
      </c>
    </row>
    <row r="13" spans="1:15">
      <c r="A13" s="1">
        <v>1.6066849390983</v>
      </c>
      <c r="B13" s="1">
        <v>0.0030525602307011</v>
      </c>
      <c r="C13" s="1">
        <v>92.701455889669</v>
      </c>
      <c r="D13" s="1">
        <v>0.0048377786907975</v>
      </c>
      <c r="E13" s="1">
        <v>-6.3239464093876</v>
      </c>
      <c r="F13" s="1">
        <v>-2.0586535691253</v>
      </c>
      <c r="G13" s="1">
        <v>8145687.1121941</v>
      </c>
      <c r="H13" s="1">
        <v>4751441.0142329</v>
      </c>
      <c r="I13" s="1">
        <v>-0.0019623356830923</v>
      </c>
      <c r="J13" s="1">
        <v>-0.0018694383135724</v>
      </c>
      <c r="K13" s="1">
        <v>0.0048082961324055</v>
      </c>
      <c r="L13" s="1">
        <v>-0.048858110795343</v>
      </c>
      <c r="M13" s="1">
        <v>-0.050464069110794</v>
      </c>
      <c r="N13" s="1">
        <v>442.31095479056</v>
      </c>
      <c r="O13" s="1">
        <v>481.57842693595</v>
      </c>
    </row>
    <row r="14" spans="1:15">
      <c r="A14" s="1">
        <v>1.8066849390983</v>
      </c>
      <c r="B14" s="1">
        <v>0.0036895139179455</v>
      </c>
      <c r="C14" s="1">
        <v>92.701426348984</v>
      </c>
      <c r="D14" s="1">
        <v>0.0054763931094319</v>
      </c>
      <c r="E14" s="1">
        <v>-6.3403795011187</v>
      </c>
      <c r="F14" s="1">
        <v>-2.0549005055141</v>
      </c>
      <c r="G14" s="1">
        <v>8179083.6437454</v>
      </c>
      <c r="H14" s="1">
        <v>4924327.5716792</v>
      </c>
      <c r="I14" s="1">
        <v>-0.0022637631894908</v>
      </c>
      <c r="J14" s="1">
        <v>-0.0021588128916632</v>
      </c>
      <c r="K14" s="1">
        <v>0.0054051873551726</v>
      </c>
      <c r="L14" s="1">
        <v>-0.057695153719103</v>
      </c>
      <c r="M14" s="1">
        <v>-0.059395651938845</v>
      </c>
      <c r="N14" s="1">
        <v>445.28082393352</v>
      </c>
      <c r="O14" s="1">
        <v>486.48019915629</v>
      </c>
    </row>
    <row r="15" spans="1:15">
      <c r="A15" s="1">
        <v>2.0066849390983</v>
      </c>
      <c r="B15" s="1">
        <v>0.0043253058615602</v>
      </c>
      <c r="C15" s="1">
        <v>92.701380659316</v>
      </c>
      <c r="D15" s="1">
        <v>0.0061150247187613</v>
      </c>
      <c r="E15" s="1">
        <v>-6.3374329672879</v>
      </c>
      <c r="F15" s="1">
        <v>-2.0594688984376</v>
      </c>
      <c r="G15" s="1">
        <v>8212923.0245932</v>
      </c>
      <c r="H15" s="1">
        <v>5099700.1297581</v>
      </c>
      <c r="I15" s="1">
        <v>-0.0025652947410891</v>
      </c>
      <c r="J15" s="1">
        <v>-0.0024488129191238</v>
      </c>
      <c r="K15" s="1">
        <v>0.0060017163836256</v>
      </c>
      <c r="L15" s="1">
        <v>-0.066181770173017</v>
      </c>
      <c r="M15" s="1">
        <v>-0.067981707215437</v>
      </c>
      <c r="N15" s="1">
        <v>447.72527641264</v>
      </c>
      <c r="O15" s="1">
        <v>490.5229738404</v>
      </c>
    </row>
    <row r="16" spans="1:15">
      <c r="A16" s="1">
        <v>2.2066849390983</v>
      </c>
      <c r="B16" s="1">
        <v>0.0049601304402179</v>
      </c>
      <c r="C16" s="1">
        <v>92.70131301054</v>
      </c>
      <c r="D16" s="1">
        <v>0.0067534527811488</v>
      </c>
      <c r="E16" s="1">
        <v>-6.3412567210834</v>
      </c>
      <c r="F16" s="1">
        <v>-2.0682124640888</v>
      </c>
      <c r="G16" s="1">
        <v>8247097.2704351</v>
      </c>
      <c r="H16" s="1">
        <v>5277001.7539385</v>
      </c>
      <c r="I16" s="1">
        <v>-0.0028668734944494</v>
      </c>
      <c r="J16" s="1">
        <v>-0.0027391130149539</v>
      </c>
      <c r="K16" s="1">
        <v>0.0065978837165144</v>
      </c>
      <c r="L16" s="1">
        <v>-0.074758446279141</v>
      </c>
      <c r="M16" s="1">
        <v>-0.076664729950036</v>
      </c>
      <c r="N16" s="1">
        <v>449.82646160596</v>
      </c>
      <c r="O16" s="1">
        <v>493.96722482345</v>
      </c>
    </row>
    <row r="17" spans="1:15">
      <c r="A17" s="1">
        <v>2.4066849390983</v>
      </c>
      <c r="B17" s="1">
        <v>0.0055941693676653</v>
      </c>
      <c r="C17" s="1">
        <v>92.701224034087</v>
      </c>
      <c r="D17" s="1">
        <v>0.0073915768540765</v>
      </c>
      <c r="E17" s="1">
        <v>-6.338204582956</v>
      </c>
      <c r="F17" s="1">
        <v>-2.0728331016634</v>
      </c>
      <c r="G17" s="1">
        <v>8281534.0474357</v>
      </c>
      <c r="H17" s="1">
        <v>5455860.0103535</v>
      </c>
      <c r="I17" s="1">
        <v>-0.0031684685637606</v>
      </c>
      <c r="J17" s="1">
        <v>-0.0030295199817044</v>
      </c>
      <c r="K17" s="1">
        <v>0.0071936898093614</v>
      </c>
      <c r="L17" s="1">
        <v>-0.083529990127618</v>
      </c>
      <c r="M17" s="1">
        <v>-0.085517241841878</v>
      </c>
      <c r="N17" s="1">
        <v>451.6918481817</v>
      </c>
      <c r="O17" s="1">
        <v>496.97855927575</v>
      </c>
    </row>
    <row r="18" spans="1:15">
      <c r="A18" s="1">
        <v>2.6066849390983</v>
      </c>
      <c r="B18" s="1">
        <v>0.0062275539626394</v>
      </c>
      <c r="C18" s="1">
        <v>92.701108202341</v>
      </c>
      <c r="D18" s="1">
        <v>0.0080293463803574</v>
      </c>
      <c r="E18" s="1">
        <v>-6.3393041807871</v>
      </c>
      <c r="F18" s="1">
        <v>-2.073287816323</v>
      </c>
      <c r="G18" s="1">
        <v>8316183.699247</v>
      </c>
      <c r="H18" s="1">
        <v>5636019.5127424</v>
      </c>
      <c r="I18" s="1">
        <v>-0.0034700561106089</v>
      </c>
      <c r="J18" s="1">
        <v>-0.0033199201801558</v>
      </c>
      <c r="K18" s="1">
        <v>0.0077891351468352</v>
      </c>
      <c r="L18" s="1">
        <v>-0.0923316024999</v>
      </c>
      <c r="M18" s="1">
        <v>-0.094383249218878</v>
      </c>
      <c r="N18" s="1">
        <v>453.3874860627</v>
      </c>
      <c r="O18" s="1">
        <v>499.66488306346</v>
      </c>
    </row>
    <row r="19" spans="1:15">
      <c r="A19" s="1">
        <v>2.8066849390983</v>
      </c>
      <c r="B19" s="1">
        <v>0.006860368556997</v>
      </c>
      <c r="C19" s="1">
        <v>92.700977003592</v>
      </c>
      <c r="D19" s="1">
        <v>0.008666737629791</v>
      </c>
      <c r="E19" s="1">
        <v>-6.33619289679</v>
      </c>
      <c r="F19" s="1">
        <v>-2.0779174702513</v>
      </c>
      <c r="G19" s="1">
        <v>8351010.5893786</v>
      </c>
      <c r="H19" s="1">
        <v>5817297.1141966</v>
      </c>
      <c r="I19" s="1">
        <v>-0.0037716124997163</v>
      </c>
      <c r="J19" s="1">
        <v>-0.0036102510368004</v>
      </c>
      <c r="K19" s="1">
        <v>0.0083842202546052</v>
      </c>
      <c r="L19" s="1">
        <v>-0.10132607045711</v>
      </c>
      <c r="M19" s="1">
        <v>-0.10342858435984</v>
      </c>
      <c r="N19" s="1">
        <v>454.95582327386</v>
      </c>
      <c r="O19" s="1">
        <v>502.09945548548</v>
      </c>
    </row>
    <row r="20" spans="1:15">
      <c r="A20" s="1">
        <v>3.0066849390983</v>
      </c>
      <c r="B20" s="1">
        <v>0.0074926733126382</v>
      </c>
      <c r="C20" s="1">
        <v>92.700829948968</v>
      </c>
      <c r="D20" s="1">
        <v>0.0093037412460066</v>
      </c>
      <c r="E20" s="1">
        <v>-6.3330710703155</v>
      </c>
      <c r="F20" s="1">
        <v>-2.0825462621778</v>
      </c>
      <c r="G20" s="1">
        <v>8385987.6935054</v>
      </c>
      <c r="H20" s="1">
        <v>5999554.1023017</v>
      </c>
      <c r="I20" s="1">
        <v>-0.0040731126913969</v>
      </c>
      <c r="J20" s="1">
        <v>-0.0039004777860382</v>
      </c>
      <c r="K20" s="1">
        <v>0.0089789456581563</v>
      </c>
      <c r="L20" s="1">
        <v>-0.1103621194054</v>
      </c>
      <c r="M20" s="1">
        <v>-0.1125011057281</v>
      </c>
      <c r="N20" s="1">
        <v>456.42603594173</v>
      </c>
      <c r="O20" s="1">
        <v>504.33479250199</v>
      </c>
    </row>
    <row r="21" spans="1:15">
      <c r="A21" s="1">
        <v>3.2066849390983</v>
      </c>
      <c r="B21" s="1">
        <v>0.0081245159275691</v>
      </c>
      <c r="C21" s="1">
        <v>92.700682548419</v>
      </c>
      <c r="D21" s="1">
        <v>0.0099403592152447</v>
      </c>
      <c r="E21" s="1">
        <v>-6.3586572624449</v>
      </c>
      <c r="F21" s="1">
        <v>-2.0914193995322</v>
      </c>
      <c r="G21" s="1">
        <v>8421093.8460059</v>
      </c>
      <c r="H21" s="1">
        <v>6182681.9619809</v>
      </c>
      <c r="I21" s="1">
        <v>-0.0043745379272211</v>
      </c>
      <c r="J21" s="1">
        <v>-0.0041905791109568</v>
      </c>
      <c r="K21" s="1">
        <v>0.0095733118600187</v>
      </c>
      <c r="L21" s="1">
        <v>-0.1195868839494</v>
      </c>
      <c r="M21" s="1">
        <v>-0.12178116879762</v>
      </c>
      <c r="N21" s="1">
        <v>457.81854257656</v>
      </c>
      <c r="O21" s="1">
        <v>506.41015744859</v>
      </c>
    </row>
    <row r="22" spans="1:15">
      <c r="A22" s="1">
        <v>3.4066849390983</v>
      </c>
      <c r="B22" s="1">
        <v>0.0087559347574303</v>
      </c>
      <c r="C22" s="1">
        <v>92.700523770174</v>
      </c>
      <c r="D22" s="1">
        <v>0.01057659827012</v>
      </c>
      <c r="E22" s="1">
        <v>-6.3664243820961</v>
      </c>
      <c r="F22" s="1">
        <v>-2.0961225995871</v>
      </c>
      <c r="G22" s="1">
        <v>8456312.2652069</v>
      </c>
      <c r="H22" s="1">
        <v>6366594.6785159</v>
      </c>
      <c r="I22" s="1">
        <v>-0.0046758769883552</v>
      </c>
      <c r="J22" s="1">
        <v>-0.0044805359633924</v>
      </c>
      <c r="K22" s="1">
        <v>0.010167319332507</v>
      </c>
      <c r="L22" s="1">
        <v>-0.12881444371594</v>
      </c>
      <c r="M22" s="1">
        <v>-0.13104464749985</v>
      </c>
      <c r="N22" s="1">
        <v>459.14814742151</v>
      </c>
      <c r="O22" s="1">
        <v>508.35494163758</v>
      </c>
    </row>
    <row r="23" spans="1:15">
      <c r="A23" s="1">
        <v>3.6066849390983</v>
      </c>
      <c r="B23" s="1">
        <v>0.0093869573211326</v>
      </c>
      <c r="C23" s="1">
        <v>92.700347746077</v>
      </c>
      <c r="D23" s="1">
        <v>0.011212466366264</v>
      </c>
      <c r="E23" s="1">
        <v>-6.3674120690578</v>
      </c>
      <c r="F23" s="1">
        <v>-2.0966232131272</v>
      </c>
      <c r="G23" s="1">
        <v>8491629.7133105</v>
      </c>
      <c r="H23" s="1">
        <v>6551224.3248374</v>
      </c>
      <c r="I23" s="1">
        <v>-0.0049771263867167</v>
      </c>
      <c r="J23" s="1">
        <v>-0.0047703315459686</v>
      </c>
      <c r="K23" s="1">
        <v>0.010760968549916</v>
      </c>
      <c r="L23" s="1">
        <v>-0.13813300281052</v>
      </c>
      <c r="M23" s="1">
        <v>-0.1403904387157</v>
      </c>
      <c r="N23" s="1">
        <v>460.42544243039</v>
      </c>
      <c r="O23" s="1">
        <v>510.1912078296</v>
      </c>
    </row>
    <row r="24" spans="1:15">
      <c r="A24" s="1">
        <v>3.8066849390983</v>
      </c>
      <c r="B24" s="1">
        <v>0.010017602894923</v>
      </c>
      <c r="C24" s="1">
        <v>92.700161013906</v>
      </c>
      <c r="D24" s="1">
        <v>0.011847973038222</v>
      </c>
      <c r="E24" s="1">
        <v>-6.3683846510137</v>
      </c>
      <c r="F24" s="1">
        <v>-2.0971273818483</v>
      </c>
      <c r="G24" s="1">
        <v>8527035.4189406</v>
      </c>
      <c r="H24" s="1">
        <v>6736515.5151014</v>
      </c>
      <c r="I24" s="1">
        <v>-0.0052782856185176</v>
      </c>
      <c r="J24" s="1">
        <v>-0.0050599510167667</v>
      </c>
      <c r="K24" s="1">
        <v>0.011354259978087</v>
      </c>
      <c r="L24" s="1">
        <v>-0.1475346115977</v>
      </c>
      <c r="M24" s="1">
        <v>-0.14980946141321</v>
      </c>
      <c r="N24" s="1">
        <v>461.65833966773</v>
      </c>
      <c r="O24" s="1">
        <v>511.9357002921</v>
      </c>
    </row>
    <row r="25" spans="1:15">
      <c r="A25" s="1">
        <v>4.0066849390983</v>
      </c>
      <c r="B25" s="1">
        <v>0.010647888693982</v>
      </c>
      <c r="C25" s="1">
        <v>92.699979862751</v>
      </c>
      <c r="D25" s="1">
        <v>0.012483129452689</v>
      </c>
      <c r="E25" s="1">
        <v>-6.3651370638441</v>
      </c>
      <c r="F25" s="1">
        <v>-2.0908477414204</v>
      </c>
      <c r="G25" s="1">
        <v>8562520.275163</v>
      </c>
      <c r="H25" s="1">
        <v>6922421.3336633</v>
      </c>
      <c r="I25" s="1">
        <v>-0.0055793524469859</v>
      </c>
      <c r="J25" s="1">
        <v>-0.0053493841215613</v>
      </c>
      <c r="K25" s="1">
        <v>0.011947194065236</v>
      </c>
      <c r="L25" s="1">
        <v>-0.15690916666758</v>
      </c>
      <c r="M25" s="1">
        <v>-0.15919026982192</v>
      </c>
      <c r="N25" s="1">
        <v>462.85308825021</v>
      </c>
      <c r="O25" s="1">
        <v>513.60172250131</v>
      </c>
    </row>
    <row r="26" spans="1:15">
      <c r="A26" s="1">
        <v>4.2066849390983</v>
      </c>
      <c r="B26" s="1">
        <v>0.011277830777508</v>
      </c>
      <c r="C26" s="1">
        <v>92.699793094788</v>
      </c>
      <c r="D26" s="1">
        <v>0.013117948409916</v>
      </c>
      <c r="E26" s="1">
        <v>-6.3550933222974</v>
      </c>
      <c r="F26" s="1">
        <v>-2.0803726171643</v>
      </c>
      <c r="G26" s="1">
        <v>8598076.4177409</v>
      </c>
      <c r="H26" s="1">
        <v>7108901.1725718</v>
      </c>
      <c r="I26" s="1">
        <v>-0.0058803225627476</v>
      </c>
      <c r="J26" s="1">
        <v>-0.0056386263786573</v>
      </c>
      <c r="K26" s="1">
        <v>0.012539771284557</v>
      </c>
      <c r="L26" s="1">
        <v>-0.16639913445929</v>
      </c>
      <c r="M26" s="1">
        <v>-0.16869740006326</v>
      </c>
      <c r="N26" s="1">
        <v>464.01471432064</v>
      </c>
      <c r="O26" s="1">
        <v>515.20044331577</v>
      </c>
    </row>
    <row r="27" spans="1:15">
      <c r="A27" s="1">
        <v>4.4066849390983</v>
      </c>
      <c r="B27" s="1">
        <v>0.011907444081713</v>
      </c>
      <c r="C27" s="1">
        <v>92.699629308177</v>
      </c>
      <c r="D27" s="1">
        <v>0.013752442564023</v>
      </c>
      <c r="E27" s="1">
        <v>-6.3433992344064</v>
      </c>
      <c r="F27" s="1">
        <v>-2.0825022204662</v>
      </c>
      <c r="G27" s="1">
        <v>8633697.0365966</v>
      </c>
      <c r="H27" s="1">
        <v>7295919.7586034</v>
      </c>
      <c r="I27" s="1">
        <v>-0.0061811900358612</v>
      </c>
      <c r="J27" s="1">
        <v>-0.0059276765654275</v>
      </c>
      <c r="K27" s="1">
        <v>0.013131992090734</v>
      </c>
      <c r="L27" s="1">
        <v>-0.17609379613948</v>
      </c>
      <c r="M27" s="1">
        <v>-0.17840634161017</v>
      </c>
      <c r="N27" s="1">
        <v>465.14723111747</v>
      </c>
      <c r="O27" s="1">
        <v>516.74086621238</v>
      </c>
    </row>
    <row r="28" spans="1:15">
      <c r="A28" s="1">
        <v>4.6066849390983</v>
      </c>
      <c r="B28" s="1">
        <v>0.012536744254123</v>
      </c>
      <c r="C28" s="1">
        <v>92.699445317846</v>
      </c>
      <c r="D28" s="1">
        <v>0.014386623711349</v>
      </c>
      <c r="E28" s="1">
        <v>-6.3443114747541</v>
      </c>
      <c r="F28" s="1">
        <v>-2.0830227941903</v>
      </c>
      <c r="G28" s="1">
        <v>8669376.3805717</v>
      </c>
      <c r="H28" s="1">
        <v>7483447.171825</v>
      </c>
      <c r="I28" s="1">
        <v>-0.0064819495742849</v>
      </c>
      <c r="J28" s="1">
        <v>-0.0062165339960652</v>
      </c>
      <c r="K28" s="1">
        <v>0.013723856950291</v>
      </c>
      <c r="L28" s="1">
        <v>-0.18587659819888</v>
      </c>
      <c r="M28" s="1">
        <v>-0.18816822197508</v>
      </c>
      <c r="N28" s="1">
        <v>466.25358693721</v>
      </c>
      <c r="O28" s="1">
        <v>518.22981159764</v>
      </c>
    </row>
    <row r="29" spans="1:15">
      <c r="A29" s="1">
        <v>4.8066849390983</v>
      </c>
      <c r="B29" s="1">
        <v>0.013165742943418</v>
      </c>
      <c r="C29" s="1">
        <v>92.69925211009</v>
      </c>
      <c r="D29" s="1">
        <v>0.015020503508542</v>
      </c>
      <c r="E29" s="1">
        <v>-6.345213613473</v>
      </c>
      <c r="F29" s="1">
        <v>-2.0835440604065</v>
      </c>
      <c r="G29" s="1">
        <v>8705109.2418553</v>
      </c>
      <c r="H29" s="1">
        <v>7671456.1889931</v>
      </c>
      <c r="I29" s="1">
        <v>-0.006782595796867</v>
      </c>
      <c r="J29" s="1">
        <v>-0.006505198175692</v>
      </c>
      <c r="K29" s="1">
        <v>0.014315366338666</v>
      </c>
      <c r="L29" s="1">
        <v>-0.19546597834024</v>
      </c>
      <c r="M29" s="1">
        <v>-0.19778764231051</v>
      </c>
      <c r="N29" s="1">
        <v>467.33642271477</v>
      </c>
      <c r="O29" s="1">
        <v>519.67304245861</v>
      </c>
    </row>
    <row r="30" spans="1:15">
      <c r="A30" s="1">
        <v>5.0066849390983</v>
      </c>
      <c r="B30" s="1">
        <v>0.013794452081712</v>
      </c>
      <c r="C30" s="1">
        <v>92.69908817681</v>
      </c>
      <c r="D30" s="1">
        <v>0.015654093274394</v>
      </c>
      <c r="E30" s="1">
        <v>-6.3224300024299</v>
      </c>
      <c r="F30" s="1">
        <v>-2.0967340127126</v>
      </c>
      <c r="G30" s="1">
        <v>8740890.9238081</v>
      </c>
      <c r="H30" s="1">
        <v>7859922.1316183</v>
      </c>
      <c r="I30" s="1">
        <v>-0.0070831259777673</v>
      </c>
      <c r="J30" s="1">
        <v>-0.0067936700832538</v>
      </c>
      <c r="K30" s="1">
        <v>0.014906520722933</v>
      </c>
      <c r="L30" s="1">
        <v>-0.20545767120929</v>
      </c>
      <c r="M30" s="1">
        <v>-0.20777538740606</v>
      </c>
      <c r="N30" s="1">
        <v>468.39806970828</v>
      </c>
      <c r="O30" s="1">
        <v>521.07624914173</v>
      </c>
    </row>
    <row r="31" spans="1:15">
      <c r="A31" s="1">
        <v>5.2066849390983</v>
      </c>
      <c r="B31" s="1">
        <v>0.014422884230066</v>
      </c>
      <c r="C31" s="1">
        <v>92.698911190926</v>
      </c>
      <c r="D31" s="1">
        <v>0.016287404197049</v>
      </c>
      <c r="E31" s="1">
        <v>-6.3123182219667</v>
      </c>
      <c r="F31" s="1">
        <v>-2.0972661807135</v>
      </c>
      <c r="G31" s="1">
        <v>8776717.1229392</v>
      </c>
      <c r="H31" s="1">
        <v>8048822.2889553</v>
      </c>
      <c r="I31" s="1">
        <v>-0.0073835353153537</v>
      </c>
      <c r="J31" s="1">
        <v>-0.0070819480970714</v>
      </c>
      <c r="K31" s="1">
        <v>0.015497320561377</v>
      </c>
      <c r="L31" s="1">
        <v>-0.2152084640608</v>
      </c>
      <c r="M31" s="1">
        <v>-0.21751133771901</v>
      </c>
      <c r="N31" s="1">
        <v>469.44051696263</v>
      </c>
      <c r="O31" s="1">
        <v>522.44328055169</v>
      </c>
    </row>
    <row r="32" spans="1:15">
      <c r="A32" s="1">
        <v>5.4066849390983</v>
      </c>
      <c r="B32" s="1">
        <v>0.015051052330544</v>
      </c>
      <c r="C32" s="1">
        <v>92.698742928387</v>
      </c>
      <c r="D32" s="1">
        <v>0.016920449055696</v>
      </c>
      <c r="E32" s="1">
        <v>-6.2896124688234</v>
      </c>
      <c r="F32" s="1">
        <v>-2.077409546015</v>
      </c>
      <c r="G32" s="1">
        <v>8812583.8941698</v>
      </c>
      <c r="H32" s="1">
        <v>8238135.7562143</v>
      </c>
      <c r="I32" s="1">
        <v>-0.0076838221756521</v>
      </c>
      <c r="J32" s="1">
        <v>-0.0073700332131782</v>
      </c>
      <c r="K32" s="1">
        <v>0.016087766329287</v>
      </c>
      <c r="L32" s="1">
        <v>-0.22507608415963</v>
      </c>
      <c r="M32" s="1">
        <v>-0.22738724350649</v>
      </c>
      <c r="N32" s="1">
        <v>470.46520350275</v>
      </c>
      <c r="O32" s="1">
        <v>523.7781049583</v>
      </c>
    </row>
    <row r="33" spans="1:15">
      <c r="A33" s="1">
        <v>5.6066849390983</v>
      </c>
      <c r="B33" s="1">
        <v>0.015678968627496</v>
      </c>
      <c r="C33" s="1">
        <v>92.698561925623</v>
      </c>
      <c r="D33" s="1">
        <v>0.017553239223288</v>
      </c>
      <c r="E33" s="1">
        <v>-6.2794803342435</v>
      </c>
      <c r="F33" s="1">
        <v>-2.077948064023</v>
      </c>
      <c r="G33" s="1">
        <v>8848487.6417866</v>
      </c>
      <c r="H33" s="1">
        <v>8427843.352138</v>
      </c>
      <c r="I33" s="1">
        <v>-0.007983984685983</v>
      </c>
      <c r="J33" s="1">
        <v>-0.0076579255477785</v>
      </c>
      <c r="K33" s="1">
        <v>0.016677858470491</v>
      </c>
      <c r="L33" s="1">
        <v>-0.23511893928767</v>
      </c>
      <c r="M33" s="1">
        <v>-0.23743497515717</v>
      </c>
      <c r="N33" s="1">
        <v>471.47334204691</v>
      </c>
      <c r="O33" s="1">
        <v>525.08374530132</v>
      </c>
    </row>
    <row r="34" spans="1:15">
      <c r="A34" s="1">
        <v>5.8066849390983</v>
      </c>
      <c r="B34" s="1">
        <v>0.016306640894579</v>
      </c>
      <c r="C34" s="1">
        <v>92.698369425447</v>
      </c>
      <c r="D34" s="1">
        <v>0.018185783875476</v>
      </c>
      <c r="E34" s="1">
        <v>-6.2761765544886</v>
      </c>
      <c r="F34" s="1">
        <v>-2.0826347516316</v>
      </c>
      <c r="G34" s="1">
        <v>8884425.0440943</v>
      </c>
      <c r="H34" s="1">
        <v>8617927.2045955</v>
      </c>
      <c r="I34" s="1">
        <v>-0.0082840202888477</v>
      </c>
      <c r="J34" s="1">
        <v>-0.0079456248509514</v>
      </c>
      <c r="K34" s="1">
        <v>0.017267597432834</v>
      </c>
      <c r="L34" s="1">
        <v>-0.24527919846636</v>
      </c>
      <c r="M34" s="1">
        <v>-0.24757645081451</v>
      </c>
      <c r="N34" s="1">
        <v>472.46638429081</v>
      </c>
      <c r="O34" s="1">
        <v>526.36302224129</v>
      </c>
    </row>
    <row r="35" spans="1:15">
      <c r="A35" s="1">
        <v>6.0066849390983</v>
      </c>
      <c r="B35" s="1">
        <v>0.016934078126843</v>
      </c>
      <c r="C35" s="1">
        <v>92.698179681305</v>
      </c>
      <c r="D35" s="1">
        <v>0.018818091957242</v>
      </c>
      <c r="E35" s="1">
        <v>-6.2770169111674</v>
      </c>
      <c r="F35" s="1">
        <v>-2.0721886598159</v>
      </c>
      <c r="G35" s="1">
        <v>8920393.2277524</v>
      </c>
      <c r="H35" s="1">
        <v>8808371.6589884</v>
      </c>
      <c r="I35" s="1">
        <v>-0.0085839259143636</v>
      </c>
      <c r="J35" s="1">
        <v>-0.0082331317489071</v>
      </c>
      <c r="K35" s="1">
        <v>0.017856983657133</v>
      </c>
      <c r="L35" s="1">
        <v>-0.25527535287478</v>
      </c>
      <c r="M35" s="1">
        <v>-0.25755840357214</v>
      </c>
      <c r="N35" s="1">
        <v>473.44515199023</v>
      </c>
      <c r="O35" s="1">
        <v>527.61767785543</v>
      </c>
    </row>
    <row r="36" spans="1:15">
      <c r="A36" s="1">
        <v>6.2066849390983</v>
      </c>
      <c r="B36" s="1">
        <v>0.017561286967374</v>
      </c>
      <c r="C36" s="1">
        <v>92.697989717777</v>
      </c>
      <c r="D36" s="1">
        <v>0.019450171573747</v>
      </c>
      <c r="E36" s="1">
        <v>-6.2692455900252</v>
      </c>
      <c r="F36" s="1">
        <v>-2.0703324464067</v>
      </c>
      <c r="G36" s="1">
        <v>8956389.493932</v>
      </c>
      <c r="H36" s="1">
        <v>8999161.8820154</v>
      </c>
      <c r="I36" s="1">
        <v>-0.0088836992923936</v>
      </c>
      <c r="J36" s="1">
        <v>-0.0085204482774666</v>
      </c>
      <c r="K36" s="1">
        <v>0.018446017591664</v>
      </c>
      <c r="L36" s="1">
        <v>-0.26534417690847</v>
      </c>
      <c r="M36" s="1">
        <v>-0.26763858675381</v>
      </c>
      <c r="N36" s="1">
        <v>474.41052447305</v>
      </c>
      <c r="O36" s="1">
        <v>528.84987206993</v>
      </c>
    </row>
    <row r="37" spans="1:15">
      <c r="A37" s="1">
        <v>6.4066849390983</v>
      </c>
      <c r="B37" s="1">
        <v>0.018188272866646</v>
      </c>
      <c r="C37" s="1">
        <v>92.697807263849</v>
      </c>
      <c r="D37" s="1">
        <v>0.020082029626156</v>
      </c>
      <c r="E37" s="1">
        <v>-6.2657677477901</v>
      </c>
      <c r="F37" s="1">
        <v>-2.0641852896922</v>
      </c>
      <c r="G37" s="1">
        <v>8992411.2406852</v>
      </c>
      <c r="H37" s="1">
        <v>9190283.4866888</v>
      </c>
      <c r="I37" s="1">
        <v>-0.009183337346349</v>
      </c>
      <c r="J37" s="1">
        <v>-0.0088075759599699</v>
      </c>
      <c r="K37" s="1">
        <v>0.019034699654043</v>
      </c>
      <c r="L37" s="1">
        <v>-0.27551170379481</v>
      </c>
      <c r="M37" s="1">
        <v>-0.27779008407855</v>
      </c>
      <c r="N37" s="1">
        <v>475.3634530938</v>
      </c>
      <c r="O37" s="1">
        <v>530.06145558914</v>
      </c>
    </row>
    <row r="38" spans="1:15">
      <c r="A38" s="1">
        <v>6.6066849390983</v>
      </c>
      <c r="B38" s="1">
        <v>0.018815043774287</v>
      </c>
      <c r="C38" s="1">
        <v>92.697648304288</v>
      </c>
      <c r="D38" s="1">
        <v>0.020713673781976</v>
      </c>
      <c r="E38" s="1">
        <v>-6.2496977699423</v>
      </c>
      <c r="F38" s="1">
        <v>-2.0815901386991</v>
      </c>
      <c r="G38" s="1">
        <v>9028456.0900463</v>
      </c>
      <c r="H38" s="1">
        <v>9381723.1983268</v>
      </c>
      <c r="I38" s="1">
        <v>-0.0094828377895613</v>
      </c>
      <c r="J38" s="1">
        <v>-0.0090945165425083</v>
      </c>
      <c r="K38" s="1">
        <v>0.01962303028139</v>
      </c>
      <c r="L38" s="1">
        <v>-0.28581750346891</v>
      </c>
      <c r="M38" s="1">
        <v>-0.2880689128376</v>
      </c>
      <c r="N38" s="1">
        <v>476.30450605382</v>
      </c>
      <c r="O38" s="1">
        <v>531.25390439499</v>
      </c>
    </row>
    <row r="39" spans="1:15">
      <c r="A39" s="1">
        <v>6.8066849390983</v>
      </c>
      <c r="B39" s="1">
        <v>0.019441607093487</v>
      </c>
      <c r="C39" s="1">
        <v>92.697470235367</v>
      </c>
      <c r="D39" s="1">
        <v>0.02134511027328</v>
      </c>
      <c r="E39" s="1">
        <v>-6.2342890440286</v>
      </c>
      <c r="F39" s="1">
        <v>-2.085533269308</v>
      </c>
      <c r="G39" s="1">
        <v>9064521.7739635</v>
      </c>
      <c r="H39" s="1">
        <v>9573468.2672094</v>
      </c>
      <c r="I39" s="1">
        <v>-0.0097821975174956</v>
      </c>
      <c r="J39" s="1">
        <v>-0.0093812708855755</v>
      </c>
      <c r="K39" s="1">
        <v>0.020211009902253</v>
      </c>
      <c r="L39" s="1">
        <v>-0.29601351303768</v>
      </c>
      <c r="M39" s="1">
        <v>-0.298265368832</v>
      </c>
      <c r="N39" s="1">
        <v>477.23445186058</v>
      </c>
      <c r="O39" s="1">
        <v>532.42857194637</v>
      </c>
    </row>
    <row r="40" spans="1:15">
      <c r="A40" s="1">
        <v>7.0066849390983</v>
      </c>
      <c r="B40" s="1">
        <v>0.0200679693991</v>
      </c>
      <c r="C40" s="1">
        <v>92.697290522177</v>
      </c>
      <c r="D40" s="1">
        <v>0.021976346272418</v>
      </c>
      <c r="E40" s="1">
        <v>-6.2266326005476</v>
      </c>
      <c r="F40" s="1">
        <v>-2.0835373145353</v>
      </c>
      <c r="G40" s="1">
        <v>9100606.1332969</v>
      </c>
      <c r="H40" s="1">
        <v>9765506.4536927</v>
      </c>
      <c r="I40" s="1">
        <v>-0.010081415304795</v>
      </c>
      <c r="J40" s="1">
        <v>-0.0096678411308104</v>
      </c>
      <c r="K40" s="1">
        <v>0.02079863894031</v>
      </c>
      <c r="L40" s="1">
        <v>-0.30638148283045</v>
      </c>
      <c r="M40" s="1">
        <v>-0.30863440805789</v>
      </c>
      <c r="N40" s="1">
        <v>478.15366060966</v>
      </c>
      <c r="O40" s="1">
        <v>533.5867419642</v>
      </c>
    </row>
    <row r="41" spans="1:15">
      <c r="A41" s="1">
        <v>7.2066849390983</v>
      </c>
      <c r="B41" s="1">
        <v>0.020694136942868</v>
      </c>
      <c r="C41" s="1">
        <v>92.697096290735</v>
      </c>
      <c r="D41" s="1">
        <v>0.022607387696243</v>
      </c>
      <c r="E41" s="1">
        <v>-6.2274005669243</v>
      </c>
      <c r="F41" s="1">
        <v>-2.0950994476674</v>
      </c>
      <c r="G41" s="1">
        <v>9136707.0956814</v>
      </c>
      <c r="H41" s="1">
        <v>9957825.935297</v>
      </c>
      <c r="I41" s="1">
        <v>-0.010380487897693</v>
      </c>
      <c r="J41" s="1">
        <v>-0.0099542281696946</v>
      </c>
      <c r="K41" s="1">
        <v>0.021385917820351</v>
      </c>
      <c r="L41" s="1">
        <v>-0.31667220071435</v>
      </c>
      <c r="M41" s="1">
        <v>-0.31891516150559</v>
      </c>
      <c r="N41" s="1">
        <v>479.0629006624</v>
      </c>
      <c r="O41" s="1">
        <v>534.72953595058</v>
      </c>
    </row>
    <row r="42" spans="1:15">
      <c r="A42" s="1">
        <v>7.4066849390983</v>
      </c>
      <c r="B42" s="1">
        <v>0.021320116620079</v>
      </c>
      <c r="C42" s="1">
        <v>92.6968951146</v>
      </c>
      <c r="D42" s="1">
        <v>0.023238241347763</v>
      </c>
      <c r="E42" s="1">
        <v>-6.239149847639</v>
      </c>
      <c r="F42" s="1">
        <v>-2.0956769619429</v>
      </c>
      <c r="G42" s="1">
        <v>9172822.7774907</v>
      </c>
      <c r="H42" s="1">
        <v>10150415.815321</v>
      </c>
      <c r="I42" s="1">
        <v>-0.010679414280959</v>
      </c>
      <c r="J42" s="1">
        <v>-0.010240434099341</v>
      </c>
      <c r="K42" s="1">
        <v>0.021972846972367</v>
      </c>
      <c r="L42" s="1">
        <v>-0.32712392523498</v>
      </c>
      <c r="M42" s="1">
        <v>-0.32934529750965</v>
      </c>
      <c r="N42" s="1">
        <v>479.96238556617</v>
      </c>
      <c r="O42" s="1">
        <v>535.85792090446</v>
      </c>
    </row>
    <row r="43" spans="1:15">
      <c r="A43" s="1">
        <v>7.6066849390983</v>
      </c>
      <c r="B43" s="1">
        <v>0.021945912887608</v>
      </c>
      <c r="C43" s="1">
        <v>92.696688491608</v>
      </c>
      <c r="D43" s="1">
        <v>0.023868912379918</v>
      </c>
      <c r="E43" s="1">
        <v>-6.2508942561964</v>
      </c>
      <c r="F43" s="1">
        <v>-2.0962563722337</v>
      </c>
      <c r="G43" s="1">
        <v>9208951.3452414</v>
      </c>
      <c r="H43" s="1">
        <v>10343265.39734</v>
      </c>
      <c r="I43" s="1">
        <v>-0.010978191993997</v>
      </c>
      <c r="J43" s="1">
        <v>-0.010526460265972</v>
      </c>
      <c r="K43" s="1">
        <v>0.022559426828317</v>
      </c>
      <c r="L43" s="1">
        <v>-0.33767915057551</v>
      </c>
      <c r="M43" s="1">
        <v>-0.33988481056858</v>
      </c>
      <c r="N43" s="1">
        <v>480.8527361975</v>
      </c>
      <c r="O43" s="1">
        <v>536.97288727996</v>
      </c>
    </row>
    <row r="44" spans="1:15">
      <c r="A44" s="1">
        <v>7.8066849390983</v>
      </c>
      <c r="B44" s="1">
        <v>0.022571531126605</v>
      </c>
      <c r="C44" s="1">
        <v>92.696489487926</v>
      </c>
      <c r="D44" s="1">
        <v>0.024499406168265</v>
      </c>
      <c r="E44" s="1">
        <v>-6.2693426395139</v>
      </c>
      <c r="F44" s="1">
        <v>-2.1120943625787</v>
      </c>
      <c r="G44" s="1">
        <v>9245091.0776816</v>
      </c>
      <c r="H44" s="1">
        <v>10536364.540585</v>
      </c>
      <c r="I44" s="1">
        <v>-0.011276818393725</v>
      </c>
      <c r="J44" s="1">
        <v>-0.010812307082203</v>
      </c>
      <c r="K44" s="1">
        <v>0.023145657813168</v>
      </c>
      <c r="L44" s="1">
        <v>-0.34797503410067</v>
      </c>
      <c r="M44" s="1">
        <v>-0.35018637032567</v>
      </c>
      <c r="N44" s="1">
        <v>481.73443076568</v>
      </c>
      <c r="O44" s="1">
        <v>538.07492360793</v>
      </c>
    </row>
    <row r="45" spans="1:15">
      <c r="A45" s="1">
        <v>8.0066849390983</v>
      </c>
      <c r="B45" s="1">
        <v>0.023196976878767</v>
      </c>
      <c r="C45" s="1">
        <v>92.696287635539</v>
      </c>
      <c r="D45" s="1">
        <v>0.025129728275017</v>
      </c>
      <c r="E45" s="1">
        <v>-6.3030467180731</v>
      </c>
      <c r="F45" s="1">
        <v>-2.1236679570247</v>
      </c>
      <c r="G45" s="1">
        <v>9281240.3669581</v>
      </c>
      <c r="H45" s="1">
        <v>10729703.656278</v>
      </c>
      <c r="I45" s="1">
        <v>-0.011575293765827</v>
      </c>
      <c r="J45" s="1">
        <v>-0.01109797654481</v>
      </c>
      <c r="K45" s="1">
        <v>0.023731540359679</v>
      </c>
      <c r="L45" s="1">
        <v>-0.35852298537581</v>
      </c>
      <c r="M45" s="1">
        <v>-0.36071132957879</v>
      </c>
      <c r="N45" s="1">
        <v>482.60764205502</v>
      </c>
      <c r="O45" s="1">
        <v>539.1650282322</v>
      </c>
    </row>
    <row r="46" spans="1:15">
      <c r="A46" s="1">
        <v>8.2066849390983</v>
      </c>
      <c r="B46" s="1">
        <v>0.023822255230585</v>
      </c>
      <c r="C46" s="1">
        <v>92.69608003973</v>
      </c>
      <c r="D46" s="1">
        <v>0.025759883787393</v>
      </c>
      <c r="E46" s="1">
        <v>-6.2775301474639</v>
      </c>
      <c r="F46" s="1">
        <v>-2.1505055898894</v>
      </c>
      <c r="G46" s="1">
        <v>9317397.6205231</v>
      </c>
      <c r="H46" s="1">
        <v>10923273.210297</v>
      </c>
      <c r="I46" s="1">
        <v>-0.011873616729898</v>
      </c>
      <c r="J46" s="1">
        <v>-0.011383468053734</v>
      </c>
      <c r="K46" s="1">
        <v>0.024317074899674</v>
      </c>
      <c r="L46" s="1">
        <v>-0.36899323567838</v>
      </c>
      <c r="M46" s="1">
        <v>-0.3711819146047</v>
      </c>
      <c r="N46" s="1">
        <v>483.47284830504</v>
      </c>
      <c r="O46" s="1">
        <v>540.24368148338</v>
      </c>
    </row>
    <row r="47" spans="1:15">
      <c r="A47" s="1">
        <v>8.4066849390983</v>
      </c>
      <c r="B47" s="1">
        <v>0.024447372720869</v>
      </c>
      <c r="C47" s="1">
        <v>92.695864522428</v>
      </c>
      <c r="D47" s="1">
        <v>0.026389878407751</v>
      </c>
      <c r="E47" s="1">
        <v>-6.3001417943201</v>
      </c>
      <c r="F47" s="1">
        <v>-2.1704896676981</v>
      </c>
      <c r="G47" s="1">
        <v>9353561.3833367</v>
      </c>
      <c r="H47" s="1">
        <v>11117064.368646</v>
      </c>
      <c r="I47" s="1">
        <v>-0.012171787444094</v>
      </c>
      <c r="J47" s="1">
        <v>-0.011668782725844</v>
      </c>
      <c r="K47" s="1">
        <v>0.024902261857906</v>
      </c>
      <c r="L47" s="1">
        <v>-0.37961187839262</v>
      </c>
      <c r="M47" s="1">
        <v>-0.381797920232</v>
      </c>
      <c r="N47" s="1">
        <v>484.33009907172</v>
      </c>
      <c r="O47" s="1">
        <v>541.31141680776</v>
      </c>
    </row>
    <row r="48" spans="1:15">
      <c r="A48" s="1">
        <v>8.6066849390983</v>
      </c>
      <c r="B48" s="1">
        <v>0.025072333571683</v>
      </c>
      <c r="C48" s="1">
        <v>92.695662472094</v>
      </c>
      <c r="D48" s="1">
        <v>0.027019716765659</v>
      </c>
      <c r="E48" s="1">
        <v>-6.3692461032254</v>
      </c>
      <c r="F48" s="1">
        <v>-2.168619859041</v>
      </c>
      <c r="G48" s="1">
        <v>9389730.1716008</v>
      </c>
      <c r="H48" s="1">
        <v>11311068.115501</v>
      </c>
      <c r="I48" s="1">
        <v>-0.012469804935668</v>
      </c>
      <c r="J48" s="1">
        <v>-0.011953920007112</v>
      </c>
      <c r="K48" s="1">
        <v>0.025487101656094</v>
      </c>
      <c r="L48" s="1">
        <v>-0.39019000163181</v>
      </c>
      <c r="M48" s="1">
        <v>-0.39234683912649</v>
      </c>
      <c r="N48" s="1">
        <v>485.17987249493</v>
      </c>
      <c r="O48" s="1">
        <v>542.36873041599</v>
      </c>
    </row>
    <row r="49" spans="1:15">
      <c r="A49" s="1">
        <v>8.8066849390982</v>
      </c>
      <c r="B49" s="1">
        <v>0.025697142803947</v>
      </c>
      <c r="C49" s="1">
        <v>92.695448416078</v>
      </c>
      <c r="D49" s="1">
        <v>0.027649404054424</v>
      </c>
      <c r="E49" s="1">
        <v>-6.4139136890116</v>
      </c>
      <c r="F49" s="1">
        <v>-2.1692269216769</v>
      </c>
      <c r="G49" s="1">
        <v>9425902.6075846</v>
      </c>
      <c r="H49" s="1">
        <v>11505275.973123</v>
      </c>
      <c r="I49" s="1">
        <v>-0.012767669288648</v>
      </c>
      <c r="J49" s="1">
        <v>-0.012238880730897</v>
      </c>
      <c r="K49" s="1">
        <v>0.026071594729272</v>
      </c>
      <c r="L49" s="1">
        <v>-0.40085534808547</v>
      </c>
      <c r="M49" s="1">
        <v>-0.40301035479427</v>
      </c>
      <c r="N49" s="1">
        <v>486.02228218332</v>
      </c>
      <c r="O49" s="1">
        <v>543.41610461094</v>
      </c>
    </row>
    <row r="50" spans="1:15">
      <c r="A50" s="1">
        <v>9.0066849390982</v>
      </c>
      <c r="B50" s="1">
        <v>0.026321804874671</v>
      </c>
      <c r="C50" s="1">
        <v>92.695228804704</v>
      </c>
      <c r="D50" s="1">
        <v>0.028278944810174</v>
      </c>
      <c r="E50" s="1">
        <v>-6.414632191691</v>
      </c>
      <c r="F50" s="1">
        <v>-2.1478632918316</v>
      </c>
      <c r="G50" s="1">
        <v>9462077.3422302</v>
      </c>
      <c r="H50" s="1">
        <v>11699679.585912</v>
      </c>
      <c r="I50" s="1">
        <v>-0.013065379517819</v>
      </c>
      <c r="J50" s="1">
        <v>-0.012523664901368</v>
      </c>
      <c r="K50" s="1">
        <v>0.026655741500008</v>
      </c>
      <c r="L50" s="1">
        <v>-0.41149169662742</v>
      </c>
      <c r="M50" s="1">
        <v>-0.41364569248043</v>
      </c>
      <c r="N50" s="1">
        <v>486.85769967928</v>
      </c>
      <c r="O50" s="1">
        <v>544.45394748704</v>
      </c>
    </row>
    <row r="51" spans="1:15">
      <c r="A51" s="1">
        <v>9.2066849390982</v>
      </c>
      <c r="B51" s="1">
        <v>0.026946323798705</v>
      </c>
      <c r="C51" s="1">
        <v>92.695005193733</v>
      </c>
      <c r="D51" s="1">
        <v>0.028908343282384</v>
      </c>
      <c r="E51" s="1">
        <v>-6.4263332421685</v>
      </c>
      <c r="F51" s="1">
        <v>-2.1484742463576</v>
      </c>
      <c r="G51" s="1">
        <v>9498253.0850902</v>
      </c>
      <c r="H51" s="1">
        <v>11894270.875186</v>
      </c>
      <c r="I51" s="1">
        <v>-0.013362935102483</v>
      </c>
      <c r="J51" s="1">
        <v>-0.012808273070371</v>
      </c>
      <c r="K51" s="1">
        <v>0.027239542388006</v>
      </c>
      <c r="L51" s="1">
        <v>-0.42215176027865</v>
      </c>
      <c r="M51" s="1">
        <v>-0.42428410577415</v>
      </c>
      <c r="N51" s="1">
        <v>487.68639560745</v>
      </c>
      <c r="O51" s="1">
        <v>545.48272761735</v>
      </c>
    </row>
    <row r="52" spans="1:15">
      <c r="A52" s="1">
        <v>9.4066849390982</v>
      </c>
      <c r="B52" s="1">
        <v>0.027570704225625</v>
      </c>
      <c r="C52" s="1">
        <v>92.694778170248</v>
      </c>
      <c r="D52" s="1">
        <v>0.029537603705494</v>
      </c>
      <c r="E52" s="1">
        <v>-6.4600033520018</v>
      </c>
      <c r="F52" s="1">
        <v>-2.1710597320342</v>
      </c>
      <c r="G52" s="1">
        <v>9534428.6985451</v>
      </c>
      <c r="H52" s="1">
        <v>12089042.529291</v>
      </c>
      <c r="I52" s="1">
        <v>-0.013660335858597</v>
      </c>
      <c r="J52" s="1">
        <v>-0.013092705725444</v>
      </c>
      <c r="K52" s="1">
        <v>0.027822997823891</v>
      </c>
      <c r="L52" s="1">
        <v>-0.43282966572276</v>
      </c>
      <c r="M52" s="1">
        <v>-0.4349675769959</v>
      </c>
      <c r="N52" s="1">
        <v>488.50845309222</v>
      </c>
      <c r="O52" s="1">
        <v>546.50266860022</v>
      </c>
    </row>
    <row r="53" spans="1:15">
      <c r="A53" s="1">
        <v>9.6066849390982</v>
      </c>
      <c r="B53" s="1">
        <v>0.028194949261517</v>
      </c>
      <c r="C53" s="1">
        <v>92.694549798132</v>
      </c>
      <c r="D53" s="1">
        <v>0.030166730012167</v>
      </c>
      <c r="E53" s="1">
        <v>-6.4936699650288</v>
      </c>
      <c r="F53" s="1">
        <v>-2.1716743738826</v>
      </c>
      <c r="G53" s="1">
        <v>9570602.9962142</v>
      </c>
      <c r="H53" s="1">
        <v>12283986.973139</v>
      </c>
      <c r="I53" s="1">
        <v>-0.013957581611114</v>
      </c>
      <c r="J53" s="1">
        <v>-0.013376963056417</v>
      </c>
      <c r="K53" s="1">
        <v>0.028406108219084</v>
      </c>
      <c r="L53" s="1">
        <v>-0.44357537115544</v>
      </c>
      <c r="M53" s="1">
        <v>-0.44570785225715</v>
      </c>
      <c r="N53" s="1">
        <v>489.32412058132</v>
      </c>
      <c r="O53" s="1">
        <v>547.51414342014</v>
      </c>
    </row>
    <row r="54" spans="1:15">
      <c r="A54" s="1">
        <v>9.8066849390982</v>
      </c>
      <c r="B54" s="1">
        <v>0.028819063049132</v>
      </c>
      <c r="C54" s="1">
        <v>92.694326844794</v>
      </c>
      <c r="D54" s="1">
        <v>0.030795725638287</v>
      </c>
      <c r="E54" s="1">
        <v>-6.5010488055169</v>
      </c>
      <c r="F54" s="1">
        <v>-2.1850705902344</v>
      </c>
      <c r="G54" s="1">
        <v>9606774.9435209</v>
      </c>
      <c r="H54" s="1">
        <v>12479097.383987</v>
      </c>
      <c r="I54" s="1">
        <v>-0.014254671949198</v>
      </c>
      <c r="J54" s="1">
        <v>-0.013661045438857</v>
      </c>
      <c r="K54" s="1">
        <v>0.02898887399179</v>
      </c>
      <c r="L54" s="1">
        <v>-0.45436155665582</v>
      </c>
      <c r="M54" s="1">
        <v>-0.45647755144964</v>
      </c>
      <c r="N54" s="1">
        <v>490.13352818015</v>
      </c>
      <c r="O54" s="1">
        <v>548.51735049955</v>
      </c>
    </row>
    <row r="55" spans="1:15">
      <c r="A55" s="1">
        <v>10.006684939098</v>
      </c>
      <c r="B55" s="1">
        <v>0.029443047885934</v>
      </c>
      <c r="C55" s="1">
        <v>92.694071089099</v>
      </c>
      <c r="D55" s="1">
        <v>0.031424594213103</v>
      </c>
      <c r="E55" s="1">
        <v>-6.5116738113263</v>
      </c>
      <c r="F55" s="1">
        <v>-2.1846549212781</v>
      </c>
      <c r="G55" s="1">
        <v>9642943.4379692</v>
      </c>
      <c r="H55" s="1">
        <v>12674366.582118</v>
      </c>
      <c r="I55" s="1">
        <v>-0.014551606327861</v>
      </c>
      <c r="J55" s="1">
        <v>-0.013944953192753</v>
      </c>
      <c r="K55" s="1">
        <v>0.029571295564929</v>
      </c>
      <c r="L55" s="1">
        <v>-0.46514981206379</v>
      </c>
      <c r="M55" s="1">
        <v>-0.4672713430531</v>
      </c>
      <c r="N55" s="1">
        <v>490.93692618231</v>
      </c>
      <c r="O55" s="1">
        <v>549.51256713716</v>
      </c>
    </row>
    <row r="56" spans="1:15">
      <c r="A56" s="1">
        <v>10.206684939098</v>
      </c>
      <c r="B56" s="1">
        <v>0.030066906630493</v>
      </c>
      <c r="C56" s="1">
        <v>92.693829494906</v>
      </c>
      <c r="D56" s="1">
        <v>0.032053339324433</v>
      </c>
      <c r="E56" s="1">
        <v>-6.5233527091117</v>
      </c>
      <c r="F56" s="1">
        <v>-2.1962625153711</v>
      </c>
      <c r="G56" s="1">
        <v>9679107.3830101</v>
      </c>
      <c r="H56" s="1">
        <v>12869787.423901</v>
      </c>
      <c r="I56" s="1">
        <v>-0.014848384299739</v>
      </c>
      <c r="J56" s="1">
        <v>-0.014228686659464</v>
      </c>
      <c r="K56" s="1">
        <v>0.030153373346398</v>
      </c>
      <c r="L56" s="1">
        <v>-0.47598416071401</v>
      </c>
      <c r="M56" s="1">
        <v>-0.47808547925222</v>
      </c>
      <c r="N56" s="1">
        <v>491.73460117831</v>
      </c>
      <c r="O56" s="1">
        <v>550.500215225</v>
      </c>
    </row>
    <row r="57" spans="1:15">
      <c r="A57" s="1">
        <v>10.406684939098</v>
      </c>
      <c r="B57" s="1">
        <v>0.030690644162079</v>
      </c>
      <c r="C57" s="1">
        <v>92.693585801383</v>
      </c>
      <c r="D57" s="1">
        <v>0.032681964552727</v>
      </c>
      <c r="E57" s="1">
        <v>-6.541639849348</v>
      </c>
      <c r="F57" s="1">
        <v>-2.2012510442355</v>
      </c>
      <c r="G57" s="1">
        <v>9715265.8483947</v>
      </c>
      <c r="H57" s="1">
        <v>13065353.623765</v>
      </c>
      <c r="I57" s="1">
        <v>-0.015145005947962</v>
      </c>
      <c r="J57" s="1">
        <v>-0.014512246100761</v>
      </c>
      <c r="K57" s="1">
        <v>0.030735107752878</v>
      </c>
      <c r="L57" s="1">
        <v>-0.48681014775753</v>
      </c>
      <c r="M57" s="1">
        <v>-0.4889213252229</v>
      </c>
      <c r="N57" s="1">
        <v>492.52652451846</v>
      </c>
      <c r="O57" s="1">
        <v>551.48037283646</v>
      </c>
    </row>
    <row r="58" spans="1:15">
      <c r="A58" s="1">
        <v>10.606684939098</v>
      </c>
      <c r="B58" s="1">
        <v>0.031314263981527</v>
      </c>
      <c r="C58" s="1">
        <v>92.693340516708</v>
      </c>
      <c r="D58" s="1">
        <v>0.033310473753771</v>
      </c>
      <c r="E58" s="1">
        <v>-6.5862680586654</v>
      </c>
      <c r="F58" s="1">
        <v>-2.2018797410763</v>
      </c>
      <c r="G58" s="1">
        <v>9751417.8164884</v>
      </c>
      <c r="H58" s="1">
        <v>13261058.445355</v>
      </c>
      <c r="I58" s="1">
        <v>-0.015441471501092</v>
      </c>
      <c r="J58" s="1">
        <v>-0.01479563210125</v>
      </c>
      <c r="K58" s="1">
        <v>0.031316499195807</v>
      </c>
      <c r="L58" s="1">
        <v>-0.49779410506948</v>
      </c>
      <c r="M58" s="1">
        <v>-0.49989549097476</v>
      </c>
      <c r="N58" s="1">
        <v>493.31280905649</v>
      </c>
      <c r="O58" s="1">
        <v>552.45335588798</v>
      </c>
    </row>
    <row r="59" spans="1:15">
      <c r="A59" s="1">
        <v>10.806684939098</v>
      </c>
      <c r="B59" s="1">
        <v>0.031937770174561</v>
      </c>
      <c r="C59" s="1">
        <v>92.693093540271</v>
      </c>
      <c r="D59" s="1">
        <v>0.033938870062883</v>
      </c>
      <c r="E59" s="1">
        <v>-6.6308933806402</v>
      </c>
      <c r="F59" s="1">
        <v>-2.1915238111428</v>
      </c>
      <c r="G59" s="1">
        <v>9787562.324691</v>
      </c>
      <c r="H59" s="1">
        <v>13456895.418818</v>
      </c>
      <c r="I59" s="1">
        <v>-0.015737779945773</v>
      </c>
      <c r="J59" s="1">
        <v>-0.015078843603433</v>
      </c>
      <c r="K59" s="1">
        <v>0.031897548084513</v>
      </c>
      <c r="L59" s="1">
        <v>-0.50851815002363</v>
      </c>
      <c r="M59" s="1">
        <v>-0.51060715484458</v>
      </c>
      <c r="N59" s="1">
        <v>494.09372422736</v>
      </c>
      <c r="O59" s="1">
        <v>553.41915142193</v>
      </c>
    </row>
    <row r="60" spans="1:15">
      <c r="A60" s="1">
        <v>11.006684939098</v>
      </c>
      <c r="B60" s="1">
        <v>0.032561165267633</v>
      </c>
      <c r="C60" s="1">
        <v>92.692834532454</v>
      </c>
      <c r="D60" s="1">
        <v>0.034567157550701</v>
      </c>
      <c r="E60" s="1">
        <v>-6.6684795275877</v>
      </c>
      <c r="F60" s="1">
        <v>-2.207085842773</v>
      </c>
      <c r="G60" s="1">
        <v>9823698.377521</v>
      </c>
      <c r="H60" s="1">
        <v>13652857.914024</v>
      </c>
      <c r="I60" s="1">
        <v>-0.016033932599003</v>
      </c>
      <c r="J60" s="1">
        <v>-0.015361881903778</v>
      </c>
      <c r="K60" s="1">
        <v>0.032478254833965</v>
      </c>
      <c r="L60" s="1">
        <v>-0.51948558212988</v>
      </c>
      <c r="M60" s="1">
        <v>-0.52156779862546</v>
      </c>
      <c r="N60" s="1">
        <v>494.86933685776</v>
      </c>
      <c r="O60" s="1">
        <v>554.37842705067</v>
      </c>
    </row>
    <row r="61" spans="1:15">
      <c r="A61" s="1">
        <v>11.206684939098</v>
      </c>
      <c r="B61" s="1">
        <v>0.033184453820079</v>
      </c>
      <c r="C61" s="1">
        <v>92.692576879126</v>
      </c>
      <c r="D61" s="1">
        <v>0.035195339104663</v>
      </c>
      <c r="E61" s="1">
        <v>-6.6801390726526</v>
      </c>
      <c r="F61" s="1">
        <v>-2.2187048358734</v>
      </c>
      <c r="G61" s="1">
        <v>9859825.1505961</v>
      </c>
      <c r="H61" s="1">
        <v>13848940.170431</v>
      </c>
      <c r="I61" s="1">
        <v>-0.016329928669191</v>
      </c>
      <c r="J61" s="1">
        <v>-0.015644746661345</v>
      </c>
      <c r="K61" s="1">
        <v>0.033058619850487</v>
      </c>
      <c r="L61" s="1">
        <v>-0.5304126228488</v>
      </c>
      <c r="M61" s="1">
        <v>-0.53248431254119</v>
      </c>
      <c r="N61" s="1">
        <v>495.63973135371</v>
      </c>
      <c r="O61" s="1">
        <v>555.33105487928</v>
      </c>
    </row>
    <row r="62" spans="1:15">
      <c r="A62" s="1">
        <v>11.406684939098</v>
      </c>
      <c r="B62" s="1">
        <v>0.033807638226846</v>
      </c>
      <c r="C62" s="1">
        <v>92.692319733263</v>
      </c>
      <c r="D62" s="1">
        <v>0.035823418155176</v>
      </c>
      <c r="E62" s="1">
        <v>-6.7027821941558</v>
      </c>
      <c r="F62" s="1">
        <v>-2.2303254259776</v>
      </c>
      <c r="G62" s="1">
        <v>9895941.698221</v>
      </c>
      <c r="H62" s="1">
        <v>14045135.808169</v>
      </c>
      <c r="I62" s="1">
        <v>-0.016625768422909</v>
      </c>
      <c r="J62" s="1">
        <v>-0.015927437464666</v>
      </c>
      <c r="K62" s="1">
        <v>0.033638643551324</v>
      </c>
      <c r="L62" s="1">
        <v>-0.54129261326963</v>
      </c>
      <c r="M62" s="1">
        <v>-0.54336173559954</v>
      </c>
      <c r="N62" s="1">
        <v>496.40516850808</v>
      </c>
      <c r="O62" s="1">
        <v>556.27736737686</v>
      </c>
    </row>
    <row r="63" spans="1:15">
      <c r="A63" s="1">
        <v>11.606684939098</v>
      </c>
      <c r="B63" s="1">
        <v>0.034430722429831</v>
      </c>
      <c r="C63" s="1">
        <v>92.692066086292</v>
      </c>
      <c r="D63" s="1">
        <v>0.036451398261392</v>
      </c>
      <c r="E63" s="1">
        <v>-6.7364088184899</v>
      </c>
      <c r="F63" s="1">
        <v>-2.2309612144097</v>
      </c>
      <c r="G63" s="1">
        <v>9932047.2033743</v>
      </c>
      <c r="H63" s="1">
        <v>14241439.118326</v>
      </c>
      <c r="I63" s="1">
        <v>-0.01692145273388</v>
      </c>
      <c r="J63" s="1">
        <v>-0.016209954798845</v>
      </c>
      <c r="K63" s="1">
        <v>0.034218326339001</v>
      </c>
      <c r="L63" s="1">
        <v>-0.55230202690685</v>
      </c>
      <c r="M63" s="1">
        <v>-0.55435804513371</v>
      </c>
      <c r="N63" s="1">
        <v>497.16556112089</v>
      </c>
      <c r="O63" s="1">
        <v>557.21748142317</v>
      </c>
    </row>
    <row r="64" spans="1:15">
      <c r="A64" s="1">
        <v>11.806684939098</v>
      </c>
      <c r="B64" s="1">
        <v>0.035053708846509</v>
      </c>
      <c r="C64" s="1">
        <v>92.691816262638</v>
      </c>
      <c r="D64" s="1">
        <v>0.037079282180246</v>
      </c>
      <c r="E64" s="1">
        <v>-6.7327377567592</v>
      </c>
      <c r="F64" s="1">
        <v>-2.2359270798718</v>
      </c>
      <c r="G64" s="1">
        <v>9968140.7793246</v>
      </c>
      <c r="H64" s="1">
        <v>14437844.011876</v>
      </c>
      <c r="I64" s="1">
        <v>-0.017216981238616</v>
      </c>
      <c r="J64" s="1">
        <v>-0.016492297937507</v>
      </c>
      <c r="K64" s="1">
        <v>0.03479766862669</v>
      </c>
      <c r="L64" s="1">
        <v>-0.56328080296558</v>
      </c>
      <c r="M64" s="1">
        <v>-0.56533751393995</v>
      </c>
      <c r="N64" s="1">
        <v>497.92127861491</v>
      </c>
      <c r="O64" s="1">
        <v>558.15170763837</v>
      </c>
    </row>
    <row r="65" spans="1:15">
      <c r="A65" s="1">
        <v>12.006684939098</v>
      </c>
      <c r="B65" s="1">
        <v>0.03567660168005</v>
      </c>
      <c r="C65" s="1">
        <v>92.691560986925</v>
      </c>
      <c r="D65" s="1">
        <v>0.037707073206203</v>
      </c>
      <c r="E65" s="1">
        <v>-6.7553705439377</v>
      </c>
      <c r="F65" s="1">
        <v>-2.2365678743249</v>
      </c>
      <c r="G65" s="1">
        <v>10004221.691276</v>
      </c>
      <c r="H65" s="1">
        <v>14634345.219424</v>
      </c>
      <c r="I65" s="1">
        <v>-0.017512354566571</v>
      </c>
      <c r="J65" s="1">
        <v>-0.016774467017315</v>
      </c>
      <c r="K65" s="1">
        <v>0.035376670815363</v>
      </c>
      <c r="L65" s="1">
        <v>-0.57426095182612</v>
      </c>
      <c r="M65" s="1">
        <v>-0.57630268326935</v>
      </c>
      <c r="N65" s="1">
        <v>498.67219073774</v>
      </c>
      <c r="O65" s="1">
        <v>559.07997630689</v>
      </c>
    </row>
    <row r="66" spans="1:15">
      <c r="A66" s="1">
        <v>12.206684939098</v>
      </c>
      <c r="B66" s="1">
        <v>0.036299402736717</v>
      </c>
      <c r="C66" s="1">
        <v>92.691310267106</v>
      </c>
      <c r="D66" s="1">
        <v>0.03833477426831</v>
      </c>
      <c r="E66" s="1">
        <v>-6.7670144861677</v>
      </c>
      <c r="F66" s="1">
        <v>-2.2372100700472</v>
      </c>
      <c r="G66" s="1">
        <v>10040289.07359</v>
      </c>
      <c r="H66" s="1">
        <v>14830936.764535</v>
      </c>
      <c r="I66" s="1">
        <v>-0.017807573045504</v>
      </c>
      <c r="J66" s="1">
        <v>-0.017056461747046</v>
      </c>
      <c r="K66" s="1">
        <v>0.03595533331617</v>
      </c>
      <c r="L66" s="1">
        <v>-0.58528268143988</v>
      </c>
      <c r="M66" s="1">
        <v>-0.58732476508538</v>
      </c>
      <c r="N66" s="1">
        <v>499.41859184324</v>
      </c>
      <c r="O66" s="1">
        <v>560.00270748827</v>
      </c>
    </row>
    <row r="67" spans="1:15">
      <c r="A67" s="1">
        <v>12.406684939098</v>
      </c>
      <c r="B67" s="1">
        <v>0.036922115536543</v>
      </c>
      <c r="C67" s="1">
        <v>92.691029039405</v>
      </c>
      <c r="D67" s="1">
        <v>0.038962388469318</v>
      </c>
      <c r="E67" s="1">
        <v>-6.7773087133157</v>
      </c>
      <c r="F67" s="1">
        <v>-2.2561923209025</v>
      </c>
      <c r="G67" s="1">
        <v>10076342.181781</v>
      </c>
      <c r="H67" s="1">
        <v>15027613.328324</v>
      </c>
      <c r="I67" s="1">
        <v>-0.018102637219188</v>
      </c>
      <c r="J67" s="1">
        <v>-0.017338281975508</v>
      </c>
      <c r="K67" s="1">
        <v>0.036533656526232</v>
      </c>
      <c r="L67" s="1">
        <v>-0.59635561697117</v>
      </c>
      <c r="M67" s="1">
        <v>-0.59838397327702</v>
      </c>
      <c r="N67" s="1">
        <v>500.16046712953</v>
      </c>
      <c r="O67" s="1">
        <v>560.91991272034</v>
      </c>
    </row>
    <row r="68" spans="1:15">
      <c r="A68" s="1">
        <v>12.606684939098</v>
      </c>
      <c r="B68" s="1">
        <v>0.037544743884831</v>
      </c>
      <c r="C68" s="1">
        <v>92.690757355694</v>
      </c>
      <c r="D68" s="1">
        <v>0.039589918706668</v>
      </c>
      <c r="E68" s="1">
        <v>-6.7999275113995</v>
      </c>
      <c r="F68" s="1">
        <v>-2.2458492800545</v>
      </c>
      <c r="G68" s="1">
        <v>10112380.312697</v>
      </c>
      <c r="H68" s="1">
        <v>15224369.808107</v>
      </c>
      <c r="I68" s="1">
        <v>-0.018397547325249</v>
      </c>
      <c r="J68" s="1">
        <v>-0.017619927607594</v>
      </c>
      <c r="K68" s="1">
        <v>0.037111640851727</v>
      </c>
      <c r="L68" s="1">
        <v>-0.60741113795927</v>
      </c>
      <c r="M68" s="1">
        <v>-0.60943858701426</v>
      </c>
      <c r="N68" s="1">
        <v>500.89781736834</v>
      </c>
      <c r="O68" s="1">
        <v>561.83160770088</v>
      </c>
    </row>
    <row r="69" spans="1:15">
      <c r="A69" s="1">
        <v>12.806684939098</v>
      </c>
      <c r="B69" s="1">
        <v>0.038167289278733</v>
      </c>
      <c r="C69" s="1">
        <v>92.690485904376</v>
      </c>
      <c r="D69" s="1">
        <v>0.040217367603169</v>
      </c>
      <c r="E69" s="1">
        <v>-6.8062516394079</v>
      </c>
      <c r="F69" s="1">
        <v>-2.2498065178779</v>
      </c>
      <c r="G69" s="1">
        <v>10148402.667604</v>
      </c>
      <c r="H69" s="1">
        <v>15421200.572943</v>
      </c>
      <c r="I69" s="1">
        <v>-0.018692303318594</v>
      </c>
      <c r="J69" s="1">
        <v>-0.017901398393734</v>
      </c>
      <c r="K69" s="1">
        <v>0.037689286691729</v>
      </c>
      <c r="L69" s="1">
        <v>-0.6184623994076</v>
      </c>
      <c r="M69" s="1">
        <v>-0.6204772458576</v>
      </c>
      <c r="N69" s="1">
        <v>501.63096042947</v>
      </c>
      <c r="O69" s="1">
        <v>562.73814952659</v>
      </c>
    </row>
    <row r="70" spans="1:15">
      <c r="A70" s="1">
        <v>13.006684939098</v>
      </c>
      <c r="B70" s="1">
        <v>0.038789753970172</v>
      </c>
      <c r="C70" s="1">
        <v>92.690210193375</v>
      </c>
      <c r="D70" s="1">
        <v>0.040844737872411</v>
      </c>
      <c r="E70" s="1">
        <v>-6.8068888601519</v>
      </c>
      <c r="F70" s="1">
        <v>-2.2504518089126</v>
      </c>
      <c r="G70" s="1">
        <v>10184408.509983</v>
      </c>
      <c r="H70" s="1">
        <v>15618100.335592</v>
      </c>
      <c r="I70" s="1">
        <v>-0.018986905633293</v>
      </c>
      <c r="J70" s="1">
        <v>-0.018182694258554</v>
      </c>
      <c r="K70" s="1">
        <v>0.038266594448991</v>
      </c>
      <c r="L70" s="1">
        <v>-0.62955323468359</v>
      </c>
      <c r="M70" s="1">
        <v>-0.63156602761427</v>
      </c>
      <c r="N70" s="1">
        <v>502.36004093749</v>
      </c>
      <c r="O70" s="1">
        <v>563.63981744555</v>
      </c>
    </row>
    <row r="71" spans="1:15">
      <c r="A71" s="1">
        <v>13.206684939098</v>
      </c>
      <c r="B71" s="1">
        <v>0.039412142334843</v>
      </c>
      <c r="C71" s="1">
        <v>92.689940739777</v>
      </c>
      <c r="D71" s="1">
        <v>0.041472032355544</v>
      </c>
      <c r="E71" s="1">
        <v>-6.8404829054541</v>
      </c>
      <c r="F71" s="1">
        <v>-2.251098390128</v>
      </c>
      <c r="G71" s="1">
        <v>10220397.278895</v>
      </c>
      <c r="H71" s="1">
        <v>15815064.742107</v>
      </c>
      <c r="I71" s="1">
        <v>-0.01928135455473</v>
      </c>
      <c r="J71" s="1">
        <v>-0.018463815692957</v>
      </c>
      <c r="K71" s="1">
        <v>0.038843564512706</v>
      </c>
      <c r="L71" s="1">
        <v>-0.64066283048087</v>
      </c>
      <c r="M71" s="1">
        <v>-0.64266489267244</v>
      </c>
      <c r="N71" s="1">
        <v>503.08481234277</v>
      </c>
      <c r="O71" s="1">
        <v>564.53633730391</v>
      </c>
    </row>
    <row r="72" spans="1:15">
      <c r="A72" s="1">
        <v>13.406684939098</v>
      </c>
      <c r="B72" s="1">
        <v>0.040034455266302</v>
      </c>
      <c r="C72" s="1">
        <v>92.689675524107</v>
      </c>
      <c r="D72" s="1">
        <v>0.042099253341413</v>
      </c>
      <c r="E72" s="1">
        <v>-6.8542010054746</v>
      </c>
      <c r="F72" s="1">
        <v>-2.2606184708189</v>
      </c>
      <c r="G72" s="1">
        <v>10256368.24524</v>
      </c>
      <c r="H72" s="1">
        <v>16012088.513053</v>
      </c>
      <c r="I72" s="1">
        <v>-0.019575650642689</v>
      </c>
      <c r="J72" s="1">
        <v>-0.018744762607351</v>
      </c>
      <c r="K72" s="1">
        <v>0.039420197285226</v>
      </c>
      <c r="L72" s="1">
        <v>-0.65195144569983</v>
      </c>
      <c r="M72" s="1">
        <v>-0.65395160136004</v>
      </c>
      <c r="N72" s="1">
        <v>503.80559563692</v>
      </c>
      <c r="O72" s="1">
        <v>565.42826200878</v>
      </c>
    </row>
    <row r="73" spans="1:15">
      <c r="A73" s="1">
        <v>13.606684939098</v>
      </c>
      <c r="B73" s="1">
        <v>0.040656695838071</v>
      </c>
      <c r="C73" s="1">
        <v>92.689401356812</v>
      </c>
      <c r="D73" s="1">
        <v>0.042726402954329</v>
      </c>
      <c r="E73" s="1">
        <v>-6.8810038174588</v>
      </c>
      <c r="F73" s="1">
        <v>-2.2654697008163</v>
      </c>
      <c r="G73" s="1">
        <v>10292320.817227</v>
      </c>
      <c r="H73" s="1">
        <v>16209167.108266</v>
      </c>
      <c r="I73" s="1">
        <v>-0.019869793248049</v>
      </c>
      <c r="J73" s="1">
        <v>-0.019025533783099</v>
      </c>
      <c r="K73" s="1">
        <v>0.039996493157071</v>
      </c>
      <c r="L73" s="1">
        <v>-0.66298695060598</v>
      </c>
      <c r="M73" s="1">
        <v>-0.66498242076411</v>
      </c>
      <c r="N73" s="1">
        <v>504.52250211961</v>
      </c>
      <c r="O73" s="1">
        <v>566.31528078121</v>
      </c>
    </row>
    <row r="74" spans="1:15">
      <c r="A74" s="1">
        <v>13.806684939098</v>
      </c>
      <c r="B74" s="1">
        <v>0.041278866713797</v>
      </c>
      <c r="C74" s="1">
        <v>92.689126507783</v>
      </c>
      <c r="D74" s="1">
        <v>0.043353483956885</v>
      </c>
      <c r="E74" s="1">
        <v>-6.9036007845236</v>
      </c>
      <c r="F74" s="1">
        <v>-2.2661291732565</v>
      </c>
      <c r="G74" s="1">
        <v>10328254.405007</v>
      </c>
      <c r="H74" s="1">
        <v>16406296.001895</v>
      </c>
      <c r="I74" s="1">
        <v>-0.020163783421433</v>
      </c>
      <c r="J74" s="1">
        <v>-0.019306130533458</v>
      </c>
      <c r="K74" s="1">
        <v>0.040572452519797</v>
      </c>
      <c r="L74" s="1">
        <v>-0.67416811695159</v>
      </c>
      <c r="M74" s="1">
        <v>-0.67614484432228</v>
      </c>
      <c r="N74" s="1">
        <v>505.23545469232</v>
      </c>
      <c r="O74" s="1">
        <v>567.19775034157</v>
      </c>
    </row>
    <row r="75" spans="1:15">
      <c r="A75" s="1">
        <v>14.006684939098</v>
      </c>
      <c r="B75" s="1">
        <v>0.041900970057669</v>
      </c>
      <c r="C75" s="1">
        <v>92.688850248044</v>
      </c>
      <c r="D75" s="1">
        <v>0.043980498493498</v>
      </c>
      <c r="E75" s="1">
        <v>-6.9042232763214</v>
      </c>
      <c r="F75" s="1">
        <v>-2.2667897963407</v>
      </c>
      <c r="G75" s="1">
        <v>10364168.430962</v>
      </c>
      <c r="H75" s="1">
        <v>16603470.739382</v>
      </c>
      <c r="I75" s="1">
        <v>-0.020457621298274</v>
      </c>
      <c r="J75" s="1">
        <v>-0.019586552354585</v>
      </c>
      <c r="K75" s="1">
        <v>0.041148075778522</v>
      </c>
      <c r="L75" s="1">
        <v>-0.68535536345891</v>
      </c>
      <c r="M75" s="1">
        <v>-0.6873337077371</v>
      </c>
      <c r="N75" s="1">
        <v>505.94454985745</v>
      </c>
      <c r="O75" s="1">
        <v>568.07568641296</v>
      </c>
    </row>
    <row r="76" spans="1:15">
      <c r="A76" s="1">
        <v>14.206684939098</v>
      </c>
      <c r="B76" s="1">
        <v>0.042523008050506</v>
      </c>
      <c r="C76" s="1">
        <v>92.688572455246</v>
      </c>
      <c r="D76" s="1">
        <v>0.044607448805062</v>
      </c>
      <c r="E76" s="1">
        <v>-6.9268165267518</v>
      </c>
      <c r="F76" s="1">
        <v>-2.256465266432</v>
      </c>
      <c r="G76" s="1">
        <v>10400062.341492</v>
      </c>
      <c r="H76" s="1">
        <v>16800686.979564</v>
      </c>
      <c r="I76" s="1">
        <v>-0.020751307212766</v>
      </c>
      <c r="J76" s="1">
        <v>-0.019866799077758</v>
      </c>
      <c r="K76" s="1">
        <v>0.041723363310046</v>
      </c>
      <c r="L76" s="1">
        <v>-0.69653913599841</v>
      </c>
      <c r="M76" s="1">
        <v>-0.69850601235756</v>
      </c>
      <c r="N76" s="1">
        <v>506.6498268563</v>
      </c>
      <c r="O76" s="1">
        <v>568.94909430996</v>
      </c>
    </row>
    <row r="77" spans="1:15">
      <c r="A77" s="1">
        <v>14.406684939098</v>
      </c>
      <c r="B77" s="1">
        <v>0.043144982967456</v>
      </c>
      <c r="C77" s="1">
        <v>92.688280115588</v>
      </c>
      <c r="D77" s="1">
        <v>0.045234337358543</v>
      </c>
      <c r="E77" s="1">
        <v>-6.9373393699895</v>
      </c>
      <c r="F77" s="1">
        <v>-2.2340953020497</v>
      </c>
      <c r="G77" s="1">
        <v>10435935.568613</v>
      </c>
      <c r="H77" s="1">
        <v>16997940.30761</v>
      </c>
      <c r="I77" s="1">
        <v>-0.021044842263725</v>
      </c>
      <c r="J77" s="1">
        <v>-0.020146870660255</v>
      </c>
      <c r="K77" s="1">
        <v>0.042298315507043</v>
      </c>
      <c r="L77" s="1">
        <v>-0.70789794258219</v>
      </c>
      <c r="M77" s="1">
        <v>-0.7098629142125</v>
      </c>
      <c r="N77" s="1">
        <v>507.35137633671</v>
      </c>
      <c r="O77" s="1">
        <v>569.81832839517</v>
      </c>
    </row>
    <row r="78" spans="1:15">
      <c r="A78" s="1">
        <v>14.606684939098</v>
      </c>
      <c r="B78" s="1">
        <v>0.043766897337787</v>
      </c>
      <c r="C78" s="1">
        <v>92.687986988723</v>
      </c>
      <c r="D78" s="1">
        <v>0.045861165711457</v>
      </c>
      <c r="E78" s="1">
        <v>-6.9489390473164</v>
      </c>
      <c r="F78" s="1">
        <v>-2.2347554392575</v>
      </c>
      <c r="G78" s="1">
        <v>10471787.60163</v>
      </c>
      <c r="H78" s="1">
        <v>17195226.615918</v>
      </c>
      <c r="I78" s="1">
        <v>-0.021338225455951</v>
      </c>
      <c r="J78" s="1">
        <v>-0.020426766217973</v>
      </c>
      <c r="K78" s="1">
        <v>0.042872932764642</v>
      </c>
      <c r="L78" s="1">
        <v>-0.71902338930121</v>
      </c>
      <c r="M78" s="1">
        <v>-0.72098701308784</v>
      </c>
      <c r="N78" s="1">
        <v>508.04936496124</v>
      </c>
      <c r="O78" s="1">
        <v>570.68315137174</v>
      </c>
    </row>
    <row r="79" spans="1:15">
      <c r="A79" s="1">
        <v>14.806684939098</v>
      </c>
      <c r="B79" s="1">
        <v>0.044388753439478</v>
      </c>
      <c r="C79" s="1">
        <v>92.687687043089</v>
      </c>
      <c r="D79" s="1">
        <v>0.046487936598882</v>
      </c>
      <c r="E79" s="1">
        <v>-6.9755012638455</v>
      </c>
      <c r="F79" s="1">
        <v>-2.239385528374</v>
      </c>
      <c r="G79" s="1">
        <v>10507617.9486</v>
      </c>
      <c r="H79" s="1">
        <v>17392541.907575</v>
      </c>
      <c r="I79" s="1">
        <v>-0.021631458248934</v>
      </c>
      <c r="J79" s="1">
        <v>-0.02070648652296</v>
      </c>
      <c r="K79" s="1">
        <v>0.043447215469317</v>
      </c>
      <c r="L79" s="1">
        <v>-0.73026810480573</v>
      </c>
      <c r="M79" s="1">
        <v>-0.73221614605097</v>
      </c>
      <c r="N79" s="1">
        <v>508.74367388116</v>
      </c>
      <c r="O79" s="1">
        <v>571.54379733804</v>
      </c>
    </row>
    <row r="80" spans="1:15">
      <c r="A80" s="1">
        <v>15.006684939098</v>
      </c>
      <c r="B80" s="1">
        <v>0.045010553569294</v>
      </c>
      <c r="C80" s="1">
        <v>92.687393795059</v>
      </c>
      <c r="D80" s="1">
        <v>0.047114652099502</v>
      </c>
      <c r="E80" s="1">
        <v>-6.9937637295047</v>
      </c>
      <c r="F80" s="1">
        <v>-2.2443601204712</v>
      </c>
      <c r="G80" s="1">
        <v>10543426.134439</v>
      </c>
      <c r="H80" s="1">
        <v>17589882.255828</v>
      </c>
      <c r="I80" s="1">
        <v>-0.021924541009008</v>
      </c>
      <c r="J80" s="1">
        <v>-0.020986031656748</v>
      </c>
      <c r="K80" s="1">
        <v>0.044021164014699</v>
      </c>
      <c r="L80" s="1">
        <v>-0.74167088833208</v>
      </c>
      <c r="M80" s="1">
        <v>-0.74362032805421</v>
      </c>
      <c r="N80" s="1">
        <v>509.43438790167</v>
      </c>
      <c r="O80" s="1">
        <v>572.40046044954</v>
      </c>
    </row>
    <row r="81" spans="1:15">
      <c r="A81" s="1">
        <v>15.206684939098</v>
      </c>
      <c r="B81" s="1">
        <v>0.045632298913992</v>
      </c>
      <c r="C81" s="1">
        <v>92.687080769891</v>
      </c>
      <c r="D81" s="1">
        <v>0.047741313782756</v>
      </c>
      <c r="E81" s="1">
        <v>-7.0194680265829</v>
      </c>
      <c r="F81" s="1">
        <v>-2.2371409293614</v>
      </c>
      <c r="G81" s="1">
        <v>10579211.62457</v>
      </c>
      <c r="H81" s="1">
        <v>17787243.447883</v>
      </c>
      <c r="I81" s="1">
        <v>-0.022217472800912</v>
      </c>
      <c r="J81" s="1">
        <v>-0.021265400466918</v>
      </c>
      <c r="K81" s="1">
        <v>0.044594778783208</v>
      </c>
      <c r="L81" s="1">
        <v>-0.75284186624759</v>
      </c>
      <c r="M81" s="1">
        <v>-0.75478933173245</v>
      </c>
      <c r="N81" s="1">
        <v>510.12180000952</v>
      </c>
      <c r="O81" s="1">
        <v>573.25301908758</v>
      </c>
    </row>
    <row r="82" spans="1:15">
      <c r="A82" s="1">
        <v>15.406684939098</v>
      </c>
      <c r="B82" s="1">
        <v>0.046253992029482</v>
      </c>
      <c r="C82" s="1">
        <v>92.686765884918</v>
      </c>
      <c r="D82" s="1">
        <v>0.048367924220466</v>
      </c>
      <c r="E82" s="1">
        <v>-7.0571480086333</v>
      </c>
      <c r="F82" s="1">
        <v>-2.2419077855171</v>
      </c>
      <c r="G82" s="1">
        <v>10614973.975066</v>
      </c>
      <c r="H82" s="1">
        <v>17984621.765666</v>
      </c>
      <c r="I82" s="1">
        <v>-0.02251025493682</v>
      </c>
      <c r="J82" s="1">
        <v>-0.021544594032038</v>
      </c>
      <c r="K82" s="1">
        <v>0.045168060165024</v>
      </c>
      <c r="L82" s="1">
        <v>-0.76415712311328</v>
      </c>
      <c r="M82" s="1">
        <v>-0.76609166640749</v>
      </c>
      <c r="N82" s="1">
        <v>510.80577248312</v>
      </c>
      <c r="O82" s="1">
        <v>574.10172261394</v>
      </c>
    </row>
    <row r="83" spans="1:15">
      <c r="A83" s="1">
        <v>15.606684939098</v>
      </c>
      <c r="B83" s="1">
        <v>0.046875634887741</v>
      </c>
      <c r="C83" s="1">
        <v>92.686460533201</v>
      </c>
      <c r="D83" s="1">
        <v>0.048994485175362</v>
      </c>
      <c r="E83" s="1">
        <v>-7.068736655852</v>
      </c>
      <c r="F83" s="1">
        <v>-2.2315873124808</v>
      </c>
      <c r="G83" s="1">
        <v>10650712.742198</v>
      </c>
      <c r="H83" s="1">
        <v>18182013.483112</v>
      </c>
      <c r="I83" s="1">
        <v>-0.022802887078943</v>
      </c>
      <c r="J83" s="1">
        <v>-0.021823612041762</v>
      </c>
      <c r="K83" s="1">
        <v>0.045741008555611</v>
      </c>
      <c r="L83" s="1">
        <v>-0.77543762702087</v>
      </c>
      <c r="M83" s="1">
        <v>-0.77737296288964</v>
      </c>
      <c r="N83" s="1">
        <v>511.48643472662</v>
      </c>
      <c r="O83" s="1">
        <v>574.94655016304</v>
      </c>
    </row>
    <row r="84" spans="1:15">
      <c r="A84" s="1">
        <v>15.806684939098</v>
      </c>
      <c r="B84" s="1">
        <v>0.047497229670993</v>
      </c>
      <c r="C84" s="1">
        <v>92.686165087182</v>
      </c>
      <c r="D84" s="1">
        <v>0.049620998868134</v>
      </c>
      <c r="E84" s="1">
        <v>-7.109128142327</v>
      </c>
      <c r="F84" s="1">
        <v>-2.2364023946967</v>
      </c>
      <c r="G84" s="1">
        <v>10686427.524029</v>
      </c>
      <c r="H84" s="1">
        <v>18379415.097224</v>
      </c>
      <c r="I84" s="1">
        <v>-0.023095369725804</v>
      </c>
      <c r="J84" s="1">
        <v>-0.022102455016697</v>
      </c>
      <c r="K84" s="1">
        <v>0.046313624349343</v>
      </c>
      <c r="L84" s="1">
        <v>-0.78680623997729</v>
      </c>
      <c r="M84" s="1">
        <v>-0.78874273252358</v>
      </c>
      <c r="N84" s="1">
        <v>512.16373704225</v>
      </c>
      <c r="O84" s="1">
        <v>575.7875606964</v>
      </c>
    </row>
    <row r="85" spans="1:15">
      <c r="A85" s="1">
        <v>16.006684939098</v>
      </c>
      <c r="B85" s="1">
        <v>0.048118778230139</v>
      </c>
      <c r="C85" s="1">
        <v>92.685854488087</v>
      </c>
      <c r="D85" s="1">
        <v>0.050247466884072</v>
      </c>
      <c r="E85" s="1">
        <v>-7.1317760589778</v>
      </c>
      <c r="F85" s="1">
        <v>-2.2566786938582</v>
      </c>
      <c r="G85" s="1">
        <v>10722117.921922</v>
      </c>
      <c r="H85" s="1">
        <v>18576823.126829</v>
      </c>
      <c r="I85" s="1">
        <v>-0.023387702874058</v>
      </c>
      <c r="J85" s="1">
        <v>-0.022381122776496</v>
      </c>
      <c r="K85" s="1">
        <v>0.046885907925182</v>
      </c>
      <c r="L85" s="1">
        <v>-0.79818054559713</v>
      </c>
      <c r="M85" s="1">
        <v>-0.80009893293309</v>
      </c>
      <c r="N85" s="1">
        <v>512.83773730627</v>
      </c>
      <c r="O85" s="1">
        <v>576.62473048394</v>
      </c>
    </row>
    <row r="86" spans="1:15">
      <c r="A86" s="1">
        <v>16.206684939098</v>
      </c>
      <c r="B86" s="1">
        <v>0.048740282348105</v>
      </c>
      <c r="C86" s="1">
        <v>92.685539022975</v>
      </c>
      <c r="D86" s="1">
        <v>0.050873891002959</v>
      </c>
      <c r="E86" s="1">
        <v>-7.147400300586</v>
      </c>
      <c r="F86" s="1">
        <v>-2.2613847975623</v>
      </c>
      <c r="G86" s="1">
        <v>10757783.562043</v>
      </c>
      <c r="H86" s="1">
        <v>18774234.218994</v>
      </c>
      <c r="I86" s="1">
        <v>-0.023679886485972</v>
      </c>
      <c r="J86" s="1">
        <v>-0.022659615699914</v>
      </c>
      <c r="K86" s="1">
        <v>0.047457859679959</v>
      </c>
      <c r="L86" s="1">
        <v>-0.80955128228027</v>
      </c>
      <c r="M86" s="1">
        <v>-0.8114735374445</v>
      </c>
      <c r="N86" s="1">
        <v>513.50848661264</v>
      </c>
      <c r="O86" s="1">
        <v>577.45812205586</v>
      </c>
    </row>
    <row r="87" spans="1:15">
      <c r="A87" s="1">
        <v>16.406684939098</v>
      </c>
      <c r="B87" s="1">
        <v>0.049361742535563</v>
      </c>
      <c r="C87" s="1">
        <v>92.685228845812</v>
      </c>
      <c r="D87" s="1">
        <v>0.051500273041286</v>
      </c>
      <c r="E87" s="1">
        <v>-7.1370119269163</v>
      </c>
      <c r="F87" s="1">
        <v>-2.2620589747872</v>
      </c>
      <c r="G87" s="1">
        <v>10793423.975726</v>
      </c>
      <c r="H87" s="1">
        <v>18971644.538886</v>
      </c>
      <c r="I87" s="1">
        <v>-0.023971920541516</v>
      </c>
      <c r="J87" s="1">
        <v>-0.022937934207569</v>
      </c>
      <c r="K87" s="1">
        <v>0.048029480001879</v>
      </c>
      <c r="L87" s="1">
        <v>-0.82104534086934</v>
      </c>
      <c r="M87" s="1">
        <v>-0.82295121733043</v>
      </c>
      <c r="N87" s="1">
        <v>514.17620515277</v>
      </c>
      <c r="O87" s="1">
        <v>578.28806396307</v>
      </c>
    </row>
    <row r="88" spans="1:15">
      <c r="A88" s="1">
        <v>16.606684939098</v>
      </c>
      <c r="B88" s="1">
        <v>0.049983162104289</v>
      </c>
      <c r="C88" s="1">
        <v>92.684915475404</v>
      </c>
      <c r="D88" s="1">
        <v>0.05212661461914</v>
      </c>
      <c r="E88" s="1">
        <v>-7.115635828569</v>
      </c>
      <c r="F88" s="1">
        <v>-2.2517478927208</v>
      </c>
      <c r="G88" s="1">
        <v>10829038.878193</v>
      </c>
      <c r="H88" s="1">
        <v>19169051.242211</v>
      </c>
      <c r="I88" s="1">
        <v>-0.024263804690039</v>
      </c>
      <c r="J88" s="1">
        <v>-0.023216077876633</v>
      </c>
      <c r="K88" s="1">
        <v>0.048600769276311</v>
      </c>
      <c r="L88" s="1">
        <v>-0.83233851577971</v>
      </c>
      <c r="M88" s="1">
        <v>-0.83424140600416</v>
      </c>
      <c r="N88" s="1">
        <v>514.84077074468</v>
      </c>
      <c r="O88" s="1">
        <v>579.11414007819</v>
      </c>
    </row>
    <row r="89" spans="1:15">
      <c r="A89" s="1">
        <v>16.806684939098</v>
      </c>
      <c r="B89" s="1">
        <v>0.050604542333854</v>
      </c>
      <c r="C89" s="1">
        <v>92.68456759029</v>
      </c>
      <c r="D89" s="1">
        <v>0.05275291777924</v>
      </c>
      <c r="E89" s="1">
        <v>-7.1458654950569</v>
      </c>
      <c r="F89" s="1">
        <v>-2.2600655458302</v>
      </c>
      <c r="G89" s="1">
        <v>10864627.859995</v>
      </c>
      <c r="H89" s="1">
        <v>19366450.827298</v>
      </c>
      <c r="I89" s="1">
        <v>-0.024555539755197</v>
      </c>
      <c r="J89" s="1">
        <v>-0.023494047627903</v>
      </c>
      <c r="K89" s="1">
        <v>0.049171727886512</v>
      </c>
      <c r="L89" s="1">
        <v>-0.84374995379817</v>
      </c>
      <c r="M89" s="1">
        <v>-0.84566206751829</v>
      </c>
      <c r="N89" s="1">
        <v>515.50221792166</v>
      </c>
      <c r="O89" s="1">
        <v>579.93670642821</v>
      </c>
    </row>
    <row r="90" spans="1:15">
      <c r="A90" s="1">
        <v>17.006684939098</v>
      </c>
      <c r="B90" s="1">
        <v>0.051225885623987</v>
      </c>
      <c r="C90" s="1">
        <v>92.684188925042</v>
      </c>
      <c r="D90" s="1">
        <v>0.05337918419411</v>
      </c>
      <c r="E90" s="1">
        <v>-7.1415761469771</v>
      </c>
      <c r="F90" s="1">
        <v>-2.2668275553485</v>
      </c>
      <c r="G90" s="1">
        <v>10900190.639402</v>
      </c>
      <c r="H90" s="1">
        <v>19563840.463887</v>
      </c>
      <c r="I90" s="1">
        <v>-0.024847125661083</v>
      </c>
      <c r="J90" s="1">
        <v>-0.023771843301845</v>
      </c>
      <c r="K90" s="1">
        <v>0.04974235621536</v>
      </c>
      <c r="L90" s="1">
        <v>-0.85514140127559</v>
      </c>
      <c r="M90" s="1">
        <v>-0.85704572046002</v>
      </c>
      <c r="N90" s="1">
        <v>516.16049848341</v>
      </c>
      <c r="O90" s="1">
        <v>580.75555487069</v>
      </c>
    </row>
    <row r="91" spans="1:15">
      <c r="A91" s="1">
        <v>17.206684939098</v>
      </c>
      <c r="B91" s="1">
        <v>0.051847192326844</v>
      </c>
      <c r="C91" s="1">
        <v>92.683829634243</v>
      </c>
      <c r="D91" s="1">
        <v>0.054005415647159</v>
      </c>
      <c r="E91" s="1">
        <v>-7.1202039234682</v>
      </c>
      <c r="F91" s="1">
        <v>-2.2675138614357</v>
      </c>
      <c r="G91" s="1">
        <v>10935726.761783</v>
      </c>
      <c r="H91" s="1">
        <v>19761216.417607</v>
      </c>
      <c r="I91" s="1">
        <v>-0.02513856294802</v>
      </c>
      <c r="J91" s="1">
        <v>-0.024049464704308</v>
      </c>
      <c r="K91" s="1">
        <v>0.050312654648487</v>
      </c>
      <c r="L91" s="1">
        <v>-0.86662107883565</v>
      </c>
      <c r="M91" s="1">
        <v>-0.86851613335638</v>
      </c>
      <c r="N91" s="1">
        <v>516.81588448352</v>
      </c>
      <c r="O91" s="1">
        <v>581.57108948938</v>
      </c>
    </row>
    <row r="92" spans="1:15">
      <c r="A92" s="1">
        <v>17.406684939098</v>
      </c>
      <c r="B92" s="1">
        <v>0.052468465576027</v>
      </c>
      <c r="C92" s="1">
        <v>92.683451036544</v>
      </c>
      <c r="D92" s="1">
        <v>0.054631613732389</v>
      </c>
      <c r="E92" s="1">
        <v>-7.1389114011574</v>
      </c>
      <c r="F92" s="1">
        <v>-2.2753142392251</v>
      </c>
      <c r="G92" s="1">
        <v>10971235.975536</v>
      </c>
      <c r="H92" s="1">
        <v>19958576.060541</v>
      </c>
      <c r="I92" s="1">
        <v>-0.02542985197458</v>
      </c>
      <c r="J92" s="1">
        <v>-0.02432691175533</v>
      </c>
      <c r="K92" s="1">
        <v>0.050882623573119</v>
      </c>
      <c r="L92" s="1">
        <v>-0.87808984565931</v>
      </c>
      <c r="M92" s="1">
        <v>-0.87999062533942</v>
      </c>
      <c r="N92" s="1">
        <v>517.46822461945</v>
      </c>
      <c r="O92" s="1">
        <v>582.38308816751</v>
      </c>
    </row>
    <row r="93" spans="1:15">
      <c r="A93" s="1">
        <v>17.606684939098</v>
      </c>
      <c r="B93" s="1">
        <v>0.053089706465299</v>
      </c>
      <c r="C93" s="1">
        <v>92.683085352798</v>
      </c>
      <c r="D93" s="1">
        <v>0.055257780116779</v>
      </c>
      <c r="E93" s="1">
        <v>-7.1504585619092</v>
      </c>
      <c r="F93" s="1">
        <v>-2.2845004005085</v>
      </c>
      <c r="G93" s="1">
        <v>11006717.933943</v>
      </c>
      <c r="H93" s="1">
        <v>20155916.236843</v>
      </c>
      <c r="I93" s="1">
        <v>-0.025720992679565</v>
      </c>
      <c r="J93" s="1">
        <v>-0.024604184514541</v>
      </c>
      <c r="K93" s="1">
        <v>0.051452263354802</v>
      </c>
      <c r="L93" s="1">
        <v>-0.88954328464796</v>
      </c>
      <c r="M93" s="1">
        <v>-0.8914467976601</v>
      </c>
      <c r="N93" s="1">
        <v>518.1176631221</v>
      </c>
      <c r="O93" s="1">
        <v>583.19166792228</v>
      </c>
    </row>
    <row r="94" spans="1:15">
      <c r="A94" s="1">
        <v>17.806684939098</v>
      </c>
      <c r="B94" s="1">
        <v>0.05371091640614</v>
      </c>
      <c r="C94" s="1">
        <v>92.682727524683</v>
      </c>
      <c r="D94" s="1">
        <v>0.055883916696633</v>
      </c>
      <c r="E94" s="1">
        <v>-7.1440118637498</v>
      </c>
      <c r="F94" s="1">
        <v>-2.2781417474286</v>
      </c>
      <c r="G94" s="1">
        <v>11042172.291207</v>
      </c>
      <c r="H94" s="1">
        <v>20353233.844852</v>
      </c>
      <c r="I94" s="1">
        <v>-0.026011985626205</v>
      </c>
      <c r="J94" s="1">
        <v>-0.024881283107153</v>
      </c>
      <c r="K94" s="1">
        <v>0.052021574381677</v>
      </c>
      <c r="L94" s="1">
        <v>-0.90104661980193</v>
      </c>
      <c r="M94" s="1">
        <v>-0.90293746854535</v>
      </c>
      <c r="N94" s="1">
        <v>518.76419076368</v>
      </c>
      <c r="O94" s="1">
        <v>583.99688803567</v>
      </c>
    </row>
    <row r="95" spans="1:15">
      <c r="A95" s="1">
        <v>18</v>
      </c>
      <c r="B95" s="1">
        <v>0.054311184705576</v>
      </c>
      <c r="C95" s="1">
        <v>92.682387806092</v>
      </c>
      <c r="D95" s="1">
        <v>0.056489083558851</v>
      </c>
      <c r="E95" s="1">
        <v>-7.1226133107959</v>
      </c>
      <c r="F95" s="1">
        <v>-2.2788078408571</v>
      </c>
      <c r="G95" s="1">
        <v>11076406.334667</v>
      </c>
      <c r="H95" s="1">
        <v>20543883.950451</v>
      </c>
      <c r="I95" s="1">
        <v>-0.026293083403376</v>
      </c>
      <c r="J95" s="1">
        <v>-0.025148926368462</v>
      </c>
      <c r="K95" s="1">
        <v>0.052571544336766</v>
      </c>
      <c r="L95" s="1">
        <v>-0.91151868845458</v>
      </c>
      <c r="M95" s="1">
        <v>-0.9133968827105</v>
      </c>
      <c r="N95" s="1">
        <v>519.41225467379</v>
      </c>
      <c r="O95" s="1">
        <v>584.7984452054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topLeftCell="A43" workbookViewId="0">
      <selection activeCell="A1" sqref="A1:O80"/>
    </sheetView>
  </sheetViews>
  <sheetFormatPr defaultColWidth="8.81333333333333" defaultRowHeight="15"/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0.0025830812468784</v>
      </c>
      <c r="B3" s="2">
        <v>5.1960033963469e-29</v>
      </c>
      <c r="C3" s="1">
        <v>92.681599571933</v>
      </c>
      <c r="D3" s="2">
        <v>7.097632414666e-6</v>
      </c>
      <c r="E3" s="1">
        <v>-5.6421876524785</v>
      </c>
      <c r="F3" s="1">
        <v>-2.7149641684479</v>
      </c>
      <c r="G3" s="1">
        <v>8000000</v>
      </c>
      <c r="H3" s="1">
        <v>4000000</v>
      </c>
      <c r="I3" s="2">
        <v>-2.091752956972e-6</v>
      </c>
      <c r="J3" s="2">
        <v>-1.9986335771911e-6</v>
      </c>
      <c r="K3" s="2">
        <v>7.7492132953673e-6</v>
      </c>
      <c r="L3" s="2">
        <v>-1.6222031281454e-7</v>
      </c>
      <c r="M3" s="2">
        <v>-1.6807870297906e-7</v>
      </c>
      <c r="N3" s="1">
        <v>1.6353103255471</v>
      </c>
      <c r="O3" s="1">
        <v>1.7195718869274</v>
      </c>
    </row>
    <row r="4" spans="1:15">
      <c r="A4" s="1">
        <v>0.018444056862426</v>
      </c>
      <c r="B4" s="2">
        <v>6.5368427962001e-26</v>
      </c>
      <c r="C4" s="1">
        <v>92.681713324231</v>
      </c>
      <c r="D4" s="2">
        <v>5.0681306557432e-5</v>
      </c>
      <c r="E4" s="1">
        <v>-5.6421885736515</v>
      </c>
      <c r="F4" s="1">
        <v>-2.7148640750154</v>
      </c>
      <c r="G4" s="1">
        <v>8000000</v>
      </c>
      <c r="H4" s="1">
        <v>4000000</v>
      </c>
      <c r="I4" s="2">
        <v>-1.4938183440969e-5</v>
      </c>
      <c r="J4" s="2">
        <v>-1.4273142474263e-5</v>
      </c>
      <c r="K4" s="2">
        <v>5.5330618406149e-5</v>
      </c>
      <c r="L4" s="2">
        <v>-8.2668444572639e-6</v>
      </c>
      <c r="M4" s="2">
        <v>-8.565587433985e-6</v>
      </c>
      <c r="N4" s="1">
        <v>11.679777186108</v>
      </c>
      <c r="O4" s="1">
        <v>12.281378435819</v>
      </c>
    </row>
    <row r="5" spans="1:15">
      <c r="A5" s="1">
        <v>0.1</v>
      </c>
      <c r="B5" s="2">
        <v>2.3923847674098e-19</v>
      </c>
      <c r="C5" s="1">
        <v>92.681506362488</v>
      </c>
      <c r="D5" s="1">
        <v>0.00027483998982319</v>
      </c>
      <c r="E5" s="1">
        <v>-5.8811418423231</v>
      </c>
      <c r="F5" s="1">
        <v>-3.0288706981289</v>
      </c>
      <c r="G5" s="1">
        <v>8000000</v>
      </c>
      <c r="H5" s="1">
        <v>4000000</v>
      </c>
      <c r="I5" s="2">
        <v>-8.1066937547126e-5</v>
      </c>
      <c r="J5" s="2">
        <v>-7.7457127873656e-5</v>
      </c>
      <c r="K5" s="1">
        <v>0.00029995437984488</v>
      </c>
      <c r="L5" s="1">
        <v>-0.00024136903966532</v>
      </c>
      <c r="M5" s="1">
        <v>-0.00025020568146261</v>
      </c>
      <c r="N5" s="1">
        <v>63.422626074531</v>
      </c>
      <c r="O5" s="1">
        <v>66.682884714239</v>
      </c>
    </row>
    <row r="6" spans="1:15">
      <c r="A6" s="1">
        <v>0.20668493909835</v>
      </c>
      <c r="B6" s="2">
        <v>1.4563680341037e-14</v>
      </c>
      <c r="C6" s="1">
        <v>92.687093689025</v>
      </c>
      <c r="D6" s="1">
        <v>0.00056819344033159</v>
      </c>
      <c r="E6" s="1">
        <v>-5.7735570050508</v>
      </c>
      <c r="F6" s="1">
        <v>-2.7062926467726</v>
      </c>
      <c r="G6" s="1">
        <v>8000000.0000006</v>
      </c>
      <c r="H6" s="1">
        <v>4000000.0000031</v>
      </c>
      <c r="I6" s="1">
        <v>-0.00016773244856902</v>
      </c>
      <c r="J6" s="1">
        <v>-0.00016026170277933</v>
      </c>
      <c r="K6" s="1">
        <v>0.00061985997902036</v>
      </c>
      <c r="L6" s="1">
        <v>-0.0010355448200007</v>
      </c>
      <c r="M6" s="1">
        <v>-0.0010730311973615</v>
      </c>
      <c r="N6" s="1">
        <v>131.32150603195</v>
      </c>
      <c r="O6" s="1">
        <v>138.05594671757</v>
      </c>
    </row>
    <row r="7" spans="1:15">
      <c r="A7" s="1">
        <v>0.40668493909835</v>
      </c>
      <c r="B7" s="2">
        <v>6.4964680196625e-9</v>
      </c>
      <c r="C7" s="1">
        <v>92.694773697261</v>
      </c>
      <c r="D7" s="1">
        <v>0.001118570525581</v>
      </c>
      <c r="E7" s="1">
        <v>-6.0937418152644</v>
      </c>
      <c r="F7" s="1">
        <v>-2.5548893983447</v>
      </c>
      <c r="G7" s="1">
        <v>8000000.2572725</v>
      </c>
      <c r="H7" s="1">
        <v>4000001.3195546</v>
      </c>
      <c r="I7" s="1">
        <v>-0.0003307882167647</v>
      </c>
      <c r="J7" s="1">
        <v>-0.00031604750794439</v>
      </c>
      <c r="K7" s="1">
        <v>0.0012193007889668</v>
      </c>
      <c r="L7" s="1">
        <v>-0.0040128642996484</v>
      </c>
      <c r="M7" s="1">
        <v>-0.0041573609583154</v>
      </c>
      <c r="N7" s="1">
        <v>259.36452932378</v>
      </c>
      <c r="O7" s="1">
        <v>272.60095731433</v>
      </c>
    </row>
    <row r="8" spans="1:15">
      <c r="A8" s="1">
        <v>0.60668493909835</v>
      </c>
      <c r="B8" s="2">
        <v>2.6062392268319e-5</v>
      </c>
      <c r="C8" s="1">
        <v>92.700144985982</v>
      </c>
      <c r="D8" s="1">
        <v>0.0016738115540361</v>
      </c>
      <c r="E8" s="1">
        <v>-5.8861244100958</v>
      </c>
      <c r="F8" s="1">
        <v>-2.3360127447213</v>
      </c>
      <c r="G8" s="1">
        <v>8001039.8152302</v>
      </c>
      <c r="H8" s="1">
        <v>4005335.8066859</v>
      </c>
      <c r="I8" s="1">
        <v>-0.00050011609659505</v>
      </c>
      <c r="J8" s="1">
        <v>-0.00047807539369536</v>
      </c>
      <c r="K8" s="1">
        <v>0.0018183780419818</v>
      </c>
      <c r="L8" s="1">
        <v>-0.009133026365858</v>
      </c>
      <c r="M8" s="1">
        <v>-0.0095052860815565</v>
      </c>
      <c r="N8" s="1">
        <v>383.24777725618</v>
      </c>
      <c r="O8" s="1">
        <v>402.88309627034</v>
      </c>
    </row>
    <row r="9" spans="1:15">
      <c r="A9" s="1">
        <v>0.80668493909835</v>
      </c>
      <c r="B9" s="1">
        <v>0.00038384976410005</v>
      </c>
      <c r="C9" s="1">
        <v>92.700319111281</v>
      </c>
      <c r="D9" s="1">
        <v>0.0022713581563662</v>
      </c>
      <c r="E9" s="1">
        <v>-6.1952548458526</v>
      </c>
      <c r="F9" s="1">
        <v>-2.1226540438797</v>
      </c>
      <c r="G9" s="1">
        <v>8015900.2392708</v>
      </c>
      <c r="H9" s="1">
        <v>4081708.8034528</v>
      </c>
      <c r="I9" s="1">
        <v>-0.00073716500216996</v>
      </c>
      <c r="J9" s="1">
        <v>-0.00070493072033765</v>
      </c>
      <c r="K9" s="1">
        <v>0.0024170943848286</v>
      </c>
      <c r="L9" s="1">
        <v>-0.016402798196772</v>
      </c>
      <c r="M9" s="1">
        <v>-0.017147884293202</v>
      </c>
      <c r="N9" s="1">
        <v>446.58991478102</v>
      </c>
      <c r="O9" s="1">
        <v>471.86788732791</v>
      </c>
    </row>
    <row r="10" spans="1:15">
      <c r="A10" s="1">
        <v>1.0066849390983</v>
      </c>
      <c r="B10" s="1">
        <v>0.00097559357234484</v>
      </c>
      <c r="C10" s="1">
        <v>92.701507942362</v>
      </c>
      <c r="D10" s="1">
        <v>0.0028949883553968</v>
      </c>
      <c r="E10" s="1">
        <v>-6.2640032290667</v>
      </c>
      <c r="F10" s="1">
        <v>-2.0570329775887</v>
      </c>
      <c r="G10" s="1">
        <v>8041956.6713634</v>
      </c>
      <c r="H10" s="1">
        <v>4215896.7729545</v>
      </c>
      <c r="I10" s="1">
        <v>-0.0010226501320663</v>
      </c>
      <c r="J10" s="1">
        <v>-0.00097484654576927</v>
      </c>
      <c r="K10" s="1">
        <v>0.0030154454441497</v>
      </c>
      <c r="L10" s="1">
        <v>-0.025149844610891</v>
      </c>
      <c r="M10" s="1">
        <v>-0.026232481719519</v>
      </c>
      <c r="N10" s="1">
        <v>467.06320746926</v>
      </c>
      <c r="O10" s="1">
        <v>497.25646591381</v>
      </c>
    </row>
    <row r="11" spans="1:15">
      <c r="A11" s="1">
        <v>1.2066849390983</v>
      </c>
      <c r="B11" s="1">
        <v>0.0016082015510705</v>
      </c>
      <c r="C11" s="1">
        <v>92.702197232291</v>
      </c>
      <c r="D11" s="1">
        <v>0.0035266003062736</v>
      </c>
      <c r="E11" s="1">
        <v>-6.2962047979945</v>
      </c>
      <c r="F11" s="1">
        <v>-2.0493099427257</v>
      </c>
      <c r="G11" s="1">
        <v>8071383.8099735</v>
      </c>
      <c r="H11" s="1">
        <v>4367729.9875501</v>
      </c>
      <c r="I11" s="1">
        <v>-0.0013187706775715</v>
      </c>
      <c r="J11" s="1">
        <v>-0.0012548452758789</v>
      </c>
      <c r="K11" s="1">
        <v>0.0036134303245042</v>
      </c>
      <c r="L11" s="1">
        <v>-0.033221559254961</v>
      </c>
      <c r="M11" s="1">
        <v>-0.034632264658288</v>
      </c>
      <c r="N11" s="1">
        <v>477.59493610148</v>
      </c>
      <c r="O11" s="1">
        <v>512.09432450376</v>
      </c>
    </row>
    <row r="12" spans="1:15">
      <c r="A12" s="1">
        <v>1.4066849390983</v>
      </c>
      <c r="B12" s="1">
        <v>0.0022477961346166</v>
      </c>
      <c r="C12" s="1">
        <v>92.702417537043</v>
      </c>
      <c r="D12" s="1">
        <v>0.0041623133973813</v>
      </c>
      <c r="E12" s="1">
        <v>-6.3280979069947</v>
      </c>
      <c r="F12" s="1">
        <v>-2.041502018069</v>
      </c>
      <c r="G12" s="1">
        <v>8102437.6902407</v>
      </c>
      <c r="H12" s="1">
        <v>4528209.6475423</v>
      </c>
      <c r="I12" s="1">
        <v>-0.0016180193906445</v>
      </c>
      <c r="J12" s="1">
        <v>-0.0015393473570899</v>
      </c>
      <c r="K12" s="1">
        <v>0.0042110496431551</v>
      </c>
      <c r="L12" s="1">
        <v>-0.04173052463966</v>
      </c>
      <c r="M12" s="1">
        <v>-0.043438534517254</v>
      </c>
      <c r="N12" s="1">
        <v>484.33919625466</v>
      </c>
      <c r="O12" s="1">
        <v>522.51326621121</v>
      </c>
    </row>
    <row r="13" spans="1:15">
      <c r="A13" s="1">
        <v>1.6066849390983</v>
      </c>
      <c r="B13" s="1">
        <v>0.0028876110325518</v>
      </c>
      <c r="C13" s="1">
        <v>92.702498111735</v>
      </c>
      <c r="D13" s="1">
        <v>0.0048000947120272</v>
      </c>
      <c r="E13" s="1">
        <v>-6.3253523553114</v>
      </c>
      <c r="F13" s="1">
        <v>-2.0460686220281</v>
      </c>
      <c r="G13" s="1">
        <v>8134499.8511099</v>
      </c>
      <c r="H13" s="1">
        <v>4694131.009421</v>
      </c>
      <c r="I13" s="1">
        <v>-0.0019184317345271</v>
      </c>
      <c r="J13" s="1">
        <v>-0.0018263955880562</v>
      </c>
      <c r="K13" s="1">
        <v>0.0048083044446484</v>
      </c>
      <c r="L13" s="1">
        <v>-0.051124659050326</v>
      </c>
      <c r="M13" s="1">
        <v>-0.053052029450238</v>
      </c>
      <c r="N13" s="1">
        <v>489.14369256548</v>
      </c>
      <c r="O13" s="1">
        <v>530.38884721766</v>
      </c>
    </row>
    <row r="14" spans="1:15">
      <c r="A14" s="1">
        <v>1.8066849390983</v>
      </c>
      <c r="B14" s="1">
        <v>0.0035261307148471</v>
      </c>
      <c r="C14" s="1">
        <v>92.702480488359</v>
      </c>
      <c r="D14" s="1">
        <v>0.0054387983160743</v>
      </c>
      <c r="E14" s="1">
        <v>-6.3486511440697</v>
      </c>
      <c r="F14" s="1">
        <v>-2.0464622093477</v>
      </c>
      <c r="G14" s="1">
        <v>8167255.0439471</v>
      </c>
      <c r="H14" s="1">
        <v>4863858.5570984</v>
      </c>
      <c r="I14" s="1">
        <v>-0.002219299534172</v>
      </c>
      <c r="J14" s="1">
        <v>-0.0021149699892569</v>
      </c>
      <c r="K14" s="1">
        <v>0.0054051959792494</v>
      </c>
      <c r="L14" s="1">
        <v>-0.060663220747259</v>
      </c>
      <c r="M14" s="1">
        <v>-0.062740740423436</v>
      </c>
      <c r="N14" s="1">
        <v>492.82232950154</v>
      </c>
      <c r="O14" s="1">
        <v>536.61058135164</v>
      </c>
    </row>
    <row r="15" spans="1:15">
      <c r="A15" s="1">
        <v>2.0066849390983</v>
      </c>
      <c r="B15" s="1">
        <v>0.0041632444932549</v>
      </c>
      <c r="C15" s="1">
        <v>92.702406783729</v>
      </c>
      <c r="D15" s="1">
        <v>0.0060778011806425</v>
      </c>
      <c r="E15" s="1">
        <v>-6.3499161766572</v>
      </c>
      <c r="F15" s="1">
        <v>-2.0468441390566</v>
      </c>
      <c r="G15" s="1">
        <v>8200510.828984</v>
      </c>
      <c r="H15" s="1">
        <v>5036395.3913353</v>
      </c>
      <c r="I15" s="1">
        <v>-0.0025203392277275</v>
      </c>
      <c r="J15" s="1">
        <v>-0.0024044578258532</v>
      </c>
      <c r="K15" s="1">
        <v>0.0060017251466613</v>
      </c>
      <c r="L15" s="1">
        <v>-0.070560442163233</v>
      </c>
      <c r="M15" s="1">
        <v>-0.072772544034727</v>
      </c>
      <c r="N15" s="1">
        <v>495.80064092611</v>
      </c>
      <c r="O15" s="1">
        <v>541.70458475965</v>
      </c>
    </row>
    <row r="16" spans="1:15">
      <c r="A16" s="1">
        <v>2.2066849390983</v>
      </c>
      <c r="B16" s="1">
        <v>0.0047991768411928</v>
      </c>
      <c r="C16" s="1">
        <v>92.702298681848</v>
      </c>
      <c r="D16" s="1">
        <v>0.0067167706000618</v>
      </c>
      <c r="E16" s="1">
        <v>-6.3511350524384</v>
      </c>
      <c r="F16" s="1">
        <v>-2.0472359589947</v>
      </c>
      <c r="G16" s="1">
        <v>8234139.6467728</v>
      </c>
      <c r="H16" s="1">
        <v>5211082.0561886</v>
      </c>
      <c r="I16" s="1">
        <v>-0.0028214415755591</v>
      </c>
      <c r="J16" s="1">
        <v>-0.0026944542999235</v>
      </c>
      <c r="K16" s="1">
        <v>0.0065978925793758</v>
      </c>
      <c r="L16" s="1">
        <v>-0.080104291043364</v>
      </c>
      <c r="M16" s="1">
        <v>-0.082414853940758</v>
      </c>
      <c r="N16" s="1">
        <v>498.32287207253</v>
      </c>
      <c r="O16" s="1">
        <v>546.00930390096</v>
      </c>
    </row>
    <row r="17" spans="1:15">
      <c r="A17" s="1">
        <v>2.4066849390983</v>
      </c>
      <c r="B17" s="1">
        <v>0.0054341415728191</v>
      </c>
      <c r="C17" s="1">
        <v>92.702186691605</v>
      </c>
      <c r="D17" s="1">
        <v>0.0073555383099296</v>
      </c>
      <c r="E17" s="1">
        <v>-6.3439598103516</v>
      </c>
      <c r="F17" s="1">
        <v>-2.0559857831434</v>
      </c>
      <c r="G17" s="1">
        <v>8268056.8197189</v>
      </c>
      <c r="H17" s="1">
        <v>5387481.0801509</v>
      </c>
      <c r="I17" s="1">
        <v>-0.003122579655061</v>
      </c>
      <c r="J17" s="1">
        <v>-0.0029846894113654</v>
      </c>
      <c r="K17" s="1">
        <v>0.007193698756726</v>
      </c>
      <c r="L17" s="1">
        <v>-0.089820555024522</v>
      </c>
      <c r="M17" s="1">
        <v>-0.092212924537142</v>
      </c>
      <c r="N17" s="1">
        <v>500.53322788261</v>
      </c>
      <c r="O17" s="1">
        <v>549.7416300433</v>
      </c>
    </row>
    <row r="18" spans="1:15">
      <c r="A18" s="1">
        <v>2.6066849390983</v>
      </c>
      <c r="B18" s="1">
        <v>0.0060683231625934</v>
      </c>
      <c r="C18" s="1">
        <v>92.702070330473</v>
      </c>
      <c r="D18" s="1">
        <v>0.0079940239711289</v>
      </c>
      <c r="E18" s="1">
        <v>-6.3477331037678</v>
      </c>
      <c r="F18" s="1">
        <v>-2.0647557330898</v>
      </c>
      <c r="G18" s="1">
        <v>8302203.0851915</v>
      </c>
      <c r="H18" s="1">
        <v>5565286.6014918</v>
      </c>
      <c r="I18" s="1">
        <v>-0.0034237330804358</v>
      </c>
      <c r="J18" s="1">
        <v>-0.0032749988436488</v>
      </c>
      <c r="K18" s="1">
        <v>0.0077891441107043</v>
      </c>
      <c r="L18" s="1">
        <v>-0.099642342382747</v>
      </c>
      <c r="M18" s="1">
        <v>-0.10211101057904</v>
      </c>
      <c r="N18" s="1">
        <v>502.5213640556</v>
      </c>
      <c r="O18" s="1">
        <v>553.04616148192</v>
      </c>
    </row>
    <row r="19" spans="1:15">
      <c r="A19" s="1">
        <v>2.8066849390983</v>
      </c>
      <c r="B19" s="1">
        <v>0.006701853423035</v>
      </c>
      <c r="C19" s="1">
        <v>92.701937201587</v>
      </c>
      <c r="D19" s="1">
        <v>0.0086321843718422</v>
      </c>
      <c r="E19" s="1">
        <v>-6.355658996489</v>
      </c>
      <c r="F19" s="1">
        <v>-2.0693772753218</v>
      </c>
      <c r="G19" s="1">
        <v>8336536.4343868</v>
      </c>
      <c r="H19" s="1">
        <v>5744281.7844115</v>
      </c>
      <c r="I19" s="1">
        <v>-0.0037248840020417</v>
      </c>
      <c r="J19" s="1">
        <v>-0.0035652840757812</v>
      </c>
      <c r="K19" s="1">
        <v>0.0083842291233616</v>
      </c>
      <c r="L19" s="1">
        <v>-0.1095821939885</v>
      </c>
      <c r="M19" s="1">
        <v>-0.11214843225798</v>
      </c>
      <c r="N19" s="1">
        <v>504.34435830429</v>
      </c>
      <c r="O19" s="1">
        <v>556.02119340199</v>
      </c>
    </row>
    <row r="20" spans="1:15">
      <c r="A20" s="1">
        <v>3.0066849390983</v>
      </c>
      <c r="B20" s="1">
        <v>0.007334814659939</v>
      </c>
      <c r="C20" s="1">
        <v>92.701792615033</v>
      </c>
      <c r="D20" s="1">
        <v>0.009269995644286</v>
      </c>
      <c r="E20" s="1">
        <v>-6.3525613793898</v>
      </c>
      <c r="F20" s="1">
        <v>-2.074024647283</v>
      </c>
      <c r="G20" s="1">
        <v>8371025.8281081</v>
      </c>
      <c r="H20" s="1">
        <v>5924306.3209214</v>
      </c>
      <c r="I20" s="1">
        <v>-0.0040260103903206</v>
      </c>
      <c r="J20" s="1">
        <v>-0.0038554881137472</v>
      </c>
      <c r="K20" s="1">
        <v>0.008978954313784</v>
      </c>
      <c r="L20" s="1">
        <v>-0.1195612410049</v>
      </c>
      <c r="M20" s="1">
        <v>-0.12222281026536</v>
      </c>
      <c r="N20" s="1">
        <v>506.04106327687</v>
      </c>
      <c r="O20" s="1">
        <v>558.73576261659</v>
      </c>
    </row>
    <row r="21" spans="1:15">
      <c r="A21" s="1">
        <v>3.2066849390983</v>
      </c>
      <c r="B21" s="1">
        <v>0.007967266106744</v>
      </c>
      <c r="C21" s="1">
        <v>92.701625149136</v>
      </c>
      <c r="D21" s="1">
        <v>0.0099074490034975</v>
      </c>
      <c r="E21" s="1">
        <v>-6.353634365728</v>
      </c>
      <c r="F21" s="1">
        <v>-2.0744926756333</v>
      </c>
      <c r="G21" s="1">
        <v>8405647.3487801</v>
      </c>
      <c r="H21" s="1">
        <v>6105236.6501074</v>
      </c>
      <c r="I21" s="1">
        <v>-0.0043270876120634</v>
      </c>
      <c r="J21" s="1">
        <v>-0.0041455825697804</v>
      </c>
      <c r="K21" s="1">
        <v>0.009573320207954</v>
      </c>
      <c r="L21" s="1">
        <v>-0.12969736045851</v>
      </c>
      <c r="M21" s="1">
        <v>-0.13241286284905</v>
      </c>
      <c r="N21" s="1">
        <v>507.63824061454</v>
      </c>
      <c r="O21" s="1">
        <v>561.24021109306</v>
      </c>
    </row>
    <row r="22" spans="1:15">
      <c r="A22" s="1">
        <v>3.4066849390983</v>
      </c>
      <c r="B22" s="1">
        <v>0.008599255779538</v>
      </c>
      <c r="C22" s="1">
        <v>92.701442362106</v>
      </c>
      <c r="D22" s="1">
        <v>0.010544543168347</v>
      </c>
      <c r="E22" s="1">
        <v>-6.3766643012134</v>
      </c>
      <c r="F22" s="1">
        <v>-2.0749657408144</v>
      </c>
      <c r="G22" s="1">
        <v>8440381.9228454</v>
      </c>
      <c r="H22" s="1">
        <v>6286974.2154464</v>
      </c>
      <c r="I22" s="1">
        <v>-0.0046280924600639</v>
      </c>
      <c r="J22" s="1">
        <v>-0.0044355512385987</v>
      </c>
      <c r="K22" s="1">
        <v>0.010167327305964</v>
      </c>
      <c r="L22" s="1">
        <v>-0.13990794471814</v>
      </c>
      <c r="M22" s="1">
        <v>-0.14265314131062</v>
      </c>
      <c r="N22" s="1">
        <v>509.1556131541</v>
      </c>
      <c r="O22" s="1">
        <v>563.57321576864</v>
      </c>
    </row>
    <row r="23" spans="1:15">
      <c r="A23" s="1">
        <v>3.6066849390983</v>
      </c>
      <c r="B23" s="1">
        <v>0.0092308254145675</v>
      </c>
      <c r="C23" s="1">
        <v>92.701248068594</v>
      </c>
      <c r="D23" s="1">
        <v>0.011181283456429</v>
      </c>
      <c r="E23" s="1">
        <v>-6.377706774941</v>
      </c>
      <c r="F23" s="1">
        <v>-2.0754435167434</v>
      </c>
      <c r="G23" s="1">
        <v>8475214.2047321</v>
      </c>
      <c r="H23" s="1">
        <v>6469439.6432561</v>
      </c>
      <c r="I23" s="1">
        <v>-0.0049290120784037</v>
      </c>
      <c r="J23" s="1">
        <v>-0.0047253804910494</v>
      </c>
      <c r="K23" s="1">
        <v>0.010760976090047</v>
      </c>
      <c r="L23" s="1">
        <v>-0.15036522418678</v>
      </c>
      <c r="M23" s="1">
        <v>-0.15316256210232</v>
      </c>
      <c r="N23" s="1">
        <v>510.60720144822</v>
      </c>
      <c r="O23" s="1">
        <v>565.7644660059</v>
      </c>
    </row>
    <row r="24" spans="1:15">
      <c r="A24" s="1">
        <v>3.8066849390983</v>
      </c>
      <c r="B24" s="1">
        <v>0.0098620050803271</v>
      </c>
      <c r="C24" s="1">
        <v>92.701058583695</v>
      </c>
      <c r="D24" s="1">
        <v>0.0118176759947</v>
      </c>
      <c r="E24" s="1">
        <v>-6.3745161634365</v>
      </c>
      <c r="F24" s="1">
        <v>-2.0801391550214</v>
      </c>
      <c r="G24" s="1">
        <v>8510131.5993644</v>
      </c>
      <c r="H24" s="1">
        <v>6652567.6245966</v>
      </c>
      <c r="I24" s="1">
        <v>-0.0052298391795009</v>
      </c>
      <c r="J24" s="1">
        <v>-0.0050150539926499</v>
      </c>
      <c r="K24" s="1">
        <v>0.011354267019864</v>
      </c>
      <c r="L24" s="1">
        <v>-0.16062997996622</v>
      </c>
      <c r="M24" s="1">
        <v>-0.16347093947359</v>
      </c>
      <c r="N24" s="1">
        <v>512.00409354317</v>
      </c>
      <c r="O24" s="1">
        <v>567.83700984246</v>
      </c>
    </row>
    <row r="25" spans="1:15">
      <c r="A25" s="1">
        <v>4.0066849390983</v>
      </c>
      <c r="B25" s="1">
        <v>0.010492815292021</v>
      </c>
      <c r="C25" s="1">
        <v>92.700866159395</v>
      </c>
      <c r="D25" s="1">
        <v>0.01245372915708</v>
      </c>
      <c r="E25" s="1">
        <v>-6.3822960101604</v>
      </c>
      <c r="F25" s="1">
        <v>-2.073854164682</v>
      </c>
      <c r="G25" s="1">
        <v>8545123.8798516</v>
      </c>
      <c r="H25" s="1">
        <v>6836304.8932992</v>
      </c>
      <c r="I25" s="1">
        <v>-0.0055305744619844</v>
      </c>
      <c r="J25" s="1">
        <v>-0.0053045576149546</v>
      </c>
      <c r="K25" s="1">
        <v>0.011947200566708</v>
      </c>
      <c r="L25" s="1">
        <v>-0.17113589848862</v>
      </c>
      <c r="M25" s="1">
        <v>-0.17400700858231</v>
      </c>
      <c r="N25" s="1">
        <v>513.35432140913</v>
      </c>
      <c r="O25" s="1">
        <v>569.80887218075</v>
      </c>
    </row>
    <row r="26" spans="1:15">
      <c r="A26" s="1">
        <v>4.2066849390983</v>
      </c>
      <c r="B26" s="1">
        <v>0.011123272976786</v>
      </c>
      <c r="C26" s="1">
        <v>92.700665203807</v>
      </c>
      <c r="D26" s="1">
        <v>0.013089450844438</v>
      </c>
      <c r="E26" s="1">
        <v>-6.3832894505384</v>
      </c>
      <c r="F26" s="1">
        <v>-2.0633649824565</v>
      </c>
      <c r="G26" s="1">
        <v>8580182.57169</v>
      </c>
      <c r="H26" s="1">
        <v>7020607.0825785</v>
      </c>
      <c r="I26" s="1">
        <v>-0.0058312181044287</v>
      </c>
      <c r="J26" s="1">
        <v>-0.0055938788463482</v>
      </c>
      <c r="K26" s="1">
        <v>0.012539777181457</v>
      </c>
      <c r="L26" s="1">
        <v>-0.18185942553364</v>
      </c>
      <c r="M26" s="1">
        <v>-0.1847212757383</v>
      </c>
      <c r="N26" s="1">
        <v>514.66426629974</v>
      </c>
      <c r="O26" s="1">
        <v>571.69408556089</v>
      </c>
    </row>
    <row r="27" spans="1:15">
      <c r="A27" s="1">
        <v>4.4066849390983</v>
      </c>
      <c r="B27" s="1">
        <v>0.011753395091455</v>
      </c>
      <c r="C27" s="1">
        <v>92.700468852091</v>
      </c>
      <c r="D27" s="1">
        <v>0.013724851629588</v>
      </c>
      <c r="E27" s="1">
        <v>-6.375787312906</v>
      </c>
      <c r="F27" s="1">
        <v>-2.0613262391227</v>
      </c>
      <c r="G27" s="1">
        <v>8615300.4295924</v>
      </c>
      <c r="H27" s="1">
        <v>7205436.0643423</v>
      </c>
      <c r="I27" s="1">
        <v>-0.0061317680133764</v>
      </c>
      <c r="J27" s="1">
        <v>-0.0058830088502699</v>
      </c>
      <c r="K27" s="1">
        <v>0.01313199731879</v>
      </c>
      <c r="L27" s="1">
        <v>-0.19236535187278</v>
      </c>
      <c r="M27" s="1">
        <v>-0.19527167456079</v>
      </c>
      <c r="N27" s="1">
        <v>515.93883003938</v>
      </c>
      <c r="O27" s="1">
        <v>573.50359364874</v>
      </c>
    </row>
    <row r="28" spans="1:15">
      <c r="A28" s="1">
        <v>4.6066849390983</v>
      </c>
      <c r="B28" s="1">
        <v>0.012383197738431</v>
      </c>
      <c r="C28" s="1">
        <v>92.700274709113</v>
      </c>
      <c r="D28" s="1">
        <v>0.014359942548219</v>
      </c>
      <c r="E28" s="1">
        <v>-6.3725290527023</v>
      </c>
      <c r="F28" s="1">
        <v>-2.0660504603293</v>
      </c>
      <c r="G28" s="1">
        <v>8650471.0659223</v>
      </c>
      <c r="H28" s="1">
        <v>7390758.0784549</v>
      </c>
      <c r="I28" s="1">
        <v>-0.00643222179244</v>
      </c>
      <c r="J28" s="1">
        <v>-0.0061719447662441</v>
      </c>
      <c r="K28" s="1">
        <v>0.013723861422463</v>
      </c>
      <c r="L28" s="1">
        <v>-0.2032023632151</v>
      </c>
      <c r="M28" s="1">
        <v>-0.20612077956461</v>
      </c>
      <c r="N28" s="1">
        <v>517.18205913129</v>
      </c>
      <c r="O28" s="1">
        <v>575.24729196884</v>
      </c>
    </row>
    <row r="29" spans="1:15">
      <c r="A29" s="1">
        <v>4.8066849390983</v>
      </c>
      <c r="B29" s="1">
        <v>0.013012695172527</v>
      </c>
      <c r="C29" s="1">
        <v>92.700067855671</v>
      </c>
      <c r="D29" s="1">
        <v>0.014994734046994</v>
      </c>
      <c r="E29" s="1">
        <v>-6.3734758576972</v>
      </c>
      <c r="F29" s="1">
        <v>-2.0665659988563</v>
      </c>
      <c r="G29" s="1">
        <v>8685688.8724804</v>
      </c>
      <c r="H29" s="1">
        <v>7576543.3116891</v>
      </c>
      <c r="I29" s="1">
        <v>-0.0067325730904476</v>
      </c>
      <c r="J29" s="1">
        <v>-0.0064606851772394</v>
      </c>
      <c r="K29" s="1">
        <v>0.014315369951221</v>
      </c>
      <c r="L29" s="1">
        <v>-0.21403149820856</v>
      </c>
      <c r="M29" s="1">
        <v>-0.21695506323016</v>
      </c>
      <c r="N29" s="1">
        <v>518.39739211473</v>
      </c>
      <c r="O29" s="1">
        <v>576.93290220311</v>
      </c>
    </row>
    <row r="30" spans="1:15">
      <c r="A30" s="1">
        <v>5.0066849390983</v>
      </c>
      <c r="B30" s="1">
        <v>0.013641900675372</v>
      </c>
      <c r="C30" s="1">
        <v>92.699881000646</v>
      </c>
      <c r="D30" s="1">
        <v>0.015629237214222</v>
      </c>
      <c r="E30" s="1">
        <v>-6.3440451115231</v>
      </c>
      <c r="F30" s="1">
        <v>-2.0754657123833</v>
      </c>
      <c r="G30" s="1">
        <v>8720948.9184077</v>
      </c>
      <c r="H30" s="1">
        <v>7762765.3723446</v>
      </c>
      <c r="I30" s="1">
        <v>-0.007032816516972</v>
      </c>
      <c r="J30" s="1">
        <v>-0.0067492309713156</v>
      </c>
      <c r="K30" s="1">
        <v>0.014906523371631</v>
      </c>
      <c r="L30" s="1">
        <v>-0.22492595572575</v>
      </c>
      <c r="M30" s="1">
        <v>-0.22785173305289</v>
      </c>
      <c r="N30" s="1">
        <v>519.5875172679</v>
      </c>
      <c r="O30" s="1">
        <v>578.56697194673</v>
      </c>
    </row>
    <row r="31" spans="1:15">
      <c r="A31" s="1">
        <v>5.2066849390983</v>
      </c>
      <c r="B31" s="1">
        <v>0.014270824321031</v>
      </c>
      <c r="C31" s="1">
        <v>92.699689857476</v>
      </c>
      <c r="D31" s="1">
        <v>0.016263461554213</v>
      </c>
      <c r="E31" s="1">
        <v>-6.3407021284224</v>
      </c>
      <c r="F31" s="1">
        <v>-2.0802440925844</v>
      </c>
      <c r="G31" s="1">
        <v>8756246.8064542</v>
      </c>
      <c r="H31" s="1">
        <v>7949400.5167447</v>
      </c>
      <c r="I31" s="1">
        <v>-0.0073329474285073</v>
      </c>
      <c r="J31" s="1">
        <v>-0.0070375825461324</v>
      </c>
      <c r="K31" s="1">
        <v>0.015497322149869</v>
      </c>
      <c r="L31" s="1">
        <v>-0.23589762621167</v>
      </c>
      <c r="M31" s="1">
        <v>-0.23883276331339</v>
      </c>
      <c r="N31" s="1">
        <v>520.75484770052</v>
      </c>
      <c r="O31" s="1">
        <v>580.15508936945</v>
      </c>
    </row>
    <row r="32" spans="1:15">
      <c r="A32" s="1">
        <v>5.4066849390983</v>
      </c>
      <c r="B32" s="1">
        <v>0.014899478680936</v>
      </c>
      <c r="C32" s="1">
        <v>92.699484755403</v>
      </c>
      <c r="D32" s="1">
        <v>0.016897416456252</v>
      </c>
      <c r="E32" s="1">
        <v>-6.3306271662369</v>
      </c>
      <c r="F32" s="1">
        <v>-2.0587976566018</v>
      </c>
      <c r="G32" s="1">
        <v>8791578.7065956</v>
      </c>
      <c r="H32" s="1">
        <v>8136427.8603763</v>
      </c>
      <c r="I32" s="1">
        <v>-0.0076329623780763</v>
      </c>
      <c r="J32" s="1">
        <v>-0.007325739718608</v>
      </c>
      <c r="K32" s="1">
        <v>0.01608776675206</v>
      </c>
      <c r="L32" s="1">
        <v>-0.2468344353219</v>
      </c>
      <c r="M32" s="1">
        <v>-0.24976824543462</v>
      </c>
      <c r="N32" s="1">
        <v>521.90116335644</v>
      </c>
      <c r="O32" s="1">
        <v>581.70162365909</v>
      </c>
    </row>
    <row r="33" spans="1:15">
      <c r="A33" s="1">
        <v>5.6066849390983</v>
      </c>
      <c r="B33" s="1">
        <v>0.015527873361532</v>
      </c>
      <c r="C33" s="1">
        <v>92.699285286556</v>
      </c>
      <c r="D33" s="1">
        <v>0.017531112310412</v>
      </c>
      <c r="E33" s="1">
        <v>-6.3315303174335</v>
      </c>
      <c r="F33" s="1">
        <v>-2.0483386599018</v>
      </c>
      <c r="G33" s="1">
        <v>8826940.9036005</v>
      </c>
      <c r="H33" s="1">
        <v>8323827.0620207</v>
      </c>
      <c r="I33" s="1">
        <v>-0.0079328580327288</v>
      </c>
      <c r="J33" s="1">
        <v>-0.0076137041055683</v>
      </c>
      <c r="K33" s="1">
        <v>0.016677857645857</v>
      </c>
      <c r="L33" s="1">
        <v>-0.25798738004012</v>
      </c>
      <c r="M33" s="1">
        <v>-0.2609386542315</v>
      </c>
      <c r="N33" s="1">
        <v>523.02817792803</v>
      </c>
      <c r="O33" s="1">
        <v>583.21093348709</v>
      </c>
    </row>
    <row r="34" spans="1:15">
      <c r="A34" s="1">
        <v>5.8066849390983</v>
      </c>
      <c r="B34" s="1">
        <v>0.016156020374825</v>
      </c>
      <c r="C34" s="1">
        <v>92.699094478412</v>
      </c>
      <c r="D34" s="1">
        <v>0.018164558565373</v>
      </c>
      <c r="E34" s="1">
        <v>-6.3086977899403</v>
      </c>
      <c r="F34" s="1">
        <v>-2.0615858981943</v>
      </c>
      <c r="G34" s="1">
        <v>8862329.9880074</v>
      </c>
      <c r="H34" s="1">
        <v>8511579.3373393</v>
      </c>
      <c r="I34" s="1">
        <v>-0.0082326310935455</v>
      </c>
      <c r="J34" s="1">
        <v>-0.0079014748405631</v>
      </c>
      <c r="K34" s="1">
        <v>0.017267595278351</v>
      </c>
      <c r="L34" s="1">
        <v>-0.26910692321618</v>
      </c>
      <c r="M34" s="1">
        <v>-0.27204337785591</v>
      </c>
      <c r="N34" s="1">
        <v>524.13755916392</v>
      </c>
      <c r="O34" s="1">
        <v>584.68653192724</v>
      </c>
    </row>
    <row r="35" spans="1:15">
      <c r="A35" s="1">
        <v>6.0066849390983</v>
      </c>
      <c r="B35" s="1">
        <v>0.016783931689354</v>
      </c>
      <c r="C35" s="1">
        <v>92.698889829191</v>
      </c>
      <c r="D35" s="1">
        <v>0.018797766718881</v>
      </c>
      <c r="E35" s="1">
        <v>-6.2985903194543</v>
      </c>
      <c r="F35" s="1">
        <v>-2.0621248796832</v>
      </c>
      <c r="G35" s="1">
        <v>8897742.7450489</v>
      </c>
      <c r="H35" s="1">
        <v>8699666.9068295</v>
      </c>
      <c r="I35" s="1">
        <v>-0.0085322805900926</v>
      </c>
      <c r="J35" s="1">
        <v>-0.0081890527379652</v>
      </c>
      <c r="K35" s="1">
        <v>0.017856980115853</v>
      </c>
      <c r="L35" s="1">
        <v>-0.28049712236378</v>
      </c>
      <c r="M35" s="1">
        <v>-0.2834254274282</v>
      </c>
      <c r="N35" s="1">
        <v>525.2303959379</v>
      </c>
      <c r="O35" s="1">
        <v>586.13171475172</v>
      </c>
    </row>
    <row r="36" spans="1:15">
      <c r="A36" s="1">
        <v>6.2066849390983</v>
      </c>
      <c r="B36" s="1">
        <v>0.017411616989326</v>
      </c>
      <c r="C36" s="1">
        <v>92.698689068677</v>
      </c>
      <c r="D36" s="1">
        <v>0.019430745801515</v>
      </c>
      <c r="E36" s="1">
        <v>-6.2951947909877</v>
      </c>
      <c r="F36" s="1">
        <v>-2.0559407815585</v>
      </c>
      <c r="G36" s="1">
        <v>8933176.2329487</v>
      </c>
      <c r="H36" s="1">
        <v>8888073.3223199</v>
      </c>
      <c r="I36" s="1">
        <v>-0.0088318034805655</v>
      </c>
      <c r="J36" s="1">
        <v>-0.0084764362312743</v>
      </c>
      <c r="K36" s="1">
        <v>0.018446012590767</v>
      </c>
      <c r="L36" s="1">
        <v>-0.29161045353187</v>
      </c>
      <c r="M36" s="1">
        <v>-0.29452983702731</v>
      </c>
      <c r="N36" s="1">
        <v>526.30797135725</v>
      </c>
      <c r="O36" s="1">
        <v>587.54875304328</v>
      </c>
    </row>
    <row r="37" spans="1:15">
      <c r="A37" s="1">
        <v>6.4066849390983</v>
      </c>
      <c r="B37" s="1">
        <v>0.018039084491959</v>
      </c>
      <c r="C37" s="1">
        <v>92.698486086277</v>
      </c>
      <c r="D37" s="1">
        <v>0.020063505467131</v>
      </c>
      <c r="E37" s="1">
        <v>-6.2918788296505</v>
      </c>
      <c r="F37" s="1">
        <v>-2.0496723855827</v>
      </c>
      <c r="G37" s="1">
        <v>8968627.8094818</v>
      </c>
      <c r="H37" s="1">
        <v>9076783.6072039</v>
      </c>
      <c r="I37" s="1">
        <v>-0.0091311993765011</v>
      </c>
      <c r="J37" s="1">
        <v>-0.0087636269392087</v>
      </c>
      <c r="K37" s="1">
        <v>0.019034693162369</v>
      </c>
      <c r="L37" s="1">
        <v>-0.30297968196735</v>
      </c>
      <c r="M37" s="1">
        <v>-0.30590539132175</v>
      </c>
      <c r="N37" s="1">
        <v>527.37113124288</v>
      </c>
      <c r="O37" s="1">
        <v>588.94033140743</v>
      </c>
    </row>
    <row r="38" spans="1:15">
      <c r="A38" s="1">
        <v>6.6066849390983</v>
      </c>
      <c r="B38" s="1">
        <v>0.018666340911271</v>
      </c>
      <c r="C38" s="1">
        <v>92.698283444192</v>
      </c>
      <c r="D38" s="1">
        <v>0.020696051997693</v>
      </c>
      <c r="E38" s="1">
        <v>-6.284326799762</v>
      </c>
      <c r="F38" s="1">
        <v>-2.0586075095235</v>
      </c>
      <c r="G38" s="1">
        <v>9004095.1599644</v>
      </c>
      <c r="H38" s="1">
        <v>9265784.3932745</v>
      </c>
      <c r="I38" s="1">
        <v>-0.009430465869624</v>
      </c>
      <c r="J38" s="1">
        <v>-0.0090506245876567</v>
      </c>
      <c r="K38" s="1">
        <v>0.019623022247123</v>
      </c>
      <c r="L38" s="1">
        <v>-0.31432583725952</v>
      </c>
      <c r="M38" s="1">
        <v>-0.31724689262947</v>
      </c>
      <c r="N38" s="1">
        <v>528.4207459829</v>
      </c>
      <c r="O38" s="1">
        <v>590.30797660227</v>
      </c>
    </row>
    <row r="39" spans="1:15">
      <c r="A39" s="1">
        <v>6.8066849390983</v>
      </c>
      <c r="B39" s="1">
        <v>0.019293390771339</v>
      </c>
      <c r="C39" s="1">
        <v>92.698069114507</v>
      </c>
      <c r="D39" s="1">
        <v>0.021328392487899</v>
      </c>
      <c r="E39" s="1">
        <v>-6.2851732766816</v>
      </c>
      <c r="F39" s="1">
        <v>-2.0591588503115</v>
      </c>
      <c r="G39" s="1">
        <v>9039576.0444169</v>
      </c>
      <c r="H39" s="1">
        <v>9455062.6411813</v>
      </c>
      <c r="I39" s="1">
        <v>-0.0097296010110757</v>
      </c>
      <c r="J39" s="1">
        <v>-0.0093374305485723</v>
      </c>
      <c r="K39" s="1">
        <v>0.020211000290388</v>
      </c>
      <c r="L39" s="1">
        <v>-0.32578987011189</v>
      </c>
      <c r="M39" s="1">
        <v>-0.32868871222592</v>
      </c>
      <c r="N39" s="1">
        <v>529.45762806031</v>
      </c>
      <c r="O39" s="1">
        <v>591.65356116631</v>
      </c>
    </row>
    <row r="40" spans="1:15">
      <c r="A40" s="1">
        <v>7.0066849390983</v>
      </c>
      <c r="B40" s="1">
        <v>0.019920240044389</v>
      </c>
      <c r="C40" s="1">
        <v>92.697831393319</v>
      </c>
      <c r="D40" s="1">
        <v>0.021960532933893</v>
      </c>
      <c r="E40" s="1">
        <v>-6.2850611135844</v>
      </c>
      <c r="F40" s="1">
        <v>-2.0478185648583</v>
      </c>
      <c r="G40" s="1">
        <v>9075068.4500664</v>
      </c>
      <c r="H40" s="1">
        <v>9644606.4542599</v>
      </c>
      <c r="I40" s="1">
        <v>-0.010028601742602</v>
      </c>
      <c r="J40" s="1">
        <v>-0.0096240469969829</v>
      </c>
      <c r="K40" s="1">
        <v>0.020798627716989</v>
      </c>
      <c r="L40" s="1">
        <v>-0.33731934355182</v>
      </c>
      <c r="M40" s="1">
        <v>-0.34021798754554</v>
      </c>
      <c r="N40" s="1">
        <v>530.48234539812</v>
      </c>
      <c r="O40" s="1">
        <v>592.97845776301</v>
      </c>
    </row>
    <row r="41" spans="1:15">
      <c r="A41" s="1">
        <v>7.2066849390983</v>
      </c>
      <c r="B41" s="1">
        <v>0.020546894586731</v>
      </c>
      <c r="C41" s="1">
        <v>92.697628212517</v>
      </c>
      <c r="D41" s="1">
        <v>0.022592478660435</v>
      </c>
      <c r="E41" s="1">
        <v>-6.272930970796</v>
      </c>
      <c r="F41" s="1">
        <v>-2.0613002647089</v>
      </c>
      <c r="G41" s="1">
        <v>9110570.434411</v>
      </c>
      <c r="H41" s="1">
        <v>9834404.2599332</v>
      </c>
      <c r="I41" s="1">
        <v>-0.010327465500824</v>
      </c>
      <c r="J41" s="1">
        <v>-0.0099104749256568</v>
      </c>
      <c r="K41" s="1">
        <v>0.021385904941618</v>
      </c>
      <c r="L41" s="1">
        <v>-0.34882159139644</v>
      </c>
      <c r="M41" s="1">
        <v>-0.35171129599357</v>
      </c>
      <c r="N41" s="1">
        <v>531.49561234578</v>
      </c>
      <c r="O41" s="1">
        <v>594.2840503313</v>
      </c>
    </row>
    <row r="42" spans="1:15">
      <c r="A42" s="1">
        <v>7.4066849390983</v>
      </c>
      <c r="B42" s="1">
        <v>0.021173359827022</v>
      </c>
      <c r="C42" s="1">
        <v>92.697415556375</v>
      </c>
      <c r="D42" s="1">
        <v>0.023224236312456</v>
      </c>
      <c r="E42" s="1">
        <v>-6.2627550019507</v>
      </c>
      <c r="F42" s="1">
        <v>-2.0618650143902</v>
      </c>
      <c r="G42" s="1">
        <v>9146080.0640588</v>
      </c>
      <c r="H42" s="1">
        <v>10024444.523659</v>
      </c>
      <c r="I42" s="1">
        <v>-0.01062619033267</v>
      </c>
      <c r="J42" s="1">
        <v>-0.010196716432093</v>
      </c>
      <c r="K42" s="1">
        <v>0.021972832395039</v>
      </c>
      <c r="L42" s="1">
        <v>-0.36048855212039</v>
      </c>
      <c r="M42" s="1">
        <v>-0.36337414187042</v>
      </c>
      <c r="N42" s="1">
        <v>532.49800642429</v>
      </c>
      <c r="O42" s="1">
        <v>595.57186482846</v>
      </c>
    </row>
    <row r="43" spans="1:15">
      <c r="A43" s="1">
        <v>7.6066849390983</v>
      </c>
      <c r="B43" s="1">
        <v>0.021799642840746</v>
      </c>
      <c r="C43" s="1">
        <v>92.697198863268</v>
      </c>
      <c r="D43" s="1">
        <v>0.023855811216057</v>
      </c>
      <c r="E43" s="1">
        <v>-6.3031481655328</v>
      </c>
      <c r="F43" s="1">
        <v>-2.0777667203454</v>
      </c>
      <c r="G43" s="1">
        <v>9181595.5948553</v>
      </c>
      <c r="H43" s="1">
        <v>10214716.682447</v>
      </c>
      <c r="I43" s="1">
        <v>-0.010924773555958</v>
      </c>
      <c r="J43" s="1">
        <v>-0.010482772466507</v>
      </c>
      <c r="K43" s="1">
        <v>0.02255941049224</v>
      </c>
      <c r="L43" s="1">
        <v>-0.37206305993152</v>
      </c>
      <c r="M43" s="1">
        <v>-0.37494400869154</v>
      </c>
      <c r="N43" s="1">
        <v>533.49000550104</v>
      </c>
      <c r="O43" s="1">
        <v>596.8427992059</v>
      </c>
    </row>
    <row r="44" spans="1:15">
      <c r="A44" s="1">
        <v>7.8066849390983</v>
      </c>
      <c r="B44" s="1">
        <v>0.022425749867995</v>
      </c>
      <c r="C44" s="1">
        <v>92.697023700886</v>
      </c>
      <c r="D44" s="1">
        <v>0.024487209532701</v>
      </c>
      <c r="E44" s="1">
        <v>-6.3198017873952</v>
      </c>
      <c r="F44" s="1">
        <v>-2.0954090513414</v>
      </c>
      <c r="G44" s="1">
        <v>9217115.3444262</v>
      </c>
      <c r="H44" s="1">
        <v>10405210.444023</v>
      </c>
      <c r="I44" s="1">
        <v>-0.011223214102772</v>
      </c>
      <c r="J44" s="1">
        <v>-0.010768644835167</v>
      </c>
      <c r="K44" s="1">
        <v>0.02314563964925</v>
      </c>
      <c r="L44" s="1">
        <v>-0.38377940773693</v>
      </c>
      <c r="M44" s="1">
        <v>-0.38663732439124</v>
      </c>
      <c r="N44" s="1">
        <v>534.4719388474</v>
      </c>
      <c r="O44" s="1">
        <v>598.0979863429</v>
      </c>
    </row>
    <row r="45" spans="1:15">
      <c r="A45" s="1">
        <v>8.0066849390983</v>
      </c>
      <c r="B45" s="1">
        <v>0.023051686176522</v>
      </c>
      <c r="C45" s="1">
        <v>92.696835017624</v>
      </c>
      <c r="D45" s="1">
        <v>0.025118436539712</v>
      </c>
      <c r="E45" s="1">
        <v>-6.3012858096151</v>
      </c>
      <c r="F45" s="1">
        <v>-2.1152768541146</v>
      </c>
      <c r="G45" s="1">
        <v>9252637.6452261</v>
      </c>
      <c r="H45" s="1">
        <v>10595915.597563</v>
      </c>
      <c r="I45" s="1">
        <v>-0.011521509595313</v>
      </c>
      <c r="J45" s="1">
        <v>-0.011054334524505</v>
      </c>
      <c r="K45" s="1">
        <v>0.023731520291163</v>
      </c>
      <c r="L45" s="1">
        <v>-0.39548137771454</v>
      </c>
      <c r="M45" s="1">
        <v>-0.39834571297419</v>
      </c>
      <c r="N45" s="1">
        <v>535.4443933837</v>
      </c>
      <c r="O45" s="1">
        <v>599.33843832982</v>
      </c>
    </row>
    <row r="46" spans="1:15">
      <c r="A46" s="1">
        <v>8.2066849390983</v>
      </c>
      <c r="B46" s="1">
        <v>0.023677457230875</v>
      </c>
      <c r="C46" s="1">
        <v>92.69663075547</v>
      </c>
      <c r="D46" s="1">
        <v>0.02574949783868</v>
      </c>
      <c r="E46" s="1">
        <v>-6.2869268868631</v>
      </c>
      <c r="F46" s="1">
        <v>-2.1309914904379</v>
      </c>
      <c r="G46" s="1">
        <v>9288160.9842874</v>
      </c>
      <c r="H46" s="1">
        <v>10786822.673682</v>
      </c>
      <c r="I46" s="1">
        <v>-0.011819658374589</v>
      </c>
      <c r="J46" s="1">
        <v>-0.011339843489105</v>
      </c>
      <c r="K46" s="1">
        <v>0.024317052835338</v>
      </c>
      <c r="L46" s="1">
        <v>-0.40732326074822</v>
      </c>
      <c r="M46" s="1">
        <v>-0.41018197388395</v>
      </c>
      <c r="N46" s="1">
        <v>536.40772246491</v>
      </c>
      <c r="O46" s="1">
        <v>600.5650864015</v>
      </c>
    </row>
    <row r="47" spans="1:15">
      <c r="A47" s="1">
        <v>8.4066849390983</v>
      </c>
      <c r="B47" s="1">
        <v>0.024303067803467</v>
      </c>
      <c r="C47" s="1">
        <v>92.696416066287</v>
      </c>
      <c r="D47" s="1">
        <v>0.026380397737393</v>
      </c>
      <c r="E47" s="1">
        <v>-6.3316401446013</v>
      </c>
      <c r="F47" s="1">
        <v>-2.1535543157635</v>
      </c>
      <c r="G47" s="1">
        <v>9323683.9718359</v>
      </c>
      <c r="H47" s="1">
        <v>10977922.824651</v>
      </c>
      <c r="I47" s="1">
        <v>-0.012117658184033</v>
      </c>
      <c r="J47" s="1">
        <v>-0.011625172798382</v>
      </c>
      <c r="K47" s="1">
        <v>0.024902237704713</v>
      </c>
      <c r="L47" s="1">
        <v>-0.41913523318982</v>
      </c>
      <c r="M47" s="1">
        <v>-0.4219720445317</v>
      </c>
      <c r="N47" s="1">
        <v>537.36231925381</v>
      </c>
      <c r="O47" s="1">
        <v>601.77851244802</v>
      </c>
    </row>
    <row r="48" spans="1:15">
      <c r="A48" s="1">
        <v>8.6066849390983</v>
      </c>
      <c r="B48" s="1">
        <v>0.024928522859507</v>
      </c>
      <c r="C48" s="1">
        <v>92.696192312639</v>
      </c>
      <c r="D48" s="1">
        <v>0.027011140792633</v>
      </c>
      <c r="E48" s="1">
        <v>-6.3981890257544</v>
      </c>
      <c r="F48" s="1">
        <v>-2.1735910319974</v>
      </c>
      <c r="G48" s="1">
        <v>9359205.3410395</v>
      </c>
      <c r="H48" s="1">
        <v>11169207.810109</v>
      </c>
      <c r="I48" s="1">
        <v>-0.012415507513082</v>
      </c>
      <c r="J48" s="1">
        <v>-0.011910324127469</v>
      </c>
      <c r="K48" s="1">
        <v>0.025487075329032</v>
      </c>
      <c r="L48" s="1">
        <v>-0.43093109391509</v>
      </c>
      <c r="M48" s="1">
        <v>-0.4337714010819</v>
      </c>
      <c r="N48" s="1">
        <v>538.30837478755</v>
      </c>
      <c r="O48" s="1">
        <v>602.97928475997</v>
      </c>
    </row>
    <row r="49" spans="1:15">
      <c r="A49" s="1">
        <v>8.8066849390982</v>
      </c>
      <c r="B49" s="1">
        <v>0.025553825438188</v>
      </c>
      <c r="C49" s="1">
        <v>92.695963707542</v>
      </c>
      <c r="D49" s="1">
        <v>0.027641731845356</v>
      </c>
      <c r="E49" s="1">
        <v>-6.4209200199707</v>
      </c>
      <c r="F49" s="1">
        <v>-2.1741908639751</v>
      </c>
      <c r="G49" s="1">
        <v>9394723.7402415</v>
      </c>
      <c r="H49" s="1">
        <v>11360668.935742</v>
      </c>
      <c r="I49" s="1">
        <v>-0.012713205235137</v>
      </c>
      <c r="J49" s="1">
        <v>-0.012195298878724</v>
      </c>
      <c r="K49" s="1">
        <v>0.026071566132998</v>
      </c>
      <c r="L49" s="1">
        <v>-0.44289309304872</v>
      </c>
      <c r="M49" s="1">
        <v>-0.44573119666493</v>
      </c>
      <c r="N49" s="1">
        <v>539.24632092276</v>
      </c>
      <c r="O49" s="1">
        <v>604.16824041823</v>
      </c>
    </row>
    <row r="50" spans="1:15">
      <c r="A50" s="1">
        <v>9.0066849390982</v>
      </c>
      <c r="B50" s="1">
        <v>0.026178980199465</v>
      </c>
      <c r="C50" s="1">
        <v>92.695731109419</v>
      </c>
      <c r="D50" s="1">
        <v>0.028272174772953</v>
      </c>
      <c r="E50" s="1">
        <v>-6.4436469718505</v>
      </c>
      <c r="F50" s="1">
        <v>-2.1638061523811</v>
      </c>
      <c r="G50" s="1">
        <v>9430237.9587723</v>
      </c>
      <c r="H50" s="1">
        <v>11552298.23606</v>
      </c>
      <c r="I50" s="1">
        <v>-0.013010750421195</v>
      </c>
      <c r="J50" s="1">
        <v>-0.012480096805639</v>
      </c>
      <c r="K50" s="1">
        <v>0.026655710541985</v>
      </c>
      <c r="L50" s="1">
        <v>-0.45482622419493</v>
      </c>
      <c r="M50" s="1">
        <v>-0.45764411011783</v>
      </c>
      <c r="N50" s="1">
        <v>540.17648412421</v>
      </c>
      <c r="O50" s="1">
        <v>605.34577625354</v>
      </c>
    </row>
    <row r="51" spans="1:15">
      <c r="A51" s="1">
        <v>9.2066849390982</v>
      </c>
      <c r="B51" s="1">
        <v>0.026803991929443</v>
      </c>
      <c r="C51" s="1">
        <v>92.695494779343</v>
      </c>
      <c r="D51" s="1">
        <v>0.028902474008135</v>
      </c>
      <c r="E51" s="1">
        <v>-6.4553836517205</v>
      </c>
      <c r="F51" s="1">
        <v>-2.1644096100145</v>
      </c>
      <c r="G51" s="1">
        <v>9465746.8611927</v>
      </c>
      <c r="H51" s="1">
        <v>11744088.142456</v>
      </c>
      <c r="I51" s="1">
        <v>-0.013308143496288</v>
      </c>
      <c r="J51" s="1">
        <v>-0.012764717992059</v>
      </c>
      <c r="K51" s="1">
        <v>0.027239508984043</v>
      </c>
      <c r="L51" s="1">
        <v>-0.46677311089016</v>
      </c>
      <c r="M51" s="1">
        <v>-0.46959982566796</v>
      </c>
      <c r="N51" s="1">
        <v>541.09896495583</v>
      </c>
      <c r="O51" s="1">
        <v>606.51232836231</v>
      </c>
    </row>
    <row r="52" spans="1:15">
      <c r="A52" s="1">
        <v>9.4066849390982</v>
      </c>
      <c r="B52" s="1">
        <v>0.027428863874373</v>
      </c>
      <c r="C52" s="1">
        <v>92.695262308388</v>
      </c>
      <c r="D52" s="1">
        <v>0.029532633511373</v>
      </c>
      <c r="E52" s="1">
        <v>-6.4781026813879</v>
      </c>
      <c r="F52" s="1">
        <v>-2.1540285506265</v>
      </c>
      <c r="G52" s="1">
        <v>9501249.2912258</v>
      </c>
      <c r="H52" s="1">
        <v>11936030.934494</v>
      </c>
      <c r="I52" s="1">
        <v>-0.013605383803679</v>
      </c>
      <c r="J52" s="1">
        <v>-0.013049162642084</v>
      </c>
      <c r="K52" s="1">
        <v>0.027822961881776</v>
      </c>
      <c r="L52" s="1">
        <v>-0.47874902228952</v>
      </c>
      <c r="M52" s="1">
        <v>-0.48156569695663</v>
      </c>
      <c r="N52" s="1">
        <v>542.01415191729</v>
      </c>
      <c r="O52" s="1">
        <v>607.66844360972</v>
      </c>
    </row>
    <row r="53" spans="1:15">
      <c r="A53" s="1">
        <v>9.6066849390982</v>
      </c>
      <c r="B53" s="1">
        <v>0.028053600368023</v>
      </c>
      <c r="C53" s="1">
        <v>92.695026039529</v>
      </c>
      <c r="D53" s="1">
        <v>0.030162657680921</v>
      </c>
      <c r="E53" s="1">
        <v>-6.5074913878101</v>
      </c>
      <c r="F53" s="1">
        <v>-2.1589389090454</v>
      </c>
      <c r="G53" s="1">
        <v>9536744.1776272</v>
      </c>
      <c r="H53" s="1">
        <v>12128119.360429</v>
      </c>
      <c r="I53" s="1">
        <v>-0.013902471576011</v>
      </c>
      <c r="J53" s="1">
        <v>-0.013333431056224</v>
      </c>
      <c r="K53" s="1">
        <v>0.028406069662065</v>
      </c>
      <c r="L53" s="1">
        <v>-0.49081478512432</v>
      </c>
      <c r="M53" s="1">
        <v>-0.49361410441699</v>
      </c>
      <c r="N53" s="1">
        <v>542.92213826942</v>
      </c>
      <c r="O53" s="1">
        <v>608.81447878467</v>
      </c>
    </row>
    <row r="54" spans="1:15">
      <c r="A54" s="1">
        <v>9.8066849390982</v>
      </c>
      <c r="B54" s="1">
        <v>0.028678206094792</v>
      </c>
      <c r="C54" s="1">
        <v>92.694796642138</v>
      </c>
      <c r="D54" s="1">
        <v>0.030792550274959</v>
      </c>
      <c r="E54" s="1">
        <v>-6.503952577528</v>
      </c>
      <c r="F54" s="1">
        <v>-2.1638191779782</v>
      </c>
      <c r="G54" s="1">
        <v>9572230.5204319</v>
      </c>
      <c r="H54" s="1">
        <v>12320346.530906</v>
      </c>
      <c r="I54" s="1">
        <v>-0.014199405974121</v>
      </c>
      <c r="J54" s="1">
        <v>-0.013617523909902</v>
      </c>
      <c r="K54" s="1">
        <v>0.028988832743519</v>
      </c>
      <c r="L54" s="1">
        <v>-0.50290168639721</v>
      </c>
      <c r="M54" s="1">
        <v>-0.50570520424853</v>
      </c>
      <c r="N54" s="1">
        <v>543.8230718409</v>
      </c>
      <c r="O54" s="1">
        <v>609.9506955494</v>
      </c>
    </row>
    <row r="55" spans="1:15">
      <c r="A55" s="1">
        <v>10.006684939098</v>
      </c>
      <c r="B55" s="1">
        <v>0.029302683317518</v>
      </c>
      <c r="C55" s="1">
        <v>92.694546376465</v>
      </c>
      <c r="D55" s="1">
        <v>0.031422314980086</v>
      </c>
      <c r="E55" s="1">
        <v>-6.5309113170104</v>
      </c>
      <c r="F55" s="1">
        <v>-2.1796709836505</v>
      </c>
      <c r="G55" s="1">
        <v>9607707.2299945</v>
      </c>
      <c r="H55" s="1">
        <v>12512705.074756</v>
      </c>
      <c r="I55" s="1">
        <v>-0.01449618607666</v>
      </c>
      <c r="J55" s="1">
        <v>-0.013901441662715</v>
      </c>
      <c r="K55" s="1">
        <v>0.029571251545259</v>
      </c>
      <c r="L55" s="1">
        <v>-0.51503145698324</v>
      </c>
      <c r="M55" s="1">
        <v>-0.51781705462796</v>
      </c>
      <c r="N55" s="1">
        <v>544.71736889639</v>
      </c>
      <c r="O55" s="1">
        <v>611.07765057591</v>
      </c>
    </row>
    <row r="56" spans="1:15">
      <c r="A56" s="1">
        <v>10.206684939098</v>
      </c>
      <c r="B56" s="1">
        <v>0.029927036706435</v>
      </c>
      <c r="C56" s="1">
        <v>92.694283180257</v>
      </c>
      <c r="D56" s="1">
        <v>0.032051955766525</v>
      </c>
      <c r="E56" s="1">
        <v>-6.5481863160736</v>
      </c>
      <c r="F56" s="1">
        <v>-2.1835902582724</v>
      </c>
      <c r="G56" s="1">
        <v>9643173.3546385</v>
      </c>
      <c r="H56" s="1">
        <v>12705188.36432</v>
      </c>
      <c r="I56" s="1">
        <v>-0.014792812273419</v>
      </c>
      <c r="J56" s="1">
        <v>-0.01418518481574</v>
      </c>
      <c r="K56" s="1">
        <v>0.03015332648627</v>
      </c>
      <c r="L56" s="1">
        <v>-0.52732115128548</v>
      </c>
      <c r="M56" s="1">
        <v>-0.53010147749283</v>
      </c>
      <c r="N56" s="1">
        <v>545.60507974314</v>
      </c>
      <c r="O56" s="1">
        <v>612.19572375368</v>
      </c>
    </row>
    <row r="57" spans="1:15">
      <c r="A57" s="1">
        <v>10.406684939098</v>
      </c>
      <c r="B57" s="1">
        <v>0.030551269956594</v>
      </c>
      <c r="C57" s="1">
        <v>92.694025002525</v>
      </c>
      <c r="D57" s="1">
        <v>0.03268147604632</v>
      </c>
      <c r="E57" s="1">
        <v>-6.5708785018281</v>
      </c>
      <c r="F57" s="1">
        <v>-2.1842096040622</v>
      </c>
      <c r="G57" s="1">
        <v>9678627.9918464</v>
      </c>
      <c r="H57" s="1">
        <v>12897790.005401</v>
      </c>
      <c r="I57" s="1">
        <v>-0.015089283569674</v>
      </c>
      <c r="J57" s="1">
        <v>-0.014468752695906</v>
      </c>
      <c r="K57" s="1">
        <v>0.030735057975179</v>
      </c>
      <c r="L57" s="1">
        <v>-0.53940225849966</v>
      </c>
      <c r="M57" s="1">
        <v>-0.5421912290108</v>
      </c>
      <c r="N57" s="1">
        <v>546.48640806418</v>
      </c>
      <c r="O57" s="1">
        <v>613.30485937675</v>
      </c>
    </row>
    <row r="58" spans="1:15">
      <c r="A58" s="1">
        <v>10.606684939098</v>
      </c>
      <c r="B58" s="1">
        <v>0.031175385044648</v>
      </c>
      <c r="C58" s="1">
        <v>92.693766135347</v>
      </c>
      <c r="D58" s="1">
        <v>0.033310879024768</v>
      </c>
      <c r="E58" s="1">
        <v>-6.6155401973992</v>
      </c>
      <c r="F58" s="1">
        <v>-2.1848304295299</v>
      </c>
      <c r="G58" s="1">
        <v>9714070.1646087</v>
      </c>
      <c r="H58" s="1">
        <v>13090503.200293</v>
      </c>
      <c r="I58" s="1">
        <v>-0.015385600470705</v>
      </c>
      <c r="J58" s="1">
        <v>-0.014752145758946</v>
      </c>
      <c r="K58" s="1">
        <v>0.031316446428134</v>
      </c>
      <c r="L58" s="1">
        <v>-0.55159427144243</v>
      </c>
      <c r="M58" s="1">
        <v>-0.5543703883844</v>
      </c>
      <c r="N58" s="1">
        <v>547.36173570239</v>
      </c>
      <c r="O58" s="1">
        <v>614.40583993678</v>
      </c>
    </row>
    <row r="59" spans="1:15">
      <c r="A59" s="1">
        <v>10.806684939098</v>
      </c>
      <c r="B59" s="1">
        <v>0.031799386364071</v>
      </c>
      <c r="C59" s="1">
        <v>92.69351264661</v>
      </c>
      <c r="D59" s="1">
        <v>0.033940168125527</v>
      </c>
      <c r="E59" s="1">
        <v>-6.6601989788955</v>
      </c>
      <c r="F59" s="1">
        <v>-2.1964389958898</v>
      </c>
      <c r="G59" s="1">
        <v>9749499.140993</v>
      </c>
      <c r="H59" s="1">
        <v>13283322.447532</v>
      </c>
      <c r="I59" s="1">
        <v>-0.015681763236713</v>
      </c>
      <c r="J59" s="1">
        <v>-0.015035364224136</v>
      </c>
      <c r="K59" s="1">
        <v>0.03189749225516</v>
      </c>
      <c r="L59" s="1">
        <v>-0.56381484207319</v>
      </c>
      <c r="M59" s="1">
        <v>-0.56659607718045</v>
      </c>
      <c r="N59" s="1">
        <v>548.23089233053</v>
      </c>
      <c r="O59" s="1">
        <v>615.49854347453</v>
      </c>
    </row>
    <row r="60" spans="1:15">
      <c r="A60" s="1">
        <v>11.006684939098</v>
      </c>
      <c r="B60" s="1">
        <v>0.032423276052887</v>
      </c>
      <c r="C60" s="1">
        <v>92.693251986251</v>
      </c>
      <c r="D60" s="1">
        <v>0.034569346384608</v>
      </c>
      <c r="E60" s="1">
        <v>-6.7045649464055</v>
      </c>
      <c r="F60" s="1">
        <v>-2.2052314750231</v>
      </c>
      <c r="G60" s="1">
        <v>9784914.1196838</v>
      </c>
      <c r="H60" s="1">
        <v>13476241.823888</v>
      </c>
      <c r="I60" s="1">
        <v>-0.015977771795852</v>
      </c>
      <c r="J60" s="1">
        <v>-0.015318408670302</v>
      </c>
      <c r="K60" s="1">
        <v>0.032478195861448</v>
      </c>
      <c r="L60" s="1">
        <v>-0.57620621309372</v>
      </c>
      <c r="M60" s="1">
        <v>-0.57898479394</v>
      </c>
      <c r="N60" s="1">
        <v>549.09409382148</v>
      </c>
      <c r="O60" s="1">
        <v>616.58335059084</v>
      </c>
    </row>
    <row r="61" spans="1:15">
      <c r="A61" s="1">
        <v>11.206684939098</v>
      </c>
      <c r="B61" s="1">
        <v>0.033047056589779</v>
      </c>
      <c r="C61" s="1">
        <v>92.692991958429</v>
      </c>
      <c r="D61" s="1">
        <v>0.035198416131391</v>
      </c>
      <c r="E61" s="1">
        <v>-6.7228662373204</v>
      </c>
      <c r="F61" s="1">
        <v>-2.1992411482002</v>
      </c>
      <c r="G61" s="1">
        <v>9820314.323603</v>
      </c>
      <c r="H61" s="1">
        <v>13669255.555437</v>
      </c>
      <c r="I61" s="1">
        <v>-0.016273624801288</v>
      </c>
      <c r="J61" s="1">
        <v>-0.0156012781794</v>
      </c>
      <c r="K61" s="1">
        <v>0.033058557661632</v>
      </c>
      <c r="L61" s="1">
        <v>-0.58833669436383</v>
      </c>
      <c r="M61" s="1">
        <v>-0.59110996949561</v>
      </c>
      <c r="N61" s="1">
        <v>549.95167552373</v>
      </c>
      <c r="O61" s="1">
        <v>617.66024984505</v>
      </c>
    </row>
    <row r="62" spans="1:15">
      <c r="A62" s="1">
        <v>11.406684939098</v>
      </c>
      <c r="B62" s="1">
        <v>0.033670730662911</v>
      </c>
      <c r="C62" s="1">
        <v>92.692729129805</v>
      </c>
      <c r="D62" s="1">
        <v>0.035827380871172</v>
      </c>
      <c r="E62" s="1">
        <v>-6.7235660934609</v>
      </c>
      <c r="F62" s="1">
        <v>-2.2108568039546</v>
      </c>
      <c r="G62" s="1">
        <v>9855699.0158592</v>
      </c>
      <c r="H62" s="1">
        <v>13862358.077148</v>
      </c>
      <c r="I62" s="1">
        <v>-0.016569323547043</v>
      </c>
      <c r="J62" s="1">
        <v>-0.015883974078761</v>
      </c>
      <c r="K62" s="1">
        <v>0.033638578066945</v>
      </c>
      <c r="L62" s="1">
        <v>-0.60067069462969</v>
      </c>
      <c r="M62" s="1">
        <v>-0.60344443177774</v>
      </c>
      <c r="N62" s="1">
        <v>550.803599538</v>
      </c>
      <c r="O62" s="1">
        <v>618.7297407845</v>
      </c>
    </row>
    <row r="63" spans="1:15">
      <c r="A63" s="1">
        <v>11.606684939098</v>
      </c>
      <c r="B63" s="1">
        <v>0.034294302612197</v>
      </c>
      <c r="C63" s="1">
        <v>92.692464037312</v>
      </c>
      <c r="D63" s="1">
        <v>0.036456243652692</v>
      </c>
      <c r="E63" s="1">
        <v>-6.7242632099562</v>
      </c>
      <c r="F63" s="1">
        <v>-2.2224737710212</v>
      </c>
      <c r="G63" s="1">
        <v>9891067.5162586</v>
      </c>
      <c r="H63" s="1">
        <v>14055544.162306</v>
      </c>
      <c r="I63" s="1">
        <v>-0.016864867958459</v>
      </c>
      <c r="J63" s="1">
        <v>-0.016166496267525</v>
      </c>
      <c r="K63" s="1">
        <v>0.034218257483074</v>
      </c>
      <c r="L63" s="1">
        <v>-0.61307623346026</v>
      </c>
      <c r="M63" s="1">
        <v>-0.61583925220971</v>
      </c>
      <c r="N63" s="1">
        <v>551.64983044148</v>
      </c>
      <c r="O63" s="1">
        <v>619.79173782518</v>
      </c>
    </row>
    <row r="64" spans="1:15">
      <c r="A64" s="1">
        <v>11.806684939098</v>
      </c>
      <c r="B64" s="1">
        <v>0.034917774854269</v>
      </c>
      <c r="C64" s="1">
        <v>92.692197011973</v>
      </c>
      <c r="D64" s="1">
        <v>0.037085007310859</v>
      </c>
      <c r="E64" s="1">
        <v>-6.7579166563808</v>
      </c>
      <c r="F64" s="1">
        <v>-2.2340920729371</v>
      </c>
      <c r="G64" s="1">
        <v>9926419.0252847</v>
      </c>
      <c r="H64" s="1">
        <v>14248807.943912</v>
      </c>
      <c r="I64" s="1">
        <v>-0.017160257558072</v>
      </c>
      <c r="J64" s="1">
        <v>-0.016448844249102</v>
      </c>
      <c r="K64" s="1">
        <v>0.034797596326711</v>
      </c>
      <c r="L64" s="1">
        <v>-0.62541673846935</v>
      </c>
      <c r="M64" s="1">
        <v>-0.62818220062945</v>
      </c>
      <c r="N64" s="1">
        <v>552.4907567663</v>
      </c>
      <c r="O64" s="1">
        <v>620.84663862174</v>
      </c>
    </row>
    <row r="65" spans="1:15">
      <c r="A65" s="1">
        <v>12.006684939098</v>
      </c>
      <c r="B65" s="1">
        <v>0.03554115003946</v>
      </c>
      <c r="C65" s="1">
        <v>92.691928204762</v>
      </c>
      <c r="D65" s="1">
        <v>0.037713675067093</v>
      </c>
      <c r="E65" s="1">
        <v>-6.7695947735654</v>
      </c>
      <c r="F65" s="1">
        <v>-2.2347252882604</v>
      </c>
      <c r="G65" s="1">
        <v>9961752.8090194</v>
      </c>
      <c r="H65" s="1">
        <v>14442143.915866</v>
      </c>
      <c r="I65" s="1">
        <v>-0.017455492613054</v>
      </c>
      <c r="J65" s="1">
        <v>-0.016731018580445</v>
      </c>
      <c r="K65" s="1">
        <v>0.035376594997072</v>
      </c>
      <c r="L65" s="1">
        <v>-0.63784212910633</v>
      </c>
      <c r="M65" s="1">
        <v>-0.6405953513231</v>
      </c>
      <c r="N65" s="1">
        <v>553.32646852407</v>
      </c>
      <c r="O65" s="1">
        <v>621.89473773007</v>
      </c>
    </row>
    <row r="66" spans="1:15">
      <c r="A66" s="1">
        <v>12.206684939098</v>
      </c>
      <c r="B66" s="1">
        <v>0.036164431636573</v>
      </c>
      <c r="C66" s="1">
        <v>92.691657674612</v>
      </c>
      <c r="D66" s="1">
        <v>0.03834224990867</v>
      </c>
      <c r="E66" s="1">
        <v>-6.7922566627516</v>
      </c>
      <c r="F66" s="1">
        <v>-2.2353597545913</v>
      </c>
      <c r="G66" s="1">
        <v>9997068.2199458</v>
      </c>
      <c r="H66" s="1">
        <v>14635547.02079</v>
      </c>
      <c r="I66" s="1">
        <v>-0.017750573060615</v>
      </c>
      <c r="J66" s="1">
        <v>-0.017013019209387</v>
      </c>
      <c r="K66" s="1">
        <v>0.035955253908151</v>
      </c>
      <c r="L66" s="1">
        <v>-0.65027275348848</v>
      </c>
      <c r="M66" s="1">
        <v>-0.65302711398858</v>
      </c>
      <c r="N66" s="1">
        <v>554.15706777004</v>
      </c>
      <c r="O66" s="1">
        <v>622.93615555624</v>
      </c>
    </row>
    <row r="67" spans="1:15">
      <c r="A67" s="1">
        <v>12.406684939098</v>
      </c>
      <c r="B67" s="1">
        <v>0.036787622858526</v>
      </c>
      <c r="C67" s="1">
        <v>92.691369980015</v>
      </c>
      <c r="D67" s="1">
        <v>0.038970734654075</v>
      </c>
      <c r="E67" s="1">
        <v>-6.7917851854447</v>
      </c>
      <c r="F67" s="1">
        <v>-2.2348388936972</v>
      </c>
      <c r="G67" s="1">
        <v>10032364.614198</v>
      </c>
      <c r="H67" s="1">
        <v>14829012.244725</v>
      </c>
      <c r="I67" s="1">
        <v>-0.018045498816197</v>
      </c>
      <c r="J67" s="1">
        <v>-0.017294846554554</v>
      </c>
      <c r="K67" s="1">
        <v>0.036533573459603</v>
      </c>
      <c r="L67" s="1">
        <v>-0.66272536778519</v>
      </c>
      <c r="M67" s="1">
        <v>-0.66547098972732</v>
      </c>
      <c r="N67" s="1">
        <v>554.98258729964</v>
      </c>
      <c r="O67" s="1">
        <v>623.97099868523</v>
      </c>
    </row>
    <row r="68" spans="1:15">
      <c r="A68" s="1">
        <v>12.606684939098</v>
      </c>
      <c r="B68" s="1">
        <v>0.03741072664935</v>
      </c>
      <c r="C68" s="1">
        <v>92.691081992875</v>
      </c>
      <c r="D68" s="1">
        <v>0.039599132284506</v>
      </c>
      <c r="E68" s="1">
        <v>-6.7966336392125</v>
      </c>
      <c r="F68" s="1">
        <v>-2.2506238661192</v>
      </c>
      <c r="G68" s="1">
        <v>10067641.37155</v>
      </c>
      <c r="H68" s="1">
        <v>15022534.691862</v>
      </c>
      <c r="I68" s="1">
        <v>-0.018340270322702</v>
      </c>
      <c r="J68" s="1">
        <v>-0.017576500511833</v>
      </c>
      <c r="K68" s="1">
        <v>0.037111554064055</v>
      </c>
      <c r="L68" s="1">
        <v>-0.67520196487568</v>
      </c>
      <c r="M68" s="1">
        <v>-0.6779515407318</v>
      </c>
      <c r="N68" s="1">
        <v>555.80309091814</v>
      </c>
      <c r="O68" s="1">
        <v>624.99942181179</v>
      </c>
    </row>
    <row r="69" spans="1:15">
      <c r="A69" s="1">
        <v>12.806684939098</v>
      </c>
      <c r="B69" s="1">
        <v>0.038033745182501</v>
      </c>
      <c r="C69" s="1">
        <v>92.690809223858</v>
      </c>
      <c r="D69" s="1">
        <v>0.040227445374785</v>
      </c>
      <c r="E69" s="1">
        <v>-6.8104806626727</v>
      </c>
      <c r="F69" s="1">
        <v>-2.2600449901029</v>
      </c>
      <c r="G69" s="1">
        <v>10102897.843592</v>
      </c>
      <c r="H69" s="1">
        <v>15216109.319761</v>
      </c>
      <c r="I69" s="1">
        <v>-0.018634887611729</v>
      </c>
      <c r="J69" s="1">
        <v>-0.017857980965474</v>
      </c>
      <c r="K69" s="1">
        <v>0.037689196111478</v>
      </c>
      <c r="L69" s="1">
        <v>-0.68770669579876</v>
      </c>
      <c r="M69" s="1">
        <v>-0.69044114622071</v>
      </c>
      <c r="N69" s="1">
        <v>556.61877042663</v>
      </c>
      <c r="O69" s="1">
        <v>626.02163088991</v>
      </c>
    </row>
    <row r="70" spans="1:15">
      <c r="A70" s="1">
        <v>13.006684939098</v>
      </c>
      <c r="B70" s="1">
        <v>0.038656681365813</v>
      </c>
      <c r="C70" s="1">
        <v>92.690516863903</v>
      </c>
      <c r="D70" s="1">
        <v>0.04085567686094</v>
      </c>
      <c r="E70" s="1">
        <v>-6.832125399612</v>
      </c>
      <c r="F70" s="1">
        <v>-2.2486961045751</v>
      </c>
      <c r="G70" s="1">
        <v>10138133.404501</v>
      </c>
      <c r="H70" s="1">
        <v>15409731.25946</v>
      </c>
      <c r="I70" s="1">
        <v>-0.018929351039155</v>
      </c>
      <c r="J70" s="1">
        <v>-0.018139287855149</v>
      </c>
      <c r="K70" s="1">
        <v>0.038266500007301</v>
      </c>
      <c r="L70" s="1">
        <v>-0.70022591894954</v>
      </c>
      <c r="M70" s="1">
        <v>-0.70296798864028</v>
      </c>
      <c r="N70" s="1">
        <v>557.42969579356</v>
      </c>
      <c r="O70" s="1">
        <v>627.03777691687</v>
      </c>
    </row>
    <row r="71" spans="1:15">
      <c r="A71" s="1">
        <v>13.206684939098</v>
      </c>
      <c r="B71" s="1">
        <v>0.039279537333424</v>
      </c>
      <c r="C71" s="1">
        <v>92.690231398116</v>
      </c>
      <c r="D71" s="1">
        <v>0.041483829153685</v>
      </c>
      <c r="E71" s="1">
        <v>-6.8437763394083</v>
      </c>
      <c r="F71" s="1">
        <v>-2.2493361947042</v>
      </c>
      <c r="G71" s="1">
        <v>10173347.416392</v>
      </c>
      <c r="H71" s="1">
        <v>15603395.557605</v>
      </c>
      <c r="I71" s="1">
        <v>-0.019223660696243</v>
      </c>
      <c r="J71" s="1">
        <v>-0.018420420921508</v>
      </c>
      <c r="K71" s="1">
        <v>0.038843466149422</v>
      </c>
      <c r="L71" s="1">
        <v>-0.71275263761406</v>
      </c>
      <c r="M71" s="1">
        <v>-0.71548075232726</v>
      </c>
      <c r="N71" s="1">
        <v>558.23606817643</v>
      </c>
      <c r="O71" s="1">
        <v>628.04808100228</v>
      </c>
    </row>
    <row r="72" spans="1:15">
      <c r="A72" s="1">
        <v>13.406684939098</v>
      </c>
      <c r="B72" s="1">
        <v>0.039902316285721</v>
      </c>
      <c r="C72" s="1">
        <v>92.689945251358</v>
      </c>
      <c r="D72" s="1">
        <v>0.042111905224434</v>
      </c>
      <c r="E72" s="1">
        <v>-6.8511873983754</v>
      </c>
      <c r="F72" s="1">
        <v>-2.2542093606105</v>
      </c>
      <c r="G72" s="1">
        <v>10208539.291801</v>
      </c>
      <c r="H72" s="1">
        <v>15797097.562133</v>
      </c>
      <c r="I72" s="1">
        <v>-0.019517817118006</v>
      </c>
      <c r="J72" s="1">
        <v>-0.018701380252304</v>
      </c>
      <c r="K72" s="1">
        <v>0.03942009493834</v>
      </c>
      <c r="L72" s="1">
        <v>-0.72531900688137</v>
      </c>
      <c r="M72" s="1">
        <v>-0.72805057759498</v>
      </c>
      <c r="N72" s="1">
        <v>559.03789642368</v>
      </c>
      <c r="O72" s="1">
        <v>629.05270048674</v>
      </c>
    </row>
    <row r="73" spans="1:15">
      <c r="A73" s="1">
        <v>13.606684939098</v>
      </c>
      <c r="B73" s="1">
        <v>0.040525021167058</v>
      </c>
      <c r="C73" s="1">
        <v>92.689671098841</v>
      </c>
      <c r="D73" s="1">
        <v>0.042739907837617</v>
      </c>
      <c r="E73" s="1">
        <v>-6.8475042026585</v>
      </c>
      <c r="F73" s="1">
        <v>-2.2482005729389</v>
      </c>
      <c r="G73" s="1">
        <v>10243708.462965</v>
      </c>
      <c r="H73" s="1">
        <v>15990832.728935</v>
      </c>
      <c r="I73" s="1">
        <v>-0.019811820766254</v>
      </c>
      <c r="J73" s="1">
        <v>-0.018982165766767</v>
      </c>
      <c r="K73" s="1">
        <v>0.039996386766157</v>
      </c>
      <c r="L73" s="1">
        <v>-0.73794717698245</v>
      </c>
      <c r="M73" s="1">
        <v>-0.7406654347157</v>
      </c>
      <c r="N73" s="1">
        <v>559.83519467079</v>
      </c>
      <c r="O73" s="1">
        <v>630.05169096763</v>
      </c>
    </row>
    <row r="74" spans="1:15">
      <c r="A74" s="1">
        <v>13.806684939098</v>
      </c>
      <c r="B74" s="1">
        <v>0.041147653569612</v>
      </c>
      <c r="C74" s="1">
        <v>92.689395086025</v>
      </c>
      <c r="D74" s="1">
        <v>0.043367839321917</v>
      </c>
      <c r="E74" s="1">
        <v>-6.8921049616622</v>
      </c>
      <c r="F74" s="1">
        <v>-2.2488470620141</v>
      </c>
      <c r="G74" s="1">
        <v>10278854.29237</v>
      </c>
      <c r="H74" s="1">
        <v>16184596.152789</v>
      </c>
      <c r="I74" s="1">
        <v>-0.020105671578513</v>
      </c>
      <c r="J74" s="1">
        <v>-0.019262777000891</v>
      </c>
      <c r="K74" s="1">
        <v>0.040572342026509</v>
      </c>
      <c r="L74" s="1">
        <v>-0.75056037511092</v>
      </c>
      <c r="M74" s="1">
        <v>-0.75328040559041</v>
      </c>
      <c r="N74" s="1">
        <v>560.62827213011</v>
      </c>
      <c r="O74" s="1">
        <v>631.04537624269</v>
      </c>
    </row>
    <row r="75" spans="1:15">
      <c r="A75" s="1">
        <v>14.006684939098</v>
      </c>
      <c r="B75" s="1">
        <v>0.041770216613228</v>
      </c>
      <c r="C75" s="1">
        <v>92.68911648115</v>
      </c>
      <c r="D75" s="1">
        <v>0.043995702253646</v>
      </c>
      <c r="E75" s="1">
        <v>-6.888366899494</v>
      </c>
      <c r="F75" s="1">
        <v>-2.2538786068562</v>
      </c>
      <c r="G75" s="1">
        <v>10313976.279515</v>
      </c>
      <c r="H75" s="1">
        <v>16378383.646205</v>
      </c>
      <c r="I75" s="1">
        <v>-0.020399369653048</v>
      </c>
      <c r="J75" s="1">
        <v>-0.019543214280444</v>
      </c>
      <c r="K75" s="1">
        <v>0.041147961112716</v>
      </c>
      <c r="L75" s="1">
        <v>-0.76316844339358</v>
      </c>
      <c r="M75" s="1">
        <v>-0.76587482563661</v>
      </c>
      <c r="N75" s="1">
        <v>561.41709827629</v>
      </c>
      <c r="O75" s="1">
        <v>632.03376946749</v>
      </c>
    </row>
    <row r="76" spans="1:15">
      <c r="A76" s="1">
        <v>14.206684939098</v>
      </c>
      <c r="B76" s="1">
        <v>0.042392713166718</v>
      </c>
      <c r="C76" s="1">
        <v>92.688829123427</v>
      </c>
      <c r="D76" s="1">
        <v>0.044623499338486</v>
      </c>
      <c r="E76" s="1">
        <v>-6.9481696283135</v>
      </c>
      <c r="F76" s="1">
        <v>-2.2587396110526</v>
      </c>
      <c r="G76" s="1">
        <v>10349073.929219</v>
      </c>
      <c r="H76" s="1">
        <v>16572191.052084</v>
      </c>
      <c r="I76" s="1">
        <v>-0.020692915638808</v>
      </c>
      <c r="J76" s="1">
        <v>-0.019823477968408</v>
      </c>
      <c r="K76" s="1">
        <v>0.041723244420557</v>
      </c>
      <c r="L76" s="1">
        <v>-0.77588019019128</v>
      </c>
      <c r="M76" s="1">
        <v>-0.77858819907933</v>
      </c>
      <c r="N76" s="1">
        <v>562.20164521945</v>
      </c>
      <c r="O76" s="1">
        <v>633.01701364709</v>
      </c>
    </row>
    <row r="77" spans="1:15">
      <c r="A77" s="1">
        <v>14.406684939098</v>
      </c>
      <c r="B77" s="1">
        <v>0.043015145760667</v>
      </c>
      <c r="C77" s="1">
        <v>92.688551696475</v>
      </c>
      <c r="D77" s="1">
        <v>0.045251232498908</v>
      </c>
      <c r="E77" s="1">
        <v>-6.9441984545221</v>
      </c>
      <c r="F77" s="1">
        <v>-2.2530206677352</v>
      </c>
      <c r="G77" s="1">
        <v>10384146.775969</v>
      </c>
      <c r="H77" s="1">
        <v>16766014.362376</v>
      </c>
      <c r="I77" s="1">
        <v>-0.020986309347893</v>
      </c>
      <c r="J77" s="1">
        <v>-0.020103567381019</v>
      </c>
      <c r="K77" s="1">
        <v>0.042298192335296</v>
      </c>
      <c r="L77" s="1">
        <v>-0.78849473477661</v>
      </c>
      <c r="M77" s="1">
        <v>-0.7911970944605</v>
      </c>
      <c r="N77" s="1">
        <v>562.98204483259</v>
      </c>
      <c r="O77" s="1">
        <v>633.9950561903</v>
      </c>
    </row>
    <row r="78" spans="1:15">
      <c r="A78" s="1">
        <v>14.606684939098</v>
      </c>
      <c r="B78" s="1">
        <v>0.043637515939456</v>
      </c>
      <c r="C78" s="1">
        <v>92.6882571652</v>
      </c>
      <c r="D78" s="1">
        <v>0.045878904306011</v>
      </c>
      <c r="E78" s="1">
        <v>-6.9503968158009</v>
      </c>
      <c r="F78" s="1">
        <v>-2.2569599479378</v>
      </c>
      <c r="G78" s="1">
        <v>10419194.308583</v>
      </c>
      <c r="H78" s="1">
        <v>16959849.339848</v>
      </c>
      <c r="I78" s="1">
        <v>-0.021279551379117</v>
      </c>
      <c r="J78" s="1">
        <v>-0.020383483105471</v>
      </c>
      <c r="K78" s="1">
        <v>0.042872805248602</v>
      </c>
      <c r="L78" s="1">
        <v>-0.80123531362112</v>
      </c>
      <c r="M78" s="1">
        <v>-0.80392249626362</v>
      </c>
      <c r="N78" s="1">
        <v>563.75839181375</v>
      </c>
      <c r="O78" s="1">
        <v>634.96823929346</v>
      </c>
    </row>
    <row r="79" spans="1:15">
      <c r="A79" s="1">
        <v>14.806684939098</v>
      </c>
      <c r="B79" s="1">
        <v>0.044259825905329</v>
      </c>
      <c r="C79" s="1">
        <v>92.687953110569</v>
      </c>
      <c r="D79" s="1">
        <v>0.046506516603784</v>
      </c>
      <c r="E79" s="1">
        <v>-6.9989563649806</v>
      </c>
      <c r="F79" s="1">
        <v>-2.2615886772959</v>
      </c>
      <c r="G79" s="1">
        <v>10454216.078522</v>
      </c>
      <c r="H79" s="1">
        <v>17153692.097575</v>
      </c>
      <c r="I79" s="1">
        <v>-0.021572641654372</v>
      </c>
      <c r="J79" s="1">
        <v>-0.020663224924213</v>
      </c>
      <c r="K79" s="1">
        <v>0.043447083550365</v>
      </c>
      <c r="L79" s="1">
        <v>-0.81397094354417</v>
      </c>
      <c r="M79" s="1">
        <v>-0.81666608358736</v>
      </c>
      <c r="N79" s="1">
        <v>564.5307668858</v>
      </c>
      <c r="O79" s="1">
        <v>635.93660312803</v>
      </c>
    </row>
    <row r="80" spans="1:15">
      <c r="A80" s="1">
        <v>15</v>
      </c>
      <c r="B80" s="1">
        <v>0.044861138221004</v>
      </c>
      <c r="C80" s="1">
        <v>92.687661610606</v>
      </c>
      <c r="D80" s="1">
        <v>0.047113082223209</v>
      </c>
      <c r="E80" s="1">
        <v>-7.0435144184033</v>
      </c>
      <c r="F80" s="1">
        <v>-2.2622269413936</v>
      </c>
      <c r="G80" s="1">
        <v>10488034.248514</v>
      </c>
      <c r="H80" s="1">
        <v>17341015.171562</v>
      </c>
      <c r="I80" s="1">
        <v>-0.021855763593455</v>
      </c>
      <c r="J80" s="1">
        <v>-0.020933425078374</v>
      </c>
      <c r="K80" s="1">
        <v>0.044001849172108</v>
      </c>
      <c r="L80" s="1">
        <v>-0.82563037521394</v>
      </c>
      <c r="M80" s="1">
        <v>-0.82831860647561</v>
      </c>
      <c r="N80" s="1">
        <v>565.29893305189</v>
      </c>
      <c r="O80" s="1">
        <v>636.89374012126</v>
      </c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topLeftCell="A22" workbookViewId="0">
      <selection activeCell="A1" sqref="A1:O90"/>
    </sheetView>
  </sheetViews>
  <sheetFormatPr defaultColWidth="8.81333333333333" defaultRowHeight="15"/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0.0025830812468784</v>
      </c>
      <c r="B3" s="2">
        <v>2.2498965560583e-29</v>
      </c>
      <c r="C3" s="1">
        <v>92.681599919556</v>
      </c>
      <c r="D3" s="2">
        <v>7.0615995346742e-6</v>
      </c>
      <c r="E3" s="1">
        <v>-5.6421875449264</v>
      </c>
      <c r="F3" s="1">
        <v>-2.7149651003747</v>
      </c>
      <c r="G3" s="1">
        <v>8000000</v>
      </c>
      <c r="H3" s="1">
        <v>4000000</v>
      </c>
      <c r="I3" s="2">
        <v>-2.080224176171e-6</v>
      </c>
      <c r="J3" s="2">
        <v>-1.9904891785141e-6</v>
      </c>
      <c r="K3" s="2">
        <v>7.7492133356817e-6</v>
      </c>
      <c r="L3" s="2">
        <v>-1.5025377681876e-7</v>
      </c>
      <c r="M3" s="2">
        <v>-1.5562863385497e-7</v>
      </c>
      <c r="N3" s="1">
        <v>1.6670205580898</v>
      </c>
      <c r="O3" s="1">
        <v>1.7451693309183</v>
      </c>
    </row>
    <row r="4" spans="1:15">
      <c r="A4" s="1">
        <v>0.018444056862426</v>
      </c>
      <c r="B4" s="2">
        <v>3.1189887843924e-26</v>
      </c>
      <c r="C4" s="1">
        <v>92.681715134357</v>
      </c>
      <c r="D4" s="2">
        <v>5.0424007565598e-5</v>
      </c>
      <c r="E4" s="1">
        <v>-5.6421878069765</v>
      </c>
      <c r="F4" s="1">
        <v>-2.7148707290079</v>
      </c>
      <c r="G4" s="1">
        <v>8000000</v>
      </c>
      <c r="H4" s="1">
        <v>4000000</v>
      </c>
      <c r="I4" s="2">
        <v>-1.4855817083586e-5</v>
      </c>
      <c r="J4" s="2">
        <v>-1.4214949485985e-5</v>
      </c>
      <c r="K4" s="2">
        <v>5.5330620461022e-5</v>
      </c>
      <c r="L4" s="2">
        <v>-7.6568038108651e-6</v>
      </c>
      <c r="M4" s="2">
        <v>-7.9308948567526e-6</v>
      </c>
      <c r="N4" s="1">
        <v>11.906243604032</v>
      </c>
      <c r="O4" s="1">
        <v>12.464202072999</v>
      </c>
    </row>
    <row r="5" spans="1:15">
      <c r="A5" s="1">
        <v>0.1</v>
      </c>
      <c r="B5" s="2">
        <v>1.3571972079128e-19</v>
      </c>
      <c r="C5" s="1">
        <v>92.68151958172</v>
      </c>
      <c r="D5" s="1">
        <v>0.00027344450067901</v>
      </c>
      <c r="E5" s="1">
        <v>-5.8797000355902</v>
      </c>
      <c r="F5" s="1">
        <v>-3.0303164936727</v>
      </c>
      <c r="G5" s="1">
        <v>8000000</v>
      </c>
      <c r="H5" s="1">
        <v>4000000</v>
      </c>
      <c r="I5" s="2">
        <v>-8.0618894655405e-5</v>
      </c>
      <c r="J5" s="2">
        <v>-7.7140377337465e-5</v>
      </c>
      <c r="K5" s="1">
        <v>0.0002999544401568</v>
      </c>
      <c r="L5" s="1">
        <v>-0.00022345987848376</v>
      </c>
      <c r="M5" s="1">
        <v>-0.00023157051600364</v>
      </c>
      <c r="N5" s="1">
        <v>64.651887085243</v>
      </c>
      <c r="O5" s="1">
        <v>67.675651534178</v>
      </c>
    </row>
    <row r="6" spans="1:15">
      <c r="A6" s="1">
        <v>0.20668493909835</v>
      </c>
      <c r="B6" s="2">
        <v>9.4838381894199e-15</v>
      </c>
      <c r="C6" s="1">
        <v>92.687126986003</v>
      </c>
      <c r="D6" s="1">
        <v>0.0005653082350839</v>
      </c>
      <c r="E6" s="1">
        <v>-5.7582346327991</v>
      </c>
      <c r="F6" s="1">
        <v>-2.7153616922202</v>
      </c>
      <c r="G6" s="1">
        <v>8000000.0000004</v>
      </c>
      <c r="H6" s="1">
        <v>4000000.000002</v>
      </c>
      <c r="I6" s="1">
        <v>-0.00016680288719434</v>
      </c>
      <c r="J6" s="1">
        <v>-0.00015960406260952</v>
      </c>
      <c r="K6" s="1">
        <v>0.00061986023612824</v>
      </c>
      <c r="L6" s="1">
        <v>-0.0009590048529947</v>
      </c>
      <c r="M6" s="1">
        <v>-0.00099340789783791</v>
      </c>
      <c r="N6" s="1">
        <v>133.86559854449</v>
      </c>
      <c r="O6" s="1">
        <v>140.11158176609</v>
      </c>
    </row>
    <row r="7" spans="1:15">
      <c r="A7" s="1">
        <v>0.40668493909835</v>
      </c>
      <c r="B7" s="2">
        <v>4.6913423097035e-9</v>
      </c>
      <c r="C7" s="1">
        <v>92.694739902306</v>
      </c>
      <c r="D7" s="1">
        <v>0.0011128883245929</v>
      </c>
      <c r="E7" s="1">
        <v>-6.0937013588551</v>
      </c>
      <c r="F7" s="1">
        <v>-2.5548727284937</v>
      </c>
      <c r="G7" s="1">
        <v>8000000.1851231</v>
      </c>
      <c r="H7" s="1">
        <v>4000000.9494988</v>
      </c>
      <c r="I7" s="1">
        <v>-0.00032894423442226</v>
      </c>
      <c r="J7" s="1">
        <v>-0.00031474080679541</v>
      </c>
      <c r="K7" s="1">
        <v>0.0012193017804912</v>
      </c>
      <c r="L7" s="1">
        <v>-0.0037170482789268</v>
      </c>
      <c r="M7" s="1">
        <v>-0.0038496865247242</v>
      </c>
      <c r="N7" s="1">
        <v>264.38480492272</v>
      </c>
      <c r="O7" s="1">
        <v>276.66139184432</v>
      </c>
    </row>
    <row r="8" spans="1:15">
      <c r="A8" s="1">
        <v>0.60668493909835</v>
      </c>
      <c r="B8" s="2">
        <v>2.3999498316636e-5</v>
      </c>
      <c r="C8" s="1">
        <v>92.700207012773</v>
      </c>
      <c r="D8" s="1">
        <v>0.0016649083158008</v>
      </c>
      <c r="E8" s="1">
        <v>-5.886052236004</v>
      </c>
      <c r="F8" s="1">
        <v>-2.3359843003283</v>
      </c>
      <c r="G8" s="1">
        <v>8000951.6946559</v>
      </c>
      <c r="H8" s="1">
        <v>4004883.4541638</v>
      </c>
      <c r="I8" s="1">
        <v>-0.00049688665105744</v>
      </c>
      <c r="J8" s="1">
        <v>-0.00047563149692728</v>
      </c>
      <c r="K8" s="1">
        <v>0.0018183801488677</v>
      </c>
      <c r="L8" s="1">
        <v>-0.0085070105137592</v>
      </c>
      <c r="M8" s="1">
        <v>-0.0088412653415279</v>
      </c>
      <c r="N8" s="1">
        <v>391.12302946245</v>
      </c>
      <c r="O8" s="1">
        <v>409.35483421356</v>
      </c>
    </row>
    <row r="9" spans="1:15">
      <c r="A9" s="1">
        <v>0.80668493909835</v>
      </c>
      <c r="B9" s="1">
        <v>0.00038225306168627</v>
      </c>
      <c r="C9" s="1">
        <v>92.700356513082</v>
      </c>
      <c r="D9" s="1">
        <v>0.0022596800892391</v>
      </c>
      <c r="E9" s="1">
        <v>-6.1910243081212</v>
      </c>
      <c r="F9" s="1">
        <v>-2.1267508192277</v>
      </c>
      <c r="G9" s="1">
        <v>8015730.590624</v>
      </c>
      <c r="H9" s="1">
        <v>4080835.7819364</v>
      </c>
      <c r="I9" s="1">
        <v>-0.00073300178381454</v>
      </c>
      <c r="J9" s="1">
        <v>-0.0007014956735793</v>
      </c>
      <c r="K9" s="1">
        <v>0.0024170972227441</v>
      </c>
      <c r="L9" s="1">
        <v>-0.015432849553833</v>
      </c>
      <c r="M9" s="1">
        <v>-0.016138554158541</v>
      </c>
      <c r="N9" s="1">
        <v>456.19383123068</v>
      </c>
      <c r="O9" s="1">
        <v>479.99492169398</v>
      </c>
    </row>
    <row r="10" spans="1:15">
      <c r="A10" s="1">
        <v>1.0066849390983</v>
      </c>
      <c r="B10" s="1">
        <v>0.00097837308736781</v>
      </c>
      <c r="C10" s="1">
        <v>92.701366016703</v>
      </c>
      <c r="D10" s="1">
        <v>0.0028824170138022</v>
      </c>
      <c r="E10" s="1">
        <v>-6.2638773474059</v>
      </c>
      <c r="F10" s="1">
        <v>-2.0569506073751</v>
      </c>
      <c r="G10" s="1">
        <v>8041831.3227645</v>
      </c>
      <c r="H10" s="1">
        <v>4215253.5161259</v>
      </c>
      <c r="I10" s="1">
        <v>-0.0010186495017594</v>
      </c>
      <c r="J10" s="1">
        <v>-0.00097117773396956</v>
      </c>
      <c r="K10" s="1">
        <v>0.0030154486342787</v>
      </c>
      <c r="L10" s="1">
        <v>-0.024260701207097</v>
      </c>
      <c r="M10" s="1">
        <v>-0.025306391717283</v>
      </c>
      <c r="N10" s="1">
        <v>476.93126842346</v>
      </c>
      <c r="O10" s="1">
        <v>505.93748240753</v>
      </c>
    </row>
    <row r="11" spans="1:15">
      <c r="A11" s="1">
        <v>1.2066849390983</v>
      </c>
      <c r="B11" s="1">
        <v>0.0016135672853603</v>
      </c>
      <c r="C11" s="1">
        <v>92.701911576235</v>
      </c>
      <c r="D11" s="1">
        <v>0.0035138248909688</v>
      </c>
      <c r="E11" s="1">
        <v>-6.2918667352805</v>
      </c>
      <c r="F11" s="1">
        <v>-2.0533604981918</v>
      </c>
      <c r="G11" s="1">
        <v>8071258.6554064</v>
      </c>
      <c r="H11" s="1">
        <v>4367094.0373723</v>
      </c>
      <c r="I11" s="1">
        <v>-0.0013147417193124</v>
      </c>
      <c r="J11" s="1">
        <v>-0.0012510638419444</v>
      </c>
      <c r="K11" s="1">
        <v>0.0036134338775587</v>
      </c>
      <c r="L11" s="1">
        <v>-0.031812302055563</v>
      </c>
      <c r="M11" s="1">
        <v>-0.03324360881363</v>
      </c>
      <c r="N11" s="1">
        <v>487.63500956947</v>
      </c>
      <c r="O11" s="1">
        <v>521.32118892374</v>
      </c>
    </row>
    <row r="12" spans="1:15">
      <c r="A12" s="1">
        <v>1.4066849390983</v>
      </c>
      <c r="B12" s="1">
        <v>0.0022545267798982</v>
      </c>
      <c r="C12" s="1">
        <v>92.702064128604</v>
      </c>
      <c r="D12" s="1">
        <v>0.0041494750261815</v>
      </c>
      <c r="E12" s="1">
        <v>-6.3153712658183</v>
      </c>
      <c r="F12" s="1">
        <v>-2.053827837178</v>
      </c>
      <c r="G12" s="1">
        <v>8102285.5112612</v>
      </c>
      <c r="H12" s="1">
        <v>4527443.4993891</v>
      </c>
      <c r="I12" s="1">
        <v>-0.0016138907730909</v>
      </c>
      <c r="J12" s="1">
        <v>-0.0015354934533458</v>
      </c>
      <c r="K12" s="1">
        <v>0.0042110535451619</v>
      </c>
      <c r="L12" s="1">
        <v>-0.04115421775635</v>
      </c>
      <c r="M12" s="1">
        <v>-0.042917646252628</v>
      </c>
      <c r="N12" s="1">
        <v>494.52775742518</v>
      </c>
      <c r="O12" s="1">
        <v>532.24215705011</v>
      </c>
    </row>
    <row r="13" spans="1:15">
      <c r="A13" s="1">
        <v>1.6066849390983</v>
      </c>
      <c r="B13" s="1">
        <v>0.0028950500386504</v>
      </c>
      <c r="C13" s="1">
        <v>92.702051952713</v>
      </c>
      <c r="D13" s="1">
        <v>0.0047872212337697</v>
      </c>
      <c r="E13" s="1">
        <v>-6.3209261670108</v>
      </c>
      <c r="F13" s="1">
        <v>-2.0500821821859</v>
      </c>
      <c r="G13" s="1">
        <v>8134306.6049517</v>
      </c>
      <c r="H13" s="1">
        <v>4693164.6137535</v>
      </c>
      <c r="I13" s="1">
        <v>-0.0019141679601965</v>
      </c>
      <c r="J13" s="1">
        <v>-0.0018224949200958</v>
      </c>
      <c r="K13" s="1">
        <v>0.0048083086833877</v>
      </c>
      <c r="L13" s="1">
        <v>-0.05078801185896</v>
      </c>
      <c r="M13" s="1">
        <v>-0.0527913249335</v>
      </c>
      <c r="N13" s="1">
        <v>499.4651111065</v>
      </c>
      <c r="O13" s="1">
        <v>540.54877596476</v>
      </c>
    </row>
    <row r="14" spans="1:15">
      <c r="A14" s="1">
        <v>1.8066849390983</v>
      </c>
      <c r="B14" s="1">
        <v>0.0035339838939578</v>
      </c>
      <c r="C14" s="1">
        <v>92.702001979539</v>
      </c>
      <c r="D14" s="1">
        <v>0.0054259162967007</v>
      </c>
      <c r="E14" s="1">
        <v>-6.344205854596</v>
      </c>
      <c r="F14" s="1">
        <v>-2.0504626415125</v>
      </c>
      <c r="G14" s="1">
        <v>8167017.0608598</v>
      </c>
      <c r="H14" s="1">
        <v>4862675.4480323</v>
      </c>
      <c r="I14" s="1">
        <v>-0.0022148991554873</v>
      </c>
      <c r="J14" s="1">
        <v>-0.0021110442736601</v>
      </c>
      <c r="K14" s="1">
        <v>0.0054052005398985</v>
      </c>
      <c r="L14" s="1">
        <v>-0.060552919009704</v>
      </c>
      <c r="M14" s="1">
        <v>-0.062724742738905</v>
      </c>
      <c r="N14" s="1">
        <v>503.25633223213</v>
      </c>
      <c r="O14" s="1">
        <v>547.12570028368</v>
      </c>
    </row>
    <row r="15" spans="1:15">
      <c r="A15" s="1">
        <v>2.0066849390983</v>
      </c>
      <c r="B15" s="1">
        <v>0.0041713647249839</v>
      </c>
      <c r="C15" s="1">
        <v>92.701933469916</v>
      </c>
      <c r="D15" s="1">
        <v>0.0060649353318778</v>
      </c>
      <c r="E15" s="1">
        <v>-6.3329524849586</v>
      </c>
      <c r="F15" s="1">
        <v>-2.0633188491363</v>
      </c>
      <c r="G15" s="1">
        <v>8200227.8128417</v>
      </c>
      <c r="H15" s="1">
        <v>5034996.6972565</v>
      </c>
      <c r="I15" s="1">
        <v>-0.0025158174384767</v>
      </c>
      <c r="J15" s="1">
        <v>-0.0024005151424379</v>
      </c>
      <c r="K15" s="1">
        <v>0.0060017300084981</v>
      </c>
      <c r="L15" s="1">
        <v>-0.070661951118345</v>
      </c>
      <c r="M15" s="1">
        <v>-0.072968593290566</v>
      </c>
      <c r="N15" s="1">
        <v>506.32981170067</v>
      </c>
      <c r="O15" s="1">
        <v>552.51085447227</v>
      </c>
    </row>
    <row r="16" spans="1:15">
      <c r="A16" s="1">
        <v>2.2066849390983</v>
      </c>
      <c r="B16" s="1">
        <v>0.0048074889341293</v>
      </c>
      <c r="C16" s="1">
        <v>92.701846516348</v>
      </c>
      <c r="D16" s="1">
        <v>0.0067039388705303</v>
      </c>
      <c r="E16" s="1">
        <v>-6.325803744171</v>
      </c>
      <c r="F16" s="1">
        <v>-2.0720580867281</v>
      </c>
      <c r="G16" s="1">
        <v>8233811.531671</v>
      </c>
      <c r="H16" s="1">
        <v>5209470.2928322</v>
      </c>
      <c r="I16" s="1">
        <v>-0.0028168099421207</v>
      </c>
      <c r="J16" s="1">
        <v>-0.0026905014904217</v>
      </c>
      <c r="K16" s="1">
        <v>0.0065978977371924</v>
      </c>
      <c r="L16" s="1">
        <v>-0.080481292976527</v>
      </c>
      <c r="M16" s="1">
        <v>-0.082887064906186</v>
      </c>
      <c r="N16" s="1">
        <v>508.93472239356</v>
      </c>
      <c r="O16" s="1">
        <v>557.05888216514</v>
      </c>
    </row>
    <row r="17" spans="1:15">
      <c r="A17" s="1">
        <v>2.4066849390983</v>
      </c>
      <c r="B17" s="1">
        <v>0.0054426025974926</v>
      </c>
      <c r="C17" s="1">
        <v>92.70174560871</v>
      </c>
      <c r="D17" s="1">
        <v>0.007342753788592</v>
      </c>
      <c r="E17" s="1">
        <v>-6.3186117745695</v>
      </c>
      <c r="F17" s="1">
        <v>-2.0807944567685</v>
      </c>
      <c r="G17" s="1">
        <v>8267683.3736664</v>
      </c>
      <c r="H17" s="1">
        <v>5385657.9875755</v>
      </c>
      <c r="I17" s="1">
        <v>-0.003117852439541</v>
      </c>
      <c r="J17" s="1">
        <v>-0.0029807260239449</v>
      </c>
      <c r="K17" s="1">
        <v>0.0071937042157804</v>
      </c>
      <c r="L17" s="1">
        <v>-0.090395022436975</v>
      </c>
      <c r="M17" s="1">
        <v>-0.092928107743649</v>
      </c>
      <c r="N17" s="1">
        <v>511.21861722095</v>
      </c>
      <c r="O17" s="1">
        <v>560.99816851284</v>
      </c>
    </row>
    <row r="18" spans="1:15">
      <c r="A18" s="1">
        <v>2.6066849390983</v>
      </c>
      <c r="B18" s="1">
        <v>0.0060769039917961</v>
      </c>
      <c r="C18" s="1">
        <v>92.701609826187</v>
      </c>
      <c r="D18" s="1">
        <v>0.0079812957492801</v>
      </c>
      <c r="E18" s="1">
        <v>-6.3307226352621</v>
      </c>
      <c r="F18" s="1">
        <v>-2.081241339408</v>
      </c>
      <c r="G18" s="1">
        <v>8301784.019968</v>
      </c>
      <c r="H18" s="1">
        <v>5563253.6120773</v>
      </c>
      <c r="I18" s="1">
        <v>-0.0034189232710104</v>
      </c>
      <c r="J18" s="1">
        <v>-0.0032710236494927</v>
      </c>
      <c r="K18" s="1">
        <v>0.0077891498773963</v>
      </c>
      <c r="L18" s="1">
        <v>-0.10046566011265</v>
      </c>
      <c r="M18" s="1">
        <v>-0.10307281884884</v>
      </c>
      <c r="N18" s="1">
        <v>513.27311120225</v>
      </c>
      <c r="O18" s="1">
        <v>564.48110170921</v>
      </c>
    </row>
    <row r="19" spans="1:15">
      <c r="A19" s="1">
        <v>2.8066849390983</v>
      </c>
      <c r="B19" s="1">
        <v>0.0067105290839605</v>
      </c>
      <c r="C19" s="1">
        <v>92.701474607528</v>
      </c>
      <c r="D19" s="1">
        <v>0.0086195169611534</v>
      </c>
      <c r="E19" s="1">
        <v>-6.3344169648788</v>
      </c>
      <c r="F19" s="1">
        <v>-2.0900815145557</v>
      </c>
      <c r="G19" s="1">
        <v>8336070.7826517</v>
      </c>
      <c r="H19" s="1">
        <v>5742036.8161249</v>
      </c>
      <c r="I19" s="1">
        <v>-0.0037199997824478</v>
      </c>
      <c r="J19" s="1">
        <v>-0.0035612950673919</v>
      </c>
      <c r="K19" s="1">
        <v>0.0083842352028218</v>
      </c>
      <c r="L19" s="1">
        <v>-0.11056599151923</v>
      </c>
      <c r="M19" s="1">
        <v>-0.11323836628685</v>
      </c>
      <c r="N19" s="1">
        <v>515.15817795524</v>
      </c>
      <c r="O19" s="1">
        <v>567.61340923963</v>
      </c>
    </row>
    <row r="20" spans="1:15">
      <c r="A20" s="1">
        <v>3.0066849390983</v>
      </c>
      <c r="B20" s="1">
        <v>0.0073435678362332</v>
      </c>
      <c r="C20" s="1">
        <v>92.701321302235</v>
      </c>
      <c r="D20" s="1">
        <v>0.0092573942483788</v>
      </c>
      <c r="E20" s="1">
        <v>-6.3354906550294</v>
      </c>
      <c r="F20" s="1">
        <v>-2.0905571577975</v>
      </c>
      <c r="G20" s="1">
        <v>8370512.400285</v>
      </c>
      <c r="H20" s="1">
        <v>5921846.1258026</v>
      </c>
      <c r="I20" s="1">
        <v>-0.0040210594935538</v>
      </c>
      <c r="J20" s="1">
        <v>-0.0038514843155804</v>
      </c>
      <c r="K20" s="1">
        <v>0.0089789607131438</v>
      </c>
      <c r="L20" s="1">
        <v>-0.12081091604792</v>
      </c>
      <c r="M20" s="1">
        <v>-0.12358694233046</v>
      </c>
      <c r="N20" s="1">
        <v>516.91324416535</v>
      </c>
      <c r="O20" s="1">
        <v>570.46854236761</v>
      </c>
    </row>
    <row r="21" spans="1:15">
      <c r="A21" s="1">
        <v>3.2066849390983</v>
      </c>
      <c r="B21" s="1">
        <v>0.0079760839314414</v>
      </c>
      <c r="C21" s="1">
        <v>92.701154250207</v>
      </c>
      <c r="D21" s="1">
        <v>0.0098949170304183</v>
      </c>
      <c r="E21" s="1">
        <v>-6.3323215449278</v>
      </c>
      <c r="F21" s="1">
        <v>-2.0952478192881</v>
      </c>
      <c r="G21" s="1">
        <v>8405084.979734</v>
      </c>
      <c r="H21" s="1">
        <v>6102558.0454111</v>
      </c>
      <c r="I21" s="1">
        <v>-0.0043220743596882</v>
      </c>
      <c r="J21" s="1">
        <v>-0.0041415646369067</v>
      </c>
      <c r="K21" s="1">
        <v>0.0095733269291035</v>
      </c>
      <c r="L21" s="1">
        <v>-0.13115575761104</v>
      </c>
      <c r="M21" s="1">
        <v>-0.13398465984944</v>
      </c>
      <c r="N21" s="1">
        <v>518.56569977746</v>
      </c>
      <c r="O21" s="1">
        <v>573.09972732324</v>
      </c>
    </row>
    <row r="22" spans="1:15">
      <c r="A22" s="1">
        <v>3.4066849390983</v>
      </c>
      <c r="B22" s="1">
        <v>0.0086081275654867</v>
      </c>
      <c r="C22" s="1">
        <v>92.700971566995</v>
      </c>
      <c r="D22" s="1">
        <v>0.010532082494323</v>
      </c>
      <c r="E22" s="1">
        <v>-6.3443448974323</v>
      </c>
      <c r="F22" s="1">
        <v>-2.0957397015156</v>
      </c>
      <c r="G22" s="1">
        <v>8439769.4264218</v>
      </c>
      <c r="H22" s="1">
        <v>6284073.8341465</v>
      </c>
      <c r="I22" s="1">
        <v>-0.0046230195292786</v>
      </c>
      <c r="J22" s="1">
        <v>-0.0044315209598134</v>
      </c>
      <c r="K22" s="1">
        <v>0.010167334347525</v>
      </c>
      <c r="L22" s="1">
        <v>-0.14159136443972</v>
      </c>
      <c r="M22" s="1">
        <v>-0.14445473821828</v>
      </c>
      <c r="N22" s="1">
        <v>520.13581423084</v>
      </c>
      <c r="O22" s="1">
        <v>575.54818886289</v>
      </c>
    </row>
    <row r="23" spans="1:15">
      <c r="A23" s="1">
        <v>3.6066849390983</v>
      </c>
      <c r="B23" s="1">
        <v>0.0092397404717497</v>
      </c>
      <c r="C23" s="1">
        <v>92.700789242229</v>
      </c>
      <c r="D23" s="1">
        <v>0.011168895059942</v>
      </c>
      <c r="E23" s="1">
        <v>-6.3521511794358</v>
      </c>
      <c r="F23" s="1">
        <v>-2.1004326854917</v>
      </c>
      <c r="G23" s="1">
        <v>8474550.2564933</v>
      </c>
      <c r="H23" s="1">
        <v>6466313.3449047</v>
      </c>
      <c r="I23" s="1">
        <v>-0.0049238799487122</v>
      </c>
      <c r="J23" s="1">
        <v>-0.0047213396927538</v>
      </c>
      <c r="K23" s="1">
        <v>0.010760983445249</v>
      </c>
      <c r="L23" s="1">
        <v>-0.15212789417601</v>
      </c>
      <c r="M23" s="1">
        <v>-0.15502359049235</v>
      </c>
      <c r="N23" s="1">
        <v>521.63832948465</v>
      </c>
      <c r="O23" s="1">
        <v>577.84567863196</v>
      </c>
    </row>
    <row r="24" spans="1:15">
      <c r="A24" s="1">
        <v>3.8066849390983</v>
      </c>
      <c r="B24" s="1">
        <v>0.0098709542399086</v>
      </c>
      <c r="C24" s="1">
        <v>92.700596349458</v>
      </c>
      <c r="D24" s="1">
        <v>0.011805361373046</v>
      </c>
      <c r="E24" s="1">
        <v>-6.3641432006184</v>
      </c>
      <c r="F24" s="1">
        <v>-2.1009367391888</v>
      </c>
      <c r="G24" s="1">
        <v>8509414.8063816</v>
      </c>
      <c r="H24" s="1">
        <v>6649210.8563814</v>
      </c>
      <c r="I24" s="1">
        <v>-0.0052246492772814</v>
      </c>
      <c r="J24" s="1">
        <v>-0.0050110054776187</v>
      </c>
      <c r="K24" s="1">
        <v>0.011354274695494</v>
      </c>
      <c r="L24" s="1">
        <v>-0.16275176253515</v>
      </c>
      <c r="M24" s="1">
        <v>-0.16571074608482</v>
      </c>
      <c r="N24" s="1">
        <v>523.08449571013</v>
      </c>
      <c r="O24" s="1">
        <v>580.01710821895</v>
      </c>
    </row>
    <row r="25" spans="1:15">
      <c r="A25" s="1">
        <v>4.0066849390983</v>
      </c>
      <c r="B25" s="1">
        <v>0.010501793717642</v>
      </c>
      <c r="C25" s="1">
        <v>92.700427422533</v>
      </c>
      <c r="D25" s="1">
        <v>0.012441489741814</v>
      </c>
      <c r="E25" s="1">
        <v>-6.3525168138757</v>
      </c>
      <c r="F25" s="1">
        <v>-2.1030557200727</v>
      </c>
      <c r="G25" s="1">
        <v>8544352.8470189</v>
      </c>
      <c r="H25" s="1">
        <v>6832713.0402764</v>
      </c>
      <c r="I25" s="1">
        <v>-0.0055253278931705</v>
      </c>
      <c r="J25" s="1">
        <v>-0.005300502220843</v>
      </c>
      <c r="K25" s="1">
        <v>0.011947208556296</v>
      </c>
      <c r="L25" s="1">
        <v>-0.17348247477354</v>
      </c>
      <c r="M25" s="1">
        <v>-0.17647767489242</v>
      </c>
      <c r="N25" s="1">
        <v>524.48250894607</v>
      </c>
      <c r="O25" s="1">
        <v>582.08129355556</v>
      </c>
    </row>
    <row r="26" spans="1:15">
      <c r="A26" s="1">
        <v>4.2066849390983</v>
      </c>
      <c r="B26" s="1">
        <v>0.011132277143</v>
      </c>
      <c r="C26" s="1">
        <v>92.70025020465</v>
      </c>
      <c r="D26" s="1">
        <v>0.013077287379273</v>
      </c>
      <c r="E26" s="1">
        <v>-6.3534882755708</v>
      </c>
      <c r="F26" s="1">
        <v>-2.1035762193521</v>
      </c>
      <c r="G26" s="1">
        <v>8579355.9038161</v>
      </c>
      <c r="H26" s="1">
        <v>7016775.4398427</v>
      </c>
      <c r="I26" s="1">
        <v>-0.0058259161550164</v>
      </c>
      <c r="J26" s="1">
        <v>-0.0055898173537237</v>
      </c>
      <c r="K26" s="1">
        <v>0.012539785479178</v>
      </c>
      <c r="L26" s="1">
        <v>-0.18443913440571</v>
      </c>
      <c r="M26" s="1">
        <v>-0.18742301992542</v>
      </c>
      <c r="N26" s="1">
        <v>525.83899823104</v>
      </c>
      <c r="O26" s="1">
        <v>584.05346515329</v>
      </c>
    </row>
    <row r="27" spans="1:15">
      <c r="A27" s="1">
        <v>4.4066849390983</v>
      </c>
      <c r="B27" s="1">
        <v>0.011762421910719</v>
      </c>
      <c r="C27" s="1">
        <v>92.70008115537</v>
      </c>
      <c r="D27" s="1">
        <v>0.013712764731439</v>
      </c>
      <c r="E27" s="1">
        <v>-6.3418251679652</v>
      </c>
      <c r="F27" s="1">
        <v>-2.0947326384553</v>
      </c>
      <c r="G27" s="1">
        <v>8614416.6883117</v>
      </c>
      <c r="H27" s="1">
        <v>7201359.6513553</v>
      </c>
      <c r="I27" s="1">
        <v>-0.0061264114417939</v>
      </c>
      <c r="J27" s="1">
        <v>-0.0058789422667661</v>
      </c>
      <c r="K27" s="1">
        <v>0.013132005918978</v>
      </c>
      <c r="L27" s="1">
        <v>-0.19518293223947</v>
      </c>
      <c r="M27" s="1">
        <v>-0.19821260813161</v>
      </c>
      <c r="N27" s="1">
        <v>527.15905838875</v>
      </c>
      <c r="O27" s="1">
        <v>585.94539463374</v>
      </c>
    </row>
    <row r="28" spans="1:15">
      <c r="A28" s="1">
        <v>4.6066849390983</v>
      </c>
      <c r="B28" s="1">
        <v>0.012392244170506</v>
      </c>
      <c r="C28" s="1">
        <v>92.699914541451</v>
      </c>
      <c r="D28" s="1">
        <v>0.014347932843388</v>
      </c>
      <c r="E28" s="1">
        <v>-6.3343266729213</v>
      </c>
      <c r="F28" s="1">
        <v>-2.1036908283891</v>
      </c>
      <c r="G28" s="1">
        <v>8649528.7842999</v>
      </c>
      <c r="H28" s="1">
        <v>7386431.701149</v>
      </c>
      <c r="I28" s="1">
        <v>-0.0064268112740331</v>
      </c>
      <c r="J28" s="1">
        <v>-0.006167873682086</v>
      </c>
      <c r="K28" s="1">
        <v>0.013723870318633</v>
      </c>
      <c r="L28" s="1">
        <v>-0.20625077633624</v>
      </c>
      <c r="M28" s="1">
        <v>-0.20929284614393</v>
      </c>
      <c r="N28" s="1">
        <v>528.446943551</v>
      </c>
      <c r="O28" s="1">
        <v>587.76764880874</v>
      </c>
    </row>
    <row r="29" spans="1:15">
      <c r="A29" s="1">
        <v>4.8066849390983</v>
      </c>
      <c r="B29" s="1">
        <v>0.013021760013931</v>
      </c>
      <c r="C29" s="1">
        <v>92.699756051436</v>
      </c>
      <c r="D29" s="1">
        <v>0.014982802245497</v>
      </c>
      <c r="E29" s="1">
        <v>-6.3269067478448</v>
      </c>
      <c r="F29" s="1">
        <v>-2.1125668917166</v>
      </c>
      <c r="G29" s="1">
        <v>8684686.643447</v>
      </c>
      <c r="H29" s="1">
        <v>7571962.0250764</v>
      </c>
      <c r="I29" s="1">
        <v>-0.0067271095628548</v>
      </c>
      <c r="J29" s="1">
        <v>-0.0064566100447065</v>
      </c>
      <c r="K29" s="1">
        <v>0.014315379137966</v>
      </c>
      <c r="L29" s="1">
        <v>-0.21731664412591</v>
      </c>
      <c r="M29" s="1">
        <v>-0.22036689816826</v>
      </c>
      <c r="N29" s="1">
        <v>529.70607602641</v>
      </c>
      <c r="O29" s="1">
        <v>589.5283737873</v>
      </c>
    </row>
    <row r="30" spans="1:15">
      <c r="A30" s="1">
        <v>5.0066849390983</v>
      </c>
      <c r="B30" s="1">
        <v>0.013650981719578</v>
      </c>
      <c r="C30" s="1">
        <v>92.699576359661</v>
      </c>
      <c r="D30" s="1">
        <v>0.01561738347371</v>
      </c>
      <c r="E30" s="1">
        <v>-6.3168350806476</v>
      </c>
      <c r="F30" s="1">
        <v>-2.1131097516234</v>
      </c>
      <c r="G30" s="1">
        <v>8719885.3149936</v>
      </c>
      <c r="H30" s="1">
        <v>7757924.0463806</v>
      </c>
      <c r="I30" s="1">
        <v>-0.0070273008235085</v>
      </c>
      <c r="J30" s="1">
        <v>-0.0067451519388378</v>
      </c>
      <c r="K30" s="1">
        <v>0.014906532844609</v>
      </c>
      <c r="L30" s="1">
        <v>-0.22845823258866</v>
      </c>
      <c r="M30" s="1">
        <v>-0.23151213826196</v>
      </c>
      <c r="N30" s="1">
        <v>530.93936243697</v>
      </c>
      <c r="O30" s="1">
        <v>591.23466009109</v>
      </c>
    </row>
    <row r="31" spans="1:15">
      <c r="A31" s="1">
        <v>5.2066849390983</v>
      </c>
      <c r="B31" s="1">
        <v>0.014279922059617</v>
      </c>
      <c r="C31" s="1">
        <v>92.699386502244</v>
      </c>
      <c r="D31" s="1">
        <v>0.016251685742842</v>
      </c>
      <c r="E31" s="1">
        <v>-6.3024789480635</v>
      </c>
      <c r="F31" s="1">
        <v>-2.1179130520318</v>
      </c>
      <c r="G31" s="1">
        <v>8755120.5856553</v>
      </c>
      <c r="H31" s="1">
        <v>7944294.8950272</v>
      </c>
      <c r="I31" s="1">
        <v>-0.0073273806400892</v>
      </c>
      <c r="J31" s="1">
        <v>-0.0070334996246646</v>
      </c>
      <c r="K31" s="1">
        <v>0.015497331905195</v>
      </c>
      <c r="L31" s="1">
        <v>-0.23957558378683</v>
      </c>
      <c r="M31" s="1">
        <v>-0.24263987239404</v>
      </c>
      <c r="N31" s="1">
        <v>532.14892831328</v>
      </c>
      <c r="O31" s="1">
        <v>592.89192936146</v>
      </c>
    </row>
    <row r="32" spans="1:15">
      <c r="A32" s="1">
        <v>5.4066849390983</v>
      </c>
      <c r="B32" s="1">
        <v>0.014908590741344</v>
      </c>
      <c r="C32" s="1">
        <v>92.699201918552</v>
      </c>
      <c r="D32" s="1">
        <v>0.016885718656039</v>
      </c>
      <c r="E32" s="1">
        <v>-6.2881031502441</v>
      </c>
      <c r="F32" s="1">
        <v>-2.100763447326</v>
      </c>
      <c r="G32" s="1">
        <v>8790388.4987472</v>
      </c>
      <c r="H32" s="1">
        <v>8131052.9539269</v>
      </c>
      <c r="I32" s="1">
        <v>-0.0076273461375149</v>
      </c>
      <c r="J32" s="1">
        <v>-0.0073216538937419</v>
      </c>
      <c r="K32" s="1">
        <v>0.016087776782706</v>
      </c>
      <c r="L32" s="1">
        <v>-0.25104387015681</v>
      </c>
      <c r="M32" s="1">
        <v>-0.25408373387192</v>
      </c>
      <c r="N32" s="1">
        <v>533.33683866091</v>
      </c>
      <c r="O32" s="1">
        <v>594.50551273274</v>
      </c>
    </row>
    <row r="33" spans="1:15">
      <c r="A33" s="1">
        <v>5.6066849390983</v>
      </c>
      <c r="B33" s="1">
        <v>0.015536999541506</v>
      </c>
      <c r="C33" s="1">
        <v>92.699012050962</v>
      </c>
      <c r="D33" s="1">
        <v>0.017519491708094</v>
      </c>
      <c r="E33" s="1">
        <v>-6.273696292992</v>
      </c>
      <c r="F33" s="1">
        <v>-2.0946239709084</v>
      </c>
      <c r="G33" s="1">
        <v>8825685.4479775</v>
      </c>
      <c r="H33" s="1">
        <v>8318178.3813775</v>
      </c>
      <c r="I33" s="1">
        <v>-0.0079271920074761</v>
      </c>
      <c r="J33" s="1">
        <v>-0.007609614507209</v>
      </c>
      <c r="K33" s="1">
        <v>0.016677867948346</v>
      </c>
      <c r="L33" s="1">
        <v>-0.26226500000233</v>
      </c>
      <c r="M33" s="1">
        <v>-0.26534027272664</v>
      </c>
      <c r="N33" s="1">
        <v>534.50488976652</v>
      </c>
      <c r="O33" s="1">
        <v>596.07930350066</v>
      </c>
    </row>
    <row r="34" spans="1:15">
      <c r="A34" s="1">
        <v>5.8066849390983</v>
      </c>
      <c r="B34" s="1">
        <v>0.016165160811065</v>
      </c>
      <c r="C34" s="1">
        <v>92.698821590981</v>
      </c>
      <c r="D34" s="1">
        <v>0.018153015194494</v>
      </c>
      <c r="E34" s="1">
        <v>-6.2702745228044</v>
      </c>
      <c r="F34" s="1">
        <v>-2.0994638461363</v>
      </c>
      <c r="G34" s="1">
        <v>8861008.039576</v>
      </c>
      <c r="H34" s="1">
        <v>8505652.4211584</v>
      </c>
      <c r="I34" s="1">
        <v>-0.0082269167600489</v>
      </c>
      <c r="J34" s="1">
        <v>-0.0078973824323137</v>
      </c>
      <c r="K34" s="1">
        <v>0.017267605847744</v>
      </c>
      <c r="L34" s="1">
        <v>-0.27369868153613</v>
      </c>
      <c r="M34" s="1">
        <v>-0.27676828294317</v>
      </c>
      <c r="N34" s="1">
        <v>535.65449608059</v>
      </c>
      <c r="O34" s="1">
        <v>597.61740793223</v>
      </c>
    </row>
    <row r="35" spans="1:15">
      <c r="A35" s="1">
        <v>6.0066849390983</v>
      </c>
      <c r="B35" s="1">
        <v>0.016793085585814</v>
      </c>
      <c r="C35" s="1">
        <v>92.698646408001</v>
      </c>
      <c r="D35" s="1">
        <v>0.018786299886955</v>
      </c>
      <c r="E35" s="1">
        <v>-6.2669580907491</v>
      </c>
      <c r="F35" s="1">
        <v>-2.1041972684925</v>
      </c>
      <c r="G35" s="1">
        <v>8896352.9789496</v>
      </c>
      <c r="H35" s="1">
        <v>8693456.8123229</v>
      </c>
      <c r="I35" s="1">
        <v>-0.0085265177255091</v>
      </c>
      <c r="J35" s="1">
        <v>-0.00818495696846</v>
      </c>
      <c r="K35" s="1">
        <v>0.017856990931132</v>
      </c>
      <c r="L35" s="1">
        <v>-0.28517046058885</v>
      </c>
      <c r="M35" s="1">
        <v>-0.28822097850492</v>
      </c>
      <c r="N35" s="1">
        <v>536.78722698676</v>
      </c>
      <c r="O35" s="1">
        <v>599.12328448011</v>
      </c>
    </row>
    <row r="36" spans="1:15">
      <c r="A36" s="1">
        <v>6.2066849390983</v>
      </c>
      <c r="B36" s="1">
        <v>0.017420784250203</v>
      </c>
      <c r="C36" s="1">
        <v>92.698473997194</v>
      </c>
      <c r="D36" s="1">
        <v>0.019419356034876</v>
      </c>
      <c r="E36" s="1">
        <v>-6.2439714549513</v>
      </c>
      <c r="F36" s="1">
        <v>-2.1175858114632</v>
      </c>
      <c r="G36" s="1">
        <v>8931717.3388157</v>
      </c>
      <c r="H36" s="1">
        <v>8881575.1325945</v>
      </c>
      <c r="I36" s="1">
        <v>-0.0088259939188951</v>
      </c>
      <c r="J36" s="1">
        <v>-0.0084723377294696</v>
      </c>
      <c r="K36" s="1">
        <v>0.018446023655011</v>
      </c>
      <c r="L36" s="1">
        <v>-0.29672023468066</v>
      </c>
      <c r="M36" s="1">
        <v>-0.29977155422949</v>
      </c>
      <c r="N36" s="1">
        <v>537.90415263347</v>
      </c>
      <c r="O36" s="1">
        <v>600.59978894019</v>
      </c>
    </row>
    <row r="37" spans="1:15">
      <c r="A37" s="1">
        <v>6.4066849390983</v>
      </c>
      <c r="B37" s="1">
        <v>0.018048265587498</v>
      </c>
      <c r="C37" s="1">
        <v>92.698278215575</v>
      </c>
      <c r="D37" s="1">
        <v>0.020052192273688</v>
      </c>
      <c r="E37" s="1">
        <v>-6.2397201223637</v>
      </c>
      <c r="F37" s="1">
        <v>-2.0994339039339</v>
      </c>
      <c r="G37" s="1">
        <v>8967098.4683642</v>
      </c>
      <c r="H37" s="1">
        <v>9069992.3122477</v>
      </c>
      <c r="I37" s="1">
        <v>-0.0091253431218624</v>
      </c>
      <c r="J37" s="1">
        <v>-0.0087595246165889</v>
      </c>
      <c r="K37" s="1">
        <v>0.019034704459449</v>
      </c>
      <c r="L37" s="1">
        <v>-0.30822521972598</v>
      </c>
      <c r="M37" s="1">
        <v>-0.31127912416065</v>
      </c>
      <c r="N37" s="1">
        <v>539.00635889266</v>
      </c>
      <c r="O37" s="1">
        <v>602.04925132404</v>
      </c>
    </row>
    <row r="38" spans="1:15">
      <c r="A38" s="1">
        <v>6.6066849390983</v>
      </c>
      <c r="B38" s="1">
        <v>0.018675536702413</v>
      </c>
      <c r="C38" s="1">
        <v>92.698094896593</v>
      </c>
      <c r="D38" s="1">
        <v>0.020684816357818</v>
      </c>
      <c r="E38" s="1">
        <v>-6.2320987591433</v>
      </c>
      <c r="F38" s="1">
        <v>-2.1084375850344</v>
      </c>
      <c r="G38" s="1">
        <v>9002494.0574878</v>
      </c>
      <c r="H38" s="1">
        <v>9258694.9623368</v>
      </c>
      <c r="I38" s="1">
        <v>-0.0094245649088767</v>
      </c>
      <c r="J38" s="1">
        <v>-0.0090465188599536</v>
      </c>
      <c r="K38" s="1">
        <v>0.019623033778147</v>
      </c>
      <c r="L38" s="1">
        <v>-0.32004662470938</v>
      </c>
      <c r="M38" s="1">
        <v>-0.32308242059757</v>
      </c>
      <c r="N38" s="1">
        <v>540.09444915185</v>
      </c>
      <c r="O38" s="1">
        <v>603.47371450619</v>
      </c>
    </row>
    <row r="39" spans="1:15">
      <c r="A39" s="1">
        <v>6.8066849390983</v>
      </c>
      <c r="B39" s="1">
        <v>0.01930260192096</v>
      </c>
      <c r="C39" s="1">
        <v>92.69789677822</v>
      </c>
      <c r="D39" s="1">
        <v>0.021317233801854</v>
      </c>
      <c r="E39" s="1">
        <v>-6.2329035788977</v>
      </c>
      <c r="F39" s="1">
        <v>-2.1090246760223</v>
      </c>
      <c r="G39" s="1">
        <v>9037901.9212381</v>
      </c>
      <c r="H39" s="1">
        <v>9447670.2549475</v>
      </c>
      <c r="I39" s="1">
        <v>-0.0097236553313052</v>
      </c>
      <c r="J39" s="1">
        <v>-0.0093333204365833</v>
      </c>
      <c r="K39" s="1">
        <v>0.020211012035989</v>
      </c>
      <c r="L39" s="1">
        <v>-0.33167523521394</v>
      </c>
      <c r="M39" s="1">
        <v>-0.33471120530158</v>
      </c>
      <c r="N39" s="1">
        <v>541.16950157103</v>
      </c>
      <c r="O39" s="1">
        <v>604.87472165476</v>
      </c>
    </row>
    <row r="40" spans="1:15">
      <c r="A40" s="1">
        <v>7.0066849390983</v>
      </c>
      <c r="B40" s="1">
        <v>0.019929467779655</v>
      </c>
      <c r="C40" s="1">
        <v>92.697691073904</v>
      </c>
      <c r="D40" s="1">
        <v>0.021949451222803</v>
      </c>
      <c r="E40" s="1">
        <v>-6.2337033618936</v>
      </c>
      <c r="F40" s="1">
        <v>-2.098626568393</v>
      </c>
      <c r="G40" s="1">
        <v>9073320.1061997</v>
      </c>
      <c r="H40" s="1">
        <v>9636906.5516057</v>
      </c>
      <c r="I40" s="1">
        <v>-0.01002261286532</v>
      </c>
      <c r="J40" s="1">
        <v>-0.009619931756618</v>
      </c>
      <c r="K40" s="1">
        <v>0.020798639674935</v>
      </c>
      <c r="L40" s="1">
        <v>-0.34340287398465</v>
      </c>
      <c r="M40" s="1">
        <v>-0.34642619226457</v>
      </c>
      <c r="N40" s="1">
        <v>542.23191196965</v>
      </c>
      <c r="O40" s="1">
        <v>606.25383091794</v>
      </c>
    </row>
    <row r="41" spans="1:15">
      <c r="A41" s="1">
        <v>7.2066849390983</v>
      </c>
      <c r="B41" s="1">
        <v>0.02055613843799</v>
      </c>
      <c r="C41" s="1">
        <v>92.697479966469</v>
      </c>
      <c r="D41" s="1">
        <v>0.022581474206135</v>
      </c>
      <c r="E41" s="1">
        <v>-6.2344982153871</v>
      </c>
      <c r="F41" s="1">
        <v>-2.0992158314098</v>
      </c>
      <c r="G41" s="1">
        <v>9108746.5923682</v>
      </c>
      <c r="H41" s="1">
        <v>9826391.8299776</v>
      </c>
      <c r="I41" s="1">
        <v>-0.010321434683117</v>
      </c>
      <c r="J41" s="1">
        <v>-0.0099063548226127</v>
      </c>
      <c r="K41" s="1">
        <v>0.021385917108434</v>
      </c>
      <c r="L41" s="1">
        <v>-0.35534052396008</v>
      </c>
      <c r="M41" s="1">
        <v>-0.35834702110997</v>
      </c>
      <c r="N41" s="1">
        <v>543.28253712185</v>
      </c>
      <c r="O41" s="1">
        <v>607.61286108423</v>
      </c>
    </row>
    <row r="42" spans="1:15">
      <c r="A42" s="1">
        <v>7.4066849390983</v>
      </c>
      <c r="B42" s="1">
        <v>0.021182620411508</v>
      </c>
      <c r="C42" s="1">
        <v>92.697276497502</v>
      </c>
      <c r="D42" s="1">
        <v>0.02321330822365</v>
      </c>
      <c r="E42" s="1">
        <v>-6.2200218111415</v>
      </c>
      <c r="F42" s="1">
        <v>-2.1040784984474</v>
      </c>
      <c r="G42" s="1">
        <v>9144179.5531541</v>
      </c>
      <c r="H42" s="1">
        <v>10016115.049854</v>
      </c>
      <c r="I42" s="1">
        <v>-0.010620117319172</v>
      </c>
      <c r="J42" s="1">
        <v>-0.010192590308526</v>
      </c>
      <c r="K42" s="1">
        <v>0.021972844758998</v>
      </c>
      <c r="L42" s="1">
        <v>-0.36704118341482</v>
      </c>
      <c r="M42" s="1">
        <v>-0.37005378473404</v>
      </c>
      <c r="N42" s="1">
        <v>544.32199358708</v>
      </c>
      <c r="O42" s="1">
        <v>608.95280919228</v>
      </c>
    </row>
    <row r="43" spans="1:15">
      <c r="A43" s="1">
        <v>7.6066849390983</v>
      </c>
      <c r="B43" s="1">
        <v>0.021808920597527</v>
      </c>
      <c r="C43" s="1">
        <v>92.697057817402</v>
      </c>
      <c r="D43" s="1">
        <v>0.023844959860628</v>
      </c>
      <c r="E43" s="1">
        <v>-6.2427758724487</v>
      </c>
      <c r="F43" s="1">
        <v>-2.1156599131292</v>
      </c>
      <c r="G43" s="1">
        <v>9179617.2316986</v>
      </c>
      <c r="H43" s="1">
        <v>10206065.516965</v>
      </c>
      <c r="I43" s="1">
        <v>-0.010918659883469</v>
      </c>
      <c r="J43" s="1">
        <v>-0.010478640912863</v>
      </c>
      <c r="K43" s="1">
        <v>0.02255942304608</v>
      </c>
      <c r="L43" s="1">
        <v>-0.3789983829513</v>
      </c>
      <c r="M43" s="1">
        <v>-0.3819971377347</v>
      </c>
      <c r="N43" s="1">
        <v>545.35063050268</v>
      </c>
      <c r="O43" s="1">
        <v>610.2751885316</v>
      </c>
    </row>
    <row r="44" spans="1:15">
      <c r="A44" s="1">
        <v>7.8066849390983</v>
      </c>
      <c r="B44" s="1">
        <v>0.022435045059929</v>
      </c>
      <c r="C44" s="1">
        <v>92.696833637596</v>
      </c>
      <c r="D44" s="1">
        <v>0.024476434497753</v>
      </c>
      <c r="E44" s="1">
        <v>-6.2586968710065</v>
      </c>
      <c r="F44" s="1">
        <v>-2.120411380318</v>
      </c>
      <c r="G44" s="1">
        <v>9215057.9112064</v>
      </c>
      <c r="H44" s="1">
        <v>10396232.734714</v>
      </c>
      <c r="I44" s="1">
        <v>-0.01121706036577</v>
      </c>
      <c r="J44" s="1">
        <v>-0.010764507016918</v>
      </c>
      <c r="K44" s="1">
        <v>0.023145652389963</v>
      </c>
      <c r="L44" s="1">
        <v>-0.39099111329161</v>
      </c>
      <c r="M44" s="1">
        <v>-0.39398601999144</v>
      </c>
      <c r="N44" s="1">
        <v>546.36899787659</v>
      </c>
      <c r="O44" s="1">
        <v>611.58103694345</v>
      </c>
    </row>
    <row r="45" spans="1:15">
      <c r="A45" s="1">
        <v>8.0066849390983</v>
      </c>
      <c r="B45" s="1">
        <v>0.02306100036301</v>
      </c>
      <c r="C45" s="1">
        <v>92.696609627438</v>
      </c>
      <c r="D45" s="1">
        <v>0.025107737925706</v>
      </c>
      <c r="E45" s="1">
        <v>-6.2881438400308</v>
      </c>
      <c r="F45" s="1">
        <v>-2.1472606151794</v>
      </c>
      <c r="G45" s="1">
        <v>9250499.9905371</v>
      </c>
      <c r="H45" s="1">
        <v>10586606.787552</v>
      </c>
      <c r="I45" s="1">
        <v>-0.01151531664044</v>
      </c>
      <c r="J45" s="1">
        <v>-0.011050189872982</v>
      </c>
      <c r="K45" s="1">
        <v>0.023731533209561</v>
      </c>
      <c r="L45" s="1">
        <v>-0.40292668408162</v>
      </c>
      <c r="M45" s="1">
        <v>-0.40592344127235</v>
      </c>
      <c r="N45" s="1">
        <v>547.37751824737</v>
      </c>
      <c r="O45" s="1">
        <v>612.87128129895</v>
      </c>
    </row>
    <row r="46" spans="1:15">
      <c r="A46" s="1">
        <v>8.2066849390983</v>
      </c>
      <c r="B46" s="1">
        <v>0.023686791496726</v>
      </c>
      <c r="C46" s="1">
        <v>92.696390511586</v>
      </c>
      <c r="D46" s="1">
        <v>0.025738875879323</v>
      </c>
      <c r="E46" s="1">
        <v>-6.2737042694403</v>
      </c>
      <c r="F46" s="1">
        <v>-2.1520778064394</v>
      </c>
      <c r="G46" s="1">
        <v>9285941.9391152</v>
      </c>
      <c r="H46" s="1">
        <v>10777178.07276</v>
      </c>
      <c r="I46" s="1">
        <v>-0.011813427443803</v>
      </c>
      <c r="J46" s="1">
        <v>-0.01133569191515</v>
      </c>
      <c r="K46" s="1">
        <v>0.024317065926397</v>
      </c>
      <c r="L46" s="1">
        <v>-0.41513909429504</v>
      </c>
      <c r="M46" s="1">
        <v>-0.41812501194621</v>
      </c>
      <c r="N46" s="1">
        <v>548.37653558243</v>
      </c>
      <c r="O46" s="1">
        <v>614.14705426591</v>
      </c>
    </row>
    <row r="47" spans="1:15">
      <c r="A47" s="1">
        <v>8.4066849390983</v>
      </c>
      <c r="B47" s="1">
        <v>0.024312423187102</v>
      </c>
      <c r="C47" s="1">
        <v>92.696172713991</v>
      </c>
      <c r="D47" s="1">
        <v>0.026369852470228</v>
      </c>
      <c r="E47" s="1">
        <v>-6.3140767172294</v>
      </c>
      <c r="F47" s="1">
        <v>-2.1789841563096</v>
      </c>
      <c r="G47" s="1">
        <v>9321382.3413277</v>
      </c>
      <c r="H47" s="1">
        <v>10967937.560926</v>
      </c>
      <c r="I47" s="1">
        <v>-0.012111389251099</v>
      </c>
      <c r="J47" s="1">
        <v>-0.011621013415183</v>
      </c>
      <c r="K47" s="1">
        <v>0.02490225096084</v>
      </c>
      <c r="L47" s="1">
        <v>-0.4270702421748</v>
      </c>
      <c r="M47" s="1">
        <v>-0.43004577293184</v>
      </c>
      <c r="N47" s="1">
        <v>549.36662787311</v>
      </c>
      <c r="O47" s="1">
        <v>615.40882081479</v>
      </c>
    </row>
    <row r="48" spans="1:15">
      <c r="A48" s="1">
        <v>8.6066849390983</v>
      </c>
      <c r="B48" s="1">
        <v>0.024937899526835</v>
      </c>
      <c r="C48" s="1">
        <v>92.695958864388</v>
      </c>
      <c r="D48" s="1">
        <v>0.027000672912355</v>
      </c>
      <c r="E48" s="1">
        <v>-6.3435261722381</v>
      </c>
      <c r="F48" s="1">
        <v>-2.1948386411714</v>
      </c>
      <c r="G48" s="1">
        <v>9356819.8585126</v>
      </c>
      <c r="H48" s="1">
        <v>11158876.609754</v>
      </c>
      <c r="I48" s="1">
        <v>-0.01240920158673</v>
      </c>
      <c r="J48" s="1">
        <v>-0.011906157147328</v>
      </c>
      <c r="K48" s="1">
        <v>0.025487088743947</v>
      </c>
      <c r="L48" s="1">
        <v>-0.43922219101893</v>
      </c>
      <c r="M48" s="1">
        <v>-0.4422007643577</v>
      </c>
      <c r="N48" s="1">
        <v>550.34798808387</v>
      </c>
      <c r="O48" s="1">
        <v>616.65764502064</v>
      </c>
    </row>
    <row r="49" spans="1:15">
      <c r="A49" s="1">
        <v>8.8066849390982</v>
      </c>
      <c r="B49" s="1">
        <v>0.025563225119224</v>
      </c>
      <c r="C49" s="1">
        <v>92.695732749219</v>
      </c>
      <c r="D49" s="1">
        <v>0.027631341295958</v>
      </c>
      <c r="E49" s="1">
        <v>-6.3882194190396</v>
      </c>
      <c r="F49" s="1">
        <v>-2.1954530502707</v>
      </c>
      <c r="G49" s="1">
        <v>9392253.2866233</v>
      </c>
      <c r="H49" s="1">
        <v>11349987.231576</v>
      </c>
      <c r="I49" s="1">
        <v>-0.012706862397774</v>
      </c>
      <c r="J49" s="1">
        <v>-0.012191124003954</v>
      </c>
      <c r="K49" s="1">
        <v>0.026071579695426</v>
      </c>
      <c r="L49" s="1">
        <v>-0.45140861638263</v>
      </c>
      <c r="M49" s="1">
        <v>-0.45436727260262</v>
      </c>
      <c r="N49" s="1">
        <v>551.3209304292</v>
      </c>
      <c r="O49" s="1">
        <v>617.89388975968</v>
      </c>
    </row>
    <row r="50" spans="1:15">
      <c r="A50" s="1">
        <v>9.0066849390982</v>
      </c>
      <c r="B50" s="1">
        <v>0.026188403991067</v>
      </c>
      <c r="C50" s="1">
        <v>92.695501569827</v>
      </c>
      <c r="D50" s="1">
        <v>0.028261861920381</v>
      </c>
      <c r="E50" s="1">
        <v>-6.4219223876119</v>
      </c>
      <c r="F50" s="1">
        <v>-2.1850826939759</v>
      </c>
      <c r="G50" s="1">
        <v>9427681.3768364</v>
      </c>
      <c r="H50" s="1">
        <v>11541261.22654</v>
      </c>
      <c r="I50" s="1">
        <v>-0.013004371086938</v>
      </c>
      <c r="J50" s="1">
        <v>-0.012475914228375</v>
      </c>
      <c r="K50" s="1">
        <v>0.026655724248978</v>
      </c>
      <c r="L50" s="1">
        <v>-0.46360250059991</v>
      </c>
      <c r="M50" s="1">
        <v>-0.46656573772617</v>
      </c>
      <c r="N50" s="1">
        <v>552.28582468615</v>
      </c>
      <c r="O50" s="1">
        <v>619.11826796736</v>
      </c>
    </row>
    <row r="51" spans="1:15">
      <c r="A51" s="1">
        <v>9.2066849390982</v>
      </c>
      <c r="B51" s="1">
        <v>0.026813440648531</v>
      </c>
      <c r="C51" s="1">
        <v>92.695260539423</v>
      </c>
      <c r="D51" s="1">
        <v>0.028892239186603</v>
      </c>
      <c r="E51" s="1">
        <v>-6.4269060180715</v>
      </c>
      <c r="F51" s="1">
        <v>-2.1899379645039</v>
      </c>
      <c r="G51" s="1">
        <v>9463103.0103647</v>
      </c>
      <c r="H51" s="1">
        <v>11732691.037826</v>
      </c>
      <c r="I51" s="1">
        <v>-0.013301727627957</v>
      </c>
      <c r="J51" s="1">
        <v>-0.012760528210634</v>
      </c>
      <c r="K51" s="1">
        <v>0.02723952282396</v>
      </c>
      <c r="L51" s="1">
        <v>-0.47587766171722</v>
      </c>
      <c r="M51" s="1">
        <v>-0.47883050946666</v>
      </c>
      <c r="N51" s="1">
        <v>553.24280695953</v>
      </c>
      <c r="O51" s="1">
        <v>620.33116373138</v>
      </c>
    </row>
    <row r="52" spans="1:15">
      <c r="A52" s="1">
        <v>9.4066849390982</v>
      </c>
      <c r="B52" s="1">
        <v>0.027438338955605</v>
      </c>
      <c r="C52" s="1">
        <v>92.695015728452</v>
      </c>
      <c r="D52" s="1">
        <v>0.02952247718621</v>
      </c>
      <c r="E52" s="1">
        <v>-6.4563847474894</v>
      </c>
      <c r="F52" s="1">
        <v>-2.1837895968836</v>
      </c>
      <c r="G52" s="1">
        <v>9498517.0865792</v>
      </c>
      <c r="H52" s="1">
        <v>11924269.226538</v>
      </c>
      <c r="I52" s="1">
        <v>-0.013598931832575</v>
      </c>
      <c r="J52" s="1">
        <v>-0.013044966181471</v>
      </c>
      <c r="K52" s="1">
        <v>0.027822975846548</v>
      </c>
      <c r="L52" s="1">
        <v>-0.48823399303123</v>
      </c>
      <c r="M52" s="1">
        <v>-0.49117753095563</v>
      </c>
      <c r="N52" s="1">
        <v>554.19207398013</v>
      </c>
      <c r="O52" s="1">
        <v>621.53299117114</v>
      </c>
    </row>
    <row r="53" spans="1:15">
      <c r="A53" s="1">
        <v>9.6066849390982</v>
      </c>
      <c r="B53" s="1">
        <v>0.028063102069597</v>
      </c>
      <c r="C53" s="1">
        <v>92.694764820679</v>
      </c>
      <c r="D53" s="1">
        <v>0.030152579477869</v>
      </c>
      <c r="E53" s="1">
        <v>-6.4790927056666</v>
      </c>
      <c r="F53" s="1">
        <v>-2.1844150662239</v>
      </c>
      <c r="G53" s="1">
        <v>9533922.4828598</v>
      </c>
      <c r="H53" s="1">
        <v>12115988.207583</v>
      </c>
      <c r="I53" s="1">
        <v>-0.013895983273442</v>
      </c>
      <c r="J53" s="1">
        <v>-0.01332922744972</v>
      </c>
      <c r="K53" s="1">
        <v>0.028406083739437</v>
      </c>
      <c r="L53" s="1">
        <v>-0.50055794999036</v>
      </c>
      <c r="M53" s="1">
        <v>-0.50350491936321</v>
      </c>
      <c r="N53" s="1">
        <v>555.13413224293</v>
      </c>
      <c r="O53" s="1">
        <v>622.72438472164</v>
      </c>
    </row>
    <row r="54" spans="1:15">
      <c r="A54" s="1">
        <v>9.8066849390982</v>
      </c>
      <c r="B54" s="1">
        <v>0.028687734878301</v>
      </c>
      <c r="C54" s="1">
        <v>92.694503083734</v>
      </c>
      <c r="D54" s="1">
        <v>0.030782550372827</v>
      </c>
      <c r="E54" s="1">
        <v>-6.4893383792097</v>
      </c>
      <c r="F54" s="1">
        <v>-2.2032865386776</v>
      </c>
      <c r="G54" s="1">
        <v>9569318.2230673</v>
      </c>
      <c r="H54" s="1">
        <v>12307841.176924</v>
      </c>
      <c r="I54" s="1">
        <v>-0.014192882005344</v>
      </c>
      <c r="J54" s="1">
        <v>-0.013613313297513</v>
      </c>
      <c r="K54" s="1">
        <v>0.02898884692027</v>
      </c>
      <c r="L54" s="1">
        <v>-0.51305385781264</v>
      </c>
      <c r="M54" s="1">
        <v>-0.51599100832041</v>
      </c>
      <c r="N54" s="1">
        <v>556.06893021169</v>
      </c>
      <c r="O54" s="1">
        <v>623.90568038005</v>
      </c>
    </row>
    <row r="55" spans="1:15">
      <c r="A55" s="1">
        <v>10.006684939098</v>
      </c>
      <c r="B55" s="1">
        <v>0.029312240270549</v>
      </c>
      <c r="C55" s="1">
        <v>92.694242714095</v>
      </c>
      <c r="D55" s="1">
        <v>0.031412393005985</v>
      </c>
      <c r="E55" s="1">
        <v>-6.479070765964</v>
      </c>
      <c r="F55" s="1">
        <v>-2.2039115484019</v>
      </c>
      <c r="G55" s="1">
        <v>9604703.2795976</v>
      </c>
      <c r="H55" s="1">
        <v>12499821.044182</v>
      </c>
      <c r="I55" s="1">
        <v>-0.014489626378694</v>
      </c>
      <c r="J55" s="1">
        <v>-0.013897222966659</v>
      </c>
      <c r="K55" s="1">
        <v>0.029571265809264</v>
      </c>
      <c r="L55" s="1">
        <v>-0.52528761845681</v>
      </c>
      <c r="M55" s="1">
        <v>-0.52822410053125</v>
      </c>
      <c r="N55" s="1">
        <v>556.99692588661</v>
      </c>
      <c r="O55" s="1">
        <v>625.07707193557</v>
      </c>
    </row>
    <row r="56" spans="1:15">
      <c r="A56" s="1">
        <v>10.206684939098</v>
      </c>
      <c r="B56" s="1">
        <v>0.029936622521522</v>
      </c>
      <c r="C56" s="1">
        <v>92.693983276402</v>
      </c>
      <c r="D56" s="1">
        <v>0.0320421120997</v>
      </c>
      <c r="E56" s="1">
        <v>-6.5237316302167</v>
      </c>
      <c r="F56" s="1">
        <v>-2.2045380467928</v>
      </c>
      <c r="G56" s="1">
        <v>9640076.6984074</v>
      </c>
      <c r="H56" s="1">
        <v>12691921.118811</v>
      </c>
      <c r="I56" s="1">
        <v>-0.014786217617799</v>
      </c>
      <c r="J56" s="1">
        <v>-0.014180958171148</v>
      </c>
      <c r="K56" s="1">
        <v>0.030153340824767</v>
      </c>
      <c r="L56" s="1">
        <v>-0.53782014697706</v>
      </c>
      <c r="M56" s="1">
        <v>-0.54074861517936</v>
      </c>
      <c r="N56" s="1">
        <v>557.91808922047</v>
      </c>
      <c r="O56" s="1">
        <v>626.23923493091</v>
      </c>
    </row>
    <row r="57" spans="1:15">
      <c r="A57" s="1">
        <v>10.406684939098</v>
      </c>
      <c r="B57" s="1">
        <v>0.0305608857631</v>
      </c>
      <c r="C57" s="1">
        <v>92.693722982722</v>
      </c>
      <c r="D57" s="1">
        <v>0.032671710609659</v>
      </c>
      <c r="E57" s="1">
        <v>-6.5683893854811</v>
      </c>
      <c r="F57" s="1">
        <v>-2.2051659698511</v>
      </c>
      <c r="G57" s="1">
        <v>9675437.5649104</v>
      </c>
      <c r="H57" s="1">
        <v>12884134.929335</v>
      </c>
      <c r="I57" s="1">
        <v>-0.015082654521682</v>
      </c>
      <c r="J57" s="1">
        <v>-0.01446451837626</v>
      </c>
      <c r="K57" s="1">
        <v>0.030735072378814</v>
      </c>
      <c r="L57" s="1">
        <v>-0.55027783784796</v>
      </c>
      <c r="M57" s="1">
        <v>-0.55319588166958</v>
      </c>
      <c r="N57" s="1">
        <v>558.8326522158</v>
      </c>
      <c r="O57" s="1">
        <v>627.39219986587</v>
      </c>
    </row>
    <row r="58" spans="1:15">
      <c r="A58" s="1">
        <v>10.606684939098</v>
      </c>
      <c r="B58" s="1">
        <v>0.031185032758805</v>
      </c>
      <c r="C58" s="1">
        <v>92.693461459516</v>
      </c>
      <c r="D58" s="1">
        <v>0.033301192296203</v>
      </c>
      <c r="E58" s="1">
        <v>-6.6020578463421</v>
      </c>
      <c r="F58" s="1">
        <v>-2.2057952653104</v>
      </c>
      <c r="G58" s="1">
        <v>9710784.9839659</v>
      </c>
      <c r="H58" s="1">
        <v>13076456.078155</v>
      </c>
      <c r="I58" s="1">
        <v>-0.015378937359509</v>
      </c>
      <c r="J58" s="1">
        <v>-0.014747903797751</v>
      </c>
      <c r="K58" s="1">
        <v>0.03131646088801</v>
      </c>
      <c r="L58" s="1">
        <v>-0.56274509949115</v>
      </c>
      <c r="M58" s="1">
        <v>-0.56566690780425</v>
      </c>
      <c r="N58" s="1">
        <v>559.74078183564</v>
      </c>
      <c r="O58" s="1">
        <v>628.53634671359</v>
      </c>
    </row>
    <row r="59" spans="1:15">
      <c r="A59" s="1">
        <v>10.806684939098</v>
      </c>
      <c r="B59" s="1">
        <v>0.031809065834347</v>
      </c>
      <c r="C59" s="1">
        <v>92.693198416774</v>
      </c>
      <c r="D59" s="1">
        <v>0.033930560204251</v>
      </c>
      <c r="E59" s="1">
        <v>-6.6467096378727</v>
      </c>
      <c r="F59" s="1">
        <v>-2.2174122055884</v>
      </c>
      <c r="G59" s="1">
        <v>9746118.0827188</v>
      </c>
      <c r="H59" s="1">
        <v>13268878.266763</v>
      </c>
      <c r="I59" s="1">
        <v>-0.015675066096296</v>
      </c>
      <c r="J59" s="1">
        <v>-0.015031114673154</v>
      </c>
      <c r="K59" s="1">
        <v>0.031897506761456</v>
      </c>
      <c r="L59" s="1">
        <v>-0.5753243210003</v>
      </c>
      <c r="M59" s="1">
        <v>-0.5782367356838</v>
      </c>
      <c r="N59" s="1">
        <v>560.64275605422</v>
      </c>
      <c r="O59" s="1">
        <v>629.67213205314</v>
      </c>
    </row>
    <row r="60" spans="1:15">
      <c r="A60" s="1">
        <v>11.006684939098</v>
      </c>
      <c r="B60" s="1">
        <v>0.032432988810009</v>
      </c>
      <c r="C60" s="1">
        <v>92.692933904344</v>
      </c>
      <c r="D60" s="1">
        <v>0.034559817287659</v>
      </c>
      <c r="E60" s="1">
        <v>-6.6913586016779</v>
      </c>
      <c r="F60" s="1">
        <v>-2.2180441253394</v>
      </c>
      <c r="G60" s="1">
        <v>9781436.1627953</v>
      </c>
      <c r="H60" s="1">
        <v>13461396.104712</v>
      </c>
      <c r="I60" s="1">
        <v>-0.015971040949244</v>
      </c>
      <c r="J60" s="1">
        <v>-0.01531415074817</v>
      </c>
      <c r="K60" s="1">
        <v>0.0324782104081</v>
      </c>
      <c r="L60" s="1">
        <v>-0.58788999205765</v>
      </c>
      <c r="M60" s="1">
        <v>-0.59081302334565</v>
      </c>
      <c r="N60" s="1">
        <v>561.5385500103</v>
      </c>
      <c r="O60" s="1">
        <v>630.7995236221</v>
      </c>
    </row>
    <row r="61" spans="1:15">
      <c r="A61" s="1">
        <v>11.206684939098</v>
      </c>
      <c r="B61" s="1">
        <v>0.033056802998454</v>
      </c>
      <c r="C61" s="1">
        <v>92.69266787535</v>
      </c>
      <c r="D61" s="1">
        <v>0.035188966092015</v>
      </c>
      <c r="E61" s="1">
        <v>-6.7030456759522</v>
      </c>
      <c r="F61" s="1">
        <v>-2.2076910165397</v>
      </c>
      <c r="G61" s="1">
        <v>9816738.4479305</v>
      </c>
      <c r="H61" s="1">
        <v>13654003.752774</v>
      </c>
      <c r="I61" s="1">
        <v>-0.016266861378185</v>
      </c>
      <c r="J61" s="1">
        <v>-0.015597012257338</v>
      </c>
      <c r="K61" s="1">
        <v>0.033058572229873</v>
      </c>
      <c r="L61" s="1">
        <v>-0.60047661978656</v>
      </c>
      <c r="M61" s="1">
        <v>-0.60338501373642</v>
      </c>
      <c r="N61" s="1">
        <v>562.42851434064</v>
      </c>
      <c r="O61" s="1">
        <v>631.91888767845</v>
      </c>
    </row>
    <row r="62" spans="1:15">
      <c r="A62" s="1">
        <v>11.406684939098</v>
      </c>
      <c r="B62" s="1">
        <v>0.033680512534775</v>
      </c>
      <c r="C62" s="1">
        <v>92.692406408741</v>
      </c>
      <c r="D62" s="1">
        <v>0.035818009845297</v>
      </c>
      <c r="E62" s="1">
        <v>-6.7103787141405</v>
      </c>
      <c r="F62" s="1">
        <v>-2.2236553226574</v>
      </c>
      <c r="G62" s="1">
        <v>9852024.2865207</v>
      </c>
      <c r="H62" s="1">
        <v>13846696.07992</v>
      </c>
      <c r="I62" s="1">
        <v>-0.016562527524852</v>
      </c>
      <c r="J62" s="1">
        <v>-0.015879700061207</v>
      </c>
      <c r="K62" s="1">
        <v>0.033638592646454</v>
      </c>
      <c r="L62" s="1">
        <v>-0.61312557737707</v>
      </c>
      <c r="M62" s="1">
        <v>-0.61604419917847</v>
      </c>
      <c r="N62" s="1">
        <v>563.31250124807</v>
      </c>
      <c r="O62" s="1">
        <v>633.03027822907</v>
      </c>
    </row>
    <row r="63" spans="1:15">
      <c r="A63" s="1">
        <v>11.606684939098</v>
      </c>
      <c r="B63" s="1">
        <v>0.034304118934754</v>
      </c>
      <c r="C63" s="1">
        <v>92.692116865954</v>
      </c>
      <c r="D63" s="1">
        <v>0.036446951302898</v>
      </c>
      <c r="E63" s="1">
        <v>-6.7140977778163</v>
      </c>
      <c r="F63" s="1">
        <v>-2.2383064618456</v>
      </c>
      <c r="G63" s="1">
        <v>9887292.8747415</v>
      </c>
      <c r="H63" s="1">
        <v>14039467.14719</v>
      </c>
      <c r="I63" s="1">
        <v>-0.016858039193354</v>
      </c>
      <c r="J63" s="1">
        <v>-0.016162214185694</v>
      </c>
      <c r="K63" s="1">
        <v>0.034218272066628</v>
      </c>
      <c r="L63" s="1">
        <v>-0.62591203804838</v>
      </c>
      <c r="M63" s="1">
        <v>-0.62882286320026</v>
      </c>
      <c r="N63" s="1">
        <v>564.19089456904</v>
      </c>
      <c r="O63" s="1">
        <v>634.1341928149</v>
      </c>
    </row>
    <row r="64" spans="1:15">
      <c r="A64" s="1">
        <v>11.806684939098</v>
      </c>
      <c r="B64" s="1">
        <v>0.034927625922973</v>
      </c>
      <c r="C64" s="1">
        <v>92.691837078101</v>
      </c>
      <c r="D64" s="1">
        <v>0.03707579338548</v>
      </c>
      <c r="E64" s="1">
        <v>-6.7367561300738</v>
      </c>
      <c r="F64" s="1">
        <v>-2.2499284231649</v>
      </c>
      <c r="G64" s="1">
        <v>9922543.5130581</v>
      </c>
      <c r="H64" s="1">
        <v>14232311.583708</v>
      </c>
      <c r="I64" s="1">
        <v>-0.017153395936355</v>
      </c>
      <c r="J64" s="1">
        <v>-0.016444554225944</v>
      </c>
      <c r="K64" s="1">
        <v>0.034797610894826</v>
      </c>
      <c r="L64" s="1">
        <v>-0.63859734912532</v>
      </c>
      <c r="M64" s="1">
        <v>-0.64149666857231</v>
      </c>
      <c r="N64" s="1">
        <v>565.06380420226</v>
      </c>
      <c r="O64" s="1">
        <v>635.23064757717</v>
      </c>
    </row>
    <row r="65" spans="1:15">
      <c r="A65" s="1">
        <v>12.006684939098</v>
      </c>
      <c r="B65" s="1">
        <v>0.035551037204265</v>
      </c>
      <c r="C65" s="1">
        <v>92.691566711701</v>
      </c>
      <c r="D65" s="1">
        <v>0.037704539600643</v>
      </c>
      <c r="E65" s="1">
        <v>-6.7330708216689</v>
      </c>
      <c r="F65" s="1">
        <v>-2.2549262011092</v>
      </c>
      <c r="G65" s="1">
        <v>9957775.5400249</v>
      </c>
      <c r="H65" s="1">
        <v>14425224.23609</v>
      </c>
      <c r="I65" s="1">
        <v>-0.017448598649876</v>
      </c>
      <c r="J65" s="1">
        <v>-0.016726720430873</v>
      </c>
      <c r="K65" s="1">
        <v>0.035376609547991</v>
      </c>
      <c r="L65" s="1">
        <v>-0.65131912453915</v>
      </c>
      <c r="M65" s="1">
        <v>-0.65422214138164</v>
      </c>
      <c r="N65" s="1">
        <v>565.93119299304</v>
      </c>
      <c r="O65" s="1">
        <v>636.31984010304</v>
      </c>
    </row>
    <row r="66" spans="1:15">
      <c r="A66" s="1">
        <v>12.206684939098</v>
      </c>
      <c r="B66" s="1">
        <v>0.036174355499967</v>
      </c>
      <c r="C66" s="1">
        <v>92.691305110209</v>
      </c>
      <c r="D66" s="1">
        <v>0.038333192618581</v>
      </c>
      <c r="E66" s="1">
        <v>-6.7623768620978</v>
      </c>
      <c r="F66" s="1">
        <v>-2.2598894652643</v>
      </c>
      <c r="G66" s="1">
        <v>9992988.2526609</v>
      </c>
      <c r="H66" s="1">
        <v>14618199.712441</v>
      </c>
      <c r="I66" s="1">
        <v>-0.017743646750897</v>
      </c>
      <c r="J66" s="1">
        <v>-0.017008713083976</v>
      </c>
      <c r="K66" s="1">
        <v>0.03595526842347</v>
      </c>
      <c r="L66" s="1">
        <v>-0.66405954104768</v>
      </c>
      <c r="M66" s="1">
        <v>-0.6669513623624</v>
      </c>
      <c r="N66" s="1">
        <v>566.79331169028</v>
      </c>
      <c r="O66" s="1">
        <v>637.40207876698</v>
      </c>
    </row>
    <row r="67" spans="1:15">
      <c r="A67" s="1">
        <v>12.406684939098</v>
      </c>
      <c r="B67" s="1">
        <v>0.036797584111215</v>
      </c>
      <c r="C67" s="1">
        <v>92.691032720498</v>
      </c>
      <c r="D67" s="1">
        <v>0.038961755563527</v>
      </c>
      <c r="E67" s="1">
        <v>-6.7684745142961</v>
      </c>
      <c r="F67" s="1">
        <v>-2.2641018482456</v>
      </c>
      <c r="G67" s="1">
        <v>10028181.054102</v>
      </c>
      <c r="H67" s="1">
        <v>14811233.211486</v>
      </c>
      <c r="I67" s="1">
        <v>-0.018038540533816</v>
      </c>
      <c r="J67" s="1">
        <v>-0.017290532474598</v>
      </c>
      <c r="K67" s="1">
        <v>0.036533587937118</v>
      </c>
      <c r="L67" s="1">
        <v>-0.67683085379047</v>
      </c>
      <c r="M67" s="1">
        <v>-0.67972556424956</v>
      </c>
      <c r="N67" s="1">
        <v>567.65013509998</v>
      </c>
      <c r="O67" s="1">
        <v>638.47745368244</v>
      </c>
    </row>
    <row r="68" spans="1:15">
      <c r="A68" s="1">
        <v>12.606684939098</v>
      </c>
      <c r="B68" s="1">
        <v>0.037420725178577</v>
      </c>
      <c r="C68" s="1">
        <v>92.690754131271</v>
      </c>
      <c r="D68" s="1">
        <v>0.039590231063659</v>
      </c>
      <c r="E68" s="1">
        <v>-6.7691368528876</v>
      </c>
      <c r="F68" s="1">
        <v>-2.27573642131</v>
      </c>
      <c r="G68" s="1">
        <v>10063353.274314</v>
      </c>
      <c r="H68" s="1">
        <v>15004319.530685</v>
      </c>
      <c r="I68" s="1">
        <v>-0.018333279553592</v>
      </c>
      <c r="J68" s="1">
        <v>-0.017572178849926</v>
      </c>
      <c r="K68" s="1">
        <v>0.037111568482936</v>
      </c>
      <c r="L68" s="1">
        <v>-0.68962415558367</v>
      </c>
      <c r="M68" s="1">
        <v>-0.69250792669969</v>
      </c>
      <c r="N68" s="1">
        <v>568.50189454105</v>
      </c>
      <c r="O68" s="1">
        <v>639.5462172799</v>
      </c>
    </row>
    <row r="69" spans="1:15">
      <c r="A69" s="1">
        <v>12.806684939098</v>
      </c>
      <c r="B69" s="1">
        <v>0.038043781495096</v>
      </c>
      <c r="C69" s="1">
        <v>92.690470934322</v>
      </c>
      <c r="D69" s="1">
        <v>0.04021862204475</v>
      </c>
      <c r="E69" s="1">
        <v>-6.7740080302499</v>
      </c>
      <c r="F69" s="1">
        <v>-2.2805836427344</v>
      </c>
      <c r="G69" s="1">
        <v>10098504.279283</v>
      </c>
      <c r="H69" s="1">
        <v>15197453.714332</v>
      </c>
      <c r="I69" s="1">
        <v>-0.018627864435961</v>
      </c>
      <c r="J69" s="1">
        <v>-0.017853651851528</v>
      </c>
      <c r="K69" s="1">
        <v>0.037689210472155</v>
      </c>
      <c r="L69" s="1">
        <v>-0.70244539822544</v>
      </c>
      <c r="M69" s="1">
        <v>-0.70533336137523</v>
      </c>
      <c r="N69" s="1">
        <v>569.34870380353</v>
      </c>
      <c r="O69" s="1">
        <v>640.60860378531</v>
      </c>
    </row>
    <row r="70" spans="1:15">
      <c r="A70" s="1">
        <v>13.006684939098</v>
      </c>
      <c r="B70" s="1">
        <v>0.038666755788742</v>
      </c>
      <c r="C70" s="1">
        <v>92.690191766814</v>
      </c>
      <c r="D70" s="1">
        <v>0.040846931015358</v>
      </c>
      <c r="E70" s="1">
        <v>-6.7923084492841</v>
      </c>
      <c r="F70" s="1">
        <v>-2.274575352429</v>
      </c>
      <c r="G70" s="1">
        <v>10133633.493317</v>
      </c>
      <c r="H70" s="1">
        <v>15390631.086025</v>
      </c>
      <c r="I70" s="1">
        <v>-0.018922295028227</v>
      </c>
      <c r="J70" s="1">
        <v>-0.01813495124177</v>
      </c>
      <c r="K70" s="1">
        <v>0.038266514299512</v>
      </c>
      <c r="L70" s="1">
        <v>-0.71516671821023</v>
      </c>
      <c r="M70" s="1">
        <v>-0.71805701251257</v>
      </c>
      <c r="N70" s="1">
        <v>570.19064349344</v>
      </c>
      <c r="O70" s="1">
        <v>641.66458790958</v>
      </c>
    </row>
    <row r="71" spans="1:15">
      <c r="A71" s="1">
        <v>13.206684939098</v>
      </c>
      <c r="B71" s="1">
        <v>0.039289650538217</v>
      </c>
      <c r="C71" s="1">
        <v>92.689910613503</v>
      </c>
      <c r="D71" s="1">
        <v>0.041475160924235</v>
      </c>
      <c r="E71" s="1">
        <v>-6.8259234675647</v>
      </c>
      <c r="F71" s="1">
        <v>-2.2752314906312</v>
      </c>
      <c r="G71" s="1">
        <v>10168740.295511</v>
      </c>
      <c r="H71" s="1">
        <v>15583846.780588</v>
      </c>
      <c r="I71" s="1">
        <v>-0.019216572369221</v>
      </c>
      <c r="J71" s="1">
        <v>-0.018416077269026</v>
      </c>
      <c r="K71" s="1">
        <v>0.038843480366027</v>
      </c>
      <c r="L71" s="1">
        <v>-0.7280310686581</v>
      </c>
      <c r="M71" s="1">
        <v>-0.73089954122124</v>
      </c>
      <c r="N71" s="1">
        <v>571.02778849729</v>
      </c>
      <c r="O71" s="1">
        <v>642.7145355034</v>
      </c>
    </row>
    <row r="72" spans="1:15">
      <c r="A72" s="1">
        <v>13.406684939098</v>
      </c>
      <c r="B72" s="1">
        <v>0.03991246901192</v>
      </c>
      <c r="C72" s="1">
        <v>92.689628007353</v>
      </c>
      <c r="D72" s="1">
        <v>0.042103314400981</v>
      </c>
      <c r="E72" s="1">
        <v>-6.8705228003258</v>
      </c>
      <c r="F72" s="1">
        <v>-2.2758886449048</v>
      </c>
      <c r="G72" s="1">
        <v>10203824.149328</v>
      </c>
      <c r="H72" s="1">
        <v>15777096.361511</v>
      </c>
      <c r="I72" s="1">
        <v>-0.019510696751488</v>
      </c>
      <c r="J72" s="1">
        <v>-0.018697029596041</v>
      </c>
      <c r="K72" s="1">
        <v>0.039420109066153</v>
      </c>
      <c r="L72" s="1">
        <v>-0.74092170432449</v>
      </c>
      <c r="M72" s="1">
        <v>-0.74380155047103</v>
      </c>
      <c r="N72" s="1">
        <v>571.86015824984</v>
      </c>
      <c r="O72" s="1">
        <v>643.75847702646</v>
      </c>
    </row>
    <row r="73" spans="1:15">
      <c r="A73" s="1">
        <v>13.606684939098</v>
      </c>
      <c r="B73" s="1">
        <v>0.040535213545516</v>
      </c>
      <c r="C73" s="1">
        <v>92.689336961102</v>
      </c>
      <c r="D73" s="1">
        <v>0.042731394118625</v>
      </c>
      <c r="E73" s="1">
        <v>-6.8272294839579</v>
      </c>
      <c r="F73" s="1">
        <v>-2.2655604686654</v>
      </c>
      <c r="G73" s="1">
        <v>10238884.449001</v>
      </c>
      <c r="H73" s="1">
        <v>15970375.062733</v>
      </c>
      <c r="I73" s="1">
        <v>-0.019804668095244</v>
      </c>
      <c r="J73" s="1">
        <v>-0.018977808360719</v>
      </c>
      <c r="K73" s="1">
        <v>0.039996400794719</v>
      </c>
      <c r="L73" s="1">
        <v>-0.75385966180816</v>
      </c>
      <c r="M73" s="1">
        <v>-0.75672329710613</v>
      </c>
      <c r="N73" s="1">
        <v>572.68789019414</v>
      </c>
      <c r="O73" s="1">
        <v>644.79656589707</v>
      </c>
    </row>
    <row r="74" spans="1:15">
      <c r="A74" s="1">
        <v>13.806684939098</v>
      </c>
      <c r="B74" s="1">
        <v>0.041157887384356</v>
      </c>
      <c r="C74" s="1">
        <v>92.689042551358</v>
      </c>
      <c r="D74" s="1">
        <v>0.043359402631988</v>
      </c>
      <c r="E74" s="1">
        <v>-6.8867926050348</v>
      </c>
      <c r="F74" s="1">
        <v>-2.270191033987</v>
      </c>
      <c r="G74" s="1">
        <v>10273920.663089</v>
      </c>
      <c r="H74" s="1">
        <v>16163678.503897</v>
      </c>
      <c r="I74" s="1">
        <v>-0.020098486945031</v>
      </c>
      <c r="J74" s="1">
        <v>-0.019258413207802</v>
      </c>
      <c r="K74" s="1">
        <v>0.040572355947258</v>
      </c>
      <c r="L74" s="1">
        <v>-0.76679990059165</v>
      </c>
      <c r="M74" s="1">
        <v>-0.76966944269721</v>
      </c>
      <c r="N74" s="1">
        <v>573.51103633176</v>
      </c>
      <c r="O74" s="1">
        <v>645.82894005421</v>
      </c>
    </row>
    <row r="75" spans="1:15">
      <c r="A75" s="1">
        <v>14.006684939098</v>
      </c>
      <c r="B75" s="1">
        <v>0.041780492107163</v>
      </c>
      <c r="C75" s="1">
        <v>92.688750078798</v>
      </c>
      <c r="D75" s="1">
        <v>0.043987342404361</v>
      </c>
      <c r="E75" s="1">
        <v>-6.8654677678034</v>
      </c>
      <c r="F75" s="1">
        <v>-2.2708507352942</v>
      </c>
      <c r="G75" s="1">
        <v>10308932.213497</v>
      </c>
      <c r="H75" s="1">
        <v>16357002.054004</v>
      </c>
      <c r="I75" s="1">
        <v>-0.020392153109997</v>
      </c>
      <c r="J75" s="1">
        <v>-0.019538844226931</v>
      </c>
      <c r="K75" s="1">
        <v>0.041147974910683</v>
      </c>
      <c r="L75" s="1">
        <v>-0.77975514115688</v>
      </c>
      <c r="M75" s="1">
        <v>-0.78261132105279</v>
      </c>
      <c r="N75" s="1">
        <v>574.32981681657</v>
      </c>
      <c r="O75" s="1">
        <v>646.85583416374</v>
      </c>
    </row>
    <row r="76" spans="1:15">
      <c r="A76" s="1">
        <v>14.206684939098</v>
      </c>
      <c r="B76" s="1">
        <v>0.042403030153753</v>
      </c>
      <c r="C76" s="1">
        <v>92.688439674096</v>
      </c>
      <c r="D76" s="1">
        <v>0.0446152158926</v>
      </c>
      <c r="E76" s="1">
        <v>-6.919965697127</v>
      </c>
      <c r="F76" s="1">
        <v>-2.2704583225943</v>
      </c>
      <c r="G76" s="1">
        <v>10343918.590523</v>
      </c>
      <c r="H76" s="1">
        <v>16550341.46053</v>
      </c>
      <c r="I76" s="1">
        <v>-0.020685667044713</v>
      </c>
      <c r="J76" s="1">
        <v>-0.019819101343915</v>
      </c>
      <c r="K76" s="1">
        <v>0.041723258083313</v>
      </c>
      <c r="L76" s="1">
        <v>-0.79273512196265</v>
      </c>
      <c r="M76" s="1">
        <v>-0.79559301505805</v>
      </c>
      <c r="N76" s="1">
        <v>575.1442925282</v>
      </c>
      <c r="O76" s="1">
        <v>647.87740881057</v>
      </c>
    </row>
    <row r="77" spans="1:15">
      <c r="A77" s="1">
        <v>14.406684939098</v>
      </c>
      <c r="B77" s="1">
        <v>0.04302550428162</v>
      </c>
      <c r="C77" s="1">
        <v>92.688138319833</v>
      </c>
      <c r="D77" s="1">
        <v>0.045243025530524</v>
      </c>
      <c r="E77" s="1">
        <v>-6.9315926603808</v>
      </c>
      <c r="F77" s="1">
        <v>-2.26012982148</v>
      </c>
      <c r="G77" s="1">
        <v>10378879.342708</v>
      </c>
      <c r="H77" s="1">
        <v>16743692.779782</v>
      </c>
      <c r="I77" s="1">
        <v>-0.020979028964361</v>
      </c>
      <c r="J77" s="1">
        <v>-0.020099184677938</v>
      </c>
      <c r="K77" s="1">
        <v>0.042298205849143</v>
      </c>
      <c r="L77" s="1">
        <v>-0.80574036039877</v>
      </c>
      <c r="M77" s="1">
        <v>-0.8085889281408</v>
      </c>
      <c r="N77" s="1">
        <v>575.95446342496</v>
      </c>
      <c r="O77" s="1">
        <v>648.89367046434</v>
      </c>
    </row>
    <row r="78" spans="1:15">
      <c r="A78" s="1">
        <v>14.606684939098</v>
      </c>
      <c r="B78" s="1">
        <v>0.043647916378105</v>
      </c>
      <c r="C78" s="1">
        <v>92.687810182224</v>
      </c>
      <c r="D78" s="1">
        <v>0.045870773444106</v>
      </c>
      <c r="E78" s="1">
        <v>-6.9573447708641</v>
      </c>
      <c r="F78" s="1">
        <v>-2.2639020837091</v>
      </c>
      <c r="G78" s="1">
        <v>10413813.974573</v>
      </c>
      <c r="H78" s="1">
        <v>16937051.821053</v>
      </c>
      <c r="I78" s="1">
        <v>-0.021272238852653</v>
      </c>
      <c r="J78" s="1">
        <v>-0.020379094200998</v>
      </c>
      <c r="K78" s="1">
        <v>0.04287281859692</v>
      </c>
      <c r="L78" s="1">
        <v>-0.81876328318756</v>
      </c>
      <c r="M78" s="1">
        <v>-0.82161265964709</v>
      </c>
      <c r="N78" s="1">
        <v>576.76053341754</v>
      </c>
      <c r="O78" s="1">
        <v>649.9048946056</v>
      </c>
    </row>
    <row r="79" spans="1:15">
      <c r="A79" s="1">
        <v>14.806684939098</v>
      </c>
      <c r="B79" s="1">
        <v>0.0442702689772</v>
      </c>
      <c r="C79" s="1">
        <v>92.687492864305</v>
      </c>
      <c r="D79" s="1">
        <v>0.04649846209986</v>
      </c>
      <c r="E79" s="1">
        <v>-6.9909390154438</v>
      </c>
      <c r="F79" s="1">
        <v>-2.2645595566245</v>
      </c>
      <c r="G79" s="1">
        <v>10448722.077274</v>
      </c>
      <c r="H79" s="1">
        <v>17130414.896995</v>
      </c>
      <c r="I79" s="1">
        <v>-0.021565297256931</v>
      </c>
      <c r="J79" s="1">
        <v>-0.020658830252884</v>
      </c>
      <c r="K79" s="1">
        <v>0.043447096716494</v>
      </c>
      <c r="L79" s="1">
        <v>-0.83186621203808</v>
      </c>
      <c r="M79" s="1">
        <v>-0.83471171436303</v>
      </c>
      <c r="N79" s="1">
        <v>577.56238111832</v>
      </c>
      <c r="O79" s="1">
        <v>650.91102030791</v>
      </c>
    </row>
    <row r="80" spans="1:15">
      <c r="A80" s="1">
        <v>15.006684939098</v>
      </c>
      <c r="B80" s="1">
        <v>0.044892563647889</v>
      </c>
      <c r="C80" s="1">
        <v>92.687150096059</v>
      </c>
      <c r="D80" s="1">
        <v>0.047126093198238</v>
      </c>
      <c r="E80" s="1">
        <v>-7.0330515877307</v>
      </c>
      <c r="F80" s="1">
        <v>-2.282396093318</v>
      </c>
      <c r="G80" s="1">
        <v>10483603.187333</v>
      </c>
      <c r="H80" s="1">
        <v>17323778.009297</v>
      </c>
      <c r="I80" s="1">
        <v>-0.021858203782627</v>
      </c>
      <c r="J80" s="1">
        <v>-0.020938392685382</v>
      </c>
      <c r="K80" s="1">
        <v>0.044021040595932</v>
      </c>
      <c r="L80" s="1">
        <v>-0.84494391560871</v>
      </c>
      <c r="M80" s="1">
        <v>-0.84777158877818</v>
      </c>
      <c r="N80" s="1">
        <v>578.36021336264</v>
      </c>
      <c r="O80" s="1">
        <v>651.91218136386</v>
      </c>
    </row>
    <row r="81" spans="1:15">
      <c r="A81" s="1">
        <v>15.206684939098</v>
      </c>
      <c r="B81" s="1">
        <v>0.045514803264914</v>
      </c>
      <c r="C81" s="1">
        <v>92.686818141686</v>
      </c>
      <c r="D81" s="1">
        <v>0.047753669050819</v>
      </c>
      <c r="E81" s="1">
        <v>-7.0926569964467</v>
      </c>
      <c r="F81" s="1">
        <v>-2.2980809293073</v>
      </c>
      <c r="G81" s="1">
        <v>10518456.94925</v>
      </c>
      <c r="H81" s="1">
        <v>17517137.739784</v>
      </c>
      <c r="I81" s="1">
        <v>-0.022150959248158</v>
      </c>
      <c r="J81" s="1">
        <v>-0.02121778157122</v>
      </c>
      <c r="K81" s="1">
        <v>0.044594650625546</v>
      </c>
      <c r="L81" s="1">
        <v>-0.85806274885493</v>
      </c>
      <c r="M81" s="1">
        <v>-0.86089335506207</v>
      </c>
      <c r="N81" s="1">
        <v>579.15396624017</v>
      </c>
      <c r="O81" s="1">
        <v>652.9084484179</v>
      </c>
    </row>
    <row r="82" spans="1:15">
      <c r="A82" s="1">
        <v>15.406684939098</v>
      </c>
      <c r="B82" s="1">
        <v>0.046136989394483</v>
      </c>
      <c r="C82" s="1">
        <v>92.686492387378</v>
      </c>
      <c r="D82" s="1">
        <v>0.04838119149134</v>
      </c>
      <c r="E82" s="1">
        <v>-7.1152663289609</v>
      </c>
      <c r="F82" s="1">
        <v>-2.2877639282703</v>
      </c>
      <c r="G82" s="1">
        <v>10553282.909914</v>
      </c>
      <c r="H82" s="1">
        <v>17710490.180093</v>
      </c>
      <c r="I82" s="1">
        <v>-0.022443563616656</v>
      </c>
      <c r="J82" s="1">
        <v>-0.021496996563898</v>
      </c>
      <c r="K82" s="1">
        <v>0.045167927183105</v>
      </c>
      <c r="L82" s="1">
        <v>-0.8711594885072</v>
      </c>
      <c r="M82" s="1">
        <v>-0.87397903524421</v>
      </c>
      <c r="N82" s="1">
        <v>579.94383211358</v>
      </c>
      <c r="O82" s="1">
        <v>653.89995471463</v>
      </c>
    </row>
    <row r="83" spans="1:15">
      <c r="A83" s="1">
        <v>15.606684939098</v>
      </c>
      <c r="B83" s="1">
        <v>0.046759123734041</v>
      </c>
      <c r="C83" s="1">
        <v>92.686180668109</v>
      </c>
      <c r="D83" s="1">
        <v>0.049008662738217</v>
      </c>
      <c r="E83" s="1">
        <v>-7.1006204810507</v>
      </c>
      <c r="F83" s="1">
        <v>-2.2927207801816</v>
      </c>
      <c r="G83" s="1">
        <v>10588080.699999</v>
      </c>
      <c r="H83" s="1">
        <v>17903831.843425</v>
      </c>
      <c r="I83" s="1">
        <v>-0.022736017863316</v>
      </c>
      <c r="J83" s="1">
        <v>-0.021776038160129</v>
      </c>
      <c r="K83" s="1">
        <v>0.045740870654259</v>
      </c>
      <c r="L83" s="1">
        <v>-0.88445772444473</v>
      </c>
      <c r="M83" s="1">
        <v>-0.88727471247337</v>
      </c>
      <c r="N83" s="1">
        <v>580.72978848562</v>
      </c>
      <c r="O83" s="1">
        <v>654.88696249752</v>
      </c>
    </row>
    <row r="84" spans="1:15">
      <c r="A84" s="1">
        <v>15.806684939098</v>
      </c>
      <c r="B84" s="1">
        <v>0.047381208936818</v>
      </c>
      <c r="C84" s="1">
        <v>92.685852807384</v>
      </c>
      <c r="D84" s="1">
        <v>0.049636084242675</v>
      </c>
      <c r="E84" s="1">
        <v>-7.0833195165531</v>
      </c>
      <c r="F84" s="1">
        <v>-2.2864473532952</v>
      </c>
      <c r="G84" s="1">
        <v>10622850.006838</v>
      </c>
      <c r="H84" s="1">
        <v>18097159.555316</v>
      </c>
      <c r="I84" s="1">
        <v>-0.023028321404163</v>
      </c>
      <c r="J84" s="1">
        <v>-0.022054905085218</v>
      </c>
      <c r="K84" s="1">
        <v>0.046313481423535</v>
      </c>
      <c r="L84" s="1">
        <v>-0.89750933620111</v>
      </c>
      <c r="M84" s="1">
        <v>-0.90032460604353</v>
      </c>
      <c r="N84" s="1">
        <v>581.5119354503</v>
      </c>
      <c r="O84" s="1">
        <v>655.86911503635</v>
      </c>
    </row>
    <row r="85" spans="1:15">
      <c r="A85" s="1">
        <v>16.006684939098</v>
      </c>
      <c r="B85" s="1">
        <v>0.04800324632857</v>
      </c>
      <c r="C85" s="1">
        <v>92.685516208563</v>
      </c>
      <c r="D85" s="1">
        <v>0.050263458353449</v>
      </c>
      <c r="E85" s="1">
        <v>-7.1209687610329</v>
      </c>
      <c r="F85" s="1">
        <v>-2.2911746598839</v>
      </c>
      <c r="G85" s="1">
        <v>10657590.420669</v>
      </c>
      <c r="H85" s="1">
        <v>18290469.663824</v>
      </c>
      <c r="I85" s="1">
        <v>-0.023320475527924</v>
      </c>
      <c r="J85" s="1">
        <v>-0.022333598028589</v>
      </c>
      <c r="K85" s="1">
        <v>0.046885759871196</v>
      </c>
      <c r="L85" s="1">
        <v>-0.91069828629154</v>
      </c>
      <c r="M85" s="1">
        <v>-0.91349699877235</v>
      </c>
      <c r="N85" s="1">
        <v>582.29031191209</v>
      </c>
      <c r="O85" s="1">
        <v>656.84686028135</v>
      </c>
    </row>
    <row r="86" spans="1:15">
      <c r="A86" s="1">
        <v>16.206684939098</v>
      </c>
      <c r="B86" s="1">
        <v>0.048625237834628</v>
      </c>
      <c r="C86" s="1">
        <v>92.685128392821</v>
      </c>
      <c r="D86" s="1">
        <v>0.050890786763132</v>
      </c>
      <c r="E86" s="1">
        <v>-7.1441712191559</v>
      </c>
      <c r="F86" s="1">
        <v>-2.2924231268526</v>
      </c>
      <c r="G86" s="1">
        <v>10692301.596592</v>
      </c>
      <c r="H86" s="1">
        <v>18483758.844155</v>
      </c>
      <c r="I86" s="1">
        <v>-0.023612480377263</v>
      </c>
      <c r="J86" s="1">
        <v>-0.022612116417536</v>
      </c>
      <c r="K86" s="1">
        <v>0.04745770638597</v>
      </c>
      <c r="L86" s="1">
        <v>-0.92389029471082</v>
      </c>
      <c r="M86" s="1">
        <v>-0.92669076233898</v>
      </c>
      <c r="N86" s="1">
        <v>583.06504708759</v>
      </c>
      <c r="O86" s="1">
        <v>657.82026182767</v>
      </c>
    </row>
    <row r="87" spans="1:15">
      <c r="A87" s="1">
        <v>16.406684939098</v>
      </c>
      <c r="B87" s="1">
        <v>0.049247185756384</v>
      </c>
      <c r="C87" s="1">
        <v>92.68472749197</v>
      </c>
      <c r="D87" s="1">
        <v>0.051518071580936</v>
      </c>
      <c r="E87" s="1">
        <v>-7.1565996433677</v>
      </c>
      <c r="F87" s="1">
        <v>-2.2938879200945</v>
      </c>
      <c r="G87" s="1">
        <v>10726983.233252</v>
      </c>
      <c r="H87" s="1">
        <v>18677024.015548</v>
      </c>
      <c r="I87" s="1">
        <v>-0.023904336894544</v>
      </c>
      <c r="J87" s="1">
        <v>-0.022890459936546</v>
      </c>
      <c r="K87" s="1">
        <v>0.048029321346897</v>
      </c>
      <c r="L87" s="1">
        <v>-0.93714937261262</v>
      </c>
      <c r="M87" s="1">
        <v>-0.93995351558861</v>
      </c>
      <c r="N87" s="1">
        <v>583.83612043195</v>
      </c>
      <c r="O87" s="1">
        <v>658.78935626763</v>
      </c>
    </row>
    <row r="88" spans="1:15">
      <c r="A88" s="1">
        <v>16.606684939098</v>
      </c>
      <c r="B88" s="1">
        <v>0.049869092142348</v>
      </c>
      <c r="C88" s="1">
        <v>92.684355461849</v>
      </c>
      <c r="D88" s="1">
        <v>0.052145314550282</v>
      </c>
      <c r="E88" s="1">
        <v>-7.1572312882011</v>
      </c>
      <c r="F88" s="1">
        <v>-2.2945673144167</v>
      </c>
      <c r="G88" s="1">
        <v>10761635.024242</v>
      </c>
      <c r="H88" s="1">
        <v>18870262.082605</v>
      </c>
      <c r="I88" s="1">
        <v>-0.024196045093844</v>
      </c>
      <c r="J88" s="1">
        <v>-0.023168628557095</v>
      </c>
      <c r="K88" s="1">
        <v>0.048600605138996</v>
      </c>
      <c r="L88" s="1">
        <v>-0.95040379487049</v>
      </c>
      <c r="M88" s="1">
        <v>-0.95319099934089</v>
      </c>
      <c r="N88" s="1">
        <v>584.60357003149</v>
      </c>
      <c r="O88" s="1">
        <v>659.75411988105</v>
      </c>
    </row>
    <row r="89" spans="1:15">
      <c r="A89" s="1">
        <v>16.806684939098</v>
      </c>
      <c r="B89" s="1">
        <v>0.05049095878072</v>
      </c>
      <c r="C89" s="1">
        <v>92.683975046688</v>
      </c>
      <c r="D89" s="1">
        <v>0.052772517568305</v>
      </c>
      <c r="E89" s="1">
        <v>-7.1730980219147</v>
      </c>
      <c r="F89" s="1">
        <v>-2.2885074393213</v>
      </c>
      <c r="G89" s="1">
        <v>10796256.705613</v>
      </c>
      <c r="H89" s="1">
        <v>19063470.170003</v>
      </c>
      <c r="I89" s="1">
        <v>-0.024487605764561</v>
      </c>
      <c r="J89" s="1">
        <v>-0.023446622288205</v>
      </c>
      <c r="K89" s="1">
        <v>0.049171558149329</v>
      </c>
      <c r="L89" s="1">
        <v>-0.9637223506741</v>
      </c>
      <c r="M89" s="1">
        <v>-0.96651251841721</v>
      </c>
      <c r="N89" s="1">
        <v>585.36738749836</v>
      </c>
      <c r="O89" s="1">
        <v>660.71464736928</v>
      </c>
    </row>
    <row r="90" spans="1:15">
      <c r="A90" s="1">
        <v>17</v>
      </c>
      <c r="B90" s="1">
        <v>0.051091861106902</v>
      </c>
      <c r="C90" s="1">
        <v>92.683615210575</v>
      </c>
      <c r="D90" s="1">
        <v>0.053378704886882</v>
      </c>
      <c r="E90" s="1">
        <v>-7.1573705443299</v>
      </c>
      <c r="F90" s="1">
        <v>-2.2837641606731</v>
      </c>
      <c r="G90" s="1">
        <v>10829684.136985</v>
      </c>
      <c r="H90" s="1">
        <v>19250144.208862</v>
      </c>
      <c r="I90" s="1">
        <v>-0.024769252375819</v>
      </c>
      <c r="J90" s="1">
        <v>-0.023715131263474</v>
      </c>
      <c r="K90" s="1">
        <v>0.04972311328445</v>
      </c>
      <c r="L90" s="1">
        <v>-0.97586257169383</v>
      </c>
      <c r="M90" s="1">
        <v>-0.97864873927224</v>
      </c>
      <c r="N90" s="1">
        <v>586.12838328864</v>
      </c>
      <c r="O90" s="1">
        <v>661.66521807567</v>
      </c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topLeftCell="A76" workbookViewId="0">
      <selection activeCell="A1" sqref="A1:O90"/>
    </sheetView>
  </sheetViews>
  <sheetFormatPr defaultColWidth="8.81333333333333" defaultRowHeight="15"/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0.0025830812468784</v>
      </c>
      <c r="B3" s="2">
        <v>4.4810157177907e-30</v>
      </c>
      <c r="C3" s="1">
        <v>92.681600506796</v>
      </c>
      <c r="D3" s="2">
        <v>7.0004322307243e-6</v>
      </c>
      <c r="E3" s="1">
        <v>-5.6421873742725</v>
      </c>
      <c r="F3" s="1">
        <v>-2.7149667648977</v>
      </c>
      <c r="G3" s="1">
        <v>8000000</v>
      </c>
      <c r="H3" s="1">
        <v>4000000</v>
      </c>
      <c r="I3" s="2">
        <v>-2.0601382811959e-6</v>
      </c>
      <c r="J3" s="2">
        <v>-1.9768313781512e-6</v>
      </c>
      <c r="K3" s="2">
        <v>7.7492134034667e-6</v>
      </c>
      <c r="L3" s="2">
        <v>-1.2915318300961e-7</v>
      </c>
      <c r="M3" s="2">
        <v>-1.3369126955694e-7</v>
      </c>
      <c r="N3" s="1">
        <v>1.7285679921267</v>
      </c>
      <c r="O3" s="1">
        <v>1.7959564970121</v>
      </c>
    </row>
    <row r="4" spans="1:15">
      <c r="A4" s="1">
        <v>0.018444056862426</v>
      </c>
      <c r="B4" s="2">
        <v>7.3593859262324e-27</v>
      </c>
      <c r="C4" s="1">
        <v>92.681718027519</v>
      </c>
      <c r="D4" s="2">
        <v>4.9987229729342e-5</v>
      </c>
      <c r="E4" s="1">
        <v>-5.6421865907288</v>
      </c>
      <c r="F4" s="1">
        <v>-2.7148826138699</v>
      </c>
      <c r="G4" s="1">
        <v>8000000</v>
      </c>
      <c r="H4" s="1">
        <v>4000000</v>
      </c>
      <c r="I4" s="2">
        <v>-1.4712317897587e-5</v>
      </c>
      <c r="J4" s="2">
        <v>-1.4117362482956e-5</v>
      </c>
      <c r="K4" s="2">
        <v>5.53306239158e-5</v>
      </c>
      <c r="L4" s="2">
        <v>-6.5810892505222e-6</v>
      </c>
      <c r="M4" s="2">
        <v>-6.8125312308007e-6</v>
      </c>
      <c r="N4" s="1">
        <v>12.345802152104</v>
      </c>
      <c r="O4" s="1">
        <v>12.82693653254</v>
      </c>
    </row>
    <row r="5" spans="1:15">
      <c r="A5" s="1">
        <v>0.1</v>
      </c>
      <c r="B5" s="2">
        <v>4.2416662345474e-20</v>
      </c>
      <c r="C5" s="1">
        <v>92.681547891501</v>
      </c>
      <c r="D5" s="1">
        <v>0.00027107552322255</v>
      </c>
      <c r="E5" s="1">
        <v>-5.8753851880824</v>
      </c>
      <c r="F5" s="1">
        <v>-3.0346418060763</v>
      </c>
      <c r="G5" s="1">
        <v>8000000</v>
      </c>
      <c r="H5" s="1">
        <v>4000000</v>
      </c>
      <c r="I5" s="2">
        <v>-7.9838397607614e-5</v>
      </c>
      <c r="J5" s="2">
        <v>-7.6609203999494e-5</v>
      </c>
      <c r="K5" s="1">
        <v>0.00029995454157326</v>
      </c>
      <c r="L5" s="1">
        <v>-0.00019187420489023</v>
      </c>
      <c r="M5" s="1">
        <v>-0.00019872848836739</v>
      </c>
      <c r="N5" s="1">
        <v>67.037888326357</v>
      </c>
      <c r="O5" s="1">
        <v>69.645346756113</v>
      </c>
    </row>
    <row r="6" spans="1:15">
      <c r="A6" s="1">
        <v>0.20668493909835</v>
      </c>
      <c r="B6" s="2">
        <v>4.2822453886157e-15</v>
      </c>
      <c r="C6" s="1">
        <v>92.687147970734</v>
      </c>
      <c r="D6" s="1">
        <v>0.00056041015710711</v>
      </c>
      <c r="E6" s="1">
        <v>-5.7459915864296</v>
      </c>
      <c r="F6" s="1">
        <v>-2.7275604378761</v>
      </c>
      <c r="G6" s="1">
        <v>8000000.0000002</v>
      </c>
      <c r="H6" s="1">
        <v>4000000.0000009</v>
      </c>
      <c r="I6" s="1">
        <v>-0.0001651837867569</v>
      </c>
      <c r="J6" s="1">
        <v>-0.00015850124416409</v>
      </c>
      <c r="K6" s="1">
        <v>0.00061986066854954</v>
      </c>
      <c r="L6" s="1">
        <v>-0.00082402784524606</v>
      </c>
      <c r="M6" s="1">
        <v>-0.00085309426600703</v>
      </c>
      <c r="N6" s="1">
        <v>138.8038793381</v>
      </c>
      <c r="O6" s="1">
        <v>144.19000279426</v>
      </c>
    </row>
    <row r="7" spans="1:15">
      <c r="A7" s="1">
        <v>0.40668493909835</v>
      </c>
      <c r="B7" s="2">
        <v>2.6192245701508e-9</v>
      </c>
      <c r="C7" s="1">
        <v>92.694675098894</v>
      </c>
      <c r="D7" s="1">
        <v>0.0011032415534134</v>
      </c>
      <c r="E7" s="1">
        <v>-6.0929729827218</v>
      </c>
      <c r="F7" s="1">
        <v>-2.5541889996307</v>
      </c>
      <c r="G7" s="1">
        <v>8000000.1028598</v>
      </c>
      <c r="H7" s="1">
        <v>4000000.5275687</v>
      </c>
      <c r="I7" s="1">
        <v>-0.00032573350705416</v>
      </c>
      <c r="J7" s="1">
        <v>-0.00031254987199644</v>
      </c>
      <c r="K7" s="1">
        <v>0.0012193034488482</v>
      </c>
      <c r="L7" s="1">
        <v>-0.0031949118565778</v>
      </c>
      <c r="M7" s="1">
        <v>-0.0033070018158773</v>
      </c>
      <c r="N7" s="1">
        <v>274.13001004031</v>
      </c>
      <c r="O7" s="1">
        <v>284.71685167683</v>
      </c>
    </row>
    <row r="8" spans="1:15">
      <c r="A8" s="1">
        <v>0.60668493909835</v>
      </c>
      <c r="B8" s="2">
        <v>2.0457621511604e-5</v>
      </c>
      <c r="C8" s="1">
        <v>92.700318368598</v>
      </c>
      <c r="D8" s="1">
        <v>0.0016498158128741</v>
      </c>
      <c r="E8" s="1">
        <v>-5.9009336048894</v>
      </c>
      <c r="F8" s="1">
        <v>-2.3399607703439</v>
      </c>
      <c r="G8" s="1">
        <v>8000804.1024295</v>
      </c>
      <c r="H8" s="1">
        <v>4004125.8536409</v>
      </c>
      <c r="I8" s="1">
        <v>-0.0004912893415148</v>
      </c>
      <c r="J8" s="1">
        <v>-0.00047153801138928</v>
      </c>
      <c r="K8" s="1">
        <v>0.0018183837103193</v>
      </c>
      <c r="L8" s="1">
        <v>-0.0073248221046661</v>
      </c>
      <c r="M8" s="1">
        <v>-0.0076029169006161</v>
      </c>
      <c r="N8" s="1">
        <v>406.32450360985</v>
      </c>
      <c r="O8" s="1">
        <v>422.07656562077</v>
      </c>
    </row>
    <row r="9" spans="1:15">
      <c r="A9" s="1">
        <v>0.80668493909835</v>
      </c>
      <c r="B9" s="1">
        <v>0.00037898835871061</v>
      </c>
      <c r="C9" s="1">
        <v>92.700468085913</v>
      </c>
      <c r="D9" s="1">
        <v>0.002239810653411</v>
      </c>
      <c r="E9" s="1">
        <v>-6.1700955501722</v>
      </c>
      <c r="F9" s="1">
        <v>-2.1473565298257</v>
      </c>
      <c r="G9" s="1">
        <v>8015428.51284</v>
      </c>
      <c r="H9" s="1">
        <v>4079280.5149274</v>
      </c>
      <c r="I9" s="1">
        <v>-0.00072576173558074</v>
      </c>
      <c r="J9" s="1">
        <v>-0.00069568368631138</v>
      </c>
      <c r="K9" s="1">
        <v>0.0024171020293862</v>
      </c>
      <c r="L9" s="1">
        <v>-0.013727712331822</v>
      </c>
      <c r="M9" s="1">
        <v>-0.014359782993503</v>
      </c>
      <c r="N9" s="1">
        <v>474.70909134668</v>
      </c>
      <c r="O9" s="1">
        <v>495.89849942566</v>
      </c>
    </row>
    <row r="10" spans="1:15">
      <c r="A10" s="1">
        <v>1.0066849390983</v>
      </c>
      <c r="B10" s="1">
        <v>0.00098208255111244</v>
      </c>
      <c r="C10" s="1">
        <v>92.701182998256</v>
      </c>
      <c r="D10" s="1">
        <v>0.0028610760908149</v>
      </c>
      <c r="E10" s="1">
        <v>-6.2387166018642</v>
      </c>
      <c r="F10" s="1">
        <v>-2.0816504748395</v>
      </c>
      <c r="G10" s="1">
        <v>8041575.1569353</v>
      </c>
      <c r="H10" s="1">
        <v>4213935.9783524</v>
      </c>
      <c r="I10" s="1">
        <v>-0.001011614395497</v>
      </c>
      <c r="J10" s="1">
        <v>-0.00096501031515466</v>
      </c>
      <c r="K10" s="1">
        <v>0.0030154540462429</v>
      </c>
      <c r="L10" s="1">
        <v>-0.022730032078105</v>
      </c>
      <c r="M10" s="1">
        <v>-0.023711096325322</v>
      </c>
      <c r="N10" s="1">
        <v>496.00288712787</v>
      </c>
      <c r="O10" s="1">
        <v>522.94739178299</v>
      </c>
    </row>
    <row r="11" spans="1:15">
      <c r="A11" s="1">
        <v>1.2066849390983</v>
      </c>
      <c r="B11" s="1">
        <v>0.0016207358026262</v>
      </c>
      <c r="C11" s="1">
        <v>92.70147161684</v>
      </c>
      <c r="D11" s="1">
        <v>0.003492077983395</v>
      </c>
      <c r="E11" s="1">
        <v>-6.270702856182</v>
      </c>
      <c r="F11" s="1">
        <v>-2.0738959826366</v>
      </c>
      <c r="G11" s="1">
        <v>8070950.7219369</v>
      </c>
      <c r="H11" s="1">
        <v>4365519.2465615</v>
      </c>
      <c r="I11" s="1">
        <v>-0.0013075591607076</v>
      </c>
      <c r="J11" s="1">
        <v>-0.0012446756738771</v>
      </c>
      <c r="K11" s="1">
        <v>0.003613439970349</v>
      </c>
      <c r="L11" s="1">
        <v>-0.031220814838648</v>
      </c>
      <c r="M11" s="1">
        <v>-0.032661758654335</v>
      </c>
      <c r="N11" s="1">
        <v>507.12495493198</v>
      </c>
      <c r="O11" s="1">
        <v>539.44542548255</v>
      </c>
    </row>
    <row r="12" spans="1:15">
      <c r="A12" s="1">
        <v>1.4066849390983</v>
      </c>
      <c r="B12" s="1">
        <v>0.0022630107211769</v>
      </c>
      <c r="C12" s="1">
        <v>92.701525924045</v>
      </c>
      <c r="D12" s="1">
        <v>0.0041274785524165</v>
      </c>
      <c r="E12" s="1">
        <v>-6.2789906978942</v>
      </c>
      <c r="F12" s="1">
        <v>-2.0785035298286</v>
      </c>
      <c r="G12" s="1">
        <v>8101870.8299867</v>
      </c>
      <c r="H12" s="1">
        <v>4525333.2367089</v>
      </c>
      <c r="I12" s="1">
        <v>-0.0016064400724829</v>
      </c>
      <c r="J12" s="1">
        <v>-0.0015288968845778</v>
      </c>
      <c r="K12" s="1">
        <v>0.0042110603786745</v>
      </c>
      <c r="L12" s="1">
        <v>-0.040260919360312</v>
      </c>
      <c r="M12" s="1">
        <v>-0.042128346540549</v>
      </c>
      <c r="N12" s="1">
        <v>514.40288501317</v>
      </c>
      <c r="O12" s="1">
        <v>551.39952205798</v>
      </c>
    </row>
    <row r="13" spans="1:15">
      <c r="A13" s="1">
        <v>1.6066849390983</v>
      </c>
      <c r="B13" s="1">
        <v>0.0029039869976428</v>
      </c>
      <c r="C13" s="1">
        <v>92.701524418432</v>
      </c>
      <c r="D13" s="1">
        <v>0.0047650519379194</v>
      </c>
      <c r="E13" s="1">
        <v>-6.278831290357</v>
      </c>
      <c r="F13" s="1">
        <v>-2.0913688719309</v>
      </c>
      <c r="G13" s="1">
        <v>8133769.6519617</v>
      </c>
      <c r="H13" s="1">
        <v>4690443.34888</v>
      </c>
      <c r="I13" s="1">
        <v>-0.0019064439811716</v>
      </c>
      <c r="J13" s="1">
        <v>-0.0018157267381007</v>
      </c>
      <c r="K13" s="1">
        <v>0.0048083162103915</v>
      </c>
      <c r="L13" s="1">
        <v>-0.050305774291376</v>
      </c>
      <c r="M13" s="1">
        <v>-0.052456805772144</v>
      </c>
      <c r="N13" s="1">
        <v>519.66984322686</v>
      </c>
      <c r="O13" s="1">
        <v>560.58271878332</v>
      </c>
    </row>
    <row r="14" spans="1:15">
      <c r="A14" s="1">
        <v>1.8066849390983</v>
      </c>
      <c r="B14" s="1">
        <v>0.003543088327517</v>
      </c>
      <c r="C14" s="1">
        <v>92.701476437006</v>
      </c>
      <c r="D14" s="1">
        <v>0.0054036592997363</v>
      </c>
      <c r="E14" s="1">
        <v>-6.2978787514458</v>
      </c>
      <c r="F14" s="1">
        <v>-2.0959266599606</v>
      </c>
      <c r="G14" s="1">
        <v>8166360.5495515</v>
      </c>
      <c r="H14" s="1">
        <v>4859361.9672655</v>
      </c>
      <c r="I14" s="1">
        <v>-0.0022069223847974</v>
      </c>
      <c r="J14" s="1">
        <v>-0.0021041570819995</v>
      </c>
      <c r="K14" s="1">
        <v>0.0054052086657917</v>
      </c>
      <c r="L14" s="1">
        <v>-0.060522264951465</v>
      </c>
      <c r="M14" s="1">
        <v>-0.062859226954844</v>
      </c>
      <c r="N14" s="1">
        <v>523.73054512797</v>
      </c>
      <c r="O14" s="1">
        <v>567.87689965998</v>
      </c>
    </row>
    <row r="15" spans="1:15">
      <c r="A15" s="1">
        <v>2.0066849390983</v>
      </c>
      <c r="B15" s="1">
        <v>0.0041805322223087</v>
      </c>
      <c r="C15" s="1">
        <v>92.701402374109</v>
      </c>
      <c r="D15" s="1">
        <v>0.0060426585361558</v>
      </c>
      <c r="E15" s="1">
        <v>-6.2907071341216</v>
      </c>
      <c r="F15" s="1">
        <v>-2.104671837596</v>
      </c>
      <c r="G15" s="1">
        <v>8199459.6502439</v>
      </c>
      <c r="H15" s="1">
        <v>5031136.7484241</v>
      </c>
      <c r="I15" s="1">
        <v>-0.0025076238084754</v>
      </c>
      <c r="J15" s="1">
        <v>-0.0023935418791981</v>
      </c>
      <c r="K15" s="1">
        <v>0.006001738678545</v>
      </c>
      <c r="L15" s="1">
        <v>-0.070798097434892</v>
      </c>
      <c r="M15" s="1">
        <v>-0.073287370760729</v>
      </c>
      <c r="N15" s="1">
        <v>527.02373886757</v>
      </c>
      <c r="O15" s="1">
        <v>573.84485166807</v>
      </c>
    </row>
    <row r="16" spans="1:15">
      <c r="A16" s="1">
        <v>2.2066849390983</v>
      </c>
      <c r="B16" s="1">
        <v>0.0048166845537309</v>
      </c>
      <c r="C16" s="1">
        <v>92.701305821183</v>
      </c>
      <c r="D16" s="1">
        <v>0.006681690580488</v>
      </c>
      <c r="E16" s="1">
        <v>-6.283485553945</v>
      </c>
      <c r="F16" s="1">
        <v>-2.1134545541401</v>
      </c>
      <c r="G16" s="1">
        <v>8232937.5645352</v>
      </c>
      <c r="H16" s="1">
        <v>5205099.2613659</v>
      </c>
      <c r="I16" s="1">
        <v>-0.0028084272489715</v>
      </c>
      <c r="J16" s="1">
        <v>-0.0026834665691953</v>
      </c>
      <c r="K16" s="1">
        <v>0.006597906934091</v>
      </c>
      <c r="L16" s="1">
        <v>-0.081177232896087</v>
      </c>
      <c r="M16" s="1">
        <v>-0.083782452217359</v>
      </c>
      <c r="N16" s="1">
        <v>529.81374046712</v>
      </c>
      <c r="O16" s="1">
        <v>578.87697153991</v>
      </c>
    </row>
    <row r="17" spans="1:15">
      <c r="A17" s="1">
        <v>2.4066849390983</v>
      </c>
      <c r="B17" s="1">
        <v>0.0054518137476106</v>
      </c>
      <c r="C17" s="1">
        <v>92.701187643067</v>
      </c>
      <c r="D17" s="1">
        <v>0.007320565099709</v>
      </c>
      <c r="E17" s="1">
        <v>-6.2803989666538</v>
      </c>
      <c r="F17" s="1">
        <v>-2.1180983246295</v>
      </c>
      <c r="G17" s="1">
        <v>8266707.1993166</v>
      </c>
      <c r="H17" s="1">
        <v>5380799.7785982</v>
      </c>
      <c r="I17" s="1">
        <v>-0.003109308566073</v>
      </c>
      <c r="J17" s="1">
        <v>-0.0029736368893764</v>
      </c>
      <c r="K17" s="1">
        <v>0.0071937139434584</v>
      </c>
      <c r="L17" s="1">
        <v>-0.091717481932603</v>
      </c>
      <c r="M17" s="1">
        <v>-0.094425225971281</v>
      </c>
      <c r="N17" s="1">
        <v>532.25890335614</v>
      </c>
      <c r="O17" s="1">
        <v>583.22733880859</v>
      </c>
    </row>
    <row r="18" spans="1:15">
      <c r="A18" s="1">
        <v>2.6066849390983</v>
      </c>
      <c r="B18" s="1">
        <v>0.0060861134635321</v>
      </c>
      <c r="C18" s="1">
        <v>92.701076747402</v>
      </c>
      <c r="D18" s="1">
        <v>0.0079591837909269</v>
      </c>
      <c r="E18" s="1">
        <v>-6.2799679587749</v>
      </c>
      <c r="F18" s="1">
        <v>-2.1310584905851</v>
      </c>
      <c r="G18" s="1">
        <v>8300707.8093126</v>
      </c>
      <c r="H18" s="1">
        <v>5557924.6964492</v>
      </c>
      <c r="I18" s="1">
        <v>-0.003410234778427</v>
      </c>
      <c r="J18" s="1">
        <v>-0.0032638874070319</v>
      </c>
      <c r="K18" s="1">
        <v>0.0077891601487483</v>
      </c>
      <c r="L18" s="1">
        <v>-0.10216945324844</v>
      </c>
      <c r="M18" s="1">
        <v>-0.10497033315328</v>
      </c>
      <c r="N18" s="1">
        <v>534.45797412246</v>
      </c>
      <c r="O18" s="1">
        <v>587.06519579517</v>
      </c>
    </row>
    <row r="19" spans="1:15">
      <c r="A19" s="1">
        <v>2.8066849390983</v>
      </c>
      <c r="B19" s="1">
        <v>0.0067197239673386</v>
      </c>
      <c r="C19" s="1">
        <v>92.700987499161</v>
      </c>
      <c r="D19" s="1">
        <v>0.0085974962783382</v>
      </c>
      <c r="E19" s="1">
        <v>-6.2752037546657</v>
      </c>
      <c r="F19" s="1">
        <v>-2.1483269838585</v>
      </c>
      <c r="G19" s="1">
        <v>8334895.3113046</v>
      </c>
      <c r="H19" s="1">
        <v>5736246.4315517</v>
      </c>
      <c r="I19" s="1">
        <v>-0.0037111776098098</v>
      </c>
      <c r="J19" s="1">
        <v>-0.0035541200140711</v>
      </c>
      <c r="K19" s="1">
        <v>0.0083842460334659</v>
      </c>
      <c r="L19" s="1">
        <v>-0.11273498502542</v>
      </c>
      <c r="M19" s="1">
        <v>-0.11563699517452</v>
      </c>
      <c r="N19" s="1">
        <v>536.47513903438</v>
      </c>
      <c r="O19" s="1">
        <v>590.50919311193</v>
      </c>
    </row>
    <row r="20" spans="1:15">
      <c r="A20" s="1">
        <v>3.0066849390983</v>
      </c>
      <c r="B20" s="1">
        <v>0.0073527426542781</v>
      </c>
      <c r="C20" s="1">
        <v>92.700878161807</v>
      </c>
      <c r="D20" s="1">
        <v>0.0092354748504746</v>
      </c>
      <c r="E20" s="1">
        <v>-6.2788472546274</v>
      </c>
      <c r="F20" s="1">
        <v>-2.1571994553865</v>
      </c>
      <c r="G20" s="1">
        <v>8369237.5368326</v>
      </c>
      <c r="H20" s="1">
        <v>5915598.770012</v>
      </c>
      <c r="I20" s="1">
        <v>-0.0040121142940467</v>
      </c>
      <c r="J20" s="1">
        <v>-0.0038442735757316</v>
      </c>
      <c r="K20" s="1">
        <v>0.0089789721106658</v>
      </c>
      <c r="L20" s="1">
        <v>-0.12341199388342</v>
      </c>
      <c r="M20" s="1">
        <v>-0.12637992077415</v>
      </c>
      <c r="N20" s="1">
        <v>538.35295850097</v>
      </c>
      <c r="O20" s="1">
        <v>593.6424164943</v>
      </c>
    </row>
    <row r="21" spans="1:15">
      <c r="A21" s="1">
        <v>3.2066849390983</v>
      </c>
      <c r="B21" s="1">
        <v>0.0079852346539122</v>
      </c>
      <c r="C21" s="1">
        <v>92.70073518225</v>
      </c>
      <c r="D21" s="1">
        <v>0.0098731065340711</v>
      </c>
      <c r="E21" s="1">
        <v>-6.2798448507169</v>
      </c>
      <c r="F21" s="1">
        <v>-2.1577363091599</v>
      </c>
      <c r="G21" s="1">
        <v>8403710.0234865</v>
      </c>
      <c r="H21" s="1">
        <v>6095855.1778768</v>
      </c>
      <c r="I21" s="1">
        <v>-0.0043130159094183</v>
      </c>
      <c r="J21" s="1">
        <v>-0.0041343195527078</v>
      </c>
      <c r="K21" s="1">
        <v>0.0095733388924924</v>
      </c>
      <c r="L21" s="1">
        <v>-0.13422480160245</v>
      </c>
      <c r="M21" s="1">
        <v>-0.13725358645941</v>
      </c>
      <c r="N21" s="1">
        <v>540.12095486003</v>
      </c>
      <c r="O21" s="1">
        <v>596.52502590592</v>
      </c>
    </row>
    <row r="22" spans="1:15">
      <c r="A22" s="1">
        <v>3.4066849390983</v>
      </c>
      <c r="B22" s="1">
        <v>0.008617250226105</v>
      </c>
      <c r="C22" s="1">
        <v>92.700576254571</v>
      </c>
      <c r="D22" s="1">
        <v>0.010510386759858</v>
      </c>
      <c r="E22" s="1">
        <v>-6.2808286163766</v>
      </c>
      <c r="F22" s="1">
        <v>-2.1582779862022</v>
      </c>
      <c r="G22" s="1">
        <v>8438293.360768</v>
      </c>
      <c r="H22" s="1">
        <v>6276915.1722519</v>
      </c>
      <c r="I22" s="1">
        <v>-0.0046138533662736</v>
      </c>
      <c r="J22" s="1">
        <v>-0.0044242449104037</v>
      </c>
      <c r="K22" s="1">
        <v>0.010167346877217</v>
      </c>
      <c r="L22" s="1">
        <v>-0.14512820043902</v>
      </c>
      <c r="M22" s="1">
        <v>-0.14821881593607</v>
      </c>
      <c r="N22" s="1">
        <v>541.80075202023</v>
      </c>
      <c r="O22" s="1">
        <v>599.20294405975</v>
      </c>
    </row>
    <row r="23" spans="1:15">
      <c r="A23" s="1">
        <v>3.6066849390983</v>
      </c>
      <c r="B23" s="1">
        <v>0.0092488307424381</v>
      </c>
      <c r="C23" s="1">
        <v>92.700429160457</v>
      </c>
      <c r="D23" s="1">
        <v>0.011147318374425</v>
      </c>
      <c r="E23" s="1">
        <v>-6.2953881808872</v>
      </c>
      <c r="F23" s="1">
        <v>-2.1671888646033</v>
      </c>
      <c r="G23" s="1">
        <v>8472971.7870734</v>
      </c>
      <c r="H23" s="1">
        <v>6458697.0482637</v>
      </c>
      <c r="I23" s="1">
        <v>-0.0049146081923028</v>
      </c>
      <c r="J23" s="1">
        <v>-0.0047140373633921</v>
      </c>
      <c r="K23" s="1">
        <v>0.010760996531809</v>
      </c>
      <c r="L23" s="1">
        <v>-0.15602720393067</v>
      </c>
      <c r="M23" s="1">
        <v>-0.15917277766328</v>
      </c>
      <c r="N23" s="1">
        <v>543.40815197857</v>
      </c>
      <c r="O23" s="1">
        <v>601.7115045231</v>
      </c>
    </row>
    <row r="24" spans="1:15">
      <c r="A24" s="1">
        <v>3.8066849390983</v>
      </c>
      <c r="B24" s="1">
        <v>0.009880008014575</v>
      </c>
      <c r="C24" s="1">
        <v>92.700282204783</v>
      </c>
      <c r="D24" s="1">
        <v>0.011783907302003</v>
      </c>
      <c r="E24" s="1">
        <v>-6.2921076373991</v>
      </c>
      <c r="F24" s="1">
        <v>-2.1719665277523</v>
      </c>
      <c r="G24" s="1">
        <v>8507732.4319982</v>
      </c>
      <c r="H24" s="1">
        <v>6641133.8804588</v>
      </c>
      <c r="I24" s="1">
        <v>-0.0052152731113125</v>
      </c>
      <c r="J24" s="1">
        <v>-0.0050036819502544</v>
      </c>
      <c r="K24" s="1">
        <v>0.011354288337313</v>
      </c>
      <c r="L24" s="1">
        <v>-0.16708765908613</v>
      </c>
      <c r="M24" s="1">
        <v>-0.17027391052188</v>
      </c>
      <c r="N24" s="1">
        <v>544.95519692261</v>
      </c>
      <c r="O24" s="1">
        <v>604.0786991974</v>
      </c>
    </row>
    <row r="25" spans="1:15">
      <c r="A25" s="1">
        <v>4.0066849390983</v>
      </c>
      <c r="B25" s="1">
        <v>0.010510808379475</v>
      </c>
      <c r="C25" s="1">
        <v>92.700118456912</v>
      </c>
      <c r="D25" s="1">
        <v>0.01242015998621</v>
      </c>
      <c r="E25" s="1">
        <v>-6.2888573294272</v>
      </c>
      <c r="F25" s="1">
        <v>-2.1657241337688</v>
      </c>
      <c r="G25" s="1">
        <v>8542564.8385646</v>
      </c>
      <c r="H25" s="1">
        <v>6824171.0315548</v>
      </c>
      <c r="I25" s="1">
        <v>-0.0055158477752526</v>
      </c>
      <c r="J25" s="1">
        <v>-0.0052931617863751</v>
      </c>
      <c r="K25" s="1">
        <v>0.01194722275226</v>
      </c>
      <c r="L25" s="1">
        <v>-0.17826792190667</v>
      </c>
      <c r="M25" s="1">
        <v>-0.18148727388894</v>
      </c>
      <c r="N25" s="1">
        <v>546.45089664043</v>
      </c>
      <c r="O25" s="1">
        <v>606.32620097101</v>
      </c>
    </row>
    <row r="26" spans="1:15">
      <c r="A26" s="1">
        <v>4.2066849390983</v>
      </c>
      <c r="B26" s="1">
        <v>0.011141252985113</v>
      </c>
      <c r="C26" s="1">
        <v>92.69996212844</v>
      </c>
      <c r="D26" s="1">
        <v>0.013056084540769</v>
      </c>
      <c r="E26" s="1">
        <v>-6.2856448090768</v>
      </c>
      <c r="F26" s="1">
        <v>-2.1704270972178</v>
      </c>
      <c r="G26" s="1">
        <v>8577460.3787845</v>
      </c>
      <c r="H26" s="1">
        <v>7007763.1679596</v>
      </c>
      <c r="I26" s="1">
        <v>-0.0058163332281514</v>
      </c>
      <c r="J26" s="1">
        <v>-0.0055824630224509</v>
      </c>
      <c r="K26" s="1">
        <v>0.012539800236596</v>
      </c>
      <c r="L26" s="1">
        <v>-0.18956604899298</v>
      </c>
      <c r="M26" s="1">
        <v>-0.19282948572247</v>
      </c>
      <c r="N26" s="1">
        <v>547.90207801453</v>
      </c>
      <c r="O26" s="1">
        <v>608.47087871205</v>
      </c>
    </row>
    <row r="27" spans="1:15">
      <c r="A27" s="1">
        <v>4.4066849390983</v>
      </c>
      <c r="B27" s="1">
        <v>0.011771359173351</v>
      </c>
      <c r="C27" s="1">
        <v>92.699819044311</v>
      </c>
      <c r="D27" s="1">
        <v>0.013691690195844</v>
      </c>
      <c r="E27" s="1">
        <v>-6.2739801368447</v>
      </c>
      <c r="F27" s="1">
        <v>-2.1615889214641</v>
      </c>
      <c r="G27" s="1">
        <v>8612411.5094876</v>
      </c>
      <c r="H27" s="1">
        <v>7191870.48199</v>
      </c>
      <c r="I27" s="1">
        <v>-0.006116727602227</v>
      </c>
      <c r="J27" s="1">
        <v>-0.0058715765676551</v>
      </c>
      <c r="K27" s="1">
        <v>0.013132021225459</v>
      </c>
      <c r="L27" s="1">
        <v>-0.20105663170075</v>
      </c>
      <c r="M27" s="1">
        <v>-0.20430400869966</v>
      </c>
      <c r="N27" s="1">
        <v>549.3146754356</v>
      </c>
      <c r="O27" s="1">
        <v>610.52690369924</v>
      </c>
    </row>
    <row r="28" spans="1:15">
      <c r="A28" s="1">
        <v>4.6066849390983</v>
      </c>
      <c r="B28" s="1">
        <v>0.012401145276901</v>
      </c>
      <c r="C28" s="1">
        <v>92.699664692655</v>
      </c>
      <c r="D28" s="1">
        <v>0.01432698838909</v>
      </c>
      <c r="E28" s="1">
        <v>-6.2706348139333</v>
      </c>
      <c r="F28" s="1">
        <v>-2.1664058110245</v>
      </c>
      <c r="G28" s="1">
        <v>8647411.8354741</v>
      </c>
      <c r="H28" s="1">
        <v>7376459.0063555</v>
      </c>
      <c r="I28" s="1">
        <v>-0.0064170263670025</v>
      </c>
      <c r="J28" s="1">
        <v>-0.006160497538418</v>
      </c>
      <c r="K28" s="1">
        <v>0.013723886176782</v>
      </c>
      <c r="L28" s="1">
        <v>-0.2123245951074</v>
      </c>
      <c r="M28" s="1">
        <v>-0.21562006726446</v>
      </c>
      <c r="N28" s="1">
        <v>550.69300493654</v>
      </c>
      <c r="O28" s="1">
        <v>612.50513504857</v>
      </c>
    </row>
    <row r="29" spans="1:15">
      <c r="A29" s="1">
        <v>4.8066849390983</v>
      </c>
      <c r="B29" s="1">
        <v>0.013030626463029</v>
      </c>
      <c r="C29" s="1">
        <v>92.699495404756</v>
      </c>
      <c r="D29" s="1">
        <v>0.014961989469123</v>
      </c>
      <c r="E29" s="1">
        <v>-6.2715174312643</v>
      </c>
      <c r="F29" s="1">
        <v>-2.166996912623</v>
      </c>
      <c r="G29" s="1">
        <v>8682455.7484003</v>
      </c>
      <c r="H29" s="1">
        <v>7561498.7435024</v>
      </c>
      <c r="I29" s="1">
        <v>-0.0067172260491863</v>
      </c>
      <c r="J29" s="1">
        <v>-0.0064492250755573</v>
      </c>
      <c r="K29" s="1">
        <v>0.014315395537892</v>
      </c>
      <c r="L29" s="1">
        <v>-0.22390041902396</v>
      </c>
      <c r="M29" s="1">
        <v>-0.22721041369875</v>
      </c>
      <c r="N29" s="1">
        <v>552.04061732291</v>
      </c>
      <c r="O29" s="1">
        <v>614.41521347965</v>
      </c>
    </row>
    <row r="30" spans="1:15">
      <c r="A30" s="1">
        <v>5.0066849390983</v>
      </c>
      <c r="B30" s="1">
        <v>0.013659815547477</v>
      </c>
      <c r="C30" s="1">
        <v>92.699323943777</v>
      </c>
      <c r="D30" s="1">
        <v>0.015596702740135</v>
      </c>
      <c r="E30" s="1">
        <v>-6.2614055135604</v>
      </c>
      <c r="F30" s="1">
        <v>-2.1675886587359</v>
      </c>
      <c r="G30" s="1">
        <v>8717538.3635677</v>
      </c>
      <c r="H30" s="1">
        <v>7746963.3163154</v>
      </c>
      <c r="I30" s="1">
        <v>-0.0070173203899744</v>
      </c>
      <c r="J30" s="1">
        <v>-0.0067377587204759</v>
      </c>
      <c r="K30" s="1">
        <v>0.014906549774659</v>
      </c>
      <c r="L30" s="1">
        <v>-0.23551447817777</v>
      </c>
      <c r="M30" s="1">
        <v>-0.23882911920078</v>
      </c>
      <c r="N30" s="1">
        <v>553.36061888931</v>
      </c>
      <c r="O30" s="1">
        <v>616.26473710473</v>
      </c>
    </row>
    <row r="31" spans="1:15">
      <c r="A31" s="1">
        <v>5.2066849390983</v>
      </c>
      <c r="B31" s="1">
        <v>0.014288723850022</v>
      </c>
      <c r="C31" s="1">
        <v>92.69914741703</v>
      </c>
      <c r="D31" s="1">
        <v>0.016231136981893</v>
      </c>
      <c r="E31" s="1">
        <v>-6.2580369415663</v>
      </c>
      <c r="F31" s="1">
        <v>-2.1724052576882</v>
      </c>
      <c r="G31" s="1">
        <v>8752655.394102</v>
      </c>
      <c r="H31" s="1">
        <v>7932829.3377229</v>
      </c>
      <c r="I31" s="1">
        <v>-0.0073173047268119</v>
      </c>
      <c r="J31" s="1">
        <v>-0.0070260986438227</v>
      </c>
      <c r="K31" s="1">
        <v>0.015497349350803</v>
      </c>
      <c r="L31" s="1">
        <v>-0.24715711726027</v>
      </c>
      <c r="M31" s="1">
        <v>-0.25046671027806</v>
      </c>
      <c r="N31" s="1">
        <v>554.65551172928</v>
      </c>
      <c r="O31" s="1">
        <v>618.06009918266</v>
      </c>
    </row>
    <row r="32" spans="1:15">
      <c r="A32" s="1">
        <v>5.4066849390983</v>
      </c>
      <c r="B32" s="1">
        <v>0.014917361309601</v>
      </c>
      <c r="C32" s="1">
        <v>92.698970880084</v>
      </c>
      <c r="D32" s="1">
        <v>0.016865301684921</v>
      </c>
      <c r="E32" s="1">
        <v>-6.2436633543786</v>
      </c>
      <c r="F32" s="1">
        <v>-2.1772364575889</v>
      </c>
      <c r="G32" s="1">
        <v>8787802.9106671</v>
      </c>
      <c r="H32" s="1">
        <v>8119075.2237278</v>
      </c>
      <c r="I32" s="1">
        <v>-0.0076171758847266</v>
      </c>
      <c r="J32" s="1">
        <v>-0.0073142452314389</v>
      </c>
      <c r="K32" s="1">
        <v>0.016087794742943</v>
      </c>
      <c r="L32" s="1">
        <v>-0.25899923190699</v>
      </c>
      <c r="M32" s="1">
        <v>-0.26231262981251</v>
      </c>
      <c r="N32" s="1">
        <v>555.9273702074</v>
      </c>
      <c r="O32" s="1">
        <v>619.8069018912</v>
      </c>
    </row>
    <row r="33" spans="1:15">
      <c r="A33" s="1">
        <v>5.6066849390983</v>
      </c>
      <c r="B33" s="1">
        <v>0.015545739299775</v>
      </c>
      <c r="C33" s="1">
        <v>92.698780398874</v>
      </c>
      <c r="D33" s="1">
        <v>0.017499205737171</v>
      </c>
      <c r="E33" s="1">
        <v>-6.2173085679938</v>
      </c>
      <c r="F33" s="1">
        <v>-2.1482895262349</v>
      </c>
      <c r="G33" s="1">
        <v>8822977.3179498</v>
      </c>
      <c r="H33" s="1">
        <v>8305681.0670381</v>
      </c>
      <c r="I33" s="1">
        <v>-0.0079169297800165</v>
      </c>
      <c r="J33" s="1">
        <v>-0.0076021986014689</v>
      </c>
      <c r="K33" s="1">
        <v>0.016677886407045</v>
      </c>
      <c r="L33" s="1">
        <v>-0.27090655710514</v>
      </c>
      <c r="M33" s="1">
        <v>-0.2742085902471</v>
      </c>
      <c r="N33" s="1">
        <v>557.17811625578</v>
      </c>
      <c r="O33" s="1">
        <v>621.50988007724</v>
      </c>
    </row>
    <row r="34" spans="1:15">
      <c r="A34" s="1">
        <v>5.8066849390983</v>
      </c>
      <c r="B34" s="1">
        <v>0.016173870197151</v>
      </c>
      <c r="C34" s="1">
        <v>92.698587870207</v>
      </c>
      <c r="D34" s="1">
        <v>0.018132859812183</v>
      </c>
      <c r="E34" s="1">
        <v>-6.2181343417482</v>
      </c>
      <c r="F34" s="1">
        <v>-2.1488893867499</v>
      </c>
      <c r="G34" s="1">
        <v>8858175.2149099</v>
      </c>
      <c r="H34" s="1">
        <v>8492627.9565445</v>
      </c>
      <c r="I34" s="1">
        <v>-0.0082165631016447</v>
      </c>
      <c r="J34" s="1">
        <v>-0.0078899587429969</v>
      </c>
      <c r="K34" s="1">
        <v>0.017267624794865</v>
      </c>
      <c r="L34" s="1">
        <v>-0.28267845395646</v>
      </c>
      <c r="M34" s="1">
        <v>-0.28598103645572</v>
      </c>
      <c r="N34" s="1">
        <v>558.40928555415</v>
      </c>
      <c r="O34" s="1">
        <v>623.17300872293</v>
      </c>
    </row>
    <row r="35" spans="1:15">
      <c r="A35" s="1">
        <v>6.0066849390983</v>
      </c>
      <c r="B35" s="1">
        <v>0.016801766230982</v>
      </c>
      <c r="C35" s="1">
        <v>92.698390296473</v>
      </c>
      <c r="D35" s="1">
        <v>0.018766275016444</v>
      </c>
      <c r="E35" s="1">
        <v>-6.218953726617</v>
      </c>
      <c r="F35" s="1">
        <v>-2.1494899418784</v>
      </c>
      <c r="G35" s="1">
        <v>8893393.3915711</v>
      </c>
      <c r="H35" s="1">
        <v>8679897.9514623</v>
      </c>
      <c r="I35" s="1">
        <v>-0.0085160746619026</v>
      </c>
      <c r="J35" s="1">
        <v>-0.0081775268807256</v>
      </c>
      <c r="K35" s="1">
        <v>0.017857010360394</v>
      </c>
      <c r="L35" s="1">
        <v>-0.29482659562686</v>
      </c>
      <c r="M35" s="1">
        <v>-0.298119371705</v>
      </c>
      <c r="N35" s="1">
        <v>559.62222586173</v>
      </c>
      <c r="O35" s="1">
        <v>624.80051673144</v>
      </c>
    </row>
    <row r="36" spans="1:15">
      <c r="A36" s="1">
        <v>6.2066849390983</v>
      </c>
      <c r="B36" s="1">
        <v>0.017429438562552</v>
      </c>
      <c r="C36" s="1">
        <v>92.698188240278</v>
      </c>
      <c r="D36" s="1">
        <v>0.019399461555684</v>
      </c>
      <c r="E36" s="1">
        <v>-6.2197671272311</v>
      </c>
      <c r="F36" s="1">
        <v>-2.1610775710082</v>
      </c>
      <c r="G36" s="1">
        <v>8928628.8057145</v>
      </c>
      <c r="H36" s="1">
        <v>8867473.9610842</v>
      </c>
      <c r="I36" s="1">
        <v>-0.0088154616647059</v>
      </c>
      <c r="J36" s="1">
        <v>-0.0084649008164509</v>
      </c>
      <c r="K36" s="1">
        <v>0.018446043552325</v>
      </c>
      <c r="L36" s="1">
        <v>-0.30673803506732</v>
      </c>
      <c r="M36" s="1">
        <v>-0.31004781659633</v>
      </c>
      <c r="N36" s="1">
        <v>560.81840952656</v>
      </c>
      <c r="O36" s="1">
        <v>626.39533872273</v>
      </c>
    </row>
    <row r="37" spans="1:15">
      <c r="A37" s="1">
        <v>6.4066849390983</v>
      </c>
      <c r="B37" s="1">
        <v>0.018056895741079</v>
      </c>
      <c r="C37" s="1">
        <v>92.697975881694</v>
      </c>
      <c r="D37" s="1">
        <v>0.020032428214788</v>
      </c>
      <c r="E37" s="1">
        <v>-6.2204726969602</v>
      </c>
      <c r="F37" s="1">
        <v>-2.1370887000114</v>
      </c>
      <c r="G37" s="1">
        <v>8963878.7206772</v>
      </c>
      <c r="H37" s="1">
        <v>9055340.3755043</v>
      </c>
      <c r="I37" s="1">
        <v>-0.0091147237592881</v>
      </c>
      <c r="J37" s="1">
        <v>-0.0087520805747689</v>
      </c>
      <c r="K37" s="1">
        <v>0.019034724800582</v>
      </c>
      <c r="L37" s="1">
        <v>-0.31880898910643</v>
      </c>
      <c r="M37" s="1">
        <v>-0.32209985039197</v>
      </c>
      <c r="N37" s="1">
        <v>561.99903092901</v>
      </c>
      <c r="O37" s="1">
        <v>627.96068873263</v>
      </c>
    </row>
    <row r="38" spans="1:15">
      <c r="A38" s="1">
        <v>6.6066849390983</v>
      </c>
      <c r="B38" s="1">
        <v>0.018684145977943</v>
      </c>
      <c r="C38" s="1">
        <v>92.697764123154</v>
      </c>
      <c r="D38" s="1">
        <v>0.020665182942725</v>
      </c>
      <c r="E38" s="1">
        <v>-6.2102894075817</v>
      </c>
      <c r="F38" s="1">
        <v>-2.1376974582034</v>
      </c>
      <c r="G38" s="1">
        <v>8999140.8654472</v>
      </c>
      <c r="H38" s="1">
        <v>9243483.9181776</v>
      </c>
      <c r="I38" s="1">
        <v>-0.0094138595499693</v>
      </c>
      <c r="J38" s="1">
        <v>-0.0090390663175867</v>
      </c>
      <c r="K38" s="1">
        <v>0.019623054553933</v>
      </c>
      <c r="L38" s="1">
        <v>-0.33091112006566</v>
      </c>
      <c r="M38" s="1">
        <v>-0.33420062679151</v>
      </c>
      <c r="N38" s="1">
        <v>563.16473032109</v>
      </c>
      <c r="O38" s="1">
        <v>629.49842492842</v>
      </c>
    </row>
    <row r="39" spans="1:15">
      <c r="A39" s="1">
        <v>6.8066849390983</v>
      </c>
      <c r="B39" s="1">
        <v>0.019311193259081</v>
      </c>
      <c r="C39" s="1">
        <v>92.697549190956</v>
      </c>
      <c r="D39" s="1">
        <v>0.021297732054821</v>
      </c>
      <c r="E39" s="1">
        <v>-6.2110872727769</v>
      </c>
      <c r="F39" s="1">
        <v>-2.1383071225683</v>
      </c>
      <c r="G39" s="1">
        <v>9034413.0657737</v>
      </c>
      <c r="H39" s="1">
        <v>9431891.7304813</v>
      </c>
      <c r="I39" s="1">
        <v>-0.0097128671404942</v>
      </c>
      <c r="J39" s="1">
        <v>-0.0093258595722016</v>
      </c>
      <c r="K39" s="1">
        <v>0.020211033239212</v>
      </c>
      <c r="L39" s="1">
        <v>-0.34330390483364</v>
      </c>
      <c r="M39" s="1">
        <v>-0.34658090895902</v>
      </c>
      <c r="N39" s="1">
        <v>564.31643661993</v>
      </c>
      <c r="O39" s="1">
        <v>631.01072872219</v>
      </c>
    </row>
    <row r="40" spans="1:15">
      <c r="A40" s="1">
        <v>7.0066849390983</v>
      </c>
      <c r="B40" s="1">
        <v>0.019938043380459</v>
      </c>
      <c r="C40" s="1">
        <v>92.697331297714</v>
      </c>
      <c r="D40" s="1">
        <v>0.021930080825802</v>
      </c>
      <c r="E40" s="1">
        <v>-6.2118801955247</v>
      </c>
      <c r="F40" s="1">
        <v>-2.1279313083681</v>
      </c>
      <c r="G40" s="1">
        <v>9069693.3871335</v>
      </c>
      <c r="H40" s="1">
        <v>9620552.1680498</v>
      </c>
      <c r="I40" s="1">
        <v>-0.010011742490924</v>
      </c>
      <c r="J40" s="1">
        <v>-0.0096124610165289</v>
      </c>
      <c r="K40" s="1">
        <v>0.020798661286436</v>
      </c>
      <c r="L40" s="1">
        <v>-0.35543982901023</v>
      </c>
      <c r="M40" s="1">
        <v>-0.35871746648178</v>
      </c>
      <c r="N40" s="1">
        <v>565.45487596297</v>
      </c>
      <c r="O40" s="1">
        <v>632.49878189471</v>
      </c>
    </row>
    <row r="41" spans="1:15">
      <c r="A41" s="1">
        <v>7.2066849390983</v>
      </c>
      <c r="B41" s="1">
        <v>0.020564701050106</v>
      </c>
      <c r="C41" s="1">
        <v>92.697110493531</v>
      </c>
      <c r="D41" s="1">
        <v>0.02256223541276</v>
      </c>
      <c r="E41" s="1">
        <v>-6.1906956702213</v>
      </c>
      <c r="F41" s="1">
        <v>-2.1285425991978</v>
      </c>
      <c r="G41" s="1">
        <v>9104979.8786291</v>
      </c>
      <c r="H41" s="1">
        <v>9809453.463676</v>
      </c>
      <c r="I41" s="1">
        <v>-0.010310483923922</v>
      </c>
      <c r="J41" s="1">
        <v>-0.0098988733024317</v>
      </c>
      <c r="K41" s="1">
        <v>0.021385939122344</v>
      </c>
      <c r="L41" s="1">
        <v>-0.36777842075074</v>
      </c>
      <c r="M41" s="1">
        <v>-0.37104816010578</v>
      </c>
      <c r="N41" s="1">
        <v>566.58074532248</v>
      </c>
      <c r="O41" s="1">
        <v>633.96467489764</v>
      </c>
    </row>
    <row r="42" spans="1:15">
      <c r="A42" s="1">
        <v>7.4066849390983</v>
      </c>
      <c r="B42" s="1">
        <v>0.021191172809188</v>
      </c>
      <c r="C42" s="1">
        <v>92.69689305381</v>
      </c>
      <c r="D42" s="1">
        <v>0.023194201587228</v>
      </c>
      <c r="E42" s="1">
        <v>-6.1914791139244</v>
      </c>
      <c r="F42" s="1">
        <v>-2.1291545356448</v>
      </c>
      <c r="G42" s="1">
        <v>9140270.7779517</v>
      </c>
      <c r="H42" s="1">
        <v>9998584.8256254</v>
      </c>
      <c r="I42" s="1">
        <v>-0.010609088859348</v>
      </c>
      <c r="J42" s="1">
        <v>-0.010185098040489</v>
      </c>
      <c r="K42" s="1">
        <v>0.021972867165457</v>
      </c>
      <c r="L42" s="1">
        <v>-0.38020202153949</v>
      </c>
      <c r="M42" s="1">
        <v>-0.38346065935259</v>
      </c>
      <c r="N42" s="1">
        <v>567.69448899158</v>
      </c>
      <c r="O42" s="1">
        <v>635.40959700643</v>
      </c>
    </row>
    <row r="43" spans="1:15">
      <c r="A43" s="1">
        <v>7.6066849390983</v>
      </c>
      <c r="B43" s="1">
        <v>0.021817464688709</v>
      </c>
      <c r="C43" s="1">
        <v>92.69667413127</v>
      </c>
      <c r="D43" s="1">
        <v>0.023825985196869</v>
      </c>
      <c r="E43" s="1">
        <v>-6.1989189687768</v>
      </c>
      <c r="F43" s="1">
        <v>-2.1450725439918</v>
      </c>
      <c r="G43" s="1">
        <v>9175564.2730256</v>
      </c>
      <c r="H43" s="1">
        <v>10187935.186724</v>
      </c>
      <c r="I43" s="1">
        <v>-0.010907555125817</v>
      </c>
      <c r="J43" s="1">
        <v>-0.010471136813721</v>
      </c>
      <c r="K43" s="1">
        <v>0.022559445841696</v>
      </c>
      <c r="L43" s="1">
        <v>-0.39279768528696</v>
      </c>
      <c r="M43" s="1">
        <v>-0.39604457134248</v>
      </c>
      <c r="N43" s="1">
        <v>568.79679302471</v>
      </c>
      <c r="O43" s="1">
        <v>636.83520297531</v>
      </c>
    </row>
    <row r="44" spans="1:15">
      <c r="A44" s="1">
        <v>7.8066849390983</v>
      </c>
      <c r="B44" s="1">
        <v>0.022443583075332</v>
      </c>
      <c r="C44" s="1">
        <v>92.696449774838</v>
      </c>
      <c r="D44" s="1">
        <v>0.024457591655415</v>
      </c>
      <c r="E44" s="1">
        <v>-6.221662365614</v>
      </c>
      <c r="F44" s="1">
        <v>-2.1456893099201</v>
      </c>
      <c r="G44" s="1">
        <v>9210858.714571</v>
      </c>
      <c r="H44" s="1">
        <v>10377494.298883</v>
      </c>
      <c r="I44" s="1">
        <v>-0.01120587999407</v>
      </c>
      <c r="J44" s="1">
        <v>-0.010756989870392</v>
      </c>
      <c r="K44" s="1">
        <v>0.023145675568184</v>
      </c>
      <c r="L44" s="1">
        <v>-0.40512542466952</v>
      </c>
      <c r="M44" s="1">
        <v>-0.40837668538745</v>
      </c>
      <c r="N44" s="1">
        <v>569.88817412579</v>
      </c>
      <c r="O44" s="1">
        <v>638.24231047749</v>
      </c>
    </row>
    <row r="45" spans="1:15">
      <c r="A45" s="1">
        <v>8.0066849390983</v>
      </c>
      <c r="B45" s="1">
        <v>0.023069533499526</v>
      </c>
      <c r="C45" s="1">
        <v>92.696193195017</v>
      </c>
      <c r="D45" s="1">
        <v>0.025089027140065</v>
      </c>
      <c r="E45" s="1">
        <v>-6.2525849395837</v>
      </c>
      <c r="F45" s="1">
        <v>-2.176449884686</v>
      </c>
      <c r="G45" s="1">
        <v>9246152.4219934</v>
      </c>
      <c r="H45" s="1">
        <v>10567251.743321</v>
      </c>
      <c r="I45" s="1">
        <v>-0.011504062587987</v>
      </c>
      <c r="J45" s="1">
        <v>-0.011042659533436</v>
      </c>
      <c r="K45" s="1">
        <v>0.023731556760016</v>
      </c>
      <c r="L45" s="1">
        <v>-0.41767830503065</v>
      </c>
      <c r="M45" s="1">
        <v>-0.42092252819943</v>
      </c>
      <c r="N45" s="1">
        <v>570.96914630753</v>
      </c>
      <c r="O45" s="1">
        <v>639.63260697603</v>
      </c>
    </row>
    <row r="46" spans="1:15">
      <c r="A46" s="1">
        <v>8.2066849390983</v>
      </c>
      <c r="B46" s="1">
        <v>0.023695322403494</v>
      </c>
      <c r="C46" s="1">
        <v>92.695947474424</v>
      </c>
      <c r="D46" s="1">
        <v>0.025720297097442</v>
      </c>
      <c r="E46" s="1">
        <v>-6.2643363648529</v>
      </c>
      <c r="F46" s="1">
        <v>-2.1770705997466</v>
      </c>
      <c r="G46" s="1">
        <v>9281443.9080358</v>
      </c>
      <c r="H46" s="1">
        <v>10757198.086309</v>
      </c>
      <c r="I46" s="1">
        <v>-0.011802100693882</v>
      </c>
      <c r="J46" s="1">
        <v>-0.01132814710007</v>
      </c>
      <c r="K46" s="1">
        <v>0.024317089846678</v>
      </c>
      <c r="L46" s="1">
        <v>-0.43029272244865</v>
      </c>
      <c r="M46" s="1">
        <v>-0.43353924217689</v>
      </c>
      <c r="N46" s="1">
        <v>572.04005628942</v>
      </c>
      <c r="O46" s="1">
        <v>641.00692026511</v>
      </c>
    </row>
    <row r="47" spans="1:15">
      <c r="A47" s="1">
        <v>8.4066849390983</v>
      </c>
      <c r="B47" s="1">
        <v>0.024320953813899</v>
      </c>
      <c r="C47" s="1">
        <v>92.69570256367</v>
      </c>
      <c r="D47" s="1">
        <v>0.026351406303156</v>
      </c>
      <c r="E47" s="1">
        <v>-6.2650970519497</v>
      </c>
      <c r="F47" s="1">
        <v>-2.1886782164765</v>
      </c>
      <c r="G47" s="1">
        <v>9316731.7009179</v>
      </c>
      <c r="H47" s="1">
        <v>10947323.927985</v>
      </c>
      <c r="I47" s="1">
        <v>-0.012099991596075</v>
      </c>
      <c r="J47" s="1">
        <v>-0.011613454179558</v>
      </c>
      <c r="K47" s="1">
        <v>0.02490227524386</v>
      </c>
      <c r="L47" s="1">
        <v>-0.44289898462026</v>
      </c>
      <c r="M47" s="1">
        <v>-0.44614209545928</v>
      </c>
      <c r="N47" s="1">
        <v>573.10149358911</v>
      </c>
      <c r="O47" s="1">
        <v>642.36625353681</v>
      </c>
    </row>
    <row r="48" spans="1:15">
      <c r="A48" s="1">
        <v>8.6066849390983</v>
      </c>
      <c r="B48" s="1">
        <v>0.024946432768845</v>
      </c>
      <c r="C48" s="1">
        <v>92.695461461178</v>
      </c>
      <c r="D48" s="1">
        <v>0.026982360027876</v>
      </c>
      <c r="E48" s="1">
        <v>-6.3207851554045</v>
      </c>
      <c r="F48" s="1">
        <v>-2.2112730585778</v>
      </c>
      <c r="G48" s="1">
        <v>9352014.5201547</v>
      </c>
      <c r="H48" s="1">
        <v>11137620.842218</v>
      </c>
      <c r="I48" s="1">
        <v>-0.012397733734693</v>
      </c>
      <c r="J48" s="1">
        <v>-0.011898582785453</v>
      </c>
      <c r="K48" s="1">
        <v>0.025487113373269</v>
      </c>
      <c r="L48" s="1">
        <v>-0.45560236084299</v>
      </c>
      <c r="M48" s="1">
        <v>-0.45883405048241</v>
      </c>
      <c r="N48" s="1">
        <v>574.15366256247</v>
      </c>
      <c r="O48" s="1">
        <v>643.71130529092</v>
      </c>
    </row>
    <row r="49" spans="1:15">
      <c r="A49" s="1">
        <v>8.8066849390982</v>
      </c>
      <c r="B49" s="1">
        <v>0.02557176374779</v>
      </c>
      <c r="C49" s="1">
        <v>92.695228000582</v>
      </c>
      <c r="D49" s="1">
        <v>0.027613162763271</v>
      </c>
      <c r="E49" s="1">
        <v>-6.361167968198</v>
      </c>
      <c r="F49" s="1">
        <v>-2.2162025445924</v>
      </c>
      <c r="G49" s="1">
        <v>9387291.1256533</v>
      </c>
      <c r="H49" s="1">
        <v>11328080.590766</v>
      </c>
      <c r="I49" s="1">
        <v>-0.012695325326082</v>
      </c>
      <c r="J49" s="1">
        <v>-0.012183534523425</v>
      </c>
      <c r="K49" s="1">
        <v>0.02607160466322</v>
      </c>
      <c r="L49" s="1">
        <v>-0.46841140765728</v>
      </c>
      <c r="M49" s="1">
        <v>-0.47164427619917</v>
      </c>
      <c r="N49" s="1">
        <v>575.19689431503</v>
      </c>
      <c r="O49" s="1">
        <v>645.04280362745</v>
      </c>
    </row>
    <row r="50" spans="1:15">
      <c r="A50" s="1">
        <v>9.0066849390982</v>
      </c>
      <c r="B50" s="1">
        <v>0.02619695064217</v>
      </c>
      <c r="C50" s="1">
        <v>92.694997913223</v>
      </c>
      <c r="D50" s="1">
        <v>0.028243818311849</v>
      </c>
      <c r="E50" s="1">
        <v>-6.3918343854857</v>
      </c>
      <c r="F50" s="1">
        <v>-2.2067885692358</v>
      </c>
      <c r="G50" s="1">
        <v>9422560.3298653</v>
      </c>
      <c r="H50" s="1">
        <v>11518695.188774</v>
      </c>
      <c r="I50" s="1">
        <v>-0.012992764920989</v>
      </c>
      <c r="J50" s="1">
        <v>-0.012468309712391</v>
      </c>
      <c r="K50" s="1">
        <v>0.026655749534633</v>
      </c>
      <c r="L50" s="1">
        <v>-0.48117750460697</v>
      </c>
      <c r="M50" s="1">
        <v>-0.48439937483608</v>
      </c>
      <c r="N50" s="1">
        <v>576.23159455009</v>
      </c>
      <c r="O50" s="1">
        <v>646.36130245662</v>
      </c>
    </row>
    <row r="51" spans="1:15">
      <c r="A51" s="1">
        <v>9.2066849390982</v>
      </c>
      <c r="B51" s="1">
        <v>0.026821997762263</v>
      </c>
      <c r="C51" s="1">
        <v>92.694754435934</v>
      </c>
      <c r="D51" s="1">
        <v>0.028874331159455</v>
      </c>
      <c r="E51" s="1">
        <v>-6.4102424141451</v>
      </c>
      <c r="F51" s="1">
        <v>-2.2117053504608</v>
      </c>
      <c r="G51" s="1">
        <v>9457821.036301</v>
      </c>
      <c r="H51" s="1">
        <v>11709457.129309</v>
      </c>
      <c r="I51" s="1">
        <v>-0.013290052791345</v>
      </c>
      <c r="J51" s="1">
        <v>-0.012752908635723</v>
      </c>
      <c r="K51" s="1">
        <v>0.027239548413067</v>
      </c>
      <c r="L51" s="1">
        <v>-0.49398534474619</v>
      </c>
      <c r="M51" s="1">
        <v>-0.4972062803371</v>
      </c>
      <c r="N51" s="1">
        <v>577.25790394445</v>
      </c>
      <c r="O51" s="1">
        <v>647.66732134143</v>
      </c>
    </row>
    <row r="52" spans="1:15">
      <c r="A52" s="1">
        <v>9.4066849390982</v>
      </c>
      <c r="B52" s="1">
        <v>0.027446909188285</v>
      </c>
      <c r="C52" s="1">
        <v>92.694508574746</v>
      </c>
      <c r="D52" s="1">
        <v>0.029504705450442</v>
      </c>
      <c r="E52" s="1">
        <v>-6.4219474797498</v>
      </c>
      <c r="F52" s="1">
        <v>-2.2233295263063</v>
      </c>
      <c r="G52" s="1">
        <v>9493072.1743195</v>
      </c>
      <c r="H52" s="1">
        <v>11900359.033172</v>
      </c>
      <c r="I52" s="1">
        <v>-0.013587189368376</v>
      </c>
      <c r="J52" s="1">
        <v>-0.013037331613272</v>
      </c>
      <c r="K52" s="1">
        <v>0.02782300172142</v>
      </c>
      <c r="L52" s="1">
        <v>-0.50700402341527</v>
      </c>
      <c r="M52" s="1">
        <v>-0.51021764036137</v>
      </c>
      <c r="N52" s="1">
        <v>578.27600306545</v>
      </c>
      <c r="O52" s="1">
        <v>648.96140730531</v>
      </c>
    </row>
    <row r="53" spans="1:15">
      <c r="A53" s="1">
        <v>9.6066849390982</v>
      </c>
      <c r="B53" s="1">
        <v>0.028071688252461</v>
      </c>
      <c r="C53" s="1">
        <v>92.694260110773</v>
      </c>
      <c r="D53" s="1">
        <v>0.030134944367634</v>
      </c>
      <c r="E53" s="1">
        <v>-6.4226627803516</v>
      </c>
      <c r="F53" s="1">
        <v>-2.2129823506318</v>
      </c>
      <c r="G53" s="1">
        <v>9528312.6897243</v>
      </c>
      <c r="H53" s="1">
        <v>12091393.590992</v>
      </c>
      <c r="I53" s="1">
        <v>-0.013884173033136</v>
      </c>
      <c r="J53" s="1">
        <v>-0.013321577980811</v>
      </c>
      <c r="K53" s="1">
        <v>0.028406109881874</v>
      </c>
      <c r="L53" s="1">
        <v>-0.51982179219074</v>
      </c>
      <c r="M53" s="1">
        <v>-0.52303049569626</v>
      </c>
      <c r="N53" s="1">
        <v>579.28634259255</v>
      </c>
      <c r="O53" s="1">
        <v>650.24385444605</v>
      </c>
    </row>
    <row r="54" spans="1:15">
      <c r="A54" s="1">
        <v>9.8066849390982</v>
      </c>
      <c r="B54" s="1">
        <v>0.028696338643151</v>
      </c>
      <c r="C54" s="1">
        <v>92.694011876034</v>
      </c>
      <c r="D54" s="1">
        <v>0.030765052032433</v>
      </c>
      <c r="E54" s="1">
        <v>-6.4561858007315</v>
      </c>
      <c r="F54" s="1">
        <v>-2.2330610644254</v>
      </c>
      <c r="G54" s="1">
        <v>9563541.5848666</v>
      </c>
      <c r="H54" s="1">
        <v>12282553.815444</v>
      </c>
      <c r="I54" s="1">
        <v>-0.014181004624566</v>
      </c>
      <c r="J54" s="1">
        <v>-0.013605648156591</v>
      </c>
      <c r="K54" s="1">
        <v>0.028988873319534</v>
      </c>
      <c r="L54" s="1">
        <v>-0.53269805400111</v>
      </c>
      <c r="M54" s="1">
        <v>-0.53589883652735</v>
      </c>
      <c r="N54" s="1">
        <v>580.28905568163</v>
      </c>
      <c r="O54" s="1">
        <v>651.51526419401</v>
      </c>
    </row>
    <row r="55" spans="1:15">
      <c r="A55" s="1">
        <v>10.006684939098</v>
      </c>
      <c r="B55" s="1">
        <v>0.029320863368811</v>
      </c>
      <c r="C55" s="1">
        <v>92.693755592985</v>
      </c>
      <c r="D55" s="1">
        <v>0.031395032273566</v>
      </c>
      <c r="E55" s="1">
        <v>-6.4514959510811</v>
      </c>
      <c r="F55" s="1">
        <v>-2.236906214449</v>
      </c>
      <c r="G55" s="1">
        <v>9598757.8345108</v>
      </c>
      <c r="H55" s="1">
        <v>12473832.558413</v>
      </c>
      <c r="I55" s="1">
        <v>-0.014477683578556</v>
      </c>
      <c r="J55" s="1">
        <v>-0.013889542991111</v>
      </c>
      <c r="K55" s="1">
        <v>0.029571292452546</v>
      </c>
      <c r="L55" s="1">
        <v>-0.54574410880779</v>
      </c>
      <c r="M55" s="1">
        <v>-0.54893912621774</v>
      </c>
      <c r="N55" s="1">
        <v>581.28444340702</v>
      </c>
      <c r="O55" s="1">
        <v>652.77624764065</v>
      </c>
    </row>
    <row r="56" spans="1:15">
      <c r="A56" s="1">
        <v>10.206684939098</v>
      </c>
      <c r="B56" s="1">
        <v>0.029945267163566</v>
      </c>
      <c r="C56" s="1">
        <v>92.693494373034</v>
      </c>
      <c r="D56" s="1">
        <v>0.032024888614125</v>
      </c>
      <c r="E56" s="1">
        <v>-6.4851505331196</v>
      </c>
      <c r="F56" s="1">
        <v>-2.2375502950355</v>
      </c>
      <c r="G56" s="1">
        <v>9633960.5686034</v>
      </c>
      <c r="H56" s="1">
        <v>12665223.499255</v>
      </c>
      <c r="I56" s="1">
        <v>-0.014774209441473</v>
      </c>
      <c r="J56" s="1">
        <v>-0.014173262398516</v>
      </c>
      <c r="K56" s="1">
        <v>0.030153367697861</v>
      </c>
      <c r="L56" s="1">
        <v>-0.55877293009487</v>
      </c>
      <c r="M56" s="1">
        <v>-0.56197308774896</v>
      </c>
      <c r="N56" s="1">
        <v>582.27258044839</v>
      </c>
      <c r="O56" s="1">
        <v>654.02689897905</v>
      </c>
    </row>
    <row r="57" spans="1:15">
      <c r="A57" s="1">
        <v>10.406684939098</v>
      </c>
      <c r="B57" s="1">
        <v>0.030569553030934</v>
      </c>
      <c r="C57" s="1">
        <v>92.693225050202</v>
      </c>
      <c r="D57" s="1">
        <v>0.032654624591286</v>
      </c>
      <c r="E57" s="1">
        <v>-6.5229913685499</v>
      </c>
      <c r="F57" s="1">
        <v>-2.2423699658248</v>
      </c>
      <c r="G57" s="1">
        <v>9669148.8225205</v>
      </c>
      <c r="H57" s="1">
        <v>12856719.813198</v>
      </c>
      <c r="I57" s="1">
        <v>-0.015070581660751</v>
      </c>
      <c r="J57" s="1">
        <v>-0.014456806679424</v>
      </c>
      <c r="K57" s="1">
        <v>0.030735099464135</v>
      </c>
      <c r="L57" s="1">
        <v>-0.57179608551232</v>
      </c>
      <c r="M57" s="1">
        <v>-0.57498676023007</v>
      </c>
      <c r="N57" s="1">
        <v>583.2537898264</v>
      </c>
      <c r="O57" s="1">
        <v>655.2677306687</v>
      </c>
    </row>
    <row r="58" spans="1:15">
      <c r="A58" s="1">
        <v>10.606684939098</v>
      </c>
      <c r="B58" s="1">
        <v>0.031193724696959</v>
      </c>
      <c r="C58" s="1">
        <v>92.692956263044</v>
      </c>
      <c r="D58" s="1">
        <v>0.033284244066</v>
      </c>
      <c r="E58" s="1">
        <v>-6.5676292735439</v>
      </c>
      <c r="F58" s="1">
        <v>-2.2540056221494</v>
      </c>
      <c r="G58" s="1">
        <v>9704321.7259808</v>
      </c>
      <c r="H58" s="1">
        <v>13048315.174971</v>
      </c>
      <c r="I58" s="1">
        <v>-0.015366800646523</v>
      </c>
      <c r="J58" s="1">
        <v>-0.01474017626598</v>
      </c>
      <c r="K58" s="1">
        <v>0.031316488169355</v>
      </c>
      <c r="L58" s="1">
        <v>-0.58493652871229</v>
      </c>
      <c r="M58" s="1">
        <v>-0.58813333697606</v>
      </c>
      <c r="N58" s="1">
        <v>584.22815642355</v>
      </c>
      <c r="O58" s="1">
        <v>656.49915517859</v>
      </c>
    </row>
    <row r="59" spans="1:15">
      <c r="A59" s="1">
        <v>10.806684939098</v>
      </c>
      <c r="B59" s="1">
        <v>0.031817785239165</v>
      </c>
      <c r="C59" s="1">
        <v>92.692688482686</v>
      </c>
      <c r="D59" s="1">
        <v>0.033913750054573</v>
      </c>
      <c r="E59" s="1">
        <v>-6.6122643903324</v>
      </c>
      <c r="F59" s="1">
        <v>-2.2546560282887</v>
      </c>
      <c r="G59" s="1">
        <v>9739478.4485451</v>
      </c>
      <c r="H59" s="1">
        <v>13240003.465553</v>
      </c>
      <c r="I59" s="1">
        <v>-0.015662865834941</v>
      </c>
      <c r="J59" s="1">
        <v>-0.015023370863955</v>
      </c>
      <c r="K59" s="1">
        <v>0.031897534217768</v>
      </c>
      <c r="L59" s="1">
        <v>-0.59803294084341</v>
      </c>
      <c r="M59" s="1">
        <v>-0.60122343106069</v>
      </c>
      <c r="N59" s="1">
        <v>585.19592108075</v>
      </c>
      <c r="O59" s="1">
        <v>657.72133522797</v>
      </c>
    </row>
    <row r="60" spans="1:15">
      <c r="A60" s="1">
        <v>11.006684939098</v>
      </c>
      <c r="B60" s="1">
        <v>0.032441736866074</v>
      </c>
      <c r="C60" s="1">
        <v>92.692420127107</v>
      </c>
      <c r="D60" s="1">
        <v>0.034543145832529</v>
      </c>
      <c r="E60" s="1">
        <v>-6.6568968550786</v>
      </c>
      <c r="F60" s="1">
        <v>-2.2553075084696</v>
      </c>
      <c r="G60" s="1">
        <v>9774618.1956733</v>
      </c>
      <c r="H60" s="1">
        <v>13431778.72675</v>
      </c>
      <c r="I60" s="1">
        <v>-0.015958777402711</v>
      </c>
      <c r="J60" s="1">
        <v>-0.015306390941208</v>
      </c>
      <c r="K60" s="1">
        <v>0.032478238021698</v>
      </c>
      <c r="L60" s="1">
        <v>-0.61122156201576</v>
      </c>
      <c r="M60" s="1">
        <v>-0.614413869787</v>
      </c>
      <c r="N60" s="1">
        <v>586.15727921557</v>
      </c>
      <c r="O60" s="1">
        <v>658.93472092707</v>
      </c>
    </row>
    <row r="61" spans="1:15">
      <c r="A61" s="1">
        <v>11.206684939098</v>
      </c>
      <c r="B61" s="1">
        <v>0.033065582716737</v>
      </c>
      <c r="C61" s="1">
        <v>92.692150727541</v>
      </c>
      <c r="D61" s="1">
        <v>0.035172433914113</v>
      </c>
      <c r="E61" s="1">
        <v>-6.6795539955352</v>
      </c>
      <c r="F61" s="1">
        <v>-2.2559600490815</v>
      </c>
      <c r="G61" s="1">
        <v>9809740.3233939</v>
      </c>
      <c r="H61" s="1">
        <v>13623635.766472</v>
      </c>
      <c r="I61" s="1">
        <v>-0.016254535024748</v>
      </c>
      <c r="J61" s="1">
        <v>-0.015589236689396</v>
      </c>
      <c r="K61" s="1">
        <v>0.033058599985861</v>
      </c>
      <c r="L61" s="1">
        <v>-0.62441114296121</v>
      </c>
      <c r="M61" s="1">
        <v>-0.62760175176506</v>
      </c>
      <c r="N61" s="1">
        <v>587.11227290189</v>
      </c>
      <c r="O61" s="1">
        <v>660.139308467</v>
      </c>
    </row>
    <row r="62" spans="1:15">
      <c r="A62" s="1">
        <v>11.406684939098</v>
      </c>
      <c r="B62" s="1">
        <v>0.033689325065231</v>
      </c>
      <c r="C62" s="1">
        <v>92.691864737387</v>
      </c>
      <c r="D62" s="1">
        <v>0.035801617216592</v>
      </c>
      <c r="E62" s="1">
        <v>-6.7012342264163</v>
      </c>
      <c r="F62" s="1">
        <v>-2.2446468052851</v>
      </c>
      <c r="G62" s="1">
        <v>9844844.1640454</v>
      </c>
      <c r="H62" s="1">
        <v>13815569.270088</v>
      </c>
      <c r="I62" s="1">
        <v>-0.016550138888152</v>
      </c>
      <c r="J62" s="1">
        <v>-0.015871908727896</v>
      </c>
      <c r="K62" s="1">
        <v>0.033638620521866</v>
      </c>
      <c r="L62" s="1">
        <v>-0.63772821068371</v>
      </c>
      <c r="M62" s="1">
        <v>-0.64091797981011</v>
      </c>
      <c r="N62" s="1">
        <v>588.06097069552</v>
      </c>
      <c r="O62" s="1">
        <v>661.33534917981</v>
      </c>
    </row>
    <row r="63" spans="1:15">
      <c r="A63" s="1">
        <v>11.606684939098</v>
      </c>
      <c r="B63" s="1">
        <v>0.034312966353652</v>
      </c>
      <c r="C63" s="1">
        <v>92.691583876708</v>
      </c>
      <c r="D63" s="1">
        <v>0.036430697955984</v>
      </c>
      <c r="E63" s="1">
        <v>-6.7128969747923</v>
      </c>
      <c r="F63" s="1">
        <v>-2.2672710595881</v>
      </c>
      <c r="G63" s="1">
        <v>9879929.0200281</v>
      </c>
      <c r="H63" s="1">
        <v>14007573.785636</v>
      </c>
      <c r="I63" s="1">
        <v>-0.016845588065012</v>
      </c>
      <c r="J63" s="1">
        <v>-0.016154406622134</v>
      </c>
      <c r="K63" s="1">
        <v>0.034218300042585</v>
      </c>
      <c r="L63" s="1">
        <v>-0.65091250506866</v>
      </c>
      <c r="M63" s="1">
        <v>-0.65410223463132</v>
      </c>
      <c r="N63" s="1">
        <v>589.00368267815</v>
      </c>
      <c r="O63" s="1">
        <v>662.52299835393</v>
      </c>
    </row>
    <row r="64" spans="1:15">
      <c r="A64" s="1">
        <v>11.806684939098</v>
      </c>
      <c r="B64" s="1">
        <v>0.03493650968569</v>
      </c>
      <c r="C64" s="1">
        <v>92.691286906924</v>
      </c>
      <c r="D64" s="1">
        <v>0.037059679623825</v>
      </c>
      <c r="E64" s="1">
        <v>-6.7175575003071</v>
      </c>
      <c r="F64" s="1">
        <v>-2.2719001610175</v>
      </c>
      <c r="G64" s="1">
        <v>9914994.1981544</v>
      </c>
      <c r="H64" s="1">
        <v>14199643.899595</v>
      </c>
      <c r="I64" s="1">
        <v>-0.017140883308899</v>
      </c>
      <c r="J64" s="1">
        <v>-0.016436730988572</v>
      </c>
      <c r="K64" s="1">
        <v>0.034797638954399</v>
      </c>
      <c r="L64" s="1">
        <v>-0.66421683930808</v>
      </c>
      <c r="M64" s="1">
        <v>-0.66740506292592</v>
      </c>
      <c r="N64" s="1">
        <v>589.94046680318</v>
      </c>
      <c r="O64" s="1">
        <v>663.70268115131</v>
      </c>
    </row>
    <row r="65" spans="1:15">
      <c r="A65" s="1">
        <v>12.006684939098</v>
      </c>
      <c r="B65" s="1">
        <v>0.035559957978971</v>
      </c>
      <c r="C65" s="1">
        <v>92.690993296811</v>
      </c>
      <c r="D65" s="1">
        <v>0.037688565345824</v>
      </c>
      <c r="E65" s="1">
        <v>-6.7332438491042</v>
      </c>
      <c r="F65" s="1">
        <v>-2.2875631763058</v>
      </c>
      <c r="G65" s="1">
        <v>9950039.0057948</v>
      </c>
      <c r="H65" s="1">
        <v>14391774.228986</v>
      </c>
      <c r="I65" s="1">
        <v>-0.017436025088661</v>
      </c>
      <c r="J65" s="1">
        <v>-0.016718881886136</v>
      </c>
      <c r="K65" s="1">
        <v>0.035376637667764</v>
      </c>
      <c r="L65" s="1">
        <v>-0.67772526000461</v>
      </c>
      <c r="M65" s="1">
        <v>-0.68090571912137</v>
      </c>
      <c r="N65" s="1">
        <v>590.87143943378</v>
      </c>
      <c r="O65" s="1">
        <v>664.87471554664</v>
      </c>
    </row>
    <row r="66" spans="1:15">
      <c r="A66" s="1">
        <v>12.206684939098</v>
      </c>
      <c r="B66" s="1">
        <v>0.036183314748962</v>
      </c>
      <c r="C66" s="1">
        <v>92.690696995956</v>
      </c>
      <c r="D66" s="1">
        <v>0.038317357395649</v>
      </c>
      <c r="E66" s="1">
        <v>-6.7339127412583</v>
      </c>
      <c r="F66" s="1">
        <v>-2.2882173561465</v>
      </c>
      <c r="G66" s="1">
        <v>9985062.8047991</v>
      </c>
      <c r="H66" s="1">
        <v>14583959.68829</v>
      </c>
      <c r="I66" s="1">
        <v>-0.017731012236489</v>
      </c>
      <c r="J66" s="1">
        <v>-0.017000858356872</v>
      </c>
      <c r="K66" s="1">
        <v>0.035955296591441</v>
      </c>
      <c r="L66" s="1">
        <v>-0.69096661136145</v>
      </c>
      <c r="M66" s="1">
        <v>-0.69414550639463</v>
      </c>
      <c r="N66" s="1">
        <v>591.79684694609</v>
      </c>
      <c r="O66" s="1">
        <v>666.03903187372</v>
      </c>
    </row>
    <row r="67" spans="1:15">
      <c r="A67" s="1">
        <v>12.406684939098</v>
      </c>
      <c r="B67" s="1">
        <v>0.036806582910643</v>
      </c>
      <c r="C67" s="1">
        <v>92.69040064702</v>
      </c>
      <c r="D67" s="1">
        <v>0.038946059484307</v>
      </c>
      <c r="E67" s="1">
        <v>-6.7496471543363</v>
      </c>
      <c r="F67" s="1">
        <v>-2.2929387012451</v>
      </c>
      <c r="G67" s="1">
        <v>10020064.957366</v>
      </c>
      <c r="H67" s="1">
        <v>14776195.193645</v>
      </c>
      <c r="I67" s="1">
        <v>-0.018025845623965</v>
      </c>
      <c r="J67" s="1">
        <v>-0.017282661769158</v>
      </c>
      <c r="K67" s="1">
        <v>0.036533616138241</v>
      </c>
      <c r="L67" s="1">
        <v>-0.70435191468187</v>
      </c>
      <c r="M67" s="1">
        <v>-0.70753173942902</v>
      </c>
      <c r="N67" s="1">
        <v>592.71666472428</v>
      </c>
      <c r="O67" s="1">
        <v>667.19610225709</v>
      </c>
    </row>
    <row r="68" spans="1:15">
      <c r="A68" s="1">
        <v>12.606684939098</v>
      </c>
      <c r="B68" s="1">
        <v>0.037429764865077</v>
      </c>
      <c r="C68" s="1">
        <v>92.690090747458</v>
      </c>
      <c r="D68" s="1">
        <v>0.039574674202209</v>
      </c>
      <c r="E68" s="1">
        <v>-6.7656338813336</v>
      </c>
      <c r="F68" s="1">
        <v>-2.3089132220617</v>
      </c>
      <c r="G68" s="1">
        <v>10055044.854309</v>
      </c>
      <c r="H68" s="1">
        <v>14968475.817245</v>
      </c>
      <c r="I68" s="1">
        <v>-0.018320524806653</v>
      </c>
      <c r="J68" s="1">
        <v>-0.017564292218496</v>
      </c>
      <c r="K68" s="1">
        <v>0.037111596702611</v>
      </c>
      <c r="L68" s="1">
        <v>-0.7177839933944</v>
      </c>
      <c r="M68" s="1">
        <v>-0.72096066851244</v>
      </c>
      <c r="N68" s="1">
        <v>593.63104195557</v>
      </c>
      <c r="O68" s="1">
        <v>668.34602547591</v>
      </c>
    </row>
    <row r="69" spans="1:15">
      <c r="A69" s="1">
        <v>12.806684939098</v>
      </c>
      <c r="B69" s="1">
        <v>0.038052863563492</v>
      </c>
      <c r="C69" s="1">
        <v>92.689783404988</v>
      </c>
      <c r="D69" s="1">
        <v>0.040203204126495</v>
      </c>
      <c r="E69" s="1">
        <v>-6.7594402540675</v>
      </c>
      <c r="F69" s="1">
        <v>-2.3136826176502</v>
      </c>
      <c r="G69" s="1">
        <v>10090001.925568</v>
      </c>
      <c r="H69" s="1">
        <v>15160796.843057</v>
      </c>
      <c r="I69" s="1">
        <v>-0.018615049867747</v>
      </c>
      <c r="J69" s="1">
        <v>-0.017845749586525</v>
      </c>
      <c r="K69" s="1">
        <v>0.037689238691599</v>
      </c>
      <c r="L69" s="1">
        <v>-0.73122543690957</v>
      </c>
      <c r="M69" s="1">
        <v>-0.73439945672748</v>
      </c>
      <c r="N69" s="1">
        <v>594.54011077537</v>
      </c>
      <c r="O69" s="1">
        <v>669.48902249378</v>
      </c>
    </row>
    <row r="70" spans="1:15">
      <c r="A70" s="1">
        <v>13.006684939098</v>
      </c>
      <c r="B70" s="1">
        <v>0.038675880919168</v>
      </c>
      <c r="C70" s="1">
        <v>92.689474175801</v>
      </c>
      <c r="D70" s="1">
        <v>0.040831651976429</v>
      </c>
      <c r="E70" s="1">
        <v>-6.7973990162324</v>
      </c>
      <c r="F70" s="1">
        <v>-2.3186773256687</v>
      </c>
      <c r="G70" s="1">
        <v>10124935.565998</v>
      </c>
      <c r="H70" s="1">
        <v>15353153.387145</v>
      </c>
      <c r="I70" s="1">
        <v>-0.018909420890274</v>
      </c>
      <c r="J70" s="1">
        <v>-0.018127034020216</v>
      </c>
      <c r="K70" s="1">
        <v>0.038266542499368</v>
      </c>
      <c r="L70" s="1">
        <v>-0.74472320900144</v>
      </c>
      <c r="M70" s="1">
        <v>-0.74789391742035</v>
      </c>
      <c r="N70" s="1">
        <v>595.44404888698</v>
      </c>
      <c r="O70" s="1">
        <v>670.62533765715</v>
      </c>
    </row>
    <row r="71" spans="1:15">
      <c r="A71" s="1">
        <v>13.206684939098</v>
      </c>
      <c r="B71" s="1">
        <v>0.039298819752404</v>
      </c>
      <c r="C71" s="1">
        <v>92.689162016387</v>
      </c>
      <c r="D71" s="1">
        <v>0.041460020294712</v>
      </c>
      <c r="E71" s="1">
        <v>-6.8087242226914</v>
      </c>
      <c r="F71" s="1">
        <v>-2.3165806902408</v>
      </c>
      <c r="G71" s="1">
        <v>10159845.246416</v>
      </c>
      <c r="H71" s="1">
        <v>15545540.991439</v>
      </c>
      <c r="I71" s="1">
        <v>-0.01920363844383</v>
      </c>
      <c r="J71" s="1">
        <v>-0.018408144926523</v>
      </c>
      <c r="K71" s="1">
        <v>0.03884350852883</v>
      </c>
      <c r="L71" s="1">
        <v>-0.75820226085234</v>
      </c>
      <c r="M71" s="1">
        <v>-0.76137055256889</v>
      </c>
      <c r="N71" s="1">
        <v>596.34290423235</v>
      </c>
      <c r="O71" s="1">
        <v>671.75502316503</v>
      </c>
    </row>
    <row r="72" spans="1:15">
      <c r="A72" s="1">
        <v>13.406684939098</v>
      </c>
      <c r="B72" s="1">
        <v>0.039921683060794</v>
      </c>
      <c r="C72" s="1">
        <v>92.688800758671</v>
      </c>
      <c r="D72" s="1">
        <v>0.04208831201962</v>
      </c>
      <c r="E72" s="1">
        <v>-6.87044376652</v>
      </c>
      <c r="F72" s="1">
        <v>-2.3233891301378</v>
      </c>
      <c r="G72" s="1">
        <v>10194730.418868</v>
      </c>
      <c r="H72" s="1">
        <v>15737955.122365</v>
      </c>
      <c r="I72" s="1">
        <v>-0.01949770298822</v>
      </c>
      <c r="J72" s="1">
        <v>-0.018689082806185</v>
      </c>
      <c r="K72" s="1">
        <v>0.0394201371733</v>
      </c>
      <c r="L72" s="1">
        <v>-0.77176853130338</v>
      </c>
      <c r="M72" s="1">
        <v>-0.77493410369213</v>
      </c>
      <c r="N72" s="1">
        <v>597.23661260121</v>
      </c>
      <c r="O72" s="1">
        <v>672.87816679217</v>
      </c>
    </row>
    <row r="73" spans="1:15">
      <c r="A73" s="1">
        <v>13.606684939098</v>
      </c>
      <c r="B73" s="1">
        <v>0.040544472774758</v>
      </c>
      <c r="C73" s="1">
        <v>92.688469378734</v>
      </c>
      <c r="D73" s="1">
        <v>0.04271652938072</v>
      </c>
      <c r="E73" s="1">
        <v>-6.8601092014425</v>
      </c>
      <c r="F73" s="1">
        <v>-2.3240511109814</v>
      </c>
      <c r="G73" s="1">
        <v>10229590.495526</v>
      </c>
      <c r="H73" s="1">
        <v>15930391.034604</v>
      </c>
      <c r="I73" s="1">
        <v>-0.019791614591869</v>
      </c>
      <c r="J73" s="1">
        <v>-0.018969846730576</v>
      </c>
      <c r="K73" s="1">
        <v>0.039996428827478</v>
      </c>
      <c r="L73" s="1">
        <v>-0.78528840553749</v>
      </c>
      <c r="M73" s="1">
        <v>-0.78844870868908</v>
      </c>
      <c r="N73" s="1">
        <v>598.12551433466</v>
      </c>
      <c r="O73" s="1">
        <v>673.99506567685</v>
      </c>
    </row>
    <row r="74" spans="1:15">
      <c r="A74" s="1">
        <v>13.806684939098</v>
      </c>
      <c r="B74" s="1">
        <v>0.041167192248824</v>
      </c>
      <c r="C74" s="1">
        <v>92.688144922684</v>
      </c>
      <c r="D74" s="1">
        <v>0.043344675347822</v>
      </c>
      <c r="E74" s="1">
        <v>-6.9047042816452</v>
      </c>
      <c r="F74" s="1">
        <v>-2.313727695683</v>
      </c>
      <c r="G74" s="1">
        <v>10264424.96778</v>
      </c>
      <c r="H74" s="1">
        <v>16122844.430949</v>
      </c>
      <c r="I74" s="1">
        <v>-0.020085373620063</v>
      </c>
      <c r="J74" s="1">
        <v>-0.019250437327538</v>
      </c>
      <c r="K74" s="1">
        <v>0.040572383884598</v>
      </c>
      <c r="L74" s="1">
        <v>-0.79885390636549</v>
      </c>
      <c r="M74" s="1">
        <v>-0.80201767118771</v>
      </c>
      <c r="N74" s="1">
        <v>599.00952341033</v>
      </c>
      <c r="O74" s="1">
        <v>675.10578029492</v>
      </c>
    </row>
    <row r="75" spans="1:15">
      <c r="A75" s="1">
        <v>14.006684939098</v>
      </c>
      <c r="B75" s="1">
        <v>0.041789843547895</v>
      </c>
      <c r="C75" s="1">
        <v>92.687829724907</v>
      </c>
      <c r="D75" s="1">
        <v>0.043972752572963</v>
      </c>
      <c r="E75" s="1">
        <v>-6.9053521570791</v>
      </c>
      <c r="F75" s="1">
        <v>-2.314391543615</v>
      </c>
      <c r="G75" s="1">
        <v>10299233.31052</v>
      </c>
      <c r="H75" s="1">
        <v>16315310.897903</v>
      </c>
      <c r="I75" s="1">
        <v>-0.020378980775265</v>
      </c>
      <c r="J75" s="1">
        <v>-0.019530854777854</v>
      </c>
      <c r="K75" s="1">
        <v>0.041148002739911</v>
      </c>
      <c r="L75" s="1">
        <v>-0.81265072586438</v>
      </c>
      <c r="M75" s="1">
        <v>-0.81579744924707</v>
      </c>
      <c r="N75" s="1">
        <v>599.88876597492</v>
      </c>
      <c r="O75" s="1">
        <v>676.21068973323</v>
      </c>
    </row>
    <row r="76" spans="1:15">
      <c r="A76" s="1">
        <v>14.206684939098</v>
      </c>
      <c r="B76" s="1">
        <v>0.042412429492534</v>
      </c>
      <c r="C76" s="1">
        <v>92.687479522642</v>
      </c>
      <c r="D76" s="1">
        <v>0.044600762853398</v>
      </c>
      <c r="E76" s="1">
        <v>-6.9362935140501</v>
      </c>
      <c r="F76" s="1">
        <v>-2.3318974253131</v>
      </c>
      <c r="G76" s="1">
        <v>10334015.054048</v>
      </c>
      <c r="H76" s="1">
        <v>16507786.356633</v>
      </c>
      <c r="I76" s="1">
        <v>-0.020672434779308</v>
      </c>
      <c r="J76" s="1">
        <v>-0.019811098274765</v>
      </c>
      <c r="K76" s="1">
        <v>0.041723285781915</v>
      </c>
      <c r="L76" s="1">
        <v>-0.82617594812795</v>
      </c>
      <c r="M76" s="1">
        <v>-0.82931694708951</v>
      </c>
      <c r="N76" s="1">
        <v>600.76340677167</v>
      </c>
      <c r="O76" s="1">
        <v>677.30952320031</v>
      </c>
    </row>
    <row r="77" spans="1:15">
      <c r="A77" s="1">
        <v>14.406684939098</v>
      </c>
      <c r="B77" s="1">
        <v>0.043034952038278</v>
      </c>
      <c r="C77" s="1">
        <v>92.687137272686</v>
      </c>
      <c r="D77" s="1">
        <v>0.045228709041104</v>
      </c>
      <c r="E77" s="1">
        <v>-6.9410287616405</v>
      </c>
      <c r="F77" s="1">
        <v>-2.3256640988163</v>
      </c>
      <c r="G77" s="1">
        <v>10368769.699545</v>
      </c>
      <c r="H77" s="1">
        <v>16700266.574178</v>
      </c>
      <c r="I77" s="1">
        <v>-0.020965736645912</v>
      </c>
      <c r="J77" s="1">
        <v>-0.020091168816036</v>
      </c>
      <c r="K77" s="1">
        <v>0.042298233400371</v>
      </c>
      <c r="L77" s="1">
        <v>-0.83979172389534</v>
      </c>
      <c r="M77" s="1">
        <v>-0.84295323623853</v>
      </c>
      <c r="N77" s="1">
        <v>601.63343889269</v>
      </c>
      <c r="O77" s="1">
        <v>678.40267993525</v>
      </c>
    </row>
    <row r="78" spans="1:15">
      <c r="A78" s="1">
        <v>14.606684939098</v>
      </c>
      <c r="B78" s="1">
        <v>0.043657413771441</v>
      </c>
      <c r="C78" s="1">
        <v>92.686778588225</v>
      </c>
      <c r="D78" s="1">
        <v>0.04585659352399</v>
      </c>
      <c r="E78" s="1">
        <v>-6.9572012286437</v>
      </c>
      <c r="F78" s="1">
        <v>-2.3391770242606</v>
      </c>
      <c r="G78" s="1">
        <v>10403496.815348</v>
      </c>
      <c r="H78" s="1">
        <v>16892747.650781</v>
      </c>
      <c r="I78" s="1">
        <v>-0.021258887177882</v>
      </c>
      <c r="J78" s="1">
        <v>-0.020371065694425</v>
      </c>
      <c r="K78" s="1">
        <v>0.042872845983996</v>
      </c>
      <c r="L78" s="1">
        <v>-0.85353814709714</v>
      </c>
      <c r="M78" s="1">
        <v>-0.85666852927592</v>
      </c>
      <c r="N78" s="1">
        <v>602.49900000742</v>
      </c>
      <c r="O78" s="1">
        <v>679.49038466647</v>
      </c>
    </row>
    <row r="79" spans="1:15">
      <c r="A79" s="1">
        <v>14.806684939098</v>
      </c>
      <c r="B79" s="1">
        <v>0.044279816901556</v>
      </c>
      <c r="C79" s="1">
        <v>92.686409553153</v>
      </c>
      <c r="D79" s="1">
        <v>0.046484418395088</v>
      </c>
      <c r="E79" s="1">
        <v>-7.0270804523199</v>
      </c>
      <c r="F79" s="1">
        <v>-2.3431611762652</v>
      </c>
      <c r="G79" s="1">
        <v>10438195.958741</v>
      </c>
      <c r="H79" s="1">
        <v>17085225.682501</v>
      </c>
      <c r="I79" s="1">
        <v>-0.02155188538387</v>
      </c>
      <c r="J79" s="1">
        <v>-0.020650789614983</v>
      </c>
      <c r="K79" s="1">
        <v>0.043447123915006</v>
      </c>
      <c r="L79" s="1">
        <v>-0.86722057960809</v>
      </c>
      <c r="M79" s="1">
        <v>-0.87037874572594</v>
      </c>
      <c r="N79" s="1">
        <v>603.36012196707</v>
      </c>
      <c r="O79" s="1">
        <v>680.57251741927</v>
      </c>
    </row>
    <row r="80" spans="1:15">
      <c r="A80" s="1">
        <v>15.006684939098</v>
      </c>
      <c r="B80" s="1">
        <v>0.04490216311796</v>
      </c>
      <c r="C80" s="1">
        <v>92.686033449369</v>
      </c>
      <c r="D80" s="1">
        <v>0.047112185819511</v>
      </c>
      <c r="E80" s="1">
        <v>-7.0432914577276</v>
      </c>
      <c r="F80" s="1">
        <v>-2.3373677169547</v>
      </c>
      <c r="G80" s="1">
        <v>10472866.694609</v>
      </c>
      <c r="H80" s="1">
        <v>17277696.772829</v>
      </c>
      <c r="I80" s="1">
        <v>-0.021844732486621</v>
      </c>
      <c r="J80" s="1">
        <v>-0.02093033970409</v>
      </c>
      <c r="K80" s="1">
        <v>0.044021067579529</v>
      </c>
      <c r="L80" s="1">
        <v>-0.88097953800184</v>
      </c>
      <c r="M80" s="1">
        <v>-0.88409917085973</v>
      </c>
      <c r="N80" s="1">
        <v>604.21698690126</v>
      </c>
      <c r="O80" s="1">
        <v>681.6494311061</v>
      </c>
    </row>
    <row r="81" spans="1:15">
      <c r="A81" s="1">
        <v>15.206684939098</v>
      </c>
      <c r="B81" s="1">
        <v>0.045524454659626</v>
      </c>
      <c r="C81" s="1">
        <v>92.68567616648</v>
      </c>
      <c r="D81" s="1">
        <v>0.047739897762774</v>
      </c>
      <c r="E81" s="1">
        <v>-7.0659208073251</v>
      </c>
      <c r="F81" s="1">
        <v>-2.3490431656019</v>
      </c>
      <c r="G81" s="1">
        <v>10507508.628944</v>
      </c>
      <c r="H81" s="1">
        <v>17470157.275776</v>
      </c>
      <c r="I81" s="1">
        <v>-0.02213742789789</v>
      </c>
      <c r="J81" s="1">
        <v>-0.021209716750948</v>
      </c>
      <c r="K81" s="1">
        <v>0.044594677363423</v>
      </c>
      <c r="L81" s="1">
        <v>-0.89472071523793</v>
      </c>
      <c r="M81" s="1">
        <v>-0.89786547424845</v>
      </c>
      <c r="N81" s="1">
        <v>605.06962503429</v>
      </c>
      <c r="O81" s="1">
        <v>682.7211196586</v>
      </c>
    </row>
    <row r="82" spans="1:15">
      <c r="A82" s="1">
        <v>15.406684939098</v>
      </c>
      <c r="B82" s="1">
        <v>0.046146693980744</v>
      </c>
      <c r="C82" s="1">
        <v>92.685318254187</v>
      </c>
      <c r="D82" s="1">
        <v>0.048367556533306</v>
      </c>
      <c r="E82" s="1">
        <v>-7.1036641630507</v>
      </c>
      <c r="F82" s="1">
        <v>-2.3538590621315</v>
      </c>
      <c r="G82" s="1">
        <v>10542121.439386</v>
      </c>
      <c r="H82" s="1">
        <v>17662603.916358</v>
      </c>
      <c r="I82" s="1">
        <v>-0.022429972762028</v>
      </c>
      <c r="J82" s="1">
        <v>-0.021488920428172</v>
      </c>
      <c r="K82" s="1">
        <v>0.045167953649845</v>
      </c>
      <c r="L82" s="1">
        <v>-0.90855542960297</v>
      </c>
      <c r="M82" s="1">
        <v>-0.9116704150895</v>
      </c>
      <c r="N82" s="1">
        <v>605.91793283583</v>
      </c>
      <c r="O82" s="1">
        <v>683.78758237215</v>
      </c>
    </row>
    <row r="83" spans="1:15">
      <c r="A83" s="1">
        <v>15.606684939098</v>
      </c>
      <c r="B83" s="1">
        <v>0.046768882351158</v>
      </c>
      <c r="C83" s="1">
        <v>92.684966449775</v>
      </c>
      <c r="D83" s="1">
        <v>0.048995163841548</v>
      </c>
      <c r="E83" s="1">
        <v>-7.1153049376995</v>
      </c>
      <c r="F83" s="1">
        <v>-2.3435636553745</v>
      </c>
      <c r="G83" s="1">
        <v>10576704.691796</v>
      </c>
      <c r="H83" s="1">
        <v>17855032.852169</v>
      </c>
      <c r="I83" s="1">
        <v>-0.022722366467749</v>
      </c>
      <c r="J83" s="1">
        <v>-0.021767950759381</v>
      </c>
      <c r="K83" s="1">
        <v>0.045740896822666</v>
      </c>
      <c r="L83" s="1">
        <v>-0.9223302885601</v>
      </c>
      <c r="M83" s="1">
        <v>-0.92545922856764</v>
      </c>
      <c r="N83" s="1">
        <v>606.76216691113</v>
      </c>
      <c r="O83" s="1">
        <v>684.84899274388</v>
      </c>
    </row>
    <row r="84" spans="1:15">
      <c r="A84" s="1">
        <v>15.806684939098</v>
      </c>
      <c r="B84" s="1">
        <v>0.047391022013475</v>
      </c>
      <c r="C84" s="1">
        <v>92.684617034318</v>
      </c>
      <c r="D84" s="1">
        <v>0.049622721929282</v>
      </c>
      <c r="E84" s="1">
        <v>-7.10497157459</v>
      </c>
      <c r="F84" s="1">
        <v>-2.3442550219947</v>
      </c>
      <c r="G84" s="1">
        <v>10611258.052073</v>
      </c>
      <c r="H84" s="1">
        <v>18047440.769494</v>
      </c>
      <c r="I84" s="1">
        <v>-0.023014610457061</v>
      </c>
      <c r="J84" s="1">
        <v>-0.022046807336878</v>
      </c>
      <c r="K84" s="1">
        <v>0.046313507264808</v>
      </c>
      <c r="L84" s="1">
        <v>-0.93622486083247</v>
      </c>
      <c r="M84" s="1">
        <v>-0.93933151415817</v>
      </c>
      <c r="N84" s="1">
        <v>607.60229826154</v>
      </c>
      <c r="O84" s="1">
        <v>685.90549293435</v>
      </c>
    </row>
    <row r="85" spans="1:15">
      <c r="A85" s="1">
        <v>16.006684939098</v>
      </c>
      <c r="B85" s="1">
        <v>0.04801311496283</v>
      </c>
      <c r="C85" s="1">
        <v>92.684260580079</v>
      </c>
      <c r="D85" s="1">
        <v>0.050250232481519</v>
      </c>
      <c r="E85" s="1">
        <v>-7.1377188644389</v>
      </c>
      <c r="F85" s="1">
        <v>-2.3330968305448</v>
      </c>
      <c r="G85" s="1">
        <v>10645781.15712</v>
      </c>
      <c r="H85" s="1">
        <v>18239824.211084</v>
      </c>
      <c r="I85" s="1">
        <v>-0.023306704185783</v>
      </c>
      <c r="J85" s="1">
        <v>-0.022325490174518</v>
      </c>
      <c r="K85" s="1">
        <v>0.046885785362217</v>
      </c>
      <c r="L85" s="1">
        <v>-0.95007559160625</v>
      </c>
      <c r="M85" s="1">
        <v>-0.95319386652264</v>
      </c>
      <c r="N85" s="1">
        <v>608.43849594959</v>
      </c>
      <c r="O85" s="1">
        <v>686.95716577606</v>
      </c>
    </row>
    <row r="86" spans="1:15">
      <c r="A86" s="1">
        <v>16.206684939098</v>
      </c>
      <c r="B86" s="1">
        <v>0.048635163974773</v>
      </c>
      <c r="C86" s="1">
        <v>92.683908124781</v>
      </c>
      <c r="D86" s="1">
        <v>0.050877697658962</v>
      </c>
      <c r="E86" s="1">
        <v>-7.1451769950112</v>
      </c>
      <c r="F86" s="1">
        <v>-2.326973627378</v>
      </c>
      <c r="G86" s="1">
        <v>10680273.74271</v>
      </c>
      <c r="H86" s="1">
        <v>18432180.26173</v>
      </c>
      <c r="I86" s="1">
        <v>-0.023598648808457</v>
      </c>
      <c r="J86" s="1">
        <v>-0.022603998884336</v>
      </c>
      <c r="K86" s="1">
        <v>0.047457731493199</v>
      </c>
      <c r="L86" s="1">
        <v>-0.96393635930383</v>
      </c>
      <c r="M86" s="1">
        <v>-0.96703424413161</v>
      </c>
      <c r="N86" s="1">
        <v>609.27061448739</v>
      </c>
      <c r="O86" s="1">
        <v>688.00393362371</v>
      </c>
    </row>
    <row r="87" spans="1:15">
      <c r="A87" s="1">
        <v>16.406684939098</v>
      </c>
      <c r="B87" s="1">
        <v>0.04925716976443</v>
      </c>
      <c r="C87" s="1">
        <v>92.683557551491</v>
      </c>
      <c r="D87" s="1">
        <v>0.051505119401816</v>
      </c>
      <c r="E87" s="1">
        <v>-7.1568099990375</v>
      </c>
      <c r="F87" s="1">
        <v>-2.3276656665404</v>
      </c>
      <c r="G87" s="1">
        <v>10714735.424427</v>
      </c>
      <c r="H87" s="1">
        <v>18624505.35806</v>
      </c>
      <c r="I87" s="1">
        <v>-0.023890444591714</v>
      </c>
      <c r="J87" s="1">
        <v>-0.022882333684896</v>
      </c>
      <c r="K87" s="1">
        <v>0.048029346048556</v>
      </c>
      <c r="L87" s="1">
        <v>-0.97790380833572</v>
      </c>
      <c r="M87" s="1">
        <v>-0.98101134281021</v>
      </c>
      <c r="N87" s="1">
        <v>610.09887853629</v>
      </c>
      <c r="O87" s="1">
        <v>689.04615740857</v>
      </c>
    </row>
    <row r="88" spans="1:15">
      <c r="A88" s="1">
        <v>16.606684939098</v>
      </c>
      <c r="B88" s="1">
        <v>0.04987913490613</v>
      </c>
      <c r="C88" s="1">
        <v>92.683197276002</v>
      </c>
      <c r="D88" s="1">
        <v>0.052132499280533</v>
      </c>
      <c r="E88" s="1">
        <v>-7.16153490576</v>
      </c>
      <c r="F88" s="1">
        <v>-2.3214498268682</v>
      </c>
      <c r="G88" s="1">
        <v>10749165.932019</v>
      </c>
      <c r="H88" s="1">
        <v>18816796.563771</v>
      </c>
      <c r="I88" s="1">
        <v>-0.024182091704951</v>
      </c>
      <c r="J88" s="1">
        <v>-0.023160493646089</v>
      </c>
      <c r="K88" s="1">
        <v>0.048600629409533</v>
      </c>
      <c r="L88" s="1">
        <v>-0.99176999488593</v>
      </c>
      <c r="M88" s="1">
        <v>-0.99486694076238</v>
      </c>
      <c r="N88" s="1">
        <v>610.92334580895</v>
      </c>
      <c r="O88" s="1">
        <v>690.08369197643</v>
      </c>
    </row>
    <row r="89" spans="1:15">
      <c r="A89" s="1">
        <v>16.806684939098</v>
      </c>
      <c r="B89" s="1">
        <v>0.050501061521153</v>
      </c>
      <c r="C89" s="1">
        <v>92.682818692445</v>
      </c>
      <c r="D89" s="1">
        <v>0.052759839757961</v>
      </c>
      <c r="E89" s="1">
        <v>-7.1324545887848</v>
      </c>
      <c r="F89" s="1">
        <v>-2.3143887163068</v>
      </c>
      <c r="G89" s="1">
        <v>10783565.011097</v>
      </c>
      <c r="H89" s="1">
        <v>19009051.023844</v>
      </c>
      <c r="I89" s="1">
        <v>-0.02447359122829</v>
      </c>
      <c r="J89" s="1">
        <v>-0.023438479977831</v>
      </c>
      <c r="K89" s="1">
        <v>0.049171581958395</v>
      </c>
      <c r="L89" s="1">
        <v>-1.0058787094066</v>
      </c>
      <c r="M89" s="1">
        <v>-1.0089790964425</v>
      </c>
      <c r="N89" s="1">
        <v>611.74384364476</v>
      </c>
      <c r="O89" s="1">
        <v>691.11673509469</v>
      </c>
    </row>
    <row r="90" spans="1:15">
      <c r="A90" s="1">
        <v>17</v>
      </c>
      <c r="B90" s="1">
        <v>0.051102025496315</v>
      </c>
      <c r="C90" s="1">
        <v>92.68244810882</v>
      </c>
      <c r="D90" s="1">
        <v>0.053366158738798</v>
      </c>
      <c r="E90" s="1">
        <v>-7.1210490688936</v>
      </c>
      <c r="F90" s="1">
        <v>-2.3140185531522</v>
      </c>
      <c r="G90" s="1">
        <v>10816776.2259</v>
      </c>
      <c r="H90" s="1">
        <v>19194797.897239</v>
      </c>
      <c r="I90" s="1">
        <v>-0.024755177810187</v>
      </c>
      <c r="J90" s="1">
        <v>-0.023706981711967</v>
      </c>
      <c r="K90" s="1">
        <v>0.049723136629415</v>
      </c>
      <c r="L90" s="1">
        <v>-1.0185557297844</v>
      </c>
      <c r="M90" s="1">
        <v>-1.0216631851893</v>
      </c>
      <c r="N90" s="1">
        <v>612.56029822401</v>
      </c>
      <c r="O90" s="1">
        <v>692.13743675384</v>
      </c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workbookViewId="0">
      <selection activeCell="K1" sqref="N$1:N$1048576 K$1:K$1048576"/>
    </sheetView>
  </sheetViews>
  <sheetFormatPr defaultColWidth="8.81333333333333" defaultRowHeight="15"/>
  <sheetData>
    <row r="1" spans="1: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>
        <v>0.0025830812468784</v>
      </c>
      <c r="B3" s="2">
        <v>8.525630025307e-31</v>
      </c>
      <c r="C3" s="1">
        <v>92.681600980564</v>
      </c>
      <c r="D3" s="2">
        <v>6.9508990719297e-6</v>
      </c>
      <c r="E3" s="1">
        <v>-5.6421872502911</v>
      </c>
      <c r="F3" s="1">
        <v>-2.7149682087118</v>
      </c>
      <c r="G3" s="1">
        <v>8000000</v>
      </c>
      <c r="H3" s="1">
        <v>4000000</v>
      </c>
      <c r="I3" s="2">
        <v>-2.0433864859172e-6</v>
      </c>
      <c r="J3" s="2">
        <v>-1.9660871509009e-6</v>
      </c>
      <c r="K3" s="2">
        <v>7.7492134578107e-6</v>
      </c>
      <c r="L3" s="2">
        <v>-1.1119093595023e-7</v>
      </c>
      <c r="M3" s="2">
        <v>-1.150337785622e-7</v>
      </c>
      <c r="N3" s="1">
        <v>1.7879697504556</v>
      </c>
      <c r="O3" s="1">
        <v>1.846203064725</v>
      </c>
    </row>
    <row r="4" spans="1:15">
      <c r="A4" s="1">
        <v>0.018444056862426</v>
      </c>
      <c r="B4" s="2">
        <v>1.6385964483744e-27</v>
      </c>
      <c r="C4" s="1">
        <v>92.681720189147</v>
      </c>
      <c r="D4" s="2">
        <v>4.9633525884022e-5</v>
      </c>
      <c r="E4" s="1">
        <v>-5.642185707393</v>
      </c>
      <c r="F4" s="1">
        <v>-2.7148929229709</v>
      </c>
      <c r="G4" s="1">
        <v>8000000</v>
      </c>
      <c r="H4" s="1">
        <v>4000000</v>
      </c>
      <c r="I4" s="2">
        <v>-1.4592640912302e-5</v>
      </c>
      <c r="J4" s="2">
        <v>-1.4040592873946e-5</v>
      </c>
      <c r="K4" s="2">
        <v>5.5330626685958e-5</v>
      </c>
      <c r="L4" s="2">
        <v>-5.6653660498976e-6</v>
      </c>
      <c r="M4" s="2">
        <v>-5.8613548422036e-6</v>
      </c>
      <c r="N4" s="1">
        <v>12.770039448113</v>
      </c>
      <c r="O4" s="1">
        <v>13.185809131158</v>
      </c>
    </row>
    <row r="5" spans="1:15">
      <c r="A5" s="1">
        <v>0.1</v>
      </c>
      <c r="B5" s="2">
        <v>1.4152290607486e-20</v>
      </c>
      <c r="C5" s="1">
        <v>92.681567446992</v>
      </c>
      <c r="D5" s="1">
        <v>0.0002691570573158</v>
      </c>
      <c r="E5" s="1">
        <v>-5.8725034656756</v>
      </c>
      <c r="F5" s="1">
        <v>-3.0375271835084</v>
      </c>
      <c r="G5" s="1">
        <v>8000000</v>
      </c>
      <c r="H5" s="1">
        <v>4000000</v>
      </c>
      <c r="I5" s="2">
        <v>-7.9187548911166e-5</v>
      </c>
      <c r="J5" s="2">
        <v>-7.6191325065452e-5</v>
      </c>
      <c r="K5" s="1">
        <v>0.00029995462290753</v>
      </c>
      <c r="L5" s="1">
        <v>-0.00016497971332727</v>
      </c>
      <c r="M5" s="1">
        <v>-0.00017078925815582</v>
      </c>
      <c r="N5" s="1">
        <v>69.340806613095</v>
      </c>
      <c r="O5" s="1">
        <v>71.594049909846</v>
      </c>
    </row>
    <row r="6" spans="1:15">
      <c r="A6" s="1">
        <v>0.20668493909835</v>
      </c>
      <c r="B6" s="2">
        <v>1.9132784119051e-15</v>
      </c>
      <c r="C6" s="1">
        <v>92.687125651927</v>
      </c>
      <c r="D6" s="1">
        <v>0.00055644339803956</v>
      </c>
      <c r="E6" s="1">
        <v>-5.7350669915438</v>
      </c>
      <c r="F6" s="1">
        <v>-2.7166431578453</v>
      </c>
      <c r="G6" s="1">
        <v>8000000.0000001</v>
      </c>
      <c r="H6" s="1">
        <v>4000000.0000004</v>
      </c>
      <c r="I6" s="1">
        <v>-0.00016383382649901</v>
      </c>
      <c r="J6" s="1">
        <v>-0.00015763360959647</v>
      </c>
      <c r="K6" s="1">
        <v>0.00061986101542332</v>
      </c>
      <c r="L6" s="1">
        <v>-0.00070911440960219</v>
      </c>
      <c r="M6" s="1">
        <v>-0.0007337421534258</v>
      </c>
      <c r="N6" s="1">
        <v>143.5704118708</v>
      </c>
      <c r="O6" s="1">
        <v>148.22490383861</v>
      </c>
    </row>
    <row r="7" spans="1:15">
      <c r="A7" s="1">
        <v>0.40668493909835</v>
      </c>
      <c r="B7" s="2">
        <v>1.5114211467838e-9</v>
      </c>
      <c r="C7" s="1">
        <v>92.694619474947</v>
      </c>
      <c r="D7" s="1">
        <v>0.0010954285599108</v>
      </c>
      <c r="E7" s="1">
        <v>-6.0922488352186</v>
      </c>
      <c r="F7" s="1">
        <v>-2.5535047334199</v>
      </c>
      <c r="G7" s="1">
        <v>8000000.0591505</v>
      </c>
      <c r="H7" s="1">
        <v>4000000.3033836</v>
      </c>
      <c r="I7" s="1">
        <v>-0.00032305741715606</v>
      </c>
      <c r="J7" s="1">
        <v>-0.00031082618413838</v>
      </c>
      <c r="K7" s="1">
        <v>0.0012193047878076</v>
      </c>
      <c r="L7" s="1">
        <v>-0.0027502975312215</v>
      </c>
      <c r="M7" s="1">
        <v>-0.0028452901398206</v>
      </c>
      <c r="N7" s="1">
        <v>283.53695035663</v>
      </c>
      <c r="O7" s="1">
        <v>292.68595644994</v>
      </c>
    </row>
    <row r="8" spans="1:15">
      <c r="A8" s="1">
        <v>0.60668493909835</v>
      </c>
      <c r="B8" s="2">
        <v>1.7174299444693e-5</v>
      </c>
      <c r="C8" s="1">
        <v>92.700409430252</v>
      </c>
      <c r="D8" s="1">
        <v>0.0016375567159985</v>
      </c>
      <c r="E8" s="1">
        <v>-5.9118061389897</v>
      </c>
      <c r="F8" s="1">
        <v>-2.3399134902431</v>
      </c>
      <c r="G8" s="1">
        <v>8000671.1991725</v>
      </c>
      <c r="H8" s="1">
        <v>4003443.723837</v>
      </c>
      <c r="I8" s="1">
        <v>-0.00048656677852422</v>
      </c>
      <c r="J8" s="1">
        <v>-0.00046823365174054</v>
      </c>
      <c r="K8" s="1">
        <v>0.0018183865826422</v>
      </c>
      <c r="L8" s="1">
        <v>-0.0061934044218771</v>
      </c>
      <c r="M8" s="1">
        <v>-0.0064231435922983</v>
      </c>
      <c r="N8" s="1">
        <v>420.98472115967</v>
      </c>
      <c r="O8" s="1">
        <v>434.61779543109</v>
      </c>
    </row>
    <row r="9" spans="1:15">
      <c r="A9" s="1">
        <v>0.80668493909835</v>
      </c>
      <c r="B9" s="1">
        <v>0.00037332360445141</v>
      </c>
      <c r="C9" s="1">
        <v>92.700726100921</v>
      </c>
      <c r="D9" s="1">
        <v>0.0022233210297044</v>
      </c>
      <c r="E9" s="1">
        <v>-6.1326173226962</v>
      </c>
      <c r="F9" s="1">
        <v>-2.1845366262349</v>
      </c>
      <c r="G9" s="1">
        <v>8015067.2524737</v>
      </c>
      <c r="H9" s="1">
        <v>4077420.4948642</v>
      </c>
      <c r="I9" s="1">
        <v>-0.00071924384792679</v>
      </c>
      <c r="J9" s="1">
        <v>-0.0006905924618624</v>
      </c>
      <c r="K9" s="1">
        <v>0.0024171059610721</v>
      </c>
      <c r="L9" s="1">
        <v>-0.012292371431755</v>
      </c>
      <c r="M9" s="1">
        <v>-0.012853058871162</v>
      </c>
      <c r="N9" s="1">
        <v>492.90236863685</v>
      </c>
      <c r="O9" s="1">
        <v>511.84450485557</v>
      </c>
    </row>
    <row r="10" spans="1:15">
      <c r="A10" s="1">
        <v>1.0066849390983</v>
      </c>
      <c r="B10" s="1">
        <v>0.00098094186572404</v>
      </c>
      <c r="C10" s="1">
        <v>92.701090121824</v>
      </c>
      <c r="D10" s="1">
        <v>0.0028432552806564</v>
      </c>
      <c r="E10" s="1">
        <v>-6.2135142633615</v>
      </c>
      <c r="F10" s="1">
        <v>-2.1063756729594</v>
      </c>
      <c r="G10" s="1">
        <v>8041179.4419799</v>
      </c>
      <c r="H10" s="1">
        <v>4211897.4017266</v>
      </c>
      <c r="I10" s="1">
        <v>-0.0010050390112349</v>
      </c>
      <c r="J10" s="1">
        <v>-0.0009595687782316</v>
      </c>
      <c r="K10" s="1">
        <v>0.0030154585320424</v>
      </c>
      <c r="L10" s="1">
        <v>-0.021467217627369</v>
      </c>
      <c r="M10" s="1">
        <v>-0.022390121210947</v>
      </c>
      <c r="N10" s="1">
        <v>514.90940385745</v>
      </c>
      <c r="O10" s="1">
        <v>540.10823958962</v>
      </c>
    </row>
    <row r="11" spans="1:15">
      <c r="A11" s="1">
        <v>1.2066849390983</v>
      </c>
      <c r="B11" s="1">
        <v>0.001621134591845</v>
      </c>
      <c r="C11" s="1">
        <v>92.701294504824</v>
      </c>
      <c r="D11" s="1">
        <v>0.0034737169967129</v>
      </c>
      <c r="E11" s="1">
        <v>-6.2136435004098</v>
      </c>
      <c r="F11" s="1">
        <v>-2.1193786449345</v>
      </c>
      <c r="G11" s="1">
        <v>8070427.887837</v>
      </c>
      <c r="H11" s="1">
        <v>4362832.1087037</v>
      </c>
      <c r="I11" s="1">
        <v>-0.0013006894761822</v>
      </c>
      <c r="J11" s="1">
        <v>-0.0012389253475266</v>
      </c>
      <c r="K11" s="1">
        <v>0.0036134451421079</v>
      </c>
      <c r="L11" s="1">
        <v>-0.030236901901312</v>
      </c>
      <c r="M11" s="1">
        <v>-0.031691297568869</v>
      </c>
      <c r="N11" s="1">
        <v>526.59944086989</v>
      </c>
      <c r="O11" s="1">
        <v>557.8027826212</v>
      </c>
    </row>
    <row r="12" spans="1:15">
      <c r="A12" s="1">
        <v>1.4066849390983</v>
      </c>
      <c r="B12" s="1">
        <v>0.0022634239708659</v>
      </c>
      <c r="C12" s="1">
        <v>92.701334482569</v>
      </c>
      <c r="D12" s="1">
        <v>0.0041087118773992</v>
      </c>
      <c r="E12" s="1">
        <v>-6.2328353461811</v>
      </c>
      <c r="F12" s="1">
        <v>-2.1240097519145</v>
      </c>
      <c r="G12" s="1">
        <v>8101179.5489191</v>
      </c>
      <c r="H12" s="1">
        <v>4521789.7968552</v>
      </c>
      <c r="I12" s="1">
        <v>-0.0015992303995055</v>
      </c>
      <c r="J12" s="1">
        <v>-0.0015228361583578</v>
      </c>
      <c r="K12" s="1">
        <v>0.0042110663639724</v>
      </c>
      <c r="L12" s="1">
        <v>-0.039576570097946</v>
      </c>
      <c r="M12" s="1">
        <v>-0.041535124536899</v>
      </c>
      <c r="N12" s="1">
        <v>534.38345771774</v>
      </c>
      <c r="O12" s="1">
        <v>570.85171314917</v>
      </c>
    </row>
    <row r="13" spans="1:15">
      <c r="A13" s="1">
        <v>1.6066849390983</v>
      </c>
      <c r="B13" s="1">
        <v>0.0029040560856431</v>
      </c>
      <c r="C13" s="1">
        <v>92.701389940316</v>
      </c>
      <c r="D13" s="1">
        <v>0.0047460066816775</v>
      </c>
      <c r="E13" s="1">
        <v>-6.2159420652561</v>
      </c>
      <c r="F13" s="1">
        <v>-2.1535130855198</v>
      </c>
      <c r="G13" s="1">
        <v>8132911.8463156</v>
      </c>
      <c r="H13" s="1">
        <v>4686058.2398748</v>
      </c>
      <c r="I13" s="1">
        <v>-0.0018989541222061</v>
      </c>
      <c r="J13" s="1">
        <v>-0.0018093977767868</v>
      </c>
      <c r="K13" s="1">
        <v>0.0048083228968834</v>
      </c>
      <c r="L13" s="1">
        <v>-0.050028662464691</v>
      </c>
      <c r="M13" s="1">
        <v>-0.052308313226953</v>
      </c>
      <c r="N13" s="1">
        <v>540.05955627087</v>
      </c>
      <c r="O13" s="1">
        <v>580.94723559672</v>
      </c>
    </row>
    <row r="14" spans="1:15">
      <c r="A14" s="1">
        <v>1.8066849390983</v>
      </c>
      <c r="B14" s="1">
        <v>0.0035428141955658</v>
      </c>
      <c r="C14" s="1">
        <v>92.701361734323</v>
      </c>
      <c r="D14" s="1">
        <v>0.005384457276177</v>
      </c>
      <c r="E14" s="1">
        <v>-6.239092890788</v>
      </c>
      <c r="F14" s="1">
        <v>-2.1539416312018</v>
      </c>
      <c r="G14" s="1">
        <v>8165349.8246175</v>
      </c>
      <c r="H14" s="1">
        <v>4854210.2891329</v>
      </c>
      <c r="I14" s="1">
        <v>-0.0021991986760843</v>
      </c>
      <c r="J14" s="1">
        <v>-0.0020976271984114</v>
      </c>
      <c r="K14" s="1">
        <v>0.0054052159131171</v>
      </c>
      <c r="L14" s="1">
        <v>-0.060658953570008</v>
      </c>
      <c r="M14" s="1">
        <v>-0.063157490124398</v>
      </c>
      <c r="N14" s="1">
        <v>544.44390912221</v>
      </c>
      <c r="O14" s="1">
        <v>588.98440960966</v>
      </c>
    </row>
    <row r="15" spans="1:15">
      <c r="A15" s="1">
        <v>2.0066849390983</v>
      </c>
      <c r="B15" s="1">
        <v>0.0041799606869871</v>
      </c>
      <c r="C15" s="1">
        <v>92.701307376905</v>
      </c>
      <c r="D15" s="1">
        <v>0.0060233878271188</v>
      </c>
      <c r="E15" s="1">
        <v>-6.2318866657316</v>
      </c>
      <c r="F15" s="1">
        <v>-2.1627147914452</v>
      </c>
      <c r="G15" s="1">
        <v>8198311.8392642</v>
      </c>
      <c r="H15" s="1">
        <v>5025304.994177</v>
      </c>
      <c r="I15" s="1">
        <v>-0.0024997067400816</v>
      </c>
      <c r="J15" s="1">
        <v>-0.0023868659913548</v>
      </c>
      <c r="K15" s="1">
        <v>0.0060017464183872</v>
      </c>
      <c r="L15" s="1">
        <v>-0.071388502512162</v>
      </c>
      <c r="M15" s="1">
        <v>-0.074051246318173</v>
      </c>
      <c r="N15" s="1">
        <v>547.99419690281</v>
      </c>
      <c r="O15" s="1">
        <v>595.55375914351</v>
      </c>
    </row>
    <row r="16" spans="1:15">
      <c r="A16" s="1">
        <v>2.2066849390983</v>
      </c>
      <c r="B16" s="1">
        <v>0.0048158622355034</v>
      </c>
      <c r="C16" s="1">
        <v>92.701233813047</v>
      </c>
      <c r="D16" s="1">
        <v>0.0066624098312302</v>
      </c>
      <c r="E16" s="1">
        <v>-6.2246453697325</v>
      </c>
      <c r="F16" s="1">
        <v>-2.1715010239325</v>
      </c>
      <c r="G16" s="1">
        <v>8231664.4439427</v>
      </c>
      <c r="H16" s="1">
        <v>5198653.098686</v>
      </c>
      <c r="I16" s="1">
        <v>-0.00280034473653</v>
      </c>
      <c r="J16" s="1">
        <v>-0.0026766832691163</v>
      </c>
      <c r="K16" s="1">
        <v>0.0065979151361434</v>
      </c>
      <c r="L16" s="1">
        <v>-0.08232896327382</v>
      </c>
      <c r="M16" s="1">
        <v>-0.085107090490263</v>
      </c>
      <c r="N16" s="1">
        <v>550.99569912371</v>
      </c>
      <c r="O16" s="1">
        <v>601.08236537869</v>
      </c>
    </row>
    <row r="17" spans="1:15">
      <c r="A17" s="1">
        <v>2.4066849390983</v>
      </c>
      <c r="B17" s="1">
        <v>0.0054507807966229</v>
      </c>
      <c r="C17" s="1">
        <v>92.701141001265</v>
      </c>
      <c r="D17" s="1">
        <v>0.0073013108170072</v>
      </c>
      <c r="E17" s="1">
        <v>-6.2173290624529</v>
      </c>
      <c r="F17" s="1">
        <v>-2.1803503489695</v>
      </c>
      <c r="G17" s="1">
        <v>8265316.1617298</v>
      </c>
      <c r="H17" s="1">
        <v>5373782.3651837</v>
      </c>
      <c r="I17" s="1">
        <v>-0.0031010797271018</v>
      </c>
      <c r="J17" s="1">
        <v>-0.0029667690923504</v>
      </c>
      <c r="K17" s="1">
        <v>0.0071937226056726</v>
      </c>
      <c r="L17" s="1">
        <v>-0.093244892185992</v>
      </c>
      <c r="M17" s="1">
        <v>-0.096128284760729</v>
      </c>
      <c r="N17" s="1">
        <v>553.62240332135</v>
      </c>
      <c r="O17" s="1">
        <v>605.85388340255</v>
      </c>
    </row>
    <row r="18" spans="1:15">
      <c r="A18" s="1">
        <v>2.6066849390983</v>
      </c>
      <c r="B18" s="1">
        <v>0.0060848938591085</v>
      </c>
      <c r="C18" s="1">
        <v>92.701036629286</v>
      </c>
      <c r="D18" s="1">
        <v>0.0079399812601325</v>
      </c>
      <c r="E18" s="1">
        <v>-6.2210359688516</v>
      </c>
      <c r="F18" s="1">
        <v>-2.1891720583808</v>
      </c>
      <c r="G18" s="1">
        <v>8299204.027662</v>
      </c>
      <c r="H18" s="1">
        <v>5550367.6420186</v>
      </c>
      <c r="I18" s="1">
        <v>-0.0034018747638427</v>
      </c>
      <c r="J18" s="1">
        <v>-0.0032569516504605</v>
      </c>
      <c r="K18" s="1">
        <v>0.0077891692839505</v>
      </c>
      <c r="L18" s="1">
        <v>-0.1040842698391</v>
      </c>
      <c r="M18" s="1">
        <v>-0.10708389902128</v>
      </c>
      <c r="N18" s="1">
        <v>555.98119554991</v>
      </c>
      <c r="O18" s="1">
        <v>610.05496033405</v>
      </c>
    </row>
    <row r="19" spans="1:15">
      <c r="A19" s="1">
        <v>2.8066849390983</v>
      </c>
      <c r="B19" s="1">
        <v>0.006718332889843</v>
      </c>
      <c r="C19" s="1">
        <v>92.700919826956</v>
      </c>
      <c r="D19" s="1">
        <v>0.0085783613213005</v>
      </c>
      <c r="E19" s="1">
        <v>-6.2288446499817</v>
      </c>
      <c r="F19" s="1">
        <v>-2.1938846671196</v>
      </c>
      <c r="G19" s="1">
        <v>8333282.2866505</v>
      </c>
      <c r="H19" s="1">
        <v>5728172.6027892</v>
      </c>
      <c r="I19" s="1">
        <v>-0.0037026918220753</v>
      </c>
      <c r="J19" s="1">
        <v>-0.0035471338745921</v>
      </c>
      <c r="K19" s="1">
        <v>0.0083842556490617</v>
      </c>
      <c r="L19" s="1">
        <v>-0.11511208422151</v>
      </c>
      <c r="M19" s="1">
        <v>-0.11820481360507</v>
      </c>
      <c r="N19" s="1">
        <v>558.14227709757</v>
      </c>
      <c r="O19" s="1">
        <v>613.81746737979</v>
      </c>
    </row>
    <row r="20" spans="1:15">
      <c r="A20" s="1">
        <v>3.0066849390983</v>
      </c>
      <c r="B20" s="1">
        <v>0.0073511922317527</v>
      </c>
      <c r="C20" s="1">
        <v>92.700807207203</v>
      </c>
      <c r="D20" s="1">
        <v>0.009216419757854</v>
      </c>
      <c r="E20" s="1">
        <v>-6.2172819058667</v>
      </c>
      <c r="F20" s="1">
        <v>-2.2069622588437</v>
      </c>
      <c r="G20" s="1">
        <v>8367517.1428071</v>
      </c>
      <c r="H20" s="1">
        <v>5907022.5761143</v>
      </c>
      <c r="I20" s="1">
        <v>-0.0040035091372263</v>
      </c>
      <c r="J20" s="1">
        <v>-0.0038372467978647</v>
      </c>
      <c r="K20" s="1">
        <v>0.0089789822156913</v>
      </c>
      <c r="L20" s="1">
        <v>-0.12621626037398</v>
      </c>
      <c r="M20" s="1">
        <v>-0.12940318546574</v>
      </c>
      <c r="N20" s="1">
        <v>560.15253922386</v>
      </c>
      <c r="O20" s="1">
        <v>617.23483800564</v>
      </c>
    </row>
    <row r="21" spans="1:15">
      <c r="A21" s="1">
        <v>3.2066849390983</v>
      </c>
      <c r="B21" s="1">
        <v>0.0079823022342012</v>
      </c>
      <c r="C21" s="1">
        <v>92.700676798052</v>
      </c>
      <c r="D21" s="1">
        <v>0.0098539523846582</v>
      </c>
      <c r="E21" s="1">
        <v>-6.2292301538809</v>
      </c>
      <c r="F21" s="1">
        <v>-2.2075329002252</v>
      </c>
      <c r="G21" s="1">
        <v>8401777.4145423</v>
      </c>
      <c r="H21" s="1">
        <v>6086252.0977534</v>
      </c>
      <c r="I21" s="1">
        <v>-0.0043039815810703</v>
      </c>
      <c r="J21" s="1">
        <v>-0.0041269446864653</v>
      </c>
      <c r="K21" s="1">
        <v>0.0095733495125941</v>
      </c>
      <c r="L21" s="1">
        <v>-0.13748742957734</v>
      </c>
      <c r="M21" s="1">
        <v>-0.14074790842681</v>
      </c>
      <c r="N21" s="1">
        <v>562.36291565852</v>
      </c>
      <c r="O21" s="1">
        <v>620.72263973367</v>
      </c>
    </row>
    <row r="22" spans="1:15">
      <c r="A22" s="1">
        <v>3.4066849390983</v>
      </c>
      <c r="B22" s="1">
        <v>0.0086141871990903</v>
      </c>
      <c r="C22" s="1">
        <v>92.700525874811</v>
      </c>
      <c r="D22" s="1">
        <v>0.010491334186946</v>
      </c>
      <c r="E22" s="1">
        <v>-6.2301774437025</v>
      </c>
      <c r="F22" s="1">
        <v>-2.2081087403531</v>
      </c>
      <c r="G22" s="1">
        <v>8436251.8271691</v>
      </c>
      <c r="H22" s="1">
        <v>6266812.6273827</v>
      </c>
      <c r="I22" s="1">
        <v>-0.0046047167336785</v>
      </c>
      <c r="J22" s="1">
        <v>-0.0044168329623466</v>
      </c>
      <c r="K22" s="1">
        <v>0.010167357961432</v>
      </c>
      <c r="L22" s="1">
        <v>-0.14889787322692</v>
      </c>
      <c r="M22" s="1">
        <v>-0.15219704233928</v>
      </c>
      <c r="N22" s="1">
        <v>564.16027196735</v>
      </c>
      <c r="O22" s="1">
        <v>623.63787004243</v>
      </c>
    </row>
    <row r="23" spans="1:15">
      <c r="A23" s="1">
        <v>3.6066849390983</v>
      </c>
      <c r="B23" s="1">
        <v>0.0092456440247676</v>
      </c>
      <c r="C23" s="1">
        <v>92.700369649562</v>
      </c>
      <c r="D23" s="1">
        <v>0.011128373752438</v>
      </c>
      <c r="E23" s="1">
        <v>-6.2420999667389</v>
      </c>
      <c r="F23" s="1">
        <v>-2.2086890272734</v>
      </c>
      <c r="G23" s="1">
        <v>8470821.255485</v>
      </c>
      <c r="H23" s="1">
        <v>6448099.1631227</v>
      </c>
      <c r="I23" s="1">
        <v>-0.0049053727074041</v>
      </c>
      <c r="J23" s="1">
        <v>-0.004706592526467</v>
      </c>
      <c r="K23" s="1">
        <v>0.010761008084529</v>
      </c>
      <c r="L23" s="1">
        <v>-0.1602562176708</v>
      </c>
      <c r="M23" s="1">
        <v>-0.1636090005267</v>
      </c>
      <c r="N23" s="1">
        <v>565.87955410861</v>
      </c>
      <c r="O23" s="1">
        <v>626.36507107562</v>
      </c>
    </row>
    <row r="24" spans="1:15">
      <c r="A24" s="1">
        <v>3.8066849390983</v>
      </c>
      <c r="B24" s="1">
        <v>0.0098767044500547</v>
      </c>
      <c r="C24" s="1">
        <v>92.700218802511</v>
      </c>
      <c r="D24" s="1">
        <v>0.011765074671229</v>
      </c>
      <c r="E24" s="1">
        <v>-6.2455889182607</v>
      </c>
      <c r="F24" s="1">
        <v>-2.2176851665349</v>
      </c>
      <c r="G24" s="1">
        <v>8505472.6048422</v>
      </c>
      <c r="H24" s="1">
        <v>6630043.4787472</v>
      </c>
      <c r="I24" s="1">
        <v>-0.0052059390615837</v>
      </c>
      <c r="J24" s="1">
        <v>-0.0049962111714032</v>
      </c>
      <c r="K24" s="1">
        <v>0.011354300350315</v>
      </c>
      <c r="L24" s="1">
        <v>-0.17182745708023</v>
      </c>
      <c r="M24" s="1">
        <v>-0.17523691309099</v>
      </c>
      <c r="N24" s="1">
        <v>567.53345355106</v>
      </c>
      <c r="O24" s="1">
        <v>628.93489900958</v>
      </c>
    </row>
    <row r="25" spans="1:15">
      <c r="A25" s="1">
        <v>4.0066849390983</v>
      </c>
      <c r="B25" s="1">
        <v>0.010507392445605</v>
      </c>
      <c r="C25" s="1">
        <v>92.700066150009</v>
      </c>
      <c r="D25" s="1">
        <v>0.012401441865062</v>
      </c>
      <c r="E25" s="1">
        <v>-6.2422866723957</v>
      </c>
      <c r="F25" s="1">
        <v>-2.2224842711248</v>
      </c>
      <c r="G25" s="1">
        <v>8540194.9924254</v>
      </c>
      <c r="H25" s="1">
        <v>6812588.6322207</v>
      </c>
      <c r="I25" s="1">
        <v>-0.0055064141431548</v>
      </c>
      <c r="J25" s="1">
        <v>-0.0052856710455337</v>
      </c>
      <c r="K25" s="1">
        <v>0.01194723523292</v>
      </c>
      <c r="L25" s="1">
        <v>-0.1834652438774</v>
      </c>
      <c r="M25" s="1">
        <v>-0.18691403410209</v>
      </c>
      <c r="N25" s="1">
        <v>569.13209484318</v>
      </c>
      <c r="O25" s="1">
        <v>631.37186311127</v>
      </c>
    </row>
    <row r="26" spans="1:15">
      <c r="A26" s="1">
        <v>4.2066849390983</v>
      </c>
      <c r="B26" s="1">
        <v>0.01113772962647</v>
      </c>
      <c r="C26" s="1">
        <v>92.699899575355</v>
      </c>
      <c r="D26" s="1">
        <v>0.013037483053977</v>
      </c>
      <c r="E26" s="1">
        <v>-6.2431826963554</v>
      </c>
      <c r="F26" s="1">
        <v>-2.2121011761626</v>
      </c>
      <c r="G26" s="1">
        <v>8574979.3915576</v>
      </c>
      <c r="H26" s="1">
        <v>6995687.1571984</v>
      </c>
      <c r="I26" s="1">
        <v>-0.0058067997399519</v>
      </c>
      <c r="J26" s="1">
        <v>-0.0055749566324432</v>
      </c>
      <c r="K26" s="1">
        <v>0.012539813186734</v>
      </c>
      <c r="L26" s="1">
        <v>-0.19520290748057</v>
      </c>
      <c r="M26" s="1">
        <v>-0.19869349209876</v>
      </c>
      <c r="N26" s="1">
        <v>570.68302746645</v>
      </c>
      <c r="O26" s="1">
        <v>633.69519588409</v>
      </c>
    </row>
    <row r="27" spans="1:15">
      <c r="A27" s="1">
        <v>4.4066849390983</v>
      </c>
      <c r="B27" s="1">
        <v>0.011767735711714</v>
      </c>
      <c r="C27" s="1">
        <v>92.699729539478</v>
      </c>
      <c r="D27" s="1">
        <v>0.013673208119066</v>
      </c>
      <c r="E27" s="1">
        <v>-6.2440698226446</v>
      </c>
      <c r="F27" s="1">
        <v>-2.1907350012282</v>
      </c>
      <c r="G27" s="1">
        <v>8609818.1122381</v>
      </c>
      <c r="H27" s="1">
        <v>7179298.4010407</v>
      </c>
      <c r="I27" s="1">
        <v>-0.0061070946261244</v>
      </c>
      <c r="J27" s="1">
        <v>-0.0058640578825888</v>
      </c>
      <c r="K27" s="1">
        <v>0.013132034655491</v>
      </c>
      <c r="L27" s="1">
        <v>-0.20702556939331</v>
      </c>
      <c r="M27" s="1">
        <v>-0.21054271096659</v>
      </c>
      <c r="N27" s="1">
        <v>572.19235105345</v>
      </c>
      <c r="O27" s="1">
        <v>635.92038360515</v>
      </c>
    </row>
    <row r="28" spans="1:15">
      <c r="A28" s="1">
        <v>4.6066849390983</v>
      </c>
      <c r="B28" s="1">
        <v>0.012397427036152</v>
      </c>
      <c r="C28" s="1">
        <v>92.699559860502</v>
      </c>
      <c r="D28" s="1">
        <v>0.01430862739615</v>
      </c>
      <c r="E28" s="1">
        <v>-6.2407341136437</v>
      </c>
      <c r="F28" s="1">
        <v>-2.195552060811</v>
      </c>
      <c r="G28" s="1">
        <v>8644704.4795834</v>
      </c>
      <c r="H28" s="1">
        <v>7363386.8678055</v>
      </c>
      <c r="I28" s="1">
        <v>-0.006407295345945</v>
      </c>
      <c r="J28" s="1">
        <v>-0.0061529692059718</v>
      </c>
      <c r="K28" s="1">
        <v>0.013723900079978</v>
      </c>
      <c r="L28" s="1">
        <v>-0.21894402603953</v>
      </c>
      <c r="M28" s="1">
        <v>-0.22248137525695</v>
      </c>
      <c r="N28" s="1">
        <v>573.66508649998</v>
      </c>
      <c r="O28" s="1">
        <v>638.06019223162</v>
      </c>
    </row>
    <row r="29" spans="1:15">
      <c r="A29" s="1">
        <v>4.8066849390983</v>
      </c>
      <c r="B29" s="1">
        <v>0.013026818903592</v>
      </c>
      <c r="C29" s="1">
        <v>92.699381552579</v>
      </c>
      <c r="D29" s="1">
        <v>0.014943750780694</v>
      </c>
      <c r="E29" s="1">
        <v>-6.2416025867664</v>
      </c>
      <c r="F29" s="1">
        <v>-2.1961652162525</v>
      </c>
      <c r="G29" s="1">
        <v>8679632.8415274</v>
      </c>
      <c r="H29" s="1">
        <v>7547922.2177561</v>
      </c>
      <c r="I29" s="1">
        <v>-0.0067073980626607</v>
      </c>
      <c r="J29" s="1">
        <v>-0.006441688006284</v>
      </c>
      <c r="K29" s="1">
        <v>0.014315409909553</v>
      </c>
      <c r="L29" s="1">
        <v>-0.23104996395217</v>
      </c>
      <c r="M29" s="1">
        <v>-0.23457456201044</v>
      </c>
      <c r="N29" s="1">
        <v>575.10503518729</v>
      </c>
      <c r="O29" s="1">
        <v>640.12488220867</v>
      </c>
    </row>
    <row r="30" spans="1:15">
      <c r="A30" s="1">
        <v>5.0066849390983</v>
      </c>
      <c r="B30" s="1">
        <v>0.013655923530289</v>
      </c>
      <c r="C30" s="1">
        <v>92.699184081818</v>
      </c>
      <c r="D30" s="1">
        <v>0.015578587485045</v>
      </c>
      <c r="E30" s="1">
        <v>-6.2415458957673</v>
      </c>
      <c r="F30" s="1">
        <v>-2.1959158641474</v>
      </c>
      <c r="G30" s="1">
        <v>8714598.2435609</v>
      </c>
      <c r="H30" s="1">
        <v>7732877.5981643</v>
      </c>
      <c r="I30" s="1">
        <v>-0.0070073969523906</v>
      </c>
      <c r="J30" s="1">
        <v>-0.0067302130192726</v>
      </c>
      <c r="K30" s="1">
        <v>0.014906564607496</v>
      </c>
      <c r="L30" s="1">
        <v>-0.24298091129719</v>
      </c>
      <c r="M30" s="1">
        <v>-0.2465312514241</v>
      </c>
      <c r="N30" s="1">
        <v>576.51543023019</v>
      </c>
      <c r="O30" s="1">
        <v>642.12268195598</v>
      </c>
    </row>
    <row r="31" spans="1:15">
      <c r="A31" s="1">
        <v>5.2066849390983</v>
      </c>
      <c r="B31" s="1">
        <v>0.014284751473068</v>
      </c>
      <c r="C31" s="1">
        <v>92.698985679184</v>
      </c>
      <c r="D31" s="1">
        <v>0.016213145981252</v>
      </c>
      <c r="E31" s="1">
        <v>-6.2314057609724</v>
      </c>
      <c r="F31" s="1">
        <v>-2.196522944254</v>
      </c>
      <c r="G31" s="1">
        <v>8749596.3251839</v>
      </c>
      <c r="H31" s="1">
        <v>7918229.1394714</v>
      </c>
      <c r="I31" s="1">
        <v>-0.0073072879711799</v>
      </c>
      <c r="J31" s="1">
        <v>-0.0070185454256467</v>
      </c>
      <c r="K31" s="1">
        <v>0.015497364637336</v>
      </c>
      <c r="L31" s="1">
        <v>-0.25519934407996</v>
      </c>
      <c r="M31" s="1">
        <v>-0.25875559012803</v>
      </c>
      <c r="N31" s="1">
        <v>577.89895398368</v>
      </c>
      <c r="O31" s="1">
        <v>644.06105851122</v>
      </c>
    </row>
    <row r="32" spans="1:15">
      <c r="A32" s="1">
        <v>5.4066849390983</v>
      </c>
      <c r="B32" s="1">
        <v>0.014913313162541</v>
      </c>
      <c r="C32" s="1">
        <v>92.698779344481</v>
      </c>
      <c r="D32" s="1">
        <v>0.016847434996903</v>
      </c>
      <c r="E32" s="1">
        <v>-6.221098130529</v>
      </c>
      <c r="F32" s="1">
        <v>-2.2055226166031</v>
      </c>
      <c r="G32" s="1">
        <v>8784623.1788327</v>
      </c>
      <c r="H32" s="1">
        <v>8103955.252088</v>
      </c>
      <c r="I32" s="1">
        <v>-0.0076070666270219</v>
      </c>
      <c r="J32" s="1">
        <v>-0.0073066848894004</v>
      </c>
      <c r="K32" s="1">
        <v>0.016087810472352</v>
      </c>
      <c r="L32" s="1">
        <v>-0.26746128901757</v>
      </c>
      <c r="M32" s="1">
        <v>-0.27102528878958</v>
      </c>
      <c r="N32" s="1">
        <v>579.25785424841</v>
      </c>
      <c r="O32" s="1">
        <v>645.94578518345</v>
      </c>
    </row>
    <row r="33" spans="1:15">
      <c r="A33" s="1">
        <v>5.6066849390983</v>
      </c>
      <c r="B33" s="1">
        <v>0.015541618962321</v>
      </c>
      <c r="C33" s="1">
        <v>92.698575112409</v>
      </c>
      <c r="D33" s="1">
        <v>0.017481463854449</v>
      </c>
      <c r="E33" s="1">
        <v>-6.221929157721</v>
      </c>
      <c r="F33" s="1">
        <v>-2.1731807228291</v>
      </c>
      <c r="G33" s="1">
        <v>8819675.1581766</v>
      </c>
      <c r="H33" s="1">
        <v>8290035.6537051</v>
      </c>
      <c r="I33" s="1">
        <v>-0.0079067301174308</v>
      </c>
      <c r="J33" s="1">
        <v>-0.0075946315656598</v>
      </c>
      <c r="K33" s="1">
        <v>0.016677902575835</v>
      </c>
      <c r="L33" s="1">
        <v>-0.27993650943788</v>
      </c>
      <c r="M33" s="1">
        <v>-0.28348758441309</v>
      </c>
      <c r="N33" s="1">
        <v>580.59411653371</v>
      </c>
      <c r="O33" s="1">
        <v>647.78230833188</v>
      </c>
    </row>
    <row r="34" spans="1:15">
      <c r="A34" s="1">
        <v>5.8066849390983</v>
      </c>
      <c r="B34" s="1">
        <v>0.016169680624473</v>
      </c>
      <c r="C34" s="1">
        <v>92.698368701814</v>
      </c>
      <c r="D34" s="1">
        <v>0.018115242167587</v>
      </c>
      <c r="E34" s="1">
        <v>-6.2117670842372</v>
      </c>
      <c r="F34" s="1">
        <v>-2.1737984885271</v>
      </c>
      <c r="G34" s="1">
        <v>8854748.8822713</v>
      </c>
      <c r="H34" s="1">
        <v>8476451.411474</v>
      </c>
      <c r="I34" s="1">
        <v>-0.0082062738081367</v>
      </c>
      <c r="J34" s="1">
        <v>-0.007882385110812</v>
      </c>
      <c r="K34" s="1">
        <v>0.017267641400769</v>
      </c>
      <c r="L34" s="1">
        <v>-0.29211773102935</v>
      </c>
      <c r="M34" s="1">
        <v>-0.29567451811818</v>
      </c>
      <c r="N34" s="1">
        <v>581.90950408604</v>
      </c>
      <c r="O34" s="1">
        <v>649.57485634074</v>
      </c>
    </row>
    <row r="35" spans="1:15">
      <c r="A35" s="1">
        <v>6.0066849390983</v>
      </c>
      <c r="B35" s="1">
        <v>0.016797508859555</v>
      </c>
      <c r="C35" s="1">
        <v>92.69815959505</v>
      </c>
      <c r="D35" s="1">
        <v>0.018748781321202</v>
      </c>
      <c r="E35" s="1">
        <v>-6.2125849498121</v>
      </c>
      <c r="F35" s="1">
        <v>-2.1744167987315</v>
      </c>
      <c r="G35" s="1">
        <v>8889841.0350505</v>
      </c>
      <c r="H35" s="1">
        <v>8663183.9355663</v>
      </c>
      <c r="I35" s="1">
        <v>-0.0085056965668551</v>
      </c>
      <c r="J35" s="1">
        <v>-0.0081699471674372</v>
      </c>
      <c r="K35" s="1">
        <v>0.017857027391314</v>
      </c>
      <c r="L35" s="1">
        <v>-0.3047176773565</v>
      </c>
      <c r="M35" s="1">
        <v>-0.30829052246935</v>
      </c>
      <c r="N35" s="1">
        <v>583.20557181034</v>
      </c>
      <c r="O35" s="1">
        <v>651.32828689118</v>
      </c>
    </row>
    <row r="36" spans="1:15">
      <c r="A36" s="1">
        <v>6.2066849390983</v>
      </c>
      <c r="B36" s="1">
        <v>0.017425115540143</v>
      </c>
      <c r="C36" s="1">
        <v>92.697954594672</v>
      </c>
      <c r="D36" s="1">
        <v>0.019382091051131</v>
      </c>
      <c r="E36" s="1">
        <v>-6.2133968257583</v>
      </c>
      <c r="F36" s="1">
        <v>-2.1860219050056</v>
      </c>
      <c r="G36" s="1">
        <v>8924948.606158</v>
      </c>
      <c r="H36" s="1">
        <v>8850216.1854644</v>
      </c>
      <c r="I36" s="1">
        <v>-0.0088049963213071</v>
      </c>
      <c r="J36" s="1">
        <v>-0.0084573157705144</v>
      </c>
      <c r="K36" s="1">
        <v>0.018446061000332</v>
      </c>
      <c r="L36" s="1">
        <v>-0.31736708362682</v>
      </c>
      <c r="M36" s="1">
        <v>-0.32092143938875</v>
      </c>
      <c r="N36" s="1">
        <v>584.48381006042</v>
      </c>
      <c r="O36" s="1">
        <v>653.04608122746</v>
      </c>
    </row>
    <row r="37" spans="1:15">
      <c r="A37" s="1">
        <v>6.4066849390983</v>
      </c>
      <c r="B37" s="1">
        <v>0.018052511866344</v>
      </c>
      <c r="C37" s="1">
        <v>92.697745464644</v>
      </c>
      <c r="D37" s="1">
        <v>0.020015181085747</v>
      </c>
      <c r="E37" s="1">
        <v>-6.1988259192757</v>
      </c>
      <c r="F37" s="1">
        <v>-2.1580596209327</v>
      </c>
      <c r="G37" s="1">
        <v>8960068.8831259</v>
      </c>
      <c r="H37" s="1">
        <v>9037532.6200493</v>
      </c>
      <c r="I37" s="1">
        <v>-0.0091041716068652</v>
      </c>
      <c r="J37" s="1">
        <v>-0.0087444897909799</v>
      </c>
      <c r="K37" s="1">
        <v>0.019034742662856</v>
      </c>
      <c r="L37" s="1">
        <v>-0.32976374754411</v>
      </c>
      <c r="M37" s="1">
        <v>-0.33331871036207</v>
      </c>
      <c r="N37" s="1">
        <v>585.74521569203</v>
      </c>
      <c r="O37" s="1">
        <v>654.73095319724</v>
      </c>
    </row>
    <row r="38" spans="1:15">
      <c r="A38" s="1">
        <v>6.6066849390983</v>
      </c>
      <c r="B38" s="1">
        <v>0.018679703282274</v>
      </c>
      <c r="C38" s="1">
        <v>92.697543728285</v>
      </c>
      <c r="D38" s="1">
        <v>0.020648059654336</v>
      </c>
      <c r="E38" s="1">
        <v>-6.1840351877359</v>
      </c>
      <c r="F38" s="1">
        <v>-2.171192166231</v>
      </c>
      <c r="G38" s="1">
        <v>8995199.297296</v>
      </c>
      <c r="H38" s="1">
        <v>9225118.3358518</v>
      </c>
      <c r="I38" s="1">
        <v>-0.0094032224410447</v>
      </c>
      <c r="J38" s="1">
        <v>-0.0090314694134178</v>
      </c>
      <c r="K38" s="1">
        <v>0.019623072817433</v>
      </c>
      <c r="L38" s="1">
        <v>-0.34246621548429</v>
      </c>
      <c r="M38" s="1">
        <v>-0.3460192434177</v>
      </c>
      <c r="N38" s="1">
        <v>586.99110595065</v>
      </c>
      <c r="O38" s="1">
        <v>656.38629569098</v>
      </c>
    </row>
    <row r="39" spans="1:15">
      <c r="A39" s="1">
        <v>6.8066849390983</v>
      </c>
      <c r="B39" s="1">
        <v>0.019306696976182</v>
      </c>
      <c r="C39" s="1">
        <v>92.697333243016</v>
      </c>
      <c r="D39" s="1">
        <v>0.021280733311092</v>
      </c>
      <c r="E39" s="1">
        <v>-6.1806584043087</v>
      </c>
      <c r="F39" s="1">
        <v>-2.1759801080461</v>
      </c>
      <c r="G39" s="1">
        <v>9030337.77883</v>
      </c>
      <c r="H39" s="1">
        <v>9412960.9617903</v>
      </c>
      <c r="I39" s="1">
        <v>-0.009702146477747</v>
      </c>
      <c r="J39" s="1">
        <v>-0.0093182550308047</v>
      </c>
      <c r="K39" s="1">
        <v>0.020211051896136</v>
      </c>
      <c r="L39" s="1">
        <v>-0.35520480576637</v>
      </c>
      <c r="M39" s="1">
        <v>-0.35874785650784</v>
      </c>
      <c r="N39" s="1">
        <v>588.22211773226</v>
      </c>
      <c r="O39" s="1">
        <v>658.01371612027</v>
      </c>
    </row>
    <row r="40" spans="1:15">
      <c r="A40" s="1">
        <v>7.0066849390983</v>
      </c>
      <c r="B40" s="1">
        <v>0.019933497178575</v>
      </c>
      <c r="C40" s="1">
        <v>92.697100983228</v>
      </c>
      <c r="D40" s="1">
        <v>0.021913207713485</v>
      </c>
      <c r="E40" s="1">
        <v>-6.1746501932731</v>
      </c>
      <c r="F40" s="1">
        <v>-2.1698287873992</v>
      </c>
      <c r="G40" s="1">
        <v>9065482.4028921</v>
      </c>
      <c r="H40" s="1">
        <v>9601048.788654</v>
      </c>
      <c r="I40" s="1">
        <v>-0.010000941351025</v>
      </c>
      <c r="J40" s="1">
        <v>-0.0096048483858693</v>
      </c>
      <c r="K40" s="1">
        <v>0.020798680330046</v>
      </c>
      <c r="L40" s="1">
        <v>-0.36805384750179</v>
      </c>
      <c r="M40" s="1">
        <v>-0.37158476493573</v>
      </c>
      <c r="N40" s="1">
        <v>589.43895236877</v>
      </c>
      <c r="O40" s="1">
        <v>659.61499059643</v>
      </c>
    </row>
    <row r="41" spans="1:15">
      <c r="A41" s="1">
        <v>7.2066849390983</v>
      </c>
      <c r="B41" s="1">
        <v>0.020560109183171</v>
      </c>
      <c r="C41" s="1">
        <v>92.696874688917</v>
      </c>
      <c r="D41" s="1">
        <v>0.022545488249078</v>
      </c>
      <c r="E41" s="1">
        <v>-6.1644381287224</v>
      </c>
      <c r="F41" s="1">
        <v>-2.1704706541763</v>
      </c>
      <c r="G41" s="1">
        <v>9100631.3150184</v>
      </c>
      <c r="H41" s="1">
        <v>9789370.4746059</v>
      </c>
      <c r="I41" s="1">
        <v>-0.010299603883254</v>
      </c>
      <c r="J41" s="1">
        <v>-0.0098912513003324</v>
      </c>
      <c r="K41" s="1">
        <v>0.021385958538187</v>
      </c>
      <c r="L41" s="1">
        <v>-0.3809087124726</v>
      </c>
      <c r="M41" s="1">
        <v>-0.38445002580419</v>
      </c>
      <c r="N41" s="1">
        <v>590.64231152256</v>
      </c>
      <c r="O41" s="1">
        <v>661.19171792202</v>
      </c>
    </row>
    <row r="42" spans="1:15">
      <c r="A42" s="1">
        <v>7.4066849390983</v>
      </c>
      <c r="B42" s="1">
        <v>0.021186537583191</v>
      </c>
      <c r="C42" s="1">
        <v>92.69664701165</v>
      </c>
      <c r="D42" s="1">
        <v>0.02317758071971</v>
      </c>
      <c r="E42" s="1">
        <v>-6.1652078586988</v>
      </c>
      <c r="F42" s="1">
        <v>-2.1711127574713</v>
      </c>
      <c r="G42" s="1">
        <v>9135782.6457853</v>
      </c>
      <c r="H42" s="1">
        <v>9977914.5695259</v>
      </c>
      <c r="I42" s="1">
        <v>-0.010598131767515</v>
      </c>
      <c r="J42" s="1">
        <v>-0.010177465594411</v>
      </c>
      <c r="K42" s="1">
        <v>0.02197288694836</v>
      </c>
      <c r="L42" s="1">
        <v>-0.39393341169355</v>
      </c>
      <c r="M42" s="1">
        <v>-0.39746913731522</v>
      </c>
      <c r="N42" s="1">
        <v>591.83297347616</v>
      </c>
      <c r="O42" s="1">
        <v>662.74580465824</v>
      </c>
    </row>
    <row r="43" spans="1:15">
      <c r="A43" s="1">
        <v>7.6066849390983</v>
      </c>
      <c r="B43" s="1">
        <v>0.021812788643514</v>
      </c>
      <c r="C43" s="1">
        <v>92.696430651229</v>
      </c>
      <c r="D43" s="1">
        <v>0.023809490502075</v>
      </c>
      <c r="E43" s="1">
        <v>-6.1617061540296</v>
      </c>
      <c r="F43" s="1">
        <v>-2.1870008727732</v>
      </c>
      <c r="G43" s="1">
        <v>9170934.6825375</v>
      </c>
      <c r="H43" s="1">
        <v>10166670.436602</v>
      </c>
      <c r="I43" s="1">
        <v>-0.010896522291668</v>
      </c>
      <c r="J43" s="1">
        <v>-0.010463492738736</v>
      </c>
      <c r="K43" s="1">
        <v>0.022559465981232</v>
      </c>
      <c r="L43" s="1">
        <v>-0.40700068087711</v>
      </c>
      <c r="M43" s="1">
        <v>-0.41052513066842</v>
      </c>
      <c r="N43" s="1">
        <v>593.01151804742</v>
      </c>
      <c r="O43" s="1">
        <v>664.27863012186</v>
      </c>
    </row>
    <row r="44" spans="1:15">
      <c r="A44" s="1">
        <v>7.8066849390983</v>
      </c>
      <c r="B44" s="1">
        <v>0.022438868306323</v>
      </c>
      <c r="C44" s="1">
        <v>92.69621168389</v>
      </c>
      <c r="D44" s="1">
        <v>0.024441223517874</v>
      </c>
      <c r="E44" s="1">
        <v>-6.1691723849106</v>
      </c>
      <c r="F44" s="1">
        <v>-2.1919156588342</v>
      </c>
      <c r="G44" s="1">
        <v>9206085.7532232</v>
      </c>
      <c r="H44" s="1">
        <v>10355627.618021</v>
      </c>
      <c r="I44" s="1">
        <v>-0.011194773138972</v>
      </c>
      <c r="J44" s="1">
        <v>-0.010749333868257</v>
      </c>
      <c r="K44" s="1">
        <v>0.023145696058852</v>
      </c>
      <c r="L44" s="1">
        <v>-0.41998039674676</v>
      </c>
      <c r="M44" s="1">
        <v>-0.42348416237364</v>
      </c>
      <c r="N44" s="1">
        <v>594.17848070148</v>
      </c>
      <c r="O44" s="1">
        <v>665.79145264336</v>
      </c>
    </row>
    <row r="45" spans="1:15">
      <c r="A45" s="1">
        <v>8.0066849390983</v>
      </c>
      <c r="B45" s="1">
        <v>0.023064783167972</v>
      </c>
      <c r="C45" s="1">
        <v>92.695985828596</v>
      </c>
      <c r="D45" s="1">
        <v>0.025072785579971</v>
      </c>
      <c r="E45" s="1">
        <v>-6.1918949689632</v>
      </c>
      <c r="F45" s="1">
        <v>-2.2145371151136</v>
      </c>
      <c r="G45" s="1">
        <v>9241234.269683</v>
      </c>
      <c r="H45" s="1">
        <v>10544776.104211</v>
      </c>
      <c r="I45" s="1">
        <v>-0.011492883113845</v>
      </c>
      <c r="J45" s="1">
        <v>-0.011034990963761</v>
      </c>
      <c r="K45" s="1">
        <v>0.023731577603853</v>
      </c>
      <c r="L45" s="1">
        <v>-0.43310112918875</v>
      </c>
      <c r="M45" s="1">
        <v>-0.43660201613758</v>
      </c>
      <c r="N45" s="1">
        <v>595.3342057687</v>
      </c>
      <c r="O45" s="1">
        <v>667.28562603724</v>
      </c>
    </row>
    <row r="46" spans="1:15">
      <c r="A46" s="1">
        <v>8.2066849390983</v>
      </c>
      <c r="B46" s="1">
        <v>0.023690538556541</v>
      </c>
      <c r="C46" s="1">
        <v>92.695759840004</v>
      </c>
      <c r="D46" s="1">
        <v>0.02570418214857</v>
      </c>
      <c r="E46" s="1">
        <v>-6.2036270650964</v>
      </c>
      <c r="F46" s="1">
        <v>-2.2151858062539</v>
      </c>
      <c r="G46" s="1">
        <v>9276378.6391748</v>
      </c>
      <c r="H46" s="1">
        <v>10734105.833581</v>
      </c>
      <c r="I46" s="1">
        <v>-0.011790849474491</v>
      </c>
      <c r="J46" s="1">
        <v>-0.011320464916188</v>
      </c>
      <c r="K46" s="1">
        <v>0.024317111036659</v>
      </c>
      <c r="L46" s="1">
        <v>-0.44614752083352</v>
      </c>
      <c r="M46" s="1">
        <v>-0.4496599863494</v>
      </c>
      <c r="N46" s="1">
        <v>596.47938388498</v>
      </c>
      <c r="O46" s="1">
        <v>668.7623653999</v>
      </c>
    </row>
    <row r="47" spans="1:15">
      <c r="A47" s="1">
        <v>8.4066849390983</v>
      </c>
      <c r="B47" s="1">
        <v>0.024316139415341</v>
      </c>
      <c r="C47" s="1">
        <v>92.695524886967</v>
      </c>
      <c r="D47" s="1">
        <v>0.026335419087761</v>
      </c>
      <c r="E47" s="1">
        <v>-6.2263414269914</v>
      </c>
      <c r="F47" s="1">
        <v>-2.215834575147</v>
      </c>
      <c r="G47" s="1">
        <v>9311517.3907694</v>
      </c>
      <c r="H47" s="1">
        <v>10923607.351702</v>
      </c>
      <c r="I47" s="1">
        <v>-0.012088670883803</v>
      </c>
      <c r="J47" s="1">
        <v>-0.011605757684019</v>
      </c>
      <c r="K47" s="1">
        <v>0.024902296778756</v>
      </c>
      <c r="L47" s="1">
        <v>-0.45935017472004</v>
      </c>
      <c r="M47" s="1">
        <v>-0.46287570063673</v>
      </c>
      <c r="N47" s="1">
        <v>597.61440393287</v>
      </c>
      <c r="O47" s="1">
        <v>670.22286340533</v>
      </c>
    </row>
    <row r="48" spans="1:15">
      <c r="A48" s="1">
        <v>8.6066849390983</v>
      </c>
      <c r="B48" s="1">
        <v>0.024941591199389</v>
      </c>
      <c r="C48" s="1">
        <v>92.695254653586</v>
      </c>
      <c r="D48" s="1">
        <v>0.026966501141697</v>
      </c>
      <c r="E48" s="1">
        <v>-6.269907178389</v>
      </c>
      <c r="F48" s="1">
        <v>-2.2567972883222</v>
      </c>
      <c r="G48" s="1">
        <v>9346649.2302983</v>
      </c>
      <c r="H48" s="1">
        <v>11113272.098225</v>
      </c>
      <c r="I48" s="1">
        <v>-0.012386344628735</v>
      </c>
      <c r="J48" s="1">
        <v>-0.011890871219607</v>
      </c>
      <c r="K48" s="1">
        <v>0.025487135250135</v>
      </c>
      <c r="L48" s="1">
        <v>-0.47260466796779</v>
      </c>
      <c r="M48" s="1">
        <v>-0.47612099217409</v>
      </c>
      <c r="N48" s="1">
        <v>598.73960231739</v>
      </c>
      <c r="O48" s="1">
        <v>671.66787850401</v>
      </c>
    </row>
    <row r="49" spans="1:15">
      <c r="A49" s="1">
        <v>8.8066849390982</v>
      </c>
      <c r="B49" s="1">
        <v>0.025566898570945</v>
      </c>
      <c r="C49" s="1">
        <v>92.694995206094</v>
      </c>
      <c r="D49" s="1">
        <v>0.027597432975038</v>
      </c>
      <c r="E49" s="1">
        <v>-6.2967813279684</v>
      </c>
      <c r="F49" s="1">
        <v>-2.2616007055369</v>
      </c>
      <c r="G49" s="1">
        <v>9381772.9700454</v>
      </c>
      <c r="H49" s="1">
        <v>11303092.022733</v>
      </c>
      <c r="I49" s="1">
        <v>-0.012683868575869</v>
      </c>
      <c r="J49" s="1">
        <v>-0.012175807662878</v>
      </c>
      <c r="K49" s="1">
        <v>0.026071626868978</v>
      </c>
      <c r="L49" s="1">
        <v>-0.48590992859141</v>
      </c>
      <c r="M49" s="1">
        <v>-0.48941822833536</v>
      </c>
      <c r="N49" s="1">
        <v>599.85521414309</v>
      </c>
      <c r="O49" s="1">
        <v>673.09801789296</v>
      </c>
    </row>
    <row r="50" spans="1:15">
      <c r="A50" s="1">
        <v>9.0066849390982</v>
      </c>
      <c r="B50" s="1">
        <v>0.026192064706722</v>
      </c>
      <c r="C50" s="1">
        <v>92.694724260862</v>
      </c>
      <c r="D50" s="1">
        <v>0.028228219138221</v>
      </c>
      <c r="E50" s="1">
        <v>-6.3403873543391</v>
      </c>
      <c r="F50" s="1">
        <v>-2.23921487588</v>
      </c>
      <c r="G50" s="1">
        <v>9416887.3992363</v>
      </c>
      <c r="H50" s="1">
        <v>11493058.937843</v>
      </c>
      <c r="I50" s="1">
        <v>-0.012981241756808</v>
      </c>
      <c r="J50" s="1">
        <v>-0.012460568324522</v>
      </c>
      <c r="K50" s="1">
        <v>0.02665577206142</v>
      </c>
      <c r="L50" s="1">
        <v>-0.49944391251186</v>
      </c>
      <c r="M50" s="1">
        <v>-0.50295082145127</v>
      </c>
      <c r="N50" s="1">
        <v>600.96166359044</v>
      </c>
      <c r="O50" s="1">
        <v>674.51422525451</v>
      </c>
    </row>
    <row r="51" spans="1:15">
      <c r="A51" s="1">
        <v>9.2066849390982</v>
      </c>
      <c r="B51" s="1">
        <v>0.026817093950371</v>
      </c>
      <c r="C51" s="1">
        <v>92.694460627146</v>
      </c>
      <c r="D51" s="1">
        <v>0.028858863047537</v>
      </c>
      <c r="E51" s="1">
        <v>-6.3740637755958</v>
      </c>
      <c r="F51" s="1">
        <v>-2.2508461285294</v>
      </c>
      <c r="G51" s="1">
        <v>9451991.4344978</v>
      </c>
      <c r="H51" s="1">
        <v>11683165.333401</v>
      </c>
      <c r="I51" s="1">
        <v>-0.013278462974465</v>
      </c>
      <c r="J51" s="1">
        <v>-0.0127451521991</v>
      </c>
      <c r="K51" s="1">
        <v>0.027239571249812</v>
      </c>
      <c r="L51" s="1">
        <v>-0.51277825807982</v>
      </c>
      <c r="M51" s="1">
        <v>-0.51626118819164</v>
      </c>
      <c r="N51" s="1">
        <v>602.05932259346</v>
      </c>
      <c r="O51" s="1">
        <v>675.91674998685</v>
      </c>
    </row>
    <row r="52" spans="1:15">
      <c r="A52" s="1">
        <v>9.4066849390982</v>
      </c>
      <c r="B52" s="1">
        <v>0.027441989855519</v>
      </c>
      <c r="C52" s="1">
        <v>92.694198197127</v>
      </c>
      <c r="D52" s="1">
        <v>0.029489368954887</v>
      </c>
      <c r="E52" s="1">
        <v>-6.3857640583289</v>
      </c>
      <c r="F52" s="1">
        <v>-2.2514921127881</v>
      </c>
      <c r="G52" s="1">
        <v>9487084.0076946</v>
      </c>
      <c r="H52" s="1">
        <v>11873403.753682</v>
      </c>
      <c r="I52" s="1">
        <v>-0.013575532871988</v>
      </c>
      <c r="J52" s="1">
        <v>-0.013029560109589</v>
      </c>
      <c r="K52" s="1">
        <v>0.027823024857759</v>
      </c>
      <c r="L52" s="1">
        <v>-0.52624469672895</v>
      </c>
      <c r="M52" s="1">
        <v>-0.52972802404682</v>
      </c>
      <c r="N52" s="1">
        <v>603.14841789036</v>
      </c>
      <c r="O52" s="1">
        <v>677.30645635979</v>
      </c>
    </row>
    <row r="53" spans="1:15">
      <c r="A53" s="1">
        <v>9.6066849390982</v>
      </c>
      <c r="B53" s="1">
        <v>0.028066755925518</v>
      </c>
      <c r="C53" s="1">
        <v>92.693929640886</v>
      </c>
      <c r="D53" s="1">
        <v>0.030119740359312</v>
      </c>
      <c r="E53" s="1">
        <v>-6.4084473454235</v>
      </c>
      <c r="F53" s="1">
        <v>-2.2411528632785</v>
      </c>
      <c r="G53" s="1">
        <v>9522164.1132839</v>
      </c>
      <c r="H53" s="1">
        <v>12063767.083833</v>
      </c>
      <c r="I53" s="1">
        <v>-0.013872451119929</v>
      </c>
      <c r="J53" s="1">
        <v>-0.013313791285557</v>
      </c>
      <c r="K53" s="1">
        <v>0.028406133306503</v>
      </c>
      <c r="L53" s="1">
        <v>-0.53964485877418</v>
      </c>
      <c r="M53" s="1">
        <v>-0.54313264988847</v>
      </c>
      <c r="N53" s="1">
        <v>604.22926313523</v>
      </c>
      <c r="O53" s="1">
        <v>678.68369037925</v>
      </c>
    </row>
    <row r="54" spans="1:15">
      <c r="A54" s="1">
        <v>9.8066849390982</v>
      </c>
      <c r="B54" s="1">
        <v>0.028691395559806</v>
      </c>
      <c r="C54" s="1">
        <v>92.693659497314</v>
      </c>
      <c r="D54" s="1">
        <v>0.030749981265428</v>
      </c>
      <c r="E54" s="1">
        <v>-6.4461377559254</v>
      </c>
      <c r="F54" s="1">
        <v>-2.2568064031067</v>
      </c>
      <c r="G54" s="1">
        <v>9557230.7751539</v>
      </c>
      <c r="H54" s="1">
        <v>12254248.351026</v>
      </c>
      <c r="I54" s="1">
        <v>-0.014169218126563</v>
      </c>
      <c r="J54" s="1">
        <v>-0.013597846318721</v>
      </c>
      <c r="K54" s="1">
        <v>0.028988897014803</v>
      </c>
      <c r="L54" s="1">
        <v>-0.55318813158713</v>
      </c>
      <c r="M54" s="1">
        <v>-0.55669506853202</v>
      </c>
      <c r="N54" s="1">
        <v>605.30201826621</v>
      </c>
      <c r="O54" s="1">
        <v>680.04904589424</v>
      </c>
    </row>
    <row r="55" spans="1:15">
      <c r="A55" s="1">
        <v>10.006684939098</v>
      </c>
      <c r="B55" s="1">
        <v>0.02931591266404</v>
      </c>
      <c r="C55" s="1">
        <v>92.693390956862</v>
      </c>
      <c r="D55" s="1">
        <v>0.031380095067002</v>
      </c>
      <c r="E55" s="1">
        <v>-6.4578286530464</v>
      </c>
      <c r="F55" s="1">
        <v>-2.257456085463</v>
      </c>
      <c r="G55" s="1">
        <v>9592283.0801047</v>
      </c>
      <c r="H55" s="1">
        <v>12444840.9273</v>
      </c>
      <c r="I55" s="1">
        <v>-0.014465833305253</v>
      </c>
      <c r="J55" s="1">
        <v>-0.01388172536009</v>
      </c>
      <c r="K55" s="1">
        <v>0.02957131640781</v>
      </c>
      <c r="L55" s="1">
        <v>-0.56677679968475</v>
      </c>
      <c r="M55" s="1">
        <v>-0.57027404491851</v>
      </c>
      <c r="N55" s="1">
        <v>606.36685547609</v>
      </c>
      <c r="O55" s="1">
        <v>681.40280400355</v>
      </c>
    </row>
    <row r="56" spans="1:15">
      <c r="A56" s="1">
        <v>10.206684939098</v>
      </c>
      <c r="B56" s="1">
        <v>0.029940310600034</v>
      </c>
      <c r="C56" s="1">
        <v>92.693112973555</v>
      </c>
      <c r="D56" s="1">
        <v>0.032010085338411</v>
      </c>
      <c r="E56" s="1">
        <v>-6.4844934229345</v>
      </c>
      <c r="F56" s="1">
        <v>-2.2620869525788</v>
      </c>
      <c r="G56" s="1">
        <v>9627320.07879</v>
      </c>
      <c r="H56" s="1">
        <v>12635538.003332</v>
      </c>
      <c r="I56" s="1">
        <v>-0.014762296054493</v>
      </c>
      <c r="J56" s="1">
        <v>-0.014165428826154</v>
      </c>
      <c r="K56" s="1">
        <v>0.030153391897058</v>
      </c>
      <c r="L56" s="1">
        <v>-0.5803944986387</v>
      </c>
      <c r="M56" s="1">
        <v>-0.58388610971136</v>
      </c>
      <c r="N56" s="1">
        <v>607.42406879364</v>
      </c>
      <c r="O56" s="1">
        <v>682.74548684026</v>
      </c>
    </row>
    <row r="57" spans="1:15">
      <c r="A57" s="1">
        <v>10.406684939098</v>
      </c>
      <c r="B57" s="1">
        <v>0.030564592448789</v>
      </c>
      <c r="C57" s="1">
        <v>92.692828603001</v>
      </c>
      <c r="D57" s="1">
        <v>0.032639955827172</v>
      </c>
      <c r="E57" s="1">
        <v>-6.5291368290177</v>
      </c>
      <c r="F57" s="1">
        <v>-2.2627384352244</v>
      </c>
      <c r="G57" s="1">
        <v>9662340.8477505</v>
      </c>
      <c r="H57" s="1">
        <v>12826332.905004</v>
      </c>
      <c r="I57" s="1">
        <v>-0.015058606354997</v>
      </c>
      <c r="J57" s="1">
        <v>-0.014448956980631</v>
      </c>
      <c r="K57" s="1">
        <v>0.030735123903173</v>
      </c>
      <c r="L57" s="1">
        <v>-0.59411873192326</v>
      </c>
      <c r="M57" s="1">
        <v>-0.59758028594112</v>
      </c>
      <c r="N57" s="1">
        <v>608.47388162225</v>
      </c>
      <c r="O57" s="1">
        <v>684.07758564037</v>
      </c>
    </row>
    <row r="58" spans="1:15">
      <c r="A58" s="1">
        <v>10.606684939098</v>
      </c>
      <c r="B58" s="1">
        <v>0.031188761903965</v>
      </c>
      <c r="C58" s="1">
        <v>92.692528795866</v>
      </c>
      <c r="D58" s="1">
        <v>0.033269709898143</v>
      </c>
      <c r="E58" s="1">
        <v>-6.5768929433214</v>
      </c>
      <c r="F58" s="1">
        <v>-2.2774706110363</v>
      </c>
      <c r="G58" s="1">
        <v>9697344.5144867</v>
      </c>
      <c r="H58" s="1">
        <v>13017219.254936</v>
      </c>
      <c r="I58" s="1">
        <v>-0.015354763452752</v>
      </c>
      <c r="J58" s="1">
        <v>-0.014732310169152</v>
      </c>
      <c r="K58" s="1">
        <v>0.03131651283741</v>
      </c>
      <c r="L58" s="1">
        <v>-0.60781308515467</v>
      </c>
      <c r="M58" s="1">
        <v>-0.6112781520995</v>
      </c>
      <c r="N58" s="1">
        <v>609.51647494294</v>
      </c>
      <c r="O58" s="1">
        <v>685.39939007464</v>
      </c>
    </row>
    <row r="59" spans="1:15">
      <c r="A59" s="1">
        <v>10.806684939098</v>
      </c>
      <c r="B59" s="1">
        <v>0.031812822245073</v>
      </c>
      <c r="C59" s="1">
        <v>92.692237215498</v>
      </c>
      <c r="D59" s="1">
        <v>0.033899351091689</v>
      </c>
      <c r="E59" s="1">
        <v>-6.5995941843889</v>
      </c>
      <c r="F59" s="1">
        <v>-2.2866764513108</v>
      </c>
      <c r="G59" s="1">
        <v>9732330.2173056</v>
      </c>
      <c r="H59" s="1">
        <v>13208190.708264</v>
      </c>
      <c r="I59" s="1">
        <v>-0.01565076737078</v>
      </c>
      <c r="J59" s="1">
        <v>-0.015015488540489</v>
      </c>
      <c r="K59" s="1">
        <v>0.031897559103836</v>
      </c>
      <c r="L59" s="1">
        <v>-0.62153764698153</v>
      </c>
      <c r="M59" s="1">
        <v>-0.62501872256759</v>
      </c>
      <c r="N59" s="1">
        <v>610.55206721733</v>
      </c>
      <c r="O59" s="1">
        <v>686.71137321482</v>
      </c>
    </row>
    <row r="60" spans="1:15">
      <c r="A60" s="1">
        <v>11.006684939098</v>
      </c>
      <c r="B60" s="1">
        <v>0.032436776169008</v>
      </c>
      <c r="C60" s="1">
        <v>92.69193921302</v>
      </c>
      <c r="D60" s="1">
        <v>0.034528882649604</v>
      </c>
      <c r="E60" s="1">
        <v>-6.6370640318029</v>
      </c>
      <c r="F60" s="1">
        <v>-2.2996433401928</v>
      </c>
      <c r="G60" s="1">
        <v>9767297.1798448</v>
      </c>
      <c r="H60" s="1">
        <v>13399241.358086</v>
      </c>
      <c r="I60" s="1">
        <v>-0.015946618054818</v>
      </c>
      <c r="J60" s="1">
        <v>-0.015298492327322</v>
      </c>
      <c r="K60" s="1">
        <v>0.032478263106337</v>
      </c>
      <c r="L60" s="1">
        <v>-0.63532702233732</v>
      </c>
      <c r="M60" s="1">
        <v>-0.63883040134376</v>
      </c>
      <c r="N60" s="1">
        <v>611.58083616153</v>
      </c>
      <c r="O60" s="1">
        <v>688.01384361922</v>
      </c>
    </row>
    <row r="61" spans="1:15">
      <c r="A61" s="1">
        <v>11.206684939098</v>
      </c>
      <c r="B61" s="1">
        <v>0.033060626588432</v>
      </c>
      <c r="C61" s="1">
        <v>92.691645440029</v>
      </c>
      <c r="D61" s="1">
        <v>0.035158307368418</v>
      </c>
      <c r="E61" s="1">
        <v>-6.670709387117</v>
      </c>
      <c r="F61" s="1">
        <v>-2.3003055140397</v>
      </c>
      <c r="G61" s="1">
        <v>9802244.7428216</v>
      </c>
      <c r="H61" s="1">
        <v>13590365.875175</v>
      </c>
      <c r="I61" s="1">
        <v>-0.016242315418811</v>
      </c>
      <c r="J61" s="1">
        <v>-0.015581321610979</v>
      </c>
      <c r="K61" s="1">
        <v>0.033058625259881</v>
      </c>
      <c r="L61" s="1">
        <v>-0.6491569113896</v>
      </c>
      <c r="M61" s="1">
        <v>-0.65265028456501</v>
      </c>
      <c r="N61" s="1">
        <v>612.60289462055</v>
      </c>
      <c r="O61" s="1">
        <v>689.30697111999</v>
      </c>
    </row>
    <row r="62" spans="1:15">
      <c r="A62" s="1">
        <v>11.406684939098</v>
      </c>
      <c r="B62" s="1">
        <v>0.033684375203253</v>
      </c>
      <c r="C62" s="1">
        <v>92.691340897616</v>
      </c>
      <c r="D62" s="1">
        <v>0.035787627564026</v>
      </c>
      <c r="E62" s="1">
        <v>-6.6976765010692</v>
      </c>
      <c r="F62" s="1">
        <v>-2.3052762793867</v>
      </c>
      <c r="G62" s="1">
        <v>9837172.2568267</v>
      </c>
      <c r="H62" s="1">
        <v>13781558.972949</v>
      </c>
      <c r="I62" s="1">
        <v>-0.016537859061161</v>
      </c>
      <c r="J62" s="1">
        <v>-0.01586397684477</v>
      </c>
      <c r="K62" s="1">
        <v>0.03363864597025</v>
      </c>
      <c r="L62" s="1">
        <v>-0.66302207423885</v>
      </c>
      <c r="M62" s="1">
        <v>-0.66651208839814</v>
      </c>
      <c r="N62" s="1">
        <v>613.61843860252</v>
      </c>
      <c r="O62" s="1">
        <v>690.59101137667</v>
      </c>
    </row>
    <row r="63" spans="1:15">
      <c r="A63" s="1">
        <v>11.606684939098</v>
      </c>
      <c r="B63" s="1">
        <v>0.034308024303872</v>
      </c>
      <c r="C63" s="1">
        <v>92.691019075265</v>
      </c>
      <c r="D63" s="1">
        <v>0.036416846006634</v>
      </c>
      <c r="E63" s="1">
        <v>-6.7284559944839</v>
      </c>
      <c r="F63" s="1">
        <v>-2.3140637306304</v>
      </c>
      <c r="G63" s="1">
        <v>9872079.093596</v>
      </c>
      <c r="H63" s="1">
        <v>13972815.485427</v>
      </c>
      <c r="I63" s="1">
        <v>-0.016833248821798</v>
      </c>
      <c r="J63" s="1">
        <v>-0.016146458475747</v>
      </c>
      <c r="K63" s="1">
        <v>0.034218325649798</v>
      </c>
      <c r="L63" s="1">
        <v>-0.67697172173632</v>
      </c>
      <c r="M63" s="1">
        <v>-0.68043223308406</v>
      </c>
      <c r="N63" s="1">
        <v>614.62758829694</v>
      </c>
      <c r="O63" s="1">
        <v>691.86616809146</v>
      </c>
    </row>
    <row r="64" spans="1:15">
      <c r="A64" s="1">
        <v>11.806684939098</v>
      </c>
      <c r="B64" s="1">
        <v>0.034931577416218</v>
      </c>
      <c r="C64" s="1">
        <v>92.690712515164</v>
      </c>
      <c r="D64" s="1">
        <v>0.037045965218199</v>
      </c>
      <c r="E64" s="1">
        <v>-6.7291371141658</v>
      </c>
      <c r="F64" s="1">
        <v>-2.325717500461</v>
      </c>
      <c r="G64" s="1">
        <v>9906964.6526818</v>
      </c>
      <c r="H64" s="1">
        <v>14164130.434646</v>
      </c>
      <c r="I64" s="1">
        <v>-0.017128484335295</v>
      </c>
      <c r="J64" s="1">
        <v>-0.016428766836993</v>
      </c>
      <c r="K64" s="1">
        <v>0.034797664702468</v>
      </c>
      <c r="L64" s="1">
        <v>-0.69088407754308</v>
      </c>
      <c r="M64" s="1">
        <v>-0.69435399695706</v>
      </c>
      <c r="N64" s="1">
        <v>615.63036795309</v>
      </c>
      <c r="O64" s="1">
        <v>693.13250249897</v>
      </c>
    </row>
    <row r="65" spans="1:15">
      <c r="A65" s="1">
        <v>12.006684939098</v>
      </c>
      <c r="B65" s="1">
        <v>0.03555503683376</v>
      </c>
      <c r="C65" s="1">
        <v>92.69040110408</v>
      </c>
      <c r="D65" s="1">
        <v>0.037674988166693</v>
      </c>
      <c r="E65" s="1">
        <v>-6.7558695864128</v>
      </c>
      <c r="F65" s="1">
        <v>-2.330461221074</v>
      </c>
      <c r="G65" s="1">
        <v>9941828.2394863</v>
      </c>
      <c r="H65" s="1">
        <v>14355498.349702</v>
      </c>
      <c r="I65" s="1">
        <v>-0.017423565895368</v>
      </c>
      <c r="J65" s="1">
        <v>-0.016710901792498</v>
      </c>
      <c r="K65" s="1">
        <v>0.035376663544233</v>
      </c>
      <c r="L65" s="1">
        <v>-0.70483272971617</v>
      </c>
      <c r="M65" s="1">
        <v>-0.70831541137338</v>
      </c>
      <c r="N65" s="1">
        <v>616.62702876844</v>
      </c>
      <c r="O65" s="1">
        <v>694.3904822317</v>
      </c>
    </row>
    <row r="66" spans="1:15">
      <c r="A66" s="1">
        <v>12.206684939098</v>
      </c>
      <c r="B66" s="1">
        <v>0.036178405988875</v>
      </c>
      <c r="C66" s="1">
        <v>92.690090373198</v>
      </c>
      <c r="D66" s="1">
        <v>0.03830391805415</v>
      </c>
      <c r="E66" s="1">
        <v>-6.7345733634737</v>
      </c>
      <c r="F66" s="1">
        <v>-2.3311304333146</v>
      </c>
      <c r="G66" s="1">
        <v>9976669.2412991</v>
      </c>
      <c r="H66" s="1">
        <v>14546914.208735</v>
      </c>
      <c r="I66" s="1">
        <v>-0.017718494131764</v>
      </c>
      <c r="J66" s="1">
        <v>-0.016992863205237</v>
      </c>
      <c r="K66" s="1">
        <v>0.035955322582213</v>
      </c>
      <c r="L66" s="1">
        <v>-0.71884381052131</v>
      </c>
      <c r="M66" s="1">
        <v>-0.72234244568339</v>
      </c>
      <c r="N66" s="1">
        <v>617.61757761166</v>
      </c>
      <c r="O66" s="1">
        <v>695.64023428686</v>
      </c>
    </row>
    <row r="67" spans="1:15">
      <c r="A67" s="1">
        <v>12.406684939098</v>
      </c>
      <c r="B67" s="1">
        <v>0.03680168734618</v>
      </c>
      <c r="C67" s="1">
        <v>92.689764624826</v>
      </c>
      <c r="D67" s="1">
        <v>0.038932757527286</v>
      </c>
      <c r="E67" s="1">
        <v>-6.7384650177586</v>
      </c>
      <c r="F67" s="1">
        <v>-2.3459879881519</v>
      </c>
      <c r="G67" s="1">
        <v>10011486.986281</v>
      </c>
      <c r="H67" s="1">
        <v>14738372.709772</v>
      </c>
      <c r="I67" s="1">
        <v>-0.018013268775059</v>
      </c>
      <c r="J67" s="1">
        <v>-0.01727465089776</v>
      </c>
      <c r="K67" s="1">
        <v>0.036533642224276</v>
      </c>
      <c r="L67" s="1">
        <v>-0.73287265290861</v>
      </c>
      <c r="M67" s="1">
        <v>-0.73636369009724</v>
      </c>
      <c r="N67" s="1">
        <v>618.60231950201</v>
      </c>
      <c r="O67" s="1">
        <v>696.88217274132</v>
      </c>
    </row>
    <row r="68" spans="1:15">
      <c r="A68" s="1">
        <v>12.606684939098</v>
      </c>
      <c r="B68" s="1">
        <v>0.03742488436426</v>
      </c>
      <c r="C68" s="1">
        <v>92.689403153667</v>
      </c>
      <c r="D68" s="1">
        <v>0.039561509865267</v>
      </c>
      <c r="E68" s="1">
        <v>-6.7669103534166</v>
      </c>
      <c r="F68" s="1">
        <v>-2.3744012495329</v>
      </c>
      <c r="G68" s="1">
        <v>10046280.954221</v>
      </c>
      <c r="H68" s="1">
        <v>14929869.331298</v>
      </c>
      <c r="I68" s="1">
        <v>-0.01830789012874</v>
      </c>
      <c r="J68" s="1">
        <v>-0.017556266073559</v>
      </c>
      <c r="K68" s="1">
        <v>0.037111622872983</v>
      </c>
      <c r="L68" s="1">
        <v>-0.7470956027916</v>
      </c>
      <c r="M68" s="1">
        <v>-0.75058627471175</v>
      </c>
      <c r="N68" s="1">
        <v>619.58109820415</v>
      </c>
      <c r="O68" s="1">
        <v>698.11639930452</v>
      </c>
    </row>
    <row r="69" spans="1:15">
      <c r="A69" s="1">
        <v>12.806684939098</v>
      </c>
      <c r="B69" s="1">
        <v>0.038047999123441</v>
      </c>
      <c r="C69" s="1">
        <v>92.689052732108</v>
      </c>
      <c r="D69" s="1">
        <v>0.040190177177215</v>
      </c>
      <c r="E69" s="1">
        <v>-6.7775113220591</v>
      </c>
      <c r="F69" s="1">
        <v>-2.3740484474674</v>
      </c>
      <c r="G69" s="1">
        <v>10081050.548755</v>
      </c>
      <c r="H69" s="1">
        <v>15121399.156319</v>
      </c>
      <c r="I69" s="1">
        <v>-0.018602357147342</v>
      </c>
      <c r="J69" s="1">
        <v>-0.01783770762819</v>
      </c>
      <c r="K69" s="1">
        <v>0.037689264930718</v>
      </c>
      <c r="L69" s="1">
        <v>-0.76111734181932</v>
      </c>
      <c r="M69" s="1">
        <v>-0.76458437691637</v>
      </c>
      <c r="N69" s="1">
        <v>620.55431420587</v>
      </c>
      <c r="O69" s="1">
        <v>699.34300967621</v>
      </c>
    </row>
    <row r="70" spans="1:15">
      <c r="A70" s="1">
        <v>13.006684939098</v>
      </c>
      <c r="B70" s="1">
        <v>0.038671033953229</v>
      </c>
      <c r="C70" s="1">
        <v>92.688708506121</v>
      </c>
      <c r="D70" s="1">
        <v>0.040818762476345</v>
      </c>
      <c r="E70" s="1">
        <v>-6.7883181117437</v>
      </c>
      <c r="F70" s="1">
        <v>-2.3738736841203</v>
      </c>
      <c r="G70" s="1">
        <v>10115795.195978</v>
      </c>
      <c r="H70" s="1">
        <v>15312957.42573</v>
      </c>
      <c r="I70" s="1">
        <v>-0.018896670744151</v>
      </c>
      <c r="J70" s="1">
        <v>-0.018118976518897</v>
      </c>
      <c r="K70" s="1">
        <v>0.038266568793211</v>
      </c>
      <c r="L70" s="1">
        <v>-0.77526800833568</v>
      </c>
      <c r="M70" s="1">
        <v>-0.77873749282504</v>
      </c>
      <c r="N70" s="1">
        <v>621.52199259322</v>
      </c>
      <c r="O70" s="1">
        <v>700.56243848882</v>
      </c>
    </row>
    <row r="71" spans="1:15">
      <c r="A71" s="1">
        <v>13.206684939098</v>
      </c>
      <c r="B71" s="1">
        <v>0.0392939910882</v>
      </c>
      <c r="C71" s="1">
        <v>92.688360707249</v>
      </c>
      <c r="D71" s="1">
        <v>0.041447267975921</v>
      </c>
      <c r="E71" s="1">
        <v>-6.8219408373227</v>
      </c>
      <c r="F71" s="1">
        <v>-2.3745453394522</v>
      </c>
      <c r="G71" s="1">
        <v>10150514.368132</v>
      </c>
      <c r="H71" s="1">
        <v>15504539.611136</v>
      </c>
      <c r="I71" s="1">
        <v>-0.019190830513962</v>
      </c>
      <c r="J71" s="1">
        <v>-0.018400072217769</v>
      </c>
      <c r="K71" s="1">
        <v>0.038843534860379</v>
      </c>
      <c r="L71" s="1">
        <v>-0.78934189827594</v>
      </c>
      <c r="M71" s="1">
        <v>-0.79283419096122</v>
      </c>
      <c r="N71" s="1">
        <v>622.48435564121</v>
      </c>
      <c r="O71" s="1">
        <v>701.77477234707</v>
      </c>
    </row>
    <row r="72" spans="1:15">
      <c r="A72" s="1">
        <v>13.406684939098</v>
      </c>
      <c r="B72" s="1">
        <v>0.039916873223363</v>
      </c>
      <c r="C72" s="1">
        <v>92.687997309471</v>
      </c>
      <c r="D72" s="1">
        <v>0.042075696594393</v>
      </c>
      <c r="E72" s="1">
        <v>-6.8589004164392</v>
      </c>
      <c r="F72" s="1">
        <v>-2.378480312141</v>
      </c>
      <c r="G72" s="1">
        <v>10185207.55437</v>
      </c>
      <c r="H72" s="1">
        <v>15696141.315448</v>
      </c>
      <c r="I72" s="1">
        <v>-0.019484837423038</v>
      </c>
      <c r="J72" s="1">
        <v>-0.018680994879548</v>
      </c>
      <c r="K72" s="1">
        <v>0.039420163531329</v>
      </c>
      <c r="L72" s="1">
        <v>-0.80352500541379</v>
      </c>
      <c r="M72" s="1">
        <v>-0.80700687672679</v>
      </c>
      <c r="N72" s="1">
        <v>623.4413663014</v>
      </c>
      <c r="O72" s="1">
        <v>702.98018823434</v>
      </c>
    </row>
    <row r="73" spans="1:15">
      <c r="A73" s="1">
        <v>13.606684939098</v>
      </c>
      <c r="B73" s="1">
        <v>0.040539683334176</v>
      </c>
      <c r="C73" s="1">
        <v>92.687635617829</v>
      </c>
      <c r="D73" s="1">
        <v>0.042704051093635</v>
      </c>
      <c r="E73" s="1">
        <v>-6.8694633449196</v>
      </c>
      <c r="F73" s="1">
        <v>-2.3780713066233</v>
      </c>
      <c r="G73" s="1">
        <v>10219874.267925</v>
      </c>
      <c r="H73" s="1">
        <v>15887758.272646</v>
      </c>
      <c r="I73" s="1">
        <v>-0.019778692043097</v>
      </c>
      <c r="J73" s="1">
        <v>-0.018961744831504</v>
      </c>
      <c r="K73" s="1">
        <v>0.039996455196348</v>
      </c>
      <c r="L73" s="1">
        <v>-0.81790596943024</v>
      </c>
      <c r="M73" s="1">
        <v>-0.82138453187315</v>
      </c>
      <c r="N73" s="1">
        <v>624.39300543829</v>
      </c>
      <c r="O73" s="1">
        <v>704.1788465669</v>
      </c>
    </row>
    <row r="74" spans="1:15">
      <c r="A74" s="1">
        <v>13.806684939098</v>
      </c>
      <c r="B74" s="1">
        <v>0.041162422711847</v>
      </c>
      <c r="C74" s="1">
        <v>92.68727973704</v>
      </c>
      <c r="D74" s="1">
        <v>0.043332333193025</v>
      </c>
      <c r="E74" s="1">
        <v>-6.9250685555599</v>
      </c>
      <c r="F74" s="1">
        <v>-2.3677749100214</v>
      </c>
      <c r="G74" s="1">
        <v>10254513.912304</v>
      </c>
      <c r="H74" s="1">
        <v>16079385.655883</v>
      </c>
      <c r="I74" s="1">
        <v>-0.020072393354796</v>
      </c>
      <c r="J74" s="1">
        <v>-0.019242320446081</v>
      </c>
      <c r="K74" s="1">
        <v>0.04057241025205</v>
      </c>
      <c r="L74" s="1">
        <v>-0.83201977919903</v>
      </c>
      <c r="M74" s="1">
        <v>-0.8354796593212</v>
      </c>
      <c r="N74" s="1">
        <v>625.33979359496</v>
      </c>
      <c r="O74" s="1">
        <v>705.37087577355</v>
      </c>
    </row>
    <row r="75" spans="1:15">
      <c r="A75" s="1">
        <v>14.006684939098</v>
      </c>
      <c r="B75" s="1">
        <v>0.041785094898879</v>
      </c>
      <c r="C75" s="1">
        <v>92.686920805712</v>
      </c>
      <c r="D75" s="1">
        <v>0.043960546530634</v>
      </c>
      <c r="E75" s="1">
        <v>-6.9027976828319</v>
      </c>
      <c r="F75" s="1">
        <v>-2.3674925471818</v>
      </c>
      <c r="G75" s="1">
        <v>10289126.045297</v>
      </c>
      <c r="H75" s="1">
        <v>16271019.481753</v>
      </c>
      <c r="I75" s="1">
        <v>-0.02036594332619</v>
      </c>
      <c r="J75" s="1">
        <v>-0.019522723389019</v>
      </c>
      <c r="K75" s="1">
        <v>0.041148029089639</v>
      </c>
      <c r="L75" s="1">
        <v>-0.84646204692705</v>
      </c>
      <c r="M75" s="1">
        <v>-0.84991421401869</v>
      </c>
      <c r="N75" s="1">
        <v>626.281393386</v>
      </c>
      <c r="O75" s="1">
        <v>706.55661710112</v>
      </c>
    </row>
    <row r="76" spans="1:15">
      <c r="A76" s="1">
        <v>14.206684939098</v>
      </c>
      <c r="B76" s="1">
        <v>0.042407702179057</v>
      </c>
      <c r="C76" s="1">
        <v>92.686565279276</v>
      </c>
      <c r="D76" s="1">
        <v>0.044588692582652</v>
      </c>
      <c r="E76" s="1">
        <v>-6.9514764863331</v>
      </c>
      <c r="F76" s="1">
        <v>-2.3612598542746</v>
      </c>
      <c r="G76" s="1">
        <v>10323710.191887</v>
      </c>
      <c r="H76" s="1">
        <v>16462655.566482</v>
      </c>
      <c r="I76" s="1">
        <v>-0.020659339984562</v>
      </c>
      <c r="J76" s="1">
        <v>-0.019802952600605</v>
      </c>
      <c r="K76" s="1">
        <v>0.041723312094765</v>
      </c>
      <c r="L76" s="1">
        <v>-0.86059223550583</v>
      </c>
      <c r="M76" s="1">
        <v>-0.86406665295045</v>
      </c>
      <c r="N76" s="1">
        <v>627.21817955874</v>
      </c>
      <c r="O76" s="1">
        <v>707.73588905287</v>
      </c>
    </row>
    <row r="77" spans="1:15">
      <c r="A77" s="1">
        <v>14.406684939098</v>
      </c>
      <c r="B77" s="1">
        <v>0.043030247229771</v>
      </c>
      <c r="C77" s="1">
        <v>92.686216104431</v>
      </c>
      <c r="D77" s="1">
        <v>0.045216774923683</v>
      </c>
      <c r="E77" s="1">
        <v>-6.9521422046145</v>
      </c>
      <c r="F77" s="1">
        <v>-2.3619500798931</v>
      </c>
      <c r="G77" s="1">
        <v>10358265.904032</v>
      </c>
      <c r="H77" s="1">
        <v>16654289.897069</v>
      </c>
      <c r="I77" s="1">
        <v>-0.020952585732617</v>
      </c>
      <c r="J77" s="1">
        <v>-0.020083009253424</v>
      </c>
      <c r="K77" s="1">
        <v>0.042298259661</v>
      </c>
      <c r="L77" s="1">
        <v>-0.87508791034561</v>
      </c>
      <c r="M77" s="1">
        <v>-0.87856120139754</v>
      </c>
      <c r="N77" s="1">
        <v>628.14993895599</v>
      </c>
      <c r="O77" s="1">
        <v>708.90915524069</v>
      </c>
    </row>
    <row r="78" spans="1:15">
      <c r="A78" s="1">
        <v>14.606684939098</v>
      </c>
      <c r="B78" s="1">
        <v>0.043652732611838</v>
      </c>
      <c r="C78" s="1">
        <v>92.685869577907</v>
      </c>
      <c r="D78" s="1">
        <v>0.04584479489611</v>
      </c>
      <c r="E78" s="1">
        <v>-6.9528060739047</v>
      </c>
      <c r="F78" s="1">
        <v>-2.362640935583</v>
      </c>
      <c r="G78" s="1">
        <v>10392792.762785</v>
      </c>
      <c r="H78" s="1">
        <v>16845918.625092</v>
      </c>
      <c r="I78" s="1">
        <v>-0.021245679182152</v>
      </c>
      <c r="J78" s="1">
        <v>-0.020362891809095</v>
      </c>
      <c r="K78" s="1">
        <v>0.042872872168429</v>
      </c>
      <c r="L78" s="1">
        <v>-0.88931419176101</v>
      </c>
      <c r="M78" s="1">
        <v>-0.89276521715265</v>
      </c>
      <c r="N78" s="1">
        <v>629.07697969752</v>
      </c>
      <c r="O78" s="1">
        <v>710.07616522998</v>
      </c>
    </row>
    <row r="79" spans="1:15">
      <c r="A79" s="1">
        <v>14.806684939098</v>
      </c>
      <c r="B79" s="1">
        <v>0.044275159880729</v>
      </c>
      <c r="C79" s="1">
        <v>92.685498779023</v>
      </c>
      <c r="D79" s="1">
        <v>0.046472755465256</v>
      </c>
      <c r="E79" s="1">
        <v>-7.0048069810783</v>
      </c>
      <c r="F79" s="1">
        <v>-2.3597343366853</v>
      </c>
      <c r="G79" s="1">
        <v>10427290.313421</v>
      </c>
      <c r="H79" s="1">
        <v>17037537.713171</v>
      </c>
      <c r="I79" s="1">
        <v>-0.021538621227115</v>
      </c>
      <c r="J79" s="1">
        <v>-0.020642601820925</v>
      </c>
      <c r="K79" s="1">
        <v>0.043447150004747</v>
      </c>
      <c r="L79" s="1">
        <v>-0.90372303691217</v>
      </c>
      <c r="M79" s="1">
        <v>-0.90720361279941</v>
      </c>
      <c r="N79" s="1">
        <v>629.99930294464</v>
      </c>
      <c r="O79" s="1">
        <v>711.23742494402</v>
      </c>
    </row>
    <row r="80" spans="1:15">
      <c r="A80" s="1">
        <v>15.006684939098</v>
      </c>
      <c r="B80" s="1">
        <v>0.044897531633875</v>
      </c>
      <c r="C80" s="1">
        <v>92.685138347539</v>
      </c>
      <c r="D80" s="1">
        <v>0.047100658431872</v>
      </c>
      <c r="E80" s="1">
        <v>-7.060399562263</v>
      </c>
      <c r="F80" s="1">
        <v>-2.3604269038823</v>
      </c>
      <c r="G80" s="1">
        <v>10461758.174344</v>
      </c>
      <c r="H80" s="1">
        <v>17229143.526628</v>
      </c>
      <c r="I80" s="1">
        <v>-0.021831412068146</v>
      </c>
      <c r="J80" s="1">
        <v>-0.020922138206792</v>
      </c>
      <c r="K80" s="1">
        <v>0.044021093556518</v>
      </c>
      <c r="L80" s="1">
        <v>-0.918110659815</v>
      </c>
      <c r="M80" s="1">
        <v>-0.9215753379661</v>
      </c>
      <c r="N80" s="1">
        <v>630.91700732129</v>
      </c>
      <c r="O80" s="1">
        <v>712.39287679764</v>
      </c>
    </row>
    <row r="81" spans="1:15">
      <c r="A81" s="1">
        <v>15.206684939098</v>
      </c>
      <c r="B81" s="1">
        <v>0.045519850328313</v>
      </c>
      <c r="C81" s="1">
        <v>92.684779231704</v>
      </c>
      <c r="D81" s="1">
        <v>0.047728506419936</v>
      </c>
      <c r="E81" s="1">
        <v>-7.0610589452443</v>
      </c>
      <c r="F81" s="1">
        <v>-2.3721063438835</v>
      </c>
      <c r="G81" s="1">
        <v>10496195.976372</v>
      </c>
      <c r="H81" s="1">
        <v>17420732.51594</v>
      </c>
      <c r="I81" s="1">
        <v>-0.022124052080632</v>
      </c>
      <c r="J81" s="1">
        <v>-0.021201501858471</v>
      </c>
      <c r="K81" s="1">
        <v>0.044594703204848</v>
      </c>
      <c r="L81" s="1">
        <v>-0.93262983764651</v>
      </c>
      <c r="M81" s="1">
        <v>-0.93606480846631</v>
      </c>
      <c r="N81" s="1">
        <v>631.83000672888</v>
      </c>
      <c r="O81" s="1">
        <v>713.54260413816</v>
      </c>
    </row>
    <row r="82" spans="1:15">
      <c r="A82" s="1">
        <v>15.406684939098</v>
      </c>
      <c r="B82" s="1">
        <v>0.046142116907421</v>
      </c>
      <c r="C82" s="1">
        <v>92.684415964349</v>
      </c>
      <c r="D82" s="1">
        <v>0.048356300985006</v>
      </c>
      <c r="E82" s="1">
        <v>-7.0606927784391</v>
      </c>
      <c r="F82" s="1">
        <v>-2.3717765335134</v>
      </c>
      <c r="G82" s="1">
        <v>10530603.288486</v>
      </c>
      <c r="H82" s="1">
        <v>17612300.798173</v>
      </c>
      <c r="I82" s="1">
        <v>-0.022416540727574</v>
      </c>
      <c r="J82" s="1">
        <v>-0.021480692472733</v>
      </c>
      <c r="K82" s="1">
        <v>0.04516797933904</v>
      </c>
      <c r="L82" s="1">
        <v>-0.94712560041528</v>
      </c>
      <c r="M82" s="1">
        <v>-0.95056675635919</v>
      </c>
      <c r="N82" s="1">
        <v>632.73863920796</v>
      </c>
      <c r="O82" s="1">
        <v>714.68686244923</v>
      </c>
    </row>
    <row r="83" spans="1:15">
      <c r="A83" s="1">
        <v>15.606684939098</v>
      </c>
      <c r="B83" s="1">
        <v>0.046764333301877</v>
      </c>
      <c r="C83" s="1">
        <v>92.684059049881</v>
      </c>
      <c r="D83" s="1">
        <v>0.048984044008309</v>
      </c>
      <c r="E83" s="1">
        <v>-7.0393738036689</v>
      </c>
      <c r="F83" s="1">
        <v>-2.3724678359947</v>
      </c>
      <c r="G83" s="1">
        <v>10564979.754919</v>
      </c>
      <c r="H83" s="1">
        <v>17803844.906134</v>
      </c>
      <c r="I83" s="1">
        <v>-0.022708878115882</v>
      </c>
      <c r="J83" s="1">
        <v>-0.021759709876122</v>
      </c>
      <c r="K83" s="1">
        <v>0.04574092233822</v>
      </c>
      <c r="L83" s="1">
        <v>-0.96155675090512</v>
      </c>
      <c r="M83" s="1">
        <v>-0.96501319724237</v>
      </c>
      <c r="N83" s="1">
        <v>633.64300937647</v>
      </c>
      <c r="O83" s="1">
        <v>715.8257277306</v>
      </c>
    </row>
    <row r="84" spans="1:15">
      <c r="A84" s="1">
        <v>15.806684939098</v>
      </c>
      <c r="B84" s="1">
        <v>0.047386502808667</v>
      </c>
      <c r="C84" s="1">
        <v>92.683670988492</v>
      </c>
      <c r="D84" s="1">
        <v>0.049611738105561</v>
      </c>
      <c r="E84" s="1">
        <v>-7.060120561425</v>
      </c>
      <c r="F84" s="1">
        <v>-2.3602937653293</v>
      </c>
      <c r="G84" s="1">
        <v>10599325.094877</v>
      </c>
      <c r="H84" s="1">
        <v>17995361.802185</v>
      </c>
      <c r="I84" s="1">
        <v>-0.023001065630301</v>
      </c>
      <c r="J84" s="1">
        <v>-0.022038554159913</v>
      </c>
      <c r="K84" s="1">
        <v>0.046313532584023</v>
      </c>
      <c r="L84" s="1">
        <v>-0.97607171977019</v>
      </c>
      <c r="M84" s="1">
        <v>-0.97951807802701</v>
      </c>
      <c r="N84" s="1">
        <v>634.54283867683</v>
      </c>
      <c r="O84" s="1">
        <v>716.95909624516</v>
      </c>
    </row>
    <row r="85" spans="1:15">
      <c r="A85" s="1">
        <v>16.006684939098</v>
      </c>
      <c r="B85" s="1">
        <v>0.048008626082884</v>
      </c>
      <c r="C85" s="1">
        <v>92.683297201857</v>
      </c>
      <c r="D85" s="1">
        <v>0.050239384970255</v>
      </c>
      <c r="E85" s="1">
        <v>-7.1308576348002</v>
      </c>
      <c r="F85" s="1">
        <v>-2.3651525017751</v>
      </c>
      <c r="G85" s="1">
        <v>10633638.92993</v>
      </c>
      <c r="H85" s="1">
        <v>18186847.88381</v>
      </c>
      <c r="I85" s="1">
        <v>-0.02329310326284</v>
      </c>
      <c r="J85" s="1">
        <v>-0.022317225287525</v>
      </c>
      <c r="K85" s="1">
        <v>0.046885810465904</v>
      </c>
      <c r="L85" s="1">
        <v>-0.99070517634928</v>
      </c>
      <c r="M85" s="1">
        <v>-0.99413143216136</v>
      </c>
      <c r="N85" s="1">
        <v>635.4384336408</v>
      </c>
      <c r="O85" s="1">
        <v>718.08734589029</v>
      </c>
    </row>
    <row r="86" spans="1:15">
      <c r="A86" s="1">
        <v>16.206684939098</v>
      </c>
      <c r="B86" s="1">
        <v>0.048630705346974</v>
      </c>
      <c r="C86" s="1">
        <v>92.682929641167</v>
      </c>
      <c r="D86" s="1">
        <v>0.050866986175977</v>
      </c>
      <c r="E86" s="1">
        <v>-7.1644623217699</v>
      </c>
      <c r="F86" s="1">
        <v>-2.3658411659561</v>
      </c>
      <c r="G86" s="1">
        <v>10667920.945372</v>
      </c>
      <c r="H86" s="1">
        <v>18378299.940355</v>
      </c>
      <c r="I86" s="1">
        <v>-0.023584990584198</v>
      </c>
      <c r="J86" s="1">
        <v>-0.02259572300256</v>
      </c>
      <c r="K86" s="1">
        <v>0.047457756363132</v>
      </c>
      <c r="L86" s="1">
        <v>-1.0052352685224</v>
      </c>
      <c r="M86" s="1">
        <v>-1.0086899420285</v>
      </c>
      <c r="N86" s="1">
        <v>636.32992060767</v>
      </c>
      <c r="O86" s="1">
        <v>719.21045239456</v>
      </c>
    </row>
    <row r="87" spans="1:15">
      <c r="A87" s="1">
        <v>16.406684939098</v>
      </c>
      <c r="B87" s="1">
        <v>0.049252743396895</v>
      </c>
      <c r="C87" s="1">
        <v>92.682538109316</v>
      </c>
      <c r="D87" s="1">
        <v>0.051494544292727</v>
      </c>
      <c r="E87" s="1">
        <v>-7.1519618145705</v>
      </c>
      <c r="F87" s="1">
        <v>-2.3423951199943</v>
      </c>
      <c r="G87" s="1">
        <v>10702170.877992</v>
      </c>
      <c r="H87" s="1">
        <v>18569715.051288</v>
      </c>
      <c r="I87" s="1">
        <v>-0.023876729276916</v>
      </c>
      <c r="J87" s="1">
        <v>-0.02287404731884</v>
      </c>
      <c r="K87" s="1">
        <v>0.048029370658765</v>
      </c>
      <c r="L87" s="1">
        <v>-1.0199085973745</v>
      </c>
      <c r="M87" s="1">
        <v>-1.0233448451161</v>
      </c>
      <c r="N87" s="1">
        <v>637.21705756038</v>
      </c>
      <c r="O87" s="1">
        <v>720.32841834739</v>
      </c>
    </row>
    <row r="88" spans="1:15">
      <c r="A88" s="1">
        <v>16.606684939098</v>
      </c>
      <c r="B88" s="1">
        <v>0.049874741416682</v>
      </c>
      <c r="C88" s="1">
        <v>92.682150385931</v>
      </c>
      <c r="D88" s="1">
        <v>0.052122060701588</v>
      </c>
      <c r="E88" s="1">
        <v>-7.1349155637523</v>
      </c>
      <c r="F88" s="1">
        <v>-2.3473652127652</v>
      </c>
      <c r="G88" s="1">
        <v>10736388.41063</v>
      </c>
      <c r="H88" s="1">
        <v>18761089.978921</v>
      </c>
      <c r="I88" s="1">
        <v>-0.02416831887463</v>
      </c>
      <c r="J88" s="1">
        <v>-0.023152197566174</v>
      </c>
      <c r="K88" s="1">
        <v>0.048600653732536</v>
      </c>
      <c r="L88" s="1">
        <v>-1.034503410662</v>
      </c>
      <c r="M88" s="1">
        <v>-1.0379183151927</v>
      </c>
      <c r="N88" s="1">
        <v>638.10017064141</v>
      </c>
      <c r="O88" s="1">
        <v>721.4413818574</v>
      </c>
    </row>
    <row r="89" spans="1:15">
      <c r="A89" s="1">
        <v>16.806684939098</v>
      </c>
      <c r="B89" s="1">
        <v>0.050496701301538</v>
      </c>
      <c r="C89" s="1">
        <v>92.681765126733</v>
      </c>
      <c r="D89" s="1">
        <v>0.052749537836162</v>
      </c>
      <c r="E89" s="1">
        <v>-7.1135801675131</v>
      </c>
      <c r="F89" s="1">
        <v>-2.3480508633319</v>
      </c>
      <c r="G89" s="1">
        <v>10770573.25768</v>
      </c>
      <c r="H89" s="1">
        <v>18952421.689869</v>
      </c>
      <c r="I89" s="1">
        <v>-0.024459760686223</v>
      </c>
      <c r="J89" s="1">
        <v>-0.023430174308487</v>
      </c>
      <c r="K89" s="1">
        <v>0.049171605971872</v>
      </c>
      <c r="L89" s="1">
        <v>-1.0493096104313</v>
      </c>
      <c r="M89" s="1">
        <v>-1.0527169259595</v>
      </c>
      <c r="N89" s="1">
        <v>638.979159014</v>
      </c>
      <c r="O89" s="1">
        <v>722.54954730424</v>
      </c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workbookViewId="0">
      <selection activeCell="A1" sqref="A1:O67"/>
    </sheetView>
  </sheetViews>
  <sheetFormatPr defaultColWidth="8.81333333333333" defaultRowHeight="15"/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2"/>
      <c r="C3" s="1"/>
      <c r="D3" s="2"/>
      <c r="E3" s="1"/>
      <c r="F3" s="1"/>
      <c r="G3" s="1"/>
      <c r="H3" s="1"/>
      <c r="I3" s="2"/>
      <c r="J3" s="2"/>
      <c r="K3" s="2"/>
      <c r="L3" s="2"/>
      <c r="M3" s="2"/>
      <c r="N3" s="1"/>
      <c r="O3" s="1"/>
    </row>
    <row r="4" spans="1:15">
      <c r="A4" s="1"/>
      <c r="B4" s="2"/>
      <c r="C4" s="1"/>
      <c r="D4" s="2"/>
      <c r="E4" s="1"/>
      <c r="F4" s="1"/>
      <c r="G4" s="1"/>
      <c r="H4" s="1"/>
      <c r="I4" s="2"/>
      <c r="J4" s="2"/>
      <c r="K4" s="2"/>
      <c r="L4" s="2"/>
      <c r="M4" s="2"/>
      <c r="N4" s="1"/>
      <c r="O4" s="1"/>
    </row>
    <row r="5" spans="1:15">
      <c r="A5" s="1"/>
      <c r="B5" s="2"/>
      <c r="C5" s="1"/>
      <c r="D5" s="1"/>
      <c r="E5" s="1"/>
      <c r="F5" s="1"/>
      <c r="G5" s="1"/>
      <c r="H5" s="1"/>
      <c r="I5" s="2"/>
      <c r="J5" s="2"/>
      <c r="K5" s="1"/>
      <c r="L5" s="2"/>
      <c r="M5" s="2"/>
      <c r="N5" s="1"/>
      <c r="O5" s="1"/>
    </row>
    <row r="6" spans="1:1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1"/>
      <c r="O6" s="1"/>
    </row>
    <row r="7" spans="1:1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2"/>
      <c r="M7" s="2"/>
      <c r="N7" s="1"/>
      <c r="O7" s="1"/>
    </row>
    <row r="8" spans="1:1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2"/>
      <c r="M8" s="2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Exp</vt:lpstr>
      <vt:lpstr>Graph</vt:lpstr>
      <vt:lpstr>973K</vt:lpstr>
      <vt:lpstr>923K</vt:lpstr>
      <vt:lpstr>873K</vt:lpstr>
      <vt:lpstr>823K</vt:lpstr>
      <vt:lpstr>773K</vt:lpstr>
      <vt:lpstr>723K</vt:lpstr>
      <vt:lpstr>673K</vt:lpstr>
      <vt:lpstr>573K</vt:lpstr>
      <vt:lpstr>473K</vt:lpstr>
      <vt:lpstr>300K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2025-01-25T11:23:00Z</dcterms:created>
  <dcterms:modified xsi:type="dcterms:W3CDTF">2025-04-13T09:54:23Z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