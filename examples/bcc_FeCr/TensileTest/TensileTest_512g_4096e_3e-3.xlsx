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Exp" sheetId="1" state="visible" r:id="rId1"/>
    <sheet xmlns:r="http://schemas.openxmlformats.org/officeDocument/2006/relationships" name="Graph" sheetId="2" state="visible" r:id="rId2"/>
    <sheet xmlns:r="http://schemas.openxmlformats.org/officeDocument/2006/relationships" name="923K" sheetId="3" state="visible" r:id="rId3"/>
    <sheet xmlns:r="http://schemas.openxmlformats.org/officeDocument/2006/relationships" name="873K" sheetId="4" state="visible" r:id="rId4"/>
    <sheet xmlns:r="http://schemas.openxmlformats.org/officeDocument/2006/relationships" name="823K" sheetId="5" state="visible" r:id="rId5"/>
    <sheet xmlns:r="http://schemas.openxmlformats.org/officeDocument/2006/relationships" name="773K" sheetId="6" state="visible" r:id="rId6"/>
    <sheet xmlns:r="http://schemas.openxmlformats.org/officeDocument/2006/relationships" name="723K" sheetId="7" state="visible" r:id="rId7"/>
    <sheet xmlns:r="http://schemas.openxmlformats.org/officeDocument/2006/relationships" name="673K" sheetId="8" state="visible" r:id="rId8"/>
    <sheet xmlns:r="http://schemas.openxmlformats.org/officeDocument/2006/relationships" name="573K" sheetId="9" state="visible" r:id="rId9"/>
    <sheet xmlns:r="http://schemas.openxmlformats.org/officeDocument/2006/relationships" name="473K" sheetId="10" state="visible" r:id="rId10"/>
    <sheet xmlns:r="http://schemas.openxmlformats.org/officeDocument/2006/relationships" name="props-723to923" sheetId="11" state="visible" r:id="rId11"/>
    <sheet xmlns:r="http://schemas.openxmlformats.org/officeDocument/2006/relationships" name="Summary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onsolas"/>
      <family val="3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1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1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11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plotArea>
      <layout/>
      <scatterChart>
        <scatterStyle val="smoothMarker"/>
        <varyColors val="0"/>
        <ser>
          <idx val="0"/>
          <order val="0"/>
          <tx>
            <strRef>
              <f>Exp!$S$2</f>
              <strCache>
                <ptCount val="1"/>
                <pt idx="0">
                  <v>573K 2014 Singh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1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Exp!$S$3:$S$19</f>
              <numCache>
                <formatCode>General</formatCode>
                <ptCount val="17"/>
                <pt idx="0">
                  <v>0.003</v>
                </pt>
                <pt idx="1">
                  <v>0.01</v>
                </pt>
                <pt idx="2">
                  <v>0.015</v>
                </pt>
                <pt idx="3">
                  <v>0.02</v>
                </pt>
                <pt idx="4">
                  <v>0.025</v>
                </pt>
                <pt idx="5">
                  <v>0.03</v>
                </pt>
                <pt idx="6">
                  <v>0.035</v>
                </pt>
                <pt idx="7">
                  <v>0.04</v>
                </pt>
                <pt idx="8">
                  <v>0.045</v>
                </pt>
                <pt idx="9">
                  <v>0.05</v>
                </pt>
                <pt idx="10">
                  <v>0.055</v>
                </pt>
                <pt idx="11">
                  <v>0.06</v>
                </pt>
                <pt idx="12">
                  <v>0.065</v>
                </pt>
                <pt idx="13">
                  <v>0.07000000000000001</v>
                </pt>
                <pt idx="14">
                  <v>0.075</v>
                </pt>
                <pt idx="15">
                  <v>0.08</v>
                </pt>
                <pt idx="16">
                  <v>0.08500000000000001</v>
                </pt>
              </numCache>
            </numRef>
          </xVal>
          <yVal>
            <numRef>
              <f>Exp!$T$3:$T$19</f>
              <numCache>
                <formatCode>General</formatCode>
                <ptCount val="17"/>
                <pt idx="0">
                  <v>474.2896812359172</v>
                </pt>
                <pt idx="1">
                  <v>527.8834594644215</v>
                </pt>
                <pt idx="2">
                  <v>547.2630026188498</v>
                </pt>
                <pt idx="3">
                  <v>561.4429610945951</v>
                </pt>
                <pt idx="4">
                  <v>572.6943252073712</v>
                </pt>
                <pt idx="5">
                  <v>582.0545333994404</v>
                </pt>
                <pt idx="6">
                  <v>590.0877306078607</v>
                </pt>
                <pt idx="7">
                  <v>597.1359642192244</v>
                </pt>
                <pt idx="8">
                  <v>603.4227932795463</v>
                </pt>
                <pt idx="9">
                  <v>609.1026191135443</v>
                </pt>
                <pt idx="10">
                  <v>614.2866887697103</v>
                </pt>
                <pt idx="11">
                  <v>619.057890318952</v>
                </pt>
                <pt idx="12">
                  <v>623.4796886228039</v>
                </pt>
                <pt idx="13">
                  <v>627.601787550224</v>
                </pt>
                <pt idx="14">
                  <v>631.4638624541908</v>
                </pt>
                <pt idx="15">
                  <v>635.0981034099127</v>
                </pt>
                <pt idx="16">
                  <v>638.5309976403195</v>
                </pt>
              </numCache>
            </numRef>
          </yVal>
          <smooth val="1"/>
        </ser>
        <ser>
          <idx val="1"/>
          <order val="1"/>
          <tx>
            <v>Sim_573K</v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2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'573K'!$K$2:$K$280</f>
              <numCache>
                <formatCode>0.00E+00</formatCode>
                <ptCount val="279"/>
                <pt idx="0">
                  <formatCode>General</formatCode>
                  <v>0</v>
                </pt>
                <pt idx="1">
                  <v>4.7583498075146e-06</v>
                </pt>
                <pt idx="2">
                  <v>1.6988437265671e-05</v>
                </pt>
                <pt idx="3">
                  <v>4.8422238810202e-05</v>
                </pt>
                <pt idx="4">
                  <formatCode>General</formatCode>
                  <v>0.000129210676412</v>
                </pt>
                <pt idx="5">
                  <formatCode>General</formatCode>
                  <v>0.00032586289823863</v>
                </pt>
                <pt idx="6">
                  <formatCode>General</formatCode>
                  <v>0.00062571871330888</v>
                </pt>
                <pt idx="7">
                  <formatCode>General</formatCode>
                  <v>0.00092548371136566</v>
                </pt>
                <pt idx="8">
                  <formatCode>General</formatCode>
                  <v>0.0012251579487187</v>
                </pt>
                <pt idx="9">
                  <formatCode>General</formatCode>
                  <v>0.0015247414979166</v>
                </pt>
                <pt idx="10">
                  <formatCode>General</formatCode>
                  <v>0.0018242347249826</v>
                </pt>
                <pt idx="11">
                  <formatCode>General</formatCode>
                  <v>0.0021236377368423</v>
                </pt>
                <pt idx="12">
                  <formatCode>General</formatCode>
                  <v>0.0024229494430389</v>
                </pt>
                <pt idx="13">
                  <formatCode>General</formatCode>
                  <v>0.0027221693883084</v>
                </pt>
                <pt idx="14">
                  <formatCode>General</formatCode>
                  <v>0.0030212977000976</v>
                </pt>
                <pt idx="15">
                  <formatCode>General</formatCode>
                  <v>0.0033203344688581</v>
                </pt>
                <pt idx="16">
                  <formatCode>General</formatCode>
                  <v>0.003619279681402</v>
                </pt>
                <pt idx="17">
                  <formatCode>General</formatCode>
                  <v>0.0039181333796278</v>
                </pt>
                <pt idx="18">
                  <formatCode>General</formatCode>
                  <v>0.0042168956538415</v>
                </pt>
                <pt idx="19">
                  <formatCode>General</formatCode>
                  <v>0.0045155666674734</v>
                </pt>
                <pt idx="20">
                  <formatCode>General</formatCode>
                  <v>0.0048141466148214</v>
                </pt>
                <pt idx="21">
                  <formatCode>General</formatCode>
                  <v>0.005112635661887</v>
                </pt>
                <pt idx="22">
                  <formatCode>General</formatCode>
                  <v>0.0054110339377973</v>
                </pt>
                <pt idx="23">
                  <formatCode>General</formatCode>
                  <v>0.0057093415578116</v>
                </pt>
                <pt idx="24">
                  <formatCode>General</formatCode>
                  <v>0.006007558625236</v>
                </pt>
                <pt idx="25">
                  <formatCode>General</formatCode>
                  <v>0.0063056852171509</v>
                </pt>
                <pt idx="26">
                  <formatCode>General</formatCode>
                  <v>0.0066037214011439</v>
                </pt>
                <pt idx="27">
                  <formatCode>General</formatCode>
                  <v>0.0069016672395159</v>
                </pt>
                <pt idx="28">
                  <formatCode>General</formatCode>
                  <v>0.0071995227815959</v>
                </pt>
                <pt idx="29">
                  <formatCode>General</formatCode>
                  <v>0.0074972880706056</v>
                </pt>
                <pt idx="30">
                  <formatCode>General</formatCode>
                  <v>0.007794963158871</v>
                </pt>
                <pt idx="31">
                  <formatCode>General</formatCode>
                  <v>0.0080925481068513</v>
                </pt>
                <pt idx="32">
                  <formatCode>General</formatCode>
                  <v>0.0083900429781358</v>
                </pt>
                <pt idx="33">
                  <formatCode>General</formatCode>
                  <v>0.008687447837077301</v>
                </pt>
                <pt idx="34">
                  <formatCode>General</formatCode>
                  <v>0.0089847627473512</v>
                </pt>
                <pt idx="35">
                  <formatCode>General</formatCode>
                  <v>0.009281987772693101</v>
                </pt>
                <pt idx="36">
                  <formatCode>General</formatCode>
                  <v>0.0095791229769408</v>
                </pt>
                <pt idx="37">
                  <formatCode>General</formatCode>
                  <v>0.0098761684199645</v>
                </pt>
                <pt idx="38">
                  <formatCode>General</formatCode>
                  <v>0.010173124163976</v>
                </pt>
                <pt idx="39">
                  <formatCode>General</formatCode>
                  <v>0.010469990270338</v>
                </pt>
                <pt idx="40">
                  <formatCode>General</formatCode>
                  <v>0.010766766799502</v>
                </pt>
                <pt idx="41">
                  <formatCode>General</formatCode>
                  <v>0.011063453812564</v>
                </pt>
                <pt idx="42">
                  <formatCode>General</formatCode>
                  <v>0.011360051367161</v>
                </pt>
                <pt idx="43">
                  <formatCode>General</formatCode>
                  <v>0.011656559520344</v>
                </pt>
                <pt idx="44">
                  <formatCode>General</formatCode>
                  <v>0.011952978330214</v>
                </pt>
                <pt idx="45">
                  <formatCode>General</formatCode>
                  <v>0.012249307854744</v>
                </pt>
                <pt idx="46">
                  <formatCode>General</formatCode>
                  <v>0.01254554814888</v>
                </pt>
                <pt idx="47">
                  <formatCode>General</formatCode>
                  <v>0.012841699265453</v>
                </pt>
                <pt idx="48">
                  <formatCode>General</formatCode>
                  <v>0.013137761255368</v>
                </pt>
                <pt idx="49">
                  <formatCode>General</formatCode>
                  <v>0.013433734166837</v>
                </pt>
                <pt idx="50">
                  <formatCode>General</formatCode>
                  <v>0.013729618052975</v>
                </pt>
                <pt idx="51">
                  <formatCode>General</formatCode>
                  <v>0.014025412966432</v>
                </pt>
                <pt idx="52">
                  <formatCode>General</formatCode>
                  <v>0.01432111896004</v>
                </pt>
                <pt idx="53">
                  <formatCode>General</formatCode>
                  <v>0.014616736091239</v>
                </pt>
                <pt idx="54">
                  <formatCode>General</formatCode>
                  <v>0.014912264418233</v>
                </pt>
                <pt idx="55">
                  <formatCode>General</formatCode>
                  <v>0.015207703998793</v>
                </pt>
                <pt idx="56">
                  <formatCode>General</formatCode>
                  <v>0.015503054890594</v>
                </pt>
                <pt idx="57">
                  <formatCode>General</formatCode>
                  <v>0.015798317154314</v>
                </pt>
                <pt idx="58">
                  <formatCode>General</formatCode>
                  <v>0.016093490849079</v>
                </pt>
                <pt idx="59">
                  <formatCode>General</formatCode>
                  <v>0.01638857603568</v>
                </pt>
                <pt idx="60">
                  <formatCode>General</formatCode>
                  <v>0.016683572772413</v>
                </pt>
                <pt idx="61">
                  <formatCode>General</formatCode>
                  <v>0.016978481119006</v>
                </pt>
                <pt idx="62">
                  <formatCode>General</formatCode>
                  <v>0.017273301132452</v>
                </pt>
                <pt idx="63">
                  <formatCode>General</formatCode>
                  <v>0.01756803286808</v>
                </pt>
                <pt idx="64">
                  <formatCode>General</formatCode>
                  <v>0.017862676381663</v>
                </pt>
                <pt idx="65">
                  <formatCode>General</formatCode>
                  <v>0.018157231729352</v>
                </pt>
                <pt idx="66">
                  <formatCode>General</formatCode>
                  <v>0.01845169896459</v>
                </pt>
                <pt idx="67">
                  <formatCode>General</formatCode>
                  <v>0.018746078142449</v>
                </pt>
                <pt idx="68">
                  <formatCode>General</formatCode>
                  <v>0.019040369317227</v>
                </pt>
                <pt idx="69">
                  <formatCode>General</formatCode>
                  <v>0.019334572545789</v>
                </pt>
                <pt idx="70">
                  <formatCode>General</formatCode>
                  <v>0.019628687880981</v>
                </pt>
                <pt idx="71">
                  <formatCode>General</formatCode>
                  <v>0.019922715379161</v>
                </pt>
                <pt idx="72">
                  <formatCode>General</formatCode>
                  <v>0.020216655093609</v>
                </pt>
                <pt idx="73">
                  <formatCode>General</formatCode>
                  <v>0.020510507076352</v>
                </pt>
                <pt idx="74">
                  <formatCode>General</formatCode>
                  <v>0.020804271382053</v>
                </pt>
                <pt idx="75">
                  <formatCode>General</formatCode>
                  <v>0.021097948065748</v>
                </pt>
                <pt idx="76">
                  <formatCode>General</formatCode>
                  <v>0.021391537178123</v>
                </pt>
                <pt idx="77">
                  <formatCode>General</formatCode>
                  <v>0.021685038776479</v>
                </pt>
                <pt idx="78">
                  <formatCode>General</formatCode>
                  <v>0.021978452911877</v>
                </pt>
                <pt idx="79">
                  <formatCode>General</formatCode>
                  <v>0.022271779640892</v>
                </pt>
                <pt idx="80">
                  <formatCode>General</formatCode>
                  <v>0.022565019016099</v>
                </pt>
                <pt idx="81">
                  <formatCode>General</formatCode>
                  <v>0.022858171091418</v>
                </pt>
                <pt idx="82">
                  <formatCode>General</formatCode>
                  <v>0.023151235918714</v>
                </pt>
                <pt idx="83">
                  <formatCode>General</formatCode>
                  <v>0.023444213551176</v>
                </pt>
                <pt idx="84">
                  <formatCode>General</formatCode>
                  <v>0.023737104038115</v>
                </pt>
                <pt idx="85">
                  <formatCode>General</formatCode>
                  <v>0.024029907433995</v>
                </pt>
                <pt idx="86">
                  <formatCode>General</formatCode>
                  <v>0.024322623791451</v>
                </pt>
                <pt idx="87">
                  <formatCode>General</formatCode>
                  <v>0.024615253162703</v>
                </pt>
                <pt idx="88">
                  <formatCode>General</formatCode>
                  <v>0.024907795599865</v>
                </pt>
                <pt idx="89">
                  <formatCode>General</formatCode>
                  <v>0.02520025115768</v>
                </pt>
                <pt idx="90">
                  <formatCode>General</formatCode>
                  <v>0.025492619885877</v>
                </pt>
                <pt idx="91">
                  <formatCode>General</formatCode>
                  <v>0.025784901836771</v>
                </pt>
                <pt idx="92">
                  <formatCode>General</formatCode>
                  <v>0.026077097061929</v>
                </pt>
                <pt idx="93">
                  <formatCode>General</formatCode>
                  <v>0.026369205614322</v>
                </pt>
                <pt idx="94">
                  <formatCode>General</formatCode>
                  <v>0.026661227541697</v>
                </pt>
                <pt idx="95">
                  <formatCode>General</formatCode>
                  <v>0.026953162897275</v>
                </pt>
                <pt idx="96">
                  <formatCode>General</formatCode>
                  <v>0.027245011730499</v>
                </pt>
                <pt idx="97">
                  <formatCode>General</formatCode>
                  <v>0.027536774096313</v>
                </pt>
                <pt idx="98">
                  <formatCode>General</formatCode>
                  <v>0.027828450047616</v>
                </pt>
                <pt idx="99">
                  <formatCode>General</formatCode>
                  <v>0.028120039633661</v>
                </pt>
                <pt idx="100">
                  <formatCode>General</formatCode>
                  <v>0.028411542907988</v>
                </pt>
                <pt idx="101">
                  <formatCode>General</formatCode>
                  <v>0.028702959921054</v>
                </pt>
                <pt idx="102">
                  <formatCode>General</formatCode>
                  <v>0.028994290727771</v>
                </pt>
                <pt idx="103">
                  <formatCode>General</formatCode>
                  <v>0.029285535379893</v>
                </pt>
                <pt idx="104">
                  <formatCode>General</formatCode>
                  <v>0.02957669393081</v>
                </pt>
                <pt idx="105">
                  <formatCode>General</formatCode>
                  <v>0.029867766433243</v>
                </pt>
                <pt idx="106">
                  <formatCode>General</formatCode>
                  <v>0.030158752941315</v>
                </pt>
                <pt idx="107">
                  <formatCode>General</formatCode>
                  <v>0.030449653500793</v>
                </pt>
                <pt idx="108">
                  <formatCode>General</formatCode>
                  <v>0.030740468165767</v>
                </pt>
                <pt idx="109">
                  <formatCode>General</formatCode>
                  <v>0.031031196989626</v>
                </pt>
                <pt idx="110">
                  <formatCode>General</formatCode>
                  <v>0.031321840024521</v>
                </pt>
                <pt idx="111">
                  <formatCode>General</formatCode>
                  <v>0.031612397322988</v>
                </pt>
                <pt idx="112">
                  <formatCode>General</formatCode>
                  <v>0.031902868933138</v>
                </pt>
                <pt idx="113">
                  <formatCode>General</formatCode>
                  <v>0.032193254906899</v>
                </pt>
                <pt idx="114">
                  <formatCode>General</formatCode>
                  <v>0.032483555296684</v>
                </pt>
                <pt idx="115">
                  <formatCode>General</formatCode>
                  <v>0.032773770151446</v>
                </pt>
                <pt idx="116">
                  <formatCode>General</formatCode>
                  <v>0.033063899524808</v>
                </pt>
                <pt idx="117">
                  <formatCode>General</formatCode>
                  <v>0.033353943467737</v>
                </pt>
                <pt idx="118">
                  <formatCode>General</formatCode>
                  <v>0.033643902034175</v>
                </pt>
                <pt idx="119">
                  <formatCode>General</formatCode>
                  <v>0.033933775271946</v>
                </pt>
                <pt idx="120">
                  <formatCode>General</formatCode>
                  <v>0.034223563230987</v>
                </pt>
                <pt idx="121">
                  <formatCode>General</formatCode>
                  <v>0.03451326596274</v>
                </pt>
                <pt idx="122">
                  <formatCode>General</formatCode>
                  <v>0.034802883517266</v>
                </pt>
                <pt idx="123">
                  <formatCode>General</formatCode>
                  <v>0.035092415948265</v>
                </pt>
                <pt idx="124">
                  <formatCode>General</formatCode>
                  <v>0.035381863306762</v>
                </pt>
                <pt idx="125">
                  <formatCode>General</formatCode>
                  <v>0.035671225645302</v>
                </pt>
                <pt idx="126">
                  <formatCode>General</formatCode>
                  <v>0.035960503018007</v>
                </pt>
                <pt idx="127">
                  <formatCode>General</formatCode>
                  <v>0.036249695470442</v>
                </pt>
                <pt idx="128">
                  <formatCode>General</formatCode>
                  <v>0.036538803056036</v>
                </pt>
                <pt idx="129">
                  <formatCode>General</formatCode>
                  <v>0.036827825826942</v>
                </pt>
                <pt idx="130">
                  <formatCode>General</formatCode>
                  <v>0.037116763836266</v>
                </pt>
                <pt idx="131">
                  <formatCode>General</formatCode>
                  <v>0.037405617133009</v>
                </pt>
                <pt idx="132">
                  <formatCode>General</formatCode>
                  <v>0.037694385765606</v>
                </pt>
                <pt idx="133">
                  <formatCode>General</formatCode>
                  <v>0.03798306978882</v>
                </pt>
                <pt idx="134">
                  <formatCode>General</formatCode>
                  <v>0.038271669253028</v>
                </pt>
                <pt idx="135">
                  <formatCode>General</formatCode>
                  <v>0.038560184207729</v>
                </pt>
                <pt idx="136">
                  <formatCode>General</formatCode>
                  <v>0.03884861470412</v>
                </pt>
                <pt idx="137">
                  <formatCode>General</formatCode>
                  <v>0.039136960793823</v>
                </pt>
                <pt idx="138">
                  <formatCode>General</formatCode>
                  <v>0.039425222527469</v>
                </pt>
                <pt idx="139">
                  <formatCode>General</formatCode>
                  <v>0.039713399958481</v>
                </pt>
                <pt idx="140">
                  <formatCode>General</formatCode>
                  <v>0.040001493140081</v>
                </pt>
                <pt idx="141">
                  <formatCode>General</formatCode>
                  <v>0.040289502118531</v>
                </pt>
                <pt idx="142">
                  <formatCode>General</formatCode>
                  <v>0.04057742694476</v>
                </pt>
                <pt idx="143">
                  <formatCode>General</formatCode>
                  <v>0.040865267672403</v>
                </pt>
                <pt idx="144">
                  <formatCode>General</formatCode>
                  <v>0.041153024352985</v>
                </pt>
                <pt idx="145">
                  <formatCode>General</formatCode>
                  <v>0.04144069703584</v>
                </pt>
                <pt idx="146">
                  <formatCode>General</formatCode>
                  <v>0.041728285763706</v>
                </pt>
                <pt idx="147">
                  <formatCode>General</formatCode>
                  <v>0.042015790590768</v>
                </pt>
                <pt idx="148">
                  <formatCode>General</formatCode>
                  <v>0.042303211565695</v>
                </pt>
                <pt idx="149">
                  <formatCode>General</formatCode>
                  <v>0.042590548739132</v>
                </pt>
                <pt idx="150">
                  <formatCode>General</formatCode>
                  <v>0.042877802162465</v>
                </pt>
                <pt idx="151">
                  <formatCode>General</formatCode>
                  <v>0.043164971880807</v>
                </pt>
                <pt idx="152">
                  <formatCode>General</formatCode>
                  <v>0.043452057944542</v>
                </pt>
                <pt idx="153">
                  <formatCode>General</formatCode>
                  <v>0.043739060402198</v>
                </pt>
                <pt idx="154">
                  <formatCode>General</formatCode>
                  <v>0.04402597930449</v>
                </pt>
                <pt idx="155">
                  <formatCode>General</formatCode>
                  <v>0.044312814700806</v>
                </pt>
                <pt idx="156">
                  <formatCode>General</formatCode>
                  <v>0.04459956663748</v>
                </pt>
                <pt idx="157">
                  <formatCode>General</formatCode>
                  <v>0.04488623516259</v>
                </pt>
                <pt idx="158">
                  <formatCode>General</formatCode>
                  <v>0.045172820329148</v>
                </pt>
                <pt idx="159">
                  <formatCode>General</formatCode>
                  <v>0.045459322177865</v>
                </pt>
                <pt idx="160">
                  <formatCode>General</formatCode>
                  <v>0.045745740761751</v>
                </pt>
                <pt idx="161">
                  <formatCode>General</formatCode>
                  <v>0.046032076132416</v>
                </pt>
                <pt idx="162">
                  <formatCode>General</formatCode>
                  <v>0.046318328327723</v>
                </pt>
                <pt idx="163">
                  <formatCode>General</formatCode>
                  <v>0.046604497403817</v>
                </pt>
                <pt idx="164">
                  <formatCode>General</formatCode>
                  <v>0.0468905834089</v>
                </pt>
                <pt idx="165">
                  <formatCode>General</formatCode>
                  <v>0.047176586389007</v>
                </pt>
                <pt idx="166">
                  <formatCode>General</formatCode>
                  <v>0.047462506393045</v>
                </pt>
                <pt idx="167">
                  <formatCode>General</formatCode>
                  <v>0.047748343468749</v>
                </pt>
                <pt idx="168">
                  <formatCode>General</formatCode>
                  <v>0.048034097665823</v>
                </pt>
                <pt idx="169">
                  <formatCode>General</formatCode>
                  <v>0.048319769030002</v>
                </pt>
                <pt idx="170">
                  <formatCode>General</formatCode>
                  <v>0.048605357614267</v>
                </pt>
                <pt idx="171">
                  <formatCode>General</formatCode>
                  <v>0.048890863467873</v>
                </pt>
                <pt idx="172">
                  <formatCode>General</formatCode>
                  <v>0.049176286637492</v>
                </pt>
                <pt idx="173">
                  <formatCode>General</formatCode>
                  <v>0.049461627174245</v>
                </pt>
                <pt idx="174">
                  <formatCode>General</formatCode>
                  <v>0.049746885124019</v>
                </pt>
                <pt idx="175">
                  <formatCode>General</formatCode>
                  <v>0.050032060533259</v>
                </pt>
                <pt idx="176">
                  <formatCode>General</formatCode>
                  <v>0.05031715345004</v>
                </pt>
                <pt idx="177">
                  <formatCode>General</formatCode>
                  <v>0.050602163924138</v>
                </pt>
                <pt idx="178">
                  <formatCode>General</formatCode>
                  <v>0.050887092005997</v>
                </pt>
                <pt idx="179">
                  <formatCode>General</formatCode>
                  <v>0.051171937739828</v>
                </pt>
                <pt idx="180">
                  <formatCode>General</formatCode>
                  <v>0.051456701173692</v>
                </pt>
                <pt idx="181">
                  <formatCode>General</formatCode>
                  <v>0.051741382355799</v>
                </pt>
                <pt idx="182">
                  <formatCode>General</formatCode>
                  <v>0.052025981337004</v>
                </pt>
                <pt idx="183">
                  <formatCode>General</formatCode>
                  <v>0.05231049816676</v>
                </pt>
                <pt idx="184">
                  <formatCode>General</formatCode>
                  <v>0.052570364449439</v>
                </pt>
              </numCache>
            </numRef>
          </xVal>
          <yVal>
            <numRef>
              <f>'573K'!$N$2:$N$230</f>
              <numCache>
                <formatCode>General</formatCode>
                <ptCount val="229"/>
                <pt idx="0">
                  <v>0</v>
                </pt>
                <pt idx="1">
                  <v>1.0613972689945</v>
                </pt>
                <pt idx="2">
                  <v>3.7897345684177</v>
                </pt>
                <pt idx="3">
                  <v>10.804060439299</v>
                </pt>
                <pt idx="4">
                  <v>28.844528915294</v>
                </pt>
                <pt idx="5">
                  <v>72.836268612711</v>
                </pt>
                <pt idx="6">
                  <v>140.13827914686</v>
                </pt>
                <pt idx="7">
                  <v>207.69010769752</v>
                </pt>
                <pt idx="8">
                  <v>275.49096444571</v>
                </pt>
                <pt idx="9">
                  <v>343.46611320358</v>
                </pt>
                <pt idx="10">
                  <v>407.43744700425</v>
                </pt>
                <pt idx="11">
                  <v>449.77299643474</v>
                </pt>
                <pt idx="12">
                  <v>471.08467068633</v>
                </pt>
                <pt idx="13">
                  <v>483.45970692417</v>
                </pt>
                <pt idx="14">
                  <v>491.99219409828</v>
                </pt>
                <pt idx="15">
                  <v>498.45634380199</v>
                </pt>
                <pt idx="16">
                  <v>503.61760209053</v>
                </pt>
                <pt idx="17">
                  <v>507.88957626931</v>
                </pt>
                <pt idx="18">
                  <v>511.52235049627</v>
                </pt>
                <pt idx="19">
                  <v>514.67800392335</v>
                </pt>
                <pt idx="20">
                  <v>517.46481176983</v>
                </pt>
                <pt idx="21">
                  <v>519.9601039545</v>
                </pt>
                <pt idx="22">
                  <v>522.22256618089</v>
                </pt>
                <pt idx="23">
                  <v>524.2980548476399</v>
                </pt>
                <pt idx="24">
                  <v>526.22288427781</v>
                </pt>
                <pt idx="25">
                  <v>528.02507695445</v>
                </pt>
                <pt idx="26">
                  <v>529.72556009935</v>
                </pt>
                <pt idx="27">
                  <v>531.34068416129</v>
                </pt>
                <pt idx="28">
                  <v>532.88356098107</v>
                </pt>
                <pt idx="29">
                  <v>534.36472835779</v>
                </pt>
                <pt idx="30">
                  <v>535.7929028859299</v>
                </pt>
                <pt idx="31">
                  <v>537.1752643436899</v>
                </pt>
                <pt idx="32">
                  <v>538.51722184145</v>
                </pt>
                <pt idx="33">
                  <v>539.8238972383</v>
                </pt>
                <pt idx="34">
                  <v>541.09926500344</v>
                </pt>
                <pt idx="35">
                  <v>542.34664409509</v>
                </pt>
                <pt idx="36">
                  <v>543.56894991529</v>
                </pt>
                <pt idx="37">
                  <v>544.76851844003</v>
                </pt>
                <pt idx="38">
                  <v>545.94774821343</v>
                </pt>
                <pt idx="39">
                  <v>547.10832854955</v>
                </pt>
                <pt idx="40">
                  <v>548.25190590187</v>
                </pt>
                <pt idx="41">
                  <v>549.37975254126</v>
                </pt>
                <pt idx="42">
                  <v>550.49323234451</v>
                </pt>
                <pt idx="43">
                  <v>551.5932880805</v>
                </pt>
                <pt idx="44">
                  <v>552.68076171234</v>
                </pt>
                <pt idx="45">
                  <v>553.75663118573</v>
                </pt>
                <pt idx="46">
                  <v>554.8214529934399</v>
                </pt>
                <pt idx="47">
                  <v>555.8759882094801</v>
                </pt>
                <pt idx="48">
                  <v>556.92075856061</v>
                </pt>
                <pt idx="49">
                  <v>557.9564842424001</v>
                </pt>
                <pt idx="50">
                  <v>558.98362272806</v>
                </pt>
                <pt idx="51">
                  <v>560.00243310045</v>
                </pt>
                <pt idx="52">
                  <v>561.01360789774</v>
                </pt>
                <pt idx="53">
                  <v>562.01738601012</v>
                </pt>
                <pt idx="54">
                  <v>563.0141162536</v>
                </pt>
                <pt idx="55">
                  <v>564.00402910307</v>
                </pt>
                <pt idx="56">
                  <v>564.98739612959</v>
                </pt>
                <pt idx="57">
                  <v>565.9644738524401</v>
                </pt>
                <pt idx="58">
                  <v>566.93561914483</v>
                </pt>
                <pt idx="59">
                  <v>567.90096965956</v>
                </pt>
                <pt idx="60">
                  <v>568.86082541587</v>
                </pt>
                <pt idx="61">
                  <v>569.8152137474</v>
                </pt>
                <pt idx="62">
                  <v>570.76439400605</v>
                </pt>
                <pt idx="63">
                  <v>571.70863660883</v>
                </pt>
                <pt idx="64">
                  <v>572.64790660433</v>
                </pt>
                <pt idx="65">
                  <v>573.58239501056</v>
                </pt>
                <pt idx="66">
                  <v>574.51242875679</v>
                </pt>
                <pt idx="67">
                  <v>575.43801425251</v>
                </pt>
                <pt idx="68">
                  <v>576.35934770049</v>
                </pt>
                <pt idx="69">
                  <v>577.27642044988</v>
                </pt>
                <pt idx="70">
                  <v>578.18949854364</v>
                </pt>
                <pt idx="71">
                  <v>579.09870404098</v>
                </pt>
                <pt idx="72">
                  <v>580.00399848055</v>
                </pt>
                <pt idx="73">
                  <v>580.90558055708</v>
                </pt>
                <pt idx="74">
                  <v>581.80348644912</v>
                </pt>
                <pt idx="75">
                  <v>582.69778483638</v>
                </pt>
                <pt idx="76">
                  <v>583.58857595027</v>
                </pt>
                <pt idx="77">
                  <v>584.47593338559</v>
                </pt>
                <pt idx="78">
                  <v>585.35986807657</v>
                </pt>
                <pt idx="79">
                  <v>586.24054925461</v>
                </pt>
                <pt idx="80">
                  <v>587.11796471338</v>
                </pt>
                <pt idx="81">
                  <v>587.99219120544</v>
                </pt>
                <pt idx="82">
                  <v>588.86321779203</v>
                </pt>
                <pt idx="83">
                  <v>589.73119698606</v>
                </pt>
                <pt idx="84">
                  <v>590.5961531731</v>
                </pt>
                <pt idx="85">
                  <v>591.45815991451</v>
                </pt>
                <pt idx="86">
                  <v>592.31718238342</v>
                </pt>
                <pt idx="87">
                  <v>593.17332842423</v>
                </pt>
                <pt idx="88">
                  <v>594.02669534218</v>
                </pt>
                <pt idx="89">
                  <v>594.8773555458999</v>
                </pt>
                <pt idx="90">
                  <v>595.72522752948</v>
                </pt>
                <pt idx="91">
                  <v>596.5703802450701</v>
                </pt>
                <pt idx="92">
                  <v>597.41292116506</v>
                </pt>
                <pt idx="93">
                  <v>598.25289626395</v>
                </pt>
                <pt idx="94">
                  <v>599.09026668406</v>
                </pt>
                <pt idx="95">
                  <v>599.92507271303</v>
                </pt>
                <pt idx="96">
                  <v>600.75740315681</v>
                </pt>
                <pt idx="97">
                  <v>601.5873816913401</v>
                </pt>
                <pt idx="98">
                  <v>602.4149462255</v>
                </pt>
                <pt idx="99">
                  <v>603.2401246932</v>
                </pt>
                <pt idx="100">
                  <v>604.06284825554</v>
                </pt>
                <pt idx="101">
                  <v>604.88329666767</v>
                </pt>
                <pt idx="102">
                  <v>605.70141694853</v>
                </pt>
                <pt idx="103">
                  <v>606.5173174684199</v>
                </pt>
                <pt idx="104">
                  <v>607.33089325618</v>
                </pt>
                <pt idx="105">
                  <v>608.14232555052</v>
                </pt>
                <pt idx="106">
                  <v>608.9515282034999</v>
                </pt>
                <pt idx="107">
                  <v>609.75860704687</v>
                </pt>
                <pt idx="108">
                  <v>610.5634793281901</v>
                </pt>
                <pt idx="109">
                  <v>611.36625139483</v>
                </pt>
                <pt idx="110">
                  <v>612.16699754482</v>
                </pt>
                <pt idx="111">
                  <v>612.96560458738</v>
                </pt>
                <pt idx="112">
                  <v>613.76209339113</v>
                </pt>
                <pt idx="113">
                  <v>614.55661747135</v>
                </pt>
                <pt idx="114">
                  <v>615.34904887092</v>
                </pt>
                <pt idx="115">
                  <v>616.13950255646</v>
                </pt>
                <pt idx="116">
                  <v>616.9279970310999</v>
                </pt>
                <pt idx="117">
                  <v>617.71446940424</v>
                </pt>
                <pt idx="118">
                  <v>618.49900679769</v>
                </pt>
                <pt idx="119">
                  <v>619.28161312269</v>
                </pt>
                <pt idx="120">
                  <v>620.06241323378</v>
                </pt>
                <pt idx="121">
                  <v>620.84126488043</v>
                </pt>
                <pt idx="122">
                  <v>621.61819416434</v>
                </pt>
                <pt idx="123">
                  <v>622.39329222903</v>
                </pt>
                <pt idx="124">
                  <v>623.16659841273</v>
                </pt>
                <pt idx="125">
                  <v>623.93807370998</v>
                </pt>
                <pt idx="126">
                  <v>624.70773166164</v>
                </pt>
                <pt idx="127">
                  <v>625.4756088596801</v>
                </pt>
                <pt idx="128">
                  <v>626.24166366363</v>
                </pt>
                <pt idx="129">
                  <v>627.00595721262</v>
                </pt>
                <pt idx="130">
                  <v>627.76838431898</v>
                </pt>
                <pt idx="131">
                  <v>628.52916027945</v>
                </pt>
                <pt idx="132">
                  <v>629.28817361885</v>
                </pt>
                <pt idx="133">
                  <v>630.04542700217</v>
                </pt>
                <pt idx="134">
                  <v>630.80110306795</v>
                </pt>
                <pt idx="135">
                  <v>631.55509998276</v>
                </pt>
                <pt idx="136">
                  <v>632.30741846562</v>
                </pt>
                <pt idx="137">
                  <v>633.0580238965</v>
                </pt>
                <pt idx="138">
                  <v>633.80704649697</v>
                </pt>
                <pt idx="139">
                  <v>634.55435315247</v>
                </pt>
                <pt idx="140">
                  <v>635.30019637713</v>
                </pt>
                <pt idx="141">
                  <v>636.04430067693</v>
                </pt>
                <pt idx="142">
                  <v>636.78679130078</v>
                </pt>
                <pt idx="143">
                  <v>637.52762754733</v>
                </pt>
                <pt idx="144">
                  <v>638.26695496644</v>
                </pt>
                <pt idx="145">
                  <v>639.00476203362</v>
                </pt>
                <pt idx="146">
                  <v>639.74095623755</v>
                </pt>
                <pt idx="147">
                  <v>640.47564038487</v>
                </pt>
                <pt idx="148">
                  <v>641.20883741134</v>
                </pt>
                <pt idx="149">
                  <v>641.9405177580001</v>
                </pt>
                <pt idx="150">
                  <v>642.67060296957</v>
                </pt>
                <pt idx="151">
                  <v>643.39923065162</v>
                </pt>
                <pt idx="152">
                  <v>644.12635686076</v>
                </pt>
                <pt idx="153">
                  <v>644.85206635406</v>
                </pt>
                <pt idx="154">
                  <v>645.57632519576</v>
                </pt>
                <pt idx="155">
                  <v>646.29903766131</v>
                </pt>
                <pt idx="156">
                  <v>647.0203449186899</v>
                </pt>
                <pt idx="157">
                  <v>647.74021067629</v>
                </pt>
                <pt idx="158">
                  <v>648.45866456059</v>
                </pt>
                <pt idx="159">
                  <v>649.17570387375</v>
                </pt>
                <pt idx="160">
                  <v>649.8913198409</v>
                </pt>
                <pt idx="161">
                  <v>650.60548436994</v>
                </pt>
                <pt idx="162">
                  <v>651.31830484743</v>
                </pt>
                <pt idx="163">
                  <v>652.02972438751</v>
                </pt>
                <pt idx="164">
                  <v>652.7397643069399</v>
                </pt>
                <pt idx="165">
                  <v>653.44844313853</v>
                </pt>
                <pt idx="166">
                  <v>654.15573856101</v>
                </pt>
                <pt idx="167">
                  <v>654.86166895495</v>
                </pt>
                <pt idx="168">
                  <v>655.5662525172201</v>
                </pt>
                <pt idx="169">
                  <v>656.26938776107</v>
                </pt>
                <pt idx="170">
                  <v>656.9713073962999</v>
                </pt>
                <pt idx="171">
                  <v>657.6718754942</v>
                </pt>
                <pt idx="172">
                  <v>658.37112146932</v>
                </pt>
                <pt idx="173">
                  <v>659.06895271805</v>
                </pt>
                <pt idx="174">
                  <v>659.7654738648999</v>
                </pt>
                <pt idx="175">
                  <v>660.46082974915</v>
                </pt>
                <pt idx="176">
                  <v>661.15487141071</v>
                </pt>
                <pt idx="177">
                  <v>661.84750155111</v>
                </pt>
                <pt idx="178">
                  <v>662.53895593948</v>
                </pt>
                <pt idx="179">
                  <v>663.2290870944601</v>
                </pt>
                <pt idx="180">
                  <v>663.91805526515</v>
                </pt>
                <pt idx="181">
                  <v>664.60563078257</v>
                </pt>
                <pt idx="182">
                  <v>665.29196076911</v>
                </pt>
                <pt idx="183">
                  <v>665.97707101141</v>
                </pt>
                <pt idx="184">
                  <v>666.66540513491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45167379"/>
        <axId val="892031439"/>
      </scatterChart>
      <valAx>
        <axId val="345167379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92031439"/>
        <crosses val="autoZero"/>
        <crossBetween val="midCat"/>
      </valAx>
      <valAx>
        <axId val="89203143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5167379"/>
        <crosses val="autoZero"/>
        <crossBetween val="midCat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scatterChart>
        <scatterStyle val="smoothMarker"/>
        <varyColors val="0"/>
        <ser>
          <idx val="0"/>
          <order val="0"/>
          <tx>
            <strRef>
              <f>Exp!$D$2</f>
              <strCache>
                <ptCount val="1"/>
                <pt idx="0">
                  <v>873K 2014 Singh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1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Exp!$D$3:$D$26</f>
              <numCache>
                <formatCode>General</formatCode>
                <ptCount val="24"/>
                <pt idx="0">
                  <v>0.0024</v>
                </pt>
                <pt idx="1">
                  <v>0.00271</v>
                </pt>
                <pt idx="2">
                  <v>0.00303</v>
                </pt>
                <pt idx="3">
                  <v>0.00339</v>
                </pt>
                <pt idx="4">
                  <v>0.00379</v>
                </pt>
                <pt idx="5">
                  <v>0.00424</v>
                </pt>
                <pt idx="6">
                  <v>0.00475</v>
                </pt>
                <pt idx="7">
                  <v>0.00531</v>
                </pt>
                <pt idx="8">
                  <v>0.00594</v>
                </pt>
                <pt idx="9">
                  <v>0.00665</v>
                </pt>
                <pt idx="10">
                  <v>0.00743</v>
                </pt>
                <pt idx="11">
                  <v>0.008319999999999999</v>
                </pt>
                <pt idx="12">
                  <v>0.009299999999999999</v>
                </pt>
                <pt idx="13">
                  <v>0.01041</v>
                </pt>
                <pt idx="14">
                  <v>0.01164</v>
                </pt>
                <pt idx="15">
                  <v>0.01303</v>
                </pt>
                <pt idx="16">
                  <v>0.01457</v>
                </pt>
                <pt idx="17">
                  <v>0.0163</v>
                </pt>
                <pt idx="18">
                  <v>0.01824</v>
                </pt>
                <pt idx="19">
                  <v>0.0204</v>
                </pt>
                <pt idx="20">
                  <v>0.02283</v>
                </pt>
                <pt idx="21">
                  <v>0.02554</v>
                </pt>
                <pt idx="22">
                  <v>0.02857</v>
                </pt>
                <pt idx="23">
                  <v>0.03069</v>
                </pt>
              </numCache>
            </numRef>
          </xVal>
          <yVal>
            <numRef>
              <f>Exp!$E$3:$E$26</f>
              <numCache>
                <formatCode>General</formatCode>
                <ptCount val="24"/>
                <pt idx="0">
                  <v>345.07187</v>
                </pt>
                <pt idx="1">
                  <v>348.62585</v>
                </pt>
                <pt idx="2">
                  <v>351.53479</v>
                </pt>
                <pt idx="3">
                  <v>354.33207</v>
                </pt>
                <pt idx="4">
                  <v>357.39352</v>
                </pt>
                <pt idx="5">
                  <v>359.81189</v>
                </pt>
                <pt idx="6">
                  <v>362.70428</v>
                </pt>
                <pt idx="7">
                  <v>365.23203</v>
                </pt>
                <pt idx="8">
                  <v>367.88623</v>
                </pt>
                <pt idx="9">
                  <v>370.04803</v>
                </pt>
                <pt idx="10">
                  <v>372.93002</v>
                </pt>
                <pt idx="11">
                  <v>375.59997</v>
                </pt>
                <pt idx="12">
                  <v>377.9656</v>
                </pt>
                <pt idx="13">
                  <v>380.00619</v>
                </pt>
                <pt idx="14">
                  <v>381.27192</v>
                </pt>
                <pt idx="15">
                  <v>383.65398</v>
                </pt>
                <pt idx="16">
                  <v>385.54</v>
                </pt>
                <pt idx="17">
                  <v>387.96265</v>
                </pt>
                <pt idx="18">
                  <v>389.80265</v>
                </pt>
                <pt idx="19">
                  <v>391.88548</v>
                </pt>
                <pt idx="20">
                  <v>393.70789</v>
                </pt>
                <pt idx="21">
                  <v>395.48788</v>
                </pt>
                <pt idx="22">
                  <v>396.45457</v>
                </pt>
                <pt idx="23">
                  <v>397.33305</v>
                </pt>
              </numCache>
            </numRef>
          </yVal>
          <smooth val="1"/>
        </ser>
        <ser>
          <idx val="1"/>
          <order val="1"/>
          <tx>
            <v>Sim_873</v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2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'873K'!$B$2:$B$280</f>
              <numCache>
                <formatCode>0.00E+00</formatCode>
                <ptCount val="279"/>
                <pt idx="0">
                  <formatCode>General</formatCode>
                  <v>0</v>
                </pt>
                <pt idx="1">
                  <v>1.4831607755426e-23</v>
                </pt>
                <pt idx="2">
                  <v>8.3207183653923e-21</v>
                </pt>
                <pt idx="3">
                  <v>8.099054164594199e-15</v>
                </pt>
                <pt idx="4">
                  <v>5.5901588604023e-11</v>
                </pt>
                <pt idx="5">
                  <v>5.3682606066579e-06</v>
                </pt>
                <pt idx="6">
                  <formatCode>General</formatCode>
                  <v>0.00027841678347558</v>
                </pt>
                <pt idx="7">
                  <formatCode>General</formatCode>
                  <v>0.0008549212074472899</v>
                </pt>
                <pt idx="8">
                  <formatCode>General</formatCode>
                  <v>0.0014798762444973</v>
                </pt>
                <pt idx="9">
                  <formatCode>General</formatCode>
                  <v>0.0021126782225592</v>
                </pt>
                <pt idx="10">
                  <formatCode>General</formatCode>
                  <v>0.0027465696890757</v>
                </pt>
                <pt idx="11">
                  <formatCode>General</formatCode>
                  <v>0.0033800509670743</v>
                </pt>
                <pt idx="12">
                  <formatCode>General</formatCode>
                  <v>0.0040129099758609</v>
                </pt>
                <pt idx="13">
                  <formatCode>General</formatCode>
                  <v>0.0046451745025389</v>
                </pt>
                <pt idx="14">
                  <formatCode>General</formatCode>
                  <v>0.0052769000659734</v>
                </pt>
                <pt idx="15">
                  <formatCode>General</formatCode>
                  <v>0.0059081295769658</v>
                </pt>
                <pt idx="16">
                  <formatCode>General</formatCode>
                  <v>0.0065388992367367</v>
                </pt>
                <pt idx="17">
                  <formatCode>General</formatCode>
                  <v>0.0071692394505987</v>
                </pt>
                <pt idx="18">
                  <formatCode>General</formatCode>
                  <v>0.0077991677904248</v>
                </pt>
                <pt idx="19">
                  <formatCode>General</formatCode>
                  <v>0.0084286957799155</v>
                </pt>
                <pt idx="20">
                  <formatCode>General</formatCode>
                  <v>0.009057836431757201</v>
                </pt>
                <pt idx="21">
                  <formatCode>General</formatCode>
                  <v>0.009686602363981099</v>
                </pt>
                <pt idx="22">
                  <formatCode>General</formatCode>
                  <v>0.010315005565454</v>
                </pt>
                <pt idx="23">
                  <formatCode>General</formatCode>
                  <v>0.010943061836269</v>
                </pt>
                <pt idx="24">
                  <formatCode>General</formatCode>
                  <v>0.011570783227218</v>
                </pt>
                <pt idx="25">
                  <formatCode>General</formatCode>
                  <v>0.012198184640715</v>
                </pt>
                <pt idx="26">
                  <formatCode>General</formatCode>
                  <v>0.012825278576218</v>
                </pt>
                <pt idx="27">
                  <formatCode>General</formatCode>
                  <v>0.013452077553865</v>
                </pt>
                <pt idx="28">
                  <formatCode>General</formatCode>
                  <v>0.014078591998275</v>
                </pt>
                <pt idx="29">
                  <formatCode>General</formatCode>
                  <v>0.014704830158141</v>
                </pt>
                <pt idx="30">
                  <formatCode>General</formatCode>
                  <v>0.015330802517605</v>
                </pt>
                <pt idx="31">
                  <formatCode>General</formatCode>
                  <v>0.015956517925947</v>
                </pt>
                <pt idx="32">
                  <formatCode>General</formatCode>
                  <v>0.016581985390739</v>
                </pt>
                <pt idx="33">
                  <formatCode>General</formatCode>
                  <v>0.017207214230639</v>
                </pt>
                <pt idx="34">
                  <formatCode>General</formatCode>
                  <v>0.017832210967049</v>
                </pt>
                <pt idx="35">
                  <formatCode>General</formatCode>
                  <v>0.018456984809869</v>
                </pt>
                <pt idx="36">
                  <formatCode>General</formatCode>
                  <v>0.019081544512848</v>
                </pt>
                <pt idx="37">
                  <formatCode>General</formatCode>
                  <v>0.019705897532255</v>
                </pt>
                <pt idx="38">
                  <formatCode>General</formatCode>
                  <v>0.02033005259451</v>
                </pt>
                <pt idx="39">
                  <formatCode>General</formatCode>
                  <v>0.020954016504717</v>
                </pt>
                <pt idx="40">
                  <formatCode>General</formatCode>
                  <v>0.021577797139759</v>
                </pt>
                <pt idx="41">
                  <formatCode>General</formatCode>
                  <v>0.022201398668691</v>
                </pt>
                <pt idx="42">
                  <formatCode>General</formatCode>
                  <v>0.022824826400281</v>
                </pt>
                <pt idx="43">
                  <formatCode>General</formatCode>
                  <v>0.02344808565864</v>
                </pt>
                <pt idx="44">
                  <formatCode>General</formatCode>
                  <v>0.024071181637574</v>
                </pt>
                <pt idx="45">
                  <formatCode>General</formatCode>
                  <v>0.024694118591838</v>
                </pt>
                <pt idx="46">
                  <formatCode>General</formatCode>
                  <v>0.025316902405854</v>
                </pt>
                <pt idx="47">
                  <formatCode>General</formatCode>
                  <v>0.02593953720746</v>
                </pt>
                <pt idx="48">
                  <formatCode>General</formatCode>
                  <v>0.026562028376451</v>
                </pt>
                <pt idx="49">
                  <formatCode>General</formatCode>
                  <v>0.027184382104632</v>
                </pt>
                <pt idx="50">
                  <formatCode>General</formatCode>
                  <v>0.027806602948157</v>
                </pt>
                <pt idx="51">
                  <formatCode>General</formatCode>
                  <v>0.028428695819922</v>
                </pt>
                <pt idx="52">
                  <formatCode>General</formatCode>
                  <v>0.029050663875456</v>
                </pt>
                <pt idx="53">
                  <formatCode>General</formatCode>
                  <v>0.029672511858148</v>
                </pt>
                <pt idx="54">
                  <formatCode>General</formatCode>
                  <v>0.030294243149898</v>
                </pt>
                <pt idx="55">
                  <formatCode>General</formatCode>
                  <v>0.030915860760797</v>
                </pt>
                <pt idx="56">
                  <formatCode>General</formatCode>
                  <v>0.031537369504691</v>
                </pt>
                <pt idx="57">
                  <formatCode>General</formatCode>
                  <v>0.032158772338758</v>
                </pt>
                <pt idx="58">
                  <formatCode>General</formatCode>
                  <v>0.032780071857872</v>
                </pt>
                <pt idx="59">
                  <formatCode>General</formatCode>
                  <v>0.033401272563025</v>
                </pt>
                <pt idx="60">
                  <formatCode>General</formatCode>
                  <v>0.034022377192496</v>
                </pt>
                <pt idx="61">
                  <formatCode>General</formatCode>
                  <v>0.034643389301364</v>
                </pt>
                <pt idx="62">
                  <formatCode>General</formatCode>
                  <v>0.03526431127319</v>
                </pt>
                <pt idx="63">
                  <formatCode>General</formatCode>
                  <v>0.035864250604705</v>
                </pt>
              </numCache>
            </numRef>
          </xVal>
          <yVal>
            <numRef>
              <f>'873K'!$N$2:$N$230</f>
              <numCache>
                <formatCode>General</formatCode>
                <ptCount val="229"/>
                <pt idx="0">
                  <v>0</v>
                </pt>
                <pt idx="1">
                  <v>1.5355853290425</v>
                </pt>
                <pt idx="2">
                  <v>10.967573083281</v>
                </pt>
                <pt idx="3">
                  <v>59.556978087497</v>
                </pt>
                <pt idx="4">
                  <v>123.3216003892</v>
                </pt>
                <pt idx="5">
                  <v>242.52013234638</v>
                </pt>
                <pt idx="6">
                  <v>313.95907395342</v>
                </pt>
                <pt idx="7">
                  <v>332.46908531141</v>
                </pt>
                <pt idx="8">
                  <v>340.7258805491</v>
                </pt>
                <pt idx="9">
                  <v>345.74934096029</v>
                </pt>
                <pt idx="10">
                  <v>349.27342364263</v>
                </pt>
                <pt idx="11">
                  <v>352.00795959281</v>
                </pt>
                <pt idx="12">
                  <v>354.28691950498</v>
                </pt>
                <pt idx="13">
                  <v>356.28297905842</v>
                </pt>
                <pt idx="14">
                  <v>358.09052761516</v>
                </pt>
                <pt idx="15">
                  <v>359.76592571001</v>
                </pt>
                <pt idx="16">
                  <v>361.34425304152</v>
                </pt>
                <pt idx="17">
                  <v>362.84847033551</v>
                </pt>
                <pt idx="18">
                  <v>364.2941989771</v>
                </pt>
                <pt idx="19">
                  <v>365.69247647823</v>
                </pt>
                <pt idx="20">
                  <v>367.05122135551</v>
                </pt>
                <pt idx="21">
                  <v>368.37641048862</v>
                </pt>
                <pt idx="22">
                  <v>369.67291048176</v>
                </pt>
                <pt idx="23">
                  <v>370.94411656137</v>
                </pt>
                <pt idx="24">
                  <v>372.19289573533</v>
                </pt>
                <pt idx="25">
                  <v>373.42160635201</v>
                </pt>
                <pt idx="26">
                  <v>374.63238179109</v>
                </pt>
                <pt idx="27">
                  <v>375.82658151526</v>
                </pt>
                <pt idx="28">
                  <v>377.00555722055</v>
                </pt>
                <pt idx="29">
                  <v>378.17062121467</v>
                </pt>
                <pt idx="30">
                  <v>379.32265667506</v>
                </pt>
                <pt idx="31">
                  <v>380.46253588564</v>
                </pt>
                <pt idx="32">
                  <v>381.59105307818</v>
                </pt>
                <pt idx="33">
                  <v>382.70876486486</v>
                </pt>
                <pt idx="34">
                  <v>383.81644852184</v>
                </pt>
                <pt idx="35">
                  <v>384.91458427817</v>
                </pt>
                <pt idx="36">
                  <v>386.00363749939</v>
                </pt>
                <pt idx="37">
                  <v>387.08406084457</v>
                </pt>
                <pt idx="38">
                  <v>388.15616539172</v>
                </pt>
                <pt idx="39">
                  <v>389.2203605466</v>
                </pt>
                <pt idx="40">
                  <v>390.27680331698</v>
                </pt>
                <pt idx="41">
                  <v>391.32601824117</v>
                </pt>
                <pt idx="42">
                  <v>392.36823082093</v>
                </pt>
                <pt idx="43">
                  <v>393.40359293145</v>
                </pt>
                <pt idx="44">
                  <v>394.43234405894</v>
                </pt>
                <pt idx="45">
                  <v>395.45477656694</v>
                </pt>
                <pt idx="46">
                  <v>396.47093808553</v>
                </pt>
                <pt idx="47">
                  <v>397.4812239679</v>
                </pt>
                <pt idx="48">
                  <v>398.4857781031</v>
                </pt>
                <pt idx="49">
                  <v>399.48462210687</v>
                </pt>
                <pt idx="50">
                  <v>400.47791165996</v>
                </pt>
                <pt idx="51">
                  <v>401.46580959376</v>
                </pt>
                <pt idx="52">
                  <v>402.4485989816</v>
                </pt>
                <pt idx="53">
                  <v>403.42633657415</v>
                </pt>
                <pt idx="54">
                  <v>404.39912083925</v>
                </pt>
                <pt idx="55">
                  <v>405.36711978635</v>
                </pt>
                <pt idx="56">
                  <v>406.3303381221</v>
                </pt>
                <pt idx="57">
                  <v>407.28894958998</v>
                </pt>
                <pt idx="58">
                  <v>408.24317292388</v>
                </pt>
                <pt idx="59">
                  <v>409.19276462469</v>
                </pt>
                <pt idx="60">
                  <v>410.13808243354</v>
                </pt>
                <pt idx="61">
                  <v>411.07912811953</v>
                </pt>
                <pt idx="62">
                  <v>412.01605021257</v>
                </pt>
                <pt idx="63">
                  <v>412.94123070024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45167379"/>
        <axId val="892031439"/>
      </scatterChart>
      <valAx>
        <axId val="345167379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92031439"/>
        <crosses val="autoZero"/>
        <crossBetween val="midCat"/>
      </valAx>
      <valAx>
        <axId val="89203143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5167379"/>
        <crosses val="autoZero"/>
        <crossBetween val="midCat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/>
      <scatterChart>
        <scatterStyle val="smoothMarker"/>
        <varyColors val="0"/>
        <ser>
          <idx val="0"/>
          <order val="0"/>
          <tx>
            <strRef>
              <f>Exp!$G$2</f>
              <strCache>
                <ptCount val="1"/>
                <pt idx="0">
                  <v>823K 2014 Singh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1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Exp!$G$3:$G$28</f>
              <numCache>
                <formatCode>General</formatCode>
                <ptCount val="26"/>
                <pt idx="0">
                  <v>0.00257</v>
                </pt>
                <pt idx="1">
                  <v>0.00288</v>
                </pt>
                <pt idx="2">
                  <v>0.00321</v>
                </pt>
                <pt idx="3">
                  <v>0.0036</v>
                </pt>
                <pt idx="4">
                  <v>0.00402</v>
                </pt>
                <pt idx="5">
                  <v>0.0045</v>
                </pt>
                <pt idx="6">
                  <v>0.00503</v>
                </pt>
                <pt idx="7">
                  <v>0.00563</v>
                </pt>
                <pt idx="8">
                  <v>0.0063</v>
                </pt>
                <pt idx="9">
                  <v>0.00705</v>
                </pt>
                <pt idx="10">
                  <v>0.007889999999999999</v>
                </pt>
                <pt idx="11">
                  <v>0.00882</v>
                </pt>
                <pt idx="12">
                  <v>0.00987</v>
                </pt>
                <pt idx="13">
                  <v>0.01104</v>
                </pt>
                <pt idx="14">
                  <v>0.01235</v>
                </pt>
                <pt idx="15">
                  <v>0.01382</v>
                </pt>
                <pt idx="16">
                  <v>0.01545</v>
                </pt>
                <pt idx="17">
                  <v>0.01729</v>
                </pt>
                <pt idx="18">
                  <v>0.01934</v>
                </pt>
                <pt idx="19">
                  <v>0.02164</v>
                </pt>
                <pt idx="20">
                  <v>0.02421</v>
                </pt>
                <pt idx="21">
                  <v>0.02708</v>
                </pt>
                <pt idx="22">
                  <v>0.03029</v>
                </pt>
                <pt idx="23">
                  <v>0.03389</v>
                </pt>
                <pt idx="24">
                  <v>0.03791</v>
                </pt>
                <pt idx="25">
                  <v>0.04114</v>
                </pt>
              </numCache>
            </numRef>
          </xVal>
          <yVal>
            <numRef>
              <f>Exp!$H$3:$H$28</f>
              <numCache>
                <formatCode>General</formatCode>
                <ptCount val="26"/>
                <pt idx="0">
                  <v>403.8299</v>
                </pt>
                <pt idx="1">
                  <v>406.36375</v>
                </pt>
                <pt idx="2">
                  <v>408.43995</v>
                </pt>
                <pt idx="3">
                  <v>411.55532</v>
                </pt>
                <pt idx="4">
                  <v>414.21106</v>
                </pt>
                <pt idx="5">
                  <v>416.91328</v>
                </pt>
                <pt idx="6">
                  <v>419.94125</v>
                </pt>
                <pt idx="7">
                  <v>422.52788</v>
                </pt>
                <pt idx="8">
                  <v>425.47316</v>
                </pt>
                <pt idx="9">
                  <v>428.29775</v>
                </pt>
                <pt idx="10">
                  <v>430.91264</v>
                </pt>
                <pt idx="11">
                  <v>434.36473</v>
                </pt>
                <pt idx="12">
                  <v>437.61184</v>
                </pt>
                <pt idx="13">
                  <v>440.57302</v>
                </pt>
                <pt idx="14">
                  <v>443.75498</v>
                </pt>
                <pt idx="15">
                  <v>446.82512</v>
                </pt>
                <pt idx="16">
                  <v>449.76384</v>
                </pt>
                <pt idx="17">
                  <v>452.89263</v>
                </pt>
                <pt idx="18">
                  <v>455.81969</v>
                </pt>
                <pt idx="19">
                  <v>458.76568</v>
                </pt>
                <pt idx="20">
                  <v>461.38264</v>
                </pt>
                <pt idx="21">
                  <v>464.08453</v>
                </pt>
                <pt idx="22">
                  <v>466.80223</v>
                </pt>
                <pt idx="23">
                  <v>469.39424</v>
                </pt>
                <pt idx="24">
                  <v>471.78712</v>
                </pt>
                <pt idx="25">
                  <v>472.94071</v>
                </pt>
              </numCache>
            </numRef>
          </yVal>
          <smooth val="1"/>
        </ser>
        <ser>
          <idx val="1"/>
          <order val="1"/>
          <tx>
            <v>Sim_823</v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2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'823K'!$B$2:$B$280</f>
              <numCache>
                <formatCode>0.00E+00</formatCode>
                <ptCount val="279"/>
                <pt idx="0">
                  <formatCode>General</formatCode>
                  <v>0</v>
                </pt>
                <pt idx="1">
                  <v>5.4636949411128e-26</v>
                </pt>
                <pt idx="2">
                  <v>4.8189597133006e-23</v>
                </pt>
                <pt idx="3">
                  <v>1.7793398804445e-16</v>
                </pt>
                <pt idx="4">
                  <v>3.0818627395099e-12</v>
                </pt>
                <pt idx="5">
                  <v>9.899054506430301e-07</v>
                </pt>
                <pt idx="6">
                  <formatCode>General</formatCode>
                  <v>0.00017707028179326</v>
                </pt>
                <pt idx="7">
                  <formatCode>General</formatCode>
                  <v>0.0007212873034728</v>
                </pt>
                <pt idx="8">
                  <formatCode>General</formatCode>
                  <v>0.0013437491162234</v>
                </pt>
                <pt idx="9">
                  <formatCode>General</formatCode>
                  <v>0.0019780350422988</v>
                </pt>
                <pt idx="10">
                  <formatCode>General</formatCode>
                  <v>0.0026138754053406</v>
                </pt>
                <pt idx="11">
                  <formatCode>General</formatCode>
                  <v>0.0032490242619854</v>
                </pt>
                <pt idx="12">
                  <formatCode>General</formatCode>
                  <v>0.0038831884130586</v>
                </pt>
                <pt idx="13">
                  <formatCode>General</formatCode>
                  <v>0.0045164723496048</v>
                </pt>
                <pt idx="14">
                  <formatCode>General</formatCode>
                  <v>0.0051490194873086</v>
                </pt>
                <pt idx="15">
                  <formatCode>General</formatCode>
                  <v>0.0057809412455278</v>
                </pt>
                <pt idx="16">
                  <formatCode>General</formatCode>
                  <v>0.0064123133839485</v>
                </pt>
                <pt idx="17">
                  <formatCode>General</formatCode>
                  <v>0.007043189408316</v>
                </pt>
                <pt idx="18">
                  <formatCode>General</formatCode>
                  <v>0.0076736111999608</v>
                </pt>
                <pt idx="19">
                  <formatCode>General</formatCode>
                  <v>0.008303608789497499</v>
                </pt>
                <pt idx="20">
                  <formatCode>General</formatCode>
                  <v>0.0089332034608741</v>
                </pt>
                <pt idx="21">
                  <formatCode>General</formatCode>
                  <v>0.0095624088596256</v>
                </pt>
                <pt idx="22">
                  <formatCode>General</formatCode>
                  <v>0.010191243355668</v>
                </pt>
                <pt idx="23">
                  <formatCode>General</formatCode>
                  <v>0.010819722754353</v>
                </pt>
                <pt idx="24">
                  <formatCode>General</formatCode>
                  <v>0.011447861648319</v>
                </pt>
                <pt idx="25">
                  <formatCode>General</formatCode>
                  <v>0.012075675082915</v>
                </pt>
                <pt idx="26">
                  <formatCode>General</formatCode>
                  <v>0.012703175771312</v>
                </pt>
                <pt idx="27">
                  <formatCode>General</formatCode>
                  <v>0.013330377653936</v>
                </pt>
                <pt idx="28">
                  <formatCode>General</formatCode>
                  <v>0.013957294375285</v>
                </pt>
                <pt idx="29">
                  <formatCode>General</formatCode>
                  <v>0.01458393787143</v>
                </pt>
                <pt idx="30">
                  <formatCode>General</formatCode>
                  <v>0.015210318182147</v>
                </pt>
                <pt idx="31">
                  <formatCode>General</formatCode>
                  <v>0.015836444067658</v>
                </pt>
                <pt idx="32">
                  <formatCode>General</formatCode>
                  <v>0.016462323275302</v>
                </pt>
                <pt idx="33">
                  <formatCode>General</formatCode>
                  <v>0.017087963474723</v>
                </pt>
                <pt idx="34">
                  <formatCode>General</formatCode>
                  <v>0.017713373081472</v>
                </pt>
                <pt idx="35">
                  <formatCode>General</formatCode>
                  <v>0.018338560545913</v>
                </pt>
                <pt idx="36">
                  <formatCode>General</formatCode>
                  <v>0.018963533747647</v>
                </pt>
                <pt idx="37">
                  <formatCode>General</formatCode>
                  <v>0.019588299291184</v>
                </pt>
                <pt idx="38">
                  <formatCode>General</formatCode>
                  <v>0.020212863931403</v>
                </pt>
                <pt idx="39">
                  <formatCode>General</formatCode>
                  <v>0.020837234041623</v>
                </pt>
                <pt idx="40">
                  <formatCode>General</formatCode>
                  <v>0.021461417997917</v>
                </pt>
                <pt idx="41">
                  <formatCode>General</formatCode>
                  <v>0.022085421684371</v>
                </pt>
                <pt idx="42">
                  <formatCode>General</formatCode>
                  <v>0.022709252413006</v>
                </pt>
                <pt idx="43">
                  <formatCode>General</formatCode>
                  <v>0.023332915787216</v>
                </pt>
                <pt idx="44">
                  <formatCode>General</formatCode>
                  <v>0.02395641769087</v>
                </pt>
                <pt idx="45">
                  <formatCode>General</formatCode>
                  <v>0.024579763542626</v>
                </pt>
                <pt idx="46">
                  <formatCode>General</formatCode>
                  <v>0.02520295698465</v>
                </pt>
                <pt idx="47">
                  <formatCode>General</formatCode>
                  <v>0.025826003003892</v>
                </pt>
                <pt idx="48">
                  <formatCode>General</formatCode>
                  <v>0.026448904852977</v>
                </pt>
                <pt idx="49">
                  <formatCode>General</formatCode>
                  <v>0.027071667114685</v>
                </pt>
                <pt idx="50">
                  <formatCode>General</formatCode>
                  <v>0.02769429331285</v>
                </pt>
                <pt idx="51">
                  <formatCode>General</formatCode>
                  <v>0.028316788185453</v>
                </pt>
                <pt idx="52">
                  <formatCode>General</formatCode>
                  <v>0.02893915679278</v>
                </pt>
                <pt idx="53">
                  <formatCode>General</formatCode>
                  <v>0.029561402194744</v>
                </pt>
                <pt idx="54">
                  <formatCode>General</formatCode>
                  <v>0.030183529289616</v>
                </pt>
                <pt idx="55">
                  <formatCode>General</formatCode>
                  <v>0.030805541995433</v>
                </pt>
                <pt idx="56">
                  <formatCode>General</formatCode>
                  <v>0.031427445348909</v>
                </pt>
                <pt idx="57">
                  <formatCode>General</formatCode>
                  <v>0.032049242395727</v>
                </pt>
                <pt idx="58">
                  <formatCode>General</formatCode>
                  <v>0.032670937090385</v>
                </pt>
                <pt idx="59">
                  <formatCode>General</formatCode>
                  <v>0.033292531993102</v>
                </pt>
                <pt idx="60">
                  <formatCode>General</formatCode>
                  <v>0.033914031356997</v>
                </pt>
                <pt idx="61">
                  <formatCode>General</formatCode>
                  <v>0.034535438025897</v>
                </pt>
                <pt idx="62">
                  <formatCode>General</formatCode>
                  <v>0.035156754669851</v>
                </pt>
                <pt idx="63">
                  <formatCode>General</formatCode>
                  <v>0.03577798318885</v>
                </pt>
                <pt idx="64">
                  <formatCode>General</formatCode>
                  <v>0.036399127015703</v>
                </pt>
                <pt idx="65">
                  <formatCode>General</formatCode>
                  <v>0.037020189417294</v>
                </pt>
                <pt idx="66">
                  <formatCode>General</formatCode>
                  <v>0.03764117332063</v>
                </pt>
                <pt idx="67">
                  <formatCode>General</formatCode>
                  <v>0.038262080089936</v>
                </pt>
                <pt idx="68">
                  <formatCode>General</formatCode>
                  <v>0.038882914008859</v>
                </pt>
                <pt idx="69">
                  <formatCode>General</formatCode>
                  <v>0.039503676342362</v>
                </pt>
                <pt idx="70">
                  <formatCode>General</formatCode>
                  <v>0.040124370123101</v>
                </pt>
                <pt idx="71">
                  <formatCode>General</formatCode>
                  <v>0.040744998267047</v>
                </pt>
                <pt idx="72">
                  <formatCode>General</formatCode>
                  <v>0.041365562999151</v>
                </pt>
                <pt idx="73">
                  <formatCode>General</formatCode>
                  <v>0.041986066974665</v>
                </pt>
                <pt idx="74">
                  <formatCode>General</formatCode>
                  <v>0.042606511881395</v>
                </pt>
                <pt idx="75">
                  <formatCode>General</formatCode>
                  <v>0.043226900553653</v>
                </pt>
                <pt idx="76">
                  <formatCode>General</formatCode>
                  <v>0.043847235229291</v>
                </pt>
                <pt idx="77">
                  <formatCode>General</formatCode>
                  <v>0.044467517556372</v>
                </pt>
                <pt idx="78">
                  <formatCode>General</formatCode>
                  <v>0.045087750015664</v>
                </pt>
                <pt idx="79">
                  <formatCode>General</formatCode>
                  <v>0.045707934540024</v>
                </pt>
                <pt idx="80">
                  <formatCode>General</formatCode>
                  <v>0.04632807368653</v>
                </pt>
                <pt idx="81">
                  <formatCode>General</formatCode>
                  <v>0.046948169248931</v>
                </pt>
                <pt idx="82">
                  <formatCode>General</formatCode>
                  <v>0.047568222663281</v>
                </pt>
                <pt idx="83">
                  <formatCode>General</formatCode>
                  <v>0.048188236146082</v>
                </pt>
                <pt idx="84">
                  <formatCode>General</formatCode>
                  <v>0.048808211497105</v>
                </pt>
                <pt idx="85">
                  <formatCode>General</formatCode>
                  <v>0.049428150803316</v>
                </pt>
                <pt idx="86">
                  <formatCode>General</formatCode>
                  <v>0.050048055732919</v>
                </pt>
                <pt idx="87">
                  <formatCode>General</formatCode>
                  <v>0.050667927892886</v>
                </pt>
                <pt idx="88">
                  <formatCode>General</formatCode>
                  <v>0.051266900626369</v>
                </pt>
              </numCache>
            </numRef>
          </xVal>
          <yVal>
            <numRef>
              <f>'823K'!$N$2:$N$230</f>
              <numCache>
                <formatCode>General</formatCode>
                <ptCount val="229"/>
                <pt idx="0">
                  <v>0</v>
                </pt>
                <pt idx="1">
                  <v>1.569678130494</v>
                </pt>
                <pt idx="2">
                  <v>11.21105179746</v>
                </pt>
                <pt idx="3">
                  <v>60.878476623038</v>
                </pt>
                <pt idx="4">
                  <v>126.05633862522</v>
                </pt>
                <pt idx="5">
                  <v>248.77670912669</v>
                </pt>
                <pt idx="6">
                  <v>340.04795484998</v>
                </pt>
                <pt idx="7">
                  <v>366.32437406819</v>
                </pt>
                <pt idx="8">
                  <v>377.02711746368</v>
                </pt>
                <pt idx="9">
                  <v>383.36365865539</v>
                </pt>
                <pt idx="10">
                  <v>387.73264601945</v>
                </pt>
                <pt idx="11">
                  <v>391.06537316211</v>
                </pt>
                <pt idx="12">
                  <v>393.80264392051</v>
                </pt>
                <pt idx="13">
                  <v>396.17143929429</v>
                </pt>
                <pt idx="14">
                  <v>398.2981267858</v>
                </pt>
                <pt idx="15">
                  <v>400.25567035435</v>
                </pt>
                <pt idx="16">
                  <v>402.08953466981</v>
                </pt>
                <pt idx="17">
                  <v>403.82983192984</v>
                </pt>
                <pt idx="18">
                  <v>405.49723409137</v>
                </pt>
                <pt idx="19">
                  <v>407.10606332882</v>
                </pt>
                <pt idx="20">
                  <v>408.66624748826</v>
                </pt>
                <pt idx="21">
                  <v>410.18583337095</v>
                </pt>
                <pt idx="22">
                  <v>411.67025428676</v>
                </pt>
                <pt idx="23">
                  <v>413.12441577162</v>
                </pt>
                <pt idx="24">
                  <v>414.5518109702</v>
                </pt>
                <pt idx="25">
                  <v>415.9551402521</v>
                </pt>
                <pt idx="26">
                  <v>417.33689448774</v>
                </pt>
                <pt idx="27">
                  <v>418.69915440875</v>
                </pt>
                <pt idx="28">
                  <v>420.0436609952</v>
                </pt>
                <pt idx="29">
                  <v>421.37163787174</v>
                </pt>
                <pt idx="30">
                  <v>422.68436520102</v>
                </pt>
                <pt idx="31">
                  <v>423.98281390765</v>
                </pt>
                <pt idx="32">
                  <v>425.26803020713</v>
                </pt>
                <pt idx="33">
                  <v>426.5407536075</v>
                </pt>
                <pt idx="34">
                  <v>427.80174546374</v>
                </pt>
                <pt idx="35">
                  <v>429.05145115867</v>
                </pt>
                <pt idx="36">
                  <v>430.29052352433</v>
                </pt>
                <pt idx="37">
                  <v>431.51947098865</v>
                </pt>
                <pt idx="38">
                  <v>432.73882061853</v>
                </pt>
                <pt idx="39">
                  <v>433.94891991066</v>
                </pt>
                <pt idx="40">
                  <v>435.15014952981</v>
                </pt>
                <pt idx="41">
                  <v>436.34297506365</v>
                </pt>
                <pt idx="42">
                  <v>437.52754520554</v>
                </pt>
                <pt idx="43">
                  <v>438.70425390037</v>
                </pt>
                <pt idx="44">
                  <v>439.87340940834</v>
                </pt>
                <pt idx="45">
                  <v>441.03513077442</v>
                </pt>
                <pt idx="46">
                  <v>442.18976113457</v>
                </pt>
                <pt idx="47">
                  <v>443.3374324271</v>
                </pt>
                <pt idx="48">
                  <v>444.47841202736</v>
                </pt>
                <pt idx="49">
                  <v>445.61277878655</v>
                </pt>
                <pt idx="50">
                  <v>446.74081442193</v>
                </pt>
                <pt idx="51">
                  <v>447.86264410787</v>
                </pt>
                <pt idx="52">
                  <v>448.97823289464</v>
                </pt>
                <pt idx="53">
                  <v>450.08805722991</v>
                </pt>
                <pt idx="54">
                  <v>451.19210863503</v>
                </pt>
                <pt idx="55">
                  <v>452.29056044208</v>
                </pt>
                <pt idx="56">
                  <v>453.38341648613</v>
                </pt>
                <pt idx="57">
                  <v>454.47096187096</v>
                </pt>
                <pt idx="58">
                  <v>455.5532161564</v>
                </pt>
                <pt idx="59">
                  <v>456.63042781029</v>
                </pt>
                <pt idx="60">
                  <v>457.70246377602</v>
                </pt>
                <pt idx="61">
                  <v>458.76955005155</v>
                </pt>
                <pt idx="62">
                  <v>459.83168672789</v>
                </pt>
                <pt idx="63">
                  <v>460.88917894333</v>
                </pt>
                <pt idx="64">
                  <v>461.94207620708</v>
                </pt>
                <pt idx="65">
                  <v>462.99021949275</v>
                </pt>
                <pt idx="66">
                  <v>464.03382483543</v>
                </pt>
                <pt idx="67">
                  <v>465.07308321958</v>
                </pt>
                <pt idx="68">
                  <v>466.10779937922</v>
                </pt>
                <pt idx="69">
                  <v>467.13827958508</v>
                </pt>
                <pt idx="70">
                  <v>468.16447583557</v>
                </pt>
                <pt idx="71">
                  <v>469.18652358725</v>
                </pt>
                <pt idx="72">
                  <v>470.20440164433</v>
                </pt>
                <pt idx="73">
                  <v>471.21816521678</v>
                </pt>
                <pt idx="74">
                  <v>472.22793301074</v>
                </pt>
                <pt idx="75">
                  <v>473.23369151658</v>
                </pt>
                <pt idx="76">
                  <v>474.23556142947</v>
                </pt>
                <pt idx="77">
                  <v>475.23353595428</v>
                </pt>
                <pt idx="78">
                  <v>476.22775804108</v>
                </pt>
                <pt idx="79">
                  <v>477.21819478836</v>
                </pt>
                <pt idx="80">
                  <v>478.20480821104</v>
                </pt>
                <pt idx="81">
                  <v>479.18773671875</v>
                </pt>
                <pt idx="82">
                  <v>480.16709569603</v>
                </pt>
                <pt idx="83">
                  <v>481.14286555797</v>
                </pt>
                <pt idx="84">
                  <v>482.11507774729</v>
                </pt>
                <pt idx="85">
                  <v>483.08374530967</v>
                </pt>
                <pt idx="86">
                  <v>484.04895144107</v>
                </pt>
                <pt idx="87">
                  <v>485.01074822962</v>
                </pt>
                <pt idx="88">
                  <v>485.96190518383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45167379"/>
        <axId val="892031439"/>
      </scatterChart>
      <valAx>
        <axId val="345167379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92031439"/>
        <crosses val="autoZero"/>
        <crossBetween val="midCat"/>
      </valAx>
      <valAx>
        <axId val="89203143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5167379"/>
        <crosses val="autoZero"/>
        <crossBetween val="midCat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scatterChart>
        <scatterStyle val="smoothMarker"/>
        <varyColors val="0"/>
        <ser>
          <idx val="0"/>
          <order val="0"/>
          <tx>
            <strRef>
              <f>Exp!$J$2</f>
              <strCache>
                <ptCount val="1"/>
                <pt idx="0">
                  <v>773K 2014 Singh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1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Exp!$J$3:$J$34</f>
              <numCache>
                <formatCode>General</formatCode>
                <ptCount val="32"/>
                <pt idx="0">
                  <v>0.00232</v>
                </pt>
                <pt idx="1">
                  <v>0.00266</v>
                </pt>
                <pt idx="2">
                  <v>0.00297</v>
                </pt>
                <pt idx="3">
                  <v>0.0033</v>
                </pt>
                <pt idx="4">
                  <v>0.0037</v>
                </pt>
                <pt idx="5">
                  <v>0.00418</v>
                </pt>
                <pt idx="6">
                  <v>0.0048</v>
                </pt>
                <pt idx="7">
                  <v>0.00535</v>
                </pt>
                <pt idx="8">
                  <v>0.00598</v>
                </pt>
                <pt idx="9">
                  <v>0.00669</v>
                </pt>
                <pt idx="10">
                  <v>0.00748</v>
                </pt>
                <pt idx="11">
                  <v>0.008370000000000001</v>
                </pt>
                <pt idx="12">
                  <v>0.00937</v>
                </pt>
                <pt idx="13">
                  <v>0.01048</v>
                </pt>
                <pt idx="14">
                  <v>0.01172</v>
                </pt>
                <pt idx="15">
                  <v>0.01311</v>
                </pt>
                <pt idx="16">
                  <v>0.01467</v>
                </pt>
                <pt idx="17">
                  <v>0.01641</v>
                </pt>
                <pt idx="18">
                  <v>0.01835</v>
                </pt>
                <pt idx="19">
                  <v>0.02053</v>
                </pt>
                <pt idx="20">
                  <v>0.02297</v>
                </pt>
                <pt idx="21">
                  <v>0.02569</v>
                </pt>
                <pt idx="22">
                  <v>0.02874</v>
                </pt>
                <pt idx="23">
                  <v>0.03215</v>
                </pt>
                <pt idx="24">
                  <v>0.03597</v>
                </pt>
                <pt idx="25">
                  <v>0.04024</v>
                </pt>
                <pt idx="26">
                  <v>0.04501</v>
                </pt>
                <pt idx="27">
                  <v>0.05035</v>
                </pt>
                <pt idx="28">
                  <v>0.05633</v>
                </pt>
                <pt idx="29">
                  <v>0.06301</v>
                </pt>
                <pt idx="30">
                  <v>0.07049</v>
                </pt>
                <pt idx="31">
                  <v>0.07886</v>
                </pt>
              </numCache>
            </numRef>
          </xVal>
          <yVal>
            <numRef>
              <f>Exp!$K$3:$K$34</f>
              <numCache>
                <formatCode>General</formatCode>
                <ptCount val="32"/>
                <pt idx="0">
                  <v>429.74229</v>
                </pt>
                <pt idx="1">
                  <v>435.39068</v>
                </pt>
                <pt idx="2">
                  <v>437.97853</v>
                </pt>
                <pt idx="3">
                  <v>440.511</v>
                </pt>
                <pt idx="4">
                  <v>443.71927</v>
                </pt>
                <pt idx="5">
                  <v>448.91837</v>
                </pt>
                <pt idx="6">
                  <v>452.71912</v>
                </pt>
                <pt idx="7">
                  <v>455.1512</v>
                </pt>
                <pt idx="8">
                  <v>458.30018</v>
                </pt>
                <pt idx="9">
                  <v>461.9584</v>
                </pt>
                <pt idx="10">
                  <v>465.36499</v>
                </pt>
                <pt idx="11">
                  <v>468.65532</v>
                </pt>
                <pt idx="12">
                  <v>472.3962</v>
                </pt>
                <pt idx="13">
                  <v>475.30592</v>
                </pt>
                <pt idx="14">
                  <v>479.24442</v>
                </pt>
                <pt idx="15">
                  <v>483.9449</v>
                </pt>
                <pt idx="16">
                  <v>488.17582</v>
                </pt>
                <pt idx="17">
                  <v>492.22097</v>
                </pt>
                <pt idx="18">
                  <v>496.37449</v>
                </pt>
                <pt idx="19">
                  <v>500.41209</v>
                </pt>
                <pt idx="20">
                  <v>504.25433</v>
                </pt>
                <pt idx="21">
                  <v>508.43271</v>
                </pt>
                <pt idx="22">
                  <v>512.87771</v>
                </pt>
                <pt idx="23">
                  <v>516.8936200000001</v>
                </pt>
                <pt idx="24">
                  <v>521.01954</v>
                </pt>
                <pt idx="25">
                  <v>525.25761</v>
                </pt>
                <pt idx="26">
                  <v>529.61002</v>
                </pt>
                <pt idx="27">
                  <v>533.75694</v>
                </pt>
                <pt idx="28">
                  <v>538.09862</v>
                </pt>
                <pt idx="29">
                  <v>542.39381</v>
                </pt>
                <pt idx="30">
                  <v>546.6408300000001</v>
                </pt>
                <pt idx="31">
                  <v>550.75495</v>
                </pt>
              </numCache>
            </numRef>
          </yVal>
          <smooth val="1"/>
        </ser>
        <ser>
          <idx val="1"/>
          <order val="1"/>
          <tx>
            <v>Sim_773</v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2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'773K'!$B$2:$B$280</f>
              <numCache>
                <formatCode>0.00E+00</formatCode>
                <ptCount val="279"/>
                <pt idx="0">
                  <formatCode>General</formatCode>
                  <v>0</v>
                </pt>
                <pt idx="1">
                  <v>1.0088580383707e-28</v>
                </pt>
                <pt idx="2">
                  <v>1.6873471362628e-25</v>
                </pt>
                <pt idx="3">
                  <v>1.3247565523831e-18</v>
                </pt>
                <pt idx="4">
                  <v>1.1652792760924e-13</v>
                </pt>
                <pt idx="5">
                  <v>1.231865766017e-07</v>
                </pt>
                <pt idx="6">
                  <v>9.7336873628065e-05</v>
                </pt>
                <pt idx="7">
                  <formatCode>General</formatCode>
                  <v>0.00059036014292022</v>
                </pt>
                <pt idx="8">
                  <formatCode>General</formatCode>
                  <v>0.0012068970060646</v>
                </pt>
                <pt idx="9">
                  <formatCode>General</formatCode>
                  <v>0.0018416652090407</v>
                </pt>
                <pt idx="10">
                  <formatCode>General</formatCode>
                  <v>0.0024790056310859</v>
                </pt>
                <pt idx="11">
                  <formatCode>General</formatCode>
                  <v>0.0031156216584171</v>
                </pt>
                <pt idx="12">
                  <formatCode>General</formatCode>
                  <v>0.0037509645302765</v>
                </pt>
                <pt idx="13">
                  <formatCode>General</formatCode>
                  <v>0.0043851685034988</v>
                </pt>
                <pt idx="14">
                  <formatCode>General</formatCode>
                  <v>0.0050184312139507</v>
                </pt>
                <pt idx="15">
                  <formatCode>General</formatCode>
                  <v>0.0056509325136398</v>
                </pt>
                <pt idx="16">
                  <formatCode>General</formatCode>
                  <v>0.0062827932494667</v>
                </pt>
                <pt idx="17">
                  <formatCode>General</formatCode>
                  <v>0.0069140921356938</v>
                </pt>
                <pt idx="18">
                  <formatCode>General</formatCode>
                  <v>0.0075448864300979</v>
                </pt>
                <pt idx="19">
                  <formatCode>General</formatCode>
                  <v>0.0081752222698208</v>
                </pt>
                <pt idx="20">
                  <formatCode>General</formatCode>
                  <v>0.0088051364850085</v>
                </pt>
                <pt idx="21">
                  <formatCode>General</formatCode>
                  <v>0.0094346537809027</v>
                </pt>
                <pt idx="22">
                  <formatCode>General</formatCode>
                  <v>0.010063791628193</v>
                </pt>
                <pt idx="23">
                  <formatCode>General</formatCode>
                  <v>0.010692566232357</v>
                </pt>
                <pt idx="24">
                  <formatCode>General</formatCode>
                  <v>0.011320996740462</v>
                </pt>
                <pt idx="25">
                  <formatCode>General</formatCode>
                  <v>0.011949098928015</v>
                </pt>
                <pt idx="26">
                  <formatCode>General</formatCode>
                  <v>0.012576886061561</v>
                </pt>
                <pt idx="27">
                  <formatCode>General</formatCode>
                  <v>0.013204370820133</v>
                </pt>
                <pt idx="28">
                  <formatCode>General</formatCode>
                  <v>0.013831564859437</v>
                </pt>
                <pt idx="29">
                  <formatCode>General</formatCode>
                  <v>0.01445848201859</v>
                </pt>
                <pt idx="30">
                  <formatCode>General</formatCode>
                  <v>0.015085135505102</v>
                </pt>
                <pt idx="31">
                  <formatCode>General</formatCode>
                  <v>0.015711537267274</v>
                </pt>
                <pt idx="32">
                  <formatCode>General</formatCode>
                  <v>0.016337697787435</v>
                </pt>
                <pt idx="33">
                  <formatCode>General</formatCode>
                  <v>0.01696362471692</v>
                </pt>
                <pt idx="34">
                  <formatCode>General</formatCode>
                  <v>0.017589324515243</v>
                </pt>
                <pt idx="35">
                  <formatCode>General</formatCode>
                  <v>0.018214804070144</v>
                </pt>
                <pt idx="36">
                  <formatCode>General</formatCode>
                  <v>0.018840069553578</v>
                </pt>
                <pt idx="37">
                  <formatCode>General</formatCode>
                  <v>0.019465128818556</v>
                </pt>
                <pt idx="38">
                  <formatCode>General</formatCode>
                  <v>0.020089988426405</v>
                </pt>
                <pt idx="39">
                  <formatCode>General</formatCode>
                  <v>0.020714655255955</v>
                </pt>
                <pt idx="40">
                  <formatCode>General</formatCode>
                  <v>0.021339135656978</v>
                </pt>
                <pt idx="41">
                  <formatCode>General</formatCode>
                  <v>0.0219634361935</v>
                </pt>
                <pt idx="42">
                  <formatCode>General</formatCode>
                  <v>0.022587562404985</v>
                </pt>
                <pt idx="43">
                  <formatCode>General</formatCode>
                  <v>0.023211520619639</v>
                </pt>
                <pt idx="44">
                  <formatCode>General</formatCode>
                  <v>0.023835316083761</v>
                </pt>
                <pt idx="45">
                  <formatCode>General</formatCode>
                  <v>0.024458953450443</v>
                </pt>
                <pt idx="46">
                  <formatCode>General</formatCode>
                  <v>0.025082440620048</v>
                </pt>
                <pt idx="47">
                  <formatCode>General</formatCode>
                  <v>0.025705779807529</v>
                </pt>
                <pt idx="48">
                  <formatCode>General</formatCode>
                  <v>0.026328977336515</v>
                </pt>
                <pt idx="49">
                  <formatCode>General</formatCode>
                  <v>0.026952037438311</v>
                </pt>
                <pt idx="50">
                  <formatCode>General</formatCode>
                  <v>0.027574964809774</v>
                </pt>
                <pt idx="51">
                  <formatCode>General</formatCode>
                  <v>0.028197761895981</v>
                </pt>
                <pt idx="52">
                  <formatCode>General</formatCode>
                  <v>0.028820433166403</v>
                </pt>
                <pt idx="53">
                  <formatCode>General</formatCode>
                  <v>0.029442982427308</v>
                </pt>
                <pt idx="54">
                  <formatCode>General</formatCode>
                  <v>0.030065411410093</v>
                </pt>
                <pt idx="55">
                  <formatCode>General</formatCode>
                  <v>0.03068772409291</v>
                </pt>
                <pt idx="56">
                  <formatCode>General</formatCode>
                  <v>0.031309924276007</v>
                </pt>
                <pt idx="57">
                  <formatCode>General</formatCode>
                  <v>0.031932015585002</v>
                </pt>
                <pt idx="58">
                  <formatCode>General</formatCode>
                  <v>0.032554001982421</v>
                </pt>
                <pt idx="59">
                  <formatCode>General</formatCode>
                  <v>0.033175886871358</v>
                </pt>
                <pt idx="60">
                  <formatCode>General</formatCode>
                  <v>0.033797674886024</v>
                </pt>
                <pt idx="61">
                  <formatCode>General</formatCode>
                  <v>0.034419368424792</v>
                </pt>
                <pt idx="62">
                  <formatCode>General</formatCode>
                  <v>0.035040971842487</v>
                </pt>
                <pt idx="63">
                  <formatCode>General</formatCode>
                  <v>0.035662487107237</v>
                </pt>
                <pt idx="64">
                  <formatCode>General</formatCode>
                  <v>0.036283918832945</v>
                </pt>
                <pt idx="65">
                  <formatCode>General</formatCode>
                  <v>0.036905268949918</v>
                </pt>
                <pt idx="66">
                  <formatCode>General</formatCode>
                  <v>0.03752654056749</v>
                </pt>
                <pt idx="67">
                  <formatCode>General</formatCode>
                  <v>0.038147736116987</v>
                </pt>
                <pt idx="68">
                  <formatCode>General</formatCode>
                  <v>0.038768858128449</v>
                </pt>
                <pt idx="69">
                  <formatCode>General</formatCode>
                  <v>0.039389908426922</v>
                </pt>
                <pt idx="70">
                  <formatCode>General</formatCode>
                  <v>0.040010890069823</v>
                </pt>
                <pt idx="71">
                  <formatCode>General</formatCode>
                  <v>0.040631804603602</v>
                </pt>
                <pt idx="72">
                  <formatCode>General</formatCode>
                  <v>0.041252655741164</v>
                </pt>
                <pt idx="73">
                  <formatCode>General</formatCode>
                  <v>0.041873444452993</v>
                </pt>
                <pt idx="74">
                  <formatCode>General</formatCode>
                  <v>0.042494174175621</v>
                </pt>
                <pt idx="75">
                  <formatCode>General</formatCode>
                  <v>0.04311484644873</v>
                </pt>
                <pt idx="76">
                  <formatCode>General</formatCode>
                  <v>0.043735463535365</v>
                </pt>
                <pt idx="77">
                  <formatCode>General</formatCode>
                  <v>0.044356027857761</v>
                </pt>
                <pt idx="78">
                  <formatCode>General</formatCode>
                  <v>0.044976541514407</v>
                </pt>
                <pt idx="79">
                  <formatCode>General</formatCode>
                  <v>0.045597005710152</v>
                </pt>
                <pt idx="80">
                  <formatCode>General</formatCode>
                  <v>0.046217422358579</v>
                </pt>
                <pt idx="81">
                  <formatCode>General</formatCode>
                  <v>0.046837794557564</v>
                </pt>
                <pt idx="82">
                  <formatCode>General</formatCode>
                  <v>0.047458123564779</v>
                </pt>
                <pt idx="83">
                  <formatCode>General</formatCode>
                  <v>0.04807841170044</v>
                </pt>
                <pt idx="84">
                  <formatCode>General</formatCode>
                  <v>0.048698660628874</v>
                </pt>
                <pt idx="85">
                  <formatCode>General</formatCode>
                  <v>0.049318872201872</v>
                </pt>
                <pt idx="86">
                  <formatCode>General</formatCode>
                  <v>0.049939048002897</v>
                </pt>
                <pt idx="87">
                  <formatCode>General</formatCode>
                  <v>0.050559189905324</v>
                </pt>
                <pt idx="88">
                  <formatCode>General</formatCode>
                  <v>0.051158429573192</v>
                </pt>
              </numCache>
            </numRef>
          </xVal>
          <yVal>
            <numRef>
              <f>'773K'!$N$2:$N$230</f>
              <numCache>
                <formatCode>General</formatCode>
                <ptCount val="229"/>
                <pt idx="0">
                  <v>0</v>
                </pt>
                <pt idx="1">
                  <v>1.6028890157409</v>
                </pt>
                <pt idx="2">
                  <v>11.448233403899</v>
                </pt>
                <pt idx="3">
                  <v>62.165835065625</v>
                </pt>
                <pt idx="4">
                  <v>128.72051078622</v>
                </pt>
                <pt idx="5">
                  <v>254.208334911</v>
                </pt>
                <pt idx="6">
                  <v>362.30752292933</v>
                </pt>
                <pt idx="7">
                  <v>399.63881610597</v>
                </pt>
                <pt idx="8">
                  <v>413.43275522374</v>
                </pt>
                <pt idx="9">
                  <v>421.35624265944</v>
                </pt>
                <pt idx="10">
                  <v>426.7399395702</v>
                </pt>
                <pt idx="11">
                  <v>430.79041896244</v>
                </pt>
                <pt idx="12">
                  <v>434.07003097587</v>
                </pt>
                <pt idx="13">
                  <v>436.87363141731</v>
                </pt>
                <pt idx="14">
                  <v>439.36532501076</v>
                </pt>
                <pt idx="15">
                  <v>441.64134360324</v>
                </pt>
                <pt idx="16">
                  <v>443.76101726683</v>
                </pt>
                <pt idx="17">
                  <v>445.76326199852</v>
                </pt>
                <pt idx="18">
                  <v>447.67405563489</v>
                </pt>
                <pt idx="19">
                  <v>449.51219812377</v>
                </pt>
                <pt idx="20">
                  <v>451.29124487998</v>
                </pt>
                <pt idx="21">
                  <v>453.02079785631</v>
                </pt>
                <pt idx="22">
                  <v>454.70779591354</v>
                </pt>
                <pt idx="23">
                  <v>456.35832920259</v>
                </pt>
                <pt idx="24">
                  <v>457.97664348739</v>
                </pt>
                <pt idx="25">
                  <v>459.56655606645</v>
                </pt>
                <pt idx="26">
                  <v>461.1311754633</v>
                </pt>
                <pt idx="27">
                  <v>462.67272670003</v>
                </pt>
                <pt idx="28">
                  <v>464.1934030842</v>
                </pt>
                <pt idx="29">
                  <v>465.69465098397</v>
                </pt>
                <pt idx="30">
                  <v>467.1779779045</v>
                </pt>
                <pt idx="31">
                  <v>468.64469791902</v>
                </pt>
                <pt idx="32">
                  <v>470.09608884471</v>
                </pt>
                <pt idx="33">
                  <v>471.53307304291</v>
                </pt>
                <pt idx="34">
                  <v>472.95640878908</v>
                </pt>
                <pt idx="35">
                  <v>474.36681390157</v>
                </pt>
                <pt idx="36">
                  <v>475.76487326144</v>
                </pt>
                <pt idx="37">
                  <v>477.15131098338</v>
                </pt>
                <pt idx="38">
                  <v>478.52658131049</v>
                </pt>
                <pt idx="39">
                  <v>479.89123976866</v>
                </pt>
                <pt idx="40">
                  <v>481.24567623751</v>
                </pt>
                <pt idx="41">
                  <v>482.59032188552</v>
                </pt>
                <pt idx="42">
                  <v>483.92560931198</v>
                </pt>
                <pt idx="43">
                  <v>485.25175058512</v>
                </pt>
                <pt idx="44">
                  <v>486.56915748939</v>
                </pt>
                <pt idx="45">
                  <v>487.87823896336</v>
                </pt>
                <pt idx="46">
                  <v>489.17884416279</v>
                </pt>
                <pt idx="47">
                  <v>490.47182956419</v>
                </pt>
                <pt idx="48">
                  <v>491.75699625796</v>
                </pt>
                <pt idx="49">
                  <v>493.03474833651</v>
                </pt>
                <pt idx="50">
                  <v>494.30507379135</v>
                </pt>
                <pt idx="51">
                  <v>495.56848636125</v>
                </pt>
                <pt idx="52">
                  <v>496.82483414112</v>
                </pt>
                <pt idx="53">
                  <v>498.07428784116</v>
                </pt>
                <pt idx="54">
                  <v>499.31719402353</v>
                </pt>
                <pt idx="55">
                  <v>500.55359471131</v>
                </pt>
                <pt idx="56">
                  <v>501.7836302961</v>
                </pt>
                <pt idx="57">
                  <v>503.00748681895</v>
                </pt>
                <pt idx="58">
                  <v>504.22524299107</v>
                </pt>
                <pt idx="59">
                  <v>505.43706907511</v>
                </pt>
                <pt idx="60">
                  <v>506.64305361866</v>
                </pt>
                <pt idx="61">
                  <v>507.84340866843</v>
                </pt>
                <pt idx="62">
                  <v>509.03803918501</v>
                </pt>
                <pt idx="63">
                  <v>510.22737988591</v>
                </pt>
                <pt idx="64">
                  <v>511.41122377564</v>
                </pt>
                <pt idx="65">
                  <v>512.58978924386</v>
                </pt>
                <pt idx="66">
                  <v>513.76312248052</v>
                </pt>
                <pt idx="67">
                  <v>514.93127398938</v>
                </pt>
                <pt idx="68">
                  <v>516.09446800027</v>
                </pt>
                <pt idx="69">
                  <v>517.2528053546901</v>
                </pt>
                <pt idx="70">
                  <v>518.40616615252</v>
                </pt>
                <pt idx="71">
                  <v>519.55479843244</v>
                </pt>
                <pt idx="72">
                  <v>520.69855986273</v>
                </pt>
                <pt idx="73">
                  <v>521.83776746757</v>
                </pt>
                <pt idx="74">
                  <v>522.97224038322</v>
                </pt>
                <pt idx="75">
                  <v>524.10211074561</v>
                </pt>
                <pt idx="76">
                  <v>525.2275832337</v>
                </pt>
                <pt idx="77">
                  <v>526.34852931796</v>
                </pt>
                <pt idx="78">
                  <v>527.4650696651501</v>
                </pt>
                <pt idx="79">
                  <v>528.57732461764</v>
                </pt>
                <pt idx="80">
                  <v>529.68542354838</v>
                </pt>
                <pt idx="81">
                  <v>530.7893237990299</v>
                </pt>
                <pt idx="82">
                  <v>531.8889602329</v>
                </pt>
                <pt idx="83">
                  <v>532.98443660206</v>
                </pt>
                <pt idx="84">
                  <v>534.07586145762</v>
                </pt>
                <pt idx="85">
                  <v>535.16315694485</v>
                </pt>
                <pt idx="86">
                  <v>536.24653671363</v>
                </pt>
                <pt idx="87">
                  <v>537.32599417658</v>
                </pt>
                <pt idx="88">
                  <v>538.39004769681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45167379"/>
        <axId val="892031439"/>
      </scatterChart>
      <valAx>
        <axId val="345167379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92031439"/>
        <crosses val="autoZero"/>
        <crossBetween val="midCat"/>
      </valAx>
      <valAx>
        <axId val="89203143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5167379"/>
        <crosses val="autoZero"/>
        <crossBetween val="midCat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/>
      <scatterChart>
        <scatterStyle val="smoothMarker"/>
        <varyColors val="0"/>
        <ser>
          <idx val="0"/>
          <order val="0"/>
          <tx>
            <strRef>
              <f>Exp!$M$2</f>
              <strCache>
                <ptCount val="1"/>
                <pt idx="0">
                  <v>723K 2014 Singh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1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Exp!$M$3:$M$35</f>
              <numCache>
                <formatCode>General</formatCode>
                <ptCount val="33"/>
                <pt idx="0">
                  <v>0.00231</v>
                </pt>
                <pt idx="1">
                  <v>0.00259</v>
                </pt>
                <pt idx="2">
                  <v>0.00291</v>
                </pt>
                <pt idx="3">
                  <v>0.00324</v>
                </pt>
                <pt idx="4">
                  <v>0.00363</v>
                </pt>
                <pt idx="5">
                  <v>0.00406</v>
                </pt>
                <pt idx="6">
                  <v>0.00454</v>
                </pt>
                <pt idx="7">
                  <v>0.00508</v>
                </pt>
                <pt idx="8">
                  <v>0.00568</v>
                </pt>
                <pt idx="9">
                  <v>0.00635</v>
                </pt>
                <pt idx="10">
                  <v>0.00711</v>
                </pt>
                <pt idx="11">
                  <v>0.00795</v>
                </pt>
                <pt idx="12">
                  <v>0.00889</v>
                </pt>
                <pt idx="13">
                  <v>0.009950000000000001</v>
                </pt>
                <pt idx="14">
                  <v>0.01113</v>
                </pt>
                <pt idx="15">
                  <v>0.01245</v>
                </pt>
                <pt idx="16">
                  <v>0.01392</v>
                </pt>
                <pt idx="17">
                  <v>0.01558</v>
                </pt>
                <pt idx="18">
                  <v>0.01742</v>
                </pt>
                <pt idx="19">
                  <v>0.01949</v>
                </pt>
                <pt idx="20">
                  <v>0.0218</v>
                </pt>
                <pt idx="21">
                  <v>0.02439</v>
                </pt>
                <pt idx="22">
                  <v>0.02728</v>
                </pt>
                <pt idx="23">
                  <v>0.03052</v>
                </pt>
                <pt idx="24">
                  <v>0.03414</v>
                </pt>
                <pt idx="25">
                  <v>0.03819</v>
                </pt>
                <pt idx="26">
                  <v>0.04272</v>
                </pt>
                <pt idx="27">
                  <v>0.04779</v>
                </pt>
                <pt idx="28">
                  <v>0.05346</v>
                </pt>
                <pt idx="29">
                  <v>0.0598</v>
                </pt>
                <pt idx="30">
                  <v>0.0669</v>
                </pt>
                <pt idx="31">
                  <v>0.07467</v>
                </pt>
                <pt idx="32">
                  <v>0.08182</v>
                </pt>
              </numCache>
            </numRef>
          </xVal>
          <yVal>
            <numRef>
              <f>Exp!$N$3:$N$35</f>
              <numCache>
                <formatCode>General</formatCode>
                <ptCount val="33"/>
                <pt idx="0">
                  <v>448.23921</v>
                </pt>
                <pt idx="1">
                  <v>452.40283</v>
                </pt>
                <pt idx="2">
                  <v>457.36345</v>
                </pt>
                <pt idx="3">
                  <v>460.4656</v>
                </pt>
                <pt idx="4">
                  <v>465.00311</v>
                </pt>
                <pt idx="5">
                  <v>468.78553</v>
                </pt>
                <pt idx="6">
                  <v>472.95524</v>
                </pt>
                <pt idx="7">
                  <v>476.58667</v>
                </pt>
                <pt idx="8">
                  <v>480.02872</v>
                </pt>
                <pt idx="9">
                  <v>483.95422</v>
                </pt>
                <pt idx="10">
                  <v>489.56507</v>
                </pt>
                <pt idx="11">
                  <v>493.47286</v>
                </pt>
                <pt idx="12">
                  <v>497.712</v>
                </pt>
                <pt idx="13">
                  <v>502.21475</v>
                </pt>
                <pt idx="14">
                  <v>505.8419</v>
                </pt>
                <pt idx="15">
                  <v>510.57218</v>
                </pt>
                <pt idx="16">
                  <v>514.8805599999999</v>
                </pt>
                <pt idx="17">
                  <v>519.46027</v>
                </pt>
                <pt idx="18">
                  <v>524.23883</v>
                </pt>
                <pt idx="19">
                  <v>529.30078</v>
                </pt>
                <pt idx="20">
                  <v>534.65347</v>
                </pt>
                <pt idx="21">
                  <v>539.97884</v>
                </pt>
                <pt idx="22">
                  <v>545.275</v>
                </pt>
                <pt idx="23">
                  <v>551.20474</v>
                </pt>
                <pt idx="24">
                  <v>557.0309099999999</v>
                </pt>
                <pt idx="25">
                  <v>562.57917</v>
                </pt>
                <pt idx="26">
                  <v>568.52557</v>
                </pt>
                <pt idx="27">
                  <v>574.0151499999999</v>
                </pt>
                <pt idx="28">
                  <v>579.82002</v>
                </pt>
                <pt idx="29">
                  <v>585.77193</v>
                </pt>
                <pt idx="30">
                  <v>592.3207</v>
                </pt>
                <pt idx="31">
                  <v>597.33227</v>
                </pt>
                <pt idx="32">
                  <v>601.62688</v>
                </pt>
              </numCache>
            </numRef>
          </yVal>
          <smooth val="1"/>
        </ser>
        <ser>
          <idx val="1"/>
          <order val="1"/>
          <tx>
            <v>Sim_723</v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2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'723K'!$B$2:$B$280</f>
              <numCache>
                <formatCode>0.00E+00</formatCode>
                <ptCount val="279"/>
                <pt idx="0">
                  <formatCode>General</formatCode>
                  <v>0</v>
                </pt>
                <pt idx="1">
                  <v>7.9794350156811e-32</v>
                </pt>
                <pt idx="2">
                  <v>2.5103255574083e-28</v>
                </pt>
                <pt idx="3">
                  <v>9.9331878910772e-21</v>
                </pt>
                <pt idx="4">
                  <v>3.0715523011365e-15</v>
                </pt>
                <pt idx="5">
                  <v>9.8029147818532e-09</v>
                </pt>
                <pt idx="6">
                  <v>4.403477181618e-05</v>
                </pt>
                <pt idx="7">
                  <formatCode>General</formatCode>
                  <v>0.00046431499105584</v>
                </pt>
                <pt idx="8">
                  <formatCode>General</formatCode>
                  <v>0.0010700786009918</v>
                </pt>
                <pt idx="9">
                  <formatCode>General</formatCode>
                  <v>0.0017041169210877</v>
                </pt>
                <pt idx="10">
                  <formatCode>General</formatCode>
                  <v>0.0023424104033999</v>
                </pt>
                <pt idx="11">
                  <formatCode>General</formatCode>
                  <v>0.0029802106441591</v>
                </pt>
                <pt idx="12">
                  <formatCode>General</formatCode>
                  <v>0.0036165780334565</v>
                </pt>
                <pt idx="13">
                  <formatCode>General</formatCode>
                  <v>0.0042515873782231</v>
                </pt>
                <pt idx="14">
                  <formatCode>General</formatCode>
                  <v>0.0048854777243935</v>
                </pt>
                <pt idx="15">
                  <formatCode>General</formatCode>
                  <v>0.0055184564598352</v>
                </pt>
                <pt idx="16">
                  <formatCode>General</formatCode>
                  <v>0.0061506970903807</v>
                </pt>
                <pt idx="17">
                  <formatCode>General</formatCode>
                  <v>0.0067823115832507</v>
                </pt>
                <pt idx="18">
                  <formatCode>General</formatCode>
                  <v>0.0074133768817828</v>
                </pt>
                <pt idx="19">
                  <formatCode>General</formatCode>
                  <v>0.008043947341286901</v>
                </pt>
                <pt idx="20">
                  <formatCode>General</formatCode>
                  <v>0.0086740674684529</v>
                </pt>
                <pt idx="21">
                  <formatCode>General</formatCode>
                  <v>0.0093037766847818</v>
                </pt>
                <pt idx="22">
                  <formatCode>General</formatCode>
                  <v>0.0099331017689211</v>
                </pt>
                <pt idx="23">
                  <formatCode>General</formatCode>
                  <v>0.010562060234311</v>
                </pt>
                <pt idx="24">
                  <formatCode>General</formatCode>
                  <v>0.011190667853296</v>
                </pt>
                <pt idx="25">
                  <formatCode>General</formatCode>
                  <v>0.011818942060084</v>
                </pt>
                <pt idx="26">
                  <formatCode>General</formatCode>
                  <v>0.012446899233271</v>
                </pt>
                <pt idx="27">
                  <formatCode>General</formatCode>
                  <v>0.013074555223496</v>
                </pt>
                <pt idx="28">
                  <formatCode>General</formatCode>
                  <v>0.013701923642482</v>
                </pt>
                <pt idx="29">
                  <formatCode>General</formatCode>
                  <v>0.014329015200866</v>
                </pt>
                <pt idx="30">
                  <formatCode>General</formatCode>
                  <v>0.014955838029226</v>
                </pt>
                <pt idx="31">
                  <formatCode>General</formatCode>
                  <v>0.015582404868339</v>
                </pt>
                <pt idx="32">
                  <formatCode>General</formatCode>
                  <v>0.016208726529562</v>
                </pt>
                <pt idx="33">
                  <formatCode>General</formatCode>
                  <v>0.016834816142667</v>
                </pt>
                <pt idx="34">
                  <formatCode>General</formatCode>
                  <v>0.017460684161642</v>
                </pt>
                <pt idx="35">
                  <formatCode>General</formatCode>
                  <v>0.018086338423816</v>
                </pt>
                <pt idx="36">
                  <formatCode>General</formatCode>
                  <v>0.01871178588381</v>
                </pt>
                <pt idx="37">
                  <formatCode>General</formatCode>
                  <v>0.019337031336055</v>
                </pt>
                <pt idx="38">
                  <formatCode>General</formatCode>
                  <v>0.01996208026231</v>
                </pt>
                <pt idx="39">
                  <formatCode>General</formatCode>
                  <v>0.020586937092053</v>
                </pt>
                <pt idx="40">
                  <formatCode>General</formatCode>
                  <v>0.02121160925019</v>
                </pt>
                <pt idx="41">
                  <formatCode>General</formatCode>
                  <v>0.021836101969971</v>
                </pt>
                <pt idx="42">
                  <formatCode>General</formatCode>
                  <v>0.022460422120422</v>
                </pt>
                <pt idx="43">
                  <formatCode>General</formatCode>
                  <v>0.023084575161591</v>
                </pt>
                <pt idx="44">
                  <formatCode>General</formatCode>
                  <v>0.023708565945683</v>
                </pt>
                <pt idx="45">
                  <formatCode>General</formatCode>
                  <v>0.024332400658289</v>
                </pt>
                <pt idx="46">
                  <formatCode>General</formatCode>
                  <v>0.024956084961734</v>
                </pt>
                <pt idx="47">
                  <formatCode>General</formatCode>
                  <v>0.025579623301757</v>
                </pt>
                <pt idx="48">
                  <formatCode>General</formatCode>
                  <v>0.026203020088298</v>
                </pt>
                <pt idx="49">
                  <formatCode>General</formatCode>
                  <v>0.026826280292932</v>
                </pt>
                <pt idx="50">
                  <formatCode>General</formatCode>
                  <v>0.027449407454021</v>
                </pt>
                <pt idx="51">
                  <formatCode>General</formatCode>
                  <v>0.028072406557747</v>
                </pt>
                <pt idx="52">
                  <formatCode>General</formatCode>
                  <v>0.028695280939807</v>
                </pt>
                <pt idx="53">
                  <formatCode>General</formatCode>
                  <v>0.029318034531921</v>
                </pt>
                <pt idx="54">
                  <formatCode>General</formatCode>
                  <v>0.029940671665064</v>
                </pt>
                <pt idx="55">
                  <formatCode>General</formatCode>
                  <v>0.03056319462682</v>
                </pt>
                <pt idx="56">
                  <formatCode>General</formatCode>
                  <v>0.031185607412495</v>
                </pt>
                <pt idx="57">
                  <formatCode>General</formatCode>
                  <v>0.03180791300119</v>
                </pt>
                <pt idx="58">
                  <formatCode>General</formatCode>
                  <v>0.032430112562689</v>
                </pt>
                <pt idx="59">
                  <formatCode>General</formatCode>
                  <v>0.033052210095713</v>
                </pt>
                <pt idx="60">
                  <formatCode>General</formatCode>
                  <v>0.033674208076246</v>
                </pt>
                <pt idx="61">
                  <formatCode>General</formatCode>
                  <v>0.034296109333496</v>
                </pt>
                <pt idx="62">
                  <formatCode>General</formatCode>
                  <v>0.034917917738262</v>
                </pt>
                <pt idx="63">
                  <formatCode>General</formatCode>
                  <v>0.035539636903633</v>
                </pt>
                <pt idx="64">
                  <formatCode>General</formatCode>
                  <v>0.036161269222981</v>
                </pt>
                <pt idx="65">
                  <formatCode>General</formatCode>
                  <v>0.036782818761013</v>
                </pt>
                <pt idx="66">
                  <formatCode>General</formatCode>
                  <v>0.037404288557086</v>
                </pt>
                <pt idx="67">
                  <formatCode>General</formatCode>
                  <v>0.038025681105258</v>
                </pt>
                <pt idx="68">
                  <formatCode>General</formatCode>
                  <v>0.038646998497899</v>
                </pt>
                <pt idx="69">
                  <formatCode>General</formatCode>
                  <v>0.039268245493579</v>
                </pt>
                <pt idx="70">
                  <formatCode>General</formatCode>
                  <v>0.039889424442896</v>
                </pt>
                <pt idx="71">
                  <formatCode>General</formatCode>
                  <v>0.040510536979173</v>
                </pt>
                <pt idx="72">
                  <formatCode>General</formatCode>
                  <v>0.041131585991436</v>
                </pt>
                <pt idx="73">
                  <formatCode>General</formatCode>
                  <v>0.041752573866967</v>
                </pt>
                <pt idx="74">
                  <formatCode>General</formatCode>
                  <v>0.042373502982878</v>
                </pt>
                <pt idx="75">
                  <formatCode>General</formatCode>
                  <v>0.042994374343165</v>
                </pt>
                <pt idx="76">
                  <formatCode>General</formatCode>
                  <v>0.043615190760239</v>
                </pt>
                <pt idx="77">
                  <formatCode>General</formatCode>
                  <v>0.044235954540992</v>
                </pt>
                <pt idx="78">
                  <formatCode>General</formatCode>
                  <v>0.044856666532722</v>
                </pt>
                <pt idx="79">
                  <formatCode>General</formatCode>
                  <v>0.045477328677133</v>
                </pt>
                <pt idx="80">
                  <formatCode>General</formatCode>
                  <v>0.046097943704648</v>
                </pt>
                <pt idx="81">
                  <formatCode>General</formatCode>
                  <v>0.046718514172926</v>
                </pt>
                <pt idx="82">
                  <formatCode>General</formatCode>
                  <v>0.047339040777891</v>
                </pt>
                <pt idx="83">
                  <formatCode>General</formatCode>
                  <v>0.047959526548218</v>
                </pt>
                <pt idx="84">
                  <formatCode>General</formatCode>
                  <v>0.048579972644775</v>
                </pt>
                <pt idx="85">
                  <formatCode>General</formatCode>
                  <v>0.049200381304586</v>
                </pt>
                <pt idx="86">
                  <formatCode>General</formatCode>
                  <v>0.049820754154775</v>
                </pt>
                <pt idx="87">
                  <formatCode>General</formatCode>
                  <v>0.050441093022443</v>
                </pt>
                <pt idx="88">
                  <formatCode>General</formatCode>
                  <v>0.051040529795761</v>
                </pt>
              </numCache>
            </numRef>
          </xVal>
          <yVal>
            <numRef>
              <f>'723K'!$N$2:$N$230</f>
              <numCache>
                <formatCode>General</formatCode>
                <ptCount val="229"/>
                <pt idx="0">
                  <v>0</v>
                </pt>
                <pt idx="1">
                  <v>1.6353103255471</v>
                </pt>
                <pt idx="2">
                  <v>11.679777186108</v>
                </pt>
                <pt idx="3">
                  <v>63.42262607453</v>
                </pt>
                <pt idx="4">
                  <v>131.32150603419</v>
                </pt>
                <pt idx="5">
                  <v>259.36379577124</v>
                </pt>
                <pt idx="6">
                  <v>379.82531131589</v>
                </pt>
                <pt idx="7">
                  <v>432.07877891835</v>
                </pt>
                <pt idx="8">
                  <v>449.83147725864</v>
                </pt>
                <pt idx="9">
                  <v>459.649776307</v>
                </pt>
                <pt idx="10">
                  <v>466.23103743785</v>
                </pt>
                <pt idx="11">
                  <v>471.13154292327</v>
                </pt>
                <pt idx="12">
                  <v>475.05081030518</v>
                </pt>
                <pt idx="13">
                  <v>478.36109729741</v>
                </pt>
                <pt idx="14">
                  <v>481.27276128428</v>
                </pt>
                <pt idx="15">
                  <v>483.91007988688</v>
                </pt>
                <pt idx="16">
                  <v>486.3505693645</v>
                </pt>
                <pt idx="17">
                  <v>488.64392576989</v>
                </pt>
                <pt idx="18">
                  <v>490.82348119458</v>
                </pt>
                <pt idx="19">
                  <v>492.91295628874</v>
                </pt>
                <pt idx="20">
                  <v>494.92973787274</v>
                </pt>
                <pt idx="21">
                  <v>496.88628572202</v>
                </pt>
                <pt idx="22">
                  <v>498.79191751219</v>
                </pt>
                <pt idx="23">
                  <v>500.65362516656</v>
                </pt>
                <pt idx="24">
                  <v>502.47713470835</v>
                </pt>
                <pt idx="25">
                  <v>504.26693787297</v>
                </pt>
                <pt idx="26">
                  <v>506.02667160814</v>
                </pt>
                <pt idx="27">
                  <v>507.75952399336</v>
                </pt>
                <pt idx="28">
                  <v>509.46782245568</v>
                </pt>
                <pt idx="29">
                  <v>511.15338546468</v>
                </pt>
                <pt idx="30">
                  <v>512.8183519247</v>
                </pt>
                <pt idx="31">
                  <v>514.46392661447</v>
                </pt>
                <pt idx="32">
                  <v>516.09166685772</v>
                </pt>
                <pt idx="33">
                  <v>517.70263297243</v>
                </pt>
                <pt idx="34">
                  <v>519.29784532</v>
                </pt>
                <pt idx="35">
                  <v>520.87841972378</v>
                </pt>
                <pt idx="36">
                  <v>522.44494979772</v>
                </pt>
                <pt idx="37">
                  <v>523.99816450286</v>
                </pt>
                <pt idx="38">
                  <v>525.53860166854</v>
                </pt>
                <pt idx="39">
                  <v>527.06704718127</v>
                </pt>
                <pt idx="40">
                  <v>528.58363478246</v>
                </pt>
                <pt idx="41">
                  <v>530.0890597016499</v>
                </pt>
                <pt idx="42">
                  <v>531.58364036479</v>
                </pt>
                <pt idx="43">
                  <v>533.06784596311</v>
                </pt>
                <pt idx="44">
                  <v>534.54226356581</v>
                </pt>
                <pt idx="45">
                  <v>536.00717916281</v>
                </pt>
                <pt idx="46">
                  <v>537.46250025096</v>
                </pt>
                <pt idx="47">
                  <v>538.90882256014</v>
                </pt>
                <pt idx="48">
                  <v>540.3464206062901</v>
                </pt>
                <pt idx="49">
                  <v>541.77538391676</v>
                </pt>
                <pt idx="50">
                  <v>543.19614753522</v>
                </pt>
                <pt idx="51">
                  <v>544.60874627417</v>
                </pt>
                <pt idx="52">
                  <v>546.01361117921</v>
                </pt>
                <pt idx="53">
                  <v>547.41072818409</v>
                </pt>
                <pt idx="54">
                  <v>548.80038763907</v>
                </pt>
                <pt idx="55">
                  <v>550.18278162882</v>
                </pt>
                <pt idx="56">
                  <v>551.55791821644</v>
                </pt>
                <pt idx="57">
                  <v>552.9259641351</v>
                </pt>
                <pt idx="58">
                  <v>554.28727055344</v>
                </pt>
                <pt idx="59">
                  <v>555.6417476479</v>
                </pt>
                <pt idx="60">
                  <v>556.98960121972</v>
                </pt>
                <pt idx="61">
                  <v>558.33093983318</v>
                </pt>
                <pt idx="62">
                  <v>559.66594475864</v>
                </pt>
                <pt idx="63">
                  <v>560.99452199446</v>
                </pt>
                <pt idx="64">
                  <v>562.31707029088</v>
                </pt>
                <pt idx="65">
                  <v>563.63346768342</v>
                </pt>
                <pt idx="66">
                  <v>564.94382692068</v>
                </pt>
                <pt idx="67">
                  <v>566.24840547057</v>
                </pt>
                <pt idx="68">
                  <v>567.54739829548</v>
                </pt>
                <pt idx="69">
                  <v>568.84074929416</v>
                </pt>
                <pt idx="70">
                  <v>570.12848426652</v>
                </pt>
                <pt idx="71">
                  <v>571.4108312419201</v>
                </pt>
                <pt idx="72">
                  <v>572.68770552243</v>
                </pt>
                <pt idx="73">
                  <v>573.95928802022</v>
                </pt>
                <pt idx="74">
                  <v>575.2254934651399</v>
                </pt>
                <pt idx="75">
                  <v>576.4866729303</v>
                </pt>
                <pt idx="76">
                  <v>577.74267847456</v>
                </pt>
                <pt idx="77">
                  <v>578.99362470967</v>
                </pt>
                <pt idx="78">
                  <v>580.23966550668</v>
                </pt>
                <pt idx="79">
                  <v>581.48093801288</v>
                </pt>
                <pt idx="80">
                  <v>582.71730954494</v>
                </pt>
                <pt idx="81">
                  <v>583.94875698889</v>
                </pt>
                <pt idx="82">
                  <v>585.17550445155</v>
                </pt>
                <pt idx="83">
                  <v>586.39752789081</v>
                </pt>
                <pt idx="84">
                  <v>587.61500818053</v>
                </pt>
                <pt idx="85">
                  <v>588.8278814128</v>
                </pt>
                <pt idx="86">
                  <v>590.03617337947</v>
                </pt>
                <pt idx="87">
                  <v>591.23995523163</v>
                </pt>
                <pt idx="88">
                  <v>592.4233290977101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45167379"/>
        <axId val="892031439"/>
      </scatterChart>
      <valAx>
        <axId val="345167379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92031439"/>
        <crosses val="autoZero"/>
        <crossBetween val="midCat"/>
      </valAx>
      <valAx>
        <axId val="89203143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5167379"/>
        <crosses val="autoZero"/>
        <crossBetween val="midCat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/>
      <scatterChart>
        <scatterStyle val="smoothMarker"/>
        <varyColors val="0"/>
        <ser>
          <idx val="0"/>
          <order val="0"/>
          <tx>
            <strRef>
              <f>Exp!$A$2</f>
              <strCache>
                <ptCount val="1"/>
                <pt idx="0">
                  <v>923K 2014 Singh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1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Exp!$A$3:$A$24</f>
              <numCache>
                <formatCode>General</formatCode>
                <ptCount val="22"/>
                <pt idx="0">
                  <v>0.00243</v>
                </pt>
                <pt idx="1">
                  <v>0.00272</v>
                </pt>
                <pt idx="2">
                  <v>0.00304</v>
                </pt>
                <pt idx="3">
                  <v>0.0034</v>
                </pt>
                <pt idx="4">
                  <v>0.0038</v>
                </pt>
                <pt idx="5">
                  <v>0.00426</v>
                </pt>
                <pt idx="6">
                  <v>0.00476</v>
                </pt>
                <pt idx="7">
                  <v>0.00533</v>
                </pt>
                <pt idx="8">
                  <v>0.00596</v>
                </pt>
                <pt idx="9">
                  <v>0.00667</v>
                </pt>
                <pt idx="10">
                  <v>0.00746</v>
                </pt>
                <pt idx="11">
                  <v>0.00834</v>
                </pt>
                <pt idx="12">
                  <v>0.00933</v>
                </pt>
                <pt idx="13">
                  <v>0.01044</v>
                </pt>
                <pt idx="14">
                  <v>0.01168</v>
                </pt>
                <pt idx="15">
                  <v>0.01307</v>
                </pt>
                <pt idx="16">
                  <v>0.01462</v>
                </pt>
                <pt idx="17">
                  <v>0.01636</v>
                </pt>
                <pt idx="18">
                  <v>0.0183</v>
                </pt>
                <pt idx="19">
                  <v>0.02047</v>
                </pt>
                <pt idx="20">
                  <v>0.0229</v>
                </pt>
                <pt idx="21">
                  <v>0.02485</v>
                </pt>
              </numCache>
            </numRef>
          </xVal>
          <yVal>
            <numRef>
              <f>Exp!$B$3:$B$24</f>
              <numCache>
                <formatCode>General</formatCode>
                <ptCount val="22"/>
                <pt idx="0">
                  <v>287.54627</v>
                </pt>
                <pt idx="1">
                  <v>290.5856</v>
                </pt>
                <pt idx="2">
                  <v>292.9537</v>
                </pt>
                <pt idx="3">
                  <v>294.97606</v>
                </pt>
                <pt idx="4">
                  <v>297.23668</v>
                </pt>
                <pt idx="5">
                  <v>298.57603</v>
                </pt>
                <pt idx="6">
                  <v>300.50574</v>
                </pt>
                <pt idx="7">
                  <v>302.7674</v>
                </pt>
                <pt idx="8">
                  <v>305.13811</v>
                </pt>
                <pt idx="9">
                  <v>306.97131</v>
                </pt>
                <pt idx="10">
                  <v>309.18836</v>
                </pt>
                <pt idx="11">
                  <v>310.48345</v>
                </pt>
                <pt idx="12">
                  <v>311.97212</v>
                </pt>
                <pt idx="13">
                  <v>313.5625</v>
                </pt>
                <pt idx="14">
                  <v>314.68601</v>
                </pt>
                <pt idx="15">
                  <v>316.00413</v>
                </pt>
                <pt idx="16">
                  <v>317.23207</v>
                </pt>
                <pt idx="17">
                  <v>318.36874</v>
                </pt>
                <pt idx="18">
                  <v>319.75051</v>
                </pt>
                <pt idx="19">
                  <v>320.75103</v>
                </pt>
                <pt idx="20">
                  <v>321.65765</v>
                </pt>
                <pt idx="21">
                  <v>322.01648</v>
                </pt>
              </numCache>
            </numRef>
          </yVal>
          <smooth val="1"/>
        </ser>
        <ser>
          <idx val="1"/>
          <order val="1"/>
          <tx>
            <v>Sim_923</v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2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'923K'!$B$2:$B$280</f>
              <numCache>
                <formatCode>0.00E+00</formatCode>
                <ptCount val="279"/>
                <pt idx="0">
                  <formatCode>General</formatCode>
                  <v>0</v>
                </pt>
                <pt idx="1">
                  <v>2.2399807571466e-21</v>
                </pt>
                <pt idx="2">
                  <v>9.8883469215471e-19</v>
                </pt>
                <pt idx="3">
                  <v>2.3544534342693e-13</v>
                </pt>
                <pt idx="4">
                  <v>7.5657035977427e-10</v>
                </pt>
                <pt idx="5">
                  <v>2.0650340656343e-05</v>
                </pt>
                <pt idx="6">
                  <formatCode>General</formatCode>
                  <v>0.00039445773940345</v>
                </pt>
                <pt idx="7">
                  <formatCode>General</formatCode>
                  <v>0.0009894029074135099</v>
                </pt>
                <pt idx="8">
                  <formatCode>General</formatCode>
                  <v>0.0016143540455822</v>
                </pt>
                <pt idx="9">
                  <formatCode>General</formatCode>
                  <v>0.002244861716705</v>
                </pt>
                <pt idx="10">
                  <formatCode>General</formatCode>
                  <v>0.0028764868148359</v>
                </pt>
                <pt idx="11">
                  <formatCode>General</formatCode>
                  <v>0.0035081549417257</v>
                </pt>
                <pt idx="12">
                  <formatCode>General</formatCode>
                  <v>0.004139600724574</v>
                </pt>
                <pt idx="13">
                  <formatCode>General</formatCode>
                  <v>0.0047707324212455</v>
                </pt>
                <pt idx="14">
                  <formatCode>General</formatCode>
                  <v>0.0054015105356348</v>
                </pt>
                <pt idx="15">
                  <formatCode>General</formatCode>
                  <v>0.006031923427155</v>
                </pt>
                <pt idx="16">
                  <formatCode>General</formatCode>
                  <v>0.0066619647852228</v>
                </pt>
                <pt idx="17">
                  <formatCode>General</formatCode>
                  <v>0.0072916307330198</v>
                </pt>
                <pt idx="18">
                  <formatCode>General</formatCode>
                  <v>0.0079209195515375</v>
                </pt>
                <pt idx="19">
                  <formatCode>General</formatCode>
                  <v>0.0085498309871629</v>
                </pt>
                <pt idx="20">
                  <formatCode>General</formatCode>
                  <v>0.009178372350267999</v>
                </pt>
                <pt idx="21">
                  <formatCode>General</formatCode>
                  <v>0.009806552761786</v>
                </pt>
                <pt idx="22">
                  <formatCode>General</formatCode>
                  <v>0.010434382159607</v>
                </pt>
                <pt idx="23">
                  <formatCode>General</formatCode>
                  <v>0.011061873325713</v>
                </pt>
                <pt idx="24">
                  <formatCode>General</formatCode>
                  <v>0.011689037601555</v>
                </pt>
                <pt idx="25">
                  <formatCode>General</formatCode>
                  <v>0.012315885535268</v>
                </pt>
                <pt idx="26">
                  <formatCode>General</formatCode>
                  <v>0.012942426548073</v>
                </pt>
                <pt idx="27">
                  <formatCode>General</formatCode>
                  <v>0.013568672785317</v>
                </pt>
                <pt idx="28">
                  <formatCode>General</formatCode>
                  <v>0.014194633148</v>
                </pt>
                <pt idx="29">
                  <formatCode>General</formatCode>
                  <v>0.014820318386365</v>
                </pt>
                <pt idx="30">
                  <formatCode>General</formatCode>
                  <v>0.015445737713213</v>
                </pt>
                <pt idx="31">
                  <formatCode>General</formatCode>
                  <v>0.016070900196137</v>
                </pt>
                <pt idx="32">
                  <formatCode>General</formatCode>
                  <v>0.016695816814064</v>
                </pt>
                <pt idx="33">
                  <formatCode>General</formatCode>
                  <v>0.017320497024794</v>
                </pt>
                <pt idx="34">
                  <formatCode>General</formatCode>
                  <v>0.017944949582266</v>
                </pt>
                <pt idx="35">
                  <formatCode>General</formatCode>
                  <v>0.018569183065211</v>
                </pt>
                <pt idx="36">
                  <formatCode>General</formatCode>
                  <v>0.019193205368492</v>
                </pt>
                <pt idx="37">
                  <formatCode>General</formatCode>
                  <v>0.019817022984681</v>
                </pt>
                <pt idx="38">
                  <formatCode>General</formatCode>
                  <v>0.020440642907277</v>
                </pt>
                <pt idx="39">
                  <formatCode>General</formatCode>
                  <v>0.021064070743457</v>
                </pt>
                <pt idx="40">
                  <formatCode>General</formatCode>
                  <v>0.021687312546298</v>
                </pt>
                <pt idx="41">
                  <formatCode>General</formatCode>
                  <v>0.022310374372814</v>
                </pt>
                <pt idx="42">
                  <formatCode>General</formatCode>
                  <v>0.022933262059618</v>
                </pt>
                <pt idx="43">
                  <formatCode>General</formatCode>
                  <v>0.023555982345377</v>
                </pt>
                <pt idx="44">
                  <formatCode>General</formatCode>
                  <v>0.024178541050478</v>
                </pt>
                <pt idx="45">
                  <formatCode>General</formatCode>
                  <v>0.024800943876687</v>
                </pt>
              </numCache>
            </numRef>
          </xVal>
          <yVal>
            <numRef>
              <f>'923K'!$N$2:$N$230</f>
              <numCache>
                <formatCode>General</formatCode>
                <ptCount val="229"/>
                <pt idx="0">
                  <v>0</v>
                </pt>
                <pt idx="1">
                  <v>1.5005008775327</v>
                </pt>
                <pt idx="2">
                  <v>10.717013809766</v>
                </pt>
                <pt idx="3">
                  <v>58.197094284402</v>
                </pt>
                <pt idx="4">
                  <v>120.50741072563</v>
                </pt>
                <pt idx="5">
                  <v>234.03916247809</v>
                </pt>
                <pt idx="6">
                  <v>285.23701346207</v>
                </pt>
                <pt idx="7">
                  <v>298.34034352384</v>
                </pt>
                <pt idx="8">
                  <v>304.66231856232</v>
                </pt>
                <pt idx="9">
                  <v>308.61722630482</v>
                </pt>
                <pt idx="10">
                  <v>311.45128870316</v>
                </pt>
                <pt idx="11">
                  <v>313.68931271273</v>
                </pt>
                <pt idx="12">
                  <v>315.58112006217</v>
                </pt>
                <pt idx="13">
                  <v>317.25537496346</v>
                </pt>
                <pt idx="14">
                  <v>318.78354054457</v>
                </pt>
                <pt idx="15">
                  <v>320.20869623521</v>
                </pt>
                <pt idx="16">
                  <v>321.55753594603</v>
                </pt>
                <pt idx="17">
                  <v>322.84758822228</v>
                </pt>
                <pt idx="18">
                  <v>324.09054847746</v>
                </pt>
                <pt idx="19">
                  <v>325.29539203264</v>
                </pt>
                <pt idx="20">
                  <v>326.46801041375</v>
                </pt>
                <pt idx="21">
                  <v>327.61320365457</v>
                </pt>
                <pt idx="22">
                  <v>328.73474014871</v>
                </pt>
                <pt idx="23">
                  <v>329.8352459062</v>
                </pt>
                <pt idx="24">
                  <v>330.91724042801</v>
                </pt>
                <pt idx="25">
                  <v>331.98245325762</v>
                </pt>
                <pt idx="26">
                  <v>333.03271715231</v>
                </pt>
                <pt idx="27">
                  <v>334.06895730394</v>
                </pt>
                <pt idx="28">
                  <v>335.09260538608</v>
                </pt>
                <pt idx="29">
                  <v>336.10434158679</v>
                </pt>
                <pt idx="30">
                  <v>337.10507951941</v>
                </pt>
                <pt idx="31">
                  <v>338.09571890908</v>
                </pt>
                <pt idx="32">
                  <v>339.0766373408</v>
                </pt>
                <pt idx="33">
                  <v>340.04849100876</v>
                </pt>
                <pt idx="34">
                  <v>341.01179518122</v>
                </pt>
                <pt idx="35">
                  <v>341.96693172969</v>
                </pt>
                <pt idx="36">
                  <v>342.9143981793</v>
                </pt>
                <pt idx="37">
                  <v>343.85454274933</v>
                </pt>
                <pt idx="38">
                  <v>344.78753679946</v>
                </pt>
                <pt idx="39">
                  <v>345.71373715844</v>
                </pt>
                <pt idx="40">
                  <v>346.6334506801</v>
                </pt>
                <pt idx="41">
                  <v>347.54691306179</v>
                </pt>
                <pt idx="42">
                  <v>348.45447839093</v>
                </pt>
                <pt idx="43">
                  <v>349.35618219539</v>
                </pt>
                <pt idx="44">
                  <v>350.2522867558</v>
                </pt>
                <pt idx="45">
                  <v>351.14299652694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45167379"/>
        <axId val="892031439"/>
      </scatterChart>
      <valAx>
        <axId val="345167379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92031439"/>
        <crosses val="autoZero"/>
        <crossBetween val="midCat"/>
      </valAx>
      <valAx>
        <axId val="892031439"/>
        <scaling>
          <orientation val="minMax"/>
          <max val="7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5167379"/>
        <crosses val="autoZero"/>
        <crossBetween val="midCat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/>
      <scatterChart>
        <scatterStyle val="smoothMarker"/>
        <varyColors val="0"/>
        <ser>
          <idx val="0"/>
          <order val="0"/>
          <tx>
            <strRef>
              <f>Exp!$P$2</f>
              <strCache>
                <ptCount val="1"/>
                <pt idx="0">
                  <v>673K 2014 Singh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1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Exp!$P$3:$P$19</f>
              <numCache>
                <formatCode>General</formatCode>
                <ptCount val="17"/>
                <pt idx="0">
                  <v>0.003</v>
                </pt>
                <pt idx="1">
                  <v>0.01</v>
                </pt>
                <pt idx="2">
                  <v>0.015</v>
                </pt>
                <pt idx="3">
                  <v>0.02</v>
                </pt>
                <pt idx="4">
                  <v>0.025</v>
                </pt>
                <pt idx="5">
                  <v>0.03</v>
                </pt>
                <pt idx="6">
                  <v>0.035</v>
                </pt>
                <pt idx="7">
                  <v>0.04</v>
                </pt>
                <pt idx="8">
                  <v>0.045</v>
                </pt>
                <pt idx="9">
                  <v>0.05</v>
                </pt>
                <pt idx="10">
                  <v>0.055</v>
                </pt>
                <pt idx="11">
                  <v>0.06</v>
                </pt>
                <pt idx="12">
                  <v>0.065</v>
                </pt>
                <pt idx="13">
                  <v>0.07000000000000001</v>
                </pt>
                <pt idx="14">
                  <v>0.075</v>
                </pt>
                <pt idx="15">
                  <v>0.08</v>
                </pt>
                <pt idx="16">
                  <v>0.08500000000000001</v>
                </pt>
              </numCache>
            </numRef>
          </xVal>
          <yVal>
            <numRef>
              <f>Exp!$Q$3:$Q$19</f>
              <numCache>
                <formatCode>General</formatCode>
                <ptCount val="17"/>
                <pt idx="0">
                  <v>462.1679634858109</v>
                </pt>
                <pt idx="1">
                  <v>516.303040216597</v>
                </pt>
                <pt idx="2">
                  <v>535.9263100038728</v>
                </pt>
                <pt idx="3">
                  <v>550.2999102368154</v>
                </pt>
                <pt idx="4">
                  <v>561.7138899631447</v>
                </pt>
                <pt idx="5">
                  <v>571.2153082905642</v>
                </pt>
                <pt idx="6">
                  <v>579.3739206942228</v>
                </pt>
                <pt idx="7">
                  <v>586.5353631843915</v>
                </pt>
                <pt idx="8">
                  <v>592.9256435551122</v>
                </pt>
                <pt idx="9">
                  <v>598.7009162212452</v>
                </pt>
                <pt idx="10">
                  <v>603.9737307319168</v>
                </pt>
                <pt idx="11">
                  <v>608.8279719335413</v>
                </pt>
                <pt idx="12">
                  <v>613.3278861463231</v>
                </pt>
                <pt idx="13">
                  <v>617.5238023348242</v>
                </pt>
                <pt idx="14">
                  <v>621.4559044467069</v>
                </pt>
                <pt idx="15">
                  <v>625.1568024385089</v>
                </pt>
                <pt idx="16">
                  <v>628.6533345820807</v>
                </pt>
              </numCache>
            </numRef>
          </yVal>
          <smooth val="1"/>
        </ser>
        <ser>
          <idx val="1"/>
          <order val="1"/>
          <tx>
            <v>Sim_673K</v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2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'673K'!$K$2:$K$280</f>
              <numCache>
                <formatCode>0.00E+00</formatCode>
                <ptCount val="279"/>
                <pt idx="0">
                  <formatCode>General</formatCode>
                  <v>0</v>
                </pt>
                <pt idx="1">
                  <v>4.7583497819639e-06</v>
                </pt>
                <pt idx="2">
                  <v>1.6988436939939e-05</v>
                </pt>
                <pt idx="3">
                  <v>4.8422236164211e-05</v>
                </pt>
                <pt idx="4">
                  <formatCode>General</formatCode>
                  <v>0.00012921065757864</v>
                </pt>
                <pt idx="5">
                  <formatCode>General</formatCode>
                  <v>0.00032586277856654</v>
                </pt>
                <pt idx="6">
                  <formatCode>General</formatCode>
                  <v>0.00062571827268807</v>
                </pt>
                <pt idx="7">
                  <formatCode>General</formatCode>
                  <v>0.000925482748805</v>
                </pt>
                <pt idx="8">
                  <formatCode>General</formatCode>
                  <v>0.0012251562651176</v>
                </pt>
                <pt idx="9">
                  <formatCode>General</formatCode>
                  <v>0.0015247389878287</v>
                </pt>
                <pt idx="10">
                  <formatCode>General</formatCode>
                  <v>0.0018242315872142</v>
                </pt>
                <pt idx="11">
                  <formatCode>General</formatCode>
                  <v>0.0021236337261287</v>
                </pt>
                <pt idx="12">
                  <formatCode>General</formatCode>
                  <v>0.0024229443732677</v>
                </pt>
                <pt idx="13">
                  <formatCode>General</formatCode>
                  <v>0.0027221632972994</v>
                </pt>
                <pt idx="14">
                  <formatCode>General</formatCode>
                  <v>0.003021290606436</v>
                </pt>
                <pt idx="15">
                  <formatCode>General</formatCode>
                  <v>0.0033203263166151</v>
                </pt>
                <pt idx="16">
                  <formatCode>General</formatCode>
                  <v>0.0036192704611067</v>
                </pt>
                <pt idx="17">
                  <formatCode>General</formatCode>
                  <v>0.0039181231466449</v>
                </pt>
                <pt idx="18">
                  <formatCode>General</formatCode>
                  <v>0.0042168845748977</v>
                </pt>
                <pt idx="19">
                  <formatCode>General</formatCode>
                  <v>0.0045155549502179</v>
                </pt>
                <pt idx="20">
                  <formatCode>General</formatCode>
                  <v>0.0048141344213273</v>
                </pt>
                <pt idx="21">
                  <formatCode>General</formatCode>
                  <v>0.0051126231106342</v>
                </pt>
                <pt idx="22">
                  <formatCode>General</formatCode>
                  <v>0.0054110211264293</v>
                </pt>
                <pt idx="23">
                  <formatCode>General</formatCode>
                  <v>0.005709328551163</v>
                </pt>
                <pt idx="24">
                  <formatCode>General</formatCode>
                  <v>0.0060075454565188</v>
                </pt>
                <pt idx="25">
                  <formatCode>General</formatCode>
                  <v>0.006305671901684</v>
                </pt>
                <pt idx="26">
                  <formatCode>General</formatCode>
                  <v>0.0066037079344806</v>
                </pt>
                <pt idx="27">
                  <formatCode>General</formatCode>
                  <v>0.0069016536012906</v>
                </pt>
                <pt idx="28">
                  <formatCode>General</formatCode>
                  <v>0.0071995089550236</v>
                </pt>
                <pt idx="29">
                  <formatCode>General</formatCode>
                  <v>0.0074972740563228</v>
                </pt>
                <pt idx="30">
                  <formatCode>General</formatCode>
                  <v>0.0077949489684791</v>
                </pt>
                <pt idx="31">
                  <formatCode>General</formatCode>
                  <v>0.0080925337576434</v>
                </pt>
                <pt idx="32">
                  <formatCode>General</formatCode>
                  <v>0.008390028490437899</v>
                </pt>
                <pt idx="33">
                  <formatCode>General</formatCode>
                  <v>0.0086874332348828</v>
                </pt>
                <pt idx="34">
                  <formatCode>General</formatCode>
                  <v>0.0089847480579682</v>
                </pt>
                <pt idx="35">
                  <formatCode>General</formatCode>
                  <v>0.009281973022569801</v>
                </pt>
                <pt idx="36">
                  <formatCode>General</formatCode>
                  <v>0.009579108188338899</v>
                </pt>
                <pt idx="37">
                  <formatCode>General</formatCode>
                  <v>0.009876153614652499</v>
                </pt>
                <pt idx="38">
                  <formatCode>General</formatCode>
                  <v>0.010173109359025</v>
                </pt>
                <pt idx="39">
                  <formatCode>General</formatCode>
                  <v>0.010469975480998</v>
                </pt>
                <pt idx="40">
                  <formatCode>General</formatCode>
                  <v>0.010766752038606</v>
                </pt>
                <pt idx="41">
                  <formatCode>General</formatCode>
                  <v>0.011063439089834</v>
                </pt>
                <pt idx="42">
                  <formatCode>General</formatCode>
                  <v>0.011360036691526</v>
                </pt>
                <pt idx="43">
                  <formatCode>General</formatCode>
                  <v>0.01165654489793</v>
                </pt>
                <pt idx="44">
                  <formatCode>General</formatCode>
                  <v>0.011952963762629</v>
                </pt>
                <pt idx="45">
                  <formatCode>General</formatCode>
                  <v>0.012249293337525</v>
                </pt>
                <pt idx="46">
                  <formatCode>General</formatCode>
                  <v>0.012545533679299</v>
                </pt>
                <pt idx="47">
                  <formatCode>General</formatCode>
                  <v>0.012841684841095</v>
                </pt>
                <pt idx="48">
                  <formatCode>General</formatCode>
                  <v>0.013137746880733</v>
                </pt>
                <pt idx="49">
                  <formatCode>General</formatCode>
                  <v>0.01343371985539</v>
                </pt>
                <pt idx="50">
                  <formatCode>General</formatCode>
                  <v>0.013729603823182</v>
                </pt>
                <pt idx="51">
                  <formatCode>General</formatCode>
                  <v>0.014025398841394</v>
                </pt>
                <pt idx="52">
                  <formatCode>General</formatCode>
                  <v>0.01432110497137</v>
                </pt>
                <pt idx="53">
                  <formatCode>General</formatCode>
                  <v>0.014616722272969</v>
                </pt>
                <pt idx="54">
                  <formatCode>General</formatCode>
                  <v>0.014912250803957</v>
                </pt>
                <pt idx="55">
                  <formatCode>General</formatCode>
                  <v>0.015207690623998</v>
                </pt>
                <pt idx="56">
                  <formatCode>General</formatCode>
                  <v>0.015503041791339</v>
                </pt>
                <pt idx="57">
                  <formatCode>General</formatCode>
                  <v>0.015798304363313</v>
                </pt>
                <pt idx="58">
                  <formatCode>General</formatCode>
                  <v>0.016093478397736</v>
                </pt>
                <pt idx="59">
                  <formatCode>General</formatCode>
                  <v>0.016388563952537</v>
                </pt>
                <pt idx="60">
                  <formatCode>General</formatCode>
                  <v>0.016683561083587</v>
                </pt>
                <pt idx="61">
                  <formatCode>General</formatCode>
                  <v>0.016978469848208</v>
                </pt>
                <pt idx="62">
                  <formatCode>General</formatCode>
                  <v>0.017273290300867</v>
                </pt>
                <pt idx="63">
                  <formatCode>General</formatCode>
                  <v>0.017568022496888</v>
                </pt>
                <pt idx="64">
                  <formatCode>General</formatCode>
                  <v>0.017862666491489</v>
                </pt>
                <pt idx="65">
                  <formatCode>General</formatCode>
                  <v>0.01815722234168</v>
                </pt>
                <pt idx="66">
                  <formatCode>General</formatCode>
                  <v>0.018451690099355</v>
                </pt>
                <pt idx="67">
                  <formatCode>General</formatCode>
                  <v>0.018746069821063</v>
                </pt>
                <pt idx="68">
                  <formatCode>General</formatCode>
                  <v>0.019040361560537</v>
                </pt>
                <pt idx="69">
                  <formatCode>General</formatCode>
                  <v>0.019334565372071</v>
                </pt>
                <pt idx="70">
                  <formatCode>General</formatCode>
                  <v>0.019628681311237</v>
                </pt>
                <pt idx="71">
                  <formatCode>General</formatCode>
                  <v>0.019922709432179</v>
                </pt>
                <pt idx="72">
                  <formatCode>General</formatCode>
                  <v>0.020216649789607</v>
                </pt>
                <pt idx="73">
                  <formatCode>General</formatCode>
                  <v>0.020510502438023</v>
                </pt>
                <pt idx="74">
                  <formatCode>General</formatCode>
                  <v>0.020804267428343</v>
                </pt>
                <pt idx="75">
                  <formatCode>General</formatCode>
                  <v>0.021097944815473</v>
                </pt>
                <pt idx="76">
                  <formatCode>General</formatCode>
                  <v>0.021391534650036</v>
                </pt>
                <pt idx="77">
                  <formatCode>General</formatCode>
                  <v>0.02168503698479</v>
                </pt>
                <pt idx="78">
                  <formatCode>General</formatCode>
                  <v>0.02197845187178</v>
                </pt>
                <pt idx="79">
                  <formatCode>General</formatCode>
                  <v>0.022271779365448</v>
                </pt>
                <pt idx="80">
                  <formatCode>General</formatCode>
                  <v>0.022565019514905</v>
                </pt>
                <pt idx="81">
                  <formatCode>General</formatCode>
                  <v>0.022858172376995</v>
                </pt>
                <pt idx="82">
                  <formatCode>General</formatCode>
                  <v>0.023151238002232</v>
                </pt>
                <pt idx="83">
                  <formatCode>General</formatCode>
                  <v>0.02344421644199</v>
                </pt>
                <pt idx="84">
                  <formatCode>General</formatCode>
                  <v>0.023737107748587</v>
                </pt>
                <pt idx="85">
                  <formatCode>General</formatCode>
                  <v>0.024029911973339</v>
                </pt>
                <pt idx="86">
                  <formatCode>General</formatCode>
                  <v>0.024322629169427</v>
                </pt>
                <pt idx="87">
                  <formatCode>General</formatCode>
                  <v>0.024615259391055</v>
                </pt>
                <pt idx="88">
                  <formatCode>General</formatCode>
                  <v>0.024907802687266</v>
                </pt>
                <pt idx="89">
                  <formatCode>General</formatCode>
                  <v>0.025200259113284</v>
                </pt>
                <pt idx="90">
                  <formatCode>General</formatCode>
                  <v>0.025492628723736</v>
                </pt>
                <pt idx="91">
                  <formatCode>General</formatCode>
                  <v>0.025784911571473</v>
                </pt>
                <pt idx="92">
                  <formatCode>General</formatCode>
                  <v>0.02607710771026</v>
                </pt>
                <pt idx="93">
                  <formatCode>General</formatCode>
                  <v>0.026369217194282</v>
                </pt>
                <pt idx="94">
                  <formatCode>General</formatCode>
                  <v>0.026661240073736</v>
                </pt>
                <pt idx="95">
                  <formatCode>General</formatCode>
                  <v>0.026953176403464</v>
                </pt>
                <pt idx="96">
                  <formatCode>General</formatCode>
                  <v>0.027245026236605</v>
                </pt>
                <pt idx="97">
                  <formatCode>General</formatCode>
                  <v>0.027536789624469</v>
                </pt>
                <pt idx="98">
                  <formatCode>General</formatCode>
                  <v>0.027828466616612</v>
                </pt>
                <pt idx="99">
                  <formatCode>General</formatCode>
                  <v>0.0281200572719</v>
                </pt>
                <pt idx="100">
                  <formatCode>General</formatCode>
                  <v>0.028411561636294</v>
                </pt>
                <pt idx="101">
                  <formatCode>General</formatCode>
                  <v>0.028702979764529</v>
                </pt>
                <pt idx="102">
                  <formatCode>General</formatCode>
                  <v>0.028994311707884</v>
                </pt>
                <pt idx="103">
                  <formatCode>General</formatCode>
                  <v>0.029285557520044</v>
                </pt>
                <pt idx="104">
                  <formatCode>General</formatCode>
                  <v>0.029576717252379</v>
                </pt>
                <pt idx="105">
                  <formatCode>General</formatCode>
                  <v>0.029867790955755</v>
                </pt>
                <pt idx="106">
                  <formatCode>General</formatCode>
                  <v>0.030158778682793</v>
                </pt>
                <pt idx="107">
                  <formatCode>General</formatCode>
                  <v>0.030449680484953</v>
                </pt>
                <pt idx="108">
                  <formatCode>General</formatCode>
                  <v>0.030740496416705</v>
                </pt>
                <pt idx="109">
                  <formatCode>General</formatCode>
                  <v>0.031031226531799</v>
                </pt>
                <pt idx="110">
                  <formatCode>General</formatCode>
                  <v>0.031321870881294</v>
                </pt>
                <pt idx="111">
                  <formatCode>General</formatCode>
                  <v>0.031612429515896</v>
                </pt>
                <pt idx="112">
                  <formatCode>General</formatCode>
                  <v>0.031902902487351</v>
                </pt>
                <pt idx="113">
                  <formatCode>General</formatCode>
                  <v>0.032193289849611</v>
                </pt>
                <pt idx="114">
                  <formatCode>General</formatCode>
                  <v>0.032483591653619</v>
                </pt>
                <pt idx="115">
                  <formatCode>General</formatCode>
                  <v>0.032773807955207</v>
                </pt>
                <pt idx="116">
                  <formatCode>General</formatCode>
                  <v>0.033063938804201</v>
                </pt>
                <pt idx="117">
                  <formatCode>General</formatCode>
                  <v>0.033353984249582</v>
                </pt>
                <pt idx="118">
                  <formatCode>General</formatCode>
                  <v>0.033643944345042</v>
                </pt>
                <pt idx="119">
                  <formatCode>General</formatCode>
                  <v>0.033933819142092</v>
                </pt>
                <pt idx="120">
                  <formatCode>General</formatCode>
                  <v>0.034223608693335</v>
                </pt>
                <pt idx="121">
                  <formatCode>General</formatCode>
                  <v>0.034513313048967</v>
                </pt>
                <pt idx="122">
                  <formatCode>General</formatCode>
                  <v>0.034802932260774</v>
                </pt>
                <pt idx="123">
                  <formatCode>General</formatCode>
                  <v>0.03509246637907</v>
                </pt>
                <pt idx="124">
                  <formatCode>General</formatCode>
                  <v>0.035381915458616</v>
                </pt>
                <pt idx="125">
                  <formatCode>General</formatCode>
                  <v>0.03567127954994</v>
                </pt>
                <pt idx="126">
                  <formatCode>General</formatCode>
                  <v>0.035960558703689</v>
                </pt>
                <pt idx="127">
                  <formatCode>General</formatCode>
                  <v>0.036249752968546</v>
                </pt>
                <pt idx="128">
                  <formatCode>General</formatCode>
                  <v>0.036538862397383</v>
                </pt>
                <pt idx="129">
                  <formatCode>General</formatCode>
                  <v>0.03682788704253</v>
                </pt>
                <pt idx="130">
                  <formatCode>General</formatCode>
                  <v>0.037116826953437</v>
                </pt>
                <pt idx="131">
                  <formatCode>General</formatCode>
                  <v>0.037405682183158</v>
                </pt>
                <pt idx="132">
                  <formatCode>General</formatCode>
                  <v>0.037694452777436</v>
                </pt>
                <pt idx="133">
                  <formatCode>General</formatCode>
                  <v>0.037983138789379</v>
                </pt>
                <pt idx="134">
                  <formatCode>General</formatCode>
                  <v>0.038271740268903</v>
                </pt>
                <pt idx="135">
                  <formatCode>General</formatCode>
                  <v>0.038560257264817</v>
                </pt>
                <pt idx="136">
                  <formatCode>General</formatCode>
                  <v>0.038848689827795</v>
                </pt>
                <pt idx="137">
                  <formatCode>General</formatCode>
                  <v>0.039137038009598</v>
                </pt>
                <pt idx="138">
                  <formatCode>General</formatCode>
                  <v>0.039425301859283</v>
                </pt>
                <pt idx="139">
                  <formatCode>General</formatCode>
                  <v>0.039713481427803</v>
                </pt>
                <pt idx="140">
                  <formatCode>General</formatCode>
                  <v>0.040001576765043</v>
                </pt>
                <pt idx="141">
                  <formatCode>General</formatCode>
                  <v>0.040289587921986</v>
                </pt>
                <pt idx="142">
                  <formatCode>General</formatCode>
                  <v>0.040577514946809</v>
                </pt>
                <pt idx="143">
                  <formatCode>General</formatCode>
                  <v>0.04086535788987</v>
                </pt>
                <pt idx="144">
                  <formatCode>General</formatCode>
                  <v>0.041153116802849</v>
                </pt>
                <pt idx="145">
                  <formatCode>General</formatCode>
                  <v>0.041440791733363</v>
                </pt>
                <pt idx="146">
                  <formatCode>General</formatCode>
                  <v>0.041728382728941</v>
                </pt>
                <pt idx="147">
                  <formatCode>General</formatCode>
                  <v>0.042015889838049</v>
                </pt>
                <pt idx="148">
                  <formatCode>General</formatCode>
                  <v>0.042303313114673</v>
                </pt>
                <pt idx="149">
                  <formatCode>General</formatCode>
                  <v>0.042590652605705</v>
                </pt>
                <pt idx="150">
                  <formatCode>General</formatCode>
                  <v>0.042877908361775</v>
                </pt>
                <pt idx="151">
                  <formatCode>General</formatCode>
                  <v>0.043165080428509</v>
                </pt>
                <pt idx="152">
                  <formatCode>General</formatCode>
                  <v>0.043452168854738</v>
                </pt>
                <pt idx="153">
                  <formatCode>General</formatCode>
                  <v>0.043739173690927</v>
                </pt>
                <pt idx="154">
                  <formatCode>General</formatCode>
                  <v>0.044026094986054</v>
                </pt>
                <pt idx="155">
                  <formatCode>General</formatCode>
                  <v>0.044312932788711</v>
                </pt>
                <pt idx="156">
                  <formatCode>General</formatCode>
                  <v>0.044599687150297</v>
                </pt>
                <pt idx="157">
                  <formatCode>General</formatCode>
                  <v>0.04488635811488</v>
                </pt>
                <pt idx="158">
                  <formatCode>General</formatCode>
                  <v>0.045172945735894</v>
                </pt>
                <pt idx="159">
                  <formatCode>General</formatCode>
                  <v>0.045459450060534</v>
                </pt>
                <pt idx="160">
                  <formatCode>General</formatCode>
                  <v>0.045745871137589</v>
                </pt>
                <pt idx="161">
                  <formatCode>General</formatCode>
                  <v>0.046032209016687</v>
                </pt>
                <pt idx="162">
                  <formatCode>General</formatCode>
                  <v>0.046318463743804</v>
                </pt>
                <pt idx="163">
                  <formatCode>General</formatCode>
                  <v>0.046604635372275</v>
                </pt>
                <pt idx="164">
                  <formatCode>General</formatCode>
                  <v>0.046890723950334</v>
                </pt>
                <pt idx="165">
                  <formatCode>General</formatCode>
                  <v>0.047176729525414</v>
                </pt>
                <pt idx="166">
                  <formatCode>General</formatCode>
                  <v>0.047462652145728</v>
                </pt>
                <pt idx="167">
                  <formatCode>General</formatCode>
                  <v>0.047748491856378</v>
                </pt>
                <pt idx="168">
                  <formatCode>General</formatCode>
                  <v>0.048034248710044</v>
                </pt>
                <pt idx="169">
                  <formatCode>General</formatCode>
                  <v>0.04831992276201</v>
                </pt>
                <pt idx="170">
                  <formatCode>General</formatCode>
                  <v>0.04860551405661</v>
                </pt>
                <pt idx="171">
                  <formatCode>General</formatCode>
                  <v>0.048891022642471</v>
                </pt>
                <pt idx="172">
                  <formatCode>General</formatCode>
                  <v>0.04917644857002</v>
                </pt>
                <pt idx="173">
                  <formatCode>General</formatCode>
                  <v>0.049461791891441</v>
                </pt>
                <pt idx="174">
                  <formatCode>General</formatCode>
                  <v>0.049722412841697</v>
                </pt>
              </numCache>
            </numRef>
          </xVal>
          <yVal>
            <numRef>
              <f>'673K'!$N$2:$N$230</f>
              <numCache>
                <formatCode>General</formatCode>
                <ptCount val="229"/>
                <pt idx="0">
                  <v>0</v>
                </pt>
                <pt idx="1">
                  <v>1.0236049992882</v>
                </pt>
                <pt idx="2">
                  <v>3.6547988920054</v>
                </pt>
                <pt idx="3">
                  <v>10.419391624064</v>
                </pt>
                <pt idx="4">
                  <v>27.817654447268</v>
                </pt>
                <pt idx="5">
                  <v>70.243954473069</v>
                </pt>
                <pt idx="6">
                  <v>135.15267609806</v>
                </pt>
                <pt idx="7">
                  <v>200.30431301002</v>
                </pt>
                <pt idx="8">
                  <v>265.69541673615</v>
                </pt>
                <pt idx="9">
                  <v>330.50252048433</v>
                </pt>
                <pt idx="10">
                  <v>383.29064675263</v>
                </pt>
                <pt idx="11">
                  <v>411.40335166245</v>
                </pt>
                <pt idx="12">
                  <v>425.82641251417</v>
                </pt>
                <pt idx="13">
                  <v>434.85497863393</v>
                </pt>
                <pt idx="14">
                  <v>441.32202078948</v>
                </pt>
                <pt idx="15">
                  <v>446.29056340051</v>
                </pt>
                <pt idx="16">
                  <v>450.27874302466</v>
                </pt>
                <pt idx="17">
                  <v>453.59025614359</v>
                </pt>
                <pt idx="18">
                  <v>456.41416277475</v>
                </pt>
                <pt idx="19">
                  <v>458.87301572767</v>
                </pt>
                <pt idx="20">
                  <v>461.05170643629</v>
                </pt>
                <pt idx="21">
                  <v>463.01215283166</v>
                </pt>
                <pt idx="22">
                  <v>464.80178502822</v>
                </pt>
                <pt idx="23">
                  <v>466.45618341949</v>
                </pt>
                <pt idx="24">
                  <v>468.00074653036</v>
                </pt>
                <pt idx="25">
                  <v>469.45519958317</v>
                </pt>
                <pt idx="26">
                  <v>470.83466575667</v>
                </pt>
                <pt idx="27">
                  <v>472.15166150259</v>
                </pt>
                <pt idx="28">
                  <v>473.41561536665</v>
                </pt>
                <pt idx="29">
                  <v>474.63425662861</v>
                </pt>
                <pt idx="30">
                  <v>475.81382563478</v>
                </pt>
                <pt idx="31">
                  <v>476.95899151002</v>
                </pt>
                <pt idx="32">
                  <v>478.07399102775</v>
                </pt>
                <pt idx="33">
                  <v>479.16240022944</v>
                </pt>
                <pt idx="34">
                  <v>480.22705721887</v>
                </pt>
                <pt idx="35">
                  <v>481.27053579366</v>
                </pt>
                <pt idx="36">
                  <v>482.29497596506</v>
                </pt>
                <pt idx="37">
                  <v>483.30209196471</v>
                </pt>
                <pt idx="38">
                  <v>484.293634165</v>
                </pt>
                <pt idx="39">
                  <v>485.27076374297</v>
                </pt>
                <pt idx="40">
                  <v>486.23463922392</v>
                </pt>
                <pt idx="41">
                  <v>487.18626211616</v>
                </pt>
                <pt idx="42">
                  <v>488.12641771694</v>
                </pt>
                <pt idx="43">
                  <v>489.05599212496</v>
                </pt>
                <pt idx="44">
                  <v>489.97557131561</v>
                </pt>
                <pt idx="45">
                  <v>490.88584390701</v>
                </pt>
                <pt idx="46">
                  <v>491.78747292956</v>
                </pt>
                <pt idx="47">
                  <v>492.68102982144</v>
                </pt>
                <pt idx="48">
                  <v>493.56689688225</v>
                </pt>
                <pt idx="49">
                  <v>494.44541060334</v>
                </pt>
                <pt idx="50">
                  <v>495.3169396719</v>
                </pt>
                <pt idx="51">
                  <v>496.18184684916</v>
                </pt>
                <pt idx="52">
                  <v>497.04049080313</v>
                </pt>
                <pt idx="53">
                  <v>497.89316071825</v>
                </pt>
                <pt idx="54">
                  <v>498.73998441356</v>
                </pt>
                <pt idx="55">
                  <v>499.58113126009</v>
                </pt>
                <pt idx="56">
                  <v>500.41698551579</v>
                </pt>
                <pt idx="57">
                  <v>501.2476533184</v>
                </pt>
                <pt idx="58">
                  <v>502.07342652525</v>
                </pt>
                <pt idx="59">
                  <v>502.89440930454</v>
                </pt>
                <pt idx="60">
                  <v>503.71086849106</v>
                </pt>
                <pt idx="61">
                  <v>504.52286447757</v>
                </pt>
                <pt idx="62">
                  <v>505.33062938306</v>
                </pt>
                <pt idx="63">
                  <v>506.13424658131</v>
                </pt>
                <pt idx="64">
                  <v>506.93385226419</v>
                </pt>
                <pt idx="65">
                  <v>507.72953169657</v>
                </pt>
                <pt idx="66">
                  <v>508.52154396578</v>
                </pt>
                <pt idx="67">
                  <v>509.30985138479</v>
                </pt>
                <pt idx="68">
                  <v>510.09452138567</v>
                </pt>
                <pt idx="69">
                  <v>510.87583056298</v>
                </pt>
                <pt idx="70">
                  <v>511.65371722702</v>
                </pt>
                <pt idx="71">
                  <v>512.42833770342</v>
                </pt>
                <pt idx="72">
                  <v>513.1995818307699</v>
                </pt>
                <pt idx="73">
                  <v>513.96767064416</v>
                </pt>
                <pt idx="74">
                  <v>514.73264890494</v>
                </pt>
                <pt idx="75">
                  <v>515.49459632251</v>
                </pt>
                <pt idx="76">
                  <v>516.25358518905</v>
                </pt>
                <pt idx="77">
                  <v>517.009609483</v>
                </pt>
                <pt idx="78">
                  <v>517.76273137232</v>
                </pt>
                <pt idx="79">
                  <v>518.5131422447701</v>
                </pt>
                <pt idx="80">
                  <v>519.26081518309</v>
                </pt>
                <pt idx="81">
                  <v>520.00585699473</v>
                </pt>
                <pt idx="82">
                  <v>520.74823138864</v>
                </pt>
                <pt idx="83">
                  <v>521.4880104451599</v>
                </pt>
                <pt idx="84">
                  <v>522.22522628807</v>
                </pt>
                <pt idx="85">
                  <v>522.95988726589</v>
                </pt>
                <pt idx="86">
                  <v>523.69215616313</v>
                </pt>
                <pt idx="87">
                  <v>524.42205263619</v>
                </pt>
                <pt idx="88">
                  <v>525.14965319124</v>
                </pt>
                <pt idx="89">
                  <v>525.8748529862301</v>
                </pt>
                <pt idx="90">
                  <v>526.5976811934499</v>
                </pt>
                <pt idx="91">
                  <v>527.31827381597</v>
                </pt>
                <pt idx="92">
                  <v>528.03664622305</v>
                </pt>
                <pt idx="93">
                  <v>528.75290597654</v>
                </pt>
                <pt idx="94">
                  <v>529.46695581249</v>
                </pt>
                <pt idx="95">
                  <v>530.1789083493099</v>
                </pt>
                <pt idx="96">
                  <v>530.88877680776</v>
                </pt>
                <pt idx="97">
                  <v>531.5965396059599</v>
                </pt>
                <pt idx="98">
                  <v>532.3023199552</v>
                </pt>
                <pt idx="99">
                  <v>533.0060720226001</v>
                </pt>
                <pt idx="100">
                  <v>533.70784608819</v>
                </pt>
                <pt idx="101">
                  <v>534.40758753949</v>
                </pt>
                <pt idx="102">
                  <v>535.1053315322</v>
                </pt>
                <pt idx="103">
                  <v>535.80116668346</v>
                </pt>
                <pt idx="104">
                  <v>536.49511784588</v>
                </pt>
                <pt idx="105">
                  <v>537.18711380626</v>
                </pt>
                <pt idx="106">
                  <v>537.87728375411</v>
                </pt>
                <pt idx="107">
                  <v>538.56560686338</v>
                </pt>
                <pt idx="108">
                  <v>539.25213601007</v>
                </pt>
                <pt idx="109">
                  <v>539.93688224957</v>
                </pt>
                <pt idx="110">
                  <v>540.61985030366</v>
                </pt>
                <pt idx="111">
                  <v>541.30102491549</v>
                </pt>
                <pt idx="112">
                  <v>541.98038171315</v>
                </pt>
                <pt idx="113">
                  <v>542.65805241065</v>
                </pt>
                <pt idx="114">
                  <v>543.33400183581</v>
                </pt>
                <pt idx="115">
                  <v>544.0082540242601</v>
                </pt>
                <pt idx="116">
                  <v>544.68081633494</v>
                </pt>
                <pt idx="117">
                  <v>545.3517166378</v>
                </pt>
                <pt idx="118">
                  <v>546.02099750976</v>
                </pt>
                <pt idx="119">
                  <v>546.68856048895</v>
                </pt>
                <pt idx="120">
                  <v>547.35454233107</v>
                </pt>
                <pt idx="121">
                  <v>548.01886846132</v>
                </pt>
                <pt idx="122">
                  <v>548.68174590083</v>
                </pt>
                <pt idx="123">
                  <v>549.34298787435</v>
                </pt>
                <pt idx="124">
                  <v>550.0026561233</v>
                </pt>
                <pt idx="125">
                  <v>550.66078047649</v>
                </pt>
                <pt idx="126">
                  <v>551.3173748345901</v>
                </pt>
                <pt idx="127">
                  <v>551.97252884923</v>
                </pt>
                <pt idx="128">
                  <v>552.62612749989</v>
                </pt>
                <pt idx="129">
                  <v>553.27828973481</v>
                </pt>
                <pt idx="130">
                  <v>553.9289341203601</v>
                </pt>
                <pt idx="131">
                  <v>554.5781319361899</v>
                </pt>
                <pt idx="132">
                  <v>555.22583731465</v>
                </pt>
                <pt idx="133">
                  <v>555.87205119494</v>
                </pt>
                <pt idx="134">
                  <v>556.5168741367499</v>
                </pt>
                <pt idx="135">
                  <v>557.16041738765</v>
                </pt>
                <pt idx="136">
                  <v>557.80240061995</v>
                </pt>
                <pt idx="137">
                  <v>558.4431102657099</v>
                </pt>
                <pt idx="138">
                  <v>559.08239093434</v>
                </pt>
                <pt idx="139">
                  <v>559.7203240897099</v>
                </pt>
                <pt idx="140">
                  <v>560.35684063</v>
                </pt>
                <pt idx="141">
                  <v>560.99191917094</v>
                </pt>
                <pt idx="142">
                  <v>561.62566610634</v>
                </pt>
                <pt idx="143">
                  <v>562.25811549227</v>
                </pt>
                <pt idx="144">
                  <v>562.88920464059</v>
                </pt>
                <pt idx="145">
                  <v>563.51903230991</v>
                </pt>
                <pt idx="146">
                  <v>564.14760081545</v>
                </pt>
                <pt idx="147">
                  <v>564.77483547555</v>
                </pt>
                <pt idx="148">
                  <v>565.4007702914</v>
                </pt>
                <pt idx="149">
                  <v>566.02541557529</v>
                </pt>
                <pt idx="150">
                  <v>566.6488073013199</v>
                </pt>
                <pt idx="151">
                  <v>567.27090507908</v>
                </pt>
                <pt idx="152">
                  <v>567.89176289787</v>
                </pt>
                <pt idx="153">
                  <v>568.51132278434</v>
                </pt>
                <pt idx="154">
                  <v>569.12963472411</v>
                </pt>
                <pt idx="155">
                  <v>569.74670930762</v>
                </pt>
                <pt idx="156">
                  <v>570.3626803465301</v>
                </pt>
                <pt idx="157">
                  <v>570.97743792239</v>
                </pt>
                <pt idx="158">
                  <v>571.5909433323</v>
                </pt>
                <pt idx="159">
                  <v>572.20321594097</v>
                </pt>
                <pt idx="160">
                  <v>572.81429992566</v>
                </pt>
                <pt idx="161">
                  <v>573.42423923383</v>
                </pt>
                <pt idx="162">
                  <v>574.03297835378</v>
                </pt>
                <pt idx="163">
                  <v>574.64055402897</v>
                </pt>
                <pt idx="164">
                  <v>575.24689985071</v>
                </pt>
                <pt idx="165">
                  <v>575.8520942114</v>
                </pt>
                <pt idx="166">
                  <v>576.45609894191</v>
                </pt>
                <pt idx="167">
                  <v>577.05895626991</v>
                </pt>
                <pt idx="168">
                  <v>577.66068470982</v>
                </pt>
                <pt idx="169">
                  <v>578.26129396</v>
                </pt>
                <pt idx="170">
                  <v>578.86079506276</v>
                </pt>
                <pt idx="171">
                  <v>579.45919153231</v>
                </pt>
                <pt idx="172">
                  <v>580.05646214213</v>
                </pt>
                <pt idx="173">
                  <v>580.65254588588</v>
                </pt>
                <pt idx="174">
                  <v>581.26013788927</v>
                </pt>
              </numCache>
            </numRef>
          </yVal>
          <smooth val="1"/>
        </ser>
        <ser>
          <idx val="2"/>
          <order val="2"/>
          <tx>
            <strRef>
              <f>Exp!$M$2</f>
              <strCache>
                <ptCount val="1"/>
                <pt idx="0">
                  <v>723K 2014 Singh</v>
                </pt>
              </strCache>
            </strRef>
          </tx>
          <spPr>
            <a:ln xmlns:a="http://schemas.openxmlformats.org/drawingml/2006/main" w="22225" cap="rnd">
              <a:solidFill>
                <a:schemeClr val="accent3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Exp!$M$3:$M$30</f>
              <numCache>
                <formatCode>General</formatCode>
                <ptCount val="28"/>
                <pt idx="0">
                  <v>0.00231</v>
                </pt>
                <pt idx="1">
                  <v>0.00259</v>
                </pt>
                <pt idx="2">
                  <v>0.00291</v>
                </pt>
                <pt idx="3">
                  <v>0.00324</v>
                </pt>
                <pt idx="4">
                  <v>0.00363</v>
                </pt>
                <pt idx="5">
                  <v>0.00406</v>
                </pt>
                <pt idx="6">
                  <v>0.00454</v>
                </pt>
                <pt idx="7">
                  <v>0.00508</v>
                </pt>
                <pt idx="8">
                  <v>0.00568</v>
                </pt>
                <pt idx="9">
                  <v>0.00635</v>
                </pt>
                <pt idx="10">
                  <v>0.00711</v>
                </pt>
                <pt idx="11">
                  <v>0.00795</v>
                </pt>
                <pt idx="12">
                  <v>0.00889</v>
                </pt>
                <pt idx="13">
                  <v>0.009950000000000001</v>
                </pt>
                <pt idx="14">
                  <v>0.01113</v>
                </pt>
                <pt idx="15">
                  <v>0.01245</v>
                </pt>
                <pt idx="16">
                  <v>0.01392</v>
                </pt>
                <pt idx="17">
                  <v>0.01558</v>
                </pt>
                <pt idx="18">
                  <v>0.01742</v>
                </pt>
                <pt idx="19">
                  <v>0.01949</v>
                </pt>
                <pt idx="20">
                  <v>0.0218</v>
                </pt>
                <pt idx="21">
                  <v>0.02439</v>
                </pt>
                <pt idx="22">
                  <v>0.02728</v>
                </pt>
                <pt idx="23">
                  <v>0.03052</v>
                </pt>
                <pt idx="24">
                  <v>0.03414</v>
                </pt>
                <pt idx="25">
                  <v>0.03819</v>
                </pt>
                <pt idx="26">
                  <v>0.04272</v>
                </pt>
                <pt idx="27">
                  <v>0.04779</v>
                </pt>
              </numCache>
            </numRef>
          </xVal>
          <yVal>
            <numRef>
              <f>Exp!$N$3:$N$31</f>
              <numCache>
                <formatCode>General</formatCode>
                <ptCount val="29"/>
                <pt idx="0">
                  <v>448.23921</v>
                </pt>
                <pt idx="1">
                  <v>452.40283</v>
                </pt>
                <pt idx="2">
                  <v>457.36345</v>
                </pt>
                <pt idx="3">
                  <v>460.4656</v>
                </pt>
                <pt idx="4">
                  <v>465.00311</v>
                </pt>
                <pt idx="5">
                  <v>468.78553</v>
                </pt>
                <pt idx="6">
                  <v>472.95524</v>
                </pt>
                <pt idx="7">
                  <v>476.58667</v>
                </pt>
                <pt idx="8">
                  <v>480.02872</v>
                </pt>
                <pt idx="9">
                  <v>483.95422</v>
                </pt>
                <pt idx="10">
                  <v>489.56507</v>
                </pt>
                <pt idx="11">
                  <v>493.47286</v>
                </pt>
                <pt idx="12">
                  <v>497.712</v>
                </pt>
                <pt idx="13">
                  <v>502.21475</v>
                </pt>
                <pt idx="14">
                  <v>505.8419</v>
                </pt>
                <pt idx="15">
                  <v>510.57218</v>
                </pt>
                <pt idx="16">
                  <v>514.8805599999999</v>
                </pt>
                <pt idx="17">
                  <v>519.46027</v>
                </pt>
                <pt idx="18">
                  <v>524.23883</v>
                </pt>
                <pt idx="19">
                  <v>529.30078</v>
                </pt>
                <pt idx="20">
                  <v>534.65347</v>
                </pt>
                <pt idx="21">
                  <v>539.97884</v>
                </pt>
                <pt idx="22">
                  <v>545.275</v>
                </pt>
                <pt idx="23">
                  <v>551.20474</v>
                </pt>
                <pt idx="24">
                  <v>557.0309099999999</v>
                </pt>
                <pt idx="25">
                  <v>562.57917</v>
                </pt>
                <pt idx="26">
                  <v>568.52557</v>
                </pt>
                <pt idx="27">
                  <v>574.0151499999999</v>
                </pt>
                <pt idx="28">
                  <v>579.82002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45167379"/>
        <axId val="892031439"/>
      </scatterChart>
      <valAx>
        <axId val="345167379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92031439"/>
        <crosses val="autoZero"/>
        <crossBetween val="midCat"/>
      </valAx>
      <valAx>
        <axId val="89203143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5167379"/>
        <crosses val="autoZero"/>
        <crossBetween val="midCat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/>
      <scatterChart>
        <scatterStyle val="smoothMarker"/>
        <varyColors val="0"/>
        <ser>
          <idx val="0"/>
          <order val="0"/>
          <tx>
            <strRef>
              <f>Exp!$S$2</f>
              <strCache>
                <ptCount val="1"/>
                <pt idx="0">
                  <v>573K 2014 Singh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1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Exp!$S$3:$S$19</f>
              <numCache>
                <formatCode>General</formatCode>
                <ptCount val="17"/>
                <pt idx="0">
                  <v>0.003</v>
                </pt>
                <pt idx="1">
                  <v>0.01</v>
                </pt>
                <pt idx="2">
                  <v>0.015</v>
                </pt>
                <pt idx="3">
                  <v>0.02</v>
                </pt>
                <pt idx="4">
                  <v>0.025</v>
                </pt>
                <pt idx="5">
                  <v>0.03</v>
                </pt>
                <pt idx="6">
                  <v>0.035</v>
                </pt>
                <pt idx="7">
                  <v>0.04</v>
                </pt>
                <pt idx="8">
                  <v>0.045</v>
                </pt>
                <pt idx="9">
                  <v>0.05</v>
                </pt>
                <pt idx="10">
                  <v>0.055</v>
                </pt>
                <pt idx="11">
                  <v>0.06</v>
                </pt>
                <pt idx="12">
                  <v>0.065</v>
                </pt>
                <pt idx="13">
                  <v>0.07000000000000001</v>
                </pt>
                <pt idx="14">
                  <v>0.075</v>
                </pt>
                <pt idx="15">
                  <v>0.08</v>
                </pt>
                <pt idx="16">
                  <v>0.08500000000000001</v>
                </pt>
              </numCache>
            </numRef>
          </xVal>
          <yVal>
            <numRef>
              <f>Exp!$T$3:$T$19</f>
              <numCache>
                <formatCode>General</formatCode>
                <ptCount val="17"/>
                <pt idx="0">
                  <v>474.2896812359172</v>
                </pt>
                <pt idx="1">
                  <v>527.8834594644215</v>
                </pt>
                <pt idx="2">
                  <v>547.2630026188498</v>
                </pt>
                <pt idx="3">
                  <v>561.4429610945951</v>
                </pt>
                <pt idx="4">
                  <v>572.6943252073712</v>
                </pt>
                <pt idx="5">
                  <v>582.0545333994404</v>
                </pt>
                <pt idx="6">
                  <v>590.0877306078607</v>
                </pt>
                <pt idx="7">
                  <v>597.1359642192244</v>
                </pt>
                <pt idx="8">
                  <v>603.4227932795463</v>
                </pt>
                <pt idx="9">
                  <v>609.1026191135443</v>
                </pt>
                <pt idx="10">
                  <v>614.2866887697103</v>
                </pt>
                <pt idx="11">
                  <v>619.057890318952</v>
                </pt>
                <pt idx="12">
                  <v>623.4796886228039</v>
                </pt>
                <pt idx="13">
                  <v>627.601787550224</v>
                </pt>
                <pt idx="14">
                  <v>631.4638624541908</v>
                </pt>
                <pt idx="15">
                  <v>635.0981034099127</v>
                </pt>
                <pt idx="16">
                  <v>638.5309976403195</v>
                </pt>
              </numCache>
            </numRef>
          </yVal>
          <smooth val="1"/>
        </ser>
        <ser>
          <idx val="1"/>
          <order val="1"/>
          <tx>
            <v>Sim_573K</v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2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'573K'!$K$2:$K$280</f>
              <numCache>
                <formatCode>0.00E+00</formatCode>
                <ptCount val="279"/>
                <pt idx="0">
                  <formatCode>General</formatCode>
                  <v>0</v>
                </pt>
                <pt idx="1">
                  <v>4.7583498075146e-06</v>
                </pt>
                <pt idx="2">
                  <v>1.6988437265671e-05</v>
                </pt>
                <pt idx="3">
                  <v>4.8422238810202e-05</v>
                </pt>
                <pt idx="4">
                  <formatCode>General</formatCode>
                  <v>0.000129210676412</v>
                </pt>
                <pt idx="5">
                  <formatCode>General</formatCode>
                  <v>0.00032586289823863</v>
                </pt>
                <pt idx="6">
                  <formatCode>General</formatCode>
                  <v>0.00062571871330888</v>
                </pt>
                <pt idx="7">
                  <formatCode>General</formatCode>
                  <v>0.00092548371136566</v>
                </pt>
                <pt idx="8">
                  <formatCode>General</formatCode>
                  <v>0.0012251579487187</v>
                </pt>
                <pt idx="9">
                  <formatCode>General</formatCode>
                  <v>0.0015247414979166</v>
                </pt>
                <pt idx="10">
                  <formatCode>General</formatCode>
                  <v>0.0018242347249826</v>
                </pt>
                <pt idx="11">
                  <formatCode>General</formatCode>
                  <v>0.0021236377368423</v>
                </pt>
                <pt idx="12">
                  <formatCode>General</formatCode>
                  <v>0.0024229494430389</v>
                </pt>
                <pt idx="13">
                  <formatCode>General</formatCode>
                  <v>0.0027221693883084</v>
                </pt>
                <pt idx="14">
                  <formatCode>General</formatCode>
                  <v>0.0030212977000976</v>
                </pt>
                <pt idx="15">
                  <formatCode>General</formatCode>
                  <v>0.0033203344688581</v>
                </pt>
                <pt idx="16">
                  <formatCode>General</formatCode>
                  <v>0.003619279681402</v>
                </pt>
                <pt idx="17">
                  <formatCode>General</formatCode>
                  <v>0.0039181333796278</v>
                </pt>
                <pt idx="18">
                  <formatCode>General</formatCode>
                  <v>0.0042168956538415</v>
                </pt>
                <pt idx="19">
                  <formatCode>General</formatCode>
                  <v>0.0045155666674734</v>
                </pt>
                <pt idx="20">
                  <formatCode>General</formatCode>
                  <v>0.0048141466148214</v>
                </pt>
                <pt idx="21">
                  <formatCode>General</formatCode>
                  <v>0.005112635661887</v>
                </pt>
                <pt idx="22">
                  <formatCode>General</formatCode>
                  <v>0.0054110339377973</v>
                </pt>
                <pt idx="23">
                  <formatCode>General</formatCode>
                  <v>0.0057093415578116</v>
                </pt>
                <pt idx="24">
                  <formatCode>General</formatCode>
                  <v>0.006007558625236</v>
                </pt>
                <pt idx="25">
                  <formatCode>General</formatCode>
                  <v>0.0063056852171509</v>
                </pt>
                <pt idx="26">
                  <formatCode>General</formatCode>
                  <v>0.0066037214011439</v>
                </pt>
                <pt idx="27">
                  <formatCode>General</formatCode>
                  <v>0.0069016672395159</v>
                </pt>
                <pt idx="28">
                  <formatCode>General</formatCode>
                  <v>0.0071995227815959</v>
                </pt>
                <pt idx="29">
                  <formatCode>General</formatCode>
                  <v>0.0074972880706056</v>
                </pt>
                <pt idx="30">
                  <formatCode>General</formatCode>
                  <v>0.007794963158871</v>
                </pt>
                <pt idx="31">
                  <formatCode>General</formatCode>
                  <v>0.0080925481068513</v>
                </pt>
                <pt idx="32">
                  <formatCode>General</formatCode>
                  <v>0.0083900429781358</v>
                </pt>
                <pt idx="33">
                  <formatCode>General</formatCode>
                  <v>0.008687447837077301</v>
                </pt>
                <pt idx="34">
                  <formatCode>General</formatCode>
                  <v>0.0089847627473512</v>
                </pt>
                <pt idx="35">
                  <formatCode>General</formatCode>
                  <v>0.009281987772693101</v>
                </pt>
                <pt idx="36">
                  <formatCode>General</formatCode>
                  <v>0.0095791229769408</v>
                </pt>
                <pt idx="37">
                  <formatCode>General</formatCode>
                  <v>0.0098761684199645</v>
                </pt>
                <pt idx="38">
                  <formatCode>General</formatCode>
                  <v>0.010173124163976</v>
                </pt>
                <pt idx="39">
                  <formatCode>General</formatCode>
                  <v>0.010469990270338</v>
                </pt>
                <pt idx="40">
                  <formatCode>General</formatCode>
                  <v>0.010766766799502</v>
                </pt>
                <pt idx="41">
                  <formatCode>General</formatCode>
                  <v>0.011063453812564</v>
                </pt>
                <pt idx="42">
                  <formatCode>General</formatCode>
                  <v>0.011360051367161</v>
                </pt>
                <pt idx="43">
                  <formatCode>General</formatCode>
                  <v>0.011656559520344</v>
                </pt>
                <pt idx="44">
                  <formatCode>General</formatCode>
                  <v>0.011952978330214</v>
                </pt>
                <pt idx="45">
                  <formatCode>General</formatCode>
                  <v>0.012249307854744</v>
                </pt>
                <pt idx="46">
                  <formatCode>General</formatCode>
                  <v>0.01254554814888</v>
                </pt>
                <pt idx="47">
                  <formatCode>General</formatCode>
                  <v>0.012841699265453</v>
                </pt>
                <pt idx="48">
                  <formatCode>General</formatCode>
                  <v>0.013137761255368</v>
                </pt>
                <pt idx="49">
                  <formatCode>General</formatCode>
                  <v>0.013433734166837</v>
                </pt>
                <pt idx="50">
                  <formatCode>General</formatCode>
                  <v>0.013729618052975</v>
                </pt>
                <pt idx="51">
                  <formatCode>General</formatCode>
                  <v>0.014025412966432</v>
                </pt>
                <pt idx="52">
                  <formatCode>General</formatCode>
                  <v>0.01432111896004</v>
                </pt>
                <pt idx="53">
                  <formatCode>General</formatCode>
                  <v>0.014616736091239</v>
                </pt>
                <pt idx="54">
                  <formatCode>General</formatCode>
                  <v>0.014912264418233</v>
                </pt>
                <pt idx="55">
                  <formatCode>General</formatCode>
                  <v>0.015207703998793</v>
                </pt>
                <pt idx="56">
                  <formatCode>General</formatCode>
                  <v>0.015503054890594</v>
                </pt>
                <pt idx="57">
                  <formatCode>General</formatCode>
                  <v>0.015798317154314</v>
                </pt>
                <pt idx="58">
                  <formatCode>General</formatCode>
                  <v>0.016093490849079</v>
                </pt>
                <pt idx="59">
                  <formatCode>General</formatCode>
                  <v>0.01638857603568</v>
                </pt>
                <pt idx="60">
                  <formatCode>General</formatCode>
                  <v>0.016683572772413</v>
                </pt>
                <pt idx="61">
                  <formatCode>General</formatCode>
                  <v>0.016978481119006</v>
                </pt>
                <pt idx="62">
                  <formatCode>General</formatCode>
                  <v>0.017273301132452</v>
                </pt>
                <pt idx="63">
                  <formatCode>General</formatCode>
                  <v>0.01756803286808</v>
                </pt>
                <pt idx="64">
                  <formatCode>General</formatCode>
                  <v>0.017862676381663</v>
                </pt>
                <pt idx="65">
                  <formatCode>General</formatCode>
                  <v>0.018157231729352</v>
                </pt>
                <pt idx="66">
                  <formatCode>General</formatCode>
                  <v>0.01845169896459</v>
                </pt>
                <pt idx="67">
                  <formatCode>General</formatCode>
                  <v>0.018746078142449</v>
                </pt>
                <pt idx="68">
                  <formatCode>General</formatCode>
                  <v>0.019040369317227</v>
                </pt>
                <pt idx="69">
                  <formatCode>General</formatCode>
                  <v>0.019334572545789</v>
                </pt>
                <pt idx="70">
                  <formatCode>General</formatCode>
                  <v>0.019628687880981</v>
                </pt>
                <pt idx="71">
                  <formatCode>General</formatCode>
                  <v>0.019922715379161</v>
                </pt>
                <pt idx="72">
                  <formatCode>General</formatCode>
                  <v>0.020216655093609</v>
                </pt>
                <pt idx="73">
                  <formatCode>General</formatCode>
                  <v>0.020510507076352</v>
                </pt>
                <pt idx="74">
                  <formatCode>General</formatCode>
                  <v>0.020804271382053</v>
                </pt>
                <pt idx="75">
                  <formatCode>General</formatCode>
                  <v>0.021097948065748</v>
                </pt>
                <pt idx="76">
                  <formatCode>General</formatCode>
                  <v>0.021391537178123</v>
                </pt>
                <pt idx="77">
                  <formatCode>General</formatCode>
                  <v>0.021685038776479</v>
                </pt>
                <pt idx="78">
                  <formatCode>General</formatCode>
                  <v>0.021978452911877</v>
                </pt>
                <pt idx="79">
                  <formatCode>General</formatCode>
                  <v>0.022271779640892</v>
                </pt>
                <pt idx="80">
                  <formatCode>General</formatCode>
                  <v>0.022565019016099</v>
                </pt>
                <pt idx="81">
                  <formatCode>General</formatCode>
                  <v>0.022858171091418</v>
                </pt>
                <pt idx="82">
                  <formatCode>General</formatCode>
                  <v>0.023151235918714</v>
                </pt>
                <pt idx="83">
                  <formatCode>General</formatCode>
                  <v>0.023444213551176</v>
                </pt>
                <pt idx="84">
                  <formatCode>General</formatCode>
                  <v>0.023737104038115</v>
                </pt>
                <pt idx="85">
                  <formatCode>General</formatCode>
                  <v>0.024029907433995</v>
                </pt>
                <pt idx="86">
                  <formatCode>General</formatCode>
                  <v>0.024322623791451</v>
                </pt>
                <pt idx="87">
                  <formatCode>General</formatCode>
                  <v>0.024615253162703</v>
                </pt>
                <pt idx="88">
                  <formatCode>General</formatCode>
                  <v>0.024907795599865</v>
                </pt>
                <pt idx="89">
                  <formatCode>General</formatCode>
                  <v>0.02520025115768</v>
                </pt>
                <pt idx="90">
                  <formatCode>General</formatCode>
                  <v>0.025492619885877</v>
                </pt>
                <pt idx="91">
                  <formatCode>General</formatCode>
                  <v>0.025784901836771</v>
                </pt>
                <pt idx="92">
                  <formatCode>General</formatCode>
                  <v>0.026077097061929</v>
                </pt>
                <pt idx="93">
                  <formatCode>General</formatCode>
                  <v>0.026369205614322</v>
                </pt>
                <pt idx="94">
                  <formatCode>General</formatCode>
                  <v>0.026661227541697</v>
                </pt>
                <pt idx="95">
                  <formatCode>General</formatCode>
                  <v>0.026953162897275</v>
                </pt>
                <pt idx="96">
                  <formatCode>General</formatCode>
                  <v>0.027245011730499</v>
                </pt>
                <pt idx="97">
                  <formatCode>General</formatCode>
                  <v>0.027536774096313</v>
                </pt>
                <pt idx="98">
                  <formatCode>General</formatCode>
                  <v>0.027828450047616</v>
                </pt>
                <pt idx="99">
                  <formatCode>General</formatCode>
                  <v>0.028120039633661</v>
                </pt>
                <pt idx="100">
                  <formatCode>General</formatCode>
                  <v>0.028411542907988</v>
                </pt>
                <pt idx="101">
                  <formatCode>General</formatCode>
                  <v>0.028702959921054</v>
                </pt>
                <pt idx="102">
                  <formatCode>General</formatCode>
                  <v>0.028994290727771</v>
                </pt>
                <pt idx="103">
                  <formatCode>General</formatCode>
                  <v>0.029285535379893</v>
                </pt>
                <pt idx="104">
                  <formatCode>General</formatCode>
                  <v>0.02957669393081</v>
                </pt>
                <pt idx="105">
                  <formatCode>General</formatCode>
                  <v>0.029867766433243</v>
                </pt>
                <pt idx="106">
                  <formatCode>General</formatCode>
                  <v>0.030158752941315</v>
                </pt>
                <pt idx="107">
                  <formatCode>General</formatCode>
                  <v>0.030449653500793</v>
                </pt>
                <pt idx="108">
                  <formatCode>General</formatCode>
                  <v>0.030740468165767</v>
                </pt>
                <pt idx="109">
                  <formatCode>General</formatCode>
                  <v>0.031031196989626</v>
                </pt>
                <pt idx="110">
                  <formatCode>General</formatCode>
                  <v>0.031321840024521</v>
                </pt>
                <pt idx="111">
                  <formatCode>General</formatCode>
                  <v>0.031612397322988</v>
                </pt>
                <pt idx="112">
                  <formatCode>General</formatCode>
                  <v>0.031902868933138</v>
                </pt>
                <pt idx="113">
                  <formatCode>General</formatCode>
                  <v>0.032193254906899</v>
                </pt>
                <pt idx="114">
                  <formatCode>General</formatCode>
                  <v>0.032483555296684</v>
                </pt>
                <pt idx="115">
                  <formatCode>General</formatCode>
                  <v>0.032773770151446</v>
                </pt>
                <pt idx="116">
                  <formatCode>General</formatCode>
                  <v>0.033063899524808</v>
                </pt>
                <pt idx="117">
                  <formatCode>General</formatCode>
                  <v>0.033353943467737</v>
                </pt>
                <pt idx="118">
                  <formatCode>General</formatCode>
                  <v>0.033643902034175</v>
                </pt>
                <pt idx="119">
                  <formatCode>General</formatCode>
                  <v>0.033933775271946</v>
                </pt>
                <pt idx="120">
                  <formatCode>General</formatCode>
                  <v>0.034223563230987</v>
                </pt>
                <pt idx="121">
                  <formatCode>General</formatCode>
                  <v>0.03451326596274</v>
                </pt>
                <pt idx="122">
                  <formatCode>General</formatCode>
                  <v>0.034802883517266</v>
                </pt>
                <pt idx="123">
                  <formatCode>General</formatCode>
                  <v>0.035092415948265</v>
                </pt>
                <pt idx="124">
                  <formatCode>General</formatCode>
                  <v>0.035381863306762</v>
                </pt>
                <pt idx="125">
                  <formatCode>General</formatCode>
                  <v>0.035671225645302</v>
                </pt>
                <pt idx="126">
                  <formatCode>General</formatCode>
                  <v>0.035960503018007</v>
                </pt>
                <pt idx="127">
                  <formatCode>General</formatCode>
                  <v>0.036249695470442</v>
                </pt>
                <pt idx="128">
                  <formatCode>General</formatCode>
                  <v>0.036538803056036</v>
                </pt>
                <pt idx="129">
                  <formatCode>General</formatCode>
                  <v>0.036827825826942</v>
                </pt>
                <pt idx="130">
                  <formatCode>General</formatCode>
                  <v>0.037116763836266</v>
                </pt>
                <pt idx="131">
                  <formatCode>General</formatCode>
                  <v>0.037405617133009</v>
                </pt>
                <pt idx="132">
                  <formatCode>General</formatCode>
                  <v>0.037694385765606</v>
                </pt>
                <pt idx="133">
                  <formatCode>General</formatCode>
                  <v>0.03798306978882</v>
                </pt>
                <pt idx="134">
                  <formatCode>General</formatCode>
                  <v>0.038271669253028</v>
                </pt>
                <pt idx="135">
                  <formatCode>General</formatCode>
                  <v>0.038560184207729</v>
                </pt>
                <pt idx="136">
                  <formatCode>General</formatCode>
                  <v>0.03884861470412</v>
                </pt>
                <pt idx="137">
                  <formatCode>General</formatCode>
                  <v>0.039136960793823</v>
                </pt>
                <pt idx="138">
                  <formatCode>General</formatCode>
                  <v>0.039425222527469</v>
                </pt>
                <pt idx="139">
                  <formatCode>General</formatCode>
                  <v>0.039713399958481</v>
                </pt>
                <pt idx="140">
                  <formatCode>General</formatCode>
                  <v>0.040001493140081</v>
                </pt>
                <pt idx="141">
                  <formatCode>General</formatCode>
                  <v>0.040289502118531</v>
                </pt>
                <pt idx="142">
                  <formatCode>General</formatCode>
                  <v>0.04057742694476</v>
                </pt>
                <pt idx="143">
                  <formatCode>General</formatCode>
                  <v>0.040865267672403</v>
                </pt>
                <pt idx="144">
                  <formatCode>General</formatCode>
                  <v>0.041153024352985</v>
                </pt>
                <pt idx="145">
                  <formatCode>General</formatCode>
                  <v>0.04144069703584</v>
                </pt>
                <pt idx="146">
                  <formatCode>General</formatCode>
                  <v>0.041728285763706</v>
                </pt>
                <pt idx="147">
                  <formatCode>General</formatCode>
                  <v>0.042015790590768</v>
                </pt>
                <pt idx="148">
                  <formatCode>General</formatCode>
                  <v>0.042303211565695</v>
                </pt>
                <pt idx="149">
                  <formatCode>General</formatCode>
                  <v>0.042590548739132</v>
                </pt>
                <pt idx="150">
                  <formatCode>General</formatCode>
                  <v>0.042877802162465</v>
                </pt>
                <pt idx="151">
                  <formatCode>General</formatCode>
                  <v>0.043164971880807</v>
                </pt>
                <pt idx="152">
                  <formatCode>General</formatCode>
                  <v>0.043452057944542</v>
                </pt>
                <pt idx="153">
                  <formatCode>General</formatCode>
                  <v>0.043739060402198</v>
                </pt>
                <pt idx="154">
                  <formatCode>General</formatCode>
                  <v>0.04402597930449</v>
                </pt>
                <pt idx="155">
                  <formatCode>General</formatCode>
                  <v>0.044312814700806</v>
                </pt>
                <pt idx="156">
                  <formatCode>General</formatCode>
                  <v>0.04459956663748</v>
                </pt>
                <pt idx="157">
                  <formatCode>General</formatCode>
                  <v>0.04488623516259</v>
                </pt>
                <pt idx="158">
                  <formatCode>General</formatCode>
                  <v>0.045172820329148</v>
                </pt>
                <pt idx="159">
                  <formatCode>General</formatCode>
                  <v>0.045459322177865</v>
                </pt>
                <pt idx="160">
                  <formatCode>General</formatCode>
                  <v>0.045745740761751</v>
                </pt>
                <pt idx="161">
                  <formatCode>General</formatCode>
                  <v>0.046032076132416</v>
                </pt>
                <pt idx="162">
                  <formatCode>General</formatCode>
                  <v>0.046318328327723</v>
                </pt>
                <pt idx="163">
                  <formatCode>General</formatCode>
                  <v>0.046604497403817</v>
                </pt>
                <pt idx="164">
                  <formatCode>General</formatCode>
                  <v>0.0468905834089</v>
                </pt>
                <pt idx="165">
                  <formatCode>General</formatCode>
                  <v>0.047176586389007</v>
                </pt>
                <pt idx="166">
                  <formatCode>General</formatCode>
                  <v>0.047462506393045</v>
                </pt>
                <pt idx="167">
                  <formatCode>General</formatCode>
                  <v>0.047748343468749</v>
                </pt>
                <pt idx="168">
                  <formatCode>General</formatCode>
                  <v>0.048034097665823</v>
                </pt>
                <pt idx="169">
                  <formatCode>General</formatCode>
                  <v>0.048319769030002</v>
                </pt>
                <pt idx="170">
                  <formatCode>General</formatCode>
                  <v>0.048605357614267</v>
                </pt>
                <pt idx="171">
                  <formatCode>General</formatCode>
                  <v>0.048890863467873</v>
                </pt>
                <pt idx="172">
                  <formatCode>General</formatCode>
                  <v>0.049176286637492</v>
                </pt>
                <pt idx="173">
                  <formatCode>General</formatCode>
                  <v>0.049461627174245</v>
                </pt>
                <pt idx="174">
                  <formatCode>General</formatCode>
                  <v>0.049746885124019</v>
                </pt>
                <pt idx="175">
                  <formatCode>General</formatCode>
                  <v>0.050032060533259</v>
                </pt>
                <pt idx="176">
                  <formatCode>General</formatCode>
                  <v>0.05031715345004</v>
                </pt>
                <pt idx="177">
                  <formatCode>General</formatCode>
                  <v>0.050602163924138</v>
                </pt>
                <pt idx="178">
                  <formatCode>General</formatCode>
                  <v>0.050887092005997</v>
                </pt>
                <pt idx="179">
                  <formatCode>General</formatCode>
                  <v>0.051171937739828</v>
                </pt>
                <pt idx="180">
                  <formatCode>General</formatCode>
                  <v>0.051456701173692</v>
                </pt>
                <pt idx="181">
                  <formatCode>General</formatCode>
                  <v>0.051741382355799</v>
                </pt>
                <pt idx="182">
                  <formatCode>General</formatCode>
                  <v>0.052025981337004</v>
                </pt>
                <pt idx="183">
                  <formatCode>General</formatCode>
                  <v>0.05231049816676</v>
                </pt>
                <pt idx="184">
                  <formatCode>General</formatCode>
                  <v>0.052570364449439</v>
                </pt>
              </numCache>
            </numRef>
          </xVal>
          <yVal>
            <numRef>
              <f>'573K'!$N$2:$N$230</f>
              <numCache>
                <formatCode>General</formatCode>
                <ptCount val="229"/>
                <pt idx="0">
                  <v>0</v>
                </pt>
                <pt idx="1">
                  <v>1.0613972689945</v>
                </pt>
                <pt idx="2">
                  <v>3.7897345684177</v>
                </pt>
                <pt idx="3">
                  <v>10.804060439299</v>
                </pt>
                <pt idx="4">
                  <v>28.844528915294</v>
                </pt>
                <pt idx="5">
                  <v>72.836268612711</v>
                </pt>
                <pt idx="6">
                  <v>140.13827914686</v>
                </pt>
                <pt idx="7">
                  <v>207.69010769752</v>
                </pt>
                <pt idx="8">
                  <v>275.49096444571</v>
                </pt>
                <pt idx="9">
                  <v>343.46611320358</v>
                </pt>
                <pt idx="10">
                  <v>407.43744700425</v>
                </pt>
                <pt idx="11">
                  <v>449.77299643474</v>
                </pt>
                <pt idx="12">
                  <v>471.08467068633</v>
                </pt>
                <pt idx="13">
                  <v>483.45970692417</v>
                </pt>
                <pt idx="14">
                  <v>491.99219409828</v>
                </pt>
                <pt idx="15">
                  <v>498.45634380199</v>
                </pt>
                <pt idx="16">
                  <v>503.61760209053</v>
                </pt>
                <pt idx="17">
                  <v>507.88957626931</v>
                </pt>
                <pt idx="18">
                  <v>511.52235049627</v>
                </pt>
                <pt idx="19">
                  <v>514.67800392335</v>
                </pt>
                <pt idx="20">
                  <v>517.46481176983</v>
                </pt>
                <pt idx="21">
                  <v>519.9601039545</v>
                </pt>
                <pt idx="22">
                  <v>522.22256618089</v>
                </pt>
                <pt idx="23">
                  <v>524.2980548476399</v>
                </pt>
                <pt idx="24">
                  <v>526.22288427781</v>
                </pt>
                <pt idx="25">
                  <v>528.02507695445</v>
                </pt>
                <pt idx="26">
                  <v>529.72556009935</v>
                </pt>
                <pt idx="27">
                  <v>531.34068416129</v>
                </pt>
                <pt idx="28">
                  <v>532.88356098107</v>
                </pt>
                <pt idx="29">
                  <v>534.36472835779</v>
                </pt>
                <pt idx="30">
                  <v>535.7929028859299</v>
                </pt>
                <pt idx="31">
                  <v>537.1752643436899</v>
                </pt>
                <pt idx="32">
                  <v>538.51722184145</v>
                </pt>
                <pt idx="33">
                  <v>539.8238972383</v>
                </pt>
                <pt idx="34">
                  <v>541.09926500344</v>
                </pt>
                <pt idx="35">
                  <v>542.34664409509</v>
                </pt>
                <pt idx="36">
                  <v>543.56894991529</v>
                </pt>
                <pt idx="37">
                  <v>544.76851844003</v>
                </pt>
                <pt idx="38">
                  <v>545.94774821343</v>
                </pt>
                <pt idx="39">
                  <v>547.10832854955</v>
                </pt>
                <pt idx="40">
                  <v>548.25190590187</v>
                </pt>
                <pt idx="41">
                  <v>549.37975254126</v>
                </pt>
                <pt idx="42">
                  <v>550.49323234451</v>
                </pt>
                <pt idx="43">
                  <v>551.5932880805</v>
                </pt>
                <pt idx="44">
                  <v>552.68076171234</v>
                </pt>
                <pt idx="45">
                  <v>553.75663118573</v>
                </pt>
                <pt idx="46">
                  <v>554.8214529934399</v>
                </pt>
                <pt idx="47">
                  <v>555.8759882094801</v>
                </pt>
                <pt idx="48">
                  <v>556.92075856061</v>
                </pt>
                <pt idx="49">
                  <v>557.9564842424001</v>
                </pt>
                <pt idx="50">
                  <v>558.98362272806</v>
                </pt>
                <pt idx="51">
                  <v>560.00243310045</v>
                </pt>
                <pt idx="52">
                  <v>561.01360789774</v>
                </pt>
                <pt idx="53">
                  <v>562.01738601012</v>
                </pt>
                <pt idx="54">
                  <v>563.0141162536</v>
                </pt>
                <pt idx="55">
                  <v>564.00402910307</v>
                </pt>
                <pt idx="56">
                  <v>564.98739612959</v>
                </pt>
                <pt idx="57">
                  <v>565.9644738524401</v>
                </pt>
                <pt idx="58">
                  <v>566.93561914483</v>
                </pt>
                <pt idx="59">
                  <v>567.90096965956</v>
                </pt>
                <pt idx="60">
                  <v>568.86082541587</v>
                </pt>
                <pt idx="61">
                  <v>569.8152137474</v>
                </pt>
                <pt idx="62">
                  <v>570.76439400605</v>
                </pt>
                <pt idx="63">
                  <v>571.70863660883</v>
                </pt>
                <pt idx="64">
                  <v>572.64790660433</v>
                </pt>
                <pt idx="65">
                  <v>573.58239501056</v>
                </pt>
                <pt idx="66">
                  <v>574.51242875679</v>
                </pt>
                <pt idx="67">
                  <v>575.43801425251</v>
                </pt>
                <pt idx="68">
                  <v>576.35934770049</v>
                </pt>
                <pt idx="69">
                  <v>577.27642044988</v>
                </pt>
                <pt idx="70">
                  <v>578.18949854364</v>
                </pt>
                <pt idx="71">
                  <v>579.09870404098</v>
                </pt>
                <pt idx="72">
                  <v>580.00399848055</v>
                </pt>
                <pt idx="73">
                  <v>580.90558055708</v>
                </pt>
                <pt idx="74">
                  <v>581.80348644912</v>
                </pt>
                <pt idx="75">
                  <v>582.69778483638</v>
                </pt>
                <pt idx="76">
                  <v>583.58857595027</v>
                </pt>
                <pt idx="77">
                  <v>584.47593338559</v>
                </pt>
                <pt idx="78">
                  <v>585.35986807657</v>
                </pt>
                <pt idx="79">
                  <v>586.24054925461</v>
                </pt>
                <pt idx="80">
                  <v>587.11796471338</v>
                </pt>
                <pt idx="81">
                  <v>587.99219120544</v>
                </pt>
                <pt idx="82">
                  <v>588.86321779203</v>
                </pt>
                <pt idx="83">
                  <v>589.73119698606</v>
                </pt>
                <pt idx="84">
                  <v>590.5961531731</v>
                </pt>
                <pt idx="85">
                  <v>591.45815991451</v>
                </pt>
                <pt idx="86">
                  <v>592.31718238342</v>
                </pt>
                <pt idx="87">
                  <v>593.17332842423</v>
                </pt>
                <pt idx="88">
                  <v>594.02669534218</v>
                </pt>
                <pt idx="89">
                  <v>594.8773555458999</v>
                </pt>
                <pt idx="90">
                  <v>595.72522752948</v>
                </pt>
                <pt idx="91">
                  <v>596.5703802450701</v>
                </pt>
                <pt idx="92">
                  <v>597.41292116506</v>
                </pt>
                <pt idx="93">
                  <v>598.25289626395</v>
                </pt>
                <pt idx="94">
                  <v>599.09026668406</v>
                </pt>
                <pt idx="95">
                  <v>599.92507271303</v>
                </pt>
                <pt idx="96">
                  <v>600.75740315681</v>
                </pt>
                <pt idx="97">
                  <v>601.5873816913401</v>
                </pt>
                <pt idx="98">
                  <v>602.4149462255</v>
                </pt>
                <pt idx="99">
                  <v>603.2401246932</v>
                </pt>
                <pt idx="100">
                  <v>604.06284825554</v>
                </pt>
                <pt idx="101">
                  <v>604.88329666767</v>
                </pt>
                <pt idx="102">
                  <v>605.70141694853</v>
                </pt>
                <pt idx="103">
                  <v>606.5173174684199</v>
                </pt>
                <pt idx="104">
                  <v>607.33089325618</v>
                </pt>
                <pt idx="105">
                  <v>608.14232555052</v>
                </pt>
                <pt idx="106">
                  <v>608.9515282034999</v>
                </pt>
                <pt idx="107">
                  <v>609.75860704687</v>
                </pt>
                <pt idx="108">
                  <v>610.5634793281901</v>
                </pt>
                <pt idx="109">
                  <v>611.36625139483</v>
                </pt>
                <pt idx="110">
                  <v>612.16699754482</v>
                </pt>
                <pt idx="111">
                  <v>612.96560458738</v>
                </pt>
                <pt idx="112">
                  <v>613.76209339113</v>
                </pt>
                <pt idx="113">
                  <v>614.55661747135</v>
                </pt>
                <pt idx="114">
                  <v>615.34904887092</v>
                </pt>
                <pt idx="115">
                  <v>616.13950255646</v>
                </pt>
                <pt idx="116">
                  <v>616.9279970310999</v>
                </pt>
                <pt idx="117">
                  <v>617.71446940424</v>
                </pt>
                <pt idx="118">
                  <v>618.49900679769</v>
                </pt>
                <pt idx="119">
                  <v>619.28161312269</v>
                </pt>
                <pt idx="120">
                  <v>620.06241323378</v>
                </pt>
                <pt idx="121">
                  <v>620.84126488043</v>
                </pt>
                <pt idx="122">
                  <v>621.61819416434</v>
                </pt>
                <pt idx="123">
                  <v>622.39329222903</v>
                </pt>
                <pt idx="124">
                  <v>623.16659841273</v>
                </pt>
                <pt idx="125">
                  <v>623.93807370998</v>
                </pt>
                <pt idx="126">
                  <v>624.70773166164</v>
                </pt>
                <pt idx="127">
                  <v>625.4756088596801</v>
                </pt>
                <pt idx="128">
                  <v>626.24166366363</v>
                </pt>
                <pt idx="129">
                  <v>627.00595721262</v>
                </pt>
                <pt idx="130">
                  <v>627.76838431898</v>
                </pt>
                <pt idx="131">
                  <v>628.52916027945</v>
                </pt>
                <pt idx="132">
                  <v>629.28817361885</v>
                </pt>
                <pt idx="133">
                  <v>630.04542700217</v>
                </pt>
                <pt idx="134">
                  <v>630.80110306795</v>
                </pt>
                <pt idx="135">
                  <v>631.55509998276</v>
                </pt>
                <pt idx="136">
                  <v>632.30741846562</v>
                </pt>
                <pt idx="137">
                  <v>633.0580238965</v>
                </pt>
                <pt idx="138">
                  <v>633.80704649697</v>
                </pt>
                <pt idx="139">
                  <v>634.55435315247</v>
                </pt>
                <pt idx="140">
                  <v>635.30019637713</v>
                </pt>
                <pt idx="141">
                  <v>636.04430067693</v>
                </pt>
                <pt idx="142">
                  <v>636.78679130078</v>
                </pt>
                <pt idx="143">
                  <v>637.52762754733</v>
                </pt>
                <pt idx="144">
                  <v>638.26695496644</v>
                </pt>
                <pt idx="145">
                  <v>639.00476203362</v>
                </pt>
                <pt idx="146">
                  <v>639.74095623755</v>
                </pt>
                <pt idx="147">
                  <v>640.47564038487</v>
                </pt>
                <pt idx="148">
                  <v>641.20883741134</v>
                </pt>
                <pt idx="149">
                  <v>641.9405177580001</v>
                </pt>
                <pt idx="150">
                  <v>642.67060296957</v>
                </pt>
                <pt idx="151">
                  <v>643.39923065162</v>
                </pt>
                <pt idx="152">
                  <v>644.12635686076</v>
                </pt>
                <pt idx="153">
                  <v>644.85206635406</v>
                </pt>
                <pt idx="154">
                  <v>645.57632519576</v>
                </pt>
                <pt idx="155">
                  <v>646.29903766131</v>
                </pt>
                <pt idx="156">
                  <v>647.0203449186899</v>
                </pt>
                <pt idx="157">
                  <v>647.74021067629</v>
                </pt>
                <pt idx="158">
                  <v>648.45866456059</v>
                </pt>
                <pt idx="159">
                  <v>649.17570387375</v>
                </pt>
                <pt idx="160">
                  <v>649.8913198409</v>
                </pt>
                <pt idx="161">
                  <v>650.60548436994</v>
                </pt>
                <pt idx="162">
                  <v>651.31830484743</v>
                </pt>
                <pt idx="163">
                  <v>652.02972438751</v>
                </pt>
                <pt idx="164">
                  <v>652.7397643069399</v>
                </pt>
                <pt idx="165">
                  <v>653.44844313853</v>
                </pt>
                <pt idx="166">
                  <v>654.15573856101</v>
                </pt>
                <pt idx="167">
                  <v>654.86166895495</v>
                </pt>
                <pt idx="168">
                  <v>655.5662525172201</v>
                </pt>
                <pt idx="169">
                  <v>656.26938776107</v>
                </pt>
                <pt idx="170">
                  <v>656.9713073962999</v>
                </pt>
                <pt idx="171">
                  <v>657.6718754942</v>
                </pt>
                <pt idx="172">
                  <v>658.37112146932</v>
                </pt>
                <pt idx="173">
                  <v>659.06895271805</v>
                </pt>
                <pt idx="174">
                  <v>659.7654738648999</v>
                </pt>
                <pt idx="175">
                  <v>660.46082974915</v>
                </pt>
                <pt idx="176">
                  <v>661.15487141071</v>
                </pt>
                <pt idx="177">
                  <v>661.84750155111</v>
                </pt>
                <pt idx="178">
                  <v>662.53895593948</v>
                </pt>
                <pt idx="179">
                  <v>663.2290870944601</v>
                </pt>
                <pt idx="180">
                  <v>663.91805526515</v>
                </pt>
                <pt idx="181">
                  <v>664.60563078257</v>
                </pt>
                <pt idx="182">
                  <v>665.29196076911</v>
                </pt>
                <pt idx="183">
                  <v>665.97707101141</v>
                </pt>
                <pt idx="184">
                  <v>666.66540513491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45167379"/>
        <axId val="892031439"/>
      </scatterChart>
      <valAx>
        <axId val="345167379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92031439"/>
        <crosses val="autoZero"/>
        <crossBetween val="midCat"/>
      </valAx>
      <valAx>
        <axId val="89203143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5167379"/>
        <crosses val="autoZero"/>
        <crossBetween val="midCat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/>
      <scatterChart>
        <scatterStyle val="smoothMarker"/>
        <varyColors val="0"/>
        <ser>
          <idx val="0"/>
          <order val="0"/>
          <tx>
            <strRef>
              <f>Exp!$V$2</f>
              <strCache>
                <ptCount val="1"/>
                <pt idx="0">
                  <v>473K 2014 Singh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1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Exp!$V$3:$V$19</f>
              <numCache>
                <formatCode>General</formatCode>
                <ptCount val="17"/>
                <pt idx="0">
                  <v>0.003</v>
                </pt>
                <pt idx="1">
                  <v>0.01</v>
                </pt>
                <pt idx="2">
                  <v>0.015</v>
                </pt>
                <pt idx="3">
                  <v>0.02</v>
                </pt>
                <pt idx="4">
                  <v>0.025</v>
                </pt>
                <pt idx="5">
                  <v>0.03</v>
                </pt>
                <pt idx="6">
                  <v>0.035</v>
                </pt>
                <pt idx="7">
                  <v>0.04</v>
                </pt>
                <pt idx="8">
                  <v>0.045</v>
                </pt>
                <pt idx="9">
                  <v>0.05</v>
                </pt>
                <pt idx="10">
                  <v>0.055</v>
                </pt>
                <pt idx="11">
                  <v>0.06</v>
                </pt>
                <pt idx="12">
                  <v>0.065</v>
                </pt>
                <pt idx="13">
                  <v>0.07000000000000001</v>
                </pt>
                <pt idx="14">
                  <v>0.075</v>
                </pt>
                <pt idx="15">
                  <v>0.08</v>
                </pt>
                <pt idx="16">
                  <v>0.08500000000000001</v>
                </pt>
              </numCache>
            </numRef>
          </xVal>
          <yVal>
            <numRef>
              <f>Exp!$W$3:$W$19</f>
              <numCache>
                <formatCode>General</formatCode>
                <ptCount val="17"/>
                <pt idx="0">
                  <v>481.3325465686319</v>
                </pt>
                <pt idx="1">
                  <v>544.5859642456925</v>
                </pt>
                <pt idx="2">
                  <v>567.7074618831123</v>
                </pt>
                <pt idx="3">
                  <v>584.7053532447972</v>
                </pt>
                <pt idx="4">
                  <v>598.2396474208617</v>
                </pt>
                <pt idx="5">
                  <v>609.5302006173546</v>
                </pt>
                <pt idx="6">
                  <v>619.2423098073943</v>
                </pt>
                <pt idx="7">
                  <v>627.7803185520257</v>
                </pt>
                <pt idx="8">
                  <v>635.4090370523531</v>
                </pt>
                <pt idx="9">
                  <v>642.3116777435835</v>
                </pt>
                <pt idx="10">
                  <v>648.6204508750412</v>
                </pt>
                <pt idx="11">
                  <v>654.4340006246523</v>
                </pt>
                <pt idx="12">
                  <v>659.8279508819438</v>
                </pt>
                <pt idx="13">
                  <v>664.8615962799678</v>
                </pt>
                <pt idx="14">
                  <v>669.5823180363533</v>
                </pt>
                <pt idx="15">
                  <v>674.0285960684248</v>
                </pt>
                <pt idx="16">
                  <v>678.2321221365396</v>
                </pt>
              </numCache>
            </numRef>
          </yVal>
          <smooth val="1"/>
        </ser>
        <ser>
          <idx val="1"/>
          <order val="1"/>
          <tx>
            <v>Sim_473K</v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2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'473K'!$K$2:$K$280</f>
              <numCache>
                <formatCode>0.00E+00</formatCode>
                <ptCount val="279"/>
                <pt idx="0">
                  <formatCode>General</formatCode>
                  <v>0</v>
                </pt>
                <pt idx="1">
                  <v>4.758349828017e-06</v>
                </pt>
                <pt idx="2">
                  <v>1.6988437526866e-05</v>
                </pt>
                <pt idx="3">
                  <v>4.8422240931861e-05</v>
                </pt>
                <pt idx="4">
                  <formatCode>General</formatCode>
                  <v>0.00012921069151408</v>
                </pt>
                <pt idx="5">
                  <formatCode>General</formatCode>
                  <v>0.00032586299421503</v>
                </pt>
                <pt idx="6">
                  <formatCode>General</formatCode>
                  <v>0.00062571906676484</v>
                </pt>
                <pt idx="7">
                  <formatCode>General</formatCode>
                  <v>0.00092548448368626</v>
                </pt>
                <pt idx="8">
                  <formatCode>General</formatCode>
                  <v>0.0012251593005888</v>
                </pt>
                <pt idx="9">
                  <formatCode>General</formatCode>
                  <v>0.001524743573432</v>
                </pt>
                <pt idx="10">
                  <formatCode>General</formatCode>
                  <v>0.0018242374409266</v>
                </pt>
                <pt idx="11">
                  <formatCode>General</formatCode>
                  <v>0.0021236412602557</v>
                </pt>
                <pt idx="12">
                  <formatCode>General</formatCode>
                  <v>0.0021236412602557</v>
                </pt>
                <pt idx="13">
                  <formatCode>General</formatCode>
                  <v>0.0024229541463851</v>
                </pt>
                <pt idx="14">
                  <formatCode>General</formatCode>
                  <v>0.002722175298349</v>
                </pt>
                <pt idx="15">
                  <formatCode>General</formatCode>
                  <v>0.0030213046971435</v>
                </pt>
                <pt idx="16">
                  <formatCode>General</formatCode>
                  <v>0.0033203425879465</v>
                </pt>
                <pt idx="17">
                  <formatCode>General</formatCode>
                  <v>0.0036192889995047</v>
                </pt>
                <pt idx="18">
                  <formatCode>General</formatCode>
                  <v>0.0039181439353441</v>
                </pt>
                <pt idx="19">
                  <formatCode>General</formatCode>
                  <v>0.0042169074559586</v>
                </pt>
                <pt idx="20">
                  <formatCode>General</formatCode>
                  <v>0.0045155795960218</v>
                </pt>
                <pt idx="21">
                  <formatCode>General</formatCode>
                  <v>0.0048141604321767</v>
                </pt>
                <pt idx="22">
                  <formatCode>General</formatCode>
                  <v>0.0051126501374622</v>
                </pt>
                <pt idx="23">
                  <formatCode>General</formatCode>
                  <v>0.0054110488986698</v>
                </pt>
                <pt idx="24">
                  <formatCode>General</formatCode>
                  <v>0.005709356879354</v>
                </pt>
                <pt idx="25">
                  <formatCode>General</formatCode>
                  <v>0.0060075742007916</v>
                </pt>
                <pt idx="26">
                  <formatCode>General</formatCode>
                  <v>0.0063057009842419</v>
                </pt>
                <pt idx="27">
                  <formatCode>General</formatCode>
                  <v>0.0066037373305237</v>
                </pt>
                <pt idx="28">
                  <formatCode>General</formatCode>
                  <v>0.0069016833074517</v>
                </pt>
                <pt idx="29">
                  <formatCode>General</formatCode>
                  <v>0.0071995389773011</v>
                </pt>
                <pt idx="30">
                  <formatCode>General</formatCode>
                  <v>0.0074973044074707</v>
                </pt>
                <pt idx="31">
                  <formatCode>General</formatCode>
                  <v>0.0077949796580844</v>
                </pt>
                <pt idx="32">
                  <formatCode>General</formatCode>
                  <v>0.008092564778223999</v>
                </pt>
                <pt idx="33">
                  <formatCode>General</formatCode>
                  <v>0.0083900598159564</v>
                </pt>
                <pt idx="34">
                  <formatCode>General</formatCode>
                  <v>0.0086874648305024</v>
                </pt>
                <pt idx="35">
                  <formatCode>General</formatCode>
                  <v>0.0089847798839341</v>
                </pt>
                <pt idx="36">
                  <formatCode>General</formatCode>
                  <v>0.009282005037562199</v>
                </pt>
                <pt idx="37">
                  <formatCode>General</formatCode>
                  <v>0.0095791403549873</v>
                </pt>
                <pt idx="38">
                  <formatCode>General</formatCode>
                  <v>0.009876185896886699</v>
                </pt>
                <pt idx="39">
                  <formatCode>General</formatCode>
                  <v>0.010173141723249</v>
                </pt>
                <pt idx="40">
                  <formatCode>General</formatCode>
                  <v>0.010470007890383</v>
                </pt>
                <pt idx="41">
                  <formatCode>General</formatCode>
                  <v>0.010766784454744</v>
                </pt>
                <pt idx="42">
                  <formatCode>General</formatCode>
                  <v>0.0110634714759</v>
                </pt>
                <pt idx="43">
                  <formatCode>General</formatCode>
                  <v>0.011360069015032</v>
                </pt>
                <pt idx="44">
                  <formatCode>General</formatCode>
                  <v>0.011656577137797</v>
                </pt>
                <pt idx="45">
                  <formatCode>General</formatCode>
                  <v>0.011952995907239</v>
                </pt>
                <pt idx="46">
                  <formatCode>General</formatCode>
                  <v>0.012249325384694</v>
                </pt>
                <pt idx="47">
                  <formatCode>General</formatCode>
                  <v>0.012545565627263</v>
                </pt>
                <pt idx="48">
                  <formatCode>General</formatCode>
                  <v>0.012841716690694</v>
                </pt>
                <pt idx="49">
                  <formatCode>General</formatCode>
                  <v>0.013137778631226</v>
                </pt>
                <pt idx="50">
                  <formatCode>General</formatCode>
                  <v>0.013433751508305</v>
                </pt>
                <pt idx="51">
                  <formatCode>General</formatCode>
                  <v>0.013729635377944</v>
                </pt>
                <pt idx="52">
                  <formatCode>General</formatCode>
                  <v>0.014025430297961</v>
                </pt>
                <pt idx="53">
                  <formatCode>General</formatCode>
                  <v>0.014321136319088</v>
                </pt>
                <pt idx="54">
                  <formatCode>General</formatCode>
                  <v>0.01461675348779</v>
                </pt>
                <pt idx="55">
                  <formatCode>General</formatCode>
                  <v>0.014912281851746</v>
                </pt>
                <pt idx="56">
                  <formatCode>General</formatCode>
                  <v>0.015207721458602</v>
                </pt>
                <pt idx="57">
                  <formatCode>General</formatCode>
                  <v>0.015503072356527</v>
                </pt>
                <pt idx="58">
                  <formatCode>General</formatCode>
                  <v>0.015798334598211</v>
                </pt>
                <pt idx="59">
                  <formatCode>General</formatCode>
                  <v>0.016093508235647</v>
                </pt>
                <pt idx="60">
                  <formatCode>General</formatCode>
                  <v>0.016388593325664</v>
                </pt>
                <pt idx="61">
                  <formatCode>General</formatCode>
                  <v>0.016683589924775</v>
                </pt>
                <pt idx="62">
                  <formatCode>General</formatCode>
                  <v>0.01697849809167</v>
                </pt>
                <pt idx="63">
                  <formatCode>General</formatCode>
                  <v>0.017273317883591</v>
                </pt>
                <pt idx="64">
                  <formatCode>General</formatCode>
                  <v>0.017568049361691</v>
                </pt>
                <pt idx="65">
                  <formatCode>General</formatCode>
                  <v>0.017862692585119</v>
                </pt>
                <pt idx="66">
                  <formatCode>General</formatCode>
                  <v>0.018157247616023</v>
                </pt>
                <pt idx="67">
                  <formatCode>General</formatCode>
                  <v>0.018451714515138</v>
                </pt>
                <pt idx="68">
                  <formatCode>General</formatCode>
                  <v>0.018746093341663</v>
                </pt>
                <pt idx="69">
                  <formatCode>General</formatCode>
                  <v>0.019040384153798</v>
                </pt>
                <pt idx="70">
                  <formatCode>General</formatCode>
                  <v>0.01933458700775</v>
                </pt>
                <pt idx="71">
                  <formatCode>General</formatCode>
                  <v>0.019628701956861</v>
                </pt>
                <pt idx="72">
                  <formatCode>General</formatCode>
                  <v>0.019922729053225</v>
                </pt>
                <pt idx="73">
                  <formatCode>General</formatCode>
                  <v>0.020216668350986</v>
                </pt>
                <pt idx="74">
                  <formatCode>General</formatCode>
                  <v>0.020510519903476</v>
                </pt>
                <pt idx="75">
                  <formatCode>General</formatCode>
                  <v>0.020804283763683</v>
                </pt>
                <pt idx="76">
                  <formatCode>General</formatCode>
                  <v>0.021097959987786</v>
                </pt>
                <pt idx="77">
                  <formatCode>General</formatCode>
                  <v>0.021391548628262</v>
                </pt>
                <pt idx="78">
                  <formatCode>General</formatCode>
                  <v>0.021685049739002</v>
                </pt>
                <pt idx="79">
                  <formatCode>General</formatCode>
                  <v>0.021978463374312</v>
                </pt>
                <pt idx="80">
                  <formatCode>General</formatCode>
                  <v>0.022271789587206</v>
                </pt>
                <pt idx="81">
                  <formatCode>General</formatCode>
                  <v>0.022565028430783</v>
                </pt>
                <pt idx="82">
                  <formatCode>General</formatCode>
                  <v>0.022858179957053</v>
                </pt>
                <pt idx="83">
                  <formatCode>General</formatCode>
                  <v>0.023151244220064</v>
                </pt>
                <pt idx="84">
                  <formatCode>General</formatCode>
                  <v>0.02344422127238</v>
                </pt>
                <pt idx="85">
                  <formatCode>General</formatCode>
                  <v>0.023737111164217</v>
                </pt>
                <pt idx="86">
                  <formatCode>General</formatCode>
                  <v>0.024029913949162</v>
                </pt>
                <pt idx="87">
                  <formatCode>General</formatCode>
                  <v>0.024322629680706</v>
                </pt>
                <pt idx="88">
                  <formatCode>General</formatCode>
                  <v>0.024615258412885</v>
                </pt>
                <pt idx="89">
                  <formatCode>General</formatCode>
                  <v>0.024907800200022</v>
                </pt>
                <pt idx="90">
                  <formatCode>General</formatCode>
                  <v>0.025200255092101</v>
                </pt>
                <pt idx="91">
                  <formatCode>General</formatCode>
                  <v>0.02549262314435</v>
                </pt>
                <pt idx="92">
                  <formatCode>General</formatCode>
                  <v>0.025784904407589</v>
                </pt>
                <pt idx="93">
                  <formatCode>General</formatCode>
                  <v>0.026077098933696</v>
                </pt>
                <pt idx="94">
                  <formatCode>General</formatCode>
                  <v>0.026369206773984</v>
                </pt>
                <pt idx="95">
                  <formatCode>General</formatCode>
                  <v>0.026661227983094</v>
                </pt>
                <pt idx="96">
                  <formatCode>General</formatCode>
                  <v>0.026953162613675</v>
                </pt>
                <pt idx="97">
                  <formatCode>General</formatCode>
                  <v>0.027245010718429</v>
                </pt>
                <pt idx="98">
                  <formatCode>General</formatCode>
                  <v>0.027536772349384</v>
                </pt>
                <pt idx="99">
                  <formatCode>General</formatCode>
                  <v>0.027828447560878</v>
                </pt>
                <pt idx="100">
                  <formatCode>General</formatCode>
                  <v>0.02812003640439</v>
                </pt>
                <pt idx="101">
                  <formatCode>General</formatCode>
                  <v>0.028411538930814</v>
                </pt>
                <pt idx="102">
                  <formatCode>General</formatCode>
                  <v>0.028702955191487</v>
                </pt>
                <pt idx="103">
                  <formatCode>General</formatCode>
                  <v>0.028994285239036</v>
                </pt>
                <pt idx="104">
                  <formatCode>General</formatCode>
                  <v>0.02928552912514</v>
                </pt>
                <pt idx="105">
                  <formatCode>General</formatCode>
                  <v>0.029576686904508</v>
                </pt>
                <pt idx="106">
                  <formatCode>General</formatCode>
                  <v>0.029867758622969</v>
                </pt>
                <pt idx="107">
                  <formatCode>General</formatCode>
                  <v>0.03015874433292</v>
                </pt>
                <pt idx="108">
                  <formatCode>General</formatCode>
                  <v>0.030449644083384</v>
                </pt>
                <pt idx="109">
                  <formatCode>General</formatCode>
                  <v>0.030740457925219</v>
                </pt>
                <pt idx="110">
                  <formatCode>General</formatCode>
                  <v>0.031031185908367</v>
                </pt>
                <pt idx="111">
                  <formatCode>General</formatCode>
                  <v>0.031321828083272</v>
                </pt>
                <pt idx="112">
                  <formatCode>General</formatCode>
                  <v>0.031612384502392</v>
                </pt>
                <pt idx="113">
                  <formatCode>General</formatCode>
                  <v>0.031902855214993</v>
                </pt>
                <pt idx="114">
                  <formatCode>General</formatCode>
                  <v>0.032193240274274</v>
                </pt>
                <pt idx="115">
                  <formatCode>General</formatCode>
                  <v>0.032483539727095</v>
                </pt>
                <pt idx="116">
                  <formatCode>General</formatCode>
                  <v>0.032773753626705</v>
                </pt>
                <pt idx="117">
                  <formatCode>General</formatCode>
                  <v>0.033063882022864</v>
                </pt>
                <pt idx="118">
                  <formatCode>General</formatCode>
                  <v>0.033353924965023</v>
                </pt>
                <pt idx="119">
                  <formatCode>General</formatCode>
                  <v>0.033643882506977</v>
                </pt>
                <pt idx="120">
                  <formatCode>General</formatCode>
                  <v>0.033933754701517</v>
                </pt>
                <pt idx="121">
                  <formatCode>General</formatCode>
                  <v>0.034223541600264</v>
                </pt>
                <pt idx="122">
                  <formatCode>General</formatCode>
                  <v>0.034513243253719</v>
                </pt>
                <pt idx="123">
                  <formatCode>General</formatCode>
                  <v>0.034802859714522</v>
                </pt>
                <pt idx="124">
                  <formatCode>General</formatCode>
                  <v>0.035092391033521</v>
                </pt>
                <pt idx="125">
                  <formatCode>General</formatCode>
                  <v>0.035381837263674</v>
                </pt>
                <pt idx="126">
                  <formatCode>General</formatCode>
                  <v>0.035671198455176</v>
                </pt>
                <pt idx="127">
                  <formatCode>General</formatCode>
                  <v>0.035960474658987</v>
                </pt>
                <pt idx="128">
                  <formatCode>General</formatCode>
                  <v>0.036249665926345</v>
                </pt>
                <pt idx="129">
                  <formatCode>General</formatCode>
                  <v>0.036538772308285</v>
                </pt>
                <pt idx="130">
                  <formatCode>General</formatCode>
                  <v>0.036827793854664</v>
                </pt>
                <pt idx="131">
                  <formatCode>General</formatCode>
                  <v>0.037116730616422</v>
                </pt>
                <pt idx="132">
                  <formatCode>General</formatCode>
                  <v>0.037405582644549</v>
                </pt>
                <pt idx="133">
                  <formatCode>General</formatCode>
                  <v>0.03769434998935</v>
                </pt>
                <pt idx="134">
                  <formatCode>General</formatCode>
                  <v>0.037983032700314</v>
                </pt>
                <pt idx="135">
                  <formatCode>General</formatCode>
                  <v>0.03827163082483</v>
                </pt>
                <pt idx="136">
                  <formatCode>General</formatCode>
                  <v>0.038560144417766</v>
                </pt>
                <pt idx="137">
                  <formatCode>General</formatCode>
                  <v>0.038848573526465</v>
                </pt>
                <pt idx="138">
                  <formatCode>General</formatCode>
                  <v>0.039136918202082</v>
                </pt>
                <pt idx="139">
                  <formatCode>General</formatCode>
                  <v>0.039425178494344</v>
                </pt>
                <pt idx="140">
                  <formatCode>General</formatCode>
                  <v>0.039713354454952</v>
                </pt>
                <pt idx="141">
                  <formatCode>General</formatCode>
                  <v>0.040001446137915</v>
                </pt>
                <pt idx="142">
                  <formatCode>General</formatCode>
                  <v>0.040289453593219</v>
                </pt>
                <pt idx="143">
                  <formatCode>General</formatCode>
                  <v>0.040577376869452</v>
                </pt>
                <pt idx="144">
                  <formatCode>General</formatCode>
                  <v>0.040865216016525</v>
                </pt>
                <pt idx="145">
                  <formatCode>General</formatCode>
                  <v>0.041152971087118</v>
                </pt>
                <pt idx="146">
                  <formatCode>General</formatCode>
                  <v>0.04144064213031</v>
                </pt>
                <pt idx="147">
                  <formatCode>General</formatCode>
                  <v>0.041728229196843</v>
                </pt>
                <pt idx="148">
                  <formatCode>General</formatCode>
                  <v>0.042015732336805</v>
                </pt>
                <pt idx="149">
                  <formatCode>General</formatCode>
                  <v>0.042303151603535</v>
                </pt>
                <pt idx="150">
                  <formatCode>General</formatCode>
                  <v>0.042590487047057</v>
                </pt>
                <pt idx="151">
                  <formatCode>General</formatCode>
                  <v>0.04287773871866</v>
                </pt>
                <pt idx="152">
                  <formatCode>General</formatCode>
                  <v>0.043164906670704</v>
                </pt>
                <pt idx="153">
                  <formatCode>General</formatCode>
                  <v>0.043451990953391</v>
                </pt>
                <pt idx="154">
                  <formatCode>General</formatCode>
                  <v>0.043738991616905</v>
                </pt>
                <pt idx="155">
                  <formatCode>General</formatCode>
                  <v>0.044025908711313</v>
                </pt>
                <pt idx="156">
                  <formatCode>General</formatCode>
                  <v>0.044312742286929</v>
                </pt>
                <pt idx="157">
                  <formatCode>General</formatCode>
                  <v>0.044599492391107</v>
                </pt>
                <pt idx="158">
                  <formatCode>General</formatCode>
                  <v>0.04488615907166</v>
                </pt>
                <pt idx="159">
                  <formatCode>General</formatCode>
                  <v>0.045172742380477</v>
                </pt>
                <pt idx="160">
                  <formatCode>General</formatCode>
                  <v>0.045459242366084</v>
                </pt>
                <pt idx="161">
                  <formatCode>General</formatCode>
                  <v>0.045745659075619</v>
                </pt>
                <pt idx="162">
                  <formatCode>General</formatCode>
                  <v>0.046031992558447</v>
                </pt>
                <pt idx="163">
                  <formatCode>General</formatCode>
                  <v>0.046318242865479</v>
                </pt>
                <pt idx="164">
                  <formatCode>General</formatCode>
                  <v>0.046604410044055</v>
                </pt>
                <pt idx="165">
                  <formatCode>General</formatCode>
                  <v>0.046890494136404</v>
                </pt>
                <pt idx="166">
                  <formatCode>General</formatCode>
                  <v>0.047176495194051</v>
                </pt>
                <pt idx="167">
                  <formatCode>General</formatCode>
                  <v>0.047462413264359</v>
                </pt>
                <pt idx="168">
                  <formatCode>General</formatCode>
                  <v>0.047748248395961</v>
                </pt>
                <pt idx="169">
                  <formatCode>General</formatCode>
                  <v>0.048034000638341</v>
                </pt>
                <pt idx="170">
                  <formatCode>General</formatCode>
                  <v>0.048319670037328</v>
                </pt>
                <pt idx="171">
                  <formatCode>General</formatCode>
                  <v>0.048605256640809</v>
                </pt>
                <pt idx="172">
                  <formatCode>General</formatCode>
                  <v>0.048890760497473</v>
                </pt>
                <pt idx="173">
                  <formatCode>General</formatCode>
                  <v>0.049176181658187</v>
                </pt>
                <pt idx="174">
                  <formatCode>General</formatCode>
                  <v>0.049461520170592</v>
                </pt>
                <pt idx="175">
                  <formatCode>General</formatCode>
                  <v>0.049746776086443</v>
                </pt>
                <pt idx="176">
                  <formatCode>General</formatCode>
                  <v>0.050031949450364</v>
                </pt>
                <pt idx="177">
                  <formatCode>General</formatCode>
                  <v>0.050317040312834</v>
                </pt>
                <pt idx="178">
                  <formatCode>General</formatCode>
                  <v>0.050602048721904</v>
                </pt>
                <pt idx="179">
                  <formatCode>General</formatCode>
                  <v>0.050886974722246</v>
                </pt>
                <pt idx="180">
                  <formatCode>General</formatCode>
                  <v>0.051171818365689</v>
                </pt>
                <pt idx="181">
                  <formatCode>General</formatCode>
                  <v>0.051456579701754</v>
                </pt>
                <pt idx="182">
                  <formatCode>General</formatCode>
                  <v>0.05174125877745</v>
                </pt>
                <pt idx="183">
                  <formatCode>General</formatCode>
                  <v>0.052025855639548</v>
                </pt>
                <pt idx="184">
                  <formatCode>General</formatCode>
                  <v>0.052310370333037</v>
                </pt>
                <pt idx="185">
                  <formatCode>General</formatCode>
                  <v>0.052570234661833</v>
                </pt>
              </numCache>
            </numRef>
          </xVal>
          <yVal>
            <numRef>
              <f>'473K'!$N$2:$N$230</f>
              <numCache>
                <formatCode>General</formatCode>
                <ptCount val="229"/>
                <pt idx="0">
                  <v>0</v>
                </pt>
                <pt idx="1">
                  <v>1.0978720054351</v>
                </pt>
                <pt idx="2">
                  <v>3.9199662720455</v>
                </pt>
                <pt idx="3">
                  <v>11.175321006664</v>
                </pt>
                <pt idx="4">
                  <v>29.835621165133</v>
                </pt>
                <pt idx="5">
                  <v>75.338322101072</v>
                </pt>
                <pt idx="6">
                  <v>144.95050347474</v>
                </pt>
                <pt idx="7">
                  <v>214.81937808755</v>
                </pt>
                <pt idx="8">
                  <v>284.94413850874</v>
                </pt>
                <pt idx="9">
                  <v>355.3238178324</v>
                </pt>
                <pt idx="10">
                  <v>425.35007266516</v>
                </pt>
                <pt idx="11">
                  <v>484.60752831512</v>
                </pt>
                <pt idx="12">
                  <v>484.60752831512</v>
                </pt>
                <pt idx="13">
                  <v>518.30104229932</v>
                </pt>
                <pt idx="14">
                  <v>536.38936679534</v>
                </pt>
                <pt idx="15">
                  <v>548.0503446857</v>
                </pt>
                <pt idx="16">
                  <v>556.6417075739</v>
                </pt>
                <pt idx="17">
                  <v>563.41966007875</v>
                </pt>
                <pt idx="18">
                  <v>569.0068846659</v>
                </pt>
                <pt idx="19">
                  <v>573.74537477758</v>
                </pt>
                <pt idx="20">
                  <v>577.84832368155</v>
                </pt>
                <pt idx="21">
                  <v>581.46166422678</v>
                </pt>
                <pt idx="22">
                  <v>584.6882877294501</v>
                </pt>
                <pt idx="23">
                  <v>587.60200143318</v>
                </pt>
                <pt idx="24">
                  <v>590.2604052312601</v>
                </pt>
                <pt idx="25">
                  <v>592.70853700288</v>
                </pt>
                <pt idx="26">
                  <v>594.98221977919</v>
                </pt>
                <pt idx="27">
                  <v>597.11260359978</v>
                </pt>
                <pt idx="28">
                  <v>599.12423189627</v>
                </pt>
                <pt idx="29">
                  <v>601.03593236194</v>
                </pt>
                <pt idx="30">
                  <v>602.86230742557</v>
                </pt>
                <pt idx="31">
                  <v>604.61543821543</v>
                </pt>
                <pt idx="32">
                  <v>606.30507970573</v>
                </pt>
                <pt idx="33">
                  <v>607.9393169456901</v>
                </pt>
                <pt idx="34">
                  <v>609.52485403803</v>
                </pt>
                <pt idx="35">
                  <v>611.06750594211</v>
                </pt>
                <pt idx="36">
                  <v>612.57193700992</v>
                </pt>
                <pt idx="37">
                  <v>614.04257383552</v>
                </pt>
                <pt idx="38">
                  <v>615.4825454988299</v>
                </pt>
                <pt idx="39">
                  <v>616.8951045475</v>
                </pt>
                <pt idx="40">
                  <v>618.28274447913</v>
                </pt>
                <pt idx="41">
                  <v>619.64783859747</v>
                </pt>
                <pt idx="42">
                  <v>620.9922118614001</v>
                </pt>
                <pt idx="43">
                  <v>622.31766557037</v>
                </pt>
                <pt idx="44">
                  <v>623.62565764687</v>
                </pt>
                <pt idx="45">
                  <v>624.91751080689</v>
                </pt>
                <pt idx="46">
                  <v>626.19424546992</v>
                </pt>
                <pt idx="47">
                  <v>627.45694259201</v>
                </pt>
                <pt idx="48">
                  <v>628.70651510811</v>
                </pt>
                <pt idx="49">
                  <v>629.94368094677</v>
                </pt>
                <pt idx="50">
                  <v>631.1693136606</v>
                </pt>
                <pt idx="51">
                  <v>632.38378367404</v>
                </pt>
                <pt idx="52">
                  <v>633.58783875749</v>
                </pt>
                <pt idx="53">
                  <v>634.78201575465</v>
                </pt>
                <pt idx="54">
                  <v>635.96679696262</v>
                </pt>
                <pt idx="55">
                  <v>637.14270910364</v>
                </pt>
                <pt idx="56">
                  <v>638.310269364</v>
                </pt>
                <pt idx="57">
                  <v>639.46979095415</v>
                </pt>
                <pt idx="58">
                  <v>640.62149575568</v>
                </pt>
                <pt idx="59">
                  <v>641.76593074572</v>
                </pt>
                <pt idx="60">
                  <v>642.90324947572</v>
                </pt>
                <pt idx="61">
                  <v>644.03373002209</v>
                </pt>
                <pt idx="62">
                  <v>645.15760703707</v>
                </pt>
                <pt idx="63">
                  <v>646.27507589699</v>
                </pt>
                <pt idx="64">
                  <v>647.38651456144</v>
                </pt>
                <pt idx="65">
                  <v>648.49210300018</v>
                </pt>
                <pt idx="66">
                  <v>649.59179661727</v>
                </pt>
                <pt idx="67">
                  <v>650.68596018075</v>
                </pt>
                <pt idx="68">
                  <v>651.7747296873</v>
                </pt>
                <pt idx="69">
                  <v>652.85823589984</v>
                </pt>
                <pt idx="70">
                  <v>653.93658932218</v>
                </pt>
                <pt idx="71">
                  <v>655.00998289238</v>
                </pt>
                <pt idx="72">
                  <v>656.0785531169701</v>
                </pt>
                <pt idx="73">
                  <v>657.14246351473</v>
                </pt>
                <pt idx="74">
                  <v>658.2017697090899</v>
                </pt>
                <pt idx="75">
                  <v>659.25656157891</v>
                </pt>
                <pt idx="76">
                  <v>660.30706921022</v>
                </pt>
                <pt idx="77">
                  <v>661.35335029469</v>
                </pt>
                <pt idx="78">
                  <v>662.39556678705</v>
                </pt>
                <pt idx="79">
                  <v>663.4337759838101</v>
                </pt>
                <pt idx="80">
                  <v>664.46796698959</v>
                </pt>
                <pt idx="81">
                  <v>665.49830168069</v>
                </pt>
                <pt idx="82">
                  <v>666.52482207985</v>
                </pt>
                <pt idx="83">
                  <v>667.54767373493</v>
                </pt>
                <pt idx="84">
                  <v>668.5668970814</v>
                </pt>
                <pt idx="85">
                  <v>669.5825328314399</v>
                </pt>
                <pt idx="86">
                  <v>670.59458971068</v>
                </pt>
                <pt idx="87">
                  <v>671.60320546055</v>
                </pt>
                <pt idx="88">
                  <v>672.6084050345401</v>
                </pt>
                <pt idx="89">
                  <v>673.61032088355</v>
                </pt>
                <pt idx="90">
                  <v>674.6088854541</v>
                </pt>
                <pt idx="91">
                  <v>675.60422224502</v>
                </pt>
                <pt idx="92">
                  <v>676.59629829177</v>
                </pt>
                <pt idx="93">
                  <v>677.58532920382</v>
                </pt>
                <pt idx="94">
                  <v>678.57124088947</v>
                </pt>
                <pt idx="95">
                  <v>679.55406849095</v>
                </pt>
                <pt idx="96">
                  <v>680.5339027264801</v>
                </pt>
                <pt idx="97">
                  <v>681.51079882805</v>
                </pt>
                <pt idx="98">
                  <v>682.48464072378</v>
                </pt>
                <pt idx="99">
                  <v>683.45568286888</v>
                </pt>
                <pt idx="100">
                  <v>684.42392246104</v>
                </pt>
                <pt idx="101">
                  <v>685.38938507745</v>
                </pt>
                <pt idx="102">
                  <v>686.35201051242</v>
                </pt>
                <pt idx="103">
                  <v>687.31184916398</v>
                </pt>
                <pt idx="104">
                  <v>688.2689989734801</v>
                </pt>
                <pt idx="105">
                  <v>689.22359914301</v>
                </pt>
                <pt idx="106">
                  <v>690.1754961939801</v>
                </pt>
                <pt idx="107">
                  <v>691.12483409181</v>
                </pt>
                <pt idx="108">
                  <v>692.07165188657</v>
                </pt>
                <pt idx="109">
                  <v>693.01584445778</v>
                </pt>
                <pt idx="110">
                  <v>693.9575508571399</v>
                </pt>
                <pt idx="111">
                  <v>694.89676994622</v>
                </pt>
                <pt idx="112">
                  <v>695.8335827791</v>
                </pt>
                <pt idx="113">
                  <v>696.76790696482</v>
                </pt>
                <pt idx="114">
                  <v>697.69987285273</v>
                </pt>
                <pt idx="115">
                  <v>698.62947788065</v>
                </pt>
                <pt idx="116">
                  <v>699.55667255606</v>
                </pt>
                <pt idx="117">
                  <v>700.48159112436</v>
                </pt>
                <pt idx="118">
                  <v>701.40415168456</v>
                </pt>
                <pt idx="119">
                  <v>702.32433855771</v>
                </pt>
                <pt idx="120">
                  <v>703.24236042366</v>
                </pt>
                <pt idx="121">
                  <v>704.15812353336</v>
                </pt>
                <pt idx="122">
                  <v>705.07158780278</v>
                </pt>
                <pt idx="123">
                  <v>705.98288994424</v>
                </pt>
                <pt idx="124">
                  <v>706.89199461199</v>
                </pt>
                <pt idx="125">
                  <v>707.79885797108</v>
                </pt>
                <pt idx="126">
                  <v>708.70358267377</v>
                </pt>
                <pt idx="127">
                  <v>709.60611274084</v>
                </pt>
                <pt idx="128">
                  <v>710.5065843797601</v>
                </pt>
                <pt idx="129">
                  <v>711.40490135979</v>
                </pt>
                <pt idx="130">
                  <v>712.30121769069</v>
                </pt>
                <pt idx="131">
                  <v>713.19546247127</v>
                </pt>
                <pt idx="132">
                  <v>714.08762504523</v>
                </pt>
                <pt idx="133">
                  <v>714.97785032413</v>
                </pt>
                <pt idx="134">
                  <v>715.86604317337</v>
                </pt>
                <pt idx="135">
                  <v>716.75220643809</v>
                </pt>
                <pt idx="136">
                  <v>717.63635736761</v>
                </pt>
                <pt idx="137">
                  <v>718.51852061768</v>
                </pt>
                <pt idx="138">
                  <v>719.39874164332</v>
                </pt>
                <pt idx="139">
                  <v>720.27702291974</v>
                </pt>
                <pt idx="140">
                  <v>721.15338047429</v>
                </pt>
                <pt idx="141">
                  <v>722.02772625646</v>
                </pt>
                <pt idx="142">
                  <v>722.90030582667</v>
                </pt>
                <pt idx="143">
                  <v>723.77095960151</v>
                </pt>
                <pt idx="144">
                  <v>724.63971848292</v>
                </pt>
                <pt idx="145">
                  <v>725.50661725767</v>
                </pt>
                <pt idx="146">
                  <v>726.37158075363</v>
                </pt>
                <pt idx="147">
                  <v>727.2347506373</v>
                </pt>
                <pt idx="148">
                  <v>728.09607620317</v>
                </pt>
                <pt idx="149">
                  <v>728.9555517510601</v>
                </pt>
                <pt idx="150">
                  <v>729.81318993892</v>
                </pt>
                <pt idx="151">
                  <v>730.66907153898</v>
                </pt>
                <pt idx="152">
                  <v>731.5232529206399</v>
                </pt>
                <pt idx="153">
                  <v>732.37561513192</v>
                </pt>
                <pt idx="154">
                  <v>733.22616555972</v>
                </pt>
                <pt idx="155">
                  <v>734.07500458504</v>
                </pt>
                <pt idx="156">
                  <v>734.9221772411</v>
                </pt>
                <pt idx="157">
                  <v>735.76759336707</v>
                </pt>
                <pt idx="158">
                  <v>736.61122768946</v>
                </pt>
                <pt idx="159">
                  <v>737.45319617013</v>
                </pt>
                <pt idx="160">
                  <v>738.2934639200799</v>
                </pt>
                <pt idx="161">
                  <v>739.1320589254</v>
                </pt>
                <pt idx="162">
                  <v>739.96893734067</v>
                </pt>
                <pt idx="163">
                  <v>740.80422160386</v>
                </pt>
                <pt idx="164">
                  <v>741.6378487631</v>
                </pt>
                <pt idx="165">
                  <v>742.4698454263601</v>
                </pt>
                <pt idx="166">
                  <v>743.3002340604399</v>
                </pt>
                <pt idx="167">
                  <v>744.12893384147</v>
                </pt>
                <pt idx="168">
                  <v>744.95607488144</v>
                </pt>
                <pt idx="169">
                  <v>745.7815854983201</v>
                </pt>
                <pt idx="170">
                  <v>746.60562270524</v>
                </pt>
                <pt idx="171">
                  <v>747.42803156848</v>
                </pt>
                <pt idx="172">
                  <v>748.24882536776</v>
                </pt>
                <pt idx="173">
                  <v>749.0680520918399</v>
                </pt>
                <pt idx="174">
                  <v>749.88579702109</v>
                </pt>
                <pt idx="175">
                  <v>750.70193492594</v>
                </pt>
                <pt idx="176">
                  <v>751.51656213689</v>
                </pt>
                <pt idx="177">
                  <v>752.32962992623</v>
                </pt>
                <pt idx="178">
                  <v>753.14116917245</v>
                </pt>
                <pt idx="179">
                  <v>753.95117396283</v>
                </pt>
                <pt idx="180">
                  <v>754.7596981934799</v>
                </pt>
                <pt idx="181">
                  <v>755.56663242378</v>
                </pt>
                <pt idx="182">
                  <v>756.37206739163</v>
                </pt>
                <pt idx="183">
                  <v>757.17607448553</v>
                </pt>
                <pt idx="184">
                  <v>757.9787045852</v>
                </pt>
                <pt idx="185">
                  <v>758.77181150669</v>
                </pt>
              </numCache>
            </numRef>
          </yVal>
          <smooth val="1"/>
        </ser>
        <ser>
          <idx val="2"/>
          <order val="2"/>
          <tx>
            <strRef>
              <f>Exp!$AB$2</f>
              <strCache>
                <ptCount val="1"/>
                <pt idx="0">
                  <v>473K 2008 MatijaSevic</v>
                </pt>
              </strCache>
            </strRef>
          </tx>
          <spPr>
            <a:ln xmlns:a="http://schemas.openxmlformats.org/drawingml/2006/main" w="22225" cap="rnd">
              <a:solidFill>
                <a:schemeClr val="accent3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Exp!$AB$3:$AB$21</f>
              <numCache>
                <formatCode>General</formatCode>
                <ptCount val="19"/>
                <pt idx="0">
                  <v>0</v>
                </pt>
                <pt idx="1">
                  <v>0.0032546977205</v>
                </pt>
                <pt idx="2">
                  <v>0.00368320865159</v>
                </pt>
                <pt idx="3">
                  <v>0.00551476568802</v>
                </pt>
                <pt idx="4">
                  <v>0.0100988346774</v>
                </pt>
                <pt idx="5">
                  <v>0.017407604655</v>
                </pt>
                <pt idx="6">
                  <v>0.0242144495081</v>
                </pt>
                <pt idx="7">
                  <v>0.0345849847488</v>
                </pt>
                <pt idx="8">
                  <v>0.0461867782993</v>
                </pt>
                <pt idx="9">
                  <v>0.0572211896473</v>
                </pt>
                <pt idx="10">
                  <v>0.072041552865</v>
                </pt>
                <pt idx="11">
                  <v>0.0841021492875</v>
                </pt>
                <pt idx="12">
                  <v>0.0964368176368</v>
                </pt>
                <pt idx="13">
                  <v>0.110718137934</v>
                </pt>
                <pt idx="14">
                  <v>0.125627740894</v>
                </pt>
                <pt idx="15">
                  <v>0.13870050969</v>
                </pt>
                <pt idx="16">
                  <v>0.152412026388</v>
                </pt>
                <pt idx="17">
                  <v>0.162790392648</v>
                </pt>
                <pt idx="18">
                  <v>0.166750961803</v>
                </pt>
              </numCache>
            </numRef>
          </xVal>
          <yVal>
            <numRef>
              <f>Exp!$AC$3:$AC$21</f>
              <numCache>
                <formatCode>General</formatCode>
                <ptCount val="19"/>
                <pt idx="0">
                  <v>0</v>
                </pt>
                <pt idx="1">
                  <v>440.677129319</v>
                </pt>
                <pt idx="2">
                  <v>473.527904067</v>
                </pt>
                <pt idx="3">
                  <v>501.704276458</v>
                </pt>
                <pt idx="4">
                  <v>534.2578698459999</v>
                </pt>
                <pt idx="5">
                  <v>563.207524021</v>
                </pt>
                <pt idx="6">
                  <v>592.242901093</v>
                </pt>
                <pt idx="7">
                  <v>618.360052987</v>
                </pt>
                <pt idx="8">
                  <v>640.113751796</v>
                </pt>
                <pt idx="9">
                  <v>650.420312908</v>
                </pt>
                <pt idx="10">
                  <v>666.41878325</v>
                </pt>
                <pt idx="11">
                  <v>663.09441854</v>
                </pt>
                <pt idx="12">
                  <v>653.81554854</v>
                </pt>
                <pt idx="13">
                  <v>639.473607763</v>
                </pt>
                <pt idx="14">
                  <v>609.636791546</v>
                </pt>
                <pt idx="15">
                  <v>574.52518843</v>
                </pt>
                <pt idx="16">
                  <v>526.129078186</v>
                </pt>
                <pt idx="17">
                  <v>471.393572146</v>
                </pt>
                <pt idx="18">
                  <v>454.197233385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45167379"/>
        <axId val="892031439"/>
      </scatterChart>
      <valAx>
        <axId val="345167379"/>
        <scaling>
          <orientation val="minMax"/>
          <max val="0.06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92031439"/>
        <crosses val="autoZero"/>
        <crossBetween val="midCat"/>
      </valAx>
      <valAx>
        <axId val="89203143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5167379"/>
        <crosses val="autoZero"/>
        <crossBetween val="midCat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/>
      <scatterChart>
        <scatterStyle val="smoothMarker"/>
        <varyColors val="0"/>
        <ser>
          <idx val="0"/>
          <order val="0"/>
          <tx>
            <v>Sim_573K</v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1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'573K'!$B$2:$B$1700</f>
              <numCache>
                <formatCode>0.00E+00</formatCode>
                <ptCount val="1699"/>
                <pt idx="0">
                  <formatCode>General</formatCode>
                  <v>0</v>
                </pt>
                <pt idx="1">
                  <v>3.5708348781248e-49</v>
                </pt>
                <pt idx="2">
                  <v>1.6524970650987e-46</v>
                </pt>
                <pt idx="3">
                  <v>1.7549895300899e-42</v>
                </pt>
                <pt idx="4">
                  <v>1.3008801263422e-36</v>
                </pt>
                <pt idx="5">
                  <v>3.2500374688647e-28</v>
                </pt>
                <pt idx="6">
                  <v>4.8203803992252e-20</v>
                </pt>
                <pt idx="7">
                  <v>2.13848603333e-14</v>
                </pt>
                <pt idx="8">
                  <v>1.9008134840115e-10</v>
                </pt>
                <pt idx="9">
                  <v>3.4471550735255e-07</v>
                </pt>
                <pt idx="10">
                  <v>2.1658999741972e-05</v>
                </pt>
                <pt idx="11">
                  <formatCode>General</formatCode>
                  <v>0.00015755688243531</v>
                </pt>
                <pt idx="12">
                  <formatCode>General</formatCode>
                  <v>0.00040770625734625</v>
                </pt>
                <pt idx="13">
                  <formatCode>General</formatCode>
                  <v>0.00070378656518989</v>
                </pt>
                <pt idx="14">
                  <formatCode>General</formatCode>
                  <v>0.0010157734409232</v>
                </pt>
                <pt idx="15">
                  <formatCode>General</formatCode>
                  <v>0.001333503484268</v>
                </pt>
                <pt idx="16">
                  <formatCode>General</formatCode>
                  <v>0.0016532217586206</v>
                </pt>
                <pt idx="17">
                  <formatCode>General</formatCode>
                  <v>0.0019733556032431</v>
                </pt>
                <pt idx="18">
                  <formatCode>General</formatCode>
                  <v>0.0022933475184102</v>
                </pt>
                <pt idx="19">
                  <formatCode>General</formatCode>
                  <v>0.0026129986870773</v>
                </pt>
                <pt idx="20">
                  <formatCode>General</formatCode>
                  <v>0.0029322302474145</v>
                </pt>
                <pt idx="21">
                  <formatCode>General</formatCode>
                  <v>0.0032510234530592</v>
                </pt>
                <pt idx="22">
                  <formatCode>General</formatCode>
                  <v>0.0035693909358681</v>
                </pt>
                <pt idx="23">
                  <formatCode>General</formatCode>
                  <v>0.0038873629937142</v>
                </pt>
                <pt idx="24">
                  <formatCode>General</formatCode>
                  <v>0.0042049893532604</v>
                </pt>
                <pt idx="25">
                  <formatCode>General</formatCode>
                  <v>0.0045223147766335</v>
                </pt>
                <pt idx="26">
                  <formatCode>General</formatCode>
                  <v>0.0048393717278266</v>
                </pt>
                <pt idx="27">
                  <formatCode>General</formatCode>
                  <v>0.0051561852718169</v>
                </pt>
                <pt idx="28">
                  <formatCode>General</formatCode>
                  <v>0.0054727764774096</v>
                </pt>
                <pt idx="29">
                  <formatCode>General</formatCode>
                  <v>0.0057891643583778</v>
                </pt>
                <pt idx="30">
                  <formatCode>General</formatCode>
                  <v>0.0061053660148075</v>
                </pt>
                <pt idx="31">
                  <formatCode>General</formatCode>
                  <v>0.0064213964376422</v>
                </pt>
                <pt idx="32">
                  <formatCode>General</formatCode>
                  <v>0.0067372703512743</v>
                </pt>
                <pt idx="33">
                  <formatCode>General</formatCode>
                  <v>0.007052996626586</v>
                </pt>
                <pt idx="34">
                  <formatCode>General</formatCode>
                  <v>0.0073685848432915</v>
                </pt>
                <pt idx="35">
                  <formatCode>General</formatCode>
                  <v>0.0076840435818818</v>
                </pt>
                <pt idx="36">
                  <formatCode>General</formatCode>
                  <v>0.007999379526512</v>
                </pt>
                <pt idx="37">
                  <formatCode>General</formatCode>
                  <v>0.008314599948646599</v>
                </pt>
                <pt idx="38">
                  <formatCode>General</formatCode>
                  <v>0.0086297095684785</v>
                </pt>
                <pt idx="39">
                  <formatCode>General</formatCode>
                  <v>0.008944713934467399</v>
                </pt>
                <pt idx="40">
                  <formatCode>General</formatCode>
                  <v>0.009259616928971001</v>
                </pt>
                <pt idx="41">
                  <formatCode>General</formatCode>
                  <v>0.0095744222564863</v>
                </pt>
                <pt idx="42">
                  <formatCode>General</formatCode>
                  <v>0.0098891322791082</v>
                </pt>
                <pt idx="43">
                  <formatCode>General</formatCode>
                  <v>0.010203750035587</v>
                </pt>
                <pt idx="44">
                  <formatCode>General</formatCode>
                  <v>0.010518277301112</v>
                </pt>
                <pt idx="45">
                  <formatCode>General</formatCode>
                  <v>0.010832715052443</v>
                </pt>
                <pt idx="46">
                  <formatCode>General</formatCode>
                  <v>0.011147065861404</v>
                </pt>
                <pt idx="47">
                  <formatCode>General</formatCode>
                  <v>0.011461331717624</v>
                </pt>
                <pt idx="48">
                  <formatCode>General</formatCode>
                  <v>0.011775515735907</v>
                </pt>
                <pt idx="49">
                  <formatCode>General</formatCode>
                  <v>0.012089619691904</v>
                </pt>
                <pt idx="50">
                  <formatCode>General</formatCode>
                  <v>0.012403646369023</v>
                </pt>
                <pt idx="51">
                  <formatCode>General</formatCode>
                  <v>0.0127175988959</v>
                </pt>
                <pt idx="52">
                  <formatCode>General</formatCode>
                  <v>0.013031477671047</v>
                </pt>
                <pt idx="53">
                  <formatCode>General</formatCode>
                  <v>0.013345285286525</v>
                </pt>
                <pt idx="54">
                  <formatCode>General</formatCode>
                  <v>0.013659022976647</v>
                </pt>
                <pt idx="55">
                  <formatCode>General</formatCode>
                  <v>0.013972693104972</v>
                </pt>
                <pt idx="56">
                  <formatCode>General</formatCode>
                  <v>0.01428629731206</v>
                </pt>
                <pt idx="57">
                  <formatCode>General</formatCode>
                  <v>0.014599836792532</v>
                </pt>
                <pt idx="58">
                  <formatCode>General</formatCode>
                  <v>0.014913312147652</v>
                </pt>
                <pt idx="59">
                  <formatCode>General</formatCode>
                  <v>0.015226724945489</v>
                </pt>
                <pt idx="60">
                  <formatCode>General</formatCode>
                  <v>0.015540075857976</v>
                </pt>
                <pt idx="61">
                  <formatCode>General</formatCode>
                  <v>0.015853366436229</v>
                </pt>
                <pt idx="62">
                  <formatCode>General</formatCode>
                  <v>0.016166597636618</v>
                </pt>
                <pt idx="63">
                  <formatCode>General</formatCode>
                  <v>0.016479770268875</v>
                </pt>
                <pt idx="64">
                  <formatCode>General</formatCode>
                  <v>0.016792886583246</v>
                </pt>
                <pt idx="65">
                  <formatCode>General</formatCode>
                  <v>0.017105947579203</v>
                </pt>
                <pt idx="66">
                  <formatCode>General</formatCode>
                  <v>0.017418953851857</v>
                </pt>
                <pt idx="67">
                  <formatCode>General</formatCode>
                  <v>0.017731907437382</v>
                </pt>
                <pt idx="68">
                  <formatCode>General</formatCode>
                  <v>0.01804480943053</v>
                </pt>
                <pt idx="69">
                  <formatCode>General</formatCode>
                  <v>0.0183576618591</v>
                </pt>
                <pt idx="70">
                  <formatCode>General</formatCode>
                  <v>0.01867046509217</v>
                </pt>
                <pt idx="71">
                  <formatCode>General</formatCode>
                  <v>0.018983220181984</v>
                </pt>
                <pt idx="72">
                  <formatCode>General</formatCode>
                  <v>0.019295928544251</v>
                </pt>
                <pt idx="73">
                  <formatCode>General</formatCode>
                  <v>0.019608590624919</v>
                </pt>
                <pt idx="74">
                  <formatCode>General</formatCode>
                  <v>0.019921207422186</v>
                </pt>
                <pt idx="75">
                  <formatCode>General</formatCode>
                  <v>0.020233779433498</v>
                </pt>
                <pt idx="76">
                  <formatCode>General</formatCode>
                  <v>0.020546307225709</v>
                </pt>
                <pt idx="77">
                  <formatCode>General</formatCode>
                  <v>0.020858791237919</v>
                </pt>
                <pt idx="78">
                  <formatCode>General</formatCode>
                  <v>0.021171232443725</v>
                </pt>
                <pt idx="79">
                  <formatCode>General</formatCode>
                  <v>0.021483630742755</v>
                </pt>
                <pt idx="80">
                  <formatCode>General</formatCode>
                  <v>0.02179598690249</v>
                </pt>
                <pt idx="81">
                  <formatCode>General</formatCode>
                  <v>0.022108301470568</v>
                </pt>
                <pt idx="82">
                  <formatCode>General</formatCode>
                  <v>0.022420575281663</v>
                </pt>
                <pt idx="83">
                  <formatCode>General</formatCode>
                  <v>0.022732808580932</v>
                </pt>
                <pt idx="84">
                  <formatCode>General</formatCode>
                  <v>0.023045002101453</v>
                </pt>
                <pt idx="85">
                  <formatCode>General</formatCode>
                  <v>0.023357156290894</v>
                </pt>
                <pt idx="86">
                  <formatCode>General</formatCode>
                  <v>0.023669272255625</v>
                </pt>
                <pt idx="87">
                  <formatCode>General</formatCode>
                  <v>0.023981350335815</v>
                </pt>
                <pt idx="88">
                  <formatCode>General</formatCode>
                  <v>0.024293390888924</v>
                </pt>
                <pt idx="89">
                  <formatCode>General</formatCode>
                  <v>0.024605394476297</v>
                </pt>
                <pt idx="90">
                  <formatCode>General</formatCode>
                  <v>0.024917362550181</v>
                </pt>
                <pt idx="91">
                  <formatCode>General</formatCode>
                  <v>0.025229295704157</v>
                </pt>
                <pt idx="92">
                  <formatCode>General</formatCode>
                  <v>0.025541194114738</v>
                </pt>
                <pt idx="93">
                  <formatCode>General</formatCode>
                  <v>0.025853058743912</v>
                </pt>
                <pt idx="94">
                  <formatCode>General</formatCode>
                  <v>0.026164890340482</v>
                </pt>
                <pt idx="95">
                  <formatCode>General</formatCode>
                  <v>0.02647668955367</v>
                </pt>
                <pt idx="96">
                  <formatCode>General</formatCode>
                  <v>0.026788456697774</v>
                </pt>
                <pt idx="97">
                  <formatCode>General</formatCode>
                  <v>0.02710019192896</v>
                </pt>
                <pt idx="98">
                  <formatCode>General</formatCode>
                  <v>0.02741189600157</v>
                </pt>
                <pt idx="99">
                  <formatCode>General</formatCode>
                  <v>0.027723569380389</v>
                </pt>
                <pt idx="100">
                  <formatCode>General</formatCode>
                  <v>0.028035213222678</v>
                </pt>
                <pt idx="101">
                  <formatCode>General</formatCode>
                  <v>0.028346827230264</v>
                </pt>
                <pt idx="102">
                  <formatCode>General</formatCode>
                  <v>0.028658412275253</v>
                </pt>
                <pt idx="103">
                  <formatCode>General</formatCode>
                  <v>0.028969968497194</v>
                </pt>
                <pt idx="104">
                  <formatCode>General</formatCode>
                  <v>0.029281497013523</v>
                </pt>
                <pt idx="105">
                  <formatCode>General</formatCode>
                  <v>0.029592997388921</v>
                </pt>
                <pt idx="106">
                  <formatCode>General</formatCode>
                  <v>0.029904470475132</v>
                </pt>
                <pt idx="107">
                  <formatCode>General</formatCode>
                  <v>0.030215916464756</v>
                </pt>
                <pt idx="108">
                  <formatCode>General</formatCode>
                  <v>0.030527336210372</v>
                </pt>
                <pt idx="109">
                  <formatCode>General</formatCode>
                  <v>0.030838729518269</v>
                </pt>
                <pt idx="110">
                  <formatCode>General</formatCode>
                  <v>0.031150096651317</v>
                </pt>
                <pt idx="111">
                  <formatCode>General</formatCode>
                  <v>0.03146143841564</v>
                </pt>
                <pt idx="112">
                  <formatCode>General</formatCode>
                  <v>0.031772755171139</v>
                </pt>
                <pt idx="113">
                  <formatCode>General</formatCode>
                  <v>0.032084046739621</v>
                </pt>
                <pt idx="114">
                  <formatCode>General</formatCode>
                  <v>0.032395314013929</v>
                </pt>
                <pt idx="115">
                  <formatCode>General</formatCode>
                  <v>0.032706556905409</v>
                </pt>
                <pt idx="116">
                  <formatCode>General</formatCode>
                  <v>0.033017775874202</v>
                </pt>
                <pt idx="117">
                  <formatCode>General</formatCode>
                  <v>0.033328971510274</v>
                </pt>
                <pt idx="118">
                  <formatCode>General</formatCode>
                  <v>0.03364014369542</v>
                </pt>
                <pt idx="119">
                  <formatCode>General</formatCode>
                  <v>0.033951292867703</v>
                </pt>
                <pt idx="120">
                  <formatCode>General</formatCode>
                  <v>0.03426241885993</v>
                </pt>
                <pt idx="121">
                  <formatCode>General</formatCode>
                  <v>0.034573522677807</v>
                </pt>
                <pt idx="122">
                  <formatCode>General</formatCode>
                  <v>0.034884604519273</v>
                </pt>
                <pt idx="123">
                  <formatCode>General</formatCode>
                  <v>0.035195664192383</v>
                </pt>
                <pt idx="124">
                  <formatCode>General</formatCode>
                  <v>0.035506701912554</v>
                </pt>
                <pt idx="125">
                  <formatCode>General</formatCode>
                  <v>0.035817718141744</v>
                </pt>
                <pt idx="126">
                  <formatCode>General</formatCode>
                  <v>0.036128713084292</v>
                </pt>
                <pt idx="127">
                  <formatCode>General</formatCode>
                  <v>0.036439686899385</v>
                </pt>
                <pt idx="128">
                  <formatCode>General</formatCode>
                  <v>0.03675064017304</v>
                </pt>
                <pt idx="129">
                  <formatCode>General</formatCode>
                  <v>0.037061573048334</v>
                </pt>
                <pt idx="130">
                  <formatCode>General</formatCode>
                  <v>0.037372486469662</v>
                </pt>
                <pt idx="131">
                  <formatCode>General</formatCode>
                  <v>0.037683379844018</v>
                </pt>
                <pt idx="132">
                  <formatCode>General</formatCode>
                  <v>0.037994254267718</v>
                </pt>
                <pt idx="133">
                  <formatCode>General</formatCode>
                  <v>0.038305110166391</v>
                </pt>
                <pt idx="134">
                  <formatCode>General</formatCode>
                  <v>0.038615947050268</v>
                </pt>
                <pt idx="135">
                  <formatCode>General</formatCode>
                  <v>0.038926765980775</v>
                </pt>
                <pt idx="136">
                  <formatCode>General</formatCode>
                  <v>0.039237567402537</v>
                </pt>
                <pt idx="137">
                  <formatCode>General</formatCode>
                  <v>0.039548351707631</v>
                </pt>
                <pt idx="138">
                  <formatCode>General</formatCode>
                  <v>0.039859118953199</v>
                </pt>
                <pt idx="139">
                  <formatCode>General</formatCode>
                  <v>0.04016986995299</v>
                </pt>
                <pt idx="140">
                  <formatCode>General</formatCode>
                  <v>0.04048060408889</v>
                </pt>
                <pt idx="141">
                  <formatCode>General</formatCode>
                  <v>0.040791323087864</v>
                </pt>
                <pt idx="142">
                  <formatCode>General</formatCode>
                  <v>0.04110202666695</v>
                </pt>
                <pt idx="143">
                  <formatCode>General</formatCode>
                  <v>0.041412715697049</v>
                </pt>
                <pt idx="144">
                  <formatCode>General</formatCode>
                  <v>0.041723389666547</v>
                </pt>
                <pt idx="145">
                  <formatCode>General</formatCode>
                  <v>0.042034049168331</v>
                </pt>
                <pt idx="146">
                  <formatCode>General</formatCode>
                  <v>0.042344694995427</v>
                </pt>
                <pt idx="147">
                  <formatCode>General</formatCode>
                  <v>0.042655326914439</v>
                </pt>
                <pt idx="148">
                  <formatCode>General</formatCode>
                  <v>0.04296594523013</v>
                </pt>
                <pt idx="149">
                  <formatCode>General</formatCode>
                  <v>0.043276550461955</v>
                </pt>
                <pt idx="150">
                  <formatCode>General</formatCode>
                  <v>0.043587143200146</v>
                </pt>
                <pt idx="151">
                  <formatCode>General</formatCode>
                  <v>0.043897723092352</v>
                </pt>
                <pt idx="152">
                  <formatCode>General</formatCode>
                  <v>0.044208290733293</v>
                </pt>
                <pt idx="153">
                  <formatCode>General</formatCode>
                  <v>0.044518845860634</v>
                </pt>
                <pt idx="154">
                  <formatCode>General</formatCode>
                  <v>0.044829388883216</v>
                </pt>
                <pt idx="155">
                  <formatCode>General</formatCode>
                  <v>0.045139920784554</v>
                </pt>
                <pt idx="156">
                  <formatCode>General</formatCode>
                  <v>0.045450441004314</v>
                </pt>
                <pt idx="157">
                  <formatCode>General</formatCode>
                  <v>0.045760949968405</v>
                </pt>
                <pt idx="158">
                  <formatCode>General</formatCode>
                  <v>0.046071447984932</v>
                </pt>
                <pt idx="159">
                  <formatCode>General</formatCode>
                  <v>0.046381935207475</v>
                </pt>
                <pt idx="160">
                  <formatCode>General</formatCode>
                  <v>0.046692411968245</v>
                </pt>
                <pt idx="161">
                  <formatCode>General</formatCode>
                  <v>0.047002878659655</v>
                </pt>
                <pt idx="162">
                  <formatCode>General</formatCode>
                  <v>0.047313334980182</v>
                </pt>
                <pt idx="163">
                  <formatCode>General</formatCode>
                  <v>0.047623781608861</v>
                </pt>
                <pt idx="164">
                  <formatCode>General</formatCode>
                  <v>0.047934218572518</v>
                </pt>
                <pt idx="165">
                  <formatCode>General</formatCode>
                  <v>0.048244646198983</v>
                </pt>
                <pt idx="166">
                  <formatCode>General</formatCode>
                  <v>0.048555064587873</v>
                </pt>
                <pt idx="167">
                  <formatCode>General</formatCode>
                  <v>0.048865474065927</v>
                </pt>
                <pt idx="168">
                  <formatCode>General</formatCode>
                  <v>0.049175874809441</v>
                </pt>
                <pt idx="169">
                  <formatCode>General</formatCode>
                  <v>0.04948626740613</v>
                </pt>
                <pt idx="170">
                  <formatCode>General</formatCode>
                  <v>0.049796650942899</v>
                </pt>
                <pt idx="171">
                  <formatCode>General</formatCode>
                  <v>0.050107026575578</v>
                </pt>
                <pt idx="172">
                  <formatCode>General</formatCode>
                  <v>0.050417394181723</v>
                </pt>
                <pt idx="173">
                  <formatCode>General</formatCode>
                  <v>0.05072775449285</v>
                </pt>
                <pt idx="174">
                  <formatCode>General</formatCode>
                  <v>0.051038107284237</v>
                </pt>
                <pt idx="175">
                  <formatCode>General</formatCode>
                  <v>0.051348452280384</v>
                </pt>
                <pt idx="176">
                  <formatCode>General</formatCode>
                  <v>0.051658790295611</v>
                </pt>
                <pt idx="177">
                  <formatCode>General</formatCode>
                  <v>0.051969122087786</v>
                </pt>
                <pt idx="178">
                  <formatCode>General</formatCode>
                  <v>0.052279446745566</v>
                </pt>
                <pt idx="179">
                  <formatCode>General</formatCode>
                  <v>0.052589765244147</v>
                </pt>
                <pt idx="180">
                  <formatCode>General</formatCode>
                  <v>0.05290007704269</v>
                </pt>
                <pt idx="181">
                  <formatCode>General</formatCode>
                  <v>0.053210383500725</v>
                </pt>
                <pt idx="182">
                  <formatCode>General</formatCode>
                  <v>0.053520684124615</v>
                </pt>
                <pt idx="183">
                  <formatCode>General</formatCode>
                  <v>0.053830979041261</v>
                </pt>
                <pt idx="184">
                  <formatCode>General</formatCode>
                  <v>0.054114132114612</v>
                </pt>
              </numCache>
            </numRef>
          </xVal>
          <yVal>
            <numRef>
              <f>'573K'!$N$2:$N$1500</f>
              <numCache>
                <formatCode>General</formatCode>
                <ptCount val="1499"/>
                <pt idx="0">
                  <v>0</v>
                </pt>
                <pt idx="1">
                  <v>1.0613972689945</v>
                </pt>
                <pt idx="2">
                  <v>3.7897345684177</v>
                </pt>
                <pt idx="3">
                  <v>10.804060439299</v>
                </pt>
                <pt idx="4">
                  <v>28.844528915294</v>
                </pt>
                <pt idx="5">
                  <v>72.836268612711</v>
                </pt>
                <pt idx="6">
                  <v>140.13827914686</v>
                </pt>
                <pt idx="7">
                  <v>207.69010769752</v>
                </pt>
                <pt idx="8">
                  <v>275.49096444571</v>
                </pt>
                <pt idx="9">
                  <v>343.46611320358</v>
                </pt>
                <pt idx="10">
                  <v>407.43744700425</v>
                </pt>
                <pt idx="11">
                  <v>449.77299643474</v>
                </pt>
                <pt idx="12">
                  <v>471.08467068633</v>
                </pt>
                <pt idx="13">
                  <v>483.45970692417</v>
                </pt>
                <pt idx="14">
                  <v>491.99219409828</v>
                </pt>
                <pt idx="15">
                  <v>498.45634380199</v>
                </pt>
                <pt idx="16">
                  <v>503.61760209053</v>
                </pt>
                <pt idx="17">
                  <v>507.88957626931</v>
                </pt>
                <pt idx="18">
                  <v>511.52235049627</v>
                </pt>
                <pt idx="19">
                  <v>514.67800392335</v>
                </pt>
                <pt idx="20">
                  <v>517.46481176983</v>
                </pt>
                <pt idx="21">
                  <v>519.9601039545</v>
                </pt>
                <pt idx="22">
                  <v>522.22256618089</v>
                </pt>
                <pt idx="23">
                  <v>524.2980548476399</v>
                </pt>
                <pt idx="24">
                  <v>526.22288427781</v>
                </pt>
                <pt idx="25">
                  <v>528.02507695445</v>
                </pt>
                <pt idx="26">
                  <v>529.72556009935</v>
                </pt>
                <pt idx="27">
                  <v>531.34068416129</v>
                </pt>
                <pt idx="28">
                  <v>532.88356098107</v>
                </pt>
                <pt idx="29">
                  <v>534.36472835779</v>
                </pt>
                <pt idx="30">
                  <v>535.7929028859299</v>
                </pt>
                <pt idx="31">
                  <v>537.1752643436899</v>
                </pt>
                <pt idx="32">
                  <v>538.51722184145</v>
                </pt>
                <pt idx="33">
                  <v>539.8238972383</v>
                </pt>
                <pt idx="34">
                  <v>541.09926500344</v>
                </pt>
                <pt idx="35">
                  <v>542.34664409509</v>
                </pt>
                <pt idx="36">
                  <v>543.56894991529</v>
                </pt>
                <pt idx="37">
                  <v>544.76851844003</v>
                </pt>
                <pt idx="38">
                  <v>545.94774821343</v>
                </pt>
                <pt idx="39">
                  <v>547.10832854955</v>
                </pt>
                <pt idx="40">
                  <v>548.25190590187</v>
                </pt>
                <pt idx="41">
                  <v>549.37975254126</v>
                </pt>
                <pt idx="42">
                  <v>550.49323234451</v>
                </pt>
                <pt idx="43">
                  <v>551.5932880805</v>
                </pt>
                <pt idx="44">
                  <v>552.68076171234</v>
                </pt>
                <pt idx="45">
                  <v>553.75663118573</v>
                </pt>
                <pt idx="46">
                  <v>554.8214529934399</v>
                </pt>
                <pt idx="47">
                  <v>555.8759882094801</v>
                </pt>
                <pt idx="48">
                  <v>556.92075856061</v>
                </pt>
                <pt idx="49">
                  <v>557.9564842424001</v>
                </pt>
                <pt idx="50">
                  <v>558.98362272806</v>
                </pt>
                <pt idx="51">
                  <v>560.00243310045</v>
                </pt>
                <pt idx="52">
                  <v>561.01360789774</v>
                </pt>
                <pt idx="53">
                  <v>562.01738601012</v>
                </pt>
                <pt idx="54">
                  <v>563.0141162536</v>
                </pt>
                <pt idx="55">
                  <v>564.00402910307</v>
                </pt>
                <pt idx="56">
                  <v>564.98739612959</v>
                </pt>
                <pt idx="57">
                  <v>565.9644738524401</v>
                </pt>
                <pt idx="58">
                  <v>566.93561914483</v>
                </pt>
                <pt idx="59">
                  <v>567.90096965956</v>
                </pt>
                <pt idx="60">
                  <v>568.86082541587</v>
                </pt>
                <pt idx="61">
                  <v>569.8152137474</v>
                </pt>
                <pt idx="62">
                  <v>570.76439400605</v>
                </pt>
                <pt idx="63">
                  <v>571.70863660883</v>
                </pt>
                <pt idx="64">
                  <v>572.64790660433</v>
                </pt>
                <pt idx="65">
                  <v>573.58239501056</v>
                </pt>
                <pt idx="66">
                  <v>574.51242875679</v>
                </pt>
                <pt idx="67">
                  <v>575.43801425251</v>
                </pt>
                <pt idx="68">
                  <v>576.35934770049</v>
                </pt>
                <pt idx="69">
                  <v>577.27642044988</v>
                </pt>
                <pt idx="70">
                  <v>578.18949854364</v>
                </pt>
                <pt idx="71">
                  <v>579.09870404098</v>
                </pt>
                <pt idx="72">
                  <v>580.00399848055</v>
                </pt>
                <pt idx="73">
                  <v>580.90558055708</v>
                </pt>
                <pt idx="74">
                  <v>581.80348644912</v>
                </pt>
                <pt idx="75">
                  <v>582.69778483638</v>
                </pt>
                <pt idx="76">
                  <v>583.58857595027</v>
                </pt>
                <pt idx="77">
                  <v>584.47593338559</v>
                </pt>
                <pt idx="78">
                  <v>585.35986807657</v>
                </pt>
                <pt idx="79">
                  <v>586.24054925461</v>
                </pt>
                <pt idx="80">
                  <v>587.11796471338</v>
                </pt>
                <pt idx="81">
                  <v>587.99219120544</v>
                </pt>
                <pt idx="82">
                  <v>588.86321779203</v>
                </pt>
                <pt idx="83">
                  <v>589.73119698606</v>
                </pt>
                <pt idx="84">
                  <v>590.5961531731</v>
                </pt>
                <pt idx="85">
                  <v>591.45815991451</v>
                </pt>
                <pt idx="86">
                  <v>592.31718238342</v>
                </pt>
                <pt idx="87">
                  <v>593.17332842423</v>
                </pt>
                <pt idx="88">
                  <v>594.02669534218</v>
                </pt>
                <pt idx="89">
                  <v>594.8773555458999</v>
                </pt>
                <pt idx="90">
                  <v>595.72522752948</v>
                </pt>
                <pt idx="91">
                  <v>596.5703802450701</v>
                </pt>
                <pt idx="92">
                  <v>597.41292116506</v>
                </pt>
                <pt idx="93">
                  <v>598.25289626395</v>
                </pt>
                <pt idx="94">
                  <v>599.09026668406</v>
                </pt>
                <pt idx="95">
                  <v>599.92507271303</v>
                </pt>
                <pt idx="96">
                  <v>600.75740315681</v>
                </pt>
                <pt idx="97">
                  <v>601.5873816913401</v>
                </pt>
                <pt idx="98">
                  <v>602.4149462255</v>
                </pt>
                <pt idx="99">
                  <v>603.2401246932</v>
                </pt>
                <pt idx="100">
                  <v>604.06284825554</v>
                </pt>
                <pt idx="101">
                  <v>604.88329666767</v>
                </pt>
                <pt idx="102">
                  <v>605.70141694853</v>
                </pt>
                <pt idx="103">
                  <v>606.5173174684199</v>
                </pt>
                <pt idx="104">
                  <v>607.33089325618</v>
                </pt>
                <pt idx="105">
                  <v>608.14232555052</v>
                </pt>
                <pt idx="106">
                  <v>608.9515282034999</v>
                </pt>
                <pt idx="107">
                  <v>609.75860704687</v>
                </pt>
                <pt idx="108">
                  <v>610.5634793281901</v>
                </pt>
                <pt idx="109">
                  <v>611.36625139483</v>
                </pt>
                <pt idx="110">
                  <v>612.16699754482</v>
                </pt>
                <pt idx="111">
                  <v>612.96560458738</v>
                </pt>
                <pt idx="112">
                  <v>613.76209339113</v>
                </pt>
                <pt idx="113">
                  <v>614.55661747135</v>
                </pt>
                <pt idx="114">
                  <v>615.34904887092</v>
                </pt>
                <pt idx="115">
                  <v>616.13950255646</v>
                </pt>
                <pt idx="116">
                  <v>616.9279970310999</v>
                </pt>
                <pt idx="117">
                  <v>617.71446940424</v>
                </pt>
                <pt idx="118">
                  <v>618.49900679769</v>
                </pt>
                <pt idx="119">
                  <v>619.28161312269</v>
                </pt>
                <pt idx="120">
                  <v>620.06241323378</v>
                </pt>
                <pt idx="121">
                  <v>620.84126488043</v>
                </pt>
                <pt idx="122">
                  <v>621.61819416434</v>
                </pt>
                <pt idx="123">
                  <v>622.39329222903</v>
                </pt>
                <pt idx="124">
                  <v>623.16659841273</v>
                </pt>
                <pt idx="125">
                  <v>623.93807370998</v>
                </pt>
                <pt idx="126">
                  <v>624.70773166164</v>
                </pt>
                <pt idx="127">
                  <v>625.4756088596801</v>
                </pt>
                <pt idx="128">
                  <v>626.24166366363</v>
                </pt>
                <pt idx="129">
                  <v>627.00595721262</v>
                </pt>
                <pt idx="130">
                  <v>627.76838431898</v>
                </pt>
                <pt idx="131">
                  <v>628.52916027945</v>
                </pt>
                <pt idx="132">
                  <v>629.28817361885</v>
                </pt>
                <pt idx="133">
                  <v>630.04542700217</v>
                </pt>
                <pt idx="134">
                  <v>630.80110306795</v>
                </pt>
                <pt idx="135">
                  <v>631.55509998276</v>
                </pt>
                <pt idx="136">
                  <v>632.30741846562</v>
                </pt>
                <pt idx="137">
                  <v>633.0580238965</v>
                </pt>
                <pt idx="138">
                  <v>633.80704649697</v>
                </pt>
                <pt idx="139">
                  <v>634.55435315247</v>
                </pt>
                <pt idx="140">
                  <v>635.30019637713</v>
                </pt>
                <pt idx="141">
                  <v>636.04430067693</v>
                </pt>
                <pt idx="142">
                  <v>636.78679130078</v>
                </pt>
                <pt idx="143">
                  <v>637.52762754733</v>
                </pt>
                <pt idx="144">
                  <v>638.26695496644</v>
                </pt>
                <pt idx="145">
                  <v>639.00476203362</v>
                </pt>
                <pt idx="146">
                  <v>639.74095623755</v>
                </pt>
                <pt idx="147">
                  <v>640.47564038487</v>
                </pt>
                <pt idx="148">
                  <v>641.20883741134</v>
                </pt>
                <pt idx="149">
                  <v>641.9405177580001</v>
                </pt>
                <pt idx="150">
                  <v>642.67060296957</v>
                </pt>
                <pt idx="151">
                  <v>643.39923065162</v>
                </pt>
                <pt idx="152">
                  <v>644.12635686076</v>
                </pt>
                <pt idx="153">
                  <v>644.85206635406</v>
                </pt>
                <pt idx="154">
                  <v>645.57632519576</v>
                </pt>
                <pt idx="155">
                  <v>646.29903766131</v>
                </pt>
                <pt idx="156">
                  <v>647.0203449186899</v>
                </pt>
                <pt idx="157">
                  <v>647.74021067629</v>
                </pt>
                <pt idx="158">
                  <v>648.45866456059</v>
                </pt>
                <pt idx="159">
                  <v>649.17570387375</v>
                </pt>
                <pt idx="160">
                  <v>649.8913198409</v>
                </pt>
                <pt idx="161">
                  <v>650.60548436994</v>
                </pt>
                <pt idx="162">
                  <v>651.31830484743</v>
                </pt>
                <pt idx="163">
                  <v>652.02972438751</v>
                </pt>
                <pt idx="164">
                  <v>652.7397643069399</v>
                </pt>
                <pt idx="165">
                  <v>653.44844313853</v>
                </pt>
                <pt idx="166">
                  <v>654.15573856101</v>
                </pt>
                <pt idx="167">
                  <v>654.86166895495</v>
                </pt>
                <pt idx="168">
                  <v>655.5662525172201</v>
                </pt>
                <pt idx="169">
                  <v>656.26938776107</v>
                </pt>
                <pt idx="170">
                  <v>656.9713073962999</v>
                </pt>
                <pt idx="171">
                  <v>657.6718754942</v>
                </pt>
                <pt idx="172">
                  <v>658.37112146932</v>
                </pt>
                <pt idx="173">
                  <v>659.06895271805</v>
                </pt>
                <pt idx="174">
                  <v>659.7654738648999</v>
                </pt>
                <pt idx="175">
                  <v>660.46082974915</v>
                </pt>
                <pt idx="176">
                  <v>661.15487141071</v>
                </pt>
                <pt idx="177">
                  <v>661.84750155111</v>
                </pt>
                <pt idx="178">
                  <v>662.53895593948</v>
                </pt>
                <pt idx="179">
                  <v>663.2290870944601</v>
                </pt>
                <pt idx="180">
                  <v>663.91805526515</v>
                </pt>
                <pt idx="181">
                  <v>664.60563078257</v>
                </pt>
                <pt idx="182">
                  <v>665.29196076911</v>
                </pt>
                <pt idx="183">
                  <v>665.97707101141</v>
                </pt>
                <pt idx="184">
                  <v>666.66540513491</v>
                </pt>
              </numCache>
            </numRef>
          </yVal>
          <smooth val="1"/>
        </ser>
        <ser>
          <idx val="1"/>
          <order val="1"/>
          <tx>
            <v>Sim_473K</v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2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'473K'!$B$2:$B$2000</f>
              <numCache>
                <formatCode>0.00E+00</formatCode>
                <ptCount val="1999"/>
                <pt idx="0">
                  <formatCode>General</formatCode>
                  <v>0</v>
                </pt>
                <pt idx="1">
                  <v>5.8824361256333e-60</v>
                </pt>
                <pt idx="2">
                  <v>2.1862444157391e-56</v>
                </pt>
                <pt idx="3">
                  <v>1.4654834132236e-51</v>
                </pt>
                <pt idx="4">
                  <v>2.3109006619295e-44</v>
                </pt>
                <pt idx="5">
                  <v>2.7838039919027e-34</v>
                </pt>
                <pt idx="6">
                  <v>1.0312996198798e-24</v>
                </pt>
                <pt idx="7">
                  <v>1.4703892073452e-17</v>
                </pt>
                <pt idx="8">
                  <v>8.9023536190548e-13</v>
                </pt>
                <pt idx="9">
                  <v>5.9654450986534e-09</v>
                </pt>
                <pt idx="10">
                  <v>2.8145481633483e-06</v>
                </pt>
                <pt idx="11">
                  <v>6.0073987667771e-05</v>
                </pt>
                <pt idx="12">
                  <v>6.0073987667771e-05</v>
                </pt>
                <pt idx="13">
                  <formatCode>General</formatCode>
                  <v>0.00025139561475089</v>
                </pt>
                <pt idx="14">
                  <formatCode>General</formatCode>
                  <v>0.00052504326649629</v>
                </pt>
                <pt idx="15">
                  <formatCode>General</formatCode>
                  <v>0.00082887361178486</v>
                </pt>
                <pt idx="16">
                  <formatCode>General</formatCode>
                  <v>0.0011434194179088</v>
                </pt>
                <pt idx="17">
                  <formatCode>General</formatCode>
                  <v>0.0014619001589505</v>
                </pt>
                <pt idx="18">
                  <formatCode>General</formatCode>
                  <v>0.0017815641384141</v>
                </pt>
                <pt idx="19">
                  <formatCode>General</formatCode>
                  <v>0.0021013084533986</v>
                </pt>
                <pt idx="20">
                  <formatCode>General</formatCode>
                  <v>0.0024207877311928</v>
                </pt>
                <pt idx="21">
                  <formatCode>General</formatCode>
                  <v>0.0027399220269087</v>
                </pt>
                <pt idx="22">
                  <formatCode>General</formatCode>
                  <v>0.0030586886593177</v>
                </pt>
                <pt idx="23">
                  <formatCode>General</formatCode>
                  <v>0.0033770710770999</v>
                </pt>
                <pt idx="24">
                  <formatCode>General</formatCode>
                  <v>0.0036950762720723</v>
                </pt>
                <pt idx="25">
                  <formatCode>General</formatCode>
                  <v>0.0040127228977038</v>
                </pt>
                <pt idx="26">
                  <formatCode>General</formatCode>
                  <v>0.0043300351292129</v>
                </pt>
                <pt idx="27">
                  <formatCode>General</formatCode>
                  <v>0.0046470512930581</v>
                </pt>
                <pt idx="28">
                  <formatCode>General</formatCode>
                  <v>0.004963812205315</v>
                </pt>
                <pt idx="29">
                  <formatCode>General</formatCode>
                  <v>0.005280345512076</v>
                </pt>
                <pt idx="30">
                  <formatCode>General</formatCode>
                  <v>0.0055966708589691</v>
                </pt>
                <pt idx="31">
                  <formatCode>General</formatCode>
                  <v>0.0059128035463792</v>
                </pt>
                <pt idx="32">
                  <formatCode>General</formatCode>
                  <v>0.0062287546314197</v>
                </pt>
                <pt idx="33">
                  <formatCode>General</formatCode>
                  <v>0.0065445343140861</v>
                </pt>
                <pt idx="34">
                  <formatCode>General</formatCode>
                  <v>0.0068601538446271</v>
                </pt>
                <pt idx="35">
                  <formatCode>General</formatCode>
                  <v>0.0071756247739514</v>
                </pt>
                <pt idx="36">
                  <formatCode>General</formatCode>
                  <v>0.0074909581725556</v>
                </pt>
                <pt idx="37">
                  <formatCode>General</formatCode>
                  <v>0.0078061603894599</v>
                </pt>
                <pt idx="38">
                  <formatCode>General</formatCode>
                  <v>0.0081212409016933</v>
                </pt>
                <pt idx="39">
                  <formatCode>General</formatCode>
                  <v>0.008436205775513199</v>
                </pt>
                <pt idx="40">
                  <formatCode>General</formatCode>
                  <v>0.0087510625425865</v>
                </pt>
                <pt idx="41">
                  <formatCode>General</formatCode>
                  <v>0.0090658160900399</v>
                </pt>
                <pt idx="42">
                  <formatCode>General</formatCode>
                  <v>0.009380471913427</v>
                </pt>
                <pt idx="43">
                  <formatCode>General</formatCode>
                  <v>0.009695034310764799</v>
                </pt>
                <pt idx="44">
                  <formatCode>General</formatCode>
                  <v>0.010009507009624</v>
                </pt>
                <pt idx="45">
                  <formatCode>General</formatCode>
                  <v>0.010323892526771</v>
                </pt>
                <pt idx="46">
                  <formatCode>General</formatCode>
                  <v>0.010638193324662</v>
                </pt>
                <pt idx="47">
                  <formatCode>General</formatCode>
                  <v>0.010952410909762</v>
                </pt>
                <pt idx="48">
                  <formatCode>General</formatCode>
                  <v>0.01126654696127</v>
                </pt>
                <pt idx="49">
                  <formatCode>General</formatCode>
                  <v>0.01158060264338</v>
                </pt>
                <pt idx="50">
                  <formatCode>General</formatCode>
                  <v>0.011894577990659</v>
                </pt>
                <pt idx="51">
                  <formatCode>General</formatCode>
                  <v>0.012208475234931</v>
                </pt>
                <pt idx="52">
                  <formatCode>General</formatCode>
                  <v>0.012522295535938</v>
                </pt>
                <pt idx="53">
                  <formatCode>General</formatCode>
                  <v>0.012836041813126</v>
                </pt>
                <pt idx="54">
                  <formatCode>General</formatCode>
                  <v>0.013149717040523</v>
                </pt>
                <pt idx="55">
                  <formatCode>General</formatCode>
                  <v>0.013463323601195</v>
                </pt>
                <pt idx="56">
                  <formatCode>General</formatCode>
                  <v>0.013776863244818</v>
                </pt>
                <pt idx="57">
                  <formatCode>General</formatCode>
                  <v>0.014090338055112</v>
                </pt>
                <pt idx="58">
                  <formatCode>General</formatCode>
                  <v>0.014403749763032</v>
                </pt>
                <pt idx="59">
                  <formatCode>General</formatCode>
                  <v>0.014717098415454</v>
                </pt>
                <pt idx="60">
                  <formatCode>General</formatCode>
                  <v>0.01503038585263</v>
                </pt>
                <pt idx="61">
                  <formatCode>General</formatCode>
                  <v>0.015343613343123</v>
                </pt>
                <pt idx="62">
                  <formatCode>General</formatCode>
                  <v>0.015656782221324</v>
                </pt>
                <pt idx="63">
                  <formatCode>General</formatCode>
                  <v>0.015969893977399</v>
                </pt>
                <pt idx="64">
                  <formatCode>General</formatCode>
                  <v>0.016282948884157</v>
                </pt>
                <pt idx="65">
                  <formatCode>General</formatCode>
                  <v>0.016595948426745</v>
                </pt>
                <pt idx="66">
                  <formatCode>General</formatCode>
                  <v>0.016908894709664</v>
                </pt>
                <pt idx="67">
                  <formatCode>General</formatCode>
                  <v>0.017221787844376</v>
                </pt>
                <pt idx="68">
                  <formatCode>General</formatCode>
                  <v>0.01753462886896</v>
                </pt>
                <pt idx="69">
                  <formatCode>General</formatCode>
                  <v>0.017847418620796</v>
                </pt>
                <pt idx="70">
                  <formatCode>General</formatCode>
                  <v>0.018160158404846</v>
                </pt>
                <pt idx="71">
                  <formatCode>General</formatCode>
                  <v>0.018472849091551</v>
                </pt>
                <pt idx="72">
                  <formatCode>General</formatCode>
                  <v>0.018785491614746</v>
                </pt>
                <pt idx="73">
                  <formatCode>General</formatCode>
                  <v>0.019098087048525</v>
                </pt>
                <pt idx="74">
                  <formatCode>General</formatCode>
                  <v>0.019410636563614</v>
                </pt>
                <pt idx="75">
                  <formatCode>General</formatCode>
                  <v>0.019723141401661</v>
                </pt>
                <pt idx="76">
                  <formatCode>General</formatCode>
                  <v>0.020035601853948</v>
                </pt>
                <pt idx="77">
                  <formatCode>General</formatCode>
                  <v>0.020348019154106</v>
                </pt>
                <pt idx="78">
                  <formatCode>General</formatCode>
                  <v>0.020660394001781</v>
                </pt>
                <pt idx="79">
                  <formatCode>General</formatCode>
                  <v>0.020972727420241</v>
                </pt>
                <pt idx="80">
                  <formatCode>General</formatCode>
                  <v>0.021285020679623</v>
                </pt>
                <pt idx="81">
                  <formatCode>General</formatCode>
                  <v>0.021597274152939</v>
                </pt>
                <pt idx="82">
                  <formatCode>General</formatCode>
                  <v>0.021909488708259</v>
                </pt>
                <pt idx="83">
                  <formatCode>General</formatCode>
                  <v>0.022221664591335</v>
                </pt>
                <pt idx="84">
                  <formatCode>General</formatCode>
                  <v>0.022533802546639</v>
                </pt>
                <pt idx="85">
                  <formatCode>General</formatCode>
                  <v>0.0228459033566</v>
                </pt>
                <pt idx="86">
                  <formatCode>General</formatCode>
                  <v>0.023157967825686</v>
                </pt>
                <pt idx="87">
                  <formatCode>General</formatCode>
                  <v>0.023469996154724</v>
                </pt>
                <pt idx="88">
                  <formatCode>General</formatCode>
                  <v>0.023781989049751</v>
                </pt>
                <pt idx="89">
                  <formatCode>General</formatCode>
                  <v>0.024093946432976</v>
                </pt>
                <pt idx="90">
                  <formatCode>General</formatCode>
                  <v>0.024405869447973</v>
                </pt>
                <pt idx="91">
                  <formatCode>General</formatCode>
                  <v>0.024717758085661</v>
                </pt>
                <pt idx="92">
                  <formatCode>General</formatCode>
                  <v>0.025029613299765</v>
                </pt>
                <pt idx="93">
                  <formatCode>General</formatCode>
                  <v>0.025341434789372</v>
                </pt>
                <pt idx="94">
                  <formatCode>General</formatCode>
                  <v>0.025653223441035</v>
                </pt>
                <pt idx="95">
                  <formatCode>General</formatCode>
                  <v>0.025964979836043</v>
                </pt>
                <pt idx="96">
                  <formatCode>General</formatCode>
                  <v>0.026276704437256</v>
                </pt>
                <pt idx="97">
                  <formatCode>General</formatCode>
                  <v>0.026588397583892</v>
                </pt>
                <pt idx="98">
                  <formatCode>General</formatCode>
                  <v>0.026900060476179</v>
                </pt>
                <pt idx="99">
                  <formatCode>General</formatCode>
                  <v>0.027211692460539</v>
                </pt>
                <pt idx="100">
                  <formatCode>General</formatCode>
                  <v>0.027523294320907</v>
                </pt>
                <pt idx="101">
                  <formatCode>General</formatCode>
                  <v>0.027834866732758</v>
                </pt>
                <pt idx="102">
                  <formatCode>General</formatCode>
                  <v>0.028146410845036</v>
                </pt>
                <pt idx="103">
                  <formatCode>General</formatCode>
                  <v>0.028457926915516</v>
                </pt>
                <pt idx="104">
                  <formatCode>General</formatCode>
                  <v>0.028769415442625</v>
                </pt>
                <pt idx="105">
                  <formatCode>General</formatCode>
                  <v>0.029080876423603</v>
                </pt>
                <pt idx="106">
                  <formatCode>General</formatCode>
                  <v>0.029392311225645</v>
                </pt>
                <pt idx="107">
                  <formatCode>General</formatCode>
                  <v>0.029703719786308</v>
                </pt>
                <pt idx="108">
                  <formatCode>General</formatCode>
                  <v>0.030015102530019</v>
                </pt>
                <pt idx="109">
                  <formatCode>General</formatCode>
                  <v>0.030326460400459</v>
                </pt>
                <pt idx="110">
                  <formatCode>General</formatCode>
                  <v>0.030637793275585</v>
                </pt>
                <pt idx="111">
                  <formatCode>General</formatCode>
                  <v>0.030949101626088</v>
                </pt>
                <pt idx="112">
                  <formatCode>General</formatCode>
                  <v>0.031260385629928</v>
                </pt>
                <pt idx="113">
                  <formatCode>General</formatCode>
                  <v>0.031571646210897</v>
                </pt>
                <pt idx="114">
                  <formatCode>General</formatCode>
                  <v>0.031882883232602</v>
                </pt>
                <pt idx="115">
                  <formatCode>General</formatCode>
                  <v>0.032194097201401</v>
                </pt>
                <pt idx="116">
                  <formatCode>General</formatCode>
                  <v>0.032505288813698</v>
                </pt>
                <pt idx="117">
                  <formatCode>General</formatCode>
                  <v>0.032816457945826</v>
                </pt>
                <pt idx="118">
                  <formatCode>General</formatCode>
                  <v>0.033127605497803</v>
                </pt>
                <pt idx="119">
                  <formatCode>General</formatCode>
                  <v>0.033438731896434</v>
                </pt>
                <pt idx="120">
                  <formatCode>General</formatCode>
                  <v>0.033749836508082</v>
                </pt>
                <pt idx="121">
                  <formatCode>General</formatCode>
                  <v>0.034060920177933</v>
                </pt>
                <pt idx="122">
                  <formatCode>General</formatCode>
                  <v>0.034371983465607</v>
                </pt>
                <pt idx="123">
                  <formatCode>General</formatCode>
                  <v>0.034683026040157</v>
                </pt>
                <pt idx="124">
                  <formatCode>General</formatCode>
                  <v>0.034994048539464</v>
                </pt>
                <pt idx="125">
                  <formatCode>General</formatCode>
                  <v>0.035305051581992</v>
                </pt>
                <pt idx="126">
                  <formatCode>General</formatCode>
                  <v>0.035616034830729</v>
                </pt>
                <pt idx="127">
                  <formatCode>General</formatCode>
                  <v>0.03592699901357</v>
                </pt>
                <pt idx="128">
                  <formatCode>General</formatCode>
                  <v>0.036237943831648</v>
                </pt>
                <pt idx="129">
                  <formatCode>General</formatCode>
                  <v>0.036548870010874</v>
                </pt>
                <pt idx="130">
                  <formatCode>General</formatCode>
                  <v>0.036859777030543</v>
                </pt>
                <pt idx="131">
                  <formatCode>General</formatCode>
                  <v>0.03717066562805</v>
                </pt>
                <pt idx="132">
                  <formatCode>General</formatCode>
                  <v>0.037481536065906</v>
                </pt>
                <pt idx="133">
                  <formatCode>General</formatCode>
                  <v>0.037792387820378</v>
                </pt>
                <pt idx="134">
                  <formatCode>General</formatCode>
                  <v>0.038103221772194</v>
                </pt>
                <pt idx="135">
                  <formatCode>General</formatCode>
                  <v>0.038414038293625</v>
                </pt>
                <pt idx="136">
                  <formatCode>General</formatCode>
                  <v>0.038724837580991</v>
                </pt>
                <pt idx="137">
                  <formatCode>General</formatCode>
                  <v>0.0390356196892</v>
                </pt>
                <pt idx="138">
                  <formatCode>General</formatCode>
                  <v>0.03934638459528</v>
                </pt>
                <pt idx="139">
                  <formatCode>General</formatCode>
                  <v>0.039657132635791</v>
                </pt>
                <pt idx="140">
                  <formatCode>General</formatCode>
                  <v>0.039967863880516</v>
                </pt>
                <pt idx="141">
                  <formatCode>General</formatCode>
                  <v>0.040278579021431</v>
                </pt>
                <pt idx="142">
                  <formatCode>General</formatCode>
                  <v>0.040589277048569</v>
                </pt>
                <pt idx="143">
                  <formatCode>General</formatCode>
                  <v>0.040899959182957</v>
                </pt>
                <pt idx="144">
                  <formatCode>General</formatCode>
                  <v>0.041210625396338</v>
                </pt>
                <pt idx="145">
                  <formatCode>General</formatCode>
                  <v>0.041521275981011</v>
                </pt>
                <pt idx="146">
                  <formatCode>General</formatCode>
                  <v>0.041831911565914</v>
                </pt>
                <pt idx="147">
                  <formatCode>General</formatCode>
                  <v>0.042142531994093</v>
                </pt>
                <pt idx="148">
                  <formatCode>General</formatCode>
                  <v>0.042453137851515</v>
                </pt>
                <pt idx="149">
                  <formatCode>General</formatCode>
                  <v>0.042763729563948</v>
                </pt>
                <pt idx="150">
                  <formatCode>General</formatCode>
                  <v>0.043074307362104</v>
                </pt>
                <pt idx="151">
                  <formatCode>General</formatCode>
                  <v>0.043384871338479</v>
                </pt>
                <pt idx="152">
                  <formatCode>General</formatCode>
                  <v>0.043695421569141</v>
                </pt>
                <pt idx="153">
                  <formatCode>General</formatCode>
                  <v>0.044005959020672</v>
                </pt>
                <pt idx="154">
                  <formatCode>General</formatCode>
                  <v>0.044316484012002</v>
                </pt>
                <pt idx="155">
                  <formatCode>General</formatCode>
                  <v>0.044626996446173</v>
                </pt>
                <pt idx="156">
                  <formatCode>General</formatCode>
                  <v>0.044937496443892</v>
                </pt>
                <pt idx="157">
                  <formatCode>General</formatCode>
                  <v>0.045247984839804</v>
                </pt>
                <pt idx="158">
                  <formatCode>General</formatCode>
                  <v>0.045558462201598</v>
                </pt>
                <pt idx="159">
                  <formatCode>General</formatCode>
                  <v>0.045868928186871</v>
                </pt>
                <pt idx="160">
                  <formatCode>General</formatCode>
                  <v>0.046179383474893</v>
                </pt>
                <pt idx="161">
                  <formatCode>General</formatCode>
                  <v>0.04648982831727</v>
                </pt>
                <pt idx="162">
                  <formatCode>General</formatCode>
                  <v>0.046800263044586</v>
                </pt>
                <pt idx="163">
                  <formatCode>General</formatCode>
                  <v>0.047110687555805</v>
                </pt>
                <pt idx="164">
                  <formatCode>General</formatCode>
                  <v>0.047421102422448</v>
                </pt>
                <pt idx="165">
                  <formatCode>General</formatCode>
                  <v>0.047731507792823</v>
                </pt>
                <pt idx="166">
                  <formatCode>General</formatCode>
                  <v>0.048041904162594</v>
                </pt>
                <pt idx="167">
                  <formatCode>General</formatCode>
                  <v>0.048352291912767</v>
                </pt>
                <pt idx="168">
                  <formatCode>General</formatCode>
                  <v>0.048662670803389</v>
                </pt>
                <pt idx="169">
                  <formatCode>General</formatCode>
                  <v>0.048973041514737</v>
                </pt>
                <pt idx="170">
                  <formatCode>General</formatCode>
                  <v>0.049283403594386</v>
                </pt>
                <pt idx="171">
                  <formatCode>General</formatCode>
                  <v>0.049593757941372</v>
                </pt>
                <pt idx="172">
                  <formatCode>General</formatCode>
                  <v>0.049904104836908</v>
                </pt>
                <pt idx="173">
                  <formatCode>General</formatCode>
                  <v>0.050214444141261</v>
                </pt>
                <pt idx="174">
                  <formatCode>General</formatCode>
                  <v>0.050524775757773</v>
                </pt>
                <pt idx="175">
                  <formatCode>General</formatCode>
                  <v>0.050835100557394</v>
                </pt>
                <pt idx="176">
                  <formatCode>General</formatCode>
                  <v>0.051145418247022</v>
                </pt>
                <pt idx="177">
                  <formatCode>General</formatCode>
                  <v>0.051455729463368</v>
                </pt>
                <pt idx="178">
                  <formatCode>General</formatCode>
                  <v>0.051766034224537</v>
                </pt>
                <pt idx="179">
                  <formatCode>General</formatCode>
                  <v>0.052076332775046</v>
                </pt>
                <pt idx="180">
                  <formatCode>General</formatCode>
                  <v>0.05238662520725</v>
                </pt>
                <pt idx="181">
                  <formatCode>General</formatCode>
                  <v>0.052696912159761</v>
                </pt>
                <pt idx="182">
                  <formatCode>General</formatCode>
                  <v>0.053007193304746</v>
                </pt>
                <pt idx="183">
                  <formatCode>General</formatCode>
                  <v>0.053317468764148</v>
                </pt>
                <pt idx="184">
                  <formatCode>General</formatCode>
                  <v>0.053627738553682</v>
                </pt>
                <pt idx="185">
                  <formatCode>General</formatCode>
                  <v>0.053910895603333</v>
                </pt>
              </numCache>
            </numRef>
          </xVal>
          <yVal>
            <numRef>
              <f>'473K'!$N$2:$N$1500</f>
              <numCache>
                <formatCode>General</formatCode>
                <ptCount val="1499"/>
                <pt idx="0">
                  <v>0</v>
                </pt>
                <pt idx="1">
                  <v>1.0978720054351</v>
                </pt>
                <pt idx="2">
                  <v>3.9199662720455</v>
                </pt>
                <pt idx="3">
                  <v>11.175321006664</v>
                </pt>
                <pt idx="4">
                  <v>29.835621165133</v>
                </pt>
                <pt idx="5">
                  <v>75.338322101072</v>
                </pt>
                <pt idx="6">
                  <v>144.95050347474</v>
                </pt>
                <pt idx="7">
                  <v>214.81937808755</v>
                </pt>
                <pt idx="8">
                  <v>284.94413850874</v>
                </pt>
                <pt idx="9">
                  <v>355.3238178324</v>
                </pt>
                <pt idx="10">
                  <v>425.35007266516</v>
                </pt>
                <pt idx="11">
                  <v>484.60752831512</v>
                </pt>
                <pt idx="12">
                  <v>484.60752831512</v>
                </pt>
                <pt idx="13">
                  <v>518.30104229932</v>
                </pt>
                <pt idx="14">
                  <v>536.38936679534</v>
                </pt>
                <pt idx="15">
                  <v>548.0503446857</v>
                </pt>
                <pt idx="16">
                  <v>556.6417075739</v>
                </pt>
                <pt idx="17">
                  <v>563.41966007875</v>
                </pt>
                <pt idx="18">
                  <v>569.0068846659</v>
                </pt>
                <pt idx="19">
                  <v>573.74537477758</v>
                </pt>
                <pt idx="20">
                  <v>577.84832368155</v>
                </pt>
                <pt idx="21">
                  <v>581.46166422678</v>
                </pt>
                <pt idx="22">
                  <v>584.6882877294501</v>
                </pt>
                <pt idx="23">
                  <v>587.60200143318</v>
                </pt>
                <pt idx="24">
                  <v>590.2604052312601</v>
                </pt>
                <pt idx="25">
                  <v>592.70853700288</v>
                </pt>
                <pt idx="26">
                  <v>594.98221977919</v>
                </pt>
                <pt idx="27">
                  <v>597.11260359978</v>
                </pt>
                <pt idx="28">
                  <v>599.12423189627</v>
                </pt>
                <pt idx="29">
                  <v>601.03593236194</v>
                </pt>
                <pt idx="30">
                  <v>602.86230742557</v>
                </pt>
                <pt idx="31">
                  <v>604.61543821543</v>
                </pt>
                <pt idx="32">
                  <v>606.30507970573</v>
                </pt>
                <pt idx="33">
                  <v>607.9393169456901</v>
                </pt>
                <pt idx="34">
                  <v>609.52485403803</v>
                </pt>
                <pt idx="35">
                  <v>611.06750594211</v>
                </pt>
                <pt idx="36">
                  <v>612.57193700992</v>
                </pt>
                <pt idx="37">
                  <v>614.04257383552</v>
                </pt>
                <pt idx="38">
                  <v>615.4825454988299</v>
                </pt>
                <pt idx="39">
                  <v>616.8951045475</v>
                </pt>
                <pt idx="40">
                  <v>618.28274447913</v>
                </pt>
                <pt idx="41">
                  <v>619.64783859747</v>
                </pt>
                <pt idx="42">
                  <v>620.9922118614001</v>
                </pt>
                <pt idx="43">
                  <v>622.31766557037</v>
                </pt>
                <pt idx="44">
                  <v>623.62565764687</v>
                </pt>
                <pt idx="45">
                  <v>624.91751080689</v>
                </pt>
                <pt idx="46">
                  <v>626.19424546992</v>
                </pt>
                <pt idx="47">
                  <v>627.45694259201</v>
                </pt>
                <pt idx="48">
                  <v>628.70651510811</v>
                </pt>
                <pt idx="49">
                  <v>629.94368094677</v>
                </pt>
                <pt idx="50">
                  <v>631.1693136606</v>
                </pt>
                <pt idx="51">
                  <v>632.38378367404</v>
                </pt>
                <pt idx="52">
                  <v>633.58783875749</v>
                </pt>
                <pt idx="53">
                  <v>634.78201575465</v>
                </pt>
                <pt idx="54">
                  <v>635.96679696262</v>
                </pt>
                <pt idx="55">
                  <v>637.14270910364</v>
                </pt>
                <pt idx="56">
                  <v>638.310269364</v>
                </pt>
                <pt idx="57">
                  <v>639.46979095415</v>
                </pt>
                <pt idx="58">
                  <v>640.62149575568</v>
                </pt>
                <pt idx="59">
                  <v>641.76593074572</v>
                </pt>
                <pt idx="60">
                  <v>642.90324947572</v>
                </pt>
                <pt idx="61">
                  <v>644.03373002209</v>
                </pt>
                <pt idx="62">
                  <v>645.15760703707</v>
                </pt>
                <pt idx="63">
                  <v>646.27507589699</v>
                </pt>
                <pt idx="64">
                  <v>647.38651456144</v>
                </pt>
                <pt idx="65">
                  <v>648.49210300018</v>
                </pt>
                <pt idx="66">
                  <v>649.59179661727</v>
                </pt>
                <pt idx="67">
                  <v>650.68596018075</v>
                </pt>
                <pt idx="68">
                  <v>651.7747296873</v>
                </pt>
                <pt idx="69">
                  <v>652.85823589984</v>
                </pt>
                <pt idx="70">
                  <v>653.93658932218</v>
                </pt>
                <pt idx="71">
                  <v>655.00998289238</v>
                </pt>
                <pt idx="72">
                  <v>656.0785531169701</v>
                </pt>
                <pt idx="73">
                  <v>657.14246351473</v>
                </pt>
                <pt idx="74">
                  <v>658.2017697090899</v>
                </pt>
                <pt idx="75">
                  <v>659.25656157891</v>
                </pt>
                <pt idx="76">
                  <v>660.30706921022</v>
                </pt>
                <pt idx="77">
                  <v>661.35335029469</v>
                </pt>
                <pt idx="78">
                  <v>662.39556678705</v>
                </pt>
                <pt idx="79">
                  <v>663.4337759838101</v>
                </pt>
                <pt idx="80">
                  <v>664.46796698959</v>
                </pt>
                <pt idx="81">
                  <v>665.49830168069</v>
                </pt>
                <pt idx="82">
                  <v>666.52482207985</v>
                </pt>
                <pt idx="83">
                  <v>667.54767373493</v>
                </pt>
                <pt idx="84">
                  <v>668.5668970814</v>
                </pt>
                <pt idx="85">
                  <v>669.5825328314399</v>
                </pt>
                <pt idx="86">
                  <v>670.59458971068</v>
                </pt>
                <pt idx="87">
                  <v>671.60320546055</v>
                </pt>
                <pt idx="88">
                  <v>672.6084050345401</v>
                </pt>
                <pt idx="89">
                  <v>673.61032088355</v>
                </pt>
                <pt idx="90">
                  <v>674.6088854541</v>
                </pt>
                <pt idx="91">
                  <v>675.60422224502</v>
                </pt>
                <pt idx="92">
                  <v>676.59629829177</v>
                </pt>
                <pt idx="93">
                  <v>677.58532920382</v>
                </pt>
                <pt idx="94">
                  <v>678.57124088947</v>
                </pt>
                <pt idx="95">
                  <v>679.55406849095</v>
                </pt>
                <pt idx="96">
                  <v>680.5339027264801</v>
                </pt>
                <pt idx="97">
                  <v>681.51079882805</v>
                </pt>
                <pt idx="98">
                  <v>682.48464072378</v>
                </pt>
                <pt idx="99">
                  <v>683.45568286888</v>
                </pt>
                <pt idx="100">
                  <v>684.42392246104</v>
                </pt>
                <pt idx="101">
                  <v>685.38938507745</v>
                </pt>
                <pt idx="102">
                  <v>686.35201051242</v>
                </pt>
                <pt idx="103">
                  <v>687.31184916398</v>
                </pt>
                <pt idx="104">
                  <v>688.2689989734801</v>
                </pt>
                <pt idx="105">
                  <v>689.22359914301</v>
                </pt>
                <pt idx="106">
                  <v>690.1754961939801</v>
                </pt>
                <pt idx="107">
                  <v>691.12483409181</v>
                </pt>
                <pt idx="108">
                  <v>692.07165188657</v>
                </pt>
                <pt idx="109">
                  <v>693.01584445778</v>
                </pt>
                <pt idx="110">
                  <v>693.9575508571399</v>
                </pt>
                <pt idx="111">
                  <v>694.89676994622</v>
                </pt>
                <pt idx="112">
                  <v>695.8335827791</v>
                </pt>
                <pt idx="113">
                  <v>696.76790696482</v>
                </pt>
                <pt idx="114">
                  <v>697.69987285273</v>
                </pt>
                <pt idx="115">
                  <v>698.62947788065</v>
                </pt>
                <pt idx="116">
                  <v>699.55667255606</v>
                </pt>
                <pt idx="117">
                  <v>700.48159112436</v>
                </pt>
                <pt idx="118">
                  <v>701.40415168456</v>
                </pt>
                <pt idx="119">
                  <v>702.32433855771</v>
                </pt>
                <pt idx="120">
                  <v>703.24236042366</v>
                </pt>
                <pt idx="121">
                  <v>704.15812353336</v>
                </pt>
                <pt idx="122">
                  <v>705.07158780278</v>
                </pt>
                <pt idx="123">
                  <v>705.98288994424</v>
                </pt>
                <pt idx="124">
                  <v>706.89199461199</v>
                </pt>
                <pt idx="125">
                  <v>707.79885797108</v>
                </pt>
                <pt idx="126">
                  <v>708.70358267377</v>
                </pt>
                <pt idx="127">
                  <v>709.60611274084</v>
                </pt>
                <pt idx="128">
                  <v>710.5065843797601</v>
                </pt>
                <pt idx="129">
                  <v>711.40490135979</v>
                </pt>
                <pt idx="130">
                  <v>712.30121769069</v>
                </pt>
                <pt idx="131">
                  <v>713.19546247127</v>
                </pt>
                <pt idx="132">
                  <v>714.08762504523</v>
                </pt>
                <pt idx="133">
                  <v>714.97785032413</v>
                </pt>
                <pt idx="134">
                  <v>715.86604317337</v>
                </pt>
                <pt idx="135">
                  <v>716.75220643809</v>
                </pt>
                <pt idx="136">
                  <v>717.63635736761</v>
                </pt>
                <pt idx="137">
                  <v>718.51852061768</v>
                </pt>
                <pt idx="138">
                  <v>719.39874164332</v>
                </pt>
                <pt idx="139">
                  <v>720.27702291974</v>
                </pt>
                <pt idx="140">
                  <v>721.15338047429</v>
                </pt>
                <pt idx="141">
                  <v>722.02772625646</v>
                </pt>
                <pt idx="142">
                  <v>722.90030582667</v>
                </pt>
                <pt idx="143">
                  <v>723.77095960151</v>
                </pt>
                <pt idx="144">
                  <v>724.63971848292</v>
                </pt>
                <pt idx="145">
                  <v>725.50661725767</v>
                </pt>
                <pt idx="146">
                  <v>726.37158075363</v>
                </pt>
                <pt idx="147">
                  <v>727.2347506373</v>
                </pt>
                <pt idx="148">
                  <v>728.09607620317</v>
                </pt>
                <pt idx="149">
                  <v>728.9555517510601</v>
                </pt>
                <pt idx="150">
                  <v>729.81318993892</v>
                </pt>
                <pt idx="151">
                  <v>730.66907153898</v>
                </pt>
                <pt idx="152">
                  <v>731.5232529206399</v>
                </pt>
                <pt idx="153">
                  <v>732.37561513192</v>
                </pt>
                <pt idx="154">
                  <v>733.22616555972</v>
                </pt>
                <pt idx="155">
                  <v>734.07500458504</v>
                </pt>
                <pt idx="156">
                  <v>734.9221772411</v>
                </pt>
                <pt idx="157">
                  <v>735.76759336707</v>
                </pt>
                <pt idx="158">
                  <v>736.61122768946</v>
                </pt>
                <pt idx="159">
                  <v>737.45319617013</v>
                </pt>
                <pt idx="160">
                  <v>738.2934639200799</v>
                </pt>
                <pt idx="161">
                  <v>739.1320589254</v>
                </pt>
                <pt idx="162">
                  <v>739.96893734067</v>
                </pt>
                <pt idx="163">
                  <v>740.80422160386</v>
                </pt>
                <pt idx="164">
                  <v>741.6378487631</v>
                </pt>
                <pt idx="165">
                  <v>742.4698454263601</v>
                </pt>
                <pt idx="166">
                  <v>743.3002340604399</v>
                </pt>
                <pt idx="167">
                  <v>744.12893384147</v>
                </pt>
                <pt idx="168">
                  <v>744.95607488144</v>
                </pt>
                <pt idx="169">
                  <v>745.7815854983201</v>
                </pt>
                <pt idx="170">
                  <v>746.60562270524</v>
                </pt>
                <pt idx="171">
                  <v>747.42803156848</v>
                </pt>
                <pt idx="172">
                  <v>748.24882536776</v>
                </pt>
                <pt idx="173">
                  <v>749.0680520918399</v>
                </pt>
                <pt idx="174">
                  <v>749.88579702109</v>
                </pt>
                <pt idx="175">
                  <v>750.70193492594</v>
                </pt>
                <pt idx="176">
                  <v>751.51656213689</v>
                </pt>
                <pt idx="177">
                  <v>752.32962992623</v>
                </pt>
                <pt idx="178">
                  <v>753.14116917245</v>
                </pt>
                <pt idx="179">
                  <v>753.95117396283</v>
                </pt>
                <pt idx="180">
                  <v>754.7596981934799</v>
                </pt>
                <pt idx="181">
                  <v>755.56663242378</v>
                </pt>
                <pt idx="182">
                  <v>756.37206739163</v>
                </pt>
                <pt idx="183">
                  <v>757.17607448553</v>
                </pt>
                <pt idx="184">
                  <v>757.9787045852</v>
                </pt>
                <pt idx="185">
                  <v>758.77181150669</v>
                </pt>
              </numCache>
            </numRef>
          </yVal>
          <smooth val="1"/>
        </ser>
        <ser>
          <idx val="2"/>
          <order val="2"/>
          <tx>
            <v>Sim_673K</v>
          </tx>
          <spPr>
            <a:ln xmlns:a="http://schemas.openxmlformats.org/drawingml/2006/main" w="22225" cap="rnd">
              <a:solidFill>
                <a:schemeClr val="accent4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chemeClr val="accent4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'673K'!$B$2:$B$1500</f>
              <numCache>
                <formatCode>0.00E+00</formatCode>
                <ptCount val="1499"/>
                <pt idx="0">
                  <formatCode>General</formatCode>
                  <v>0</v>
                </pt>
                <pt idx="1">
                  <v>9.5005388794803e-42</v>
                </pt>
                <pt idx="2">
                  <v>2.4038507796856e-39</v>
                </pt>
                <pt idx="3">
                  <v>5.2122765529741e-36</v>
                </pt>
                <pt idx="4">
                  <v>5.052035584058e-31</v>
                </pt>
                <pt idx="5">
                  <v>4.6981328227588e-24</v>
                </pt>
                <pt idx="6">
                  <v>9.7630961917009e-17</v>
                </pt>
                <pt idx="7">
                  <v>3.674699205303e-12</v>
                </pt>
                <pt idx="8">
                  <v>1.2706365415186e-08</v>
                </pt>
                <pt idx="9">
                  <v>4.0449655316931e-06</v>
                </pt>
                <pt idx="10">
                  <v>7.2087135554153e-05</v>
                </pt>
                <pt idx="11">
                  <formatCode>General</formatCode>
                  <v>0.00027627885804704</v>
                </pt>
                <pt idx="12">
                  <formatCode>General</formatCode>
                  <v>0.00055581413045053</v>
                </pt>
                <pt idx="13">
                  <formatCode>General</formatCode>
                  <v>0.00086162696610254</v>
                </pt>
                <pt idx="14">
                  <formatCode>General</formatCode>
                  <v>0.0011767433857907</v>
                </pt>
                <pt idx="15">
                  <formatCode>General</formatCode>
                  <v>0.0014953170279352</v>
                </pt>
                <pt idx="16">
                  <formatCode>General</formatCode>
                  <v>0.00181504550183</v>
                </pt>
                <pt idx="17">
                  <formatCode>General</formatCode>
                  <v>0.0021349657104863</v>
                </pt>
                <pt idx="18">
                  <formatCode>General</formatCode>
                  <v>0.0024546777567739</v>
                </pt>
                <pt idx="19">
                  <formatCode>General</formatCode>
                  <v>0.0027740134837231</v>
                </pt>
                <pt idx="20">
                  <formatCode>General</formatCode>
                  <v>0.0030929189135728</v>
                </pt>
                <pt idx="21">
                  <formatCode>General</formatCode>
                  <v>0.003411402417378</v>
                </pt>
                <pt idx="22">
                  <formatCode>General</formatCode>
                  <v>0.0037295005166776</v>
                </pt>
                <pt idx="23">
                  <formatCode>General</formatCode>
                  <v>0.0040472573226035</v>
                </pt>
                <pt idx="24">
                  <formatCode>General</formatCode>
                  <v>0.0043647102556901</v>
                </pt>
                <pt idx="25">
                  <formatCode>General</formatCode>
                  <v>0.0046818893332743</v>
                </pt>
                <pt idx="26">
                  <formatCode>General</formatCode>
                  <v>0.0049988247172262</v>
                </pt>
                <pt idx="27">
                  <formatCode>General</formatCode>
                  <v>0.005315540762049</v>
                </pt>
                <pt idx="28">
                  <formatCode>General</formatCode>
                  <v>0.0056320607041846</v>
                </pt>
                <pt idx="29">
                  <formatCode>General</formatCode>
                  <v>0.0059484007259555</v>
                </pt>
                <pt idx="30">
                  <formatCode>General</formatCode>
                  <v>0.0062645742580786</v>
                </pt>
                <pt idx="31">
                  <formatCode>General</formatCode>
                  <v>0.0065805945172047</v>
                </pt>
                <pt idx="32">
                  <formatCode>General</formatCode>
                  <v>0.0068964703908404</v>
                </pt>
                <pt idx="33">
                  <formatCode>General</formatCode>
                  <v>0.0072122093309239</v>
                </pt>
                <pt idx="34">
                  <formatCode>General</formatCode>
                  <v>0.0075278188261842</v>
                </pt>
                <pt idx="35">
                  <formatCode>General</formatCode>
                  <v>0.0078433052657294</v>
                </pt>
                <pt idx="36">
                  <formatCode>General</formatCode>
                  <v>0.0081586748715262</v>
                </pt>
                <pt idx="37">
                  <formatCode>General</formatCode>
                  <v>0.008473933633145799</v>
                </pt>
                <pt idx="38">
                  <formatCode>General</formatCode>
                  <v>0.0087890848610927</v>
                </pt>
                <pt idx="39">
                  <formatCode>General</formatCode>
                  <v>0.009104133623335399</v>
                </pt>
                <pt idx="40">
                  <formatCode>General</formatCode>
                  <v>0.009419082207963499</v>
                </pt>
                <pt idx="41">
                  <formatCode>General</formatCode>
                  <v>0.0097339326767322</v>
                </pt>
                <pt idx="42">
                  <formatCode>General</formatCode>
                  <v>0.010048687181955</v>
                </pt>
                <pt idx="43">
                  <formatCode>General</formatCode>
                  <v>0.010363347584118</v>
                </pt>
                <pt idx="44">
                  <formatCode>General</formatCode>
                  <v>0.010677917135724</v>
                </pt>
                <pt idx="45">
                  <formatCode>General</formatCode>
                  <v>0.010992397938872</v>
                </pt>
                <pt idx="46">
                  <formatCode>General</formatCode>
                  <v>0.011306792242469</v>
                </pt>
                <pt idx="47">
                  <formatCode>General</formatCode>
                  <v>0.011621102076026</v>
                </pt>
                <pt idx="48">
                  <formatCode>General</formatCode>
                  <v>0.011935330416093</v>
                </pt>
                <pt idx="49">
                  <formatCode>General</formatCode>
                  <v>0.012249479797485</v>
                </pt>
                <pt idx="50">
                  <formatCode>General</formatCode>
                  <v>0.012563552482313</v>
                </pt>
                <pt idx="51">
                  <formatCode>General</formatCode>
                  <v>0.012877549850708</v>
                </pt>
                <pt idx="52">
                  <formatCode>General</formatCode>
                  <v>0.013191473419261</v>
                </pt>
                <pt idx="53">
                  <formatCode>General</formatCode>
                  <v>0.01350532443591</v>
                </pt>
                <pt idx="54">
                  <formatCode>General</formatCode>
                  <v>0.01381910485572</v>
                </pt>
                <pt idx="55">
                  <formatCode>General</formatCode>
                  <v>0.014132816285712</v>
                </pt>
                <pt idx="56">
                  <formatCode>General</formatCode>
                  <v>0.014446458886459</v>
                </pt>
                <pt idx="57">
                  <formatCode>General</formatCode>
                  <v>0.014760034669566</v>
                </pt>
                <pt idx="58">
                  <formatCode>General</formatCode>
                  <v>0.015073544834443</v>
                </pt>
                <pt idx="59">
                  <formatCode>General</formatCode>
                  <v>0.015386991214247</v>
                </pt>
                <pt idx="60">
                  <formatCode>General</formatCode>
                  <v>0.015700375342164</v>
                </pt>
                <pt idx="61">
                  <formatCode>General</formatCode>
                  <v>0.016013699364062</v>
                </pt>
                <pt idx="62">
                  <formatCode>General</formatCode>
                  <v>0.016326964540174</v>
                </pt>
                <pt idx="63">
                  <formatCode>General</formatCode>
                  <v>0.016640172706146</v>
                </pt>
                <pt idx="64">
                  <formatCode>General</formatCode>
                  <v>0.016953325047788</v>
                </pt>
                <pt idx="65">
                  <formatCode>General</formatCode>
                  <v>0.017266423041794</v>
                </pt>
                <pt idx="66">
                  <formatCode>General</formatCode>
                  <v>0.01757946681022</v>
                </pt>
                <pt idx="67">
                  <formatCode>General</formatCode>
                  <v>0.017892457887856</v>
                </pt>
                <pt idx="68">
                  <formatCode>General</formatCode>
                  <v>0.018205397148742</v>
                </pt>
                <pt idx="69">
                  <formatCode>General</formatCode>
                  <v>0.018518284133678</v>
                </pt>
                <pt idx="70">
                  <formatCode>General</formatCode>
                  <v>0.018831120043356</v>
                </pt>
                <pt idx="71">
                  <formatCode>General</formatCode>
                  <v>0.019143905356085</v>
                </pt>
                <pt idx="72">
                  <formatCode>General</formatCode>
                  <v>0.019456641426849</v>
                </pt>
                <pt idx="73">
                  <formatCode>General</formatCode>
                  <v>0.019769328238947</v>
                </pt>
                <pt idx="74">
                  <formatCode>General</formatCode>
                  <v>0.020081966490706</v>
                </pt>
                <pt idx="75">
                  <formatCode>General</formatCode>
                  <v>0.020394556983393</v>
                </pt>
                <pt idx="76">
                  <formatCode>General</formatCode>
                  <v>0.020707100461516</v>
                </pt>
                <pt idx="77">
                  <formatCode>General</formatCode>
                  <v>0.021019598044034</v>
                </pt>
                <pt idx="78">
                  <formatCode>General</formatCode>
                  <v>0.021332050335728</v>
                </pt>
                <pt idx="79">
                  <formatCode>General</formatCode>
                  <v>0.021644457607424</v>
                </pt>
                <pt idx="80">
                  <formatCode>General</formatCode>
                  <v>0.021956821221543</v>
                </pt>
                <pt idx="81">
                  <formatCode>General</formatCode>
                  <v>0.022269141737153</v>
                </pt>
                <pt idx="82">
                  <formatCode>General</formatCode>
                  <v>0.022581420481716</v>
                </pt>
                <pt idx="83">
                  <formatCode>General</formatCode>
                  <v>0.022893658068886</v>
                </pt>
                <pt idx="84">
                  <formatCode>General</formatCode>
                  <v>0.02320585544273</v>
                </pt>
                <pt idx="85">
                  <formatCode>General</formatCode>
                  <v>0.02351801353796</v>
                </pt>
                <pt idx="86">
                  <formatCode>General</formatCode>
                  <v>0.023830132333569</v>
                </pt>
                <pt idx="87">
                  <formatCode>General</formatCode>
                  <v>0.024142212695591</v>
                </pt>
                <pt idx="88">
                  <formatCode>General</formatCode>
                  <v>0.024454255051804</v>
                </pt>
                <pt idx="89">
                  <formatCode>General</formatCode>
                  <v>0.024766260609576</v>
                </pt>
                <pt idx="90">
                  <formatCode>General</formatCode>
                  <v>0.02507823022995</v>
                </pt>
                <pt idx="91">
                  <formatCode>General</formatCode>
                  <v>0.025390163697739</v>
                </pt>
                <pt idx="92">
                  <formatCode>General</formatCode>
                  <v>0.025702061730128</v>
                </pt>
                <pt idx="93">
                  <formatCode>General</formatCode>
                  <v>0.026013924584408</v>
                </pt>
                <pt idx="94">
                  <formatCode>General</formatCode>
                  <v>0.026325753618687</v>
                </pt>
                <pt idx="95">
                  <formatCode>General</formatCode>
                  <v>0.026637548745558</v>
                </pt>
                <pt idx="96">
                  <formatCode>General</formatCode>
                  <v>0.026949310653812</v>
                </pt>
                <pt idx="97">
                  <formatCode>General</formatCode>
                  <v>0.027261039833759</v>
                </pt>
                <pt idx="98">
                  <formatCode>General</formatCode>
                  <v>0.027572736560903</v>
                </pt>
                <pt idx="99">
                  <formatCode>General</formatCode>
                  <v>0.027884401432571</v>
                </pt>
                <pt idx="100">
                  <formatCode>General</formatCode>
                  <v>0.028196034947445</v>
                </pt>
                <pt idx="101">
                  <formatCode>General</formatCode>
                  <v>0.028507637714117</v>
                </pt>
                <pt idx="102">
                  <formatCode>General</formatCode>
                  <v>0.028819210484659</v>
                </pt>
                <pt idx="103">
                  <formatCode>General</formatCode>
                  <v>0.029130753224098</v>
                </pt>
                <pt idx="104">
                  <formatCode>General</formatCode>
                  <v>0.029442266323018</v>
                </pt>
                <pt idx="105">
                  <formatCode>General</formatCode>
                  <v>0.029753750841187</v>
                </pt>
                <pt idx="106">
                  <formatCode>General</formatCode>
                  <v>0.03006520643492</v>
                </pt>
                <pt idx="107">
                  <formatCode>General</formatCode>
                  <v>0.030376633738691</v>
                </pt>
                <pt idx="108">
                  <formatCode>General</formatCode>
                  <v>0.030688033065218</v>
                </pt>
                <pt idx="109">
                  <formatCode>General</formatCode>
                  <v>0.030999404842376</v>
                </pt>
                <pt idx="110">
                  <formatCode>General</formatCode>
                  <v>0.031310749451507</v>
                </pt>
                <pt idx="111">
                  <formatCode>General</formatCode>
                  <v>0.031622067253488</v>
                </pt>
                <pt idx="112">
                  <formatCode>General</formatCode>
                  <v>0.031933358708718</v>
                </pt>
                <pt idx="113">
                  <formatCode>General</formatCode>
                  <v>0.032244623382471</v>
                </pt>
                <pt idx="114">
                  <formatCode>General</formatCode>
                  <v>0.032555862167496</v>
                </pt>
                <pt idx="115">
                  <formatCode>General</formatCode>
                  <v>0.032867075301531</v>
                </pt>
                <pt idx="116">
                  <formatCode>General</formatCode>
                  <v>0.033178263182295</v>
                </pt>
                <pt idx="117">
                  <formatCode>General</formatCode>
                  <v>0.03348942625486</v>
                </pt>
                <pt idx="118">
                  <formatCode>General</formatCode>
                  <v>0.033800564797026</v>
                </pt>
                <pt idx="119">
                  <formatCode>General</formatCode>
                  <v>0.034111679927837</v>
                </pt>
                <pt idx="120">
                  <formatCode>General</formatCode>
                  <v>0.034422771421647</v>
                </pt>
                <pt idx="121">
                  <formatCode>General</formatCode>
                  <v>0.034733840267838</v>
                </pt>
                <pt idx="122">
                  <formatCode>General</formatCode>
                  <v>0.035044885748168</v>
                </pt>
                <pt idx="123">
                  <formatCode>General</formatCode>
                  <v>0.035355909404422</v>
                </pt>
                <pt idx="124">
                  <formatCode>General</formatCode>
                  <v>0.035666911645234</v>
                </pt>
                <pt idx="125">
                  <formatCode>General</formatCode>
                  <v>0.035977892711473</v>
                </pt>
                <pt idx="126">
                  <formatCode>General</formatCode>
                  <v>0.036288853206264</v>
                </pt>
                <pt idx="127">
                  <formatCode>General</formatCode>
                  <v>0.036599793117087</v>
                </pt>
                <pt idx="128">
                  <formatCode>General</formatCode>
                  <v>0.03691071336844</v>
                </pt>
                <pt idx="129">
                  <formatCode>General</formatCode>
                  <v>0.037221614046884</v>
                </pt>
                <pt idx="130">
                  <formatCode>General</formatCode>
                  <v>0.037532495799175</v>
                </pt>
                <pt idx="131">
                  <formatCode>General</formatCode>
                  <v>0.037843358988156</v>
                </pt>
                <pt idx="132">
                  <formatCode>General</formatCode>
                  <v>0.038154204263146</v>
                </pt>
                <pt idx="133">
                  <formatCode>General</formatCode>
                  <v>0.038465031712117</v>
                </pt>
                <pt idx="134">
                  <formatCode>General</formatCode>
                  <v>0.038775841349438</v>
                </pt>
                <pt idx="135">
                  <formatCode>General</formatCode>
                  <v>0.039086633070133</v>
                </pt>
                <pt idx="136">
                  <formatCode>General</formatCode>
                  <v>0.039397408330267</v>
                </pt>
                <pt idx="137">
                  <formatCode>General</formatCode>
                  <v>0.039708166119299</v>
                </pt>
                <pt idx="138">
                  <formatCode>General</formatCode>
                  <v>0.040018907784788</v>
                </pt>
                <pt idx="139">
                  <formatCode>General</formatCode>
                  <v>0.040329633208322</v>
                </pt>
                <pt idx="140">
                  <formatCode>General</formatCode>
                  <v>0.040640342953943</v>
                </pt>
                <pt idx="141">
                  <formatCode>General</formatCode>
                  <v>0.040951037547678</v>
                </pt>
                <pt idx="142">
                  <formatCode>General</formatCode>
                  <v>0.041261716635203</v>
                </pt>
                <pt idx="143">
                  <formatCode>General</formatCode>
                  <v>0.041572380518187</v>
                </pt>
                <pt idx="144">
                  <formatCode>General</formatCode>
                  <v>0.041883029462764</v>
                </pt>
                <pt idx="145">
                  <formatCode>General</formatCode>
                  <v>0.042193663621615</v>
                </pt>
                <pt idx="146">
                  <formatCode>General</formatCode>
                  <v>0.042504283276706</v>
                </pt>
                <pt idx="147">
                  <formatCode>General</formatCode>
                  <v>0.04281488901946</v>
                </pt>
                <pt idx="148">
                  <formatCode>General</formatCode>
                  <v>0.043125480917716</v>
                </pt>
                <pt idx="149">
                  <formatCode>General</formatCode>
                  <v>0.043436059406551</v>
                </pt>
                <pt idx="150">
                  <formatCode>General</formatCode>
                  <v>0.043746624565378</v>
                </pt>
                <pt idx="151">
                  <formatCode>General</formatCode>
                  <v>0.044057176764406</v>
                </pt>
                <pt idx="152">
                  <formatCode>General</formatCode>
                  <v>0.044367716198839</v>
                </pt>
                <pt idx="153">
                  <formatCode>General</formatCode>
                  <v>0.044678243433628</v>
                </pt>
                <pt idx="154">
                  <formatCode>General</formatCode>
                  <v>0.044988758429288</v>
                </pt>
                <pt idx="155">
                  <formatCode>General</formatCode>
                  <v>0.045299261455255</v>
                </pt>
                <pt idx="156">
                  <formatCode>General</formatCode>
                  <v>0.045609752137856</v>
                </pt>
                <pt idx="157">
                  <formatCode>General</formatCode>
                  <v>0.045920231508993</v>
                </pt>
                <pt idx="158">
                  <formatCode>General</formatCode>
                  <v>0.046230700001447</v>
                </pt>
                <pt idx="159">
                  <formatCode>General</formatCode>
                  <v>0.046541157677994</v>
                </pt>
                <pt idx="160">
                  <formatCode>General</formatCode>
                  <v>0.046851604390622</v>
                </pt>
                <pt idx="161">
                  <formatCode>General</formatCode>
                  <v>0.047162040388469</v>
                </pt>
                <pt idx="162">
                  <formatCode>General</formatCode>
                  <v>0.047472466405397</v>
                </pt>
                <pt idx="163">
                  <formatCode>General</formatCode>
                  <v>0.047782882383919</v>
                </pt>
                <pt idx="164">
                  <formatCode>General</formatCode>
                  <v>0.048093288962534</v>
                </pt>
                <pt idx="165">
                  <formatCode>General</formatCode>
                  <v>0.048403686107654</v>
                </pt>
                <pt idx="166">
                  <formatCode>General</formatCode>
                  <v>0.048714074184594</v>
                </pt>
                <pt idx="167">
                  <formatCode>General</formatCode>
                  <v>0.049024453124739</v>
                </pt>
                <pt idx="168">
                  <formatCode>General</formatCode>
                  <v>0.049334823091891</v>
                </pt>
                <pt idx="169">
                  <formatCode>General</formatCode>
                  <v>0.049645184305028</v>
                </pt>
                <pt idx="170">
                  <formatCode>General</formatCode>
                  <v>0.049955536928249</v>
                </pt>
                <pt idx="171">
                  <formatCode>General</formatCode>
                  <v>0.050265881248432</v>
                </pt>
                <pt idx="172">
                  <formatCode>General</formatCode>
                  <v>0.05057621750333</v>
                </pt>
                <pt idx="173">
                  <formatCode>General</formatCode>
                  <v>0.050886546260987</v>
                </pt>
                <pt idx="174">
                  <formatCode>General</formatCode>
                  <v>0.05116970958178</v>
                </pt>
              </numCache>
            </numRef>
          </xVal>
          <yVal>
            <numRef>
              <f>'673K'!$N$2:$N$1400</f>
              <numCache>
                <formatCode>General</formatCode>
                <ptCount val="1399"/>
                <pt idx="0">
                  <v>0</v>
                </pt>
                <pt idx="1">
                  <v>1.0236049992882</v>
                </pt>
                <pt idx="2">
                  <v>3.6547988920054</v>
                </pt>
                <pt idx="3">
                  <v>10.419391624064</v>
                </pt>
                <pt idx="4">
                  <v>27.817654447268</v>
                </pt>
                <pt idx="5">
                  <v>70.243954473069</v>
                </pt>
                <pt idx="6">
                  <v>135.15267609806</v>
                </pt>
                <pt idx="7">
                  <v>200.30431301002</v>
                </pt>
                <pt idx="8">
                  <v>265.69541673615</v>
                </pt>
                <pt idx="9">
                  <v>330.50252048433</v>
                </pt>
                <pt idx="10">
                  <v>383.29064675263</v>
                </pt>
                <pt idx="11">
                  <v>411.40335166245</v>
                </pt>
                <pt idx="12">
                  <v>425.82641251417</v>
                </pt>
                <pt idx="13">
                  <v>434.85497863393</v>
                </pt>
                <pt idx="14">
                  <v>441.32202078948</v>
                </pt>
                <pt idx="15">
                  <v>446.29056340051</v>
                </pt>
                <pt idx="16">
                  <v>450.27874302466</v>
                </pt>
                <pt idx="17">
                  <v>453.59025614359</v>
                </pt>
                <pt idx="18">
                  <v>456.41416277475</v>
                </pt>
                <pt idx="19">
                  <v>458.87301572767</v>
                </pt>
                <pt idx="20">
                  <v>461.05170643629</v>
                </pt>
                <pt idx="21">
                  <v>463.01215283166</v>
                </pt>
                <pt idx="22">
                  <v>464.80178502822</v>
                </pt>
                <pt idx="23">
                  <v>466.45618341949</v>
                </pt>
                <pt idx="24">
                  <v>468.00074653036</v>
                </pt>
                <pt idx="25">
                  <v>469.45519958317</v>
                </pt>
                <pt idx="26">
                  <v>470.83466575667</v>
                </pt>
                <pt idx="27">
                  <v>472.15166150259</v>
                </pt>
                <pt idx="28">
                  <v>473.41561536665</v>
                </pt>
                <pt idx="29">
                  <v>474.63425662861</v>
                </pt>
                <pt idx="30">
                  <v>475.81382563478</v>
                </pt>
                <pt idx="31">
                  <v>476.95899151002</v>
                </pt>
                <pt idx="32">
                  <v>478.07399102775</v>
                </pt>
                <pt idx="33">
                  <v>479.16240022944</v>
                </pt>
                <pt idx="34">
                  <v>480.22705721887</v>
                </pt>
                <pt idx="35">
                  <v>481.27053579366</v>
                </pt>
                <pt idx="36">
                  <v>482.29497596506</v>
                </pt>
                <pt idx="37">
                  <v>483.30209196471</v>
                </pt>
                <pt idx="38">
                  <v>484.293634165</v>
                </pt>
                <pt idx="39">
                  <v>485.27076374297</v>
                </pt>
                <pt idx="40">
                  <v>486.23463922392</v>
                </pt>
                <pt idx="41">
                  <v>487.18626211616</v>
                </pt>
                <pt idx="42">
                  <v>488.12641771694</v>
                </pt>
                <pt idx="43">
                  <v>489.05599212496</v>
                </pt>
                <pt idx="44">
                  <v>489.97557131561</v>
                </pt>
                <pt idx="45">
                  <v>490.88584390701</v>
                </pt>
                <pt idx="46">
                  <v>491.78747292956</v>
                </pt>
                <pt idx="47">
                  <v>492.68102982144</v>
                </pt>
                <pt idx="48">
                  <v>493.56689688225</v>
                </pt>
                <pt idx="49">
                  <v>494.44541060334</v>
                </pt>
                <pt idx="50">
                  <v>495.3169396719</v>
                </pt>
                <pt idx="51">
                  <v>496.18184684916</v>
                </pt>
                <pt idx="52">
                  <v>497.04049080313</v>
                </pt>
                <pt idx="53">
                  <v>497.89316071825</v>
                </pt>
                <pt idx="54">
                  <v>498.73998441356</v>
                </pt>
                <pt idx="55">
                  <v>499.58113126009</v>
                </pt>
                <pt idx="56">
                  <v>500.41698551579</v>
                </pt>
                <pt idx="57">
                  <v>501.2476533184</v>
                </pt>
                <pt idx="58">
                  <v>502.07342652525</v>
                </pt>
                <pt idx="59">
                  <v>502.89440930454</v>
                </pt>
                <pt idx="60">
                  <v>503.71086849106</v>
                </pt>
                <pt idx="61">
                  <v>504.52286447757</v>
                </pt>
                <pt idx="62">
                  <v>505.33062938306</v>
                </pt>
                <pt idx="63">
                  <v>506.13424658131</v>
                </pt>
                <pt idx="64">
                  <v>506.93385226419</v>
                </pt>
                <pt idx="65">
                  <v>507.72953169657</v>
                </pt>
                <pt idx="66">
                  <v>508.52154396578</v>
                </pt>
                <pt idx="67">
                  <v>509.30985138479</v>
                </pt>
                <pt idx="68">
                  <v>510.09452138567</v>
                </pt>
                <pt idx="69">
                  <v>510.87583056298</v>
                </pt>
                <pt idx="70">
                  <v>511.65371722702</v>
                </pt>
                <pt idx="71">
                  <v>512.42833770342</v>
                </pt>
                <pt idx="72">
                  <v>513.1995818307699</v>
                </pt>
                <pt idx="73">
                  <v>513.96767064416</v>
                </pt>
                <pt idx="74">
                  <v>514.73264890494</v>
                </pt>
                <pt idx="75">
                  <v>515.49459632251</v>
                </pt>
                <pt idx="76">
                  <v>516.25358518905</v>
                </pt>
                <pt idx="77">
                  <v>517.009609483</v>
                </pt>
                <pt idx="78">
                  <v>517.76273137232</v>
                </pt>
                <pt idx="79">
                  <v>518.5131422447701</v>
                </pt>
                <pt idx="80">
                  <v>519.26081518309</v>
                </pt>
                <pt idx="81">
                  <v>520.00585699473</v>
                </pt>
                <pt idx="82">
                  <v>520.74823138864</v>
                </pt>
                <pt idx="83">
                  <v>521.4880104451599</v>
                </pt>
                <pt idx="84">
                  <v>522.22522628807</v>
                </pt>
                <pt idx="85">
                  <v>522.95988726589</v>
                </pt>
                <pt idx="86">
                  <v>523.69215616313</v>
                </pt>
                <pt idx="87">
                  <v>524.42205263619</v>
                </pt>
                <pt idx="88">
                  <v>525.14965319124</v>
                </pt>
                <pt idx="89">
                  <v>525.8748529862301</v>
                </pt>
                <pt idx="90">
                  <v>526.5976811934499</v>
                </pt>
                <pt idx="91">
                  <v>527.31827381597</v>
                </pt>
                <pt idx="92">
                  <v>528.03664622305</v>
                </pt>
                <pt idx="93">
                  <v>528.75290597654</v>
                </pt>
                <pt idx="94">
                  <v>529.46695581249</v>
                </pt>
                <pt idx="95">
                  <v>530.1789083493099</v>
                </pt>
                <pt idx="96">
                  <v>530.88877680776</v>
                </pt>
                <pt idx="97">
                  <v>531.5965396059599</v>
                </pt>
                <pt idx="98">
                  <v>532.3023199552</v>
                </pt>
                <pt idx="99">
                  <v>533.0060720226001</v>
                </pt>
                <pt idx="100">
                  <v>533.70784608819</v>
                </pt>
                <pt idx="101">
                  <v>534.40758753949</v>
                </pt>
                <pt idx="102">
                  <v>535.1053315322</v>
                </pt>
                <pt idx="103">
                  <v>535.80116668346</v>
                </pt>
                <pt idx="104">
                  <v>536.49511784588</v>
                </pt>
                <pt idx="105">
                  <v>537.18711380626</v>
                </pt>
                <pt idx="106">
                  <v>537.87728375411</v>
                </pt>
                <pt idx="107">
                  <v>538.56560686338</v>
                </pt>
                <pt idx="108">
                  <v>539.25213601007</v>
                </pt>
                <pt idx="109">
                  <v>539.93688224957</v>
                </pt>
                <pt idx="110">
                  <v>540.61985030366</v>
                </pt>
                <pt idx="111">
                  <v>541.30102491549</v>
                </pt>
                <pt idx="112">
                  <v>541.98038171315</v>
                </pt>
                <pt idx="113">
                  <v>542.65805241065</v>
                </pt>
                <pt idx="114">
                  <v>543.33400183581</v>
                </pt>
                <pt idx="115">
                  <v>544.0082540242601</v>
                </pt>
                <pt idx="116">
                  <v>544.68081633494</v>
                </pt>
                <pt idx="117">
                  <v>545.3517166378</v>
                </pt>
                <pt idx="118">
                  <v>546.02099750976</v>
                </pt>
                <pt idx="119">
                  <v>546.68856048895</v>
                </pt>
                <pt idx="120">
                  <v>547.35454233107</v>
                </pt>
                <pt idx="121">
                  <v>548.01886846132</v>
                </pt>
                <pt idx="122">
                  <v>548.68174590083</v>
                </pt>
                <pt idx="123">
                  <v>549.34298787435</v>
                </pt>
                <pt idx="124">
                  <v>550.0026561233</v>
                </pt>
                <pt idx="125">
                  <v>550.66078047649</v>
                </pt>
                <pt idx="126">
                  <v>551.3173748345901</v>
                </pt>
                <pt idx="127">
                  <v>551.97252884923</v>
                </pt>
                <pt idx="128">
                  <v>552.62612749989</v>
                </pt>
                <pt idx="129">
                  <v>553.27828973481</v>
                </pt>
                <pt idx="130">
                  <v>553.9289341203601</v>
                </pt>
                <pt idx="131">
                  <v>554.5781319361899</v>
                </pt>
                <pt idx="132">
                  <v>555.22583731465</v>
                </pt>
                <pt idx="133">
                  <v>555.87205119494</v>
                </pt>
                <pt idx="134">
                  <v>556.5168741367499</v>
                </pt>
                <pt idx="135">
                  <v>557.16041738765</v>
                </pt>
                <pt idx="136">
                  <v>557.80240061995</v>
                </pt>
                <pt idx="137">
                  <v>558.4431102657099</v>
                </pt>
                <pt idx="138">
                  <v>559.08239093434</v>
                </pt>
                <pt idx="139">
                  <v>559.7203240897099</v>
                </pt>
                <pt idx="140">
                  <v>560.35684063</v>
                </pt>
                <pt idx="141">
                  <v>560.99191917094</v>
                </pt>
                <pt idx="142">
                  <v>561.62566610634</v>
                </pt>
                <pt idx="143">
                  <v>562.25811549227</v>
                </pt>
                <pt idx="144">
                  <v>562.88920464059</v>
                </pt>
                <pt idx="145">
                  <v>563.51903230991</v>
                </pt>
                <pt idx="146">
                  <v>564.14760081545</v>
                </pt>
                <pt idx="147">
                  <v>564.77483547555</v>
                </pt>
                <pt idx="148">
                  <v>565.4007702914</v>
                </pt>
                <pt idx="149">
                  <v>566.02541557529</v>
                </pt>
                <pt idx="150">
                  <v>566.6488073013199</v>
                </pt>
                <pt idx="151">
                  <v>567.27090507908</v>
                </pt>
                <pt idx="152">
                  <v>567.89176289787</v>
                </pt>
                <pt idx="153">
                  <v>568.51132278434</v>
                </pt>
                <pt idx="154">
                  <v>569.12963472411</v>
                </pt>
                <pt idx="155">
                  <v>569.74670930762</v>
                </pt>
                <pt idx="156">
                  <v>570.3626803465301</v>
                </pt>
                <pt idx="157">
                  <v>570.97743792239</v>
                </pt>
                <pt idx="158">
                  <v>571.5909433323</v>
                </pt>
                <pt idx="159">
                  <v>572.20321594097</v>
                </pt>
                <pt idx="160">
                  <v>572.81429992566</v>
                </pt>
                <pt idx="161">
                  <v>573.42423923383</v>
                </pt>
                <pt idx="162">
                  <v>574.03297835378</v>
                </pt>
                <pt idx="163">
                  <v>574.64055402897</v>
                </pt>
                <pt idx="164">
                  <v>575.24689985071</v>
                </pt>
                <pt idx="165">
                  <v>575.8520942114</v>
                </pt>
                <pt idx="166">
                  <v>576.45609894191</v>
                </pt>
                <pt idx="167">
                  <v>577.05895626991</v>
                </pt>
                <pt idx="168">
                  <v>577.66068470982</v>
                </pt>
                <pt idx="169">
                  <v>578.26129396</v>
                </pt>
                <pt idx="170">
                  <v>578.86079506276</v>
                </pt>
                <pt idx="171">
                  <v>579.45919153231</v>
                </pt>
                <pt idx="172">
                  <v>580.05646214213</v>
                </pt>
                <pt idx="173">
                  <v>580.65254588588</v>
                </pt>
                <pt idx="174">
                  <v>581.26013788927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45167379"/>
        <axId val="892031439"/>
      </scatterChart>
      <valAx>
        <axId val="345167379"/>
        <scaling>
          <orientation val="minMax"/>
          <max val="0.06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92031439"/>
        <crosses val="autoZero"/>
        <crossBetween val="midCat"/>
      </valAx>
      <valAx>
        <axId val="89203143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45167379"/>
        <crosses val="autoZero"/>
        <crossBetween val="midCat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Relationship Type="http://schemas.openxmlformats.org/officeDocument/2006/relationships/chart" Target="/xl/charts/chart7.xml" Id="rId6"/><Relationship Type="http://schemas.openxmlformats.org/officeDocument/2006/relationships/chart" Target="/xl/charts/chart8.xml" Id="rId7"/><Relationship Type="http://schemas.openxmlformats.org/officeDocument/2006/relationships/chart" Target="/xl/charts/chart9.xml" Id="rId8"/><Relationship Type="http://schemas.openxmlformats.org/officeDocument/2006/relationships/chart" Target="/xl/charts/chart10.xml" Id="rId9"/></Relationships>
</file>

<file path=xl/drawings/drawing1.xml><?xml version="1.0" encoding="utf-8"?>
<wsDr xmlns="http://schemas.openxmlformats.org/drawingml/2006/spreadsheetDrawing">
  <twoCellAnchor>
    <from>
      <col>12</col>
      <colOff>0</colOff>
      <row>46</row>
      <rowOff>0</rowOff>
    </from>
    <to>
      <col>22</col>
      <colOff>298450</colOff>
      <row>79</row>
      <rowOff>104140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9525</colOff>
      <row>0</row>
      <rowOff>9525</rowOff>
    </from>
    <to>
      <col>11</col>
      <colOff>161925</colOff>
      <row>33</row>
      <rowOff>113665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40</row>
      <rowOff>0</rowOff>
    </from>
    <to>
      <col>11</col>
      <colOff>152400</colOff>
      <row>73</row>
      <rowOff>104140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77</row>
      <rowOff>0</rowOff>
    </from>
    <to>
      <col>11</col>
      <colOff>152400</colOff>
      <row>110</row>
      <rowOff>104140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0</colOff>
      <row>118</row>
      <rowOff>0</rowOff>
    </from>
    <to>
      <col>11</col>
      <colOff>152400</colOff>
      <row>151</row>
      <rowOff>104140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0</colOff>
      <row>156</row>
      <rowOff>0</rowOff>
    </from>
    <to>
      <col>11</col>
      <colOff>152400</colOff>
      <row>189</row>
      <rowOff>104140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0</colOff>
      <row>196</row>
      <rowOff>0</rowOff>
    </from>
    <to>
      <col>11</col>
      <colOff>152400</colOff>
      <row>229</row>
      <rowOff>104140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0</colOff>
      <row>236</row>
      <rowOff>0</rowOff>
    </from>
    <to>
      <col>11</col>
      <colOff>152400</colOff>
      <row>269</row>
      <rowOff>104140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0</col>
      <colOff>0</colOff>
      <row>275</row>
      <rowOff>0</rowOff>
    </from>
    <to>
      <col>11</col>
      <colOff>152400</colOff>
      <row>308</row>
      <rowOff>104140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0</col>
      <colOff>0</colOff>
      <row>314</row>
      <rowOff>0</rowOff>
    </from>
    <to>
      <col>11</col>
      <colOff>152400</colOff>
      <row>347</row>
      <rowOff>104140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topLeftCell="G1" workbookViewId="0">
      <selection activeCell="AB3" sqref="AB3"/>
    </sheetView>
  </sheetViews>
  <sheetFormatPr baseColWidth="8" defaultColWidth="8.85546875" defaultRowHeight="15"/>
  <cols>
    <col width="12.42578125" customWidth="1" style="5" min="17" max="17"/>
    <col width="12.42578125" customWidth="1" style="5" min="20" max="20"/>
    <col width="12.42578125" customWidth="1" style="5" min="23" max="23"/>
    <col width="12.42578125" customWidth="1" style="5" min="26" max="26"/>
  </cols>
  <sheetData>
    <row r="1">
      <c r="A1" s="8" t="inlineStr">
        <is>
          <t>Strain Rate 3e-3/s</t>
        </is>
      </c>
    </row>
    <row r="2">
      <c r="A2" s="9" t="inlineStr">
        <is>
          <t>923K 2014 Singh</t>
        </is>
      </c>
      <c r="C2" s="2" t="n"/>
      <c r="D2" s="9" t="inlineStr">
        <is>
          <t>873K 2014 Singh</t>
        </is>
      </c>
      <c r="F2" s="2" t="n"/>
      <c r="G2" s="9" t="inlineStr">
        <is>
          <t>823K 2014 Singh</t>
        </is>
      </c>
      <c r="I2" s="2" t="n"/>
      <c r="J2" s="9" t="inlineStr">
        <is>
          <t>773K 2014 Singh</t>
        </is>
      </c>
      <c r="L2" s="2" t="n"/>
      <c r="M2" s="9" t="inlineStr">
        <is>
          <t>723K 2014 Singh</t>
        </is>
      </c>
      <c r="P2" s="2" t="inlineStr">
        <is>
          <t>673K 2014 Singh</t>
        </is>
      </c>
      <c r="S2" s="2" t="inlineStr">
        <is>
          <t>573K 2014 Singh</t>
        </is>
      </c>
      <c r="V2" s="2" t="inlineStr">
        <is>
          <t>473K 2014 Singh</t>
        </is>
      </c>
      <c r="Y2" s="2" t="inlineStr">
        <is>
          <t>300K 2014 Singh</t>
        </is>
      </c>
      <c r="AB2" s="2" t="inlineStr">
        <is>
          <t>473K 2008 MatijaSevic</t>
        </is>
      </c>
    </row>
    <row r="3">
      <c r="A3" s="2" t="n">
        <v>0.00243</v>
      </c>
      <c r="B3" s="2" t="n">
        <v>287.54627</v>
      </c>
      <c r="C3" s="2" t="n"/>
      <c r="D3" s="2" t="n">
        <v>0.0024</v>
      </c>
      <c r="E3" s="2" t="n">
        <v>345.07187</v>
      </c>
      <c r="F3" s="2" t="n"/>
      <c r="G3" s="2" t="n">
        <v>0.00257</v>
      </c>
      <c r="H3" s="2" t="n">
        <v>403.8299</v>
      </c>
      <c r="I3" s="2" t="n"/>
      <c r="J3" s="2" t="n">
        <v>0.00232</v>
      </c>
      <c r="K3" s="2" t="n">
        <v>429.74229</v>
      </c>
      <c r="L3" s="2" t="n"/>
      <c r="M3" s="2" t="n">
        <v>0.00231</v>
      </c>
      <c r="N3" s="2" t="n">
        <v>448.23921</v>
      </c>
      <c r="P3" s="2" t="n">
        <v>0.003</v>
      </c>
      <c r="Q3" s="2">
        <f>788.687*P3^0.092</f>
        <v/>
      </c>
      <c r="S3" s="2" t="n">
        <v>0.003</v>
      </c>
      <c r="T3" s="2">
        <f>795.02*S3^0.08892</f>
        <v/>
      </c>
      <c r="V3" s="2" t="n">
        <v>0.003</v>
      </c>
      <c r="W3" s="2">
        <f>873.306*V3^0.10255</f>
        <v/>
      </c>
      <c r="Y3" s="2" t="n">
        <v>0.003</v>
      </c>
      <c r="Z3" s="2">
        <f>976.79*Y3^0.09551</f>
        <v/>
      </c>
      <c r="AB3" t="n">
        <v>0</v>
      </c>
      <c r="AC3" t="n">
        <v>0</v>
      </c>
    </row>
    <row r="4">
      <c r="A4" s="2" t="n">
        <v>0.00272</v>
      </c>
      <c r="B4" s="2" t="n">
        <v>290.5856</v>
      </c>
      <c r="C4" s="2" t="n"/>
      <c r="D4" s="2" t="n">
        <v>0.00271</v>
      </c>
      <c r="E4" s="2" t="n">
        <v>348.62585</v>
      </c>
      <c r="F4" s="2" t="n"/>
      <c r="G4" s="2" t="n">
        <v>0.00288</v>
      </c>
      <c r="H4" s="2" t="n">
        <v>406.36375</v>
      </c>
      <c r="I4" s="2" t="n"/>
      <c r="J4" s="2" t="n">
        <v>0.00266</v>
      </c>
      <c r="K4" s="2" t="n">
        <v>435.39068</v>
      </c>
      <c r="L4" s="2" t="n"/>
      <c r="M4" s="2" t="n">
        <v>0.00259</v>
      </c>
      <c r="N4" s="2" t="n">
        <v>452.40283</v>
      </c>
      <c r="P4" s="2" t="n">
        <v>0.01</v>
      </c>
      <c r="Q4" s="2">
        <f>788.687*P4^0.092</f>
        <v/>
      </c>
      <c r="S4" s="2" t="n">
        <v>0.01</v>
      </c>
      <c r="T4" s="2">
        <f>795.02*S4^0.08892</f>
        <v/>
      </c>
      <c r="V4" s="2" t="n">
        <v>0.01</v>
      </c>
      <c r="W4" s="2">
        <f>873.306*V4^0.10255</f>
        <v/>
      </c>
      <c r="Y4" s="2" t="n">
        <v>0.01</v>
      </c>
      <c r="Z4" s="2">
        <f>976.79*Y4^0.09551</f>
        <v/>
      </c>
      <c r="AB4" t="n">
        <v>0.0032546977205</v>
      </c>
      <c r="AC4" t="n">
        <v>440.677129319</v>
      </c>
    </row>
    <row r="5">
      <c r="A5" s="2" t="n">
        <v>0.00304</v>
      </c>
      <c r="B5" s="2" t="n">
        <v>292.9537</v>
      </c>
      <c r="C5" s="2" t="n"/>
      <c r="D5" s="2" t="n">
        <v>0.00303</v>
      </c>
      <c r="E5" s="2" t="n">
        <v>351.53479</v>
      </c>
      <c r="F5" s="2" t="n"/>
      <c r="G5" s="2" t="n">
        <v>0.00321</v>
      </c>
      <c r="H5" s="2" t="n">
        <v>408.43995</v>
      </c>
      <c r="I5" s="2" t="n"/>
      <c r="J5" s="2" t="n">
        <v>0.00297</v>
      </c>
      <c r="K5" s="2" t="n">
        <v>437.97853</v>
      </c>
      <c r="L5" s="2" t="n"/>
      <c r="M5" s="2" t="n">
        <v>0.00291</v>
      </c>
      <c r="N5" s="2" t="n">
        <v>457.36345</v>
      </c>
      <c r="P5" s="2" t="n">
        <v>0.015</v>
      </c>
      <c r="Q5" s="2">
        <f>788.687*P5^0.092</f>
        <v/>
      </c>
      <c r="S5" s="2" t="n">
        <v>0.015</v>
      </c>
      <c r="T5" s="2">
        <f>795.02*S5^0.08892</f>
        <v/>
      </c>
      <c r="V5" s="2" t="n">
        <v>0.015</v>
      </c>
      <c r="W5" s="2">
        <f>873.306*V5^0.10255</f>
        <v/>
      </c>
      <c r="Y5" s="2" t="n">
        <v>0.015</v>
      </c>
      <c r="Z5" s="2">
        <f>976.79*Y5^0.09551</f>
        <v/>
      </c>
      <c r="AB5" t="n">
        <v>0.00368320865159</v>
      </c>
      <c r="AC5" t="n">
        <v>473.527904067</v>
      </c>
    </row>
    <row r="6">
      <c r="A6" s="2" t="n">
        <v>0.0034</v>
      </c>
      <c r="B6" s="2" t="n">
        <v>294.97606</v>
      </c>
      <c r="C6" s="2" t="n"/>
      <c r="D6" s="2" t="n">
        <v>0.00339</v>
      </c>
      <c r="E6" s="2" t="n">
        <v>354.33207</v>
      </c>
      <c r="F6" s="2" t="n"/>
      <c r="G6" s="2" t="n">
        <v>0.0036</v>
      </c>
      <c r="H6" s="2" t="n">
        <v>411.55532</v>
      </c>
      <c r="I6" s="2" t="n"/>
      <c r="J6" s="2" t="n">
        <v>0.0033</v>
      </c>
      <c r="K6" s="2" t="n">
        <v>440.511</v>
      </c>
      <c r="L6" s="2" t="n"/>
      <c r="M6" s="2" t="n">
        <v>0.00324</v>
      </c>
      <c r="N6" s="2" t="n">
        <v>460.4656</v>
      </c>
      <c r="P6" s="2" t="n">
        <v>0.02</v>
      </c>
      <c r="Q6" s="2">
        <f>788.687*P6^0.092</f>
        <v/>
      </c>
      <c r="S6" s="2" t="n">
        <v>0.02</v>
      </c>
      <c r="T6" s="2">
        <f>795.02*S6^0.08892</f>
        <v/>
      </c>
      <c r="V6" s="2" t="n">
        <v>0.02</v>
      </c>
      <c r="W6" s="2">
        <f>873.306*V6^0.10255</f>
        <v/>
      </c>
      <c r="Y6" s="2" t="n">
        <v>0.02</v>
      </c>
      <c r="Z6" s="2">
        <f>976.79*Y6^0.09551</f>
        <v/>
      </c>
      <c r="AB6" t="n">
        <v>0.00551476568802</v>
      </c>
      <c r="AC6" t="n">
        <v>501.704276458</v>
      </c>
    </row>
    <row r="7">
      <c r="A7" s="2" t="n">
        <v>0.0038</v>
      </c>
      <c r="B7" s="2" t="n">
        <v>297.23668</v>
      </c>
      <c r="C7" s="2" t="n"/>
      <c r="D7" s="2" t="n">
        <v>0.00379</v>
      </c>
      <c r="E7" s="2" t="n">
        <v>357.39352</v>
      </c>
      <c r="F7" s="2" t="n"/>
      <c r="G7" s="2" t="n">
        <v>0.00402</v>
      </c>
      <c r="H7" s="2" t="n">
        <v>414.21106</v>
      </c>
      <c r="I7" s="2" t="n"/>
      <c r="J7" s="2" t="n">
        <v>0.0037</v>
      </c>
      <c r="K7" s="2" t="n">
        <v>443.71927</v>
      </c>
      <c r="L7" s="2" t="n"/>
      <c r="M7" s="2" t="n">
        <v>0.00363</v>
      </c>
      <c r="N7" s="2" t="n">
        <v>465.00311</v>
      </c>
      <c r="P7" s="2" t="n">
        <v>0.025</v>
      </c>
      <c r="Q7" s="2">
        <f>788.687*P7^0.092</f>
        <v/>
      </c>
      <c r="S7" s="2" t="n">
        <v>0.025</v>
      </c>
      <c r="T7" s="2">
        <f>795.02*S7^0.08892</f>
        <v/>
      </c>
      <c r="V7" s="2" t="n">
        <v>0.025</v>
      </c>
      <c r="W7" s="2">
        <f>873.306*V7^0.10255</f>
        <v/>
      </c>
      <c r="Y7" s="2" t="n">
        <v>0.025</v>
      </c>
      <c r="Z7" s="2">
        <f>976.79*Y7^0.09551</f>
        <v/>
      </c>
      <c r="AB7" t="n">
        <v>0.0100988346774</v>
      </c>
      <c r="AC7" t="n">
        <v>534.2578698459999</v>
      </c>
    </row>
    <row r="8">
      <c r="A8" s="2" t="n">
        <v>0.00426</v>
      </c>
      <c r="B8" s="2" t="n">
        <v>298.57603</v>
      </c>
      <c r="C8" s="2" t="n"/>
      <c r="D8" s="2" t="n">
        <v>0.00424</v>
      </c>
      <c r="E8" s="2" t="n">
        <v>359.81189</v>
      </c>
      <c r="F8" s="2" t="n"/>
      <c r="G8" s="2" t="n">
        <v>0.0045</v>
      </c>
      <c r="H8" s="2" t="n">
        <v>416.91328</v>
      </c>
      <c r="I8" s="2" t="n"/>
      <c r="J8" s="2" t="n">
        <v>0.00418</v>
      </c>
      <c r="K8" s="2" t="n">
        <v>448.91837</v>
      </c>
      <c r="L8" s="2" t="n"/>
      <c r="M8" s="2" t="n">
        <v>0.00406</v>
      </c>
      <c r="N8" s="2" t="n">
        <v>468.78553</v>
      </c>
      <c r="P8" s="2" t="n">
        <v>0.03</v>
      </c>
      <c r="Q8" s="2">
        <f>788.687*P8^0.092</f>
        <v/>
      </c>
      <c r="S8" s="2" t="n">
        <v>0.03</v>
      </c>
      <c r="T8" s="2">
        <f>795.02*S8^0.08892</f>
        <v/>
      </c>
      <c r="V8" s="2" t="n">
        <v>0.03</v>
      </c>
      <c r="W8" s="2">
        <f>873.306*V8^0.10255</f>
        <v/>
      </c>
      <c r="Y8" s="2" t="n">
        <v>0.03</v>
      </c>
      <c r="Z8" s="2">
        <f>976.79*Y8^0.09551</f>
        <v/>
      </c>
      <c r="AB8" t="n">
        <v>0.017407604655</v>
      </c>
      <c r="AC8" t="n">
        <v>563.207524021</v>
      </c>
    </row>
    <row r="9">
      <c r="A9" s="2" t="n">
        <v>0.00476</v>
      </c>
      <c r="B9" s="2" t="n">
        <v>300.50574</v>
      </c>
      <c r="C9" s="2" t="n"/>
      <c r="D9" s="2" t="n">
        <v>0.00475</v>
      </c>
      <c r="E9" s="2" t="n">
        <v>362.70428</v>
      </c>
      <c r="F9" s="2" t="n"/>
      <c r="G9" s="2" t="n">
        <v>0.00503</v>
      </c>
      <c r="H9" s="2" t="n">
        <v>419.94125</v>
      </c>
      <c r="I9" s="2" t="n"/>
      <c r="J9" s="2" t="n">
        <v>0.0048</v>
      </c>
      <c r="K9" s="2" t="n">
        <v>452.71912</v>
      </c>
      <c r="L9" s="2" t="n"/>
      <c r="M9" s="2" t="n">
        <v>0.00454</v>
      </c>
      <c r="N9" s="2" t="n">
        <v>472.95524</v>
      </c>
      <c r="P9" s="2" t="n">
        <v>0.035</v>
      </c>
      <c r="Q9" s="2">
        <f>788.687*P9^0.092</f>
        <v/>
      </c>
      <c r="S9" s="2" t="n">
        <v>0.035</v>
      </c>
      <c r="T9" s="2">
        <f>795.02*S9^0.08892</f>
        <v/>
      </c>
      <c r="V9" s="2" t="n">
        <v>0.035</v>
      </c>
      <c r="W9" s="2">
        <f>873.306*V9^0.10255</f>
        <v/>
      </c>
      <c r="Y9" s="2" t="n">
        <v>0.035</v>
      </c>
      <c r="Z9" s="2">
        <f>976.79*Y9^0.09551</f>
        <v/>
      </c>
      <c r="AB9" t="n">
        <v>0.0242144495081</v>
      </c>
      <c r="AC9" t="n">
        <v>592.242901093</v>
      </c>
    </row>
    <row r="10">
      <c r="A10" s="2" t="n">
        <v>0.00533</v>
      </c>
      <c r="B10" s="2" t="n">
        <v>302.7674</v>
      </c>
      <c r="C10" s="2" t="n"/>
      <c r="D10" s="2" t="n">
        <v>0.00531</v>
      </c>
      <c r="E10" s="2" t="n">
        <v>365.23203</v>
      </c>
      <c r="F10" s="2" t="n"/>
      <c r="G10" s="2" t="n">
        <v>0.00563</v>
      </c>
      <c r="H10" s="2" t="n">
        <v>422.52788</v>
      </c>
      <c r="I10" s="2" t="n"/>
      <c r="J10" s="2" t="n">
        <v>0.00535</v>
      </c>
      <c r="K10" s="2" t="n">
        <v>455.1512</v>
      </c>
      <c r="L10" s="2" t="n"/>
      <c r="M10" s="2" t="n">
        <v>0.00508</v>
      </c>
      <c r="N10" s="2" t="n">
        <v>476.58667</v>
      </c>
      <c r="P10" s="2" t="n">
        <v>0.04</v>
      </c>
      <c r="Q10" s="2">
        <f>788.687*P10^0.092</f>
        <v/>
      </c>
      <c r="S10" s="2" t="n">
        <v>0.04</v>
      </c>
      <c r="T10" s="2">
        <f>795.02*S10^0.08892</f>
        <v/>
      </c>
      <c r="V10" s="2" t="n">
        <v>0.04</v>
      </c>
      <c r="W10" s="2">
        <f>873.306*V10^0.10255</f>
        <v/>
      </c>
      <c r="Y10" s="2" t="n">
        <v>0.04</v>
      </c>
      <c r="Z10" s="2">
        <f>976.79*Y10^0.09551</f>
        <v/>
      </c>
      <c r="AB10" t="n">
        <v>0.0345849847488</v>
      </c>
      <c r="AC10" t="n">
        <v>618.360052987</v>
      </c>
    </row>
    <row r="11">
      <c r="A11" s="2" t="n">
        <v>0.00596</v>
      </c>
      <c r="B11" s="2" t="n">
        <v>305.13811</v>
      </c>
      <c r="C11" s="2" t="n"/>
      <c r="D11" s="2" t="n">
        <v>0.00594</v>
      </c>
      <c r="E11" s="2" t="n">
        <v>367.88623</v>
      </c>
      <c r="F11" s="2" t="n"/>
      <c r="G11" s="2" t="n">
        <v>0.0063</v>
      </c>
      <c r="H11" s="2" t="n">
        <v>425.47316</v>
      </c>
      <c r="I11" s="2" t="n"/>
      <c r="J11" s="2" t="n">
        <v>0.00598</v>
      </c>
      <c r="K11" s="2" t="n">
        <v>458.30018</v>
      </c>
      <c r="L11" s="2" t="n"/>
      <c r="M11" s="2" t="n">
        <v>0.00568</v>
      </c>
      <c r="N11" s="2" t="n">
        <v>480.02872</v>
      </c>
      <c r="P11" s="2" t="n">
        <v>0.045</v>
      </c>
      <c r="Q11" s="2">
        <f>788.687*P11^0.092</f>
        <v/>
      </c>
      <c r="S11" s="2" t="n">
        <v>0.045</v>
      </c>
      <c r="T11" s="2">
        <f>795.02*S11^0.08892</f>
        <v/>
      </c>
      <c r="V11" s="2" t="n">
        <v>0.045</v>
      </c>
      <c r="W11" s="2">
        <f>873.306*V11^0.10255</f>
        <v/>
      </c>
      <c r="Y11" s="2" t="n">
        <v>0.045</v>
      </c>
      <c r="Z11" s="2">
        <f>976.79*Y11^0.09551</f>
        <v/>
      </c>
      <c r="AB11" t="n">
        <v>0.0461867782993</v>
      </c>
      <c r="AC11" t="n">
        <v>640.113751796</v>
      </c>
    </row>
    <row r="12">
      <c r="A12" s="2" t="n">
        <v>0.00667</v>
      </c>
      <c r="B12" s="2" t="n">
        <v>306.97131</v>
      </c>
      <c r="C12" s="2" t="n"/>
      <c r="D12" s="2" t="n">
        <v>0.00665</v>
      </c>
      <c r="E12" s="2" t="n">
        <v>370.04803</v>
      </c>
      <c r="F12" s="2" t="n"/>
      <c r="G12" s="2" t="n">
        <v>0.00705</v>
      </c>
      <c r="H12" s="2" t="n">
        <v>428.29775</v>
      </c>
      <c r="I12" s="2" t="n"/>
      <c r="J12" s="2" t="n">
        <v>0.00669</v>
      </c>
      <c r="K12" s="2" t="n">
        <v>461.9584</v>
      </c>
      <c r="L12" s="2" t="n"/>
      <c r="M12" s="2" t="n">
        <v>0.00635</v>
      </c>
      <c r="N12" s="2" t="n">
        <v>483.95422</v>
      </c>
      <c r="P12" s="2" t="n">
        <v>0.05</v>
      </c>
      <c r="Q12" s="2">
        <f>788.687*P12^0.092</f>
        <v/>
      </c>
      <c r="S12" s="2" t="n">
        <v>0.05</v>
      </c>
      <c r="T12" s="2">
        <f>795.02*S12^0.08892</f>
        <v/>
      </c>
      <c r="V12" s="2" t="n">
        <v>0.05</v>
      </c>
      <c r="W12" s="2">
        <f>873.306*V12^0.10255</f>
        <v/>
      </c>
      <c r="Y12" s="2" t="n">
        <v>0.05</v>
      </c>
      <c r="Z12" s="2">
        <f>976.79*Y12^0.09551</f>
        <v/>
      </c>
      <c r="AB12" t="n">
        <v>0.0572211896473</v>
      </c>
      <c r="AC12" t="n">
        <v>650.420312908</v>
      </c>
    </row>
    <row r="13">
      <c r="A13" s="2" t="n">
        <v>0.00746</v>
      </c>
      <c r="B13" s="2" t="n">
        <v>309.18836</v>
      </c>
      <c r="C13" s="2" t="n"/>
      <c r="D13" s="2" t="n">
        <v>0.00743</v>
      </c>
      <c r="E13" s="2" t="n">
        <v>372.93002</v>
      </c>
      <c r="F13" s="2" t="n"/>
      <c r="G13" s="2" t="n">
        <v>0.007889999999999999</v>
      </c>
      <c r="H13" s="2" t="n">
        <v>430.91264</v>
      </c>
      <c r="I13" s="2" t="n"/>
      <c r="J13" s="2" t="n">
        <v>0.00748</v>
      </c>
      <c r="K13" s="2" t="n">
        <v>465.36499</v>
      </c>
      <c r="L13" s="2" t="n"/>
      <c r="M13" s="2" t="n">
        <v>0.00711</v>
      </c>
      <c r="N13" s="2" t="n">
        <v>489.56507</v>
      </c>
      <c r="P13" s="2" t="n">
        <v>0.055</v>
      </c>
      <c r="Q13" s="2">
        <f>788.687*P13^0.092</f>
        <v/>
      </c>
      <c r="S13" s="2" t="n">
        <v>0.055</v>
      </c>
      <c r="T13" s="2">
        <f>795.02*S13^0.08892</f>
        <v/>
      </c>
      <c r="V13" s="2" t="n">
        <v>0.055</v>
      </c>
      <c r="W13" s="2">
        <f>873.306*V13^0.10255</f>
        <v/>
      </c>
      <c r="Y13" s="2" t="n">
        <v>0.055</v>
      </c>
      <c r="Z13" s="2">
        <f>976.79*Y13^0.09551</f>
        <v/>
      </c>
      <c r="AB13" t="n">
        <v>0.072041552865</v>
      </c>
      <c r="AC13" t="n">
        <v>666.41878325</v>
      </c>
    </row>
    <row r="14">
      <c r="A14" s="2" t="n">
        <v>0.00834</v>
      </c>
      <c r="B14" s="2" t="n">
        <v>310.48345</v>
      </c>
      <c r="C14" s="2" t="n"/>
      <c r="D14" s="2" t="n">
        <v>0.008319999999999999</v>
      </c>
      <c r="E14" s="2" t="n">
        <v>375.59997</v>
      </c>
      <c r="F14" s="2" t="n"/>
      <c r="G14" s="2" t="n">
        <v>0.00882</v>
      </c>
      <c r="H14" s="2" t="n">
        <v>434.36473</v>
      </c>
      <c r="I14" s="2" t="n"/>
      <c r="J14" s="2" t="n">
        <v>0.008370000000000001</v>
      </c>
      <c r="K14" s="2" t="n">
        <v>468.65532</v>
      </c>
      <c r="L14" s="2" t="n"/>
      <c r="M14" s="2" t="n">
        <v>0.00795</v>
      </c>
      <c r="N14" s="2" t="n">
        <v>493.47286</v>
      </c>
      <c r="P14" s="2" t="n">
        <v>0.06</v>
      </c>
      <c r="Q14" s="2">
        <f>788.687*P14^0.092</f>
        <v/>
      </c>
      <c r="S14" s="2" t="n">
        <v>0.06</v>
      </c>
      <c r="T14" s="2">
        <f>795.02*S14^0.08892</f>
        <v/>
      </c>
      <c r="V14" s="2" t="n">
        <v>0.06</v>
      </c>
      <c r="W14" s="2">
        <f>873.306*V14^0.10255</f>
        <v/>
      </c>
      <c r="Y14" s="2" t="n">
        <v>0.06</v>
      </c>
      <c r="Z14" s="2">
        <f>976.79*Y14^0.09551</f>
        <v/>
      </c>
      <c r="AB14" t="n">
        <v>0.0841021492875</v>
      </c>
      <c r="AC14" t="n">
        <v>663.09441854</v>
      </c>
    </row>
    <row r="15">
      <c r="A15" s="2" t="n">
        <v>0.00933</v>
      </c>
      <c r="B15" s="2" t="n">
        <v>311.97212</v>
      </c>
      <c r="C15" s="2" t="n"/>
      <c r="D15" s="2" t="n">
        <v>0.009299999999999999</v>
      </c>
      <c r="E15" s="2" t="n">
        <v>377.9656</v>
      </c>
      <c r="F15" s="2" t="n"/>
      <c r="G15" s="2" t="n">
        <v>0.00987</v>
      </c>
      <c r="H15" s="2" t="n">
        <v>437.61184</v>
      </c>
      <c r="I15" s="2" t="n"/>
      <c r="J15" s="2" t="n">
        <v>0.00937</v>
      </c>
      <c r="K15" s="2" t="n">
        <v>472.3962</v>
      </c>
      <c r="L15" s="2" t="n"/>
      <c r="M15" s="2" t="n">
        <v>0.00889</v>
      </c>
      <c r="N15" s="2" t="n">
        <v>497.712</v>
      </c>
      <c r="P15" s="2" t="n">
        <v>0.065</v>
      </c>
      <c r="Q15" s="2">
        <f>788.687*P15^0.092</f>
        <v/>
      </c>
      <c r="S15" s="2" t="n">
        <v>0.065</v>
      </c>
      <c r="T15" s="2">
        <f>795.02*S15^0.08892</f>
        <v/>
      </c>
      <c r="V15" s="2" t="n">
        <v>0.065</v>
      </c>
      <c r="W15" s="2">
        <f>873.306*V15^0.10255</f>
        <v/>
      </c>
      <c r="Y15" s="2" t="n">
        <v>0.065</v>
      </c>
      <c r="Z15" s="2">
        <f>976.79*Y15^0.09551</f>
        <v/>
      </c>
      <c r="AB15" t="n">
        <v>0.0964368176368</v>
      </c>
      <c r="AC15" t="n">
        <v>653.81554854</v>
      </c>
    </row>
    <row r="16">
      <c r="A16" s="2" t="n">
        <v>0.01044</v>
      </c>
      <c r="B16" s="2" t="n">
        <v>313.5625</v>
      </c>
      <c r="C16" s="2" t="n"/>
      <c r="D16" s="2" t="n">
        <v>0.01041</v>
      </c>
      <c r="E16" s="2" t="n">
        <v>380.00619</v>
      </c>
      <c r="F16" s="2" t="n"/>
      <c r="G16" s="2" t="n">
        <v>0.01104</v>
      </c>
      <c r="H16" s="2" t="n">
        <v>440.57302</v>
      </c>
      <c r="I16" s="2" t="n"/>
      <c r="J16" s="2" t="n">
        <v>0.01048</v>
      </c>
      <c r="K16" s="2" t="n">
        <v>475.30592</v>
      </c>
      <c r="L16" s="2" t="n"/>
      <c r="M16" s="2" t="n">
        <v>0.009950000000000001</v>
      </c>
      <c r="N16" s="2" t="n">
        <v>502.21475</v>
      </c>
      <c r="P16" s="2" t="n">
        <v>0.07000000000000001</v>
      </c>
      <c r="Q16" s="2">
        <f>788.687*P16^0.092</f>
        <v/>
      </c>
      <c r="S16" s="2" t="n">
        <v>0.07000000000000001</v>
      </c>
      <c r="T16" s="2">
        <f>795.02*S16^0.08892</f>
        <v/>
      </c>
      <c r="V16" s="2" t="n">
        <v>0.07000000000000001</v>
      </c>
      <c r="W16" s="2">
        <f>873.306*V16^0.10255</f>
        <v/>
      </c>
      <c r="Y16" s="2" t="n">
        <v>0.07000000000000001</v>
      </c>
      <c r="Z16" s="2">
        <f>976.79*Y16^0.09551</f>
        <v/>
      </c>
      <c r="AB16" t="n">
        <v>0.110718137934</v>
      </c>
      <c r="AC16" t="n">
        <v>639.473607763</v>
      </c>
    </row>
    <row r="17">
      <c r="A17" s="2" t="n">
        <v>0.01168</v>
      </c>
      <c r="B17" s="2" t="n">
        <v>314.68601</v>
      </c>
      <c r="C17" s="2" t="n"/>
      <c r="D17" s="2" t="n">
        <v>0.01164</v>
      </c>
      <c r="E17" s="2" t="n">
        <v>381.27192</v>
      </c>
      <c r="F17" s="2" t="n"/>
      <c r="G17" s="2" t="n">
        <v>0.01235</v>
      </c>
      <c r="H17" s="2" t="n">
        <v>443.75498</v>
      </c>
      <c r="I17" s="2" t="n"/>
      <c r="J17" s="2" t="n">
        <v>0.01172</v>
      </c>
      <c r="K17" s="2" t="n">
        <v>479.24442</v>
      </c>
      <c r="L17" s="2" t="n"/>
      <c r="M17" s="2" t="n">
        <v>0.01113</v>
      </c>
      <c r="N17" s="2" t="n">
        <v>505.8419</v>
      </c>
      <c r="P17" s="2" t="n">
        <v>0.075</v>
      </c>
      <c r="Q17" s="2">
        <f>788.687*P17^0.092</f>
        <v/>
      </c>
      <c r="S17" s="2" t="n">
        <v>0.075</v>
      </c>
      <c r="T17" s="2">
        <f>795.02*S17^0.08892</f>
        <v/>
      </c>
      <c r="V17" s="2" t="n">
        <v>0.075</v>
      </c>
      <c r="W17" s="2">
        <f>873.306*V17^0.10255</f>
        <v/>
      </c>
      <c r="Y17" s="2" t="n">
        <v>0.075</v>
      </c>
      <c r="Z17" s="2">
        <f>976.79*Y17^0.09551</f>
        <v/>
      </c>
      <c r="AB17" t="n">
        <v>0.125627740894</v>
      </c>
      <c r="AC17" t="n">
        <v>609.636791546</v>
      </c>
    </row>
    <row r="18">
      <c r="A18" s="2" t="n">
        <v>0.01307</v>
      </c>
      <c r="B18" s="2" t="n">
        <v>316.00413</v>
      </c>
      <c r="C18" s="2" t="n"/>
      <c r="D18" s="2" t="n">
        <v>0.01303</v>
      </c>
      <c r="E18" s="2" t="n">
        <v>383.65398</v>
      </c>
      <c r="F18" s="2" t="n"/>
      <c r="G18" s="2" t="n">
        <v>0.01382</v>
      </c>
      <c r="H18" s="2" t="n">
        <v>446.82512</v>
      </c>
      <c r="I18" s="2" t="n"/>
      <c r="J18" s="2" t="n">
        <v>0.01311</v>
      </c>
      <c r="K18" s="2" t="n">
        <v>483.9449</v>
      </c>
      <c r="L18" s="2" t="n"/>
      <c r="M18" s="2" t="n">
        <v>0.01245</v>
      </c>
      <c r="N18" s="2" t="n">
        <v>510.57218</v>
      </c>
      <c r="P18" s="2" t="n">
        <v>0.08</v>
      </c>
      <c r="Q18" s="2">
        <f>788.687*P18^0.092</f>
        <v/>
      </c>
      <c r="S18" s="2" t="n">
        <v>0.08</v>
      </c>
      <c r="T18" s="2">
        <f>795.02*S18^0.08892</f>
        <v/>
      </c>
      <c r="V18" s="2" t="n">
        <v>0.08</v>
      </c>
      <c r="W18" s="2">
        <f>873.306*V18^0.10255</f>
        <v/>
      </c>
      <c r="Y18" s="2" t="n">
        <v>0.08</v>
      </c>
      <c r="Z18" s="2">
        <f>976.79*Y18^0.09551</f>
        <v/>
      </c>
      <c r="AB18" t="n">
        <v>0.13870050969</v>
      </c>
      <c r="AC18" t="n">
        <v>574.52518843</v>
      </c>
    </row>
    <row r="19">
      <c r="A19" s="2" t="n">
        <v>0.01462</v>
      </c>
      <c r="B19" s="2" t="n">
        <v>317.23207</v>
      </c>
      <c r="C19" s="2" t="n"/>
      <c r="D19" s="2" t="n">
        <v>0.01457</v>
      </c>
      <c r="E19" s="2" t="n">
        <v>385.54</v>
      </c>
      <c r="F19" s="2" t="n"/>
      <c r="G19" s="2" t="n">
        <v>0.01545</v>
      </c>
      <c r="H19" s="2" t="n">
        <v>449.76384</v>
      </c>
      <c r="I19" s="2" t="n"/>
      <c r="J19" s="2" t="n">
        <v>0.01467</v>
      </c>
      <c r="K19" s="2" t="n">
        <v>488.17582</v>
      </c>
      <c r="L19" s="2" t="n"/>
      <c r="M19" s="2" t="n">
        <v>0.01392</v>
      </c>
      <c r="N19" s="2" t="n">
        <v>514.8805599999999</v>
      </c>
      <c r="P19" s="2" t="n">
        <v>0.08500000000000001</v>
      </c>
      <c r="Q19" s="2">
        <f>788.687*P19^0.092</f>
        <v/>
      </c>
      <c r="S19" s="2" t="n">
        <v>0.08500000000000001</v>
      </c>
      <c r="T19" s="2">
        <f>795.02*S19^0.08892</f>
        <v/>
      </c>
      <c r="V19" s="2" t="n">
        <v>0.08500000000000001</v>
      </c>
      <c r="W19" s="2">
        <f>873.306*V19^0.10255</f>
        <v/>
      </c>
      <c r="Y19" s="2" t="n">
        <v>0.08500000000000001</v>
      </c>
      <c r="Z19" s="2">
        <f>976.79*Y19^0.09551</f>
        <v/>
      </c>
      <c r="AB19" t="n">
        <v>0.152412026388</v>
      </c>
      <c r="AC19" t="n">
        <v>526.129078186</v>
      </c>
    </row>
    <row r="20">
      <c r="A20" s="2" t="n">
        <v>0.01636</v>
      </c>
      <c r="B20" s="2" t="n">
        <v>318.36874</v>
      </c>
      <c r="C20" s="2" t="n"/>
      <c r="D20" s="2" t="n">
        <v>0.0163</v>
      </c>
      <c r="E20" s="2" t="n">
        <v>387.96265</v>
      </c>
      <c r="F20" s="2" t="n"/>
      <c r="G20" s="2" t="n">
        <v>0.01729</v>
      </c>
      <c r="H20" s="2" t="n">
        <v>452.89263</v>
      </c>
      <c r="I20" s="2" t="n"/>
      <c r="J20" s="2" t="n">
        <v>0.01641</v>
      </c>
      <c r="K20" s="2" t="n">
        <v>492.22097</v>
      </c>
      <c r="L20" s="2" t="n"/>
      <c r="M20" s="2" t="n">
        <v>0.01558</v>
      </c>
      <c r="N20" s="2" t="n">
        <v>519.46027</v>
      </c>
      <c r="AB20" t="n">
        <v>0.162790392648</v>
      </c>
      <c r="AC20" t="n">
        <v>471.393572146</v>
      </c>
    </row>
    <row r="21">
      <c r="A21" s="2" t="n">
        <v>0.0183</v>
      </c>
      <c r="B21" s="2" t="n">
        <v>319.75051</v>
      </c>
      <c r="C21" s="2" t="n"/>
      <c r="D21" s="2" t="n">
        <v>0.01824</v>
      </c>
      <c r="E21" s="2" t="n">
        <v>389.80265</v>
      </c>
      <c r="F21" s="2" t="n"/>
      <c r="G21" s="2" t="n">
        <v>0.01934</v>
      </c>
      <c r="H21" s="2" t="n">
        <v>455.81969</v>
      </c>
      <c r="I21" s="2" t="n"/>
      <c r="J21" s="2" t="n">
        <v>0.01835</v>
      </c>
      <c r="K21" s="2" t="n">
        <v>496.37449</v>
      </c>
      <c r="L21" s="2" t="n"/>
      <c r="M21" s="2" t="n">
        <v>0.01742</v>
      </c>
      <c r="N21" s="2" t="n">
        <v>524.23883</v>
      </c>
      <c r="AB21" t="n">
        <v>0.166750961803</v>
      </c>
      <c r="AC21" t="n">
        <v>454.197233385</v>
      </c>
    </row>
    <row r="22">
      <c r="A22" s="2" t="n">
        <v>0.02047</v>
      </c>
      <c r="B22" s="2" t="n">
        <v>320.75103</v>
      </c>
      <c r="C22" s="2" t="n"/>
      <c r="D22" s="2" t="n">
        <v>0.0204</v>
      </c>
      <c r="E22" s="2" t="n">
        <v>391.88548</v>
      </c>
      <c r="F22" s="2" t="n"/>
      <c r="G22" s="2" t="n">
        <v>0.02164</v>
      </c>
      <c r="H22" s="2" t="n">
        <v>458.76568</v>
      </c>
      <c r="I22" s="2" t="n"/>
      <c r="J22" s="2" t="n">
        <v>0.02053</v>
      </c>
      <c r="K22" s="2" t="n">
        <v>500.41209</v>
      </c>
      <c r="L22" s="2" t="n"/>
      <c r="M22" s="2" t="n">
        <v>0.01949</v>
      </c>
      <c r="N22" s="2" t="n">
        <v>529.30078</v>
      </c>
    </row>
    <row r="23">
      <c r="A23" s="2" t="n">
        <v>0.0229</v>
      </c>
      <c r="B23" s="2" t="n">
        <v>321.65765</v>
      </c>
      <c r="C23" s="2" t="n"/>
      <c r="D23" s="2" t="n">
        <v>0.02283</v>
      </c>
      <c r="E23" s="2" t="n">
        <v>393.70789</v>
      </c>
      <c r="F23" s="2" t="n"/>
      <c r="G23" s="2" t="n">
        <v>0.02421</v>
      </c>
      <c r="H23" s="2" t="n">
        <v>461.38264</v>
      </c>
      <c r="I23" s="2" t="n"/>
      <c r="J23" s="2" t="n">
        <v>0.02297</v>
      </c>
      <c r="K23" s="2" t="n">
        <v>504.25433</v>
      </c>
      <c r="L23" s="2" t="n"/>
      <c r="M23" s="2" t="n">
        <v>0.0218</v>
      </c>
      <c r="N23" s="2" t="n">
        <v>534.65347</v>
      </c>
    </row>
    <row r="24">
      <c r="A24" s="2" t="n">
        <v>0.02485</v>
      </c>
      <c r="B24" s="2" t="n">
        <v>322.01648</v>
      </c>
      <c r="C24" s="2" t="n"/>
      <c r="D24" s="2" t="n">
        <v>0.02554</v>
      </c>
      <c r="E24" s="2" t="n">
        <v>395.48788</v>
      </c>
      <c r="F24" s="2" t="n"/>
      <c r="G24" s="2" t="n">
        <v>0.02708</v>
      </c>
      <c r="H24" s="2" t="n">
        <v>464.08453</v>
      </c>
      <c r="I24" s="2" t="n"/>
      <c r="J24" s="2" t="n">
        <v>0.02569</v>
      </c>
      <c r="K24" s="2" t="n">
        <v>508.43271</v>
      </c>
      <c r="L24" s="2" t="n"/>
      <c r="M24" s="2" t="n">
        <v>0.02439</v>
      </c>
      <c r="N24" s="2" t="n">
        <v>539.97884</v>
      </c>
    </row>
    <row r="25">
      <c r="A25" s="2" t="n"/>
      <c r="B25" s="2" t="n"/>
      <c r="C25" s="2" t="n"/>
      <c r="D25" s="2" t="n">
        <v>0.02857</v>
      </c>
      <c r="E25" s="2" t="n">
        <v>396.45457</v>
      </c>
      <c r="F25" s="2" t="n"/>
      <c r="G25" s="2" t="n">
        <v>0.03029</v>
      </c>
      <c r="H25" s="2" t="n">
        <v>466.80223</v>
      </c>
      <c r="I25" s="2" t="n"/>
      <c r="J25" s="2" t="n">
        <v>0.02874</v>
      </c>
      <c r="K25" s="2" t="n">
        <v>512.87771</v>
      </c>
      <c r="L25" s="2" t="n"/>
      <c r="M25" s="2" t="n">
        <v>0.02728</v>
      </c>
      <c r="N25" s="2" t="n">
        <v>545.275</v>
      </c>
    </row>
    <row r="26">
      <c r="A26" s="2" t="n"/>
      <c r="B26" s="2" t="n"/>
      <c r="C26" s="2" t="n"/>
      <c r="D26" s="2" t="n">
        <v>0.03069</v>
      </c>
      <c r="E26" s="2" t="n">
        <v>397.33305</v>
      </c>
      <c r="F26" s="2" t="n"/>
      <c r="G26" s="2" t="n">
        <v>0.03389</v>
      </c>
      <c r="H26" s="2" t="n">
        <v>469.39424</v>
      </c>
      <c r="I26" s="2" t="n"/>
      <c r="J26" s="2" t="n">
        <v>0.03215</v>
      </c>
      <c r="K26" s="2" t="n">
        <v>516.8936200000001</v>
      </c>
      <c r="L26" s="2" t="n"/>
      <c r="M26" s="2" t="n">
        <v>0.03052</v>
      </c>
      <c r="N26" s="2" t="n">
        <v>551.20474</v>
      </c>
    </row>
    <row r="27">
      <c r="A27" s="2" t="n"/>
      <c r="B27" s="2" t="n"/>
      <c r="C27" s="2" t="n"/>
      <c r="D27" s="2" t="n"/>
      <c r="E27" s="2" t="n"/>
      <c r="F27" s="2" t="n"/>
      <c r="G27" s="2" t="n">
        <v>0.03791</v>
      </c>
      <c r="H27" s="2" t="n">
        <v>471.78712</v>
      </c>
      <c r="I27" s="2" t="n"/>
      <c r="J27" s="2" t="n">
        <v>0.03597</v>
      </c>
      <c r="K27" s="2" t="n">
        <v>521.01954</v>
      </c>
      <c r="L27" s="2" t="n"/>
      <c r="M27" s="2" t="n">
        <v>0.03414</v>
      </c>
      <c r="N27" s="2" t="n">
        <v>557.0309099999999</v>
      </c>
    </row>
    <row r="28">
      <c r="A28" s="2" t="n"/>
      <c r="B28" s="2" t="n"/>
      <c r="C28" s="2" t="n"/>
      <c r="D28" s="2" t="n"/>
      <c r="E28" s="2" t="n"/>
      <c r="F28" s="2" t="n"/>
      <c r="G28" s="2" t="n">
        <v>0.04114</v>
      </c>
      <c r="H28" s="2" t="n">
        <v>472.94071</v>
      </c>
      <c r="I28" s="2" t="n"/>
      <c r="J28" s="2" t="n">
        <v>0.04024</v>
      </c>
      <c r="K28" s="2" t="n">
        <v>525.25761</v>
      </c>
      <c r="L28" s="2" t="n"/>
      <c r="M28" s="2" t="n">
        <v>0.03819</v>
      </c>
      <c r="N28" s="2" t="n">
        <v>562.57917</v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>
        <v>0.04501</v>
      </c>
      <c r="K29" s="2" t="n">
        <v>529.61002</v>
      </c>
      <c r="L29" s="2" t="n"/>
      <c r="M29" s="2" t="n">
        <v>0.04272</v>
      </c>
      <c r="N29" s="2" t="n">
        <v>568.52557</v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>
        <v>0.05035</v>
      </c>
      <c r="K30" s="2" t="n">
        <v>533.75694</v>
      </c>
      <c r="L30" s="2" t="n"/>
      <c r="M30" s="2" t="n">
        <v>0.04779</v>
      </c>
      <c r="N30" s="2" t="n">
        <v>574.0151499999999</v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>
        <v>0.05633</v>
      </c>
      <c r="K31" s="2" t="n">
        <v>538.09862</v>
      </c>
      <c r="L31" s="2" t="n"/>
      <c r="M31" s="2" t="n">
        <v>0.05346</v>
      </c>
      <c r="N31" s="2" t="n">
        <v>579.82002</v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>
        <v>0.06301</v>
      </c>
      <c r="K32" s="2" t="n">
        <v>542.39381</v>
      </c>
      <c r="L32" s="2" t="n"/>
      <c r="M32" s="2" t="n">
        <v>0.0598</v>
      </c>
      <c r="N32" s="2" t="n">
        <v>585.77193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>
        <v>0.07049</v>
      </c>
      <c r="K33" s="2" t="n">
        <v>546.6408300000001</v>
      </c>
      <c r="L33" s="2" t="n"/>
      <c r="M33" s="2" t="n">
        <v>0.0669</v>
      </c>
      <c r="N33" s="2" t="n">
        <v>592.3207</v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>
        <v>0.07886</v>
      </c>
      <c r="K34" s="2" t="n">
        <v>550.75495</v>
      </c>
      <c r="L34" s="2" t="n"/>
      <c r="M34" s="2" t="n">
        <v>0.07467</v>
      </c>
      <c r="N34" s="2" t="n">
        <v>597.33227</v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>
        <v>0.08182</v>
      </c>
      <c r="N35" s="2" t="n">
        <v>601.62688</v>
      </c>
    </row>
  </sheetData>
  <mergeCells count="6">
    <mergeCell ref="M2:N2"/>
    <mergeCell ref="A2:B2"/>
    <mergeCell ref="D2:E2"/>
    <mergeCell ref="G2:H2"/>
    <mergeCell ref="J2:K2"/>
    <mergeCell ref="A1:N1"/>
  </mergeCells>
  <pageMargins left="0.75" right="0.75" top="1" bottom="1" header="0.5" footer="0.5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O95:R256"/>
  <sheetViews>
    <sheetView tabSelected="1" topLeftCell="A233" workbookViewId="0">
      <selection activeCell="I232" sqref="I232"/>
    </sheetView>
  </sheetViews>
  <sheetFormatPr baseColWidth="8" defaultColWidth="8.85546875" defaultRowHeight="15"/>
  <cols>
    <col width="12.42578125" customWidth="1" style="5" min="15" max="16"/>
    <col width="12.42578125" customWidth="1" style="5" min="18" max="18"/>
  </cols>
  <sheetData>
    <row r="95">
      <c r="O95" s="2">
        <f>P95*24</f>
        <v/>
      </c>
      <c r="P95" s="2">
        <f>20000000000000</f>
        <v/>
      </c>
    </row>
    <row r="96">
      <c r="O96" s="2">
        <f>SQRT(O95)</f>
        <v/>
      </c>
    </row>
    <row r="97">
      <c r="O97" s="2">
        <f>O96*0.000001</f>
        <v/>
      </c>
    </row>
    <row r="98">
      <c r="O98" s="2">
        <f>O97*72*0.248*0.3</f>
        <v/>
      </c>
    </row>
    <row r="244">
      <c r="P244" s="2">
        <f>0.0015/(0.000000000000000001)</f>
        <v/>
      </c>
      <c r="R244" s="2">
        <f>SQRT(P244)</f>
        <v/>
      </c>
    </row>
    <row r="245">
      <c r="R245" s="2">
        <f>R244*0.5*74.76*0.248</f>
        <v/>
      </c>
    </row>
    <row r="246">
      <c r="R246" s="2">
        <f>R245/1000000</f>
        <v/>
      </c>
    </row>
    <row r="252">
      <c r="O252" s="2">
        <f>50000000000000*SQRT(2.95)*1000000000</f>
        <v/>
      </c>
      <c r="P252" s="2">
        <f>50000000000000*0.0000037</f>
        <v/>
      </c>
    </row>
    <row r="253">
      <c r="O253" s="2">
        <f>0.0000037*SQRT(2.95)*0.001</f>
        <v/>
      </c>
      <c r="P253" s="2">
        <f>SQRT(P252)</f>
        <v/>
      </c>
      <c r="R253" s="2">
        <f>O252*O253</f>
        <v/>
      </c>
    </row>
    <row r="254">
      <c r="O254" s="2">
        <f>SQRT(O252*O253)</f>
        <v/>
      </c>
    </row>
    <row r="255">
      <c r="O255" s="2">
        <f>O254*0.5*80*0.248</f>
        <v/>
      </c>
    </row>
    <row r="256">
      <c r="O256" s="2">
        <f>O255/1000000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7"/>
  <sheetViews>
    <sheetView topLeftCell="A22" workbookViewId="0">
      <selection activeCell="A1" sqref="A1:A47"/>
    </sheetView>
  </sheetViews>
  <sheetFormatPr baseColWidth="8" defaultColWidth="8.85546875" defaultRowHeight="15"/>
  <cols>
    <col width="12.42578125" customWidth="1" style="2" min="1" max="4"/>
    <col width="13.5703125" customWidth="1" style="2" min="5" max="6"/>
    <col width="12.42578125" customWidth="1" style="2" min="7" max="8"/>
    <col width="13.5703125" customWidth="1" style="2" min="9" max="14"/>
    <col width="12.42578125" customWidth="1" style="2" min="15" max="15"/>
  </cols>
  <sheetData>
    <row r="1">
      <c r="A1" s="7" t="inlineStr">
        <is>
          <t>time</t>
        </is>
      </c>
      <c r="B1" s="2" t="inlineStr">
        <is>
          <t>Ep_eff</t>
        </is>
      </c>
      <c r="C1" s="2" t="inlineStr">
        <is>
          <t>Phi</t>
        </is>
      </c>
      <c r="D1" s="2" t="inlineStr">
        <is>
          <t>eeq</t>
        </is>
      </c>
      <c r="E1" s="2" t="inlineStr">
        <is>
          <t>phi_1</t>
        </is>
      </c>
      <c r="F1" s="2" t="inlineStr">
        <is>
          <t>phi_2</t>
        </is>
      </c>
      <c r="G1" s="2" t="inlineStr">
        <is>
          <t>rho_i</t>
        </is>
      </c>
      <c r="H1" s="2" t="inlineStr">
        <is>
          <t>rho_m</t>
        </is>
      </c>
      <c r="I1" s="2" t="inlineStr">
        <is>
          <t>strain_xx</t>
        </is>
      </c>
      <c r="J1" s="2" t="inlineStr">
        <is>
          <t>strain_yy</t>
        </is>
      </c>
      <c r="K1" s="2" t="inlineStr">
        <is>
          <t>strain_zz</t>
        </is>
      </c>
      <c r="L1" s="2" t="inlineStr">
        <is>
          <t>stress_xx</t>
        </is>
      </c>
      <c r="M1" s="2" t="inlineStr">
        <is>
          <t>stress_yy</t>
        </is>
      </c>
      <c r="N1" s="2" t="inlineStr">
        <is>
          <t>stress_zz</t>
        </is>
      </c>
      <c r="O1" s="2" t="inlineStr">
        <is>
          <t>vonmises</t>
        </is>
      </c>
    </row>
    <row r="2">
      <c r="A2" s="7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</row>
    <row r="3">
      <c r="A3" s="7" t="n">
        <v>0.0025830812468784</v>
      </c>
      <c r="B3" s="3" t="n">
        <v>2.2399807571466e-21</v>
      </c>
      <c r="C3" s="2" t="n">
        <v>92.681597653647</v>
      </c>
      <c r="D3" s="3" t="n">
        <v>7.2937689349222e-06</v>
      </c>
      <c r="E3" s="2" t="n">
        <v>-5.6421882977933</v>
      </c>
      <c r="F3" s="2" t="n">
        <v>-2.7149595452955</v>
      </c>
      <c r="G3" s="2" t="n">
        <v>16000000</v>
      </c>
      <c r="H3" s="2" t="n">
        <v>4000000</v>
      </c>
      <c r="I3" s="3" t="n">
        <v>-2.1508385557323e-06</v>
      </c>
      <c r="J3" s="3" t="n">
        <v>-2.0429349377587e-06</v>
      </c>
      <c r="K3" s="3" t="n">
        <v>7.749213070159299e-06</v>
      </c>
      <c r="L3" s="3" t="n">
        <v>-2.2281561116511e-07</v>
      </c>
      <c r="M3" s="3" t="n">
        <v>-2.3122252633546e-07</v>
      </c>
      <c r="N3" s="2" t="n">
        <v>1.5005008775327</v>
      </c>
      <c r="O3" s="2" t="n">
        <v>1.6159520571842</v>
      </c>
    </row>
    <row r="4">
      <c r="A4" s="7" t="n">
        <v>0.018444056862426</v>
      </c>
      <c r="B4" s="3" t="n">
        <v>9.8883469215471e-19</v>
      </c>
      <c r="C4" s="2" t="n">
        <v>92.68170226849701</v>
      </c>
      <c r="D4" s="3" t="n">
        <v>5.2081837114954e-05</v>
      </c>
      <c r="E4" s="2" t="n">
        <v>-5.6421931752264</v>
      </c>
      <c r="F4" s="2" t="n">
        <v>-2.7148310660571</v>
      </c>
      <c r="G4" s="2" t="n">
        <v>16000000</v>
      </c>
      <c r="H4" s="2" t="n">
        <v>4000000</v>
      </c>
      <c r="I4" s="3" t="n">
        <v>-1.5360335209042e-05</v>
      </c>
      <c r="J4" s="3" t="n">
        <v>-1.458968813802e-05</v>
      </c>
      <c r="K4" s="3" t="n">
        <v>5.5330606928239e-05</v>
      </c>
      <c r="L4" s="3" t="n">
        <v>-1.135589908016e-05</v>
      </c>
      <c r="M4" s="3" t="n">
        <v>-1.178454635547e-05</v>
      </c>
      <c r="N4" s="2" t="n">
        <v>10.717013809766</v>
      </c>
      <c r="O4" s="2" t="n">
        <v>11.541294604327</v>
      </c>
    </row>
    <row r="5">
      <c r="A5" s="7" t="n">
        <v>0.1</v>
      </c>
      <c r="B5" s="3" t="n">
        <v>2.3544534342693e-13</v>
      </c>
      <c r="C5" s="2" t="n">
        <v>92.681434370164</v>
      </c>
      <c r="D5" s="2" t="n">
        <v>0.00028243543481335</v>
      </c>
      <c r="E5" s="2" t="n">
        <v>-5.9012753961754</v>
      </c>
      <c r="F5" s="2" t="n">
        <v>-3.0087188064405</v>
      </c>
      <c r="G5" s="2" t="n">
        <v>16000000.00016</v>
      </c>
      <c r="H5" s="2" t="n">
        <v>4000000.0000279</v>
      </c>
      <c r="I5" s="3" t="n">
        <v>-8.3363917194964e-05</v>
      </c>
      <c r="J5" s="3" t="n">
        <v>-7.9180294803282e-05</v>
      </c>
      <c r="K5" s="2" t="n">
        <v>0.00029995404309009</v>
      </c>
      <c r="L5" s="2" t="n">
        <v>-0.00033202715080558</v>
      </c>
      <c r="M5" s="2" t="n">
        <v>-0.00034468761124525</v>
      </c>
      <c r="N5" s="2" t="n">
        <v>58.197094284402</v>
      </c>
      <c r="O5" s="2" t="n">
        <v>62.66397938232</v>
      </c>
    </row>
    <row r="6">
      <c r="A6" s="7" t="n">
        <v>0.20668493909835</v>
      </c>
      <c r="B6" s="3" t="n">
        <v>7.5657035977427e-10</v>
      </c>
      <c r="C6" s="2" t="n">
        <v>92.686978453088</v>
      </c>
      <c r="D6" s="2" t="n">
        <v>0.00058389611640645</v>
      </c>
      <c r="E6" s="2" t="n">
        <v>-5.8276780699553</v>
      </c>
      <c r="F6" s="2" t="n">
        <v>-2.6709391621748</v>
      </c>
      <c r="G6" s="2" t="n">
        <v>16000000.475889</v>
      </c>
      <c r="H6" s="2" t="n">
        <v>4000000.0826964</v>
      </c>
      <c r="I6" s="2" t="n">
        <v>-0.00017249971658617</v>
      </c>
      <c r="J6" s="2" t="n">
        <v>-0.00016383996140241</v>
      </c>
      <c r="K6" s="2" t="n">
        <v>0.00061985854413651</v>
      </c>
      <c r="L6" s="2" t="n">
        <v>-0.0014230479708258</v>
      </c>
      <c r="M6" s="2" t="n">
        <v>-0.0014767685155943</v>
      </c>
      <c r="N6" s="2" t="n">
        <v>120.50741072563</v>
      </c>
      <c r="O6" s="2" t="n">
        <v>129.73391458747</v>
      </c>
    </row>
    <row r="7">
      <c r="A7" s="7" t="n">
        <v>0.40668493909835</v>
      </c>
      <c r="B7" s="3" t="n">
        <v>2.0650340656343e-05</v>
      </c>
      <c r="C7" s="2" t="n">
        <v>92.69491677542401</v>
      </c>
      <c r="D7" s="2" t="n">
        <v>0.0011532045892546</v>
      </c>
      <c r="E7" s="2" t="n">
        <v>-6.0837727121701</v>
      </c>
      <c r="F7" s="2" t="n">
        <v>-2.5556981755477</v>
      </c>
      <c r="G7" s="2" t="n">
        <v>16012547.863122</v>
      </c>
      <c r="H7" s="2" t="n">
        <v>4002180.2935896</v>
      </c>
      <c r="I7" s="2" t="n">
        <v>-0.00034483925925028</v>
      </c>
      <c r="J7" s="2" t="n">
        <v>-0.00032783185607989</v>
      </c>
      <c r="K7" s="2" t="n">
        <v>0.0012192956585357</v>
      </c>
      <c r="L7" s="2" t="n">
        <v>-0.0055623048030806</v>
      </c>
      <c r="M7" s="2" t="n">
        <v>-0.0057925008600877</v>
      </c>
      <c r="N7" s="2" t="n">
        <v>234.03916247809</v>
      </c>
      <c r="O7" s="2" t="n">
        <v>251.99299550584</v>
      </c>
    </row>
    <row r="8">
      <c r="A8" s="7" t="n">
        <v>0.60668493909835</v>
      </c>
      <c r="B8" s="2" t="n">
        <v>0.00039445773940345</v>
      </c>
      <c r="C8" s="2" t="n">
        <v>92.698457415074</v>
      </c>
      <c r="D8" s="2" t="n">
        <v>0.0017660293840545</v>
      </c>
      <c r="E8" s="2" t="n">
        <v>-6.0658454627165</v>
      </c>
      <c r="F8" s="2" t="n">
        <v>-2.3609003409057</v>
      </c>
      <c r="G8" s="2" t="n">
        <v>16249709.750959</v>
      </c>
      <c r="H8" s="2" t="n">
        <v>4043372.8065283</v>
      </c>
      <c r="I8" s="2" t="n">
        <v>-0.00059128949535467</v>
      </c>
      <c r="J8" s="2" t="n">
        <v>-0.00056387523015294</v>
      </c>
      <c r="K8" s="2" t="n">
        <v>0.0018183712005343</v>
      </c>
      <c r="L8" s="2" t="n">
        <v>-0.011286540268218</v>
      </c>
      <c r="M8" s="2" t="n">
        <v>-0.011774108023237</v>
      </c>
      <c r="N8" s="2" t="n">
        <v>285.23701346207</v>
      </c>
      <c r="O8" s="2" t="n">
        <v>308.71468154236</v>
      </c>
    </row>
    <row r="9">
      <c r="A9" s="7" t="n">
        <v>0.80668493909835</v>
      </c>
      <c r="B9" s="2" t="n">
        <v>0.0009894029074135099</v>
      </c>
      <c r="C9" s="2" t="n">
        <v>92.69850784104599</v>
      </c>
      <c r="D9" s="2" t="n">
        <v>0.0023970398326659</v>
      </c>
      <c r="E9" s="2" t="n">
        <v>-6.1071649068947</v>
      </c>
      <c r="F9" s="2" t="n">
        <v>-2.2019462425498</v>
      </c>
      <c r="G9" s="2" t="n">
        <v>16652982.575985</v>
      </c>
      <c r="H9" s="2" t="n">
        <v>4113374.9009192</v>
      </c>
      <c r="I9" s="2" t="n">
        <v>-0.00088307796494219</v>
      </c>
      <c r="J9" s="2" t="n">
        <v>-0.00084166966187501</v>
      </c>
      <c r="K9" s="2" t="n">
        <v>0.0024170819721256</v>
      </c>
      <c r="L9" s="2" t="n">
        <v>-0.017225479053033</v>
      </c>
      <c r="M9" s="2" t="n">
        <v>-0.017861563997523</v>
      </c>
      <c r="N9" s="2" t="n">
        <v>298.34034352384</v>
      </c>
      <c r="O9" s="2" t="n">
        <v>324.57286606945</v>
      </c>
    </row>
    <row r="10">
      <c r="A10" s="7" t="n">
        <v>1.0066849390983</v>
      </c>
      <c r="B10" s="2" t="n">
        <v>0.0016143540455822</v>
      </c>
      <c r="C10" s="2" t="n">
        <v>92.69870534669801</v>
      </c>
      <c r="D10" s="2" t="n">
        <v>0.0030319155587007</v>
      </c>
      <c r="E10" s="2" t="n">
        <v>-6.2109228495204</v>
      </c>
      <c r="F10" s="2" t="n">
        <v>-2.1446266007485</v>
      </c>
      <c r="G10" s="2" t="n">
        <v>17102514.434093</v>
      </c>
      <c r="H10" s="2" t="n">
        <v>4191358.2525578</v>
      </c>
      <c r="I10" s="2" t="n">
        <v>-0.0011826416504203</v>
      </c>
      <c r="J10" s="2" t="n">
        <v>-0.0011266526206438</v>
      </c>
      <c r="K10" s="2" t="n">
        <v>0.0030154266640913</v>
      </c>
      <c r="L10" s="2" t="n">
        <v>-0.022173805978305</v>
      </c>
      <c r="M10" s="2" t="n">
        <v>-0.022833425602397</v>
      </c>
      <c r="N10" s="2" t="n">
        <v>304.66231856232</v>
      </c>
      <c r="O10" s="2" t="n">
        <v>332.69751701899</v>
      </c>
    </row>
    <row r="11">
      <c r="A11" s="7" t="n">
        <v>1.2066849390983</v>
      </c>
      <c r="B11" s="2" t="n">
        <v>0.002244861716705</v>
      </c>
      <c r="C11" s="2" t="n">
        <v>92.698918672613</v>
      </c>
      <c r="D11" s="2" t="n">
        <v>0.0036687266805419</v>
      </c>
      <c r="E11" s="2" t="n">
        <v>-6.2372646397431</v>
      </c>
      <c r="F11" s="2" t="n">
        <v>-2.1203485215033</v>
      </c>
      <c r="G11" s="2" t="n">
        <v>17576216.013349</v>
      </c>
      <c r="H11" s="2" t="n">
        <v>4273486.3065284</v>
      </c>
      <c r="I11" s="2" t="n">
        <v>-0.0014842984344347</v>
      </c>
      <c r="J11" s="2" t="n">
        <v>-0.0014144543899078</v>
      </c>
      <c r="K11" s="2" t="n">
        <v>0.0036134064658822</v>
      </c>
      <c r="L11" s="2" t="n">
        <v>-0.02796121008804</v>
      </c>
      <c r="M11" s="2" t="n">
        <v>-0.028672691938871</v>
      </c>
      <c r="N11" s="2" t="n">
        <v>308.61722630482</v>
      </c>
      <c r="O11" s="2" t="n">
        <v>337.97771041657</v>
      </c>
    </row>
    <row r="12">
      <c r="A12" s="7" t="n">
        <v>1.4066849390983</v>
      </c>
      <c r="B12" s="2" t="n">
        <v>0.0028764868148359</v>
      </c>
      <c r="C12" s="2" t="n">
        <v>92.69902928772299</v>
      </c>
      <c r="D12" s="2" t="n">
        <v>0.0043061814381878</v>
      </c>
      <c r="E12" s="2" t="n">
        <v>-6.2646686259472</v>
      </c>
      <c r="F12" s="2" t="n">
        <v>-2.116708744486</v>
      </c>
      <c r="G12" s="2" t="n">
        <v>18066117.220523</v>
      </c>
      <c r="H12" s="2" t="n">
        <v>4358375.0518536</v>
      </c>
      <c r="I12" s="2" t="n">
        <v>-0.0017866300915783</v>
      </c>
      <c r="J12" s="2" t="n">
        <v>-0.0017036702284786</v>
      </c>
      <c r="K12" s="2" t="n">
        <v>0.0042110223751051</v>
      </c>
      <c r="L12" s="2" t="n">
        <v>-0.03378353596645</v>
      </c>
      <c r="M12" s="2" t="n">
        <v>-0.034562922180158</v>
      </c>
      <c r="N12" s="2" t="n">
        <v>311.45128870316</v>
      </c>
      <c r="O12" s="2" t="n">
        <v>341.84351643997</v>
      </c>
    </row>
    <row r="13">
      <c r="A13" s="7" t="n">
        <v>1.6066849390983</v>
      </c>
      <c r="B13" s="2" t="n">
        <v>0.0035081549417257</v>
      </c>
      <c r="C13" s="2" t="n">
        <v>92.699075173631</v>
      </c>
      <c r="D13" s="2" t="n">
        <v>0.0049436089622785</v>
      </c>
      <c r="E13" s="2" t="n">
        <v>-6.2919704029545</v>
      </c>
      <c r="F13" s="2" t="n">
        <v>-2.1130400881406</v>
      </c>
      <c r="G13" s="2" t="n">
        <v>18568112.706024</v>
      </c>
      <c r="H13" s="2" t="n">
        <v>4445311.4700039</v>
      </c>
      <c r="I13" s="2" t="n">
        <v>-0.0020891776817256</v>
      </c>
      <c r="J13" s="2" t="n">
        <v>-0.001993588422802</v>
      </c>
      <c r="K13" s="2" t="n">
        <v>0.0048082751502821</v>
      </c>
      <c r="L13" s="2" t="n">
        <v>-0.039760150063558</v>
      </c>
      <c r="M13" s="2" t="n">
        <v>-0.040572877003744</v>
      </c>
      <c r="N13" s="2" t="n">
        <v>313.68931271273</v>
      </c>
      <c r="O13" s="2" t="n">
        <v>344.91666900431</v>
      </c>
    </row>
    <row r="14">
      <c r="A14" s="7" t="n">
        <v>1.8066849390983</v>
      </c>
      <c r="B14" s="2" t="n">
        <v>0.004139600724574</v>
      </c>
      <c r="C14" s="2" t="n">
        <v>92.69907935558</v>
      </c>
      <c r="D14" s="2" t="n">
        <v>0.0055807126717505</v>
      </c>
      <c r="E14" s="2" t="n">
        <v>-6.2972137547878</v>
      </c>
      <c r="F14" s="2" t="n">
        <v>-2.1093762068322</v>
      </c>
      <c r="G14" s="2" t="n">
        <v>19079885.871862</v>
      </c>
      <c r="H14" s="2" t="n">
        <v>4533893.0893144</v>
      </c>
      <c r="I14" s="2" t="n">
        <v>-0.0023918019571614</v>
      </c>
      <c r="J14" s="2" t="n">
        <v>-0.0022837982972771</v>
      </c>
      <c r="K14" s="2" t="n">
        <v>0.0054051653492516</v>
      </c>
      <c r="L14" s="2" t="n">
        <v>-0.045633123160392</v>
      </c>
      <c r="M14" s="2" t="n">
        <v>-0.046523459005457</v>
      </c>
      <c r="N14" s="2" t="n">
        <v>315.58112006217</v>
      </c>
      <c r="O14" s="2" t="n">
        <v>347.50287732569</v>
      </c>
    </row>
    <row r="15">
      <c r="A15" s="7" t="n">
        <v>2.0066849390983</v>
      </c>
      <c r="B15" s="2" t="n">
        <v>0.0047707324212455</v>
      </c>
      <c r="C15" s="2" t="n">
        <v>92.699054547602</v>
      </c>
      <c r="D15" s="2" t="n">
        <v>0.0062173752536</v>
      </c>
      <c r="E15" s="2" t="n">
        <v>-6.2982550967701</v>
      </c>
      <c r="F15" s="2" t="n">
        <v>-2.1098620437495</v>
      </c>
      <c r="G15" s="2" t="n">
        <v>19600036.164372</v>
      </c>
      <c r="H15" s="2" t="n">
        <v>4623876.4877549</v>
      </c>
      <c r="I15" s="2" t="n">
        <v>-0.0026944421821998</v>
      </c>
      <c r="J15" s="2" t="n">
        <v>-0.0025740843555782</v>
      </c>
      <c r="K15" s="2" t="n">
        <v>0.0060016934872821</v>
      </c>
      <c r="L15" s="2" t="n">
        <v>-0.051661675075078</v>
      </c>
      <c r="M15" s="2" t="n">
        <v>-0.052628092959932</v>
      </c>
      <c r="N15" s="2" t="n">
        <v>317.25537496346</v>
      </c>
      <c r="O15" s="2" t="n">
        <v>349.76732387686</v>
      </c>
    </row>
    <row r="16">
      <c r="A16" s="7" t="n">
        <v>2.2066849390983</v>
      </c>
      <c r="B16" s="2" t="n">
        <v>0.0054015105356348</v>
      </c>
      <c r="C16" s="2" t="n">
        <v>92.699000144883</v>
      </c>
      <c r="D16" s="2" t="n">
        <v>0.0068535570603009</v>
      </c>
      <c r="E16" s="2" t="n">
        <v>-6.3102456428694</v>
      </c>
      <c r="F16" s="2" t="n">
        <v>-2.1103494048641</v>
      </c>
      <c r="G16" s="2" t="n">
        <v>20127665.427868</v>
      </c>
      <c r="H16" s="2" t="n">
        <v>4715105.4815147</v>
      </c>
      <c r="I16" s="2" t="n">
        <v>-0.0029970585878747</v>
      </c>
      <c r="J16" s="2" t="n">
        <v>-0.0028643352562516</v>
      </c>
      <c r="K16" s="2" t="n">
        <v>0.0065978600820502</v>
      </c>
      <c r="L16" s="2" t="n">
        <v>-0.057871457791825</v>
      </c>
      <c r="M16" s="2" t="n">
        <v>-0.058870494790221</v>
      </c>
      <c r="N16" s="2" t="n">
        <v>318.78354054457</v>
      </c>
      <c r="O16" s="2" t="n">
        <v>351.80589556844</v>
      </c>
    </row>
    <row r="17">
      <c r="A17" s="7" t="n">
        <v>2.4066849390983</v>
      </c>
      <c r="B17" s="2" t="n">
        <v>0.006031923427155</v>
      </c>
      <c r="C17" s="2" t="n">
        <v>92.69894172217801</v>
      </c>
      <c r="D17" s="2" t="n">
        <v>0.0074892507514564</v>
      </c>
      <c r="E17" s="2" t="n">
        <v>-6.307042722808</v>
      </c>
      <c r="F17" s="2" t="n">
        <v>-2.1150090372503</v>
      </c>
      <c r="G17" s="2" t="n">
        <v>20662159.244868</v>
      </c>
      <c r="H17" s="2" t="n">
        <v>4807473.1626179</v>
      </c>
      <c r="I17" s="2" t="n">
        <v>-0.0032996268962982</v>
      </c>
      <c r="J17" s="2" t="n">
        <v>-0.0031544846230436</v>
      </c>
      <c r="K17" s="2" t="n">
        <v>0.0071936656471774</v>
      </c>
      <c r="L17" s="2" t="n">
        <v>-0.06402227085981101</v>
      </c>
      <c r="M17" s="2" t="n">
        <v>-0.065054315578077</v>
      </c>
      <c r="N17" s="2" t="n">
        <v>320.20869623521</v>
      </c>
      <c r="O17" s="2" t="n">
        <v>353.67940182836</v>
      </c>
    </row>
    <row r="18">
      <c r="A18" s="7" t="n">
        <v>2.6066849390983</v>
      </c>
      <c r="B18" s="2" t="n">
        <v>0.0066619647852228</v>
      </c>
      <c r="C18" s="2" t="n">
        <v>92.698866165447</v>
      </c>
      <c r="D18" s="2" t="n">
        <v>0.008124466789931501</v>
      </c>
      <c r="E18" s="2" t="n">
        <v>-6.2928229180449</v>
      </c>
      <c r="F18" s="2" t="n">
        <v>-2.1196751924748</v>
      </c>
      <c r="G18" s="2" t="n">
        <v>21203076.776562</v>
      </c>
      <c r="H18" s="2" t="n">
        <v>4900902.7742082</v>
      </c>
      <c r="I18" s="2" t="n">
        <v>-0.0036021343059094</v>
      </c>
      <c r="J18" s="2" t="n">
        <v>-0.0034444921116179</v>
      </c>
      <c r="K18" s="2" t="n">
        <v>0.0077891106938826</v>
      </c>
      <c r="L18" s="2" t="n">
        <v>-0.070379222434777</v>
      </c>
      <c r="M18" s="2" t="n">
        <v>-0.071421970559836</v>
      </c>
      <c r="N18" s="2" t="n">
        <v>321.55753594603</v>
      </c>
      <c r="O18" s="2" t="n">
        <v>355.42805186452</v>
      </c>
    </row>
    <row r="19">
      <c r="A19" s="7" t="n">
        <v>2.8066849390983</v>
      </c>
      <c r="B19" s="2" t="n">
        <v>0.0072916307330198</v>
      </c>
      <c r="C19" s="2" t="n">
        <v>92.698788291426</v>
      </c>
      <c r="D19" s="2" t="n">
        <v>0.008759217239584401</v>
      </c>
      <c r="E19" s="2" t="n">
        <v>-6.2854234228775</v>
      </c>
      <c r="F19" s="2" t="n">
        <v>-2.1284834489931</v>
      </c>
      <c r="G19" s="2" t="n">
        <v>21750095.061209</v>
      </c>
      <c r="H19" s="2" t="n">
        <v>4995338.0449438</v>
      </c>
      <c r="I19" s="2" t="n">
        <v>-0.0039045716646476</v>
      </c>
      <c r="J19" s="2" t="n">
        <v>-0.0037343314960517</v>
      </c>
      <c r="K19" s="2" t="n">
        <v>0.0083841957185563</v>
      </c>
      <c r="L19" s="2" t="n">
        <v>-0.076896745595068</v>
      </c>
      <c r="M19" s="2" t="n">
        <v>-0.077934590485273</v>
      </c>
      <c r="N19" s="2" t="n">
        <v>322.84758822228</v>
      </c>
      <c r="O19" s="2" t="n">
        <v>357.07916678086</v>
      </c>
    </row>
    <row r="20">
      <c r="A20" s="7" t="n">
        <v>3.0066849390983</v>
      </c>
      <c r="B20" s="2" t="n">
        <v>0.0079209195515375</v>
      </c>
      <c r="C20" s="2" t="n">
        <v>92.698707299471</v>
      </c>
      <c r="D20" s="2" t="n">
        <v>0.0093935190667338</v>
      </c>
      <c r="E20" s="2" t="n">
        <v>-6.2999563618379</v>
      </c>
      <c r="F20" s="2" t="n">
        <v>-2.1373122226517</v>
      </c>
      <c r="G20" s="2" t="n">
        <v>22302965.995629</v>
      </c>
      <c r="H20" s="2" t="n">
        <v>5090735.7156576</v>
      </c>
      <c r="I20" s="2" t="n">
        <v>-0.0042069317859228</v>
      </c>
      <c r="J20" s="2" t="n">
        <v>-0.0040239852538193</v>
      </c>
      <c r="K20" s="2" t="n">
        <v>0.0089789212109498</v>
      </c>
      <c r="L20" s="2" t="n">
        <v>-0.08318196524299</v>
      </c>
      <c r="M20" s="2" t="n">
        <v>-0.084250693586038</v>
      </c>
      <c r="N20" s="2" t="n">
        <v>324.09054847746</v>
      </c>
      <c r="O20" s="2" t="n">
        <v>358.65141430131</v>
      </c>
    </row>
    <row r="21">
      <c r="A21" s="7" t="n">
        <v>3.2066849390983</v>
      </c>
      <c r="B21" s="2" t="n">
        <v>0.0085498309871629</v>
      </c>
      <c r="C21" s="2" t="n">
        <v>92.698613596537</v>
      </c>
      <c r="D21" s="2" t="n">
        <v>0.010027389307139</v>
      </c>
      <c r="E21" s="2" t="n">
        <v>-6.2814646079805</v>
      </c>
      <c r="F21" s="2" t="n">
        <v>-2.1461893672427</v>
      </c>
      <c r="G21" s="2" t="n">
        <v>22861488.850327</v>
      </c>
      <c r="H21" s="2" t="n">
        <v>5187060.7660839</v>
      </c>
      <c r="I21" s="2" t="n">
        <v>-0.0045092077990073</v>
      </c>
      <c r="J21" s="2" t="n">
        <v>-0.0043134449851405</v>
      </c>
      <c r="K21" s="2" t="n">
        <v>0.009573287652493</v>
      </c>
      <c r="L21" s="2" t="n">
        <v>-0.089737327226397</v>
      </c>
      <c r="M21" s="2" t="n">
        <v>-0.09083001246043899</v>
      </c>
      <c r="N21" s="2" t="n">
        <v>325.29539203264</v>
      </c>
      <c r="O21" s="2" t="n">
        <v>360.15998426481</v>
      </c>
    </row>
    <row r="22">
      <c r="A22" s="7" t="n">
        <v>3.4066849390983</v>
      </c>
      <c r="B22" s="2" t="n">
        <v>0.009178372350267999</v>
      </c>
      <c r="C22" s="2" t="n">
        <v>92.698500768625</v>
      </c>
      <c r="D22" s="2" t="n">
        <v>0.010660848902006</v>
      </c>
      <c r="E22" s="2" t="n">
        <v>-6.2823242732613</v>
      </c>
      <c r="F22" s="2" t="n">
        <v>-2.1466979969459</v>
      </c>
      <c r="G22" s="2" t="n">
        <v>23425500.14706</v>
      </c>
      <c r="H22" s="2" t="n">
        <v>5284284.645823</v>
      </c>
      <c r="I22" s="2" t="n">
        <v>-0.0048113928891078</v>
      </c>
      <c r="J22" s="2" t="n">
        <v>-0.0046027053821022</v>
      </c>
      <c r="K22" s="2" t="n">
        <v>0.010167295523137</v>
      </c>
      <c r="L22" s="2" t="n">
        <v>-0.09634594557675701</v>
      </c>
      <c r="M22" s="2" t="n">
        <v>-0.097433054765521</v>
      </c>
      <c r="N22" s="2" t="n">
        <v>326.46801041375</v>
      </c>
      <c r="O22" s="2" t="n">
        <v>361.61501871645</v>
      </c>
    </row>
    <row r="23">
      <c r="A23" s="7" t="n">
        <v>3.6066849390983</v>
      </c>
      <c r="B23" s="2" t="n">
        <v>0.009806552761786</v>
      </c>
      <c r="C23" s="2" t="n">
        <v>92.698393946797</v>
      </c>
      <c r="D23" s="2" t="n">
        <v>0.011293918024002</v>
      </c>
      <c r="E23" s="2" t="n">
        <v>-6.2789452700822</v>
      </c>
      <c r="F23" s="2" t="n">
        <v>-2.1514224516773</v>
      </c>
      <c r="G23" s="2" t="n">
        <v>23994861.204328</v>
      </c>
      <c r="H23" s="2" t="n">
        <v>5382383.1218898</v>
      </c>
      <c r="I23" s="2" t="n">
        <v>-0.0051134815770085</v>
      </c>
      <c r="J23" s="2" t="n">
        <v>-0.0048917631879539</v>
      </c>
      <c r="K23" s="2" t="n">
        <v>0.010760945302424</v>
      </c>
      <c r="L23" s="2" t="n">
        <v>-0.10306269052899</v>
      </c>
      <c r="M23" s="2" t="n">
        <v>-0.10414196760669</v>
      </c>
      <c r="N23" s="2" t="n">
        <v>327.61320365457</v>
      </c>
      <c r="O23" s="2" t="n">
        <v>363.02502769259</v>
      </c>
    </row>
    <row r="24">
      <c r="A24" s="7" t="n">
        <v>3.8066849390983</v>
      </c>
      <c r="B24" s="2" t="n">
        <v>0.010434382159607</v>
      </c>
      <c r="C24" s="2" t="n">
        <v>92.698279925951</v>
      </c>
      <c r="D24" s="2" t="n">
        <v>0.011926616336391</v>
      </c>
      <c r="E24" s="2" t="n">
        <v>-6.275549587649</v>
      </c>
      <c r="F24" s="2" t="n">
        <v>-2.1451649581976</v>
      </c>
      <c r="G24" s="2" t="n">
        <v>24569452.307874</v>
      </c>
      <c r="H24" s="2" t="n">
        <v>5481335.2642694</v>
      </c>
      <c r="I24" s="2" t="n">
        <v>-0.005415469167961</v>
      </c>
      <c r="J24" s="2" t="n">
        <v>-0.005180615448923</v>
      </c>
      <c r="K24" s="2" t="n">
        <v>0.01135423746936</v>
      </c>
      <c r="L24" s="2" t="n">
        <v>-0.10975360955714</v>
      </c>
      <c r="M24" s="2" t="n">
        <v>-0.11082531411619</v>
      </c>
      <c r="N24" s="2" t="n">
        <v>328.73474014871</v>
      </c>
      <c r="O24" s="2" t="n">
        <v>364.39652984591</v>
      </c>
    </row>
    <row r="25">
      <c r="A25" s="7" t="n">
        <v>4.0066849390983</v>
      </c>
      <c r="B25" s="2" t="n">
        <v>0.011061873325713</v>
      </c>
      <c r="C25" s="2" t="n">
        <v>92.69816314347101</v>
      </c>
      <c r="D25" s="2" t="n">
        <v>0.012558962235417</v>
      </c>
      <c r="E25" s="2" t="n">
        <v>-6.2721412353474</v>
      </c>
      <c r="F25" s="2" t="n">
        <v>-2.1389068647573</v>
      </c>
      <c r="G25" s="2" t="n">
        <v>25149170.283161</v>
      </c>
      <c r="H25" s="2" t="n">
        <v>5581123.0226436</v>
      </c>
      <c r="I25" s="2" t="n">
        <v>-0.0057173519034876</v>
      </c>
      <c r="J25" s="2" t="n">
        <v>-0.0054692617032867</v>
      </c>
      <c r="K25" s="2" t="n">
        <v>0.011947172500137</v>
      </c>
      <c r="L25" s="2" t="n">
        <v>-0.11649542794788</v>
      </c>
      <c r="M25" s="2" t="n">
        <v>-0.11760698865184</v>
      </c>
      <c r="N25" s="2" t="n">
        <v>329.8352459062</v>
      </c>
      <c r="O25" s="2" t="n">
        <v>365.73460887346</v>
      </c>
    </row>
    <row r="26">
      <c r="A26" s="7" t="n">
        <v>4.2066849390983</v>
      </c>
      <c r="B26" s="2" t="n">
        <v>0.011689037601555</v>
      </c>
      <c r="C26" s="2" t="n">
        <v>92.698041693448</v>
      </c>
      <c r="D26" s="2" t="n">
        <v>0.013190972168016</v>
      </c>
      <c r="E26" s="2" t="n">
        <v>-6.2687870496703</v>
      </c>
      <c r="F26" s="2" t="n">
        <v>-2.1325877436391</v>
      </c>
      <c r="G26" s="2" t="n">
        <v>25733921.694653</v>
      </c>
      <c r="H26" s="2" t="n">
        <v>5681730.0482713</v>
      </c>
      <c r="I26" s="2" t="n">
        <v>-0.0060191267360917</v>
      </c>
      <c r="J26" s="2" t="n">
        <v>-0.0057577005299862</v>
      </c>
      <c r="K26" s="2" t="n">
        <v>0.012539750856669</v>
      </c>
      <c r="L26" s="2" t="n">
        <v>-0.12340931315757</v>
      </c>
      <c r="M26" s="2" t="n">
        <v>-0.12445929202811</v>
      </c>
      <c r="N26" s="2" t="n">
        <v>330.91724042801</v>
      </c>
      <c r="O26" s="2" t="n">
        <v>367.04370879857</v>
      </c>
    </row>
    <row r="27">
      <c r="A27" s="7" t="n">
        <v>4.4066849390983</v>
      </c>
      <c r="B27" s="2" t="n">
        <v>0.012315885535268</v>
      </c>
      <c r="C27" s="2" t="n">
        <v>92.697929672423</v>
      </c>
      <c r="D27" s="2" t="n">
        <v>0.013822662443493</v>
      </c>
      <c r="E27" s="2" t="n">
        <v>-6.2654401892071</v>
      </c>
      <c r="F27" s="2" t="n">
        <v>-2.1372398172379</v>
      </c>
      <c r="G27" s="2" t="n">
        <v>26323622.851351</v>
      </c>
      <c r="H27" s="2" t="n">
        <v>5783141.6923003</v>
      </c>
      <c r="I27" s="2" t="n">
        <v>-0.0063207887908412</v>
      </c>
      <c r="J27" s="2" t="n">
        <v>-0.0060459325650349</v>
      </c>
      <c r="K27" s="2" t="n">
        <v>0.013131973008742</v>
      </c>
      <c r="L27" s="2" t="n">
        <v>-0.13013424595342</v>
      </c>
      <c r="M27" s="2" t="n">
        <v>-0.13120304962019</v>
      </c>
      <c r="N27" s="2" t="n">
        <v>331.98245325762</v>
      </c>
      <c r="O27" s="2" t="n">
        <v>368.32684660344</v>
      </c>
    </row>
    <row r="28">
      <c r="A28" s="7" t="n">
        <v>4.6066849390983</v>
      </c>
      <c r="B28" s="2" t="n">
        <v>0.012942426548073</v>
      </c>
      <c r="C28" s="2" t="n">
        <v>92.69782649358299</v>
      </c>
      <c r="D28" s="2" t="n">
        <v>0.014454046747057</v>
      </c>
      <c r="E28" s="2" t="n">
        <v>-6.2536218346469</v>
      </c>
      <c r="F28" s="2" t="n">
        <v>-2.150341607831</v>
      </c>
      <c r="G28" s="2" t="n">
        <v>26918196.397596</v>
      </c>
      <c r="H28" s="2" t="n">
        <v>5885344.4142935</v>
      </c>
      <c r="I28" s="2" t="n">
        <v>-0.0066223354372956</v>
      </c>
      <c r="J28" s="2" t="n">
        <v>-0.0063339588341114</v>
      </c>
      <c r="K28" s="2" t="n">
        <v>0.013723839412283</v>
      </c>
      <c r="L28" s="2" t="n">
        <v>-0.13709197450996</v>
      </c>
      <c r="M28" s="2" t="n">
        <v>-0.13816080594336</v>
      </c>
      <c r="N28" s="2" t="n">
        <v>333.03271715231</v>
      </c>
      <c r="O28" s="2" t="n">
        <v>369.58746769259</v>
      </c>
    </row>
    <row r="29">
      <c r="A29" s="7" t="n">
        <v>4.8066849390983</v>
      </c>
      <c r="B29" s="2" t="n">
        <v>0.013568672785317</v>
      </c>
      <c r="C29" s="2" t="n">
        <v>92.697705645133</v>
      </c>
      <c r="D29" s="2" t="n">
        <v>0.015085138449568</v>
      </c>
      <c r="E29" s="2" t="n">
        <v>-6.2543888024282</v>
      </c>
      <c r="F29" s="2" t="n">
        <v>-2.1508707115726</v>
      </c>
      <c r="G29" s="2" t="n">
        <v>27517573.475622</v>
      </c>
      <c r="H29" s="2" t="n">
        <v>5988326.1531902</v>
      </c>
      <c r="I29" s="2" t="n">
        <v>-0.0069237625247136</v>
      </c>
      <c r="J29" s="2" t="n">
        <v>-0.0066217803133011</v>
      </c>
      <c r="K29" s="2" t="n">
        <v>0.014315350513195</v>
      </c>
      <c r="L29" s="2" t="n">
        <v>-0.14389123591544</v>
      </c>
      <c r="M29" s="2" t="n">
        <v>-0.14496807808656</v>
      </c>
      <c r="N29" s="2" t="n">
        <v>334.06895730394</v>
      </c>
      <c r="O29" s="2" t="n">
        <v>370.82714333772</v>
      </c>
    </row>
    <row r="30">
      <c r="A30" s="7" t="n">
        <v>5.0066849390983</v>
      </c>
      <c r="B30" s="2" t="n">
        <v>0.014194633148</v>
      </c>
      <c r="C30" s="2" t="n">
        <v>92.697591919007</v>
      </c>
      <c r="D30" s="2" t="n">
        <v>0.015715949076628</v>
      </c>
      <c r="E30" s="2" t="n">
        <v>-6.244162071128</v>
      </c>
      <c r="F30" s="2" t="n">
        <v>-2.1514014390338</v>
      </c>
      <c r="G30" s="2" t="n">
        <v>28121686.79313</v>
      </c>
      <c r="H30" s="2" t="n">
        <v>6092075.1295927</v>
      </c>
      <c r="I30" s="2" t="n">
        <v>-0.0072250667641161</v>
      </c>
      <c r="J30" s="2" t="n">
        <v>-0.0069093987033924</v>
      </c>
      <c r="K30" s="2" t="n">
        <v>0.014906506766081</v>
      </c>
      <c r="L30" s="2" t="n">
        <v>-0.15075679989445</v>
      </c>
      <c r="M30" s="2" t="n">
        <v>-0.15182847390528</v>
      </c>
      <c r="N30" s="2" t="n">
        <v>335.09260538608</v>
      </c>
      <c r="O30" s="2" t="n">
        <v>372.04841507331</v>
      </c>
    </row>
    <row r="31">
      <c r="A31" s="7" t="n">
        <v>5.2066849390983</v>
      </c>
      <c r="B31" s="2" t="n">
        <v>0.014820318386365</v>
      </c>
      <c r="C31" s="2" t="n">
        <v>92.697477167465</v>
      </c>
      <c r="D31" s="2" t="n">
        <v>0.016346490555606</v>
      </c>
      <c r="E31" s="2" t="n">
        <v>-6.2364463821989</v>
      </c>
      <c r="F31" s="2" t="n">
        <v>-2.1384155430888</v>
      </c>
      <c r="G31" s="2" t="n">
        <v>28730475.008141</v>
      </c>
      <c r="H31" s="2" t="n">
        <v>6196580.6002857</v>
      </c>
      <c r="I31" s="2" t="n">
        <v>-0.0075262455961148</v>
      </c>
      <c r="J31" s="2" t="n">
        <v>-0.0071968167438388</v>
      </c>
      <c r="K31" s="2" t="n">
        <v>0.01549730861601</v>
      </c>
      <c r="L31" s="2" t="n">
        <v>-0.1579384935225</v>
      </c>
      <c r="M31" s="2" t="n">
        <v>-0.15896456109633</v>
      </c>
      <c r="N31" s="2" t="n">
        <v>336.10434158679</v>
      </c>
      <c r="O31" s="2" t="n">
        <v>373.2529289133</v>
      </c>
    </row>
    <row r="32">
      <c r="A32" s="7" t="n">
        <v>5.4066849390983</v>
      </c>
      <c r="B32" s="2" t="n">
        <v>0.015445737713213</v>
      </c>
      <c r="C32" s="2" t="n">
        <v>92.697357621303</v>
      </c>
      <c r="D32" s="2" t="n">
        <v>0.016976773588088</v>
      </c>
      <c r="E32" s="2" t="n">
        <v>-6.2220296839752</v>
      </c>
      <c r="F32" s="2" t="n">
        <v>-2.1321334445611</v>
      </c>
      <c r="G32" s="2" t="n">
        <v>29343878.851273</v>
      </c>
      <c r="H32" s="2" t="n">
        <v>6301832.1874734</v>
      </c>
      <c r="I32" s="2" t="n">
        <v>-0.0078272936829391</v>
      </c>
      <c r="J32" s="2" t="n">
        <v>-0.0074840355772983</v>
      </c>
      <c r="K32" s="2" t="n">
        <v>0.016087756513369</v>
      </c>
      <c r="L32" s="2" t="n">
        <v>-0.16482092909607</v>
      </c>
      <c r="M32" s="2" t="n">
        <v>-0.16585588017383</v>
      </c>
      <c r="N32" s="2" t="n">
        <v>337.10507951941</v>
      </c>
      <c r="O32" s="2" t="n">
        <v>374.44163715593</v>
      </c>
    </row>
    <row r="33">
      <c r="A33" s="7" t="n">
        <v>5.6066849390983</v>
      </c>
      <c r="B33" s="2" t="n">
        <v>0.016070900196137</v>
      </c>
      <c r="C33" s="2" t="n">
        <v>92.697240255439</v>
      </c>
      <c r="D33" s="2" t="n">
        <v>0.017606808257853</v>
      </c>
      <c r="E33" s="2" t="n">
        <v>-6.2185339970968</v>
      </c>
      <c r="F33" s="2" t="n">
        <v>-2.1259129012276</v>
      </c>
      <c r="G33" s="2" t="n">
        <v>29961840.653443</v>
      </c>
      <c r="H33" s="2" t="n">
        <v>6407819.7969991</v>
      </c>
      <c r="I33" s="2" t="n">
        <v>-0.008128208744098499</v>
      </c>
      <c r="J33" s="2" t="n">
        <v>-0.0077710575918918</v>
      </c>
      <c r="K33" s="2" t="n">
        <v>0.016677850905499</v>
      </c>
      <c r="L33" s="2" t="n">
        <v>-0.17178237426112</v>
      </c>
      <c r="M33" s="2" t="n">
        <v>-0.17280217869782</v>
      </c>
      <c r="N33" s="2" t="n">
        <v>338.09571890908</v>
      </c>
      <c r="O33" s="2" t="n">
        <v>375.6163428466</v>
      </c>
    </row>
    <row r="34">
      <c r="A34" s="7" t="n">
        <v>5.8066849390983</v>
      </c>
      <c r="B34" s="2" t="n">
        <v>0.016695816814064</v>
      </c>
      <c r="C34" s="2" t="n">
        <v>92.697128563674</v>
      </c>
      <c r="D34" s="2" t="n">
        <v>0.018236604850112</v>
      </c>
      <c r="E34" s="2" t="n">
        <v>-6.210826237155</v>
      </c>
      <c r="F34" s="2" t="n">
        <v>-2.1019246500088</v>
      </c>
      <c r="G34" s="2" t="n">
        <v>30584307.410194</v>
      </c>
      <c r="H34" s="2" t="n">
        <v>6514534.1480211</v>
      </c>
      <c r="I34" s="2" t="n">
        <v>-0.0084289883875394</v>
      </c>
      <c r="J34" s="2" t="n">
        <v>-0.0080578851715542</v>
      </c>
      <c r="K34" s="2" t="n">
        <v>0.017267592236236</v>
      </c>
      <c r="L34" s="2" t="n">
        <v>-0.17888291299742</v>
      </c>
      <c r="M34" s="2" t="n">
        <v>-0.17989296608761</v>
      </c>
      <c r="N34" s="2" t="n">
        <v>339.0766373408</v>
      </c>
      <c r="O34" s="2" t="n">
        <v>376.77796141696</v>
      </c>
    </row>
    <row r="35">
      <c r="A35" s="7" t="n">
        <v>6.0066849390983</v>
      </c>
      <c r="B35" s="2" t="n">
        <v>0.017320497024794</v>
      </c>
      <c r="C35" s="2" t="n">
        <v>92.69700633484899</v>
      </c>
      <c r="D35" s="2" t="n">
        <v>0.018866172779281</v>
      </c>
      <c r="E35" s="2" t="n">
        <v>-6.2073327977829</v>
      </c>
      <c r="F35" s="2" t="n">
        <v>-2.1066845433203</v>
      </c>
      <c r="G35" s="2" t="n">
        <v>31211226.136839</v>
      </c>
      <c r="H35" s="2" t="n">
        <v>6621965.968685</v>
      </c>
      <c r="I35" s="2" t="n">
        <v>-0.008729630298456401</v>
      </c>
      <c r="J35" s="2" t="n">
        <v>-0.008344518866448001</v>
      </c>
      <c r="K35" s="2" t="n">
        <v>0.01785698095032</v>
      </c>
      <c r="L35" s="2" t="n">
        <v>-0.18596289194112</v>
      </c>
      <c r="M35" s="2" t="n">
        <v>-0.1869625259246</v>
      </c>
      <c r="N35" s="2" t="n">
        <v>340.04849100876</v>
      </c>
      <c r="O35" s="2" t="n">
        <v>377.92739321887</v>
      </c>
    </row>
    <row r="36">
      <c r="A36" s="7" t="n">
        <v>6.2066849390983</v>
      </c>
      <c r="B36" s="2" t="n">
        <v>0.017944949582266</v>
      </c>
      <c r="C36" s="2" t="n">
        <v>92.696886072372</v>
      </c>
      <c r="D36" s="2" t="n">
        <v>0.019495521110784</v>
      </c>
      <c r="E36" s="2" t="n">
        <v>-6.2038131391921</v>
      </c>
      <c r="F36" s="2" t="n">
        <v>-2.1114676382567</v>
      </c>
      <c r="G36" s="2" t="n">
        <v>31842545.73909</v>
      </c>
      <c r="H36" s="2" t="n">
        <v>6730106.3222549</v>
      </c>
      <c r="I36" s="2" t="n">
        <v>-0.0090301332767378</v>
      </c>
      <c r="J36" s="2" t="n">
        <v>-0.008630959418646699</v>
      </c>
      <c r="K36" s="2" t="n">
        <v>0.018446017486702</v>
      </c>
      <c r="L36" s="2" t="n">
        <v>-0.19306355922025</v>
      </c>
      <c r="M36" s="2" t="n">
        <v>-0.19405865875093</v>
      </c>
      <c r="N36" s="2" t="n">
        <v>341.01179518122</v>
      </c>
      <c r="O36" s="2" t="n">
        <v>379.0655365457</v>
      </c>
    </row>
    <row r="37">
      <c r="A37" s="7" t="n">
        <v>6.4066849390983</v>
      </c>
      <c r="B37" s="2" t="n">
        <v>0.018569183065211</v>
      </c>
      <c r="C37" s="2" t="n">
        <v>92.696756111667</v>
      </c>
      <c r="D37" s="2" t="n">
        <v>0.020124658363052</v>
      </c>
      <c r="E37" s="2" t="n">
        <v>-6.2045159241313</v>
      </c>
      <c r="F37" s="2" t="n">
        <v>-2.1120329009499</v>
      </c>
      <c r="G37" s="2" t="n">
        <v>32478217.27158</v>
      </c>
      <c r="H37" s="2" t="n">
        <v>6838946.6487627</v>
      </c>
      <c r="I37" s="2" t="n">
        <v>-0.0093304958341017</v>
      </c>
      <c r="J37" s="2" t="n">
        <v>-0.0089172079017705</v>
      </c>
      <c r="K37" s="2" t="n">
        <v>0.019034702287057</v>
      </c>
      <c r="L37" s="2" t="n">
        <v>-0.20018621639423</v>
      </c>
      <c r="M37" s="2" t="n">
        <v>-0.20117008005414</v>
      </c>
      <c r="N37" s="2" t="n">
        <v>341.96693172969</v>
      </c>
      <c r="O37" s="2" t="n">
        <v>380.19302427163</v>
      </c>
    </row>
    <row r="38">
      <c r="A38" s="7" t="n">
        <v>6.6066849390983</v>
      </c>
      <c r="B38" s="2" t="n">
        <v>0.019193205368492</v>
      </c>
      <c r="C38" s="2" t="n">
        <v>92.696620471706</v>
      </c>
      <c r="D38" s="2" t="n">
        <v>0.020753592520546</v>
      </c>
      <c r="E38" s="2" t="n">
        <v>-6.2052144092054</v>
      </c>
      <c r="F38" s="2" t="n">
        <v>-2.112600722553</v>
      </c>
      <c r="G38" s="2" t="n">
        <v>33118193.428116</v>
      </c>
      <c r="H38" s="2" t="n">
        <v>6948478.6806397</v>
      </c>
      <c r="I38" s="2" t="n">
        <v>-0.009630716417405399</v>
      </c>
      <c r="J38" s="2" t="n">
        <v>-0.009203265194725399</v>
      </c>
      <c r="K38" s="2" t="n">
        <v>0.019623035787929</v>
      </c>
      <c r="L38" s="2" t="n">
        <v>-0.20732951355265</v>
      </c>
      <c r="M38" s="2" t="n">
        <v>-0.20830179644555</v>
      </c>
      <c r="N38" s="2" t="n">
        <v>342.9143981793</v>
      </c>
      <c r="O38" s="2" t="n">
        <v>381.31056891889</v>
      </c>
    </row>
    <row r="39">
      <c r="A39" s="7" t="n">
        <v>6.8066849390983</v>
      </c>
      <c r="B39" s="2" t="n">
        <v>0.019817022984681</v>
      </c>
      <c r="C39" s="2" t="n">
        <v>92.69648069412401</v>
      </c>
      <c r="D39" s="2" t="n">
        <v>0.021382330751926</v>
      </c>
      <c r="E39" s="2" t="n">
        <v>-6.2168950727398</v>
      </c>
      <c r="F39" s="2" t="n">
        <v>-2.1131711213949</v>
      </c>
      <c r="G39" s="2" t="n">
        <v>33762428.160669</v>
      </c>
      <c r="H39" s="2" t="n">
        <v>7058694.3725424</v>
      </c>
      <c r="I39" s="2" t="n">
        <v>-0.0099307936107537</v>
      </c>
      <c r="J39" s="2" t="n">
        <v>-0.009489132211912599</v>
      </c>
      <c r="K39" s="2" t="n">
        <v>0.020211018432645</v>
      </c>
      <c r="L39" s="2" t="n">
        <v>-0.21445419372477</v>
      </c>
      <c r="M39" s="2" t="n">
        <v>-0.21541855838235</v>
      </c>
      <c r="N39" s="2" t="n">
        <v>343.85454274933</v>
      </c>
      <c r="O39" s="2" t="n">
        <v>382.41863630525</v>
      </c>
    </row>
    <row r="40">
      <c r="A40" s="7" t="n">
        <v>7.0066849390983</v>
      </c>
      <c r="B40" s="2" t="n">
        <v>0.020440642907277</v>
      </c>
      <c r="C40" s="2" t="n">
        <v>92.696340803265</v>
      </c>
      <c r="D40" s="2" t="n">
        <v>0.022010879969819</v>
      </c>
      <c r="E40" s="2" t="n">
        <v>-6.2023254160686</v>
      </c>
      <c r="F40" s="2" t="n">
        <v>-2.1070263635894</v>
      </c>
      <c r="G40" s="2" t="n">
        <v>34410877.609396</v>
      </c>
      <c r="H40" s="2" t="n">
        <v>7169586.0638847</v>
      </c>
      <c r="I40" s="2" t="n">
        <v>-0.010230725940776</v>
      </c>
      <c r="J40" s="2" t="n">
        <v>-0.0097748108486114</v>
      </c>
      <c r="K40" s="2" t="n">
        <v>0.020798650654859</v>
      </c>
      <c r="L40" s="2" t="n">
        <v>-0.22163937990363</v>
      </c>
      <c r="M40" s="2" t="n">
        <v>-0.22259914863458</v>
      </c>
      <c r="N40" s="2" t="n">
        <v>344.78753679946</v>
      </c>
      <c r="O40" s="2" t="n">
        <v>383.51758485324</v>
      </c>
    </row>
    <row r="41">
      <c r="A41" s="7" t="n">
        <v>7.2066849390983</v>
      </c>
      <c r="B41" s="2" t="n">
        <v>0.021064070743457</v>
      </c>
      <c r="C41" s="2" t="n">
        <v>92.69618952210401</v>
      </c>
      <c r="D41" s="2" t="n">
        <v>0.022639246459185</v>
      </c>
      <c r="E41" s="2" t="n">
        <v>-6.2020899795438</v>
      </c>
      <c r="F41" s="2" t="n">
        <v>-2.1176976844837</v>
      </c>
      <c r="G41" s="2" t="n">
        <v>35063498.165972</v>
      </c>
      <c r="H41" s="2" t="n">
        <v>7281146.1438627</v>
      </c>
      <c r="I41" s="2" t="n">
        <v>-0.010530512061355</v>
      </c>
      <c r="J41" s="2" t="n">
        <v>-0.01006030209582</v>
      </c>
      <c r="K41" s="2" t="n">
        <v>0.021385932889662</v>
      </c>
      <c r="L41" s="2" t="n">
        <v>-0.22889941298187</v>
      </c>
      <c r="M41" s="2" t="n">
        <v>-0.22984330195559</v>
      </c>
      <c r="N41" s="2" t="n">
        <v>345.71373715844</v>
      </c>
      <c r="O41" s="2" t="n">
        <v>384.60789706353</v>
      </c>
    </row>
    <row r="42">
      <c r="A42" s="7" t="n">
        <v>7.4066849390983</v>
      </c>
      <c r="B42" s="2" t="n">
        <v>0.021687312546298</v>
      </c>
      <c r="C42" s="2" t="n">
        <v>92.69603847472</v>
      </c>
      <c r="D42" s="2" t="n">
        <v>0.023267436177878</v>
      </c>
      <c r="E42" s="2" t="n">
        <v>-6.191779065968</v>
      </c>
      <c r="F42" s="2" t="n">
        <v>-2.1182732003114</v>
      </c>
      <c r="G42" s="2" t="n">
        <v>35720246.676264</v>
      </c>
      <c r="H42" s="2" t="n">
        <v>7393367.0828029</v>
      </c>
      <c r="I42" s="2" t="n">
        <v>-0.010830150184555</v>
      </c>
      <c r="J42" s="2" t="n">
        <v>-0.010345606656692</v>
      </c>
      <c r="K42" s="2" t="n">
        <v>0.02197286556774</v>
      </c>
      <c r="L42" s="2" t="n">
        <v>-0.23604732867082</v>
      </c>
      <c r="M42" s="2" t="n">
        <v>-0.23699208301777</v>
      </c>
      <c r="N42" s="2" t="n">
        <v>346.6334506801</v>
      </c>
      <c r="O42" s="2" t="n">
        <v>385.68981791795</v>
      </c>
    </row>
    <row r="43">
      <c r="A43" s="7" t="n">
        <v>7.6066849390983</v>
      </c>
      <c r="B43" s="2" t="n">
        <v>0.022310374372814</v>
      </c>
      <c r="C43" s="2" t="n">
        <v>92.695885195435</v>
      </c>
      <c r="D43" s="2" t="n">
        <v>0.023895455769444</v>
      </c>
      <c r="E43" s="2" t="n">
        <v>-6.2034373154976</v>
      </c>
      <c r="F43" s="2" t="n">
        <v>-2.1408241259713</v>
      </c>
      <c r="G43" s="2" t="n">
        <v>36381080.162587</v>
      </c>
      <c r="H43" s="2" t="n">
        <v>7506241.389099</v>
      </c>
      <c r="I43" s="2" t="n">
        <v>-0.011129640504083</v>
      </c>
      <c r="J43" s="2" t="n">
        <v>-0.010630725931255</v>
      </c>
      <c r="K43" s="2" t="n">
        <v>0.022559449119206</v>
      </c>
      <c r="L43" s="2" t="n">
        <v>-0.24345799277788</v>
      </c>
      <c r="M43" s="2" t="n">
        <v>-0.24438298792468</v>
      </c>
      <c r="N43" s="2" t="n">
        <v>347.54691306179</v>
      </c>
      <c r="O43" s="2" t="n">
        <v>386.76407500194</v>
      </c>
    </row>
    <row r="44">
      <c r="A44" s="7" t="n">
        <v>7.8066849390983</v>
      </c>
      <c r="B44" s="2" t="n">
        <v>0.022933262059618</v>
      </c>
      <c r="C44" s="2" t="n">
        <v>92.69572988553701</v>
      </c>
      <c r="D44" s="2" t="n">
        <v>0.02452331067645</v>
      </c>
      <c r="E44" s="2" t="n">
        <v>-6.2150923534484</v>
      </c>
      <c r="F44" s="2" t="n">
        <v>-2.1304187621286</v>
      </c>
      <c r="G44" s="2" t="n">
        <v>37045956.165531</v>
      </c>
      <c r="H44" s="2" t="n">
        <v>7619761.662791</v>
      </c>
      <c r="I44" s="2" t="n">
        <v>-0.011428981054452</v>
      </c>
      <c r="J44" s="2" t="n">
        <v>-0.01091565897382</v>
      </c>
      <c r="K44" s="2" t="n">
        <v>0.023145683985935</v>
      </c>
      <c r="L44" s="2" t="n">
        <v>-0.2505648298355</v>
      </c>
      <c r="M44" s="2" t="n">
        <v>-0.25151005409561</v>
      </c>
      <c r="N44" s="2" t="n">
        <v>348.45447839093</v>
      </c>
      <c r="O44" s="2" t="n">
        <v>387.83065035636</v>
      </c>
    </row>
    <row r="45">
      <c r="A45" s="7" t="n">
        <v>8.006684939098299</v>
      </c>
      <c r="B45" s="2" t="n">
        <v>0.023555982345377</v>
      </c>
      <c r="C45" s="2" t="n">
        <v>92.695572341961</v>
      </c>
      <c r="D45" s="2" t="n">
        <v>0.025151007060536</v>
      </c>
      <c r="E45" s="2" t="n">
        <v>-6.237730475192</v>
      </c>
      <c r="F45" s="2" t="n">
        <v>-2.1419887683044</v>
      </c>
      <c r="G45" s="2" t="n">
        <v>37714833.885483</v>
      </c>
      <c r="H45" s="2" t="n">
        <v>7733920.7936217</v>
      </c>
      <c r="I45" s="2" t="n">
        <v>-0.011728173390924</v>
      </c>
      <c r="J45" s="2" t="n">
        <v>-0.011200406730871</v>
      </c>
      <c r="K45" s="2" t="n">
        <v>0.023731570591825</v>
      </c>
      <c r="L45" s="2" t="n">
        <v>-0.25786187443308</v>
      </c>
      <c r="M45" s="2" t="n">
        <v>-0.258787865955</v>
      </c>
      <c r="N45" s="2" t="n">
        <v>349.35618219539</v>
      </c>
      <c r="O45" s="2" t="n">
        <v>388.89013399588</v>
      </c>
    </row>
    <row r="46">
      <c r="A46" s="7" t="n">
        <v>8.206684939098301</v>
      </c>
      <c r="B46" s="2" t="n">
        <v>0.024178541050478</v>
      </c>
      <c r="C46" s="2" t="n">
        <v>92.69541270978399</v>
      </c>
      <c r="D46" s="2" t="n">
        <v>0.02577855032143</v>
      </c>
      <c r="E46" s="2" t="n">
        <v>-6.2603655904036</v>
      </c>
      <c r="F46" s="2" t="n">
        <v>-2.1425751466164</v>
      </c>
      <c r="G46" s="2" t="n">
        <v>38387672.513055</v>
      </c>
      <c r="H46" s="2" t="n">
        <v>7848711.6775865</v>
      </c>
      <c r="I46" s="2" t="n">
        <v>-0.012027216787434</v>
      </c>
      <c r="J46" s="2" t="n">
        <v>-0.011484969364492</v>
      </c>
      <c r="K46" s="2" t="n">
        <v>0.024317109367613</v>
      </c>
      <c r="L46" s="2" t="n">
        <v>-0.2652429305978</v>
      </c>
      <c r="M46" s="2" t="n">
        <v>-0.26615680351728</v>
      </c>
      <c r="N46" s="2" t="n">
        <v>350.2522867558</v>
      </c>
      <c r="O46" s="2" t="n">
        <v>389.94281646416</v>
      </c>
    </row>
    <row r="47">
      <c r="A47" s="7" t="n">
        <v>8.4066849390983</v>
      </c>
      <c r="B47" s="2" t="n">
        <v>0.024800943876687</v>
      </c>
      <c r="C47" s="2" t="n">
        <v>92.695251074122</v>
      </c>
      <c r="D47" s="2" t="n">
        <v>0.026405946029667</v>
      </c>
      <c r="E47" s="2" t="n">
        <v>-6.2610250516503</v>
      </c>
      <c r="F47" s="2" t="n">
        <v>-2.1431641412527</v>
      </c>
      <c r="G47" s="2" t="n">
        <v>39064431.521126</v>
      </c>
      <c r="H47" s="2" t="n">
        <v>7964127.2629117</v>
      </c>
      <c r="I47" s="2" t="n">
        <v>-0.012326110835578</v>
      </c>
      <c r="J47" s="2" t="n">
        <v>-0.011769345861948</v>
      </c>
      <c r="K47" s="2" t="n">
        <v>0.024902300737703</v>
      </c>
      <c r="L47" s="2" t="n">
        <v>-0.27242318357076</v>
      </c>
      <c r="M47" s="2" t="n">
        <v>-0.27331962163757</v>
      </c>
      <c r="N47" s="2" t="n">
        <v>351.14299652694</v>
      </c>
      <c r="O47" s="2" t="n">
        <v>390.98869240583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selection activeCell="A1" sqref="A1:O65"/>
    </sheetView>
  </sheetViews>
  <sheetFormatPr baseColWidth="8" defaultColWidth="8.85546875" defaultRowHeight="15"/>
  <cols>
    <col width="12.42578125" customWidth="1" style="5" min="1" max="4"/>
    <col width="13.5703125" customWidth="1" style="5" min="5" max="7"/>
    <col width="12.42578125" customWidth="1" style="5" min="8" max="8"/>
    <col width="13.5703125" customWidth="1" style="5" min="9" max="13"/>
    <col width="12.42578125" customWidth="1" style="5" min="14" max="15"/>
  </cols>
  <sheetData>
    <row r="1">
      <c r="A1" s="2" t="inlineStr">
        <is>
          <t>time</t>
        </is>
      </c>
      <c r="B1" s="2" t="inlineStr">
        <is>
          <t>Ep_eff</t>
        </is>
      </c>
      <c r="C1" s="2" t="inlineStr">
        <is>
          <t>Phi</t>
        </is>
      </c>
      <c r="D1" s="2" t="inlineStr">
        <is>
          <t>eeq</t>
        </is>
      </c>
      <c r="E1" s="2" t="inlineStr">
        <is>
          <t>phi_1</t>
        </is>
      </c>
      <c r="F1" s="2" t="inlineStr">
        <is>
          <t>phi_2</t>
        </is>
      </c>
      <c r="G1" s="2" t="inlineStr">
        <is>
          <t>rho_i</t>
        </is>
      </c>
      <c r="H1" s="2" t="inlineStr">
        <is>
          <t>rho_m</t>
        </is>
      </c>
      <c r="I1" s="2" t="inlineStr">
        <is>
          <t>strain_xx</t>
        </is>
      </c>
      <c r="J1" s="2" t="inlineStr">
        <is>
          <t>strain_yy</t>
        </is>
      </c>
      <c r="K1" s="2" t="inlineStr">
        <is>
          <t>strain_zz</t>
        </is>
      </c>
      <c r="L1" s="2" t="inlineStr">
        <is>
          <t>stress_xx</t>
        </is>
      </c>
      <c r="M1" s="2" t="inlineStr">
        <is>
          <t>stress_yy</t>
        </is>
      </c>
      <c r="N1" s="2" t="inlineStr">
        <is>
          <t>stress_zz</t>
        </is>
      </c>
      <c r="O1" s="2" t="inlineStr">
        <is>
          <t>vonmises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</row>
    <row r="3">
      <c r="A3" s="2" t="n">
        <v>0.0025830812468784</v>
      </c>
      <c r="B3" s="3" t="n">
        <v>1.4831607755426e-23</v>
      </c>
      <c r="C3" s="2" t="n">
        <v>92.681598231872</v>
      </c>
      <c r="D3" s="3" t="n">
        <v>7.2351255025667e-06</v>
      </c>
      <c r="E3" s="2" t="n">
        <v>-5.6421880966083</v>
      </c>
      <c r="F3" s="2" t="n">
        <v>-2.7149608611125</v>
      </c>
      <c r="G3" s="2" t="n">
        <v>16000000</v>
      </c>
      <c r="H3" s="2" t="n">
        <v>4000000</v>
      </c>
      <c r="I3" s="3" t="n">
        <v>-2.1337915820272e-06</v>
      </c>
      <c r="J3" s="3" t="n">
        <v>-2.0297791373754e-06</v>
      </c>
      <c r="K3" s="3" t="n">
        <v>7.7492131385764e-06</v>
      </c>
      <c r="L3" s="3" t="n">
        <v>-2.0538903474918e-07</v>
      </c>
      <c r="M3" s="3" t="n">
        <v>-2.1304620723732e-07</v>
      </c>
      <c r="N3" s="2" t="n">
        <v>1.5355853290425</v>
      </c>
      <c r="O3" s="2" t="n">
        <v>1.6420169383929</v>
      </c>
    </row>
    <row r="4">
      <c r="A4" s="2" t="n">
        <v>0.018444056862426</v>
      </c>
      <c r="B4" s="3" t="n">
        <v>8.3207183653923e-21</v>
      </c>
      <c r="C4" s="2" t="n">
        <v>92.68170577279299</v>
      </c>
      <c r="D4" s="3" t="n">
        <v>5.1663091206694e-05</v>
      </c>
      <c r="E4" s="2" t="n">
        <v>-5.6421917404062</v>
      </c>
      <c r="F4" s="2" t="n">
        <v>-2.7148404608121</v>
      </c>
      <c r="G4" s="2" t="n">
        <v>16000000</v>
      </c>
      <c r="H4" s="2" t="n">
        <v>4000000</v>
      </c>
      <c r="I4" s="3" t="n">
        <v>-1.5238535228155e-05</v>
      </c>
      <c r="J4" s="3" t="n">
        <v>-1.4495684937796e-05</v>
      </c>
      <c r="K4" s="3" t="n">
        <v>5.5330610414989e-05</v>
      </c>
      <c r="L4" s="3" t="n">
        <v>-1.0467530093913e-05</v>
      </c>
      <c r="M4" s="3" t="n">
        <v>-1.0857947624821e-05</v>
      </c>
      <c r="N4" s="2" t="n">
        <v>10.967573083281</v>
      </c>
      <c r="O4" s="2" t="n">
        <v>11.727458529745</v>
      </c>
    </row>
    <row r="5">
      <c r="A5" s="2" t="n">
        <v>0.1</v>
      </c>
      <c r="B5" s="3" t="n">
        <v>8.099054164594199e-15</v>
      </c>
      <c r="C5" s="2" t="n">
        <v>92.68145563204899</v>
      </c>
      <c r="D5" s="2" t="n">
        <v>0.00028016455085313</v>
      </c>
      <c r="E5" s="2" t="n">
        <v>-5.8955189401605</v>
      </c>
      <c r="F5" s="2" t="n">
        <v>-3.0144704264313</v>
      </c>
      <c r="G5" s="2" t="n">
        <v>16000000.000005</v>
      </c>
      <c r="H5" s="2" t="n">
        <v>4000000.0000009</v>
      </c>
      <c r="I5" s="3" t="n">
        <v>-8.2701074072244e-05</v>
      </c>
      <c r="J5" s="3" t="n">
        <v>-7.8668532066712e-05</v>
      </c>
      <c r="K5" s="2" t="n">
        <v>0.00029995414536603</v>
      </c>
      <c r="L5" s="2" t="n">
        <v>-0.00030595948081277</v>
      </c>
      <c r="M5" s="2" t="n">
        <v>-0.00031749493971345</v>
      </c>
      <c r="N5" s="2" t="n">
        <v>59.556978087497</v>
      </c>
      <c r="O5" s="2" t="n">
        <v>63.674933490965</v>
      </c>
    </row>
    <row r="6">
      <c r="A6" s="2" t="n">
        <v>0.20668493909835</v>
      </c>
      <c r="B6" s="3" t="n">
        <v>5.5901588604023e-11</v>
      </c>
      <c r="C6" s="2" t="n">
        <v>92.687021709772</v>
      </c>
      <c r="D6" s="2" t="n">
        <v>0.00057920145946487</v>
      </c>
      <c r="E6" s="2" t="n">
        <v>-5.804222343527</v>
      </c>
      <c r="F6" s="2" t="n">
        <v>-2.6881316525406</v>
      </c>
      <c r="G6" s="2" t="n">
        <v>16000000.03391</v>
      </c>
      <c r="H6" s="2" t="n">
        <v>4000000.0058927</v>
      </c>
      <c r="I6" s="2" t="n">
        <v>-0.00017112363254164</v>
      </c>
      <c r="J6" s="2" t="n">
        <v>-0.00016277704305106</v>
      </c>
      <c r="K6" s="2" t="n">
        <v>0.00061985897979896</v>
      </c>
      <c r="L6" s="2" t="n">
        <v>-0.0013116278509851</v>
      </c>
      <c r="M6" s="2" t="n">
        <v>-0.0013605725329651</v>
      </c>
      <c r="N6" s="2" t="n">
        <v>123.3216003892</v>
      </c>
      <c r="O6" s="2" t="n">
        <v>131.82747795821</v>
      </c>
    </row>
    <row r="7">
      <c r="A7" s="2" t="n">
        <v>0.40668493909835</v>
      </c>
      <c r="B7" s="3" t="n">
        <v>5.3682606066579e-06</v>
      </c>
      <c r="C7" s="2" t="n">
        <v>92.694893836303</v>
      </c>
      <c r="D7" s="2" t="n">
        <v>0.0011413013082953</v>
      </c>
      <c r="E7" s="2" t="n">
        <v>-6.0946009758628</v>
      </c>
      <c r="F7" s="2" t="n">
        <v>-2.5556233065714</v>
      </c>
      <c r="G7" s="2" t="n">
        <v>16003139.943011</v>
      </c>
      <c r="H7" s="2" t="n">
        <v>4000545.6100721</v>
      </c>
      <c r="I7" s="2" t="n">
        <v>-0.00033870587807936</v>
      </c>
      <c r="J7" s="2" t="n">
        <v>-0.00032228605090603</v>
      </c>
      <c r="K7" s="2" t="n">
        <v>0.0012192970636462</v>
      </c>
      <c r="L7" s="2" t="n">
        <v>-0.0051189936791075</v>
      </c>
      <c r="M7" s="2" t="n">
        <v>-0.0053068487792627</v>
      </c>
      <c r="N7" s="2" t="n">
        <v>242.52013234638</v>
      </c>
      <c r="O7" s="2" t="n">
        <v>259.19739379602</v>
      </c>
    </row>
    <row r="8">
      <c r="A8" s="2" t="n">
        <v>0.60668493909835</v>
      </c>
      <c r="B8" s="2" t="n">
        <v>0.00027841678347558</v>
      </c>
      <c r="C8" s="2" t="n">
        <v>92.69896201560999</v>
      </c>
      <c r="D8" s="2" t="n">
        <v>0.001739251515614</v>
      </c>
      <c r="E8" s="2" t="n">
        <v>-6.0383307986189</v>
      </c>
      <c r="F8" s="2" t="n">
        <v>-2.344640500505</v>
      </c>
      <c r="G8" s="2" t="n">
        <v>16169753.785558</v>
      </c>
      <c r="H8" s="2" t="n">
        <v>4029486.2560181</v>
      </c>
      <c r="I8" s="2" t="n">
        <v>-0.00056266805148056</v>
      </c>
      <c r="J8" s="2" t="n">
        <v>-0.00053673309351704</v>
      </c>
      <c r="K8" s="2" t="n">
        <v>0.0018183730281499</v>
      </c>
      <c r="L8" s="2" t="n">
        <v>-0.011651653007654</v>
      </c>
      <c r="M8" s="2" t="n">
        <v>-0.012113565354426</v>
      </c>
      <c r="N8" s="2" t="n">
        <v>313.95907395342</v>
      </c>
      <c r="O8" s="2" t="n">
        <v>336.96991953954</v>
      </c>
    </row>
    <row r="9">
      <c r="A9" s="2" t="n">
        <v>0.80668493909835</v>
      </c>
      <c r="B9" s="2" t="n">
        <v>0.0008549212074472899</v>
      </c>
      <c r="C9" s="2" t="n">
        <v>92.698857456054</v>
      </c>
      <c r="D9" s="2" t="n">
        <v>0.0023667601401311</v>
      </c>
      <c r="E9" s="2" t="n">
        <v>-6.1276066560839</v>
      </c>
      <c r="F9" s="2" t="n">
        <v>-2.1811175824248</v>
      </c>
      <c r="G9" s="2" t="n">
        <v>16545336.302413</v>
      </c>
      <c r="H9" s="2" t="n">
        <v>4094684.6003414</v>
      </c>
      <c r="I9" s="2" t="n">
        <v>-0.00084860176688086</v>
      </c>
      <c r="J9" s="2" t="n">
        <v>-0.00080873847213862</v>
      </c>
      <c r="K9" s="2" t="n">
        <v>0.0024170851988471</v>
      </c>
      <c r="L9" s="2" t="n">
        <v>-0.017854893494368</v>
      </c>
      <c r="M9" s="2" t="n">
        <v>-0.018563515944931</v>
      </c>
      <c r="N9" s="2" t="n">
        <v>332.46908531141</v>
      </c>
      <c r="O9" s="2" t="n">
        <v>359.18334129941</v>
      </c>
    </row>
    <row r="10">
      <c r="A10" s="2" t="n">
        <v>1.0066849390983</v>
      </c>
      <c r="B10" s="2" t="n">
        <v>0.0014798762444973</v>
      </c>
      <c r="C10" s="2" t="n">
        <v>92.699238814396</v>
      </c>
      <c r="D10" s="2" t="n">
        <v>0.0030003101005563</v>
      </c>
      <c r="E10" s="2" t="n">
        <v>-6.2246741019627</v>
      </c>
      <c r="F10" s="2" t="n">
        <v>-2.119638524748</v>
      </c>
      <c r="G10" s="2" t="n">
        <v>16979845.163294</v>
      </c>
      <c r="H10" s="2" t="n">
        <v>4170060.7146695</v>
      </c>
      <c r="I10" s="2" t="n">
        <v>-0.0011463840033887</v>
      </c>
      <c r="J10" s="2" t="n">
        <v>-0.0010914026877889</v>
      </c>
      <c r="K10" s="2" t="n">
        <v>0.0030154309715356</v>
      </c>
      <c r="L10" s="2" t="n">
        <v>-0.023120722993869</v>
      </c>
      <c r="M10" s="2" t="n">
        <v>-0.023920133350611</v>
      </c>
      <c r="N10" s="2" t="n">
        <v>340.7258805491</v>
      </c>
      <c r="O10" s="2" t="n">
        <v>370.06788225947</v>
      </c>
    </row>
    <row r="11">
      <c r="A11" s="2" t="n">
        <v>1.2066849390983</v>
      </c>
      <c r="B11" s="2" t="n">
        <v>0.0021126782225592</v>
      </c>
      <c r="C11" s="2" t="n">
        <v>92.69953063670999</v>
      </c>
      <c r="D11" s="2" t="n">
        <v>0.0036368509041695</v>
      </c>
      <c r="E11" s="2" t="n">
        <v>-6.2454938096809</v>
      </c>
      <c r="F11" s="2" t="n">
        <v>-2.1119069124346</v>
      </c>
      <c r="G11" s="2" t="n">
        <v>17442017.609303</v>
      </c>
      <c r="H11" s="2" t="n">
        <v>4250184.5283527</v>
      </c>
      <c r="I11" s="2" t="n">
        <v>-0.0014470968951361</v>
      </c>
      <c r="J11" s="2" t="n">
        <v>-0.0013779113138796</v>
      </c>
      <c r="K11" s="2" t="n">
        <v>0.0036134113453438</v>
      </c>
      <c r="L11" s="2" t="n">
        <v>-0.029611106922328</v>
      </c>
      <c r="M11" s="2" t="n">
        <v>-0.030512448213842</v>
      </c>
      <c r="N11" s="2" t="n">
        <v>345.74934096029</v>
      </c>
      <c r="O11" s="2" t="n">
        <v>377.09916367061</v>
      </c>
    </row>
    <row r="12">
      <c r="A12" s="2" t="n">
        <v>1.4066849390983</v>
      </c>
      <c r="B12" s="2" t="n">
        <v>0.0027465696890757</v>
      </c>
      <c r="C12" s="2" t="n">
        <v>92.69965186375801</v>
      </c>
      <c r="D12" s="2" t="n">
        <v>0.0042746477170232</v>
      </c>
      <c r="E12" s="2" t="n">
        <v>-6.2770991790027</v>
      </c>
      <c r="F12" s="2" t="n">
        <v>-2.1041066716134</v>
      </c>
      <c r="G12" s="2" t="n">
        <v>17922105.793868</v>
      </c>
      <c r="H12" s="2" t="n">
        <v>4333363.593695</v>
      </c>
      <c r="I12" s="2" t="n">
        <v>-0.0017487769495925</v>
      </c>
      <c r="J12" s="2" t="n">
        <v>-0.0016663539404545</v>
      </c>
      <c r="K12" s="2" t="n">
        <v>0.0042110274591579</v>
      </c>
      <c r="L12" s="2" t="n">
        <v>-0.036238608998157</v>
      </c>
      <c r="M12" s="2" t="n">
        <v>-0.037217945893805</v>
      </c>
      <c r="N12" s="2" t="n">
        <v>349.27342364263</v>
      </c>
      <c r="O12" s="2" t="n">
        <v>382.19659842439</v>
      </c>
    </row>
    <row r="13">
      <c r="A13" s="2" t="n">
        <v>1.6066849390983</v>
      </c>
      <c r="B13" s="2" t="n">
        <v>0.0033800509670743</v>
      </c>
      <c r="C13" s="2" t="n">
        <v>92.699711774051</v>
      </c>
      <c r="D13" s="2" t="n">
        <v>0.0049127368504835</v>
      </c>
      <c r="E13" s="2" t="n">
        <v>-6.293474376376</v>
      </c>
      <c r="F13" s="2" t="n">
        <v>-2.1004088713394</v>
      </c>
      <c r="G13" s="2" t="n">
        <v>18415236.517376</v>
      </c>
      <c r="H13" s="2" t="n">
        <v>4418751.7588554</v>
      </c>
      <c r="I13" s="2" t="n">
        <v>-0.0020507743929487</v>
      </c>
      <c r="J13" s="2" t="n">
        <v>-0.0019558123696202</v>
      </c>
      <c r="K13" s="2" t="n">
        <v>0.0048082802565542</v>
      </c>
      <c r="L13" s="2" t="n">
        <v>-0.043131768837613</v>
      </c>
      <c r="M13" s="2" t="n">
        <v>-0.044170357002619</v>
      </c>
      <c r="N13" s="2" t="n">
        <v>352.00795959281</v>
      </c>
      <c r="O13" s="2" t="n">
        <v>386.19313984635</v>
      </c>
    </row>
    <row r="14">
      <c r="A14" s="2" t="n">
        <v>1.8066849390983</v>
      </c>
      <c r="B14" s="2" t="n">
        <v>0.0040129099758609</v>
      </c>
      <c r="C14" s="2" t="n">
        <v>92.699725901962</v>
      </c>
      <c r="D14" s="2" t="n">
        <v>0.0055506744348608</v>
      </c>
      <c r="E14" s="2" t="n">
        <v>-6.3056016794973</v>
      </c>
      <c r="F14" s="2" t="n">
        <v>-2.1008656264627</v>
      </c>
      <c r="G14" s="2" t="n">
        <v>18918684.841651</v>
      </c>
      <c r="H14" s="2" t="n">
        <v>4505875.7508898</v>
      </c>
      <c r="I14" s="2" t="n">
        <v>-0.0023528900353161</v>
      </c>
      <c r="J14" s="2" t="n">
        <v>-0.002245753644863</v>
      </c>
      <c r="K14" s="2" t="n">
        <v>0.005405170363454</v>
      </c>
      <c r="L14" s="2" t="n">
        <v>-0.049746940034159</v>
      </c>
      <c r="M14" s="2" t="n">
        <v>-0.050865452839024</v>
      </c>
      <c r="N14" s="2" t="n">
        <v>354.28691950498</v>
      </c>
      <c r="O14" s="2" t="n">
        <v>389.50764379567</v>
      </c>
    </row>
    <row r="15">
      <c r="A15" s="2" t="n">
        <v>2.0066849390983</v>
      </c>
      <c r="B15" s="2" t="n">
        <v>0.0046451745025389</v>
      </c>
      <c r="C15" s="2" t="n">
        <v>92.699704085346</v>
      </c>
      <c r="D15" s="2" t="n">
        <v>0.0061882712627113</v>
      </c>
      <c r="E15" s="2" t="n">
        <v>-6.3066890300972</v>
      </c>
      <c r="F15" s="2" t="n">
        <v>-2.101325637195</v>
      </c>
      <c r="G15" s="2" t="n">
        <v>19430806.29358</v>
      </c>
      <c r="H15" s="2" t="n">
        <v>4594449.8592268</v>
      </c>
      <c r="I15" s="2" t="n">
        <v>-0.0026550594088892</v>
      </c>
      <c r="J15" s="2" t="n">
        <v>-0.0025358721013482</v>
      </c>
      <c r="K15" s="2" t="n">
        <v>0.0060016982653244</v>
      </c>
      <c r="L15" s="2" t="n">
        <v>-0.056539047144312</v>
      </c>
      <c r="M15" s="2" t="n">
        <v>-0.057715829343974</v>
      </c>
      <c r="N15" s="2" t="n">
        <v>356.28297905842</v>
      </c>
      <c r="O15" s="2" t="n">
        <v>392.37218564413</v>
      </c>
    </row>
    <row r="16">
      <c r="A16" s="2" t="n">
        <v>2.2066849390983</v>
      </c>
      <c r="B16" s="2" t="n">
        <v>0.0052769000659734</v>
      </c>
      <c r="C16" s="2" t="n">
        <v>92.69965287410901</v>
      </c>
      <c r="D16" s="2" t="n">
        <v>0.0068254517963085</v>
      </c>
      <c r="E16" s="2" t="n">
        <v>-6.3077376385227</v>
      </c>
      <c r="F16" s="2" t="n">
        <v>-2.1017905998769</v>
      </c>
      <c r="G16" s="2" t="n">
        <v>19950560.824036</v>
      </c>
      <c r="H16" s="2" t="n">
        <v>4684293.3114519</v>
      </c>
      <c r="I16" s="2" t="n">
        <v>-0.0029572385623973</v>
      </c>
      <c r="J16" s="2" t="n">
        <v>-0.002826011422783</v>
      </c>
      <c r="K16" s="2" t="n">
        <v>0.0065978644605605</v>
      </c>
      <c r="L16" s="2" t="n">
        <v>-0.06351571015013199</v>
      </c>
      <c r="M16" s="2" t="n">
        <v>-0.064768862131004</v>
      </c>
      <c r="N16" s="2" t="n">
        <v>358.09052761516</v>
      </c>
      <c r="O16" s="2" t="n">
        <v>394.92179266437</v>
      </c>
    </row>
    <row r="17">
      <c r="A17" s="2" t="n">
        <v>2.4066849390983</v>
      </c>
      <c r="B17" s="2" t="n">
        <v>0.0059081295769658</v>
      </c>
      <c r="C17" s="2" t="n">
        <v>92.699578931457</v>
      </c>
      <c r="D17" s="2" t="n">
        <v>0.0074621853536615</v>
      </c>
      <c r="E17" s="2" t="n">
        <v>-6.319742332291</v>
      </c>
      <c r="F17" s="2" t="n">
        <v>-2.1022579934036</v>
      </c>
      <c r="G17" s="2" t="n">
        <v>20477248.853566</v>
      </c>
      <c r="H17" s="2" t="n">
        <v>4775284.4603134</v>
      </c>
      <c r="I17" s="2" t="n">
        <v>-0.0032593946959246</v>
      </c>
      <c r="J17" s="2" t="n">
        <v>-0.0031160853158698</v>
      </c>
      <c r="K17" s="2" t="n">
        <v>0.0071936694695937</v>
      </c>
      <c r="L17" s="2" t="n">
        <v>-0.070513626737348</v>
      </c>
      <c r="M17" s="2" t="n">
        <v>-0.071787068226008</v>
      </c>
      <c r="N17" s="2" t="n">
        <v>359.76592571001</v>
      </c>
      <c r="O17" s="2" t="n">
        <v>397.24084769064</v>
      </c>
    </row>
    <row r="18">
      <c r="A18" s="2" t="n">
        <v>2.6066849390983</v>
      </c>
      <c r="B18" s="2" t="n">
        <v>0.0065388992367367</v>
      </c>
      <c r="C18" s="2" t="n">
        <v>92.69948644848201</v>
      </c>
      <c r="D18" s="2" t="n">
        <v>0.008098468182082401</v>
      </c>
      <c r="E18" s="2" t="n">
        <v>-6.3207354764237</v>
      </c>
      <c r="F18" s="2" t="n">
        <v>-2.1027277256806</v>
      </c>
      <c r="G18" s="2" t="n">
        <v>21010369.09769</v>
      </c>
      <c r="H18" s="2" t="n">
        <v>4867336.0924772</v>
      </c>
      <c r="I18" s="2" t="n">
        <v>-0.0035615066176298</v>
      </c>
      <c r="J18" s="2" t="n">
        <v>-0.0034060433908039</v>
      </c>
      <c r="K18" s="2" t="n">
        <v>0.0077891138179691</v>
      </c>
      <c r="L18" s="2" t="n">
        <v>-0.07764986216392</v>
      </c>
      <c r="M18" s="2" t="n">
        <v>-0.078961350165782</v>
      </c>
      <c r="N18" s="2" t="n">
        <v>361.34425304152</v>
      </c>
      <c r="O18" s="2" t="n">
        <v>399.38570603928</v>
      </c>
    </row>
    <row r="19">
      <c r="A19" s="2" t="n">
        <v>2.8066849390983</v>
      </c>
      <c r="B19" s="2" t="n">
        <v>0.0071692394505987</v>
      </c>
      <c r="C19" s="2" t="n">
        <v>92.699393834842</v>
      </c>
      <c r="D19" s="2" t="n">
        <v>0.008734307196647801</v>
      </c>
      <c r="E19" s="2" t="n">
        <v>-6.3175036392228</v>
      </c>
      <c r="F19" s="2" t="n">
        <v>-2.107394397857</v>
      </c>
      <c r="G19" s="2" t="n">
        <v>21549549.707242</v>
      </c>
      <c r="H19" s="2" t="n">
        <v>4960383.4772809</v>
      </c>
      <c r="I19" s="2" t="n">
        <v>-0.0038635597640617</v>
      </c>
      <c r="J19" s="2" t="n">
        <v>-0.0036958532075203</v>
      </c>
      <c r="K19" s="2" t="n">
        <v>0.0083841980057133</v>
      </c>
      <c r="L19" s="2" t="n">
        <v>-0.084861634108073</v>
      </c>
      <c r="M19" s="2" t="n">
        <v>-0.086202237863879</v>
      </c>
      <c r="N19" s="2" t="n">
        <v>362.84847033551</v>
      </c>
      <c r="O19" s="2" t="n">
        <v>401.39525601582</v>
      </c>
    </row>
    <row r="20">
      <c r="A20" s="2" t="n">
        <v>3.0066849390983</v>
      </c>
      <c r="B20" s="2" t="n">
        <v>0.0077991677904248</v>
      </c>
      <c r="C20" s="2" t="n">
        <v>92.69929749590101</v>
      </c>
      <c r="D20" s="2" t="n">
        <v>0.0093697128080589</v>
      </c>
      <c r="E20" s="2" t="n">
        <v>-6.3210660808094</v>
      </c>
      <c r="F20" s="2" t="n">
        <v>-2.116233960457</v>
      </c>
      <c r="G20" s="2" t="n">
        <v>22094507.716614</v>
      </c>
      <c r="H20" s="2" t="n">
        <v>5054377.3359852</v>
      </c>
      <c r="I20" s="2" t="n">
        <v>-0.0041655450810792</v>
      </c>
      <c r="J20" s="2" t="n">
        <v>-0.0039854919166308</v>
      </c>
      <c r="K20" s="2" t="n">
        <v>0.0089789225196324</v>
      </c>
      <c r="L20" s="2" t="n">
        <v>-0.092000765077604</v>
      </c>
      <c r="M20" s="2" t="n">
        <v>-0.093401621441617</v>
      </c>
      <c r="N20" s="2" t="n">
        <v>364.2941989771</v>
      </c>
      <c r="O20" s="2" t="n">
        <v>403.29692737638</v>
      </c>
    </row>
    <row r="21">
      <c r="A21" s="2" t="n">
        <v>3.2066849390983</v>
      </c>
      <c r="B21" s="2" t="n">
        <v>0.0084286957799155</v>
      </c>
      <c r="C21" s="2" t="n">
        <v>92.699188584867</v>
      </c>
      <c r="D21" s="2" t="n">
        <v>0.010004697582143</v>
      </c>
      <c r="E21" s="2" t="n">
        <v>-6.3178267927895</v>
      </c>
      <c r="F21" s="2" t="n">
        <v>-2.1208809244728</v>
      </c>
      <c r="G21" s="2" t="n">
        <v>22645021.585488</v>
      </c>
      <c r="H21" s="2" t="n">
        <v>5149279.0709328</v>
      </c>
      <c r="I21" s="2" t="n">
        <v>-0.0044674593924665</v>
      </c>
      <c r="J21" s="2" t="n">
        <v>-0.0042749422321952</v>
      </c>
      <c r="K21" s="2" t="n">
        <v>0.009573287839123</v>
      </c>
      <c r="L21" s="2" t="n">
        <v>-0.09940125622972699</v>
      </c>
      <c r="M21" s="2" t="n">
        <v>-0.10081578391861</v>
      </c>
      <c r="N21" s="2" t="n">
        <v>365.69247647823</v>
      </c>
      <c r="O21" s="2" t="n">
        <v>405.1109323632</v>
      </c>
    </row>
    <row r="22">
      <c r="A22" s="2" t="n">
        <v>3.4066849390983</v>
      </c>
      <c r="B22" s="2" t="n">
        <v>0.009057836431757201</v>
      </c>
      <c r="C22" s="2" t="n">
        <v>92.699080309012</v>
      </c>
      <c r="D22" s="2" t="n">
        <v>0.010639276239061</v>
      </c>
      <c r="E22" s="2" t="n">
        <v>-6.3187346092508</v>
      </c>
      <c r="F22" s="2" t="n">
        <v>-2.1213711572234</v>
      </c>
      <c r="G22" s="2" t="n">
        <v>23200911.591035</v>
      </c>
      <c r="H22" s="2" t="n">
        <v>5245057.3530588</v>
      </c>
      <c r="I22" s="2" t="n">
        <v>-0.0047692974012752</v>
      </c>
      <c r="J22" s="2" t="n">
        <v>-0.0045641935790528</v>
      </c>
      <c r="K22" s="2" t="n">
        <v>0.010167294438863</v>
      </c>
      <c r="L22" s="2" t="n">
        <v>-0.10696238397629</v>
      </c>
      <c r="M22" s="2" t="n">
        <v>-0.10835235018093</v>
      </c>
      <c r="N22" s="2" t="n">
        <v>367.05122135551</v>
      </c>
      <c r="O22" s="2" t="n">
        <v>406.85213703982</v>
      </c>
    </row>
    <row r="23">
      <c r="A23" s="2" t="n">
        <v>3.6066849390983</v>
      </c>
      <c r="B23" s="2" t="n">
        <v>0.009686602363981099</v>
      </c>
      <c r="C23" s="2" t="n">
        <v>92.69898168662</v>
      </c>
      <c r="D23" s="2" t="n">
        <v>0.011273466806559</v>
      </c>
      <c r="E23" s="2" t="n">
        <v>-6.3028995371881</v>
      </c>
      <c r="F23" s="2" t="n">
        <v>-2.1385662323456</v>
      </c>
      <c r="G23" s="2" t="n">
        <v>23762025.076199</v>
      </c>
      <c r="H23" s="2" t="n">
        <v>5341685.5602195</v>
      </c>
      <c r="I23" s="2" t="n">
        <v>-0.0050710518986142</v>
      </c>
      <c r="J23" s="2" t="n">
        <v>-0.0048532410535464</v>
      </c>
      <c r="K23" s="2" t="n">
        <v>0.010760942792173</v>
      </c>
      <c r="L23" s="2" t="n">
        <v>-0.11449345864396</v>
      </c>
      <c r="M23" s="2" t="n">
        <v>-0.11590745393673</v>
      </c>
      <c r="N23" s="2" t="n">
        <v>368.37641048862</v>
      </c>
      <c r="O23" s="2" t="n">
        <v>408.5319855211</v>
      </c>
    </row>
    <row r="24">
      <c r="A24" s="2" t="n">
        <v>3.8066849390983</v>
      </c>
      <c r="B24" s="2" t="n">
        <v>0.010315005565454</v>
      </c>
      <c r="C24" s="2" t="n">
        <v>92.698879564292</v>
      </c>
      <c r="D24" s="2" t="n">
        <v>0.011907285997612</v>
      </c>
      <c r="E24" s="2" t="n">
        <v>-6.2843799732876</v>
      </c>
      <c r="F24" s="2" t="n">
        <v>-2.13647263574</v>
      </c>
      <c r="G24" s="2" t="n">
        <v>24328230.415349</v>
      </c>
      <c r="H24" s="2" t="n">
        <v>5439140.7309072</v>
      </c>
      <c r="I24" s="2" t="n">
        <v>-0.0053727159551721</v>
      </c>
      <c r="J24" s="2" t="n">
        <v>-0.0051420819820455</v>
      </c>
      <c r="K24" s="2" t="n">
        <v>0.011354233359746</v>
      </c>
      <c r="L24" s="2" t="n">
        <v>-0.12194551506451</v>
      </c>
      <c r="M24" s="2" t="n">
        <v>-0.12339334493381</v>
      </c>
      <c r="N24" s="2" t="n">
        <v>369.67291048176</v>
      </c>
      <c r="O24" s="2" t="n">
        <v>410.15974508141</v>
      </c>
    </row>
    <row r="25">
      <c r="A25" s="2" t="n">
        <v>4.0066849390983</v>
      </c>
      <c r="B25" s="2" t="n">
        <v>0.010943061836269</v>
      </c>
      <c r="C25" s="2" t="n">
        <v>92.69876016431699</v>
      </c>
      <c r="D25" s="2" t="n">
        <v>0.012540750350566</v>
      </c>
      <c r="E25" s="2" t="n">
        <v>-6.2852369457994</v>
      </c>
      <c r="F25" s="2" t="n">
        <v>-2.1259897190263</v>
      </c>
      <c r="G25" s="2" t="n">
        <v>24899416.481095</v>
      </c>
      <c r="H25" s="2" t="n">
        <v>5537403.4681357</v>
      </c>
      <c r="I25" s="2" t="n">
        <v>-0.0056742844560179</v>
      </c>
      <c r="J25" s="2" t="n">
        <v>-0.0054307157213407</v>
      </c>
      <c r="K25" s="2" t="n">
        <v>0.011947166619087</v>
      </c>
      <c r="L25" s="2" t="n">
        <v>-0.12946154730825</v>
      </c>
      <c r="M25" s="2" t="n">
        <v>-0.13088992366846</v>
      </c>
      <c r="N25" s="2" t="n">
        <v>370.94411656137</v>
      </c>
      <c r="O25" s="2" t="n">
        <v>411.7425106163</v>
      </c>
    </row>
    <row r="26">
      <c r="A26" s="2" t="n">
        <v>4.2066849390983</v>
      </c>
      <c r="B26" s="2" t="n">
        <v>0.011570783227218</v>
      </c>
      <c r="C26" s="2" t="n">
        <v>92.69863201465699</v>
      </c>
      <c r="D26" s="2" t="n">
        <v>0.013173877193625</v>
      </c>
      <c r="E26" s="2" t="n">
        <v>-6.2860834481599</v>
      </c>
      <c r="F26" s="2" t="n">
        <v>-2.1155071585893</v>
      </c>
      <c r="G26" s="2" t="n">
        <v>25475481.874733</v>
      </c>
      <c r="H26" s="2" t="n">
        <v>5636456.0769135</v>
      </c>
      <c r="I26" s="2" t="n">
        <v>-0.0059757533921227</v>
      </c>
      <c r="J26" s="2" t="n">
        <v>-0.0057191426488106</v>
      </c>
      <c r="K26" s="2" t="n">
        <v>0.012539743053897</v>
      </c>
      <c r="L26" s="2" t="n">
        <v>-0.13735305734817</v>
      </c>
      <c r="M26" s="2" t="n">
        <v>-0.13877570625837</v>
      </c>
      <c r="N26" s="2" t="n">
        <v>372.19289573533</v>
      </c>
      <c r="O26" s="2" t="n">
        <v>413.28651199626</v>
      </c>
    </row>
    <row r="27">
      <c r="A27" s="2" t="n">
        <v>4.4066849390983</v>
      </c>
      <c r="B27" s="2" t="n">
        <v>0.012198184640715</v>
      </c>
      <c r="C27" s="2" t="n">
        <v>92.69850654207001</v>
      </c>
      <c r="D27" s="2" t="n">
        <v>0.013806681344829</v>
      </c>
      <c r="E27" s="2" t="n">
        <v>-6.2826724593449</v>
      </c>
      <c r="F27" s="2" t="n">
        <v>-2.1202507532263</v>
      </c>
      <c r="G27" s="2" t="n">
        <v>26056337.222019</v>
      </c>
      <c r="H27" s="2" t="n">
        <v>5736282.9547107</v>
      </c>
      <c r="I27" s="2" t="n">
        <v>-0.006277117387868</v>
      </c>
      <c r="J27" s="2" t="n">
        <v>-0.006007360813582</v>
      </c>
      <c r="K27" s="2" t="n">
        <v>0.013131963126171</v>
      </c>
      <c r="L27" s="2" t="n">
        <v>-0.1449779513272</v>
      </c>
      <c r="M27" s="2" t="n">
        <v>-0.14641719504672</v>
      </c>
      <c r="N27" s="2" t="n">
        <v>373.42160635201</v>
      </c>
      <c r="O27" s="2" t="n">
        <v>414.79591593776</v>
      </c>
    </row>
    <row r="28">
      <c r="A28" s="2" t="n">
        <v>4.6066849390983</v>
      </c>
      <c r="B28" s="2" t="n">
        <v>0.012825278576218</v>
      </c>
      <c r="C28" s="2" t="n">
        <v>92.698379193024</v>
      </c>
      <c r="D28" s="2" t="n">
        <v>0.014439177560215</v>
      </c>
      <c r="E28" s="2" t="n">
        <v>-6.2834955155423</v>
      </c>
      <c r="F28" s="2" t="n">
        <v>-2.120760535604</v>
      </c>
      <c r="G28" s="2" t="n">
        <v>26641898.891875</v>
      </c>
      <c r="H28" s="2" t="n">
        <v>5836869.5057476</v>
      </c>
      <c r="I28" s="2" t="n">
        <v>-0.00657837384304</v>
      </c>
      <c r="J28" s="2" t="n">
        <v>-0.0062953704564639</v>
      </c>
      <c r="K28" s="2" t="n">
        <v>0.01372382730291</v>
      </c>
      <c r="L28" s="2" t="n">
        <v>-0.15268629549006</v>
      </c>
      <c r="M28" s="2" t="n">
        <v>-0.1541225180922</v>
      </c>
      <c r="N28" s="2" t="n">
        <v>374.63238179109</v>
      </c>
      <c r="O28" s="2" t="n">
        <v>416.27524738536</v>
      </c>
    </row>
    <row r="29">
      <c r="A29" s="2" t="n">
        <v>4.8066849390983</v>
      </c>
      <c r="B29" s="2" t="n">
        <v>0.013452077553865</v>
      </c>
      <c r="C29" s="2" t="n">
        <v>92.69826133022799</v>
      </c>
      <c r="D29" s="2" t="n">
        <v>0.015071379672403</v>
      </c>
      <c r="E29" s="2" t="n">
        <v>-6.2759064282787</v>
      </c>
      <c r="F29" s="2" t="n">
        <v>-2.1296608968313</v>
      </c>
      <c r="G29" s="2" t="n">
        <v>27232092.347938</v>
      </c>
      <c r="H29" s="2" t="n">
        <v>5938202.718396</v>
      </c>
      <c r="I29" s="2" t="n">
        <v>-0.0068795202080255</v>
      </c>
      <c r="J29" s="2" t="n">
        <v>-0.0065831727508283</v>
      </c>
      <c r="K29" s="2" t="n">
        <v>0.014315336042525</v>
      </c>
      <c r="L29" s="2" t="n">
        <v>-0.16067609176927</v>
      </c>
      <c r="M29" s="2" t="n">
        <v>-0.16207189614005</v>
      </c>
      <c r="N29" s="2" t="n">
        <v>375.82658151526</v>
      </c>
      <c r="O29" s="2" t="n">
        <v>417.72767912272</v>
      </c>
    </row>
    <row r="30">
      <c r="A30" s="2" t="n">
        <v>5.0066849390983</v>
      </c>
      <c r="B30" s="2" t="n">
        <v>0.014078591998275</v>
      </c>
      <c r="C30" s="2" t="n">
        <v>92.69814376988801</v>
      </c>
      <c r="D30" s="2" t="n">
        <v>0.01570330018651</v>
      </c>
      <c r="E30" s="2" t="n">
        <v>-6.2573429463534</v>
      </c>
      <c r="F30" s="2" t="n">
        <v>-2.138542230501</v>
      </c>
      <c r="G30" s="2" t="n">
        <v>27826848.158055</v>
      </c>
      <c r="H30" s="2" t="n">
        <v>6040270.4768121</v>
      </c>
      <c r="I30" s="2" t="n">
        <v>-0.0071805517071428</v>
      </c>
      <c r="J30" s="2" t="n">
        <v>-0.0068707676136876</v>
      </c>
      <c r="K30" s="2" t="n">
        <v>0.014906489803256</v>
      </c>
      <c r="L30" s="2" t="n">
        <v>-0.16835747632514</v>
      </c>
      <c r="M30" s="2" t="n">
        <v>-0.1697738632922</v>
      </c>
      <c r="N30" s="2" t="n">
        <v>377.00555722055</v>
      </c>
      <c r="O30" s="2" t="n">
        <v>419.15536862171</v>
      </c>
    </row>
    <row r="31">
      <c r="A31" s="2" t="n">
        <v>5.2066849390983</v>
      </c>
      <c r="B31" s="2" t="n">
        <v>0.014704830158141</v>
      </c>
      <c r="C31" s="2" t="n">
        <v>92.698032133856</v>
      </c>
      <c r="D31" s="2" t="n">
        <v>0.01633494983927</v>
      </c>
      <c r="E31" s="2" t="n">
        <v>-6.2539947458455</v>
      </c>
      <c r="F31" s="2" t="n">
        <v>-2.1102402271107</v>
      </c>
      <c r="G31" s="2" t="n">
        <v>28426100.111022</v>
      </c>
      <c r="H31" s="2" t="n">
        <v>6143061.2351883</v>
      </c>
      <c r="I31" s="2" t="n">
        <v>-0.0074814662360868</v>
      </c>
      <c r="J31" s="2" t="n">
        <v>-0.0071581571790841</v>
      </c>
      <c r="K31" s="2" t="n">
        <v>0.015497289030647</v>
      </c>
      <c r="L31" s="2" t="n">
        <v>-0.17627487320369</v>
      </c>
      <c r="M31" s="2" t="n">
        <v>-0.17768348510089</v>
      </c>
      <c r="N31" s="2" t="n">
        <v>378.17062121467</v>
      </c>
      <c r="O31" s="2" t="n">
        <v>420.56122226253</v>
      </c>
    </row>
    <row r="32">
      <c r="A32" s="2" t="n">
        <v>5.4066849390983</v>
      </c>
      <c r="B32" s="2" t="n">
        <v>0.015330802517605</v>
      </c>
      <c r="C32" s="2" t="n">
        <v>92.69791322508</v>
      </c>
      <c r="D32" s="2" t="n">
        <v>0.016966338964601</v>
      </c>
      <c r="E32" s="2" t="n">
        <v>-6.2395376103526</v>
      </c>
      <c r="F32" s="2" t="n">
        <v>-2.1150117393809</v>
      </c>
      <c r="G32" s="2" t="n">
        <v>29029787.619719</v>
      </c>
      <c r="H32" s="2" t="n">
        <v>6246564.4261835</v>
      </c>
      <c r="I32" s="2" t="n">
        <v>-0.007782259888389</v>
      </c>
      <c r="J32" s="2" t="n">
        <v>-0.0074453430649458</v>
      </c>
      <c r="K32" s="2" t="n">
        <v>0.016087734161625</v>
      </c>
      <c r="L32" s="2" t="n">
        <v>-0.18422060003957</v>
      </c>
      <c r="M32" s="2" t="n">
        <v>-0.18562872531571</v>
      </c>
      <c r="N32" s="2" t="n">
        <v>379.32265667506</v>
      </c>
      <c r="O32" s="2" t="n">
        <v>421.94690748807</v>
      </c>
    </row>
    <row r="33">
      <c r="A33" s="2" t="n">
        <v>5.6066849390983</v>
      </c>
      <c r="B33" s="2" t="n">
        <v>0.015956517925947</v>
      </c>
      <c r="C33" s="2" t="n">
        <v>92.697792127817</v>
      </c>
      <c r="D33" s="2" t="n">
        <v>0.017597477391135</v>
      </c>
      <c r="E33" s="2" t="n">
        <v>-6.236081522863</v>
      </c>
      <c r="F33" s="2" t="n">
        <v>-2.1087838604422</v>
      </c>
      <c r="G33" s="2" t="n">
        <v>29637851.645909</v>
      </c>
      <c r="H33" s="2" t="n">
        <v>6350769.7582633</v>
      </c>
      <c r="I33" s="2" t="n">
        <v>-0.008082930134524401</v>
      </c>
      <c r="J33" s="2" t="n">
        <v>-0.0077323272734003</v>
      </c>
      <c r="K33" s="2" t="n">
        <v>0.016677825631115</v>
      </c>
      <c r="L33" s="2" t="n">
        <v>-0.19240333235665</v>
      </c>
      <c r="M33" s="2" t="n">
        <v>-0.19377495113639</v>
      </c>
      <c r="N33" s="2" t="n">
        <v>380.46253588564</v>
      </c>
      <c r="O33" s="2" t="n">
        <v>423.314308445</v>
      </c>
    </row>
    <row r="34">
      <c r="A34" s="2" t="n">
        <v>5.8066849390983</v>
      </c>
      <c r="B34" s="2" t="n">
        <v>0.016581985390739</v>
      </c>
      <c r="C34" s="2" t="n">
        <v>92.69767458608401</v>
      </c>
      <c r="D34" s="2" t="n">
        <v>0.018228374303885</v>
      </c>
      <c r="E34" s="2" t="n">
        <v>-6.2325995866159</v>
      </c>
      <c r="F34" s="2" t="n">
        <v>-2.1025729831977</v>
      </c>
      <c r="G34" s="2" t="n">
        <v>30250236.138974</v>
      </c>
      <c r="H34" s="2" t="n">
        <v>6455667.4623755</v>
      </c>
      <c r="I34" s="2" t="n">
        <v>-0.008383472944276601</v>
      </c>
      <c r="J34" s="2" t="n">
        <v>-0.0080191109191813</v>
      </c>
      <c r="K34" s="2" t="n">
        <v>0.017267563889811</v>
      </c>
      <c r="L34" s="2" t="n">
        <v>-0.20043307377116</v>
      </c>
      <c r="M34" s="2" t="n">
        <v>-0.20179717714786</v>
      </c>
      <c r="N34" s="2" t="n">
        <v>381.59105307818</v>
      </c>
      <c r="O34" s="2" t="n">
        <v>424.66462309504</v>
      </c>
    </row>
    <row r="35">
      <c r="A35" s="2" t="n">
        <v>6.0066849390983</v>
      </c>
      <c r="B35" s="2" t="n">
        <v>0.017207214230639</v>
      </c>
      <c r="C35" s="2" t="n">
        <v>92.69754141248499</v>
      </c>
      <c r="D35" s="2" t="n">
        <v>0.01885903869275</v>
      </c>
      <c r="E35" s="2" t="n">
        <v>-6.2333577549761</v>
      </c>
      <c r="F35" s="2" t="n">
        <v>-2.0811398915238</v>
      </c>
      <c r="G35" s="2" t="n">
        <v>30866888.000678</v>
      </c>
      <c r="H35" s="2" t="n">
        <v>6561248.284822</v>
      </c>
      <c r="I35" s="2" t="n">
        <v>-0.008683885571064901</v>
      </c>
      <c r="J35" s="2" t="n">
        <v>-0.008305695945983699</v>
      </c>
      <c r="K35" s="2" t="n">
        <v>0.017856949379533</v>
      </c>
      <c r="L35" s="2" t="n">
        <v>-0.20829901348505</v>
      </c>
      <c r="M35" s="2" t="n">
        <v>-0.20967843574853</v>
      </c>
      <c r="N35" s="2" t="n">
        <v>382.70876486486</v>
      </c>
      <c r="O35" s="2" t="n">
        <v>425.99896909955</v>
      </c>
    </row>
    <row r="36">
      <c r="A36" s="2" t="n">
        <v>6.2066849390983</v>
      </c>
      <c r="B36" s="2" t="n">
        <v>0.017832210967049</v>
      </c>
      <c r="C36" s="2" t="n">
        <v>92.697404476578</v>
      </c>
      <c r="D36" s="2" t="n">
        <v>0.019489478862308</v>
      </c>
      <c r="E36" s="2" t="n">
        <v>-6.234110647729</v>
      </c>
      <c r="F36" s="2" t="n">
        <v>-2.0816818963749</v>
      </c>
      <c r="G36" s="2" t="n">
        <v>31487753.639639</v>
      </c>
      <c r="H36" s="2" t="n">
        <v>6667502.8986766</v>
      </c>
      <c r="I36" s="2" t="n">
        <v>-0.008984165635204299</v>
      </c>
      <c r="J36" s="2" t="n">
        <v>-0.0085920855564517</v>
      </c>
      <c r="K36" s="2" t="n">
        <v>0.018445982538081</v>
      </c>
      <c r="L36" s="2" t="n">
        <v>-0.21646945871854</v>
      </c>
      <c r="M36" s="2" t="n">
        <v>-0.21783266327876</v>
      </c>
      <c r="N36" s="2" t="n">
        <v>383.81644852184</v>
      </c>
      <c r="O36" s="2" t="n">
        <v>427.31913061577</v>
      </c>
    </row>
    <row r="37">
      <c r="A37" s="2" t="n">
        <v>6.4066849390983</v>
      </c>
      <c r="B37" s="2" t="n">
        <v>0.018456984809869</v>
      </c>
      <c r="C37" s="2" t="n">
        <v>92.69727157442701</v>
      </c>
      <c r="D37" s="2" t="n">
        <v>0.020119702938018</v>
      </c>
      <c r="E37" s="2" t="n">
        <v>-6.2348587143363</v>
      </c>
      <c r="F37" s="2" t="n">
        <v>-2.0822265483758</v>
      </c>
      <c r="G37" s="2" t="n">
        <v>32112783.577194</v>
      </c>
      <c r="H37" s="2" t="n">
        <v>6774422.6886061</v>
      </c>
      <c r="I37" s="2" t="n">
        <v>-0.009284309633863</v>
      </c>
      <c r="J37" s="2" t="n">
        <v>-0.0088782810808621</v>
      </c>
      <c r="K37" s="2" t="n">
        <v>0.019034663806553</v>
      </c>
      <c r="L37" s="2" t="n">
        <v>-0.22459091276531</v>
      </c>
      <c r="M37" s="2" t="n">
        <v>-0.22594418840561</v>
      </c>
      <c r="N37" s="2" t="n">
        <v>384.91458427817</v>
      </c>
      <c r="O37" s="2" t="n">
        <v>428.62571772427</v>
      </c>
    </row>
    <row r="38">
      <c r="A38" s="2" t="n">
        <v>6.6066849390983</v>
      </c>
      <c r="B38" s="2" t="n">
        <v>0.019081544512848</v>
      </c>
      <c r="C38" s="2" t="n">
        <v>92.697157879478</v>
      </c>
      <c r="D38" s="2" t="n">
        <v>0.020749719118997</v>
      </c>
      <c r="E38" s="2" t="n">
        <v>-6.21868721033</v>
      </c>
      <c r="F38" s="2" t="n">
        <v>-2.0996607644942</v>
      </c>
      <c r="G38" s="2" t="n">
        <v>32741929.018009</v>
      </c>
      <c r="H38" s="2" t="n">
        <v>6881999.1644251</v>
      </c>
      <c r="I38" s="2" t="n">
        <v>-0.0095843156275232</v>
      </c>
      <c r="J38" s="2" t="n">
        <v>-0.0091642838869938</v>
      </c>
      <c r="K38" s="2" t="n">
        <v>0.019622993621485</v>
      </c>
      <c r="L38" s="2" t="n">
        <v>-0.2326690668758</v>
      </c>
      <c r="M38" s="2" t="n">
        <v>-0.23401458845564</v>
      </c>
      <c r="N38" s="2" t="n">
        <v>386.00363749939</v>
      </c>
      <c r="O38" s="2" t="n">
        <v>429.91963825467</v>
      </c>
    </row>
    <row r="39">
      <c r="A39" s="2" t="n">
        <v>6.8066849390983</v>
      </c>
      <c r="B39" s="2" t="n">
        <v>0.019705897532255</v>
      </c>
      <c r="C39" s="2" t="n">
        <v>92.697045181231</v>
      </c>
      <c r="D39" s="2" t="n">
        <v>0.021379535288731</v>
      </c>
      <c r="E39" s="2" t="n">
        <v>-6.2152414592508</v>
      </c>
      <c r="F39" s="2" t="n">
        <v>-2.0934038591845</v>
      </c>
      <c r="G39" s="2" t="n">
        <v>33375141.457811</v>
      </c>
      <c r="H39" s="2" t="n">
        <v>6990223.8932964</v>
      </c>
      <c r="I39" s="2" t="n">
        <v>-0.009884182973490901</v>
      </c>
      <c r="J39" s="2" t="n">
        <v>-0.0094500947589433</v>
      </c>
      <c r="K39" s="2" t="n">
        <v>0.020210972422176</v>
      </c>
      <c r="L39" s="2" t="n">
        <v>-0.24085506597773</v>
      </c>
      <c r="M39" s="2" t="n">
        <v>-0.24218308394979</v>
      </c>
      <c r="N39" s="2" t="n">
        <v>387.08406084457</v>
      </c>
      <c r="O39" s="2" t="n">
        <v>431.20185198778</v>
      </c>
    </row>
    <row r="40">
      <c r="A40" s="2" t="n">
        <v>7.0066849390983</v>
      </c>
      <c r="B40" s="2" t="n">
        <v>0.02033005259451</v>
      </c>
      <c r="C40" s="2" t="n">
        <v>92.69690630769099</v>
      </c>
      <c r="D40" s="2" t="n">
        <v>0.022009158896413</v>
      </c>
      <c r="E40" s="2" t="n">
        <v>-6.2108001714483</v>
      </c>
      <c r="F40" s="2" t="n">
        <v>-2.1083014877935</v>
      </c>
      <c r="G40" s="2" t="n">
        <v>34012374.895793</v>
      </c>
      <c r="H40" s="2" t="n">
        <v>7099088.8786132</v>
      </c>
      <c r="I40" s="2" t="n">
        <v>-0.010183910293598</v>
      </c>
      <c r="J40" s="2" t="n">
        <v>-0.009735714451792299</v>
      </c>
      <c r="K40" s="2" t="n">
        <v>0.020798600638754</v>
      </c>
      <c r="L40" s="2" t="n">
        <v>-0.24905816942971</v>
      </c>
      <c r="M40" s="2" t="n">
        <v>-0.25038053391663</v>
      </c>
      <c r="N40" s="2" t="n">
        <v>388.15616539172</v>
      </c>
      <c r="O40" s="2" t="n">
        <v>432.47291279596</v>
      </c>
    </row>
    <row r="41">
      <c r="A41" s="2" t="n">
        <v>7.2066849390983</v>
      </c>
      <c r="B41" s="2" t="n">
        <v>0.020954016504717</v>
      </c>
      <c r="C41" s="2" t="n">
        <v>92.69676534607299</v>
      </c>
      <c r="D41" s="2" t="n">
        <v>0.022638597201394</v>
      </c>
      <c r="E41" s="2" t="n">
        <v>-6.2115165207673</v>
      </c>
      <c r="F41" s="2" t="n">
        <v>-2.1088612675785</v>
      </c>
      <c r="G41" s="2" t="n">
        <v>34653583.423349</v>
      </c>
      <c r="H41" s="2" t="n">
        <v>7208586.1462773</v>
      </c>
      <c r="I41" s="2" t="n">
        <v>-0.010483496556461</v>
      </c>
      <c r="J41" s="2" t="n">
        <v>-0.01002114357377</v>
      </c>
      <c r="K41" s="2" t="n">
        <v>0.021385878708237</v>
      </c>
      <c r="L41" s="2" t="n">
        <v>-0.25728963416096</v>
      </c>
      <c r="M41" s="2" t="n">
        <v>-0.25860346269345</v>
      </c>
      <c r="N41" s="2" t="n">
        <v>389.2203605466</v>
      </c>
      <c r="O41" s="2" t="n">
        <v>433.7334987785</v>
      </c>
    </row>
    <row r="42">
      <c r="A42" s="2" t="n">
        <v>7.4066849390983</v>
      </c>
      <c r="B42" s="2" t="n">
        <v>0.021577797139759</v>
      </c>
      <c r="C42" s="2" t="n">
        <v>92.696620556963</v>
      </c>
      <c r="D42" s="2" t="n">
        <v>0.023267856765569</v>
      </c>
      <c r="E42" s="2" t="n">
        <v>-6.2232156337502</v>
      </c>
      <c r="F42" s="2" t="n">
        <v>-2.1204100941226</v>
      </c>
      <c r="G42" s="2" t="n">
        <v>35298724.543056</v>
      </c>
      <c r="H42" s="2" t="n">
        <v>7318708.3176687</v>
      </c>
      <c r="I42" s="2" t="n">
        <v>-0.010782940744233</v>
      </c>
      <c r="J42" s="2" t="n">
        <v>-0.010306383208503</v>
      </c>
      <c r="K42" s="2" t="n">
        <v>0.021972807059303</v>
      </c>
      <c r="L42" s="2" t="n">
        <v>-0.26555219269135</v>
      </c>
      <c r="M42" s="2" t="n">
        <v>-0.26685146558398</v>
      </c>
      <c r="N42" s="2" t="n">
        <v>390.27680331698</v>
      </c>
      <c r="O42" s="2" t="n">
        <v>434.98395638852</v>
      </c>
    </row>
    <row r="43">
      <c r="A43" s="2" t="n">
        <v>7.6066849390983</v>
      </c>
      <c r="B43" s="2" t="n">
        <v>0.022201398668691</v>
      </c>
      <c r="C43" s="2" t="n">
        <v>92.69647219564899</v>
      </c>
      <c r="D43" s="2" t="n">
        <v>0.023896943406342</v>
      </c>
      <c r="E43" s="2" t="n">
        <v>-6.2458976477002</v>
      </c>
      <c r="F43" s="2" t="n">
        <v>-2.1319617028646</v>
      </c>
      <c r="G43" s="2" t="n">
        <v>35947753.961683</v>
      </c>
      <c r="H43" s="2" t="n">
        <v>7429447.7131788</v>
      </c>
      <c r="I43" s="2" t="n">
        <v>-0.01108224150937</v>
      </c>
      <c r="J43" s="2" t="n">
        <v>-0.01059143424526</v>
      </c>
      <c r="K43" s="2" t="n">
        <v>0.022559386124852</v>
      </c>
      <c r="L43" s="2" t="n">
        <v>-0.27389455507247</v>
      </c>
      <c r="M43" s="2" t="n">
        <v>-0.27518729273263</v>
      </c>
      <c r="N43" s="2" t="n">
        <v>391.32601824117</v>
      </c>
      <c r="O43" s="2" t="n">
        <v>436.22502938908</v>
      </c>
    </row>
    <row r="44">
      <c r="A44" s="2" t="n">
        <v>7.8066849390983</v>
      </c>
      <c r="B44" s="2" t="n">
        <v>0.022824826400281</v>
      </c>
      <c r="C44" s="2" t="n">
        <v>92.696320673336</v>
      </c>
      <c r="D44" s="2" t="n">
        <v>0.024525862612636</v>
      </c>
      <c r="E44" s="2" t="n">
        <v>-6.2575901385449</v>
      </c>
      <c r="F44" s="2" t="n">
        <v>-2.1435160540137</v>
      </c>
      <c r="G44" s="2" t="n">
        <v>36600630.746548</v>
      </c>
      <c r="H44" s="2" t="n">
        <v>7540797.2357249</v>
      </c>
      <c r="I44" s="2" t="n">
        <v>-0.011381397204183</v>
      </c>
      <c r="J44" s="2" t="n">
        <v>-0.010876297380708</v>
      </c>
      <c r="K44" s="2" t="n">
        <v>0.023145616336669</v>
      </c>
      <c r="L44" s="2" t="n">
        <v>-0.28213160229406</v>
      </c>
      <c r="M44" s="2" t="n">
        <v>-0.2834199629931</v>
      </c>
      <c r="N44" s="2" t="n">
        <v>392.36823082093</v>
      </c>
      <c r="O44" s="2" t="n">
        <v>437.45684541641</v>
      </c>
    </row>
    <row r="45">
      <c r="A45" s="2" t="n">
        <v>8.006684939098299</v>
      </c>
      <c r="B45" s="2" t="n">
        <v>0.02344808565864</v>
      </c>
      <c r="C45" s="2" t="n">
        <v>92.696175179132</v>
      </c>
      <c r="D45" s="2" t="n">
        <v>0.0251546200648</v>
      </c>
      <c r="E45" s="2" t="n">
        <v>-6.2759723546495</v>
      </c>
      <c r="F45" s="2" t="n">
        <v>-2.1483750467069</v>
      </c>
      <c r="G45" s="2" t="n">
        <v>37257314.407287</v>
      </c>
      <c r="H45" s="2" t="n">
        <v>7652749.8727108</v>
      </c>
      <c r="I45" s="2" t="n">
        <v>-0.011680407602374</v>
      </c>
      <c r="J45" s="2" t="n">
        <v>-0.011160974606646</v>
      </c>
      <c r="K45" s="2" t="n">
        <v>0.023731498124042</v>
      </c>
      <c r="L45" s="2" t="n">
        <v>-0.29063740453282</v>
      </c>
      <c r="M45" s="2" t="n">
        <v>-0.29190017570447</v>
      </c>
      <c r="N45" s="2" t="n">
        <v>393.40359293145</v>
      </c>
      <c r="O45" s="2" t="n">
        <v>438.68001076914</v>
      </c>
    </row>
    <row r="46">
      <c r="A46" s="2" t="n">
        <v>8.206684939098301</v>
      </c>
      <c r="B46" s="2" t="n">
        <v>0.024071181637574</v>
      </c>
      <c r="C46" s="2" t="n">
        <v>92.696024189504</v>
      </c>
      <c r="D46" s="2" t="n">
        <v>0.025783220389942</v>
      </c>
      <c r="E46" s="2" t="n">
        <v>-6.2766699854447</v>
      </c>
      <c r="F46" s="2" t="n">
        <v>-2.1489509833449</v>
      </c>
      <c r="G46" s="2" t="n">
        <v>37917765.67095</v>
      </c>
      <c r="H46" s="2" t="n">
        <v>7765298.8238056</v>
      </c>
      <c r="I46" s="2" t="n">
        <v>-0.011979270217454</v>
      </c>
      <c r="J46" s="2" t="n">
        <v>-0.011445465749043</v>
      </c>
      <c r="K46" s="2" t="n">
        <v>0.024317031921099</v>
      </c>
      <c r="L46" s="2" t="n">
        <v>-0.29883891422658</v>
      </c>
      <c r="M46" s="2" t="n">
        <v>-0.30011581011662</v>
      </c>
      <c r="N46" s="2" t="n">
        <v>394.43234405894</v>
      </c>
      <c r="O46" s="2" t="n">
        <v>439.89432728923</v>
      </c>
    </row>
    <row r="47">
      <c r="A47" s="2" t="n">
        <v>8.4066849390983</v>
      </c>
      <c r="B47" s="2" t="n">
        <v>0.024694118591838</v>
      </c>
      <c r="C47" s="2" t="n">
        <v>92.695868708642</v>
      </c>
      <c r="D47" s="2" t="n">
        <v>0.026411668647979</v>
      </c>
      <c r="E47" s="2" t="n">
        <v>-6.3322962418527</v>
      </c>
      <c r="F47" s="2" t="n">
        <v>-2.1385433699151</v>
      </c>
      <c r="G47" s="2" t="n">
        <v>38581944.019794</v>
      </c>
      <c r="H47" s="2" t="n">
        <v>7878437.0806843</v>
      </c>
      <c r="I47" s="2" t="n">
        <v>-0.01227798468579</v>
      </c>
      <c r="J47" s="2" t="n">
        <v>-0.011729772875839</v>
      </c>
      <c r="K47" s="2" t="n">
        <v>0.024902218145662</v>
      </c>
      <c r="L47" s="2" t="n">
        <v>-0.30718689168968</v>
      </c>
      <c r="M47" s="2" t="n">
        <v>-0.30844825677421</v>
      </c>
      <c r="N47" s="2" t="n">
        <v>395.45477656694</v>
      </c>
      <c r="O47" s="2" t="n">
        <v>441.10061453521</v>
      </c>
    </row>
    <row r="48">
      <c r="A48" s="2" t="n">
        <v>8.606684939098299</v>
      </c>
      <c r="B48" s="2" t="n">
        <v>0.025316902405854</v>
      </c>
      <c r="C48" s="2" t="n">
        <v>92.695710213693</v>
      </c>
      <c r="D48" s="2" t="n">
        <v>0.027039970064676</v>
      </c>
      <c r="E48" s="2" t="n">
        <v>-6.3659470877433</v>
      </c>
      <c r="F48" s="2" t="n">
        <v>-2.1391247313235</v>
      </c>
      <c r="G48" s="2" t="n">
        <v>39249810.718552</v>
      </c>
      <c r="H48" s="2" t="n">
        <v>7992157.943985</v>
      </c>
      <c r="I48" s="2" t="n">
        <v>-0.012576550937622</v>
      </c>
      <c r="J48" s="2" t="n">
        <v>-0.01201389670513</v>
      </c>
      <c r="K48" s="2" t="n">
        <v>0.025487057230005</v>
      </c>
      <c r="L48" s="2" t="n">
        <v>-0.31573264259106</v>
      </c>
      <c r="M48" s="2" t="n">
        <v>-0.31698225703649</v>
      </c>
      <c r="N48" s="2" t="n">
        <v>396.47093808553</v>
      </c>
      <c r="O48" s="2" t="n">
        <v>442.29913110682</v>
      </c>
    </row>
    <row r="49">
      <c r="A49" s="2" t="n">
        <v>8.806684939098201</v>
      </c>
      <c r="B49" s="2" t="n">
        <v>0.02593953720746</v>
      </c>
      <c r="C49" s="2" t="n">
        <v>92.695544491072</v>
      </c>
      <c r="D49" s="2" t="n">
        <v>0.02766812927569</v>
      </c>
      <c r="E49" s="2" t="n">
        <v>-6.3995951246506</v>
      </c>
      <c r="F49" s="2" t="n">
        <v>-2.1287223382713</v>
      </c>
      <c r="G49" s="2" t="n">
        <v>39921325.742379</v>
      </c>
      <c r="H49" s="2" t="n">
        <v>8106454.4966465</v>
      </c>
      <c r="I49" s="2" t="n">
        <v>-0.012874967461628</v>
      </c>
      <c r="J49" s="2" t="n">
        <v>-0.012297836357583</v>
      </c>
      <c r="K49" s="2" t="n">
        <v>0.026071549596214</v>
      </c>
      <c r="L49" s="2" t="n">
        <v>-0.32407368078926</v>
      </c>
      <c r="M49" s="2" t="n">
        <v>-0.32529690198095</v>
      </c>
      <c r="N49" s="2" t="n">
        <v>397.4812239679</v>
      </c>
      <c r="O49" s="2" t="n">
        <v>443.4899769077</v>
      </c>
    </row>
    <row r="50">
      <c r="A50" s="2" t="n">
        <v>9.0066849390982</v>
      </c>
      <c r="B50" s="2" t="n">
        <v>0.026562028376451</v>
      </c>
      <c r="C50" s="2" t="n">
        <v>92.69537375879</v>
      </c>
      <c r="D50" s="2" t="n">
        <v>0.028296151205555</v>
      </c>
      <c r="E50" s="2" t="n">
        <v>-6.4044266413805</v>
      </c>
      <c r="F50" s="2" t="n">
        <v>-2.1664105553222</v>
      </c>
      <c r="G50" s="2" t="n">
        <v>40596450.439015</v>
      </c>
      <c r="H50" s="2" t="n">
        <v>8221320.0624771</v>
      </c>
      <c r="I50" s="2" t="n">
        <v>-0.013173234885721</v>
      </c>
      <c r="J50" s="2" t="n">
        <v>-0.012581592835017</v>
      </c>
      <c r="K50" s="2" t="n">
        <v>0.02665569566771</v>
      </c>
      <c r="L50" s="2" t="n">
        <v>-0.33252010812553</v>
      </c>
      <c r="M50" s="2" t="n">
        <v>-0.33373656070507</v>
      </c>
      <c r="N50" s="2" t="n">
        <v>398.4857781031</v>
      </c>
      <c r="O50" s="2" t="n">
        <v>444.67378798008</v>
      </c>
    </row>
    <row r="51">
      <c r="A51" s="2" t="n">
        <v>9.206684939098199</v>
      </c>
      <c r="B51" s="2" t="n">
        <v>0.027184382104632</v>
      </c>
      <c r="C51" s="2" t="n">
        <v>92.69520368784499</v>
      </c>
      <c r="D51" s="2" t="n">
        <v>0.028924040758899</v>
      </c>
      <c r="E51" s="2" t="n">
        <v>-6.42708493048</v>
      </c>
      <c r="F51" s="2" t="n">
        <v>-2.1779878908936</v>
      </c>
      <c r="G51" s="2" t="n">
        <v>41275147.878195</v>
      </c>
      <c r="H51" s="2" t="n">
        <v>8336748.2643916</v>
      </c>
      <c r="I51" s="2" t="n">
        <v>-0.013471353120484</v>
      </c>
      <c r="J51" s="2" t="n">
        <v>-0.012865165798908</v>
      </c>
      <c r="K51" s="2" t="n">
        <v>0.027239495866887</v>
      </c>
      <c r="L51" s="2" t="n">
        <v>-0.34090652907575</v>
      </c>
      <c r="M51" s="2" t="n">
        <v>-0.34212851827446</v>
      </c>
      <c r="N51" s="2" t="n">
        <v>399.48462210687</v>
      </c>
      <c r="O51" s="2" t="n">
        <v>445.85050633661</v>
      </c>
    </row>
    <row r="52">
      <c r="A52" s="2" t="n">
        <v>9.4066849390982</v>
      </c>
      <c r="B52" s="2" t="n">
        <v>0.027806602948157</v>
      </c>
      <c r="C52" s="2" t="n">
        <v>92.695032357165</v>
      </c>
      <c r="D52" s="2" t="n">
        <v>0.029551802825222</v>
      </c>
      <c r="E52" s="2" t="n">
        <v>-6.4454183208916</v>
      </c>
      <c r="F52" s="2" t="n">
        <v>-2.1828945223599</v>
      </c>
      <c r="G52" s="2" t="n">
        <v>41957380.026309</v>
      </c>
      <c r="H52" s="2" t="n">
        <v>8452732.540887401</v>
      </c>
      <c r="I52" s="2" t="n">
        <v>-0.013769322520885</v>
      </c>
      <c r="J52" s="2" t="n">
        <v>-0.013148555586895</v>
      </c>
      <c r="K52" s="2" t="n">
        <v>0.027822950611608</v>
      </c>
      <c r="L52" s="2" t="n">
        <v>-0.34938141717874</v>
      </c>
      <c r="M52" s="2" t="n">
        <v>-0.35058965798428</v>
      </c>
      <c r="N52" s="2" t="n">
        <v>400.47791165996</v>
      </c>
      <c r="O52" s="2" t="n">
        <v>447.02051479482</v>
      </c>
    </row>
    <row r="53">
      <c r="A53" s="2" t="n">
        <v>9.6066849390982</v>
      </c>
      <c r="B53" s="2" t="n">
        <v>0.028428695819922</v>
      </c>
      <c r="C53" s="2" t="n">
        <v>92.69485946769299</v>
      </c>
      <c r="D53" s="2" t="n">
        <v>0.030179441772876</v>
      </c>
      <c r="E53" s="2" t="n">
        <v>-6.4680686130754</v>
      </c>
      <c r="F53" s="2" t="n">
        <v>-2.1834935061131</v>
      </c>
      <c r="G53" s="2" t="n">
        <v>42643109.774596</v>
      </c>
      <c r="H53" s="2" t="n">
        <v>8569266.4971515</v>
      </c>
      <c r="I53" s="2" t="n">
        <v>-0.014067143462418</v>
      </c>
      <c r="J53" s="2" t="n">
        <v>-0.013431761896727</v>
      </c>
      <c r="K53" s="2" t="n">
        <v>0.028406060327473</v>
      </c>
      <c r="L53" s="2" t="n">
        <v>-0.35794488482601</v>
      </c>
      <c r="M53" s="2" t="n">
        <v>-0.35912715004693</v>
      </c>
      <c r="N53" s="2" t="n">
        <v>401.46580959376</v>
      </c>
      <c r="O53" s="2" t="n">
        <v>448.18406595678</v>
      </c>
    </row>
    <row r="54">
      <c r="A54" s="2" t="n">
        <v>9.806684939098201</v>
      </c>
      <c r="B54" s="2" t="n">
        <v>0.029050663875456</v>
      </c>
      <c r="C54" s="2" t="n">
        <v>92.694691621451</v>
      </c>
      <c r="D54" s="2" t="n">
        <v>0.030806961487125</v>
      </c>
      <c r="E54" s="2" t="n">
        <v>-6.4797302393997</v>
      </c>
      <c r="F54" s="2" t="n">
        <v>-2.1950811518448</v>
      </c>
      <c r="G54" s="2" t="n">
        <v>43332300.130185</v>
      </c>
      <c r="H54" s="2" t="n">
        <v>8686343.762691099</v>
      </c>
      <c r="I54" s="2" t="n">
        <v>-0.014364816236786</v>
      </c>
      <c r="J54" s="2" t="n">
        <v>-0.013714784188712</v>
      </c>
      <c r="K54" s="2" t="n">
        <v>0.028988825434032</v>
      </c>
      <c r="L54" s="2" t="n">
        <v>-0.36657442542337</v>
      </c>
      <c r="M54" s="2" t="n">
        <v>-0.36774403274919</v>
      </c>
      <c r="N54" s="2" t="n">
        <v>402.4485989816</v>
      </c>
      <c r="O54" s="2" t="n">
        <v>449.34149954324</v>
      </c>
    </row>
    <row r="55">
      <c r="A55" s="2" t="n">
        <v>10.006684939098</v>
      </c>
      <c r="B55" s="2" t="n">
        <v>0.029672511858148</v>
      </c>
      <c r="C55" s="2" t="n">
        <v>92.694519903732</v>
      </c>
      <c r="D55" s="2" t="n">
        <v>0.031434365749626</v>
      </c>
      <c r="E55" s="2" t="n">
        <v>-6.4982459922259</v>
      </c>
      <c r="F55" s="2" t="n">
        <v>-2.1888222416858</v>
      </c>
      <c r="G55" s="2" t="n">
        <v>44024916.162664</v>
      </c>
      <c r="H55" s="2" t="n">
        <v>8803958.324600101</v>
      </c>
      <c r="I55" s="2" t="n">
        <v>-0.014662340598543</v>
      </c>
      <c r="J55" s="2" t="n">
        <v>-0.013997621443481</v>
      </c>
      <c r="K55" s="2" t="n">
        <v>0.029571246352517</v>
      </c>
      <c r="L55" s="2" t="n">
        <v>-0.37493827127007</v>
      </c>
      <c r="M55" s="2" t="n">
        <v>-0.37611450199793</v>
      </c>
      <c r="N55" s="2" t="n">
        <v>403.42633657415</v>
      </c>
      <c r="O55" s="2" t="n">
        <v>450.49260169586</v>
      </c>
    </row>
    <row r="56">
      <c r="A56" s="2" t="n">
        <v>10.206684939098</v>
      </c>
      <c r="B56" s="2" t="n">
        <v>0.030294243149898</v>
      </c>
      <c r="C56" s="2" t="n">
        <v>92.694345238802</v>
      </c>
      <c r="D56" s="2" t="n">
        <v>0.032061658800872</v>
      </c>
      <c r="E56" s="2" t="n">
        <v>-6.5208904121535</v>
      </c>
      <c r="F56" s="2" t="n">
        <v>-2.1894270879959</v>
      </c>
      <c r="G56" s="2" t="n">
        <v>44720922.326095</v>
      </c>
      <c r="H56" s="2" t="n">
        <v>8922104.070802599</v>
      </c>
      <c r="I56" s="2" t="n">
        <v>-0.014959717822499</v>
      </c>
      <c r="J56" s="2" t="n">
        <v>-0.014280274785554</v>
      </c>
      <c r="K56" s="2" t="n">
        <v>0.030153323503144</v>
      </c>
      <c r="L56" s="2" t="n">
        <v>-0.383535512021</v>
      </c>
      <c r="M56" s="2" t="n">
        <v>-0.38468065733791</v>
      </c>
      <c r="N56" s="2" t="n">
        <v>404.39912083925</v>
      </c>
      <c r="O56" s="2" t="n">
        <v>451.6379560125</v>
      </c>
    </row>
    <row r="57">
      <c r="A57" s="2" t="n">
        <v>10.406684939098</v>
      </c>
      <c r="B57" s="2" t="n">
        <v>0.030915860760797</v>
      </c>
      <c r="C57" s="2" t="n">
        <v>92.694154662202</v>
      </c>
      <c r="D57" s="2" t="n">
        <v>0.032688843923618</v>
      </c>
      <c r="E57" s="2" t="n">
        <v>-6.5644623323948</v>
      </c>
      <c r="F57" s="2" t="n">
        <v>-2.199993282582</v>
      </c>
      <c r="G57" s="2" t="n">
        <v>45420283.627706</v>
      </c>
      <c r="H57" s="2" t="n">
        <v>9040774.9874688</v>
      </c>
      <c r="I57" s="2" t="n">
        <v>-0.015256947756258</v>
      </c>
      <c r="J57" s="2" t="n">
        <v>-0.014562743974844</v>
      </c>
      <c r="K57" s="2" t="n">
        <v>0.030735057306545</v>
      </c>
      <c r="L57" s="2" t="n">
        <v>-0.39224114612592</v>
      </c>
      <c r="M57" s="2" t="n">
        <v>-0.39337794729027</v>
      </c>
      <c r="N57" s="2" t="n">
        <v>405.36711978635</v>
      </c>
      <c r="O57" s="2" t="n">
        <v>452.77768859264</v>
      </c>
    </row>
    <row r="58">
      <c r="A58" s="2" t="n">
        <v>10.606684939098</v>
      </c>
      <c r="B58" s="2" t="n">
        <v>0.031537369504691</v>
      </c>
      <c r="C58" s="2" t="n">
        <v>92.693970560547</v>
      </c>
      <c r="D58" s="2" t="n">
        <v>0.033315924687349</v>
      </c>
      <c r="E58" s="2" t="n">
        <v>-6.5650497991614</v>
      </c>
      <c r="F58" s="2" t="n">
        <v>-2.2091091366951</v>
      </c>
      <c r="G58" s="2" t="n">
        <v>46122967.15906</v>
      </c>
      <c r="H58" s="2" t="n">
        <v>9159965.421358</v>
      </c>
      <c r="I58" s="2" t="n">
        <v>-0.015554029877456</v>
      </c>
      <c r="J58" s="2" t="n">
        <v>-0.014845028317485</v>
      </c>
      <c r="K58" s="2" t="n">
        <v>0.031316448181337</v>
      </c>
      <c r="L58" s="2" t="n">
        <v>-0.40071895649964</v>
      </c>
      <c r="M58" s="2" t="n">
        <v>-0.40186333033324</v>
      </c>
      <c r="N58" s="2" t="n">
        <v>406.3303381221</v>
      </c>
      <c r="O58" s="2" t="n">
        <v>453.91150046344</v>
      </c>
    </row>
    <row r="59">
      <c r="A59" s="2" t="n">
        <v>10.806684939098</v>
      </c>
      <c r="B59" s="2" t="n">
        <v>0.032158772338758</v>
      </c>
      <c r="C59" s="2" t="n">
        <v>92.69378728500899</v>
      </c>
      <c r="D59" s="2" t="n">
        <v>0.033942904564091</v>
      </c>
      <c r="E59" s="2" t="n">
        <v>-6.583400131634</v>
      </c>
      <c r="F59" s="2" t="n">
        <v>-2.2249835798868</v>
      </c>
      <c r="G59" s="2" t="n">
        <v>46828938.393125</v>
      </c>
      <c r="H59" s="2" t="n">
        <v>9279669.450511299</v>
      </c>
      <c r="I59" s="2" t="n">
        <v>-0.015850965119679</v>
      </c>
      <c r="J59" s="2" t="n">
        <v>-0.015127128374331</v>
      </c>
      <c r="K59" s="2" t="n">
        <v>0.031897496535006</v>
      </c>
      <c r="L59" s="2" t="n">
        <v>-0.40931128347941</v>
      </c>
      <c r="M59" s="2" t="n">
        <v>-0.41043057931184</v>
      </c>
      <c r="N59" s="2" t="n">
        <v>407.28894958998</v>
      </c>
      <c r="O59" s="2" t="n">
        <v>455.03991460592</v>
      </c>
    </row>
    <row r="60">
      <c r="A60" s="2" t="n">
        <v>11.006684939098</v>
      </c>
      <c r="B60" s="2" t="n">
        <v>0.032780071857872</v>
      </c>
      <c r="C60" s="2" t="n">
        <v>92.693607001801</v>
      </c>
      <c r="D60" s="2" t="n">
        <v>0.034569786537023</v>
      </c>
      <c r="E60" s="2" t="n">
        <v>-6.5950448735376</v>
      </c>
      <c r="F60" s="2" t="n">
        <v>-2.2255978359262</v>
      </c>
      <c r="G60" s="2" t="n">
        <v>47538163.263309</v>
      </c>
      <c r="H60" s="2" t="n">
        <v>9399881.235478099</v>
      </c>
      <c r="I60" s="2" t="n">
        <v>-0.016147753134351</v>
      </c>
      <c r="J60" s="2" t="n">
        <v>-0.015409044105699</v>
      </c>
      <c r="K60" s="2" t="n">
        <v>0.032478202788061</v>
      </c>
      <c r="L60" s="2" t="n">
        <v>-0.41791250229662</v>
      </c>
      <c r="M60" s="2" t="n">
        <v>-0.41904293787844</v>
      </c>
      <c r="N60" s="2" t="n">
        <v>408.24317292388</v>
      </c>
      <c r="O60" s="2" t="n">
        <v>456.16312225594</v>
      </c>
    </row>
    <row r="61">
      <c r="A61" s="2" t="n">
        <v>11.206684939098</v>
      </c>
      <c r="B61" s="2" t="n">
        <v>0.033401272563025</v>
      </c>
      <c r="C61" s="2" t="n">
        <v>92.693425753361</v>
      </c>
      <c r="D61" s="2" t="n">
        <v>0.035196574591164</v>
      </c>
      <c r="E61" s="2" t="n">
        <v>-6.6135477113912</v>
      </c>
      <c r="F61" s="2" t="n">
        <v>-2.2303341562185</v>
      </c>
      <c r="G61" s="2" t="n">
        <v>48250610.299002</v>
      </c>
      <c r="H61" s="2" t="n">
        <v>9520595.376848999</v>
      </c>
      <c r="I61" s="2" t="n">
        <v>-0.01644439455143</v>
      </c>
      <c r="J61" s="2" t="n">
        <v>-0.015690776522089</v>
      </c>
      <c r="K61" s="2" t="n">
        <v>0.033058567349117</v>
      </c>
      <c r="L61" s="2" t="n">
        <v>-0.42669862296752</v>
      </c>
      <c r="M61" s="2" t="n">
        <v>-0.42781303062813</v>
      </c>
      <c r="N61" s="2" t="n">
        <v>409.19276462469</v>
      </c>
      <c r="O61" s="2" t="n">
        <v>457.28104141972</v>
      </c>
    </row>
    <row r="62">
      <c r="A62" s="2" t="n">
        <v>11.406684939098</v>
      </c>
      <c r="B62" s="2" t="n">
        <v>0.034022377192496</v>
      </c>
      <c r="C62" s="2" t="n">
        <v>92.693240735168</v>
      </c>
      <c r="D62" s="2" t="n">
        <v>0.035823271369265</v>
      </c>
      <c r="E62" s="2" t="n">
        <v>-6.6142031693101</v>
      </c>
      <c r="F62" s="2" t="n">
        <v>-2.2309511924494</v>
      </c>
      <c r="G62" s="2" t="n">
        <v>48966245.469642</v>
      </c>
      <c r="H62" s="2" t="n">
        <v>9641806.049327699</v>
      </c>
      <c r="I62" s="2" t="n">
        <v>-0.016740888500463</v>
      </c>
      <c r="J62" s="2" t="n">
        <v>-0.015972324421123</v>
      </c>
      <c r="K62" s="2" t="n">
        <v>0.033638590629873</v>
      </c>
      <c r="L62" s="2" t="n">
        <v>-0.43530413216863</v>
      </c>
      <c r="M62" s="2" t="n">
        <v>-0.43639646546065</v>
      </c>
      <c r="N62" s="2" t="n">
        <v>410.13808243354</v>
      </c>
      <c r="O62" s="2" t="n">
        <v>458.39373283729</v>
      </c>
    </row>
    <row r="63">
      <c r="A63" s="2" t="n">
        <v>11.606684939098</v>
      </c>
      <c r="B63" s="2" t="n">
        <v>0.034643389301364</v>
      </c>
      <c r="C63" s="2" t="n">
        <v>92.69306135735501</v>
      </c>
      <c r="D63" s="2" t="n">
        <v>0.036449880058028</v>
      </c>
      <c r="E63" s="2" t="n">
        <v>-6.6546093867761</v>
      </c>
      <c r="F63" s="2" t="n">
        <v>-2.2247699455047</v>
      </c>
      <c r="G63" s="2" t="n">
        <v>49685036.648011</v>
      </c>
      <c r="H63" s="2" t="n">
        <v>9763507.7535343</v>
      </c>
      <c r="I63" s="2" t="n">
        <v>-0.017037235761915</v>
      </c>
      <c r="J63" s="2" t="n">
        <v>-0.016253688384093</v>
      </c>
      <c r="K63" s="2" t="n">
        <v>0.034218273040948</v>
      </c>
      <c r="L63" s="2" t="n">
        <v>-0.44391820546304</v>
      </c>
      <c r="M63" s="2" t="n">
        <v>-0.44501224698401</v>
      </c>
      <c r="N63" s="2" t="n">
        <v>411.07912811953</v>
      </c>
      <c r="O63" s="2" t="n">
        <v>459.50145740705</v>
      </c>
    </row>
    <row r="64">
      <c r="A64" s="2" t="n">
        <v>11.806684939098</v>
      </c>
      <c r="B64" s="2" t="n">
        <v>0.03526431127319</v>
      </c>
      <c r="C64" s="2" t="n">
        <v>92.69287546546499</v>
      </c>
      <c r="D64" s="2" t="n">
        <v>0.037076403901694</v>
      </c>
      <c r="E64" s="2" t="n">
        <v>-6.688220316608</v>
      </c>
      <c r="F64" s="2" t="n">
        <v>-2.2253902682126</v>
      </c>
      <c r="G64" s="2" t="n">
        <v>50406951.155325</v>
      </c>
      <c r="H64" s="2" t="n">
        <v>9885694.9038985</v>
      </c>
      <c r="I64" s="2" t="n">
        <v>-0.017333436645467</v>
      </c>
      <c r="J64" s="2" t="n">
        <v>-0.016534868664994</v>
      </c>
      <c r="K64" s="2" t="n">
        <v>0.034797614993095</v>
      </c>
      <c r="L64" s="2" t="n">
        <v>-0.45267107536353</v>
      </c>
      <c r="M64" s="2" t="n">
        <v>-0.45374107693166</v>
      </c>
      <c r="N64" s="2" t="n">
        <v>412.01605021257</v>
      </c>
      <c r="O64" s="2" t="n">
        <v>460.60448764577</v>
      </c>
    </row>
    <row r="65">
      <c r="A65" s="2" t="n">
        <v>12</v>
      </c>
      <c r="B65" s="2" t="n">
        <v>0.035864250604705</v>
      </c>
      <c r="C65" s="2" t="n">
        <v>92.692693893007</v>
      </c>
      <c r="D65" s="2" t="n">
        <v>0.037681895721737</v>
      </c>
      <c r="E65" s="2" t="n">
        <v>-6.7327945590043</v>
      </c>
      <c r="F65" s="2" t="n">
        <v>-2.2259912190246</v>
      </c>
      <c r="G65" s="2" t="n">
        <v>51107511.351127</v>
      </c>
      <c r="H65" s="2" t="n">
        <v>10004226.555466</v>
      </c>
      <c r="I65" s="2" t="n">
        <v>-0.017619569873566</v>
      </c>
      <c r="J65" s="2" t="n">
        <v>-0.016806450862306</v>
      </c>
      <c r="K65" s="2" t="n">
        <v>0.035357269461066</v>
      </c>
      <c r="L65" s="2" t="n">
        <v>-0.46048423838308</v>
      </c>
      <c r="M65" s="2" t="n">
        <v>-0.46157025395879</v>
      </c>
      <c r="N65" s="2" t="n">
        <v>412.94123070024</v>
      </c>
      <c r="O65" s="2" t="n">
        <v>461.69057196365</v>
      </c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:O90"/>
    </sheetView>
  </sheetViews>
  <sheetFormatPr baseColWidth="8" defaultColWidth="8.85546875" defaultRowHeight="15"/>
  <sheetData>
    <row r="1">
      <c r="A1" t="inlineStr">
        <is>
          <t>time</t>
        </is>
      </c>
      <c r="B1" t="inlineStr">
        <is>
          <t>Ep_eff</t>
        </is>
      </c>
      <c r="C1" t="inlineStr">
        <is>
          <t>Phi</t>
        </is>
      </c>
      <c r="D1" t="inlineStr">
        <is>
          <t>eeq</t>
        </is>
      </c>
      <c r="E1" t="inlineStr">
        <is>
          <t>phi_1</t>
        </is>
      </c>
      <c r="F1" t="inlineStr">
        <is>
          <t>phi_2</t>
        </is>
      </c>
      <c r="G1" t="inlineStr">
        <is>
          <t>rho_i</t>
        </is>
      </c>
      <c r="H1" t="inlineStr">
        <is>
          <t>rho_m</t>
        </is>
      </c>
      <c r="I1" t="inlineStr">
        <is>
          <t>strain_xx</t>
        </is>
      </c>
      <c r="J1" t="inlineStr">
        <is>
          <t>strain_yy</t>
        </is>
      </c>
      <c r="K1" t="inlineStr">
        <is>
          <t>strain_zz</t>
        </is>
      </c>
      <c r="L1" t="inlineStr">
        <is>
          <t>stress_xx</t>
        </is>
      </c>
      <c r="M1" t="inlineStr">
        <is>
          <t>stress_yy</t>
        </is>
      </c>
      <c r="N1" t="inlineStr">
        <is>
          <t>stress_zz</t>
        </is>
      </c>
      <c r="O1" t="inlineStr">
        <is>
          <t>vonmises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0.0025830812468784</v>
      </c>
      <c r="B3" s="6" t="n">
        <v>5.4636949411128e-26</v>
      </c>
      <c r="C3" t="n">
        <v>92.681598736748</v>
      </c>
      <c r="D3" s="6" t="n">
        <v>7.1835902265732e-06</v>
      </c>
      <c r="E3" t="n">
        <v>-5.6421879249099</v>
      </c>
      <c r="F3" t="n">
        <v>-2.7149620604439</v>
      </c>
      <c r="G3" t="n">
        <v>16000000</v>
      </c>
      <c r="H3" t="n">
        <v>4000000</v>
      </c>
      <c r="I3" s="6" t="n">
        <v>-2.1183853267386e-06</v>
      </c>
      <c r="J3" s="6" t="n">
        <v>-2.018131677108e-06</v>
      </c>
      <c r="K3" s="6" t="n">
        <v>7.749213197923799e-06</v>
      </c>
      <c r="L3" s="6" t="n">
        <v>-1.896220843818e-07</v>
      </c>
      <c r="M3" s="6" t="n">
        <v>-1.9661235591436e-07</v>
      </c>
      <c r="N3" t="n">
        <v>1.569678130494</v>
      </c>
      <c r="O3" t="n">
        <v>1.6679864928679</v>
      </c>
    </row>
    <row r="4">
      <c r="A4" t="n">
        <v>0.018444056862426</v>
      </c>
      <c r="B4" s="6" t="n">
        <v>4.8189597133006e-23</v>
      </c>
      <c r="C4" t="n">
        <v>92.68170871685101</v>
      </c>
      <c r="D4" s="6" t="n">
        <v>5.1295099406569e-05</v>
      </c>
      <c r="E4" t="n">
        <v>-5.6421905160236</v>
      </c>
      <c r="F4" t="n">
        <v>-2.7148490239275</v>
      </c>
      <c r="G4" t="n">
        <v>16000000</v>
      </c>
      <c r="H4" t="n">
        <v>4000000</v>
      </c>
      <c r="I4" s="6" t="n">
        <v>-1.5128460728662e-05</v>
      </c>
      <c r="J4" s="6" t="n">
        <v>-1.4412460420323e-05</v>
      </c>
      <c r="K4" s="6" t="n">
        <v>5.5330613439432e-05</v>
      </c>
      <c r="L4" s="6" t="n">
        <v>-9.6637440596742e-06</v>
      </c>
      <c r="M4" s="6" t="n">
        <v>-1.0020180890892e-05</v>
      </c>
      <c r="N4" t="n">
        <v>11.21105179746</v>
      </c>
      <c r="O4" t="n">
        <v>11.912941043287</v>
      </c>
    </row>
    <row r="5">
      <c r="A5" t="n">
        <v>0.1</v>
      </c>
      <c r="B5" s="6" t="n">
        <v>1.7793398804445e-16</v>
      </c>
      <c r="C5" t="n">
        <v>92.681470012489</v>
      </c>
      <c r="D5" t="n">
        <v>0.00027816884974155</v>
      </c>
      <c r="E5" t="n">
        <v>-5.8926365877929</v>
      </c>
      <c r="F5" t="n">
        <v>-3.0173622905179</v>
      </c>
      <c r="G5" t="n">
        <v>16000000</v>
      </c>
      <c r="H5" t="n">
        <v>4000000</v>
      </c>
      <c r="I5" s="6" t="n">
        <v>-8.2102123949101e-05</v>
      </c>
      <c r="J5" s="6" t="n">
        <v>-7.821548166422499e-05</v>
      </c>
      <c r="K5" t="n">
        <v>0.00029995423409739</v>
      </c>
      <c r="L5" t="n">
        <v>-0.00028237087799079</v>
      </c>
      <c r="M5" t="n">
        <v>-0.00029290614913852</v>
      </c>
      <c r="N5" t="n">
        <v>60.878476623038</v>
      </c>
      <c r="O5" t="n">
        <v>64.682171419882</v>
      </c>
    </row>
    <row r="6">
      <c r="A6" t="n">
        <v>0.20668493909835</v>
      </c>
      <c r="B6" s="6" t="n">
        <v>3.0818627395099e-12</v>
      </c>
      <c r="C6" t="n">
        <v>92.687033934257</v>
      </c>
      <c r="D6" t="n">
        <v>0.00057507565099354</v>
      </c>
      <c r="E6" t="n">
        <v>-5.7945053405009</v>
      </c>
      <c r="F6" t="n">
        <v>-2.6947031016181</v>
      </c>
      <c r="G6" t="n">
        <v>16000000.001814</v>
      </c>
      <c r="H6" t="n">
        <v>4000000.0003152</v>
      </c>
      <c r="I6" t="n">
        <v>-0.00016988052257091</v>
      </c>
      <c r="J6" t="n">
        <v>-0.00016183628081826</v>
      </c>
      <c r="K6" t="n">
        <v>0.00061985935785772</v>
      </c>
      <c r="L6" t="n">
        <v>-0.0012107960659923</v>
      </c>
      <c r="M6" t="n">
        <v>-0.0012554949357104</v>
      </c>
      <c r="N6" t="n">
        <v>126.05633862522</v>
      </c>
      <c r="O6" t="n">
        <v>133.91317143776</v>
      </c>
    </row>
    <row r="7">
      <c r="A7" t="n">
        <v>0.40668493909835</v>
      </c>
      <c r="B7" s="6" t="n">
        <v>9.899054506430301e-07</v>
      </c>
      <c r="C7" t="n">
        <v>92.694851000094</v>
      </c>
      <c r="D7" t="n">
        <v>0.0011323327566145</v>
      </c>
      <c r="E7" t="n">
        <v>-6.0945123927743</v>
      </c>
      <c r="F7" t="n">
        <v>-2.5555836682051</v>
      </c>
      <c r="G7" t="n">
        <v>16000561.688615</v>
      </c>
      <c r="H7" t="n">
        <v>4000097.6039267</v>
      </c>
      <c r="I7" t="n">
        <v>-0.00033526655961683</v>
      </c>
      <c r="J7" t="n">
        <v>-0.00031940999194326</v>
      </c>
      <c r="K7" t="n">
        <v>0.0012192984260783</v>
      </c>
      <c r="L7" t="n">
        <v>-0.0046835532437027</v>
      </c>
      <c r="M7" t="n">
        <v>-0.0048616349846714</v>
      </c>
      <c r="N7" t="n">
        <v>248.77670912669</v>
      </c>
      <c r="O7" t="n">
        <v>264.21185445043</v>
      </c>
    </row>
    <row r="8">
      <c r="A8" t="n">
        <v>0.60668493909835</v>
      </c>
      <c r="B8" t="n">
        <v>0.00017707028179326</v>
      </c>
      <c r="C8" t="n">
        <v>92.69941064621401</v>
      </c>
      <c r="D8" t="n">
        <v>0.0017147549472065</v>
      </c>
      <c r="E8" t="n">
        <v>-6.0119072156606</v>
      </c>
      <c r="F8" t="n">
        <v>-2.3404526093335</v>
      </c>
      <c r="G8" t="n">
        <v>16104348.688136</v>
      </c>
      <c r="H8" t="n">
        <v>4018126.4065431</v>
      </c>
      <c r="I8" t="n">
        <v>-0.0005378119458572</v>
      </c>
      <c r="J8" t="n">
        <v>-0.00051334672032074</v>
      </c>
      <c r="K8" t="n">
        <v>0.0018183747957588</v>
      </c>
      <c r="L8" t="n">
        <v>-0.010879022422991</v>
      </c>
      <c r="M8" t="n">
        <v>-0.011306196973102</v>
      </c>
      <c r="N8" t="n">
        <v>340.04795484998</v>
      </c>
      <c r="O8" t="n">
        <v>362.15616217254</v>
      </c>
    </row>
    <row r="9">
      <c r="A9" t="n">
        <v>0.80668493909835</v>
      </c>
      <c r="B9" t="n">
        <v>0.0007212873034728</v>
      </c>
      <c r="C9" t="n">
        <v>92.699228773613</v>
      </c>
      <c r="D9" t="n">
        <v>0.0023371117857092</v>
      </c>
      <c r="E9" t="n">
        <v>-6.1604815494559</v>
      </c>
      <c r="F9" t="n">
        <v>-2.1478452952551</v>
      </c>
      <c r="G9" t="n">
        <v>16445785.716044</v>
      </c>
      <c r="H9" t="n">
        <v>4077401.248031</v>
      </c>
      <c r="I9" t="n">
        <v>-0.0008152710244713201</v>
      </c>
      <c r="J9" t="n">
        <v>-0.00077734692834112</v>
      </c>
      <c r="K9" t="n">
        <v>0.0024170883972173</v>
      </c>
      <c r="L9" t="n">
        <v>-0.018372187931186</v>
      </c>
      <c r="M9" t="n">
        <v>-0.019125004909729</v>
      </c>
      <c r="N9" t="n">
        <v>366.32437406819</v>
      </c>
      <c r="O9" t="n">
        <v>392.9590264813</v>
      </c>
    </row>
    <row r="10">
      <c r="A10" t="n">
        <v>1.0066849390983</v>
      </c>
      <c r="B10" t="n">
        <v>0.0013437491162234</v>
      </c>
      <c r="C10" t="n">
        <v>92.699801790482</v>
      </c>
      <c r="D10" t="n">
        <v>0.0029687213274656</v>
      </c>
      <c r="E10" t="n">
        <v>-6.2452528775551</v>
      </c>
      <c r="F10" t="n">
        <v>-2.0987779425374</v>
      </c>
      <c r="G10" t="n">
        <v>16864208.576893</v>
      </c>
      <c r="H10" t="n">
        <v>4149987.6874589</v>
      </c>
      <c r="I10" t="n">
        <v>-0.0011107887323835</v>
      </c>
      <c r="J10" t="n">
        <v>-0.0010571862288395</v>
      </c>
      <c r="K10" t="n">
        <v>0.0030154355131899</v>
      </c>
      <c r="L10" t="n">
        <v>-0.024293233259793</v>
      </c>
      <c r="M10" t="n">
        <v>-0.025237936412959</v>
      </c>
      <c r="N10" t="n">
        <v>377.02711746368</v>
      </c>
      <c r="O10" t="n">
        <v>407.10393137011</v>
      </c>
    </row>
    <row r="11">
      <c r="A11" t="n">
        <v>1.2066849390983</v>
      </c>
      <c r="B11" t="n">
        <v>0.0019780350422988</v>
      </c>
      <c r="C11" t="n">
        <v>92.700124690365</v>
      </c>
      <c r="D11" t="n">
        <v>0.0036044932782518</v>
      </c>
      <c r="E11" t="n">
        <v>-6.2703102977608</v>
      </c>
      <c r="F11" t="n">
        <v>-2.0868887978659</v>
      </c>
      <c r="G11" t="n">
        <v>17314472.547386</v>
      </c>
      <c r="H11" t="n">
        <v>4228043.7345448</v>
      </c>
      <c r="I11" t="n">
        <v>-0.0014104059020398</v>
      </c>
      <c r="J11" t="n">
        <v>-0.0013420870573039</v>
      </c>
      <c r="K11" t="n">
        <v>0.0036134167625491</v>
      </c>
      <c r="L11" t="n">
        <v>-0.030827770380799</v>
      </c>
      <c r="M11" t="n">
        <v>-0.031918457117574</v>
      </c>
      <c r="N11" t="n">
        <v>383.36365865539</v>
      </c>
      <c r="O11" t="n">
        <v>416.18069604718</v>
      </c>
    </row>
    <row r="12">
      <c r="A12" t="n">
        <v>1.4066849390983</v>
      </c>
      <c r="B12" t="n">
        <v>0.0026138754053406</v>
      </c>
      <c r="C12" t="n">
        <v>92.700273031378</v>
      </c>
      <c r="D12" t="n">
        <v>0.0042422417948578</v>
      </c>
      <c r="E12" t="n">
        <v>-6.2978240445187</v>
      </c>
      <c r="F12" t="n">
        <v>-2.0832029858695</v>
      </c>
      <c r="G12" t="n">
        <v>17784562.104199</v>
      </c>
      <c r="H12" t="n">
        <v>4309483.4250178</v>
      </c>
      <c r="I12" t="n">
        <v>-0.0017113628982155</v>
      </c>
      <c r="J12" t="n">
        <v>-0.0016295373367212</v>
      </c>
      <c r="K12" t="n">
        <v>0.0042110332873137</v>
      </c>
      <c r="L12" t="n">
        <v>-0.038270907611919</v>
      </c>
      <c r="M12" t="n">
        <v>-0.039472102775612</v>
      </c>
      <c r="N12" t="n">
        <v>387.73264601945</v>
      </c>
      <c r="O12" t="n">
        <v>422.74118535726</v>
      </c>
    </row>
    <row r="13">
      <c r="A13" t="n">
        <v>1.6066849390983</v>
      </c>
      <c r="B13" t="n">
        <v>0.0032490242619854</v>
      </c>
      <c r="C13" t="n">
        <v>92.700350997291</v>
      </c>
      <c r="D13" t="n">
        <v>0.0048806926419237</v>
      </c>
      <c r="E13" t="n">
        <v>-6.3100761074705</v>
      </c>
      <c r="F13" t="n">
        <v>-2.0836403931757</v>
      </c>
      <c r="G13" t="n">
        <v>18268838.103146</v>
      </c>
      <c r="H13" t="n">
        <v>4393327.8742231</v>
      </c>
      <c r="I13" t="n">
        <v>-0.002012786412257</v>
      </c>
      <c r="J13" t="n">
        <v>-0.0019183718504081</v>
      </c>
      <c r="K13" t="n">
        <v>0.0048082862267257</v>
      </c>
      <c r="L13" t="n">
        <v>-0.045777869960113</v>
      </c>
      <c r="M13" t="n">
        <v>-0.047081242909904</v>
      </c>
      <c r="N13" t="n">
        <v>391.06537316211</v>
      </c>
      <c r="O13" t="n">
        <v>427.83672046393</v>
      </c>
    </row>
    <row r="14">
      <c r="A14" t="n">
        <v>1.8066849390983</v>
      </c>
      <c r="B14" t="n">
        <v>0.0038831884130586</v>
      </c>
      <c r="C14" t="n">
        <v>92.700374183303</v>
      </c>
      <c r="D14" t="n">
        <v>0.0055192173746021</v>
      </c>
      <c r="E14" t="n">
        <v>-6.3112674917069</v>
      </c>
      <c r="F14" t="n">
        <v>-2.0840633032884</v>
      </c>
      <c r="G14" t="n">
        <v>18764122.019747</v>
      </c>
      <c r="H14" t="n">
        <v>4479025.1875074</v>
      </c>
      <c r="I14" t="n">
        <v>-0.0023143755373245</v>
      </c>
      <c r="J14" t="n">
        <v>-0.0022079368890478</v>
      </c>
      <c r="K14" t="n">
        <v>0.0054051763758557</v>
      </c>
      <c r="L14" t="n">
        <v>-0.053449177877554</v>
      </c>
      <c r="M14" t="n">
        <v>-0.054833690406036</v>
      </c>
      <c r="N14" t="n">
        <v>393.80264392051</v>
      </c>
      <c r="O14" t="n">
        <v>432.01617459025</v>
      </c>
    </row>
    <row r="15">
      <c r="A15" t="n">
        <v>2.0066849390983</v>
      </c>
      <c r="B15" t="n">
        <v>0.0045164723496048</v>
      </c>
      <c r="C15" t="n">
        <v>92.700363467424</v>
      </c>
      <c r="D15" t="n">
        <v>0.0061575289557838</v>
      </c>
      <c r="E15" t="n">
        <v>-6.3150231421431</v>
      </c>
      <c r="F15" t="n">
        <v>-2.0928341576725</v>
      </c>
      <c r="G15" t="n">
        <v>19268504.357524</v>
      </c>
      <c r="H15" t="n">
        <v>4566243.720016</v>
      </c>
      <c r="I15" t="n">
        <v>-0.0026160484762573</v>
      </c>
      <c r="J15" t="n">
        <v>-0.0024978265893818</v>
      </c>
      <c r="K15" t="n">
        <v>0.0060017042487902</v>
      </c>
      <c r="L15" t="n">
        <v>-0.061085397041742</v>
      </c>
      <c r="M15" t="n">
        <v>-0.062552610213921</v>
      </c>
      <c r="N15" t="n">
        <v>396.17143929429</v>
      </c>
      <c r="O15" t="n">
        <v>435.58704529149</v>
      </c>
    </row>
    <row r="16">
      <c r="A16" t="n">
        <v>2.2066849390983</v>
      </c>
      <c r="B16" t="n">
        <v>0.0051490194873086</v>
      </c>
      <c r="C16" t="n">
        <v>92.70032099730901</v>
      </c>
      <c r="D16" t="n">
        <v>0.0067955028953615</v>
      </c>
      <c r="E16" t="n">
        <v>-6.311927540827</v>
      </c>
      <c r="F16" t="n">
        <v>-2.0974555187577</v>
      </c>
      <c r="G16" t="n">
        <v>19780764.118516</v>
      </c>
      <c r="H16" t="n">
        <v>4654771.3399406</v>
      </c>
      <c r="I16" t="n">
        <v>-0.0029177632508891</v>
      </c>
      <c r="J16" t="n">
        <v>-0.0027878150116342</v>
      </c>
      <c r="K16" t="n">
        <v>0.0065978702983561</v>
      </c>
      <c r="L16" t="n">
        <v>-0.068710217289894</v>
      </c>
      <c r="M16" t="n">
        <v>-0.070255217921091</v>
      </c>
      <c r="N16" t="n">
        <v>398.2981267858</v>
      </c>
      <c r="O16" t="n">
        <v>438.73431094777</v>
      </c>
    </row>
    <row r="17">
      <c r="A17" t="n">
        <v>2.4066849390983</v>
      </c>
      <c r="B17" t="n">
        <v>0.0057809412455278</v>
      </c>
      <c r="C17" t="n">
        <v>92.70025241429499</v>
      </c>
      <c r="D17" t="n">
        <v>0.0074330865011864</v>
      </c>
      <c r="E17" t="n">
        <v>-6.3129782369667</v>
      </c>
      <c r="F17" t="n">
        <v>-2.0979116752136</v>
      </c>
      <c r="G17" t="n">
        <v>20300093.183021</v>
      </c>
      <c r="H17" t="n">
        <v>4744467.597674</v>
      </c>
      <c r="I17" t="n">
        <v>-0.0032194881685615</v>
      </c>
      <c r="J17" t="n">
        <v>-0.0030777820005959</v>
      </c>
      <c r="K17" t="n">
        <v>0.0071936750212506</v>
      </c>
      <c r="L17" t="n">
        <v>-0.07654040306728301</v>
      </c>
      <c r="M17" t="n">
        <v>-0.07817074394312799</v>
      </c>
      <c r="N17" t="n">
        <v>400.25567035435</v>
      </c>
      <c r="O17" t="n">
        <v>441.57232770726</v>
      </c>
    </row>
    <row r="18">
      <c r="A18" t="n">
        <v>2.6066849390983</v>
      </c>
      <c r="B18" t="n">
        <v>0.0064123133839485</v>
      </c>
      <c r="C18" t="n">
        <v>92.700165118754</v>
      </c>
      <c r="D18" t="n">
        <v>0.008070255930031999</v>
      </c>
      <c r="E18" t="n">
        <v>-6.3249902217171</v>
      </c>
      <c r="F18" t="n">
        <v>-2.0983710107823</v>
      </c>
      <c r="G18" t="n">
        <v>20825926.000578</v>
      </c>
      <c r="H18" t="n">
        <v>4835234.1688039</v>
      </c>
      <c r="I18" t="n">
        <v>-0.0035211956383033</v>
      </c>
      <c r="J18" t="n">
        <v>-0.0033676600378049</v>
      </c>
      <c r="K18" t="n">
        <v>0.0077891189406274</v>
      </c>
      <c r="L18" t="n">
        <v>-0.084415730061382</v>
      </c>
      <c r="M18" t="n">
        <v>-0.086070821924657</v>
      </c>
      <c r="N18" t="n">
        <v>402.08953466981</v>
      </c>
      <c r="O18" t="n">
        <v>444.17582718936</v>
      </c>
    </row>
    <row r="19">
      <c r="A19" t="n">
        <v>2.8066849390983</v>
      </c>
      <c r="B19" t="n">
        <v>0.007043189408316</v>
      </c>
      <c r="C19" t="n">
        <v>92.700061771435</v>
      </c>
      <c r="D19" t="n">
        <v>0.0087070067368981</v>
      </c>
      <c r="E19" t="n">
        <v>-6.3259944797461</v>
      </c>
      <c r="F19" t="n">
        <v>-2.0988332588297</v>
      </c>
      <c r="G19" t="n">
        <v>21357839.735793</v>
      </c>
      <c r="H19" t="n">
        <v>4926997.5127239</v>
      </c>
      <c r="I19" t="n">
        <v>-0.0038228617727484</v>
      </c>
      <c r="J19" t="n">
        <v>-0.0036574127038775</v>
      </c>
      <c r="K19" t="n">
        <v>0.0083842025852203</v>
      </c>
      <c r="L19" t="n">
        <v>-0.092576825791179</v>
      </c>
      <c r="M19" t="n">
        <v>-0.094277798092933</v>
      </c>
      <c r="N19" t="n">
        <v>403.82983192984</v>
      </c>
      <c r="O19" t="n">
        <v>446.5975938059</v>
      </c>
    </row>
    <row r="20">
      <c r="A20" t="n">
        <v>3.0066849390983</v>
      </c>
      <c r="B20" t="n">
        <v>0.0076736111999608</v>
      </c>
      <c r="C20" t="n">
        <v>92.69994502804001</v>
      </c>
      <c r="D20" t="n">
        <v>0.0093433439658072</v>
      </c>
      <c r="E20" t="n">
        <v>-6.3228289645762</v>
      </c>
      <c r="F20" t="n">
        <v>-2.1034470259636</v>
      </c>
      <c r="G20" t="n">
        <v>21895507.347022</v>
      </c>
      <c r="H20" t="n">
        <v>5019700.7237113</v>
      </c>
      <c r="I20" t="n">
        <v>-0.004124468527002</v>
      </c>
      <c r="J20" t="n">
        <v>-0.0039470145283257</v>
      </c>
      <c r="K20" t="n">
        <v>0.008978926438578901</v>
      </c>
      <c r="L20" t="n">
        <v>-0.10066025678597</v>
      </c>
      <c r="M20" t="n">
        <v>-0.10237191694563</v>
      </c>
      <c r="N20" t="n">
        <v>405.49723409137</v>
      </c>
      <c r="O20" t="n">
        <v>448.87531942775</v>
      </c>
    </row>
    <row r="21">
      <c r="A21" t="n">
        <v>3.2066849390983</v>
      </c>
      <c r="B21" t="n">
        <v>0.008303608789497499</v>
      </c>
      <c r="C21" t="n">
        <v>92.69981634334</v>
      </c>
      <c r="D21" t="n">
        <v>0.009979277849421601</v>
      </c>
      <c r="E21" t="n">
        <v>-6.3457696017725</v>
      </c>
      <c r="F21" t="n">
        <v>-2.1039163893789</v>
      </c>
      <c r="G21" t="n">
        <v>22438674.485967</v>
      </c>
      <c r="H21" t="n">
        <v>5113299.5342068</v>
      </c>
      <c r="I21" t="n">
        <v>-0.0044260083724682</v>
      </c>
      <c r="J21" t="n">
        <v>-0.004236445715236</v>
      </c>
      <c r="K21" t="n">
        <v>0.0095732909982834</v>
      </c>
      <c r="L21" t="n">
        <v>-0.10888820035307</v>
      </c>
      <c r="M21" t="n">
        <v>-0.1106501646055</v>
      </c>
      <c r="N21" t="n">
        <v>407.10606332882</v>
      </c>
      <c r="O21" t="n">
        <v>451.03691826831</v>
      </c>
    </row>
    <row r="22">
      <c r="A22" t="n">
        <v>3.4066849390983</v>
      </c>
      <c r="B22" t="n">
        <v>0.0089332034608741</v>
      </c>
      <c r="C22" t="n">
        <v>92.69969986023099</v>
      </c>
      <c r="D22" t="n">
        <v>0.010614817600283</v>
      </c>
      <c r="E22" t="n">
        <v>-6.3383365718541</v>
      </c>
      <c r="F22" t="n">
        <v>-2.1127621306511</v>
      </c>
      <c r="G22" t="n">
        <v>22987142.370147</v>
      </c>
      <c r="H22" t="n">
        <v>5207759.34158</v>
      </c>
      <c r="I22" t="n">
        <v>-0.0047274788704161</v>
      </c>
      <c r="J22" t="n">
        <v>-0.0045256887003136</v>
      </c>
      <c r="K22" t="n">
        <v>0.010167296727324</v>
      </c>
      <c r="L22" t="n">
        <v>-0.11719967753776</v>
      </c>
      <c r="M22" t="n">
        <v>-0.11898812652034</v>
      </c>
      <c r="N22" t="n">
        <v>408.66624748826</v>
      </c>
      <c r="O22" t="n">
        <v>453.10207934937</v>
      </c>
    </row>
    <row r="23">
      <c r="A23" t="n">
        <v>3.6066849390983</v>
      </c>
      <c r="B23" t="n">
        <v>0.0095624088596256</v>
      </c>
      <c r="C23" t="n">
        <v>92.699588489723</v>
      </c>
      <c r="D23" t="n">
        <v>0.011249974370023</v>
      </c>
      <c r="E23" t="n">
        <v>-6.3241158706964</v>
      </c>
      <c r="F23" t="n">
        <v>-2.1174102258735</v>
      </c>
      <c r="G23" t="n">
        <v>23540743.117119</v>
      </c>
      <c r="H23" t="n">
        <v>5303050.9226081</v>
      </c>
      <c r="I23" t="n">
        <v>-0.005028876735255</v>
      </c>
      <c r="J23" t="n">
        <v>-0.0048147299418761</v>
      </c>
      <c r="K23" t="n">
        <v>0.010760944082085</v>
      </c>
      <c r="L23" t="n">
        <v>-0.12536205251116</v>
      </c>
      <c r="M23" t="n">
        <v>-0.12718128097262</v>
      </c>
      <c r="N23" t="n">
        <v>410.18583337095</v>
      </c>
      <c r="O23" t="n">
        <v>455.08647629596</v>
      </c>
    </row>
    <row r="24">
      <c r="A24" t="n">
        <v>3.8066849390983</v>
      </c>
      <c r="B24" t="n">
        <v>0.010191243355668</v>
      </c>
      <c r="C24" t="n">
        <v>92.69946123533001</v>
      </c>
      <c r="D24" t="n">
        <v>0.011884764124972</v>
      </c>
      <c r="E24" t="n">
        <v>-6.3250331895363</v>
      </c>
      <c r="F24" t="n">
        <v>-2.1069068575672</v>
      </c>
      <c r="G24" t="n">
        <v>24099335.115025</v>
      </c>
      <c r="H24" t="n">
        <v>5399149.614597</v>
      </c>
      <c r="I24" t="n">
        <v>-0.0053301999580397</v>
      </c>
      <c r="J24" t="n">
        <v>-0.0051035638627905</v>
      </c>
      <c r="K24" t="n">
        <v>0.011354233529226</v>
      </c>
      <c r="L24" t="n">
        <v>-0.13397675800309</v>
      </c>
      <c r="M24" t="n">
        <v>-0.13579175825986</v>
      </c>
      <c r="N24" t="n">
        <v>411.67025428676</v>
      </c>
      <c r="O24" t="n">
        <v>457.00244132422</v>
      </c>
    </row>
    <row r="25">
      <c r="A25" t="n">
        <v>4.0066849390983</v>
      </c>
      <c r="B25" t="n">
        <v>0.010819722754353</v>
      </c>
      <c r="C25" t="n">
        <v>92.699323616139</v>
      </c>
      <c r="D25" t="n">
        <v>0.012519201906785</v>
      </c>
      <c r="E25" t="n">
        <v>-6.3259383659926</v>
      </c>
      <c r="F25" t="n">
        <v>-2.0964044897412</v>
      </c>
      <c r="G25" t="n">
        <v>24662793.131345</v>
      </c>
      <c r="H25" t="n">
        <v>5496033.6077963</v>
      </c>
      <c r="I25" t="n">
        <v>-0.0056314393935416</v>
      </c>
      <c r="J25" t="n">
        <v>-0.0053921868543685</v>
      </c>
      <c r="K25" t="n">
        <v>0.011947165529546</v>
      </c>
      <c r="L25" t="n">
        <v>-0.14229452305009</v>
      </c>
      <c r="M25" t="n">
        <v>-0.14412292946038</v>
      </c>
      <c r="N25" t="n">
        <v>413.12441577162</v>
      </c>
      <c r="O25" t="n">
        <v>458.85938230462</v>
      </c>
    </row>
    <row r="26">
      <c r="A26" t="n">
        <v>4.2066849390983</v>
      </c>
      <c r="B26" t="n">
        <v>0.011447861648319</v>
      </c>
      <c r="C26" t="n">
        <v>92.69921043837201</v>
      </c>
      <c r="D26" t="n">
        <v>0.013153302641441</v>
      </c>
      <c r="E26" t="n">
        <v>-6.3142352350996</v>
      </c>
      <c r="F26" t="n">
        <v>-2.0984808218226</v>
      </c>
      <c r="G26" t="n">
        <v>25231008.416593</v>
      </c>
      <c r="H26" t="n">
        <v>5593683.9634828</v>
      </c>
      <c r="I26" t="n">
        <v>-0.0059325891742013</v>
      </c>
      <c r="J26" t="n">
        <v>-0.0056806008744552</v>
      </c>
      <c r="K26" t="n">
        <v>0.012539740548396</v>
      </c>
      <c r="L26" t="n">
        <v>-0.15088250337643</v>
      </c>
      <c r="M26" t="n">
        <v>-0.15272174096796</v>
      </c>
      <c r="N26" t="n">
        <v>414.5518109702</v>
      </c>
      <c r="O26" t="n">
        <v>460.66557776822</v>
      </c>
    </row>
    <row r="27">
      <c r="A27" t="n">
        <v>4.4066849390983</v>
      </c>
      <c r="B27" t="n">
        <v>0.012075675082915</v>
      </c>
      <c r="C27" t="n">
        <v>92.699106383055</v>
      </c>
      <c r="D27" t="n">
        <v>0.013787080089605</v>
      </c>
      <c r="E27" t="n">
        <v>-6.2957604397974</v>
      </c>
      <c r="F27" t="n">
        <v>-2.10732755173</v>
      </c>
      <c r="G27" t="n">
        <v>25803886.060112</v>
      </c>
      <c r="H27" t="n">
        <v>5692084.1514998</v>
      </c>
      <c r="I27" t="n">
        <v>-0.0062336434245404</v>
      </c>
      <c r="J27" t="n">
        <v>-0.005968805738628</v>
      </c>
      <c r="K27" t="n">
        <v>0.013131959058545</v>
      </c>
      <c r="L27" t="n">
        <v>-0.15950491703089</v>
      </c>
      <c r="M27" t="n">
        <v>-0.16134328012064</v>
      </c>
      <c r="N27" t="n">
        <v>415.9551402521</v>
      </c>
      <c r="O27" t="n">
        <v>462.42685341627</v>
      </c>
    </row>
    <row r="28">
      <c r="A28" t="n">
        <v>4.6066849390983</v>
      </c>
      <c r="B28" t="n">
        <v>0.012703175771312</v>
      </c>
      <c r="C28" t="n">
        <v>92.698986742033</v>
      </c>
      <c r="D28" t="n">
        <v>0.014420547669273</v>
      </c>
      <c r="E28" t="n">
        <v>-6.2924029679286</v>
      </c>
      <c r="F28" t="n">
        <v>-2.1120415500164</v>
      </c>
      <c r="G28" t="n">
        <v>26381338.239699</v>
      </c>
      <c r="H28" t="n">
        <v>5791218.8865893</v>
      </c>
      <c r="I28" t="n">
        <v>-0.006534597317064</v>
      </c>
      <c r="J28" t="n">
        <v>-0.0062568027574091</v>
      </c>
      <c r="K28" t="n">
        <v>0.013723821533679</v>
      </c>
      <c r="L28" t="n">
        <v>-0.16839265189292</v>
      </c>
      <c r="M28" t="n">
        <v>-0.17022171767127</v>
      </c>
      <c r="N28" t="n">
        <v>417.33689448774</v>
      </c>
      <c r="O28" t="n">
        <v>464.14883687639</v>
      </c>
    </row>
    <row r="29">
      <c r="A29" t="n">
        <v>4.8066849390983</v>
      </c>
      <c r="B29" t="n">
        <v>0.013330377653936</v>
      </c>
      <c r="C29" t="n">
        <v>92.698855979925</v>
      </c>
      <c r="D29" t="n">
        <v>0.015053718570666</v>
      </c>
      <c r="E29" t="n">
        <v>-6.2932581070057</v>
      </c>
      <c r="F29" t="n">
        <v>-2.1125414282185</v>
      </c>
      <c r="G29" t="n">
        <v>26963284.0047</v>
      </c>
      <c r="H29" t="n">
        <v>5891074.0782698</v>
      </c>
      <c r="I29" t="n">
        <v>-0.0068354461692825</v>
      </c>
      <c r="J29" t="n">
        <v>-0.0065445906217988</v>
      </c>
      <c r="K29" t="n">
        <v>0.014315328442215</v>
      </c>
      <c r="L29" t="n">
        <v>-0.17704230053575</v>
      </c>
      <c r="M29" t="n">
        <v>-0.17889626012702</v>
      </c>
      <c r="N29" t="n">
        <v>418.69915440875</v>
      </c>
      <c r="O29" t="n">
        <v>465.83555827665</v>
      </c>
    </row>
    <row r="30">
      <c r="A30" t="n">
        <v>5.0066849390983</v>
      </c>
      <c r="B30" t="n">
        <v>0.013957294375285</v>
      </c>
      <c r="C30" t="n">
        <v>92.698718998144</v>
      </c>
      <c r="D30" t="n">
        <v>0.015686605567572</v>
      </c>
      <c r="E30" t="n">
        <v>-6.2831190803436</v>
      </c>
      <c r="F30" t="n">
        <v>-2.1130424246352</v>
      </c>
      <c r="G30" t="n">
        <v>27549647.974334</v>
      </c>
      <c r="H30" t="n">
        <v>5991636.6083237</v>
      </c>
      <c r="I30" t="n">
        <v>-0.0071361875047114</v>
      </c>
      <c r="J30" t="n">
        <v>-0.006832169868846</v>
      </c>
      <c r="K30" t="n">
        <v>0.014906480238156</v>
      </c>
      <c r="L30" t="n">
        <v>-0.18574357685193</v>
      </c>
      <c r="M30" t="n">
        <v>-0.18757888339619</v>
      </c>
      <c r="N30" t="n">
        <v>420.0436609952</v>
      </c>
      <c r="O30" t="n">
        <v>467.49109670039</v>
      </c>
    </row>
    <row r="31">
      <c r="A31" t="n">
        <v>5.2066849390983</v>
      </c>
      <c r="B31" t="n">
        <v>0.01458393787143</v>
      </c>
      <c r="C31" t="n">
        <v>92.69857737974699</v>
      </c>
      <c r="D31" t="n">
        <v>0.016319222079962</v>
      </c>
      <c r="E31" t="n">
        <v>-6.2839591400857</v>
      </c>
      <c r="F31" t="n">
        <v>-2.0805858391829</v>
      </c>
      <c r="G31" t="n">
        <v>28140359.629205</v>
      </c>
      <c r="H31" t="n">
        <v>6092894.2099537</v>
      </c>
      <c r="I31" t="n">
        <v>-0.0074368190551104</v>
      </c>
      <c r="J31" t="n">
        <v>-0.0071195414068507</v>
      </c>
      <c r="K31" t="n">
        <v>0.015497277382773</v>
      </c>
      <c r="L31" t="n">
        <v>-0.19460733496966</v>
      </c>
      <c r="M31" t="n">
        <v>-0.19642159622819</v>
      </c>
      <c r="N31" t="n">
        <v>421.37163787174</v>
      </c>
      <c r="O31" t="n">
        <v>469.11854185202</v>
      </c>
    </row>
    <row r="32">
      <c r="A32" t="n">
        <v>5.4066849390983</v>
      </c>
      <c r="B32" t="n">
        <v>0.015210318182147</v>
      </c>
      <c r="C32" t="n">
        <v>92.69845015091001</v>
      </c>
      <c r="D32" t="n">
        <v>0.016951578760261</v>
      </c>
      <c r="E32" t="n">
        <v>-6.2653729613857</v>
      </c>
      <c r="F32" t="n">
        <v>-2.0895081995243</v>
      </c>
      <c r="G32" t="n">
        <v>28735353.759691</v>
      </c>
      <c r="H32" t="n">
        <v>6194835.5462613</v>
      </c>
      <c r="I32" t="n">
        <v>-0.0077373380597388</v>
      </c>
      <c r="J32" t="n">
        <v>-0.0074067054038219</v>
      </c>
      <c r="K32" t="n">
        <v>0.016087720327584</v>
      </c>
      <c r="L32" t="n">
        <v>-0.20352571457104</v>
      </c>
      <c r="M32" t="n">
        <v>-0.20536091655425</v>
      </c>
      <c r="N32" t="n">
        <v>422.68436520102</v>
      </c>
      <c r="O32" t="n">
        <v>470.72048940812</v>
      </c>
    </row>
    <row r="33">
      <c r="A33" t="n">
        <v>5.6066849390983</v>
      </c>
      <c r="B33" t="n">
        <v>0.015836444067658</v>
      </c>
      <c r="C33" t="n">
        <v>92.69832732395599</v>
      </c>
      <c r="D33" t="n">
        <v>0.017583685404099</v>
      </c>
      <c r="E33" t="n">
        <v>-6.2620633784162</v>
      </c>
      <c r="F33" t="n">
        <v>-2.0941448330877</v>
      </c>
      <c r="G33" t="n">
        <v>29334570.078241</v>
      </c>
      <c r="H33" t="n">
        <v>6297450.1430907</v>
      </c>
      <c r="I33" t="n">
        <v>-0.0080377410372399</v>
      </c>
      <c r="J33" t="n">
        <v>-0.0076936636306274</v>
      </c>
      <c r="K33" t="n">
        <v>0.016677809512973</v>
      </c>
      <c r="L33" t="n">
        <v>-0.21250397125799</v>
      </c>
      <c r="M33" t="n">
        <v>-0.21433050698149</v>
      </c>
      <c r="N33" t="n">
        <v>423.98281390765</v>
      </c>
      <c r="O33" t="n">
        <v>472.29892886251</v>
      </c>
    </row>
    <row r="34">
      <c r="A34" t="n">
        <v>5.8066849390983</v>
      </c>
      <c r="B34" t="n">
        <v>0.016462323275302</v>
      </c>
      <c r="C34" t="n">
        <v>92.698210508993</v>
      </c>
      <c r="D34" t="n">
        <v>0.018215550156533</v>
      </c>
      <c r="E34" t="n">
        <v>-6.2544652234145</v>
      </c>
      <c r="F34" t="n">
        <v>-2.0810856195935</v>
      </c>
      <c r="G34" t="n">
        <v>29937950.76398</v>
      </c>
      <c r="H34" t="n">
        <v>6400727.9650366</v>
      </c>
      <c r="I34" t="n">
        <v>-0.0083380251367213</v>
      </c>
      <c r="J34" t="n">
        <v>-0.0079804177673589</v>
      </c>
      <c r="K34" t="n">
        <v>0.017267545370207</v>
      </c>
      <c r="L34" t="n">
        <v>-0.22167684047187</v>
      </c>
      <c r="M34" t="n">
        <v>-0.22346829849398</v>
      </c>
      <c r="N34" t="n">
        <v>425.26803020713</v>
      </c>
      <c r="O34" t="n">
        <v>473.85601065612</v>
      </c>
    </row>
    <row r="35">
      <c r="A35" t="n">
        <v>6.0066849390983</v>
      </c>
      <c r="B35" t="n">
        <v>0.017087963474723</v>
      </c>
      <c r="C35" t="n">
        <v>92.698091692174</v>
      </c>
      <c r="D35" t="n">
        <v>0.018847181848352</v>
      </c>
      <c r="E35" t="n">
        <v>-6.2467237538399</v>
      </c>
      <c r="F35" t="n">
        <v>-2.0681605646048</v>
      </c>
      <c r="G35" t="n">
        <v>30545440.283101</v>
      </c>
      <c r="H35" t="n">
        <v>6504659.3740974</v>
      </c>
      <c r="I35" t="n">
        <v>-0.008638186180948301</v>
      </c>
      <c r="J35" t="n">
        <v>-0.0082669687112854</v>
      </c>
      <c r="K35" t="n">
        <v>0.017856928348781</v>
      </c>
      <c r="L35" t="n">
        <v>-0.23052531398161</v>
      </c>
      <c r="M35" t="n">
        <v>-0.23233172026036</v>
      </c>
      <c r="N35" t="n">
        <v>426.5407536075</v>
      </c>
      <c r="O35" t="n">
        <v>475.39292476267</v>
      </c>
    </row>
    <row r="36">
      <c r="A36" t="n">
        <v>6.2066849390983</v>
      </c>
      <c r="B36" t="n">
        <v>0.017713373081472</v>
      </c>
      <c r="C36" t="n">
        <v>92.697967238901</v>
      </c>
      <c r="D36" t="n">
        <v>0.019478588731276</v>
      </c>
      <c r="E36" t="n">
        <v>-6.2432501347136</v>
      </c>
      <c r="F36" t="n">
        <v>-2.0729483186129</v>
      </c>
      <c r="G36" t="n">
        <v>31156984.633898</v>
      </c>
      <c r="H36" t="n">
        <v>6609235.0053603</v>
      </c>
      <c r="I36" t="n">
        <v>-0.008938222750254</v>
      </c>
      <c r="J36" t="n">
        <v>-0.008553319136899599</v>
      </c>
      <c r="K36" t="n">
        <v>0.018445958877294</v>
      </c>
      <c r="L36" t="n">
        <v>-0.23962018864852</v>
      </c>
      <c r="M36" t="n">
        <v>-0.24141703933145</v>
      </c>
      <c r="N36" t="n">
        <v>427.80174546374</v>
      </c>
      <c r="O36" t="n">
        <v>476.91172442052</v>
      </c>
    </row>
    <row r="37">
      <c r="A37" t="n">
        <v>6.4066849390983</v>
      </c>
      <c r="B37" t="n">
        <v>0.018338560545913</v>
      </c>
      <c r="C37" t="n">
        <v>92.697851834792</v>
      </c>
      <c r="D37" t="n">
        <v>0.020109778605542</v>
      </c>
      <c r="E37" t="n">
        <v>-6.2355089844027</v>
      </c>
      <c r="F37" t="n">
        <v>-2.0819940223229</v>
      </c>
      <c r="G37" t="n">
        <v>31772532.856052</v>
      </c>
      <c r="H37" t="n">
        <v>6714446.0233838</v>
      </c>
      <c r="I37" t="n">
        <v>-0.0092381316703114</v>
      </c>
      <c r="J37" t="n">
        <v>-0.008839470957217099</v>
      </c>
      <c r="K37" t="n">
        <v>0.019034637390121</v>
      </c>
      <c r="L37" t="n">
        <v>-0.2487740193012</v>
      </c>
      <c r="M37" t="n">
        <v>-0.25057898918348</v>
      </c>
      <c r="N37" t="n">
        <v>429.05145115867</v>
      </c>
      <c r="O37" t="n">
        <v>478.41339853861</v>
      </c>
    </row>
    <row r="38">
      <c r="A38" t="n">
        <v>6.6066849390983</v>
      </c>
      <c r="B38" t="n">
        <v>0.018963533747647</v>
      </c>
      <c r="C38" t="n">
        <v>92.697722680954</v>
      </c>
      <c r="D38" t="n">
        <v>0.020740758581565</v>
      </c>
      <c r="E38" t="n">
        <v>-6.2362820932751</v>
      </c>
      <c r="F38" t="n">
        <v>-2.082537358856</v>
      </c>
      <c r="G38" t="n">
        <v>32392034.713636</v>
      </c>
      <c r="H38" t="n">
        <v>6820283.7234488</v>
      </c>
      <c r="I38" t="n">
        <v>-0.0095379099824025</v>
      </c>
      <c r="J38" t="n">
        <v>-0.0091254260562288</v>
      </c>
      <c r="K38" t="n">
        <v>0.019622964317374</v>
      </c>
      <c r="L38" t="n">
        <v>-0.25798250071619</v>
      </c>
      <c r="M38" t="n">
        <v>-0.25977891557325</v>
      </c>
      <c r="N38" t="n">
        <v>430.29052352433</v>
      </c>
      <c r="O38" t="n">
        <v>479.89917557927</v>
      </c>
    </row>
    <row r="39">
      <c r="A39" t="n">
        <v>6.8066849390983</v>
      </c>
      <c r="B39" t="n">
        <v>0.019588299291184</v>
      </c>
      <c r="C39" t="n">
        <v>92.697578178258</v>
      </c>
      <c r="D39" t="n">
        <v>0.021371535830819</v>
      </c>
      <c r="E39" t="n">
        <v>-6.2370507414014</v>
      </c>
      <c r="F39" t="n">
        <v>-2.0830829719691</v>
      </c>
      <c r="G39" t="n">
        <v>33015441.794305</v>
      </c>
      <c r="H39" t="n">
        <v>6926739.7245879</v>
      </c>
      <c r="I39" t="n">
        <v>-0.009837554884842699</v>
      </c>
      <c r="J39" t="n">
        <v>-0.0094111864341292</v>
      </c>
      <c r="K39" t="n">
        <v>0.020210940098523</v>
      </c>
      <c r="L39" t="n">
        <v>-0.26720437300379</v>
      </c>
      <c r="M39" t="n">
        <v>-0.26898784199316</v>
      </c>
      <c r="N39" t="n">
        <v>431.51947098865</v>
      </c>
      <c r="O39" t="n">
        <v>481.37003625307</v>
      </c>
    </row>
    <row r="40">
      <c r="A40" t="n">
        <v>7.0066849390983</v>
      </c>
      <c r="B40" t="n">
        <v>0.020212863931403</v>
      </c>
      <c r="C40" t="n">
        <v>92.697425617037</v>
      </c>
      <c r="D40" t="n">
        <v>0.022002116923219</v>
      </c>
      <c r="E40" t="n">
        <v>-6.2368871239483</v>
      </c>
      <c r="F40" t="n">
        <v>-2.0827392819757</v>
      </c>
      <c r="G40" t="n">
        <v>33642706.767732</v>
      </c>
      <c r="H40" t="n">
        <v>7033805.8380532</v>
      </c>
      <c r="I40" t="n">
        <v>-0.010137063588899</v>
      </c>
      <c r="J40" t="n">
        <v>-0.0096967538142859</v>
      </c>
      <c r="K40" t="n">
        <v>0.02079856516429</v>
      </c>
      <c r="L40" t="n">
        <v>-0.27635918367609</v>
      </c>
      <c r="M40" t="n">
        <v>-0.2781352924567</v>
      </c>
      <c r="N40" t="n">
        <v>432.73882061853</v>
      </c>
      <c r="O40" t="n">
        <v>482.82690997428</v>
      </c>
    </row>
    <row r="41">
      <c r="A41" t="n">
        <v>7.2066849390983</v>
      </c>
      <c r="B41" t="n">
        <v>0.020837234041623</v>
      </c>
      <c r="C41" t="n">
        <v>92.697272826344</v>
      </c>
      <c r="D41" t="n">
        <v>0.02263250943581</v>
      </c>
      <c r="E41" t="n">
        <v>-6.2266561630081</v>
      </c>
      <c r="F41" t="n">
        <v>-2.0832845672753</v>
      </c>
      <c r="G41" t="n">
        <v>34273783.393441</v>
      </c>
      <c r="H41" t="n">
        <v>7141474.0703593</v>
      </c>
      <c r="I41" t="n">
        <v>-0.0104364355277</v>
      </c>
      <c r="J41" t="n">
        <v>-0.0099821301497204</v>
      </c>
      <c r="K41" t="n">
        <v>0.021385839960013</v>
      </c>
      <c r="L41" t="n">
        <v>-0.2858142295108</v>
      </c>
      <c r="M41" t="n">
        <v>-0.28757377906878</v>
      </c>
      <c r="N41" t="n">
        <v>433.94891991066</v>
      </c>
      <c r="O41" t="n">
        <v>484.27089932944</v>
      </c>
    </row>
    <row r="42">
      <c r="A42" t="n">
        <v>7.4066849390983</v>
      </c>
      <c r="B42" t="n">
        <v>0.021461417997917</v>
      </c>
      <c r="C42" t="n">
        <v>92.697130160657</v>
      </c>
      <c r="D42" t="n">
        <v>0.023262719125783</v>
      </c>
      <c r="E42" t="n">
        <v>-6.2383939674843</v>
      </c>
      <c r="F42" t="n">
        <v>-2.1058051568004</v>
      </c>
      <c r="G42" t="n">
        <v>34908627.485291</v>
      </c>
      <c r="H42" t="n">
        <v>7249736.7848094</v>
      </c>
      <c r="I42" t="n">
        <v>-0.010735667668293</v>
      </c>
      <c r="J42" t="n">
        <v>-0.010267315501246</v>
      </c>
      <c r="K42" t="n">
        <v>0.021972764899627</v>
      </c>
      <c r="L42" t="n">
        <v>-0.2950257117065</v>
      </c>
      <c r="M42" t="n">
        <v>-0.29675297879019</v>
      </c>
      <c r="N42" t="n">
        <v>435.15014952981</v>
      </c>
      <c r="O42" t="n">
        <v>485.70221242511</v>
      </c>
    </row>
    <row r="43">
      <c r="A43" t="n">
        <v>7.6066849390983</v>
      </c>
      <c r="B43" t="n">
        <v>0.022085421684371</v>
      </c>
      <c r="C43" t="n">
        <v>92.697006971166</v>
      </c>
      <c r="D43" t="n">
        <v>0.023892752708216</v>
      </c>
      <c r="E43" t="n">
        <v>-6.2441462051421</v>
      </c>
      <c r="F43" t="n">
        <v>-2.123297058833</v>
      </c>
      <c r="G43" t="n">
        <v>35547193.777887</v>
      </c>
      <c r="H43" t="n">
        <v>7358586.1660779</v>
      </c>
      <c r="I43" t="n">
        <v>-0.011034759731395</v>
      </c>
      <c r="J43" t="n">
        <v>-0.010552311372033</v>
      </c>
      <c r="K43" t="n">
        <v>0.022559340426205</v>
      </c>
      <c r="L43" t="n">
        <v>-0.30436264703177</v>
      </c>
      <c r="M43" t="n">
        <v>-0.30608364559083</v>
      </c>
      <c r="N43" t="n">
        <v>436.34297506365</v>
      </c>
      <c r="O43" t="n">
        <v>487.12208462825</v>
      </c>
    </row>
    <row r="44">
      <c r="A44" t="n">
        <v>7.8066849390983</v>
      </c>
      <c r="B44" t="n">
        <v>0.022709252413006</v>
      </c>
      <c r="C44" t="n">
        <v>92.696878469407</v>
      </c>
      <c r="D44" t="n">
        <v>0.02452261648404</v>
      </c>
      <c r="E44" t="n">
        <v>-6.2558703382721</v>
      </c>
      <c r="F44" t="n">
        <v>-2.1458298365288</v>
      </c>
      <c r="G44" t="n">
        <v>36189440.061836</v>
      </c>
      <c r="H44" t="n">
        <v>7468014.9270848</v>
      </c>
      <c r="I44" t="n">
        <v>-0.011333710679294</v>
      </c>
      <c r="J44" t="n">
        <v>-0.01083711821114</v>
      </c>
      <c r="K44" t="n">
        <v>0.023145566962393</v>
      </c>
      <c r="L44" t="n">
        <v>-0.31368468270038</v>
      </c>
      <c r="M44" t="n">
        <v>-0.31539672249979</v>
      </c>
      <c r="N44" t="n">
        <v>437.52754520554</v>
      </c>
      <c r="O44" t="n">
        <v>488.53075320935</v>
      </c>
    </row>
    <row r="45">
      <c r="A45" t="n">
        <v>8.006684939098299</v>
      </c>
      <c r="B45" t="n">
        <v>0.023332915787216</v>
      </c>
      <c r="C45" t="n">
        <v>92.696740043413</v>
      </c>
      <c r="D45" t="n">
        <v>0.025152316528465</v>
      </c>
      <c r="E45" t="n">
        <v>-6.2811101553846</v>
      </c>
      <c r="F45" t="n">
        <v>-2.1658187043126</v>
      </c>
      <c r="G45" t="n">
        <v>36835323.21719</v>
      </c>
      <c r="H45" t="n">
        <v>7578015.6351357</v>
      </c>
      <c r="I45" t="n">
        <v>-0.011632519776843</v>
      </c>
      <c r="J45" t="n">
        <v>-0.011121737085292</v>
      </c>
      <c r="K45" t="n">
        <v>0.023731444935753</v>
      </c>
      <c r="L45" t="n">
        <v>-0.32315501526077</v>
      </c>
      <c r="M45" t="n">
        <v>-0.32485893552693</v>
      </c>
      <c r="N45" t="n">
        <v>438.70425390037</v>
      </c>
      <c r="O45" t="n">
        <v>489.92905552483</v>
      </c>
    </row>
    <row r="46">
      <c r="A46" t="n">
        <v>8.206684939098301</v>
      </c>
      <c r="B46" t="n">
        <v>0.02395641769087</v>
      </c>
      <c r="C46" t="n">
        <v>92.696594051212</v>
      </c>
      <c r="D46" t="n">
        <v>0.025781858310229</v>
      </c>
      <c r="E46" t="n">
        <v>-6.3257843884739</v>
      </c>
      <c r="F46" t="n">
        <v>-2.1444142359155</v>
      </c>
      <c r="G46" t="n">
        <v>37484802.33076</v>
      </c>
      <c r="H46" t="n">
        <v>7688581.238508</v>
      </c>
      <c r="I46" t="n">
        <v>-0.011931185640453</v>
      </c>
      <c r="J46" t="n">
        <v>-0.011406167927796</v>
      </c>
      <c r="K46" t="n">
        <v>0.024316974773464</v>
      </c>
      <c r="L46" t="n">
        <v>-0.33251214783053</v>
      </c>
      <c r="M46" t="n">
        <v>-0.33421052947461</v>
      </c>
      <c r="N46" t="n">
        <v>439.87340940834</v>
      </c>
      <c r="O46" t="n">
        <v>491.31721273554</v>
      </c>
    </row>
    <row r="47">
      <c r="A47" t="n">
        <v>8.4066849390983</v>
      </c>
      <c r="B47" t="n">
        <v>0.024579763542626</v>
      </c>
      <c r="C47" t="n">
        <v>92.69644299921499</v>
      </c>
      <c r="D47" t="n">
        <v>0.026411247145285</v>
      </c>
      <c r="E47" t="n">
        <v>-6.3484831098623</v>
      </c>
      <c r="F47" t="n">
        <v>-2.1449851066291</v>
      </c>
      <c r="G47" t="n">
        <v>38137837.638535</v>
      </c>
      <c r="H47" t="n">
        <v>7799704.8920597</v>
      </c>
      <c r="I47" t="n">
        <v>-0.012229707760941</v>
      </c>
      <c r="J47" t="n">
        <v>-0.011690412395833</v>
      </c>
      <c r="K47" t="n">
        <v>0.024902156902656</v>
      </c>
      <c r="L47" t="n">
        <v>-0.34196739191726</v>
      </c>
      <c r="M47" t="n">
        <v>-0.34366759282684</v>
      </c>
      <c r="N47" t="n">
        <v>441.03513077442</v>
      </c>
      <c r="O47" t="n">
        <v>492.69569398059</v>
      </c>
    </row>
    <row r="48">
      <c r="A48" t="n">
        <v>8.606684939098299</v>
      </c>
      <c r="B48" t="n">
        <v>0.02520295698465</v>
      </c>
      <c r="C48" t="n">
        <v>92.696287936544</v>
      </c>
      <c r="D48" t="n">
        <v>0.027040487606936</v>
      </c>
      <c r="E48" t="n">
        <v>-6.4261107017372</v>
      </c>
      <c r="F48" t="n">
        <v>-2.1565449809473</v>
      </c>
      <c r="G48" t="n">
        <v>38794389.614358</v>
      </c>
      <c r="H48" t="n">
        <v>7911379.7983462</v>
      </c>
      <c r="I48" t="n">
        <v>-0.012528085269099</v>
      </c>
      <c r="J48" t="n">
        <v>-0.011974470930974</v>
      </c>
      <c r="K48" t="n">
        <v>0.025486991749998</v>
      </c>
      <c r="L48" t="n">
        <v>-0.35151240694387</v>
      </c>
      <c r="M48" t="n">
        <v>-0.35319642971763</v>
      </c>
      <c r="N48" t="n">
        <v>442.18976113457</v>
      </c>
      <c r="O48" t="n">
        <v>494.06494268149</v>
      </c>
    </row>
    <row r="49">
      <c r="A49" t="n">
        <v>8.806684939098201</v>
      </c>
      <c r="B49" t="n">
        <v>0.025826003003892</v>
      </c>
      <c r="C49" t="n">
        <v>92.696119705413</v>
      </c>
      <c r="D49" t="n">
        <v>0.027669584029165</v>
      </c>
      <c r="E49" t="n">
        <v>-6.4419692863153</v>
      </c>
      <c r="F49" t="n">
        <v>-2.1722567653586</v>
      </c>
      <c r="G49" t="n">
        <v>39454421.001605</v>
      </c>
      <c r="H49" t="n">
        <v>8023599.553294</v>
      </c>
      <c r="I49" t="n">
        <v>-0.012826316962777</v>
      </c>
      <c r="J49" t="n">
        <v>-0.01225834449589</v>
      </c>
      <c r="K49" t="n">
        <v>0.026071479744999</v>
      </c>
      <c r="L49" t="n">
        <v>-0.36105932593792</v>
      </c>
      <c r="M49" t="n">
        <v>-0.36273111752367</v>
      </c>
      <c r="N49" t="n">
        <v>443.3374324271</v>
      </c>
      <c r="O49" t="n">
        <v>495.42508884041</v>
      </c>
    </row>
    <row r="50">
      <c r="A50" t="n">
        <v>9.0066849390982</v>
      </c>
      <c r="B50" t="n">
        <v>0.026448904852977</v>
      </c>
      <c r="C50" t="n">
        <v>92.69595833909599</v>
      </c>
      <c r="D50" t="n">
        <v>0.028298540740692</v>
      </c>
      <c r="E50" t="n">
        <v>-6.4493627858537</v>
      </c>
      <c r="F50" t="n">
        <v>-2.1661589878843</v>
      </c>
      <c r="G50" t="n">
        <v>40117893.846358</v>
      </c>
      <c r="H50" t="n">
        <v>8136357.6394641</v>
      </c>
      <c r="I50" t="n">
        <v>-0.01312440215872</v>
      </c>
      <c r="J50" t="n">
        <v>-0.012542034005009</v>
      </c>
      <c r="K50" t="n">
        <v>0.026655621311673</v>
      </c>
      <c r="L50" t="n">
        <v>-0.37070003436824</v>
      </c>
      <c r="M50" t="n">
        <v>-0.37235724496256</v>
      </c>
      <c r="N50" t="n">
        <v>444.47841202736</v>
      </c>
      <c r="O50" t="n">
        <v>496.77656368152</v>
      </c>
    </row>
    <row r="51">
      <c r="A51" t="n">
        <v>9.206684939098199</v>
      </c>
      <c r="B51" t="n">
        <v>0.027071667114685</v>
      </c>
      <c r="C51" t="n">
        <v>92.695794947007</v>
      </c>
      <c r="D51" t="n">
        <v>0.028927361908783</v>
      </c>
      <c r="E51" t="n">
        <v>-6.4720507409038</v>
      </c>
      <c r="F51" t="n">
        <v>-2.1777310429724</v>
      </c>
      <c r="G51" t="n">
        <v>40784771.977548</v>
      </c>
      <c r="H51" t="n">
        <v>8249647.8501592</v>
      </c>
      <c r="I51" t="n">
        <v>-0.013422339421606</v>
      </c>
      <c r="J51" t="n">
        <v>-0.012825540002073</v>
      </c>
      <c r="K51" t="n">
        <v>0.027239416867254</v>
      </c>
      <c r="L51" t="n">
        <v>-0.38019947051601</v>
      </c>
      <c r="M51" t="n">
        <v>-0.38182804406893</v>
      </c>
      <c r="N51" t="n">
        <v>445.61277878655</v>
      </c>
      <c r="O51" t="n">
        <v>498.11927551229</v>
      </c>
    </row>
    <row r="52">
      <c r="A52" t="n">
        <v>9.4066849390982</v>
      </c>
      <c r="B52" t="n">
        <v>0.02769429331285</v>
      </c>
      <c r="C52" t="n">
        <v>92.69562802430301</v>
      </c>
      <c r="D52" t="n">
        <v>0.029556051671472</v>
      </c>
      <c r="E52" t="n">
        <v>-6.483749911977</v>
      </c>
      <c r="F52" t="n">
        <v>-2.1783193352921</v>
      </c>
      <c r="G52" t="n">
        <v>41455017.78009</v>
      </c>
      <c r="H52" t="n">
        <v>8363463.734125</v>
      </c>
      <c r="I52" t="n">
        <v>-0.013720128514854</v>
      </c>
      <c r="J52" t="n">
        <v>-0.013108863822958</v>
      </c>
      <c r="K52" t="n">
        <v>0.027822866841912</v>
      </c>
      <c r="L52" t="n">
        <v>-0.38981940657012</v>
      </c>
      <c r="M52" t="n">
        <v>-0.39143793254737</v>
      </c>
      <c r="N52" t="n">
        <v>446.74081442193</v>
      </c>
      <c r="O52" t="n">
        <v>499.4539265153</v>
      </c>
    </row>
    <row r="53">
      <c r="A53" t="n">
        <v>9.6066849390982</v>
      </c>
      <c r="B53" t="n">
        <v>0.028316788185453</v>
      </c>
      <c r="C53" t="n">
        <v>92.695458309168</v>
      </c>
      <c r="D53" t="n">
        <v>0.030184613979282</v>
      </c>
      <c r="E53" t="n">
        <v>-6.4734740381282</v>
      </c>
      <c r="F53" t="n">
        <v>-2.1898964285022</v>
      </c>
      <c r="G53" t="n">
        <v>42128595.054922</v>
      </c>
      <c r="H53" t="n">
        <v>8477799.085655199</v>
      </c>
      <c r="I53" t="n">
        <v>-0.014017768568319</v>
      </c>
      <c r="J53" t="n">
        <v>-0.013392005580639</v>
      </c>
      <c r="K53" t="n">
        <v>0.028405971652242</v>
      </c>
      <c r="L53" t="n">
        <v>-0.3993717224975</v>
      </c>
      <c r="M53" t="n">
        <v>-0.40099437469341</v>
      </c>
      <c r="N53" t="n">
        <v>447.86264410787</v>
      </c>
      <c r="O53" t="n">
        <v>500.78056368354</v>
      </c>
    </row>
    <row r="54">
      <c r="A54" t="n">
        <v>9.806684939098201</v>
      </c>
      <c r="B54" t="n">
        <v>0.02893915679278</v>
      </c>
      <c r="C54" t="n">
        <v>92.69528629908299</v>
      </c>
      <c r="D54" t="n">
        <v>0.030813053627229</v>
      </c>
      <c r="E54" t="n">
        <v>-6.4741821423981</v>
      </c>
      <c r="F54" t="n">
        <v>-2.1904896239288</v>
      </c>
      <c r="G54" t="n">
        <v>42805467.980211</v>
      </c>
      <c r="H54" t="n">
        <v>8592647.766667601</v>
      </c>
      <c r="I54" t="n">
        <v>-0.014315260291987</v>
      </c>
      <c r="J54" t="n">
        <v>-0.013674966034512</v>
      </c>
      <c r="K54" t="n">
        <v>0.028988731718067</v>
      </c>
      <c r="L54" t="n">
        <v>-0.40908306090775</v>
      </c>
      <c r="M54" t="n">
        <v>-0.41068846440079</v>
      </c>
      <c r="N54" t="n">
        <v>448.97823289464</v>
      </c>
      <c r="O54" t="n">
        <v>502.09948689929</v>
      </c>
    </row>
    <row r="55">
      <c r="A55" t="n">
        <v>10.006684939098</v>
      </c>
      <c r="B55" t="n">
        <v>0.029561402194744</v>
      </c>
      <c r="C55" t="n">
        <v>92.695112154472</v>
      </c>
      <c r="D55" t="n">
        <v>0.031441374108988</v>
      </c>
      <c r="E55" t="n">
        <v>-6.5298196118135</v>
      </c>
      <c r="F55" t="n">
        <v>-2.1910851518899</v>
      </c>
      <c r="G55" t="n">
        <v>43485599.01485</v>
      </c>
      <c r="H55" t="n">
        <v>8708003.3492194</v>
      </c>
      <c r="I55" t="n">
        <v>-0.014612602584524</v>
      </c>
      <c r="J55" t="n">
        <v>-0.013957744685239</v>
      </c>
      <c r="K55" t="n">
        <v>0.029571147455858</v>
      </c>
      <c r="L55" t="n">
        <v>-0.41873641613051</v>
      </c>
      <c r="M55" t="n">
        <v>-0.4203192257636</v>
      </c>
      <c r="N55" t="n">
        <v>450.08805722991</v>
      </c>
      <c r="O55" t="n">
        <v>503.41110406717</v>
      </c>
    </row>
    <row r="56">
      <c r="A56" t="n">
        <v>10.206684939098</v>
      </c>
      <c r="B56" t="n">
        <v>0.030183529289616</v>
      </c>
      <c r="C56" t="n">
        <v>92.694935810266</v>
      </c>
      <c r="D56" t="n">
        <v>0.032069579869421</v>
      </c>
      <c r="E56" t="n">
        <v>-6.541509537597</v>
      </c>
      <c r="F56" t="n">
        <v>-2.1916829615616</v>
      </c>
      <c r="G56" t="n">
        <v>44168953.203609</v>
      </c>
      <c r="H56" t="n">
        <v>8823859.852588</v>
      </c>
      <c r="I56" t="n">
        <v>-0.01490979583105</v>
      </c>
      <c r="J56" t="n">
        <v>-0.014240342016211</v>
      </c>
      <c r="K56" t="n">
        <v>0.030153219285122</v>
      </c>
      <c r="L56" t="n">
        <v>-0.42841333386039</v>
      </c>
      <c r="M56" t="n">
        <v>-0.42999015643594</v>
      </c>
      <c r="N56" t="n">
        <v>451.19210863503</v>
      </c>
      <c r="O56" t="n">
        <v>504.71560588044</v>
      </c>
    </row>
    <row r="57">
      <c r="A57" t="n">
        <v>10.406684939098</v>
      </c>
      <c r="B57" t="n">
        <v>0.030805541995433</v>
      </c>
      <c r="C57" t="n">
        <v>92.694743170468</v>
      </c>
      <c r="D57" t="n">
        <v>0.032697674997492</v>
      </c>
      <c r="E57" t="n">
        <v>-6.5741217266236</v>
      </c>
      <c r="F57" t="n">
        <v>-2.2022398367776</v>
      </c>
      <c r="G57" t="n">
        <v>44855494.780598</v>
      </c>
      <c r="H57" t="n">
        <v>8940211.161420301</v>
      </c>
      <c r="I57" t="n">
        <v>-0.015206840287187</v>
      </c>
      <c r="J57" t="n">
        <v>-0.014522758039605</v>
      </c>
      <c r="K57" t="n">
        <v>0.030734947615961</v>
      </c>
      <c r="L57" t="n">
        <v>-0.43817215537486</v>
      </c>
      <c r="M57" t="n">
        <v>-0.43974677513435</v>
      </c>
      <c r="N57" t="n">
        <v>452.29056044208</v>
      </c>
      <c r="O57" t="n">
        <v>506.01332762847</v>
      </c>
    </row>
    <row r="58">
      <c r="A58" t="n">
        <v>10.606684939098</v>
      </c>
      <c r="B58" t="n">
        <v>0.031427445348909</v>
      </c>
      <c r="C58" t="n">
        <v>92.694545568077</v>
      </c>
      <c r="D58" t="n">
        <v>0.033325663292371</v>
      </c>
      <c r="E58" t="n">
        <v>-6.6010230999214</v>
      </c>
      <c r="F58" t="n">
        <v>-2.2070669329567</v>
      </c>
      <c r="G58" t="n">
        <v>45545190.311649</v>
      </c>
      <c r="H58" t="n">
        <v>9057051.5639599</v>
      </c>
      <c r="I58" t="n">
        <v>-0.015503736241183</v>
      </c>
      <c r="J58" t="n">
        <v>-0.014804992920891</v>
      </c>
      <c r="K58" t="n">
        <v>0.031316332866826</v>
      </c>
      <c r="L58" t="n">
        <v>-0.44803392856365</v>
      </c>
      <c r="M58" t="n">
        <v>-0.44959332887444</v>
      </c>
      <c r="N58" t="n">
        <v>453.38341648613</v>
      </c>
      <c r="O58" t="n">
        <v>507.30435532782</v>
      </c>
    </row>
    <row r="59">
      <c r="A59" t="n">
        <v>10.806684939098</v>
      </c>
      <c r="B59" t="n">
        <v>0.032049242395727</v>
      </c>
      <c r="C59" t="n">
        <v>92.69434680382101</v>
      </c>
      <c r="D59" t="n">
        <v>0.03395354823642</v>
      </c>
      <c r="E59" t="n">
        <v>-6.6017184672098</v>
      </c>
      <c r="F59" t="n">
        <v>-2.2076694833385</v>
      </c>
      <c r="G59" t="n">
        <v>46238004.782546</v>
      </c>
      <c r="H59" t="n">
        <v>9174375.0836016</v>
      </c>
      <c r="I59" t="n">
        <v>-0.015800482897908</v>
      </c>
      <c r="J59" t="n">
        <v>-0.015087045781444</v>
      </c>
      <c r="K59" t="n">
        <v>0.03189737544699</v>
      </c>
      <c r="L59" t="n">
        <v>-0.45768128137001</v>
      </c>
      <c r="M59" t="n">
        <v>-0.45921618803623</v>
      </c>
      <c r="N59" t="n">
        <v>454.47096187096</v>
      </c>
      <c r="O59" t="n">
        <v>508.58873072545</v>
      </c>
    </row>
    <row r="60">
      <c r="A60" t="n">
        <v>11.006684939098</v>
      </c>
      <c r="B60" t="n">
        <v>0.032670937090385</v>
      </c>
      <c r="C60" t="n">
        <v>92.694158508288</v>
      </c>
      <c r="D60" t="n">
        <v>0.034581333803703</v>
      </c>
      <c r="E60" t="n">
        <v>-6.6243844554277</v>
      </c>
      <c r="F60" t="n">
        <v>-2.2082741853243</v>
      </c>
      <c r="G60" t="n">
        <v>46933904.725403</v>
      </c>
      <c r="H60" t="n">
        <v>9292176.0115341</v>
      </c>
      <c r="I60" t="n">
        <v>-0.01609708167566</v>
      </c>
      <c r="J60" t="n">
        <v>-0.015368917403986</v>
      </c>
      <c r="K60" t="n">
        <v>0.032478075775303</v>
      </c>
      <c r="L60" t="n">
        <v>-0.46748905301513</v>
      </c>
      <c r="M60" t="n">
        <v>-0.4690297588244</v>
      </c>
      <c r="N60" t="n">
        <v>455.5532161564</v>
      </c>
      <c r="O60" t="n">
        <v>509.86694552593</v>
      </c>
    </row>
    <row r="61">
      <c r="A61" t="n">
        <v>11.206684939098</v>
      </c>
      <c r="B61" t="n">
        <v>0.033292531993102</v>
      </c>
      <c r="C61" t="n">
        <v>92.693967200776</v>
      </c>
      <c r="D61" t="n">
        <v>0.035209022972787</v>
      </c>
      <c r="E61" t="n">
        <v>-6.675879502535</v>
      </c>
      <c r="F61" t="n">
        <v>-2.2239889783112</v>
      </c>
      <c r="G61" t="n">
        <v>47632856.537347</v>
      </c>
      <c r="H61" t="n">
        <v>9410448.6226166</v>
      </c>
      <c r="I61" t="n">
        <v>-0.016393532548761</v>
      </c>
      <c r="J61" t="n">
        <v>-0.015650606778084</v>
      </c>
      <c r="K61" t="n">
        <v>0.033058434265032</v>
      </c>
      <c r="L61" t="n">
        <v>-0.47729067198583</v>
      </c>
      <c r="M61" t="n">
        <v>-0.47881162371724</v>
      </c>
      <c r="N61" t="n">
        <v>456.63042781029</v>
      </c>
      <c r="O61" t="n">
        <v>511.13907432724</v>
      </c>
    </row>
    <row r="62">
      <c r="A62" t="n">
        <v>11.406684939098</v>
      </c>
      <c r="B62" t="n">
        <v>0.033914031356997</v>
      </c>
      <c r="C62" t="n">
        <v>92.693774085629</v>
      </c>
      <c r="D62" t="n">
        <v>0.035836619304251</v>
      </c>
      <c r="E62" t="n">
        <v>-6.6985424499504</v>
      </c>
      <c r="F62" t="n">
        <v>-2.2245969443901</v>
      </c>
      <c r="G62" t="n">
        <v>48334829.11833</v>
      </c>
      <c r="H62" t="n">
        <v>9529187.6226294</v>
      </c>
      <c r="I62" t="n">
        <v>-0.01668983652027</v>
      </c>
      <c r="J62" t="n">
        <v>-0.015932114016807</v>
      </c>
      <c r="K62" t="n">
        <v>0.033638451327274</v>
      </c>
      <c r="L62" t="n">
        <v>-0.48716390735226</v>
      </c>
      <c r="M62" t="n">
        <v>-0.48866328487218</v>
      </c>
      <c r="N62" t="n">
        <v>457.70246377602</v>
      </c>
      <c r="O62" t="n">
        <v>512.40511590152</v>
      </c>
    </row>
    <row r="63">
      <c r="A63" t="n">
        <v>11.606684939098</v>
      </c>
      <c r="B63" t="n">
        <v>0.034535438025897</v>
      </c>
      <c r="C63" t="n">
        <v>92.693579469103</v>
      </c>
      <c r="D63" t="n">
        <v>0.036464125453289</v>
      </c>
      <c r="E63" t="n">
        <v>-6.7321898230694</v>
      </c>
      <c r="F63" t="n">
        <v>-2.2252069868422</v>
      </c>
      <c r="G63" t="n">
        <v>49039790.379179</v>
      </c>
      <c r="H63" t="n">
        <v>9648387.5546195</v>
      </c>
      <c r="I63" t="n">
        <v>-0.016985993189884</v>
      </c>
      <c r="J63" t="n">
        <v>-0.016213439047345</v>
      </c>
      <c r="K63" t="n">
        <v>0.034218127380392</v>
      </c>
      <c r="L63" t="n">
        <v>-0.49701658074394</v>
      </c>
      <c r="M63" t="n">
        <v>-0.498516596917</v>
      </c>
      <c r="N63" t="n">
        <v>458.76955005155</v>
      </c>
      <c r="O63" t="n">
        <v>513.66525565399</v>
      </c>
    </row>
    <row r="64">
      <c r="A64" t="n">
        <v>11.806684939098</v>
      </c>
      <c r="B64" t="n">
        <v>0.035156754669851</v>
      </c>
      <c r="C64" t="n">
        <v>92.69337827874899</v>
      </c>
      <c r="D64" t="n">
        <v>0.0370915446131</v>
      </c>
      <c r="E64" t="n">
        <v>-6.7697919870858</v>
      </c>
      <c r="F64" t="n">
        <v>-2.2297696843016</v>
      </c>
      <c r="G64" t="n">
        <v>49747708.734069</v>
      </c>
      <c r="H64" t="n">
        <v>9768043.0494266</v>
      </c>
      <c r="I64" t="n">
        <v>-0.017282003258792</v>
      </c>
      <c r="J64" t="n">
        <v>-0.016494581931739</v>
      </c>
      <c r="K64" t="n">
        <v>0.034797462834665</v>
      </c>
      <c r="L64" t="n">
        <v>-0.50695235825653</v>
      </c>
      <c r="M64" t="n">
        <v>-0.50842191056453</v>
      </c>
      <c r="N64" t="n">
        <v>459.83168672789</v>
      </c>
      <c r="O64" t="n">
        <v>514.91956501973</v>
      </c>
    </row>
    <row r="65">
      <c r="A65" t="n">
        <v>12.006684939098</v>
      </c>
      <c r="B65" t="n">
        <v>0.03577798318885</v>
      </c>
      <c r="C65" t="n">
        <v>92.693191082174</v>
      </c>
      <c r="D65" t="n">
        <v>0.037718879417018</v>
      </c>
      <c r="E65" t="n">
        <v>-6.7728288372786</v>
      </c>
      <c r="F65" t="n">
        <v>-2.2280162068245</v>
      </c>
      <c r="G65" t="n">
        <v>50458551.755025</v>
      </c>
      <c r="H65" t="n">
        <v>9888148.601121901</v>
      </c>
      <c r="I65" t="n">
        <v>-0.017577866604822</v>
      </c>
      <c r="J65" t="n">
        <v>-0.016775542729416</v>
      </c>
      <c r="K65" t="n">
        <v>0.035376458102644</v>
      </c>
      <c r="L65" t="n">
        <v>-0.51698979467244</v>
      </c>
      <c r="M65" t="n">
        <v>-0.51844964990691</v>
      </c>
      <c r="N65" t="n">
        <v>460.88917894333</v>
      </c>
      <c r="O65" t="n">
        <v>516.16843519867</v>
      </c>
    </row>
    <row r="66">
      <c r="A66" t="n">
        <v>12.206684939098</v>
      </c>
      <c r="B66" t="n">
        <v>0.036399127015703</v>
      </c>
      <c r="C66" t="n">
        <v>92.693007461151</v>
      </c>
      <c r="D66" t="n">
        <v>0.038346132405869</v>
      </c>
      <c r="E66" t="n">
        <v>-6.7954803638168</v>
      </c>
      <c r="F66" t="n">
        <v>-2.228634550687</v>
      </c>
      <c r="G66" t="n">
        <v>51172289.052353</v>
      </c>
      <c r="H66" t="n">
        <v>10008699.050333</v>
      </c>
      <c r="I66" t="n">
        <v>-0.017873582707738</v>
      </c>
      <c r="J66" t="n">
        <v>-0.017056320519955</v>
      </c>
      <c r="K66" t="n">
        <v>0.035955113584535</v>
      </c>
      <c r="L66" t="n">
        <v>-0.526761842633</v>
      </c>
      <c r="M66" t="n">
        <v>-0.52822040000953</v>
      </c>
      <c r="N66" t="n">
        <v>461.94207620708</v>
      </c>
      <c r="O66" t="n">
        <v>517.4115967177</v>
      </c>
    </row>
    <row r="67">
      <c r="A67" t="n">
        <v>12.406684939098</v>
      </c>
      <c r="B67" t="n">
        <v>0.037020189417294</v>
      </c>
      <c r="C67" t="n">
        <v>92.692819297539</v>
      </c>
      <c r="D67" t="n">
        <v>0.038973307208276</v>
      </c>
      <c r="E67" t="n">
        <v>-6.7766679846136</v>
      </c>
      <c r="F67" t="n">
        <v>-2.237742865668</v>
      </c>
      <c r="G67" t="n">
        <v>51888890.608714</v>
      </c>
      <c r="H67" t="n">
        <v>10129689.304895</v>
      </c>
      <c r="I67" t="n">
        <v>-0.018169152817029</v>
      </c>
      <c r="J67" t="n">
        <v>-0.017336917219143</v>
      </c>
      <c r="K67" t="n">
        <v>0.036533429696078</v>
      </c>
      <c r="L67" t="n">
        <v>-0.53679897345871</v>
      </c>
      <c r="M67" t="n">
        <v>-0.53824044254204</v>
      </c>
      <c r="N67" t="n">
        <v>462.99021949275</v>
      </c>
      <c r="O67" t="n">
        <v>518.64940952003</v>
      </c>
    </row>
    <row r="68">
      <c r="A68" t="n">
        <v>12.606684939098</v>
      </c>
      <c r="B68" t="n">
        <v>0.03764117332063</v>
      </c>
      <c r="C68" t="n">
        <v>92.692625952245</v>
      </c>
      <c r="D68" t="n">
        <v>0.039600405959324</v>
      </c>
      <c r="E68" t="n">
        <v>-6.7993142673715</v>
      </c>
      <c r="F68" t="n">
        <v>-2.2383665503224</v>
      </c>
      <c r="G68" t="n">
        <v>52608326.349092</v>
      </c>
      <c r="H68" t="n">
        <v>10251114.27088</v>
      </c>
      <c r="I68" t="n">
        <v>-0.018464576052355</v>
      </c>
      <c r="J68" t="n">
        <v>-0.01761733215511</v>
      </c>
      <c r="K68" t="n">
        <v>0.037111406835892</v>
      </c>
      <c r="L68" t="n">
        <v>-0.54677217790809</v>
      </c>
      <c r="M68" t="n">
        <v>-0.54820954609656</v>
      </c>
      <c r="N68" t="n">
        <v>464.03382483543</v>
      </c>
      <c r="O68" t="n">
        <v>519.8818213164</v>
      </c>
    </row>
    <row r="69">
      <c r="A69" t="n">
        <v>12.806684939098</v>
      </c>
      <c r="B69" t="n">
        <v>0.038262080089936</v>
      </c>
      <c r="C69" t="n">
        <v>92.69242943518501</v>
      </c>
      <c r="D69" t="n">
        <v>0.0402274313128</v>
      </c>
      <c r="E69" t="n">
        <v>-6.8439315169855</v>
      </c>
      <c r="F69" t="n">
        <v>-2.238991793725</v>
      </c>
      <c r="G69" t="n">
        <v>53330564.751323</v>
      </c>
      <c r="H69" t="n">
        <v>10372968.608368</v>
      </c>
      <c r="I69" t="n">
        <v>-0.018759853082986</v>
      </c>
      <c r="J69" t="n">
        <v>-0.017897564868066</v>
      </c>
      <c r="K69" t="n">
        <v>0.037689045407593</v>
      </c>
      <c r="L69" t="n">
        <v>-0.55674074558471</v>
      </c>
      <c r="M69" t="n">
        <v>-0.55815480446192</v>
      </c>
      <c r="N69" t="n">
        <v>465.07308321958</v>
      </c>
      <c r="O69" t="n">
        <v>521.10909532813</v>
      </c>
    </row>
    <row r="70">
      <c r="A70" t="n">
        <v>13.006684939098</v>
      </c>
      <c r="B70" t="n">
        <v>0.038882914008859</v>
      </c>
      <c r="C70" t="n">
        <v>92.692234732996</v>
      </c>
      <c r="D70" t="n">
        <v>0.040854386173137</v>
      </c>
      <c r="E70" t="n">
        <v>-6.8555882525601</v>
      </c>
      <c r="F70" t="n">
        <v>-2.2286323024406</v>
      </c>
      <c r="G70" t="n">
        <v>54055578.106577</v>
      </c>
      <c r="H70" t="n">
        <v>10495247.628579</v>
      </c>
      <c r="I70" t="n">
        <v>-0.019054984299305</v>
      </c>
      <c r="J70" t="n">
        <v>-0.018177616113781</v>
      </c>
      <c r="K70" t="n">
        <v>0.038266345821663</v>
      </c>
      <c r="L70" t="n">
        <v>-0.5667565908139</v>
      </c>
      <c r="M70" t="n">
        <v>-0.56816816332791</v>
      </c>
      <c r="N70" t="n">
        <v>466.10779937922</v>
      </c>
      <c r="O70" t="n">
        <v>522.33114920038</v>
      </c>
    </row>
    <row r="71">
      <c r="A71" t="n">
        <v>13.206684939098</v>
      </c>
      <c r="B71" t="n">
        <v>0.039503676342362</v>
      </c>
      <c r="C71" t="n">
        <v>92.69203928117</v>
      </c>
      <c r="D71" t="n">
        <v>0.041481272763844</v>
      </c>
      <c r="E71" t="n">
        <v>-6.8520588789142</v>
      </c>
      <c r="F71" t="n">
        <v>-2.2444386358315</v>
      </c>
      <c r="G71" t="n">
        <v>54783335.735428</v>
      </c>
      <c r="H71" t="n">
        <v>10617946.147437</v>
      </c>
      <c r="I71" t="n">
        <v>-0.019349969525337</v>
      </c>
      <c r="J71" t="n">
        <v>-0.018457485663611</v>
      </c>
      <c r="K71" t="n">
        <v>0.038843308482405</v>
      </c>
      <c r="L71" t="n">
        <v>-0.57680665590757</v>
      </c>
      <c r="M71" t="n">
        <v>-0.57820317706629</v>
      </c>
      <c r="N71" t="n">
        <v>467.13827958508</v>
      </c>
      <c r="O71" t="n">
        <v>523.54829242003</v>
      </c>
    </row>
    <row r="72">
      <c r="A72" t="n">
        <v>13.406684939098</v>
      </c>
      <c r="B72" t="n">
        <v>0.040124370123101</v>
      </c>
      <c r="C72" t="n">
        <v>92.69184886764801</v>
      </c>
      <c r="D72" t="n">
        <v>0.042108093879353</v>
      </c>
      <c r="E72" t="n">
        <v>-6.8813937025604</v>
      </c>
      <c r="F72" t="n">
        <v>-2.2383663214584</v>
      </c>
      <c r="G72" t="n">
        <v>55513809.059499</v>
      </c>
      <c r="H72" t="n">
        <v>10741059.338909</v>
      </c>
      <c r="I72" t="n">
        <v>-0.019644809588929</v>
      </c>
      <c r="J72" t="n">
        <v>-0.01873717383798</v>
      </c>
      <c r="K72" t="n">
        <v>0.03941993379638</v>
      </c>
      <c r="L72" t="n">
        <v>-0.5870202694946099</v>
      </c>
      <c r="M72" t="n">
        <v>-0.58840785397534</v>
      </c>
      <c r="N72" t="n">
        <v>468.16447583557</v>
      </c>
      <c r="O72" t="n">
        <v>524.76064310653</v>
      </c>
    </row>
    <row r="73">
      <c r="A73" t="n">
        <v>13.606684939098</v>
      </c>
      <c r="B73" t="n">
        <v>0.040744998267047</v>
      </c>
      <c r="C73" t="n">
        <v>92.691616049161</v>
      </c>
      <c r="D73" t="n">
        <v>0.04273485129069</v>
      </c>
      <c r="E73" t="n">
        <v>-6.9060495842738</v>
      </c>
      <c r="F73" t="n">
        <v>-2.2519934120209</v>
      </c>
      <c r="G73" t="n">
        <v>56246970.049091</v>
      </c>
      <c r="H73" t="n">
        <v>10864582.475758</v>
      </c>
      <c r="I73" t="n">
        <v>-0.019939503530688</v>
      </c>
      <c r="J73" t="n">
        <v>-0.019016679764022</v>
      </c>
      <c r="K73" t="n">
        <v>0.039996222168735</v>
      </c>
      <c r="L73" t="n">
        <v>-0.5969857408674</v>
      </c>
      <c r="M73" t="n">
        <v>-0.59837192970566</v>
      </c>
      <c r="N73" t="n">
        <v>469.18652358725</v>
      </c>
      <c r="O73" t="n">
        <v>525.9679455448</v>
      </c>
    </row>
    <row r="74">
      <c r="A74" t="n">
        <v>13.806684939098</v>
      </c>
      <c r="B74" t="n">
        <v>0.041365562999151</v>
      </c>
      <c r="C74" t="n">
        <v>92.691401567124</v>
      </c>
      <c r="D74" t="n">
        <v>0.043361547954263</v>
      </c>
      <c r="E74" t="n">
        <v>-6.9463620327429</v>
      </c>
      <c r="F74" t="n">
        <v>-2.2459190842933</v>
      </c>
      <c r="G74" t="n">
        <v>56982790.112002</v>
      </c>
      <c r="H74" t="n">
        <v>10988510.736676</v>
      </c>
      <c r="I74" t="n">
        <v>-0.020234052478109</v>
      </c>
      <c r="J74" t="n">
        <v>-0.019296004715533</v>
      </c>
      <c r="K74" t="n">
        <v>0.040572173999007</v>
      </c>
      <c r="L74" t="n">
        <v>-0.60714634820439</v>
      </c>
      <c r="M74" t="n">
        <v>-0.60849659926567</v>
      </c>
      <c r="N74" t="n">
        <v>470.20440164433</v>
      </c>
      <c r="O74" t="n">
        <v>527.17063712659</v>
      </c>
    </row>
    <row r="75">
      <c r="A75" t="n">
        <v>14.006684939098</v>
      </c>
      <c r="B75" t="n">
        <v>0.041986066974665</v>
      </c>
      <c r="C75" t="n">
        <v>92.691187960072</v>
      </c>
      <c r="D75" t="n">
        <v>0.043988185672588</v>
      </c>
      <c r="E75" t="n">
        <v>-6.9689903562758</v>
      </c>
      <c r="F75" t="n">
        <v>-2.2465498676406</v>
      </c>
      <c r="G75" t="n">
        <v>57721241.906895</v>
      </c>
      <c r="H75" t="n">
        <v>11112839.517508</v>
      </c>
      <c r="I75" t="n">
        <v>-0.02052845569758</v>
      </c>
      <c r="J75" t="n">
        <v>-0.01957514873472</v>
      </c>
      <c r="K75" t="n">
        <v>0.041147789689878</v>
      </c>
      <c r="L75" t="n">
        <v>-0.6172516538957999</v>
      </c>
      <c r="M75" t="n">
        <v>-0.61860769069127</v>
      </c>
      <c r="N75" t="n">
        <v>471.21816521678</v>
      </c>
      <c r="O75" t="n">
        <v>528.3685710030001</v>
      </c>
    </row>
    <row r="76">
      <c r="A76" t="n">
        <v>14.206684939098</v>
      </c>
      <c r="B76" t="n">
        <v>0.042606511881395</v>
      </c>
      <c r="C76" t="n">
        <v>92.690980613948</v>
      </c>
      <c r="D76" t="n">
        <v>0.044614766903687</v>
      </c>
      <c r="E76" t="n">
        <v>-6.9983371152614</v>
      </c>
      <c r="F76" t="n">
        <v>-2.251441316834</v>
      </c>
      <c r="G76" t="n">
        <v>58462297.298382</v>
      </c>
      <c r="H76" t="n">
        <v>11237564.083234</v>
      </c>
      <c r="I76" t="n">
        <v>-0.020822713397074</v>
      </c>
      <c r="J76" t="n">
        <v>-0.019854112249838</v>
      </c>
      <c r="K76" t="n">
        <v>0.041723069641555</v>
      </c>
      <c r="L76" t="n">
        <v>-0.62744656866702</v>
      </c>
      <c r="M76" t="n">
        <v>-0.62878195446996</v>
      </c>
      <c r="N76" t="n">
        <v>472.22793301074</v>
      </c>
      <c r="O76" t="n">
        <v>529.56197939622</v>
      </c>
    </row>
    <row r="77">
      <c r="A77" t="n">
        <v>14.406684939098</v>
      </c>
      <c r="B77" t="n">
        <v>0.043226900553653</v>
      </c>
      <c r="C77" t="n">
        <v>92.690767746999</v>
      </c>
      <c r="D77" t="n">
        <v>0.045241293761796</v>
      </c>
      <c r="E77" t="n">
        <v>-6.9989899797416</v>
      </c>
      <c r="F77" t="n">
        <v>-2.2410890005348</v>
      </c>
      <c r="G77" t="n">
        <v>59205929.435081</v>
      </c>
      <c r="H77" t="n">
        <v>11362679.917407</v>
      </c>
      <c r="I77" t="n">
        <v>-0.021116825845269</v>
      </c>
      <c r="J77" t="n">
        <v>-0.020132895095147</v>
      </c>
      <c r="K77" t="n">
        <v>0.042298014264112</v>
      </c>
      <c r="L77" t="n">
        <v>-0.63763254166298</v>
      </c>
      <c r="M77" t="n">
        <v>-0.63896675790081</v>
      </c>
      <c r="N77" t="n">
        <v>473.23369151658</v>
      </c>
      <c r="O77" t="n">
        <v>530.75081826632</v>
      </c>
    </row>
    <row r="78">
      <c r="A78" t="n">
        <v>14.606684939098</v>
      </c>
      <c r="B78" t="n">
        <v>0.043847235229291</v>
      </c>
      <c r="C78" t="n">
        <v>92.690540731295</v>
      </c>
      <c r="D78" t="n">
        <v>0.045867768286368</v>
      </c>
      <c r="E78" t="n">
        <v>-7.0148197726556</v>
      </c>
      <c r="F78" t="n">
        <v>-2.2349207122097</v>
      </c>
      <c r="G78" t="n">
        <v>59952111.142752</v>
      </c>
      <c r="H78" t="n">
        <v>11488182.454594</v>
      </c>
      <c r="I78" t="n">
        <v>-0.021410792462872</v>
      </c>
      <c r="J78" t="n">
        <v>-0.020411497838797</v>
      </c>
      <c r="K78" t="n">
        <v>0.042872623953935</v>
      </c>
      <c r="L78" t="n">
        <v>-0.64779683213773</v>
      </c>
      <c r="M78" t="n">
        <v>-0.64912517255439</v>
      </c>
      <c r="N78" t="n">
        <v>474.23556142947</v>
      </c>
      <c r="O78" t="n">
        <v>531.9352060221599</v>
      </c>
    </row>
    <row r="79">
      <c r="A79" t="n">
        <v>14.806684939098</v>
      </c>
      <c r="B79" t="n">
        <v>0.044467517556372</v>
      </c>
      <c r="C79" t="n">
        <v>92.69033512193</v>
      </c>
      <c r="D79" t="n">
        <v>0.046494192894125</v>
      </c>
      <c r="E79" t="n">
        <v>-7.0658458006179</v>
      </c>
      <c r="F79" t="n">
        <v>-2.2510955711981</v>
      </c>
      <c r="G79" t="n">
        <v>60700815.119931</v>
      </c>
      <c r="H79" t="n">
        <v>11614067.105514</v>
      </c>
      <c r="I79" t="n">
        <v>-0.021704613700149</v>
      </c>
      <c r="J79" t="n">
        <v>-0.020689920976649</v>
      </c>
      <c r="K79" t="n">
        <v>0.043446899105601</v>
      </c>
      <c r="L79" t="n">
        <v>-0.65806148036242</v>
      </c>
      <c r="M79" t="n">
        <v>-0.65936080526279</v>
      </c>
      <c r="N79" t="n">
        <v>475.23353595428</v>
      </c>
      <c r="O79" t="n">
        <v>533.11525581201</v>
      </c>
    </row>
    <row r="80">
      <c r="A80" t="n">
        <v>15.006684939098</v>
      </c>
      <c r="B80" t="n">
        <v>0.045087750015664</v>
      </c>
      <c r="C80" t="n">
        <v>92.69012083680001</v>
      </c>
      <c r="D80" t="n">
        <v>0.047120569303938</v>
      </c>
      <c r="E80" t="n">
        <v>-7.0843396272324</v>
      </c>
      <c r="F80" t="n">
        <v>-2.2338865213758</v>
      </c>
      <c r="G80" t="n">
        <v>61452015.034379</v>
      </c>
      <c r="H80" t="n">
        <v>11740329.452387</v>
      </c>
      <c r="I80" t="n">
        <v>-0.021998288780887</v>
      </c>
      <c r="J80" t="n">
        <v>-0.020968164763089</v>
      </c>
      <c r="K80" t="n">
        <v>0.044020840116698</v>
      </c>
      <c r="L80" t="n">
        <v>-0.66827326552626</v>
      </c>
      <c r="M80" t="n">
        <v>-0.66957094640644</v>
      </c>
      <c r="N80" t="n">
        <v>476.22775804108</v>
      </c>
      <c r="O80" t="n">
        <v>534.29101912798</v>
      </c>
    </row>
    <row r="81">
      <c r="A81" t="n">
        <v>15.206684939098</v>
      </c>
      <c r="B81" t="n">
        <v>0.045707934540024</v>
      </c>
      <c r="C81" t="n">
        <v>92.68989174716</v>
      </c>
      <c r="D81" t="n">
        <v>0.047746899777489</v>
      </c>
      <c r="E81" t="n">
        <v>-7.0839112640067</v>
      </c>
      <c r="F81" t="n">
        <v>-2.2224856711969</v>
      </c>
      <c r="G81" t="n">
        <v>62205685.044399</v>
      </c>
      <c r="H81" t="n">
        <v>11866965.165738</v>
      </c>
      <c r="I81" t="n">
        <v>-0.022291818366264</v>
      </c>
      <c r="J81" t="n">
        <v>-0.021246229438594</v>
      </c>
      <c r="K81" t="n">
        <v>0.044594447378331</v>
      </c>
      <c r="L81" t="n">
        <v>-0.67854008123827</v>
      </c>
      <c r="M81" t="n">
        <v>-0.67983816800635</v>
      </c>
      <c r="N81" t="n">
        <v>477.21819478836</v>
      </c>
      <c r="O81" t="n">
        <v>535.46255584139</v>
      </c>
    </row>
    <row r="82">
      <c r="A82" t="n">
        <v>15.406684939098</v>
      </c>
      <c r="B82" t="n">
        <v>0.04632807368653</v>
      </c>
      <c r="C82" t="n">
        <v>92.689663151928</v>
      </c>
      <c r="D82" t="n">
        <v>0.048373186316136</v>
      </c>
      <c r="E82" t="n">
        <v>-7.0955405590103</v>
      </c>
      <c r="F82" t="n">
        <v>-2.2231269829188</v>
      </c>
      <c r="G82" t="n">
        <v>62961799.442605</v>
      </c>
      <c r="H82" t="n">
        <v>11993969.934875</v>
      </c>
      <c r="I82" t="n">
        <v>-0.022585202182523</v>
      </c>
      <c r="J82" t="n">
        <v>-0.021524115693437</v>
      </c>
      <c r="K82" t="n">
        <v>0.045167721290133</v>
      </c>
      <c r="L82" t="n">
        <v>-0.6888667815995499</v>
      </c>
      <c r="M82" t="n">
        <v>-0.6901340553251</v>
      </c>
      <c r="N82" t="n">
        <v>478.20480821104</v>
      </c>
      <c r="O82" t="n">
        <v>536.62981582997</v>
      </c>
    </row>
    <row r="83">
      <c r="A83" t="n">
        <v>15.606684939098</v>
      </c>
      <c r="B83" t="n">
        <v>0.046948169248931</v>
      </c>
      <c r="C83" t="n">
        <v>92.689435297738</v>
      </c>
      <c r="D83" t="n">
        <v>0.048999430650416</v>
      </c>
      <c r="E83" t="n">
        <v>-7.1181554339268</v>
      </c>
      <c r="F83" t="n">
        <v>-2.2347556606387</v>
      </c>
      <c r="G83" t="n">
        <v>63720332.477685</v>
      </c>
      <c r="H83" t="n">
        <v>12121339.452029</v>
      </c>
      <c r="I83" t="n">
        <v>-0.022878440030838</v>
      </c>
      <c r="J83" t="n">
        <v>-0.021801823622539</v>
      </c>
      <c r="K83" t="n">
        <v>0.045740662253496</v>
      </c>
      <c r="L83" t="n">
        <v>-0.6991774867048201</v>
      </c>
      <c r="M83" t="n">
        <v>-0.70044585235083</v>
      </c>
      <c r="N83" t="n">
        <v>479.18773671875</v>
      </c>
      <c r="O83" t="n">
        <v>537.79294016365</v>
      </c>
    </row>
    <row r="84">
      <c r="A84" t="n">
        <v>15.806684939098</v>
      </c>
      <c r="B84" t="n">
        <v>0.047568222663281</v>
      </c>
      <c r="C84" t="n">
        <v>92.689206580917</v>
      </c>
      <c r="D84" t="n">
        <v>0.049625634871946</v>
      </c>
      <c r="E84" t="n">
        <v>-7.129783276975</v>
      </c>
      <c r="F84" t="n">
        <v>-2.2463853075023</v>
      </c>
      <c r="G84" t="n">
        <v>64481258.235933</v>
      </c>
      <c r="H84" t="n">
        <v>12249069.379365</v>
      </c>
      <c r="I84" t="n">
        <v>-0.023171531828344</v>
      </c>
      <c r="J84" t="n">
        <v>-0.022079353418418</v>
      </c>
      <c r="K84" t="n">
        <v>0.046313270652845</v>
      </c>
      <c r="L84" t="n">
        <v>-0.70948718760822</v>
      </c>
      <c r="M84" t="n">
        <v>-0.71074957520275</v>
      </c>
      <c r="N84" t="n">
        <v>480.16709569603</v>
      </c>
      <c r="O84" t="n">
        <v>538.95204078419</v>
      </c>
    </row>
    <row r="85">
      <c r="A85" t="n">
        <v>16.006684939098</v>
      </c>
      <c r="B85" t="n">
        <v>0.048188236146082</v>
      </c>
      <c r="C85" t="n">
        <v>92.688976709225</v>
      </c>
      <c r="D85" t="n">
        <v>0.050251800988479</v>
      </c>
      <c r="E85" t="n">
        <v>-7.1523967338109</v>
      </c>
      <c r="F85" t="n">
        <v>-2.2470295221648</v>
      </c>
      <c r="G85" t="n">
        <v>65244551.6768</v>
      </c>
      <c r="H85" t="n">
        <v>12377155.530874</v>
      </c>
      <c r="I85" t="n">
        <v>-0.023464477868539</v>
      </c>
      <c r="J85" t="n">
        <v>-0.022356705577751</v>
      </c>
      <c r="K85" t="n">
        <v>0.046885546881115</v>
      </c>
      <c r="L85" t="n">
        <v>-0.71987536666702</v>
      </c>
      <c r="M85" t="n">
        <v>-0.7211170266750599</v>
      </c>
      <c r="N85" t="n">
        <v>481.14286555797</v>
      </c>
      <c r="O85" t="n">
        <v>540.10719957395</v>
      </c>
    </row>
    <row r="86">
      <c r="A86" t="n">
        <v>16.206684939098</v>
      </c>
      <c r="B86" t="n">
        <v>0.048808211497105</v>
      </c>
      <c r="C86" t="n">
        <v>92.688745575166</v>
      </c>
      <c r="D86" t="n">
        <v>0.050877930530631</v>
      </c>
      <c r="E86" t="n">
        <v>-7.1969821946085</v>
      </c>
      <c r="F86" t="n">
        <v>-2.2476747152183</v>
      </c>
      <c r="G86" t="n">
        <v>66010188.325992</v>
      </c>
      <c r="H86" t="n">
        <v>12505593.821688</v>
      </c>
      <c r="I86" t="n">
        <v>-0.023757278174748</v>
      </c>
      <c r="J86" t="n">
        <v>-0.022633879877307</v>
      </c>
      <c r="K86" t="n">
        <v>0.047457491329349</v>
      </c>
      <c r="L86" t="n">
        <v>-0.73021369241908</v>
      </c>
      <c r="M86" t="n">
        <v>-0.73144897798862</v>
      </c>
      <c r="N86" t="n">
        <v>482.11507774729</v>
      </c>
      <c r="O86" t="n">
        <v>541.25833477025</v>
      </c>
    </row>
    <row r="87">
      <c r="A87" t="n">
        <v>16.406684939098</v>
      </c>
      <c r="B87" t="n">
        <v>0.049428150803316</v>
      </c>
      <c r="C87" t="n">
        <v>92.68851279077801</v>
      </c>
      <c r="D87" t="n">
        <v>0.05150402570834</v>
      </c>
      <c r="E87" t="n">
        <v>-7.2086081117277</v>
      </c>
      <c r="F87" t="n">
        <v>-2.2593070373483</v>
      </c>
      <c r="G87" t="n">
        <v>66778143.792119</v>
      </c>
      <c r="H87" t="n">
        <v>12634380.183375</v>
      </c>
      <c r="I87" t="n">
        <v>-0.02404993318937</v>
      </c>
      <c r="J87" t="n">
        <v>-0.02291087676667</v>
      </c>
      <c r="K87" t="n">
        <v>0.048029104387761</v>
      </c>
      <c r="L87" t="n">
        <v>-0.74062949893303</v>
      </c>
      <c r="M87" t="n">
        <v>-0.7418582858448</v>
      </c>
      <c r="N87" t="n">
        <v>483.08374530967</v>
      </c>
      <c r="O87" t="n">
        <v>542.40557992073</v>
      </c>
    </row>
    <row r="88">
      <c r="A88" t="n">
        <v>16.606684939098</v>
      </c>
      <c r="B88" t="n">
        <v>0.050048055732919</v>
      </c>
      <c r="C88" t="n">
        <v>92.688280962894</v>
      </c>
      <c r="D88" t="n">
        <v>0.052130088389038</v>
      </c>
      <c r="E88" t="n">
        <v>-7.1940008654457</v>
      </c>
      <c r="F88" t="n">
        <v>-2.2642061834417</v>
      </c>
      <c r="G88" t="n">
        <v>67548393.024454</v>
      </c>
      <c r="H88" t="n">
        <v>12763510.431977</v>
      </c>
      <c r="I88" t="n">
        <v>-0.024342442834876</v>
      </c>
      <c r="J88" t="n">
        <v>-0.023187696321026</v>
      </c>
      <c r="K88" t="n">
        <v>0.048600386439575</v>
      </c>
      <c r="L88" t="n">
        <v>-0.75108385762111</v>
      </c>
      <c r="M88" t="n">
        <v>-0.75229251501915</v>
      </c>
      <c r="N88" t="n">
        <v>484.04895144107</v>
      </c>
      <c r="O88" t="n">
        <v>543.5489910904899</v>
      </c>
    </row>
    <row r="89">
      <c r="A89" t="n">
        <v>16.806684939098</v>
      </c>
      <c r="B89" t="n">
        <v>0.050667927892886</v>
      </c>
      <c r="C89" t="n">
        <v>92.688042743053</v>
      </c>
      <c r="D89" t="n">
        <v>0.052756120171934</v>
      </c>
      <c r="E89" t="n">
        <v>-7.2465998364157</v>
      </c>
      <c r="F89" t="n">
        <v>-2.2728526084106</v>
      </c>
      <c r="G89" t="n">
        <v>68320911.66993199</v>
      </c>
      <c r="H89" t="n">
        <v>12892980.508126</v>
      </c>
      <c r="I89" t="n">
        <v>-0.024634807459154</v>
      </c>
      <c r="J89" t="n">
        <v>-0.023464338704115</v>
      </c>
      <c r="K89" t="n">
        <v>0.049171337887227</v>
      </c>
      <c r="L89" t="n">
        <v>-0.76161249818943</v>
      </c>
      <c r="M89" t="n">
        <v>-0.76281957325073</v>
      </c>
      <c r="N89" t="n">
        <v>485.01074822962</v>
      </c>
      <c r="O89" t="n">
        <v>544.68870198406</v>
      </c>
    </row>
    <row r="90">
      <c r="A90" t="n">
        <v>17</v>
      </c>
      <c r="B90" t="n">
        <v>0.051266900626369</v>
      </c>
      <c r="C90" t="n">
        <v>92.687796276464</v>
      </c>
      <c r="D90" t="n">
        <v>0.053361186335445</v>
      </c>
      <c r="E90" t="n">
        <v>-7.2531780368105</v>
      </c>
      <c r="F90" t="n">
        <v>-2.2765826975175</v>
      </c>
      <c r="G90" t="n">
        <v>69069559.289985</v>
      </c>
      <c r="H90" t="n">
        <v>13018411.310765</v>
      </c>
      <c r="I90" t="n">
        <v>-0.024917233626732</v>
      </c>
      <c r="J90" t="n">
        <v>-0.023731539453019</v>
      </c>
      <c r="K90" t="n">
        <v>0.049722891671498</v>
      </c>
      <c r="L90" t="n">
        <v>-0.77103975549746</v>
      </c>
      <c r="M90" t="n">
        <v>-0.7722211049540501</v>
      </c>
      <c r="N90" t="n">
        <v>485.96190518383</v>
      </c>
      <c r="O90" t="n">
        <v>545.81214303964</v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:O90"/>
    </sheetView>
  </sheetViews>
  <sheetFormatPr baseColWidth="8" defaultColWidth="8.85546875" defaultRowHeight="15"/>
  <sheetData>
    <row r="1">
      <c r="A1" t="inlineStr">
        <is>
          <t>time</t>
        </is>
      </c>
      <c r="B1" t="inlineStr">
        <is>
          <t>Ep_eff</t>
        </is>
      </c>
      <c r="C1" t="inlineStr">
        <is>
          <t>Phi</t>
        </is>
      </c>
      <c r="D1" t="inlineStr">
        <is>
          <t>eeq</t>
        </is>
      </c>
      <c r="E1" t="inlineStr">
        <is>
          <t>phi_1</t>
        </is>
      </c>
      <c r="F1" t="inlineStr">
        <is>
          <t>phi_2</t>
        </is>
      </c>
      <c r="G1" t="inlineStr">
        <is>
          <t>rho_i</t>
        </is>
      </c>
      <c r="H1" t="inlineStr">
        <is>
          <t>rho_m</t>
        </is>
      </c>
      <c r="I1" t="inlineStr">
        <is>
          <t>strain_xx</t>
        </is>
      </c>
      <c r="J1" t="inlineStr">
        <is>
          <t>strain_yy</t>
        </is>
      </c>
      <c r="K1" t="inlineStr">
        <is>
          <t>strain_zz</t>
        </is>
      </c>
      <c r="L1" t="inlineStr">
        <is>
          <t>stress_xx</t>
        </is>
      </c>
      <c r="M1" t="inlineStr">
        <is>
          <t>stress_yy</t>
        </is>
      </c>
      <c r="N1" t="inlineStr">
        <is>
          <t>stress_zz</t>
        </is>
      </c>
      <c r="O1" t="inlineStr">
        <is>
          <t>vonmises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0.0025830812468784</v>
      </c>
      <c r="B3" s="6" t="n">
        <v>1.0088580383707e-28</v>
      </c>
      <c r="C3" t="n">
        <v>92.68159918024401</v>
      </c>
      <c r="D3" s="6" t="n">
        <v>7.1380553568818e-06</v>
      </c>
      <c r="E3" t="n">
        <v>-5.6421877781134</v>
      </c>
      <c r="F3" t="n">
        <v>-2.7149631586619</v>
      </c>
      <c r="G3" t="n">
        <v>16000000</v>
      </c>
      <c r="H3" t="n">
        <v>4000000</v>
      </c>
      <c r="I3" s="6" t="n">
        <v>-2.1044268737547e-06</v>
      </c>
      <c r="J3" s="6" t="n">
        <v>-2.0078028532421e-06</v>
      </c>
      <c r="K3" s="6" t="n">
        <v>7.749213249777899e-06</v>
      </c>
      <c r="L3" s="6" t="n">
        <v>-1.7529288061056e-07</v>
      </c>
      <c r="M3" s="6" t="n">
        <v>-1.8168689577574e-07</v>
      </c>
      <c r="N3" t="n">
        <v>1.6028890157409</v>
      </c>
      <c r="O3" t="n">
        <v>1.6938420313533</v>
      </c>
    </row>
    <row r="4">
      <c r="A4" t="n">
        <v>0.018444056862426</v>
      </c>
      <c r="B4" s="6" t="n">
        <v>1.6873471362628e-25</v>
      </c>
      <c r="C4" t="n">
        <v>92.681711206599</v>
      </c>
      <c r="D4" s="6" t="n">
        <v>5.0969952442964e-05</v>
      </c>
      <c r="E4" t="n">
        <v>-5.6421894693405</v>
      </c>
      <c r="F4" t="n">
        <v>-2.7148568651501</v>
      </c>
      <c r="G4" t="n">
        <v>16000000</v>
      </c>
      <c r="H4" t="n">
        <v>4000000</v>
      </c>
      <c r="I4" s="6" t="n">
        <v>-1.5028732508239e-05</v>
      </c>
      <c r="J4" s="6" t="n">
        <v>-1.4338658621494e-05</v>
      </c>
      <c r="K4" s="6" t="n">
        <v>5.5330616082208e-05</v>
      </c>
      <c r="L4" s="6" t="n">
        <v>-8.933265247631701e-06</v>
      </c>
      <c r="M4" s="6" t="n">
        <v>-9.2593168747185e-06</v>
      </c>
      <c r="N4" t="n">
        <v>11.448233403899</v>
      </c>
      <c r="O4" t="n">
        <v>12.097608761396</v>
      </c>
    </row>
    <row r="5">
      <c r="A5" t="n">
        <v>0.1</v>
      </c>
      <c r="B5" s="6" t="n">
        <v>1.3247565523831e-18</v>
      </c>
      <c r="C5" t="n">
        <v>92.681485926574</v>
      </c>
      <c r="D5" t="n">
        <v>0.00027640545895777</v>
      </c>
      <c r="E5" t="n">
        <v>-5.8868887807615</v>
      </c>
      <c r="F5" t="n">
        <v>-3.0231126707829</v>
      </c>
      <c r="G5" t="n">
        <v>16000000</v>
      </c>
      <c r="H5" t="n">
        <v>4000000</v>
      </c>
      <c r="I5" s="6" t="n">
        <v>-8.155953520342e-05</v>
      </c>
      <c r="J5" s="6" t="n">
        <v>-7.781374705777e-05</v>
      </c>
      <c r="K5" t="n">
        <v>0.00029995431164395</v>
      </c>
      <c r="L5" t="n">
        <v>-0.00026093105058894</v>
      </c>
      <c r="M5" t="n">
        <v>-0.00027057179682286</v>
      </c>
      <c r="N5" t="n">
        <v>62.165835065625</v>
      </c>
      <c r="O5" t="n">
        <v>65.684971758437</v>
      </c>
    </row>
    <row r="6">
      <c r="A6" t="n">
        <v>0.20668493909835</v>
      </c>
      <c r="B6" s="6" t="n">
        <v>1.1652792760924e-13</v>
      </c>
      <c r="C6" t="n">
        <v>92.68707250959299</v>
      </c>
      <c r="D6" t="n">
        <v>0.00057142999934131</v>
      </c>
      <c r="E6" t="n">
        <v>-5.7857561058248</v>
      </c>
      <c r="F6" t="n">
        <v>-2.6941022032825</v>
      </c>
      <c r="G6" t="n">
        <v>16000000.000067</v>
      </c>
      <c r="H6" t="n">
        <v>4000000.0000116</v>
      </c>
      <c r="I6" t="n">
        <v>-0.00016875455401877</v>
      </c>
      <c r="J6" t="n">
        <v>-0.0001610021375165</v>
      </c>
      <c r="K6" t="n">
        <v>0.00061985968832705</v>
      </c>
      <c r="L6" t="n">
        <v>-0.0011191544542332</v>
      </c>
      <c r="M6" t="n">
        <v>-0.0011600554325595</v>
      </c>
      <c r="N6" t="n">
        <v>128.72051078622</v>
      </c>
      <c r="O6" t="n">
        <v>135.98963284308</v>
      </c>
    </row>
    <row r="7">
      <c r="A7" t="n">
        <v>0.40668493909835</v>
      </c>
      <c r="B7" s="6" t="n">
        <v>1.231865766017e-07</v>
      </c>
      <c r="C7" t="n">
        <v>92.69481008055099</v>
      </c>
      <c r="D7" t="n">
        <v>0.0011249706783968</v>
      </c>
      <c r="E7" t="n">
        <v>-6.0944553381589</v>
      </c>
      <c r="F7" t="n">
        <v>-2.5555603196846</v>
      </c>
      <c r="G7" t="n">
        <v>16000068.434716</v>
      </c>
      <c r="H7" t="n">
        <v>4000011.8919861</v>
      </c>
      <c r="I7" t="n">
        <v>-0.0003328411512805</v>
      </c>
      <c r="J7" t="n">
        <v>-0.00031754704207606</v>
      </c>
      <c r="K7" t="n">
        <v>0.001219299673481</v>
      </c>
      <c r="L7" t="n">
        <v>-0.0043093620518088</v>
      </c>
      <c r="M7" t="n">
        <v>-0.0044677431956363</v>
      </c>
      <c r="N7" t="n">
        <v>254.208334911</v>
      </c>
      <c r="O7" t="n">
        <v>268.49459535862</v>
      </c>
    </row>
    <row r="8">
      <c r="A8" t="n">
        <v>0.60668493909835</v>
      </c>
      <c r="B8" s="6" t="n">
        <v>9.7336873628065e-05</v>
      </c>
      <c r="C8" t="n">
        <v>92.699785244941</v>
      </c>
      <c r="D8" t="n">
        <v>0.0016935633220669</v>
      </c>
      <c r="E8" t="n">
        <v>-5.9455656547975</v>
      </c>
      <c r="F8" t="n">
        <v>-2.3402701621413</v>
      </c>
      <c r="G8" t="n">
        <v>16055675.435517</v>
      </c>
      <c r="H8" t="n">
        <v>4009672.0289069</v>
      </c>
      <c r="I8" t="n">
        <v>-0.00051793818387589</v>
      </c>
      <c r="J8" t="n">
        <v>-0.00049477452494165</v>
      </c>
      <c r="K8" t="n">
        <v>0.0018183765389023</v>
      </c>
      <c r="L8" t="n">
        <v>-0.010225625242116</v>
      </c>
      <c r="M8" t="n">
        <v>-0.010630181441932</v>
      </c>
      <c r="N8" t="n">
        <v>362.30752292933</v>
      </c>
      <c r="O8" t="n">
        <v>383.22693767349</v>
      </c>
    </row>
    <row r="9">
      <c r="A9" t="n">
        <v>0.80668493909835</v>
      </c>
      <c r="B9" t="n">
        <v>0.00059036014292022</v>
      </c>
      <c r="C9" t="n">
        <v>92.69966110908101</v>
      </c>
      <c r="D9" t="n">
        <v>0.0023084379296768</v>
      </c>
      <c r="E9" t="n">
        <v>-6.1683933325179</v>
      </c>
      <c r="F9" t="n">
        <v>-2.1394247567611</v>
      </c>
      <c r="G9" t="n">
        <v>16354354.199402</v>
      </c>
      <c r="H9" t="n">
        <v>4061528.1322576</v>
      </c>
      <c r="I9" t="n">
        <v>-0.0007833553970113</v>
      </c>
      <c r="J9" t="n">
        <v>-0.0007476721131087</v>
      </c>
      <c r="K9" t="n">
        <v>0.0024170914936325</v>
      </c>
      <c r="L9" t="n">
        <v>-0.016814948019091</v>
      </c>
      <c r="M9" t="n">
        <v>-0.017594829976323</v>
      </c>
      <c r="N9" t="n">
        <v>399.63881610597</v>
      </c>
      <c r="O9" t="n">
        <v>425.71620427217</v>
      </c>
    </row>
    <row r="10">
      <c r="A10" t="n">
        <v>1.0066849390983</v>
      </c>
      <c r="B10" t="n">
        <v>0.0012068970060646</v>
      </c>
      <c r="C10" t="n">
        <v>92.700409914209</v>
      </c>
      <c r="D10" t="n">
        <v>0.0029374835922714</v>
      </c>
      <c r="E10" t="n">
        <v>-6.2464806547227</v>
      </c>
      <c r="F10" t="n">
        <v>-2.0862100899095</v>
      </c>
      <c r="G10" t="n">
        <v>16755306.054753</v>
      </c>
      <c r="H10" t="n">
        <v>4131086.4229738</v>
      </c>
      <c r="I10" t="n">
        <v>-0.0010759365038742</v>
      </c>
      <c r="J10" t="n">
        <v>-0.0010241318857396</v>
      </c>
      <c r="K10" t="n">
        <v>0.003015440105565</v>
      </c>
      <c r="L10" t="n">
        <v>-0.024749715824177</v>
      </c>
      <c r="M10" t="n">
        <v>-0.02576628552198</v>
      </c>
      <c r="N10" t="n">
        <v>413.43275522374</v>
      </c>
      <c r="O10" t="n">
        <v>443.70607907088</v>
      </c>
    </row>
    <row r="11">
      <c r="A11" t="n">
        <v>1.2066849390983</v>
      </c>
      <c r="B11" t="n">
        <v>0.0018416652090407</v>
      </c>
      <c r="C11" t="n">
        <v>92.700802593646</v>
      </c>
      <c r="D11" t="n">
        <v>0.0035720207200442</v>
      </c>
      <c r="E11" t="n">
        <v>-6.2799139616652</v>
      </c>
      <c r="F11" t="n">
        <v>-2.0660316386773</v>
      </c>
      <c r="G11" t="n">
        <v>17193260.793868</v>
      </c>
      <c r="H11" t="n">
        <v>4207007.3828658</v>
      </c>
      <c r="I11" t="n">
        <v>-0.0013742602915802</v>
      </c>
      <c r="J11" t="n">
        <v>-0.0013071198213219</v>
      </c>
      <c r="K11" t="n">
        <v>0.003613422553487</v>
      </c>
      <c r="L11" t="n">
        <v>-0.031698664770129</v>
      </c>
      <c r="M11" t="n">
        <v>-0.032954737117438</v>
      </c>
      <c r="N11" t="n">
        <v>421.35624265944</v>
      </c>
      <c r="O11" t="n">
        <v>455.1152115755</v>
      </c>
    </row>
    <row r="12">
      <c r="A12" t="n">
        <v>1.4066849390983</v>
      </c>
      <c r="B12" t="n">
        <v>0.0024790056310859</v>
      </c>
      <c r="C12" t="n">
        <v>92.70097953775399</v>
      </c>
      <c r="D12" t="n">
        <v>0.0042093333297043</v>
      </c>
      <c r="E12" t="n">
        <v>-6.3033211048904</v>
      </c>
      <c r="F12" t="n">
        <v>-2.0665102807198</v>
      </c>
      <c r="G12" t="n">
        <v>17653159.290034</v>
      </c>
      <c r="H12" t="n">
        <v>4286676.7705977</v>
      </c>
      <c r="I12" t="n">
        <v>-0.0016744164333715</v>
      </c>
      <c r="J12" t="n">
        <v>-0.0015933458862367</v>
      </c>
      <c r="K12" t="n">
        <v>0.0042110397580901</v>
      </c>
      <c r="L12" t="n">
        <v>-0.039832866785942</v>
      </c>
      <c r="M12" t="n">
        <v>-0.041268126500334</v>
      </c>
      <c r="N12" t="n">
        <v>426.7399395702</v>
      </c>
      <c r="O12" t="n">
        <v>463.3591932215</v>
      </c>
    </row>
    <row r="13">
      <c r="A13" t="n">
        <v>1.6066849390983</v>
      </c>
      <c r="B13" t="n">
        <v>0.0031156216584171</v>
      </c>
      <c r="C13" t="n">
        <v>92.701030023485</v>
      </c>
      <c r="D13" t="n">
        <v>0.0048478415884487</v>
      </c>
      <c r="E13" t="n">
        <v>-6.3156424307582</v>
      </c>
      <c r="F13" t="n">
        <v>-2.0669076365688</v>
      </c>
      <c r="G13" t="n">
        <v>18128488.14878</v>
      </c>
      <c r="H13" t="n">
        <v>4368964.198743</v>
      </c>
      <c r="I13" t="n">
        <v>-0.001975230889187</v>
      </c>
      <c r="J13" t="n">
        <v>-0.0018813773559271</v>
      </c>
      <c r="K13" t="n">
        <v>0.004808292988235</v>
      </c>
      <c r="L13" t="n">
        <v>-0.048185684272847</v>
      </c>
      <c r="M13" t="n">
        <v>-0.049752094354098</v>
      </c>
      <c r="N13" t="n">
        <v>430.79041896244</v>
      </c>
      <c r="O13" t="n">
        <v>469.73966052374</v>
      </c>
    </row>
    <row r="14">
      <c r="A14" t="n">
        <v>1.8066849390983</v>
      </c>
      <c r="B14" t="n">
        <v>0.0037509645302765</v>
      </c>
      <c r="C14" t="n">
        <v>92.701047726775</v>
      </c>
      <c r="D14" t="n">
        <v>0.0054867141669146</v>
      </c>
      <c r="E14" t="n">
        <v>-6.3195421797497</v>
      </c>
      <c r="F14" t="n">
        <v>-2.0756126074696</v>
      </c>
      <c r="G14" t="n">
        <v>18615659.865924</v>
      </c>
      <c r="H14" t="n">
        <v>4453246.9557454</v>
      </c>
      <c r="I14" t="n">
        <v>-0.0022762861966609</v>
      </c>
      <c r="J14" t="n">
        <v>-0.0021704243055292</v>
      </c>
      <c r="K14" t="n">
        <v>0.0054051832554859</v>
      </c>
      <c r="L14" t="n">
        <v>-0.056601373239044</v>
      </c>
      <c r="M14" t="n">
        <v>-0.058290914820385</v>
      </c>
      <c r="N14" t="n">
        <v>434.07003097587</v>
      </c>
      <c r="O14" t="n">
        <v>474.92924025047</v>
      </c>
    </row>
    <row r="15">
      <c r="A15" t="n">
        <v>2.0066849390983</v>
      </c>
      <c r="B15" t="n">
        <v>0.0043851685034988</v>
      </c>
      <c r="C15" t="n">
        <v>92.70103994768201</v>
      </c>
      <c r="D15" t="n">
        <v>0.0061255417116899</v>
      </c>
      <c r="E15" t="n">
        <v>-6.3275434211293</v>
      </c>
      <c r="F15" t="n">
        <v>-2.0801550561874</v>
      </c>
      <c r="G15" t="n">
        <v>19112464.058622</v>
      </c>
      <c r="H15" t="n">
        <v>4539141.2451851</v>
      </c>
      <c r="I15" t="n">
        <v>-0.0025774479182814</v>
      </c>
      <c r="J15" t="n">
        <v>-0.0024599943681774</v>
      </c>
      <c r="K15" t="n">
        <v>0.00600171120005</v>
      </c>
      <c r="L15" t="n">
        <v>-0.06517915102668299</v>
      </c>
      <c r="M15" t="n">
        <v>-0.066949525199722</v>
      </c>
      <c r="N15" t="n">
        <v>436.87363141731</v>
      </c>
      <c r="O15" t="n">
        <v>479.3237806788</v>
      </c>
    </row>
    <row r="16">
      <c r="A16" t="n">
        <v>2.2066849390983</v>
      </c>
      <c r="B16" t="n">
        <v>0.0050184312139507</v>
      </c>
      <c r="C16" t="n">
        <v>92.700993103679</v>
      </c>
      <c r="D16" t="n">
        <v>0.0067641302369135</v>
      </c>
      <c r="E16" t="n">
        <v>-6.328673117666</v>
      </c>
      <c r="F16" t="n">
        <v>-2.0805693591127</v>
      </c>
      <c r="G16" t="n">
        <v>19617497.274273</v>
      </c>
      <c r="H16" t="n">
        <v>4626403.3344822</v>
      </c>
      <c r="I16" t="n">
        <v>-0.0028786783272693</v>
      </c>
      <c r="J16" t="n">
        <v>-0.0027497782493803</v>
      </c>
      <c r="K16" t="n">
        <v>0.0065978772841283</v>
      </c>
      <c r="L16" t="n">
        <v>-0.073696478031876</v>
      </c>
      <c r="M16" t="n">
        <v>-0.075590779756063</v>
      </c>
      <c r="N16" t="n">
        <v>439.36532501076</v>
      </c>
      <c r="O16" t="n">
        <v>483.16196151727</v>
      </c>
    </row>
    <row r="17">
      <c r="A17" t="n">
        <v>2.4066849390983</v>
      </c>
      <c r="B17" t="n">
        <v>0.0056509325136398</v>
      </c>
      <c r="C17" t="n">
        <v>92.700920079173</v>
      </c>
      <c r="D17" t="n">
        <v>0.0074023956351162</v>
      </c>
      <c r="E17" t="n">
        <v>-6.3255651583671</v>
      </c>
      <c r="F17" t="n">
        <v>-2.0851825644426</v>
      </c>
      <c r="G17" t="n">
        <v>20129813.378566</v>
      </c>
      <c r="H17" t="n">
        <v>4714868.8615605</v>
      </c>
      <c r="I17" t="n">
        <v>-0.0031799482509585</v>
      </c>
      <c r="J17" t="n">
        <v>-0.0030396045805528</v>
      </c>
      <c r="K17" t="n">
        <v>0.0071936819468387</v>
      </c>
      <c r="L17" t="n">
        <v>-0.08228127348157301</v>
      </c>
      <c r="M17" t="n">
        <v>-0.08423059516811</v>
      </c>
      <c r="N17" t="n">
        <v>441.64134360324</v>
      </c>
      <c r="O17" t="n">
        <v>486.59585621587</v>
      </c>
    </row>
    <row r="18">
      <c r="A18" t="n">
        <v>2.6066849390983</v>
      </c>
      <c r="B18" t="n">
        <v>0.0062827932494667</v>
      </c>
      <c r="C18" t="n">
        <v>92.70083450736701</v>
      </c>
      <c r="D18" t="n">
        <v>0.008040294975719601</v>
      </c>
      <c r="E18" t="n">
        <v>-6.3266312780361</v>
      </c>
      <c r="F18" t="n">
        <v>-2.0856199110214</v>
      </c>
      <c r="G18" t="n">
        <v>20648758.949606</v>
      </c>
      <c r="H18" t="n">
        <v>4804424.2934813</v>
      </c>
      <c r="I18" t="n">
        <v>-0.0034812325305266</v>
      </c>
      <c r="J18" t="n">
        <v>-0.0033293768549939</v>
      </c>
      <c r="K18" t="n">
        <v>0.0077891256832358</v>
      </c>
      <c r="L18" t="n">
        <v>-0.09112895573563801</v>
      </c>
      <c r="M18" t="n">
        <v>-0.093156883758649</v>
      </c>
      <c r="N18" t="n">
        <v>443.76101726683</v>
      </c>
      <c r="O18" t="n">
        <v>489.72506529062</v>
      </c>
    </row>
    <row r="19">
      <c r="A19" t="n">
        <v>2.8066849390983</v>
      </c>
      <c r="B19" t="n">
        <v>0.0069140921356938</v>
      </c>
      <c r="C19" t="n">
        <v>92.700741480866</v>
      </c>
      <c r="D19" t="n">
        <v>0.008677808603994299</v>
      </c>
      <c r="E19" t="n">
        <v>-6.3344655868943</v>
      </c>
      <c r="F19" t="n">
        <v>-2.0902523836661</v>
      </c>
      <c r="G19" t="n">
        <v>21173856.348528</v>
      </c>
      <c r="H19" t="n">
        <v>4894986.6203281</v>
      </c>
      <c r="I19" t="n">
        <v>-0.0037825038059901</v>
      </c>
      <c r="J19" t="n">
        <v>-0.0036190412648408</v>
      </c>
      <c r="K19" t="n">
        <v>0.008384209007252799</v>
      </c>
      <c r="L19" t="n">
        <v>-0.09996837235516701</v>
      </c>
      <c r="M19" t="n">
        <v>-0.10202235609501</v>
      </c>
      <c r="N19" t="n">
        <v>445.76326199852</v>
      </c>
      <c r="O19" t="n">
        <v>492.61754070988</v>
      </c>
    </row>
    <row r="20">
      <c r="A20" t="n">
        <v>3.0066849390983</v>
      </c>
      <c r="B20" t="n">
        <v>0.0075448864300979</v>
      </c>
      <c r="C20" t="n">
        <v>92.70063186194901</v>
      </c>
      <c r="D20" t="n">
        <v>0.0093149326061986</v>
      </c>
      <c r="E20" t="n">
        <v>-6.3312923428059</v>
      </c>
      <c r="F20" t="n">
        <v>-2.0948913117589</v>
      </c>
      <c r="G20" t="n">
        <v>21704739.88499</v>
      </c>
      <c r="H20" t="n">
        <v>4986492.2671354</v>
      </c>
      <c r="I20" t="n">
        <v>-0.004083735685669</v>
      </c>
      <c r="J20" t="n">
        <v>-0.0039085721313528</v>
      </c>
      <c r="K20" t="n">
        <v>0.008978932454908601</v>
      </c>
      <c r="L20" t="n">
        <v>-0.10881508865254</v>
      </c>
      <c r="M20" t="n">
        <v>-0.11095967977723</v>
      </c>
      <c r="N20" t="n">
        <v>447.67405563489</v>
      </c>
      <c r="O20" t="n">
        <v>495.32192591151</v>
      </c>
    </row>
    <row r="21">
      <c r="A21" t="n">
        <v>3.2066849390983</v>
      </c>
      <c r="B21" t="n">
        <v>0.0081752222698208</v>
      </c>
      <c r="C21" t="n">
        <v>92.700508318673</v>
      </c>
      <c r="D21" t="n">
        <v>0.009951670641542501</v>
      </c>
      <c r="E21" t="n">
        <v>-6.3432810857679</v>
      </c>
      <c r="F21" t="n">
        <v>-2.0953472469584</v>
      </c>
      <c r="G21" t="n">
        <v>22241118.719537</v>
      </c>
      <c r="H21" t="n">
        <v>5078890.6578225</v>
      </c>
      <c r="I21" t="n">
        <v>-0.0043849092572042</v>
      </c>
      <c r="J21" t="n">
        <v>-0.0041979519330122</v>
      </c>
      <c r="K21" t="n">
        <v>0.009573296512956001</v>
      </c>
      <c r="L21" t="n">
        <v>-0.11799163367465</v>
      </c>
      <c r="M21" t="n">
        <v>-0.12016699134879</v>
      </c>
      <c r="N21" t="n">
        <v>449.51219812377</v>
      </c>
      <c r="O21" t="n">
        <v>497.87514029646</v>
      </c>
    </row>
    <row r="22">
      <c r="A22" t="n">
        <v>3.4066849390983</v>
      </c>
      <c r="B22" t="n">
        <v>0.0088051364850085</v>
      </c>
      <c r="C22" t="n">
        <v>92.700374129639</v>
      </c>
      <c r="D22" t="n">
        <v>0.010588030722009</v>
      </c>
      <c r="E22" t="n">
        <v>-6.3552544450942</v>
      </c>
      <c r="F22" t="n">
        <v>-2.0958070735054</v>
      </c>
      <c r="G22" t="n">
        <v>22782760.272976</v>
      </c>
      <c r="H22" t="n">
        <v>5172141.3455603</v>
      </c>
      <c r="I22" t="n">
        <v>-0.0046860133967204</v>
      </c>
      <c r="J22" t="n">
        <v>-0.0044871626585282</v>
      </c>
      <c r="K22" t="n">
        <v>0.010167301653309</v>
      </c>
      <c r="L22" t="n">
        <v>-0.12696410764075</v>
      </c>
      <c r="M22" t="n">
        <v>-0.12918440591607</v>
      </c>
      <c r="N22" t="n">
        <v>451.29124487998</v>
      </c>
      <c r="O22" t="n">
        <v>500.30444938988</v>
      </c>
    </row>
    <row r="23">
      <c r="A23" t="n">
        <v>3.6066849390983</v>
      </c>
      <c r="B23" t="n">
        <v>0.0094346537809027</v>
      </c>
      <c r="C23" t="n">
        <v>92.700231819397</v>
      </c>
      <c r="D23" t="n">
        <v>0.011224021329107</v>
      </c>
      <c r="E23" t="n">
        <v>-6.3562264975948</v>
      </c>
      <c r="F23" t="n">
        <v>-2.0962710948661</v>
      </c>
      <c r="G23" t="n">
        <v>23329478.453222</v>
      </c>
      <c r="H23" t="n">
        <v>5266211.971544</v>
      </c>
      <c r="I23" t="n">
        <v>-0.0049870474826831</v>
      </c>
      <c r="J23" t="n">
        <v>-0.0047761886269021</v>
      </c>
      <c r="K23" t="n">
        <v>0.010760948346388</v>
      </c>
      <c r="L23" t="n">
        <v>-0.13631693659402</v>
      </c>
      <c r="M23" t="n">
        <v>-0.13852668335438</v>
      </c>
      <c r="N23" t="n">
        <v>453.02079785631</v>
      </c>
      <c r="O23" t="n">
        <v>502.63060267912</v>
      </c>
    </row>
    <row r="24">
      <c r="A24" t="n">
        <v>3.8066849390983</v>
      </c>
      <c r="B24" t="n">
        <v>0.010063791628193</v>
      </c>
      <c r="C24" t="n">
        <v>92.700092994484</v>
      </c>
      <c r="D24" t="n">
        <v>0.011859652614199</v>
      </c>
      <c r="E24" t="n">
        <v>-6.3529830231503</v>
      </c>
      <c r="F24" t="n">
        <v>-2.0899484017271</v>
      </c>
      <c r="G24" t="n">
        <v>23881119.991096</v>
      </c>
      <c r="H24" t="n">
        <v>5361075.8869436</v>
      </c>
      <c r="I24" t="n">
        <v>-0.0052880117872863</v>
      </c>
      <c r="J24" t="n">
        <v>-0.0050650146401926</v>
      </c>
      <c r="K24" t="n">
        <v>0.011354237051819</v>
      </c>
      <c r="L24" t="n">
        <v>-0.14564940935237</v>
      </c>
      <c r="M24" t="n">
        <v>-0.14790700322181</v>
      </c>
      <c r="N24" t="n">
        <v>454.70779591354</v>
      </c>
      <c r="O24" t="n">
        <v>504.86851409375</v>
      </c>
    </row>
    <row r="25">
      <c r="A25" t="n">
        <v>4.0066849390983</v>
      </c>
      <c r="B25" t="n">
        <v>0.010692566232357</v>
      </c>
      <c r="C25" t="n">
        <v>92.699970010314</v>
      </c>
      <c r="D25" t="n">
        <v>0.01249493572622</v>
      </c>
      <c r="E25" t="n">
        <v>-6.3455571697609</v>
      </c>
      <c r="F25" t="n">
        <v>-2.0987789228429</v>
      </c>
      <c r="G25" t="n">
        <v>24437549.508059</v>
      </c>
      <c r="H25" t="n">
        <v>5456709.558546</v>
      </c>
      <c r="I25" t="n">
        <v>-0.0055889046293416</v>
      </c>
      <c r="J25" t="n">
        <v>-0.0053536305675634</v>
      </c>
      <c r="K25" t="n">
        <v>0.011947168206518</v>
      </c>
      <c r="L25" t="n">
        <v>-0.15502211492539</v>
      </c>
      <c r="M25" t="n">
        <v>-0.15727394584305</v>
      </c>
      <c r="N25" t="n">
        <v>456.35832920259</v>
      </c>
      <c r="O25" t="n">
        <v>507.03097766177</v>
      </c>
    </row>
    <row r="26">
      <c r="A26" t="n">
        <v>4.2066849390983</v>
      </c>
      <c r="B26" t="n">
        <v>0.011320996740462</v>
      </c>
      <c r="C26" t="n">
        <v>92.699845517584</v>
      </c>
      <c r="D26" t="n">
        <v>0.013129885530239</v>
      </c>
      <c r="E26" t="n">
        <v>-6.3312608636808</v>
      </c>
      <c r="F26" t="n">
        <v>-2.0815134677328</v>
      </c>
      <c r="G26" t="n">
        <v>24998648.798902</v>
      </c>
      <c r="H26" t="n">
        <v>5553092.433519</v>
      </c>
      <c r="I26" t="n">
        <v>-0.0058897205420583</v>
      </c>
      <c r="J26" t="n">
        <v>-0.005642033622796</v>
      </c>
      <c r="K26" t="n">
        <v>0.01253974227475</v>
      </c>
      <c r="L26" t="n">
        <v>-0.16430941123811</v>
      </c>
      <c r="M26" t="n">
        <v>-0.16659765598667</v>
      </c>
      <c r="N26" t="n">
        <v>457.97664348739</v>
      </c>
      <c r="O26" t="n">
        <v>509.12796103781</v>
      </c>
    </row>
    <row r="27">
      <c r="A27" t="n">
        <v>4.4066849390983</v>
      </c>
      <c r="B27" t="n">
        <v>0.011949098928015</v>
      </c>
      <c r="C27" t="n">
        <v>92.69970709092399</v>
      </c>
      <c r="D27" t="n">
        <v>0.013764515706184</v>
      </c>
      <c r="E27" t="n">
        <v>-6.3321745069244</v>
      </c>
      <c r="F27" t="n">
        <v>-2.0819972336181</v>
      </c>
      <c r="G27" t="n">
        <v>25564310.841269</v>
      </c>
      <c r="H27" t="n">
        <v>5650205.9100581</v>
      </c>
      <c r="I27" t="n">
        <v>-0.0061904529719553</v>
      </c>
      <c r="J27" t="n">
        <v>-0.0059302247056382</v>
      </c>
      <c r="K27" t="n">
        <v>0.013131959709528</v>
      </c>
      <c r="L27" t="n">
        <v>-0.17387801813796</v>
      </c>
      <c r="M27" t="n">
        <v>-0.17617611400917</v>
      </c>
      <c r="N27" t="n">
        <v>459.56655606645</v>
      </c>
      <c r="O27" t="n">
        <v>511.16833020165</v>
      </c>
    </row>
    <row r="28">
      <c r="A28" t="n">
        <v>4.6066849390983</v>
      </c>
      <c r="B28" t="n">
        <v>0.012576886061561</v>
      </c>
      <c r="C28" t="n">
        <v>92.699562574922</v>
      </c>
      <c r="D28" t="n">
        <v>0.014398837946973</v>
      </c>
      <c r="E28" t="n">
        <v>-6.3330786727475</v>
      </c>
      <c r="F28" t="n">
        <v>-2.0824822843065</v>
      </c>
      <c r="G28" t="n">
        <v>26134440.806995</v>
      </c>
      <c r="H28" t="n">
        <v>5748033.514055</v>
      </c>
      <c r="I28" t="n">
        <v>-0.0064910939721629</v>
      </c>
      <c r="J28" t="n">
        <v>-0.0062182049754391</v>
      </c>
      <c r="K28" t="n">
        <v>0.013723820974269</v>
      </c>
      <c r="L28" t="n">
        <v>-0.18349267421777</v>
      </c>
      <c r="M28" t="n">
        <v>-0.18579250607676</v>
      </c>
      <c r="N28" t="n">
        <v>461.1311754633</v>
      </c>
      <c r="O28" t="n">
        <v>513.15884553024</v>
      </c>
    </row>
    <row r="29">
      <c r="A29" t="n">
        <v>4.8066849390983</v>
      </c>
      <c r="B29" t="n">
        <v>0.013204370820133</v>
      </c>
      <c r="C29" t="n">
        <v>92.699444214404</v>
      </c>
      <c r="D29" t="n">
        <v>0.015032864082173</v>
      </c>
      <c r="E29" t="n">
        <v>-6.3255173507559</v>
      </c>
      <c r="F29" t="n">
        <v>-2.0914110942795</v>
      </c>
      <c r="G29" t="n">
        <v>26708955.031322</v>
      </c>
      <c r="H29" t="n">
        <v>5846560.7181782</v>
      </c>
      <c r="I29" t="n">
        <v>-0.0067916384504567</v>
      </c>
      <c r="J29" t="n">
        <v>-0.0065059761365385</v>
      </c>
      <c r="K29" t="n">
        <v>0.014315326539731</v>
      </c>
      <c r="L29" t="n">
        <v>-0.19327743176938</v>
      </c>
      <c r="M29" t="n">
        <v>-0.19559732196187</v>
      </c>
      <c r="N29" t="n">
        <v>462.67272670003</v>
      </c>
      <c r="O29" t="n">
        <v>515.1049664609</v>
      </c>
    </row>
    <row r="30">
      <c r="A30" t="n">
        <v>5.0066849390983</v>
      </c>
      <c r="B30" t="n">
        <v>0.013831564859437</v>
      </c>
      <c r="C30" t="n">
        <v>92.69931731654</v>
      </c>
      <c r="D30" t="n">
        <v>0.015666603619536</v>
      </c>
      <c r="E30" t="n">
        <v>-6.3002600872815</v>
      </c>
      <c r="F30" t="n">
        <v>-2.096066755173</v>
      </c>
      <c r="G30" t="n">
        <v>27287776.319568</v>
      </c>
      <c r="H30" t="n">
        <v>5945774.1286694</v>
      </c>
      <c r="I30" t="n">
        <v>-0.0070920810197623</v>
      </c>
      <c r="J30" t="n">
        <v>-0.006793538430746</v>
      </c>
      <c r="K30" t="n">
        <v>0.014906476861278</v>
      </c>
      <c r="L30" t="n">
        <v>-0.2030207995107</v>
      </c>
      <c r="M30" t="n">
        <v>-0.20532572122364</v>
      </c>
      <c r="N30" t="n">
        <v>464.1934030842</v>
      </c>
      <c r="O30" t="n">
        <v>517.01125908274</v>
      </c>
    </row>
    <row r="31">
      <c r="A31" t="n">
        <v>5.2066849390983</v>
      </c>
      <c r="B31" t="n">
        <v>0.01445848201859</v>
      </c>
      <c r="C31" t="n">
        <v>92.699196679401</v>
      </c>
      <c r="D31" t="n">
        <v>0.016300069487777</v>
      </c>
      <c r="E31" t="n">
        <v>-6.2927516908611</v>
      </c>
      <c r="F31" t="n">
        <v>-2.0829608326792</v>
      </c>
      <c r="G31" t="n">
        <v>27870831.802799</v>
      </c>
      <c r="H31" t="n">
        <v>6045661.1009471</v>
      </c>
      <c r="I31" t="n">
        <v>-0.0073924186149525</v>
      </c>
      <c r="J31" t="n">
        <v>-0.0070808927358652</v>
      </c>
      <c r="K31" t="n">
        <v>0.015497272428773</v>
      </c>
      <c r="L31" t="n">
        <v>-0.21273317596984</v>
      </c>
      <c r="M31" t="n">
        <v>-0.2150548873954</v>
      </c>
      <c r="N31" t="n">
        <v>465.69465098397</v>
      </c>
      <c r="O31" t="n">
        <v>518.88162189403</v>
      </c>
    </row>
    <row r="32">
      <c r="A32" t="n">
        <v>5.4066849390983</v>
      </c>
      <c r="B32" t="n">
        <v>0.015085135505102</v>
      </c>
      <c r="C32" t="n">
        <v>92.69906709713899</v>
      </c>
      <c r="D32" t="n">
        <v>0.016933273389076</v>
      </c>
      <c r="E32" t="n">
        <v>-6.2742409317644</v>
      </c>
      <c r="F32" t="n">
        <v>-2.0808556385306</v>
      </c>
      <c r="G32" t="n">
        <v>28458051.040629</v>
      </c>
      <c r="H32" t="n">
        <v>6146209.4193567</v>
      </c>
      <c r="I32" t="n">
        <v>-0.0076926491148645</v>
      </c>
      <c r="J32" t="n">
        <v>-0.0073680392919553</v>
      </c>
      <c r="K32" t="n">
        <v>0.016087713680496</v>
      </c>
      <c r="L32" t="n">
        <v>-0.22260585796239</v>
      </c>
      <c r="M32" t="n">
        <v>-0.22491067227162</v>
      </c>
      <c r="N32" t="n">
        <v>467.1779779045</v>
      </c>
      <c r="O32" t="n">
        <v>520.71974704613</v>
      </c>
    </row>
    <row r="33">
      <c r="A33" t="n">
        <v>5.6066849390983</v>
      </c>
      <c r="B33" t="n">
        <v>0.015711537267274</v>
      </c>
      <c r="C33" t="n">
        <v>92.698927519305</v>
      </c>
      <c r="D33" t="n">
        <v>0.01756622722595</v>
      </c>
      <c r="E33" t="n">
        <v>-6.2750964286071</v>
      </c>
      <c r="F33" t="n">
        <v>-2.0813607341033</v>
      </c>
      <c r="G33" t="n">
        <v>29049366.941819</v>
      </c>
      <c r="H33" t="n">
        <v>6247407.4537402</v>
      </c>
      <c r="I33" t="n">
        <v>-0.0079927707925903</v>
      </c>
      <c r="J33" t="n">
        <v>-0.0076549782631193</v>
      </c>
      <c r="K33" t="n">
        <v>0.016677801079338</v>
      </c>
      <c r="L33" t="n">
        <v>-0.23274586399908</v>
      </c>
      <c r="M33" t="n">
        <v>-0.23504779421671</v>
      </c>
      <c r="N33" t="n">
        <v>468.64469791902</v>
      </c>
      <c r="O33" t="n">
        <v>522.52893645317</v>
      </c>
    </row>
    <row r="34">
      <c r="A34" t="n">
        <v>5.8066849390983</v>
      </c>
      <c r="B34" t="n">
        <v>0.016337697787435</v>
      </c>
      <c r="C34" t="n">
        <v>92.698782347172</v>
      </c>
      <c r="D34" t="n">
        <v>0.018198940664292</v>
      </c>
      <c r="E34" t="n">
        <v>-6.2759457884254</v>
      </c>
      <c r="F34" t="n">
        <v>-2.0818675455035</v>
      </c>
      <c r="G34" t="n">
        <v>29644717.194606</v>
      </c>
      <c r="H34" t="n">
        <v>6349244.4110321</v>
      </c>
      <c r="I34" t="n">
        <v>-0.008292779576525199</v>
      </c>
      <c r="J34" t="n">
        <v>-0.007941709056391201</v>
      </c>
      <c r="K34" t="n">
        <v>0.017267535057265</v>
      </c>
      <c r="L34" t="n">
        <v>-0.24261278460852</v>
      </c>
      <c r="M34" t="n">
        <v>-0.24492748922932</v>
      </c>
      <c r="N34" t="n">
        <v>470.09608884471</v>
      </c>
      <c r="O34" t="n">
        <v>524.3113271058</v>
      </c>
    </row>
    <row r="35">
      <c r="A35" t="n">
        <v>6.0066849390983</v>
      </c>
      <c r="B35" t="n">
        <v>0.01696362471692</v>
      </c>
      <c r="C35" t="n">
        <v>92.698636709805</v>
      </c>
      <c r="D35" t="n">
        <v>0.018831422847016</v>
      </c>
      <c r="E35" t="n">
        <v>-6.2767894749572</v>
      </c>
      <c r="F35" t="n">
        <v>-2.0604034891885</v>
      </c>
      <c r="G35" t="n">
        <v>30244043.799828</v>
      </c>
      <c r="H35" t="n">
        <v>6451710.2560749</v>
      </c>
      <c r="I35" t="n">
        <v>-0.0085926737390392</v>
      </c>
      <c r="J35" t="n">
        <v>-0.008228233522234301</v>
      </c>
      <c r="K35" t="n">
        <v>0.017856916059971</v>
      </c>
      <c r="L35" t="n">
        <v>-0.25256693923118</v>
      </c>
      <c r="M35" t="n">
        <v>-0.25487033587135</v>
      </c>
      <c r="N35" t="n">
        <v>471.53307304291</v>
      </c>
      <c r="O35" t="n">
        <v>526.06932202014</v>
      </c>
    </row>
    <row r="36">
      <c r="A36" t="n">
        <v>6.2066849390983</v>
      </c>
      <c r="B36" t="n">
        <v>0.017589324515243</v>
      </c>
      <c r="C36" t="n">
        <v>92.6985026153</v>
      </c>
      <c r="D36" t="n">
        <v>0.019463681645467</v>
      </c>
      <c r="E36" t="n">
        <v>-6.2693403365773</v>
      </c>
      <c r="F36" t="n">
        <v>-2.0582030111317</v>
      </c>
      <c r="G36" t="n">
        <v>30847292.255514</v>
      </c>
      <c r="H36" t="n">
        <v>6554795.5688136</v>
      </c>
      <c r="I36" t="n">
        <v>-0.0088924509413903</v>
      </c>
      <c r="J36" t="n">
        <v>-0.008514554007018499</v>
      </c>
      <c r="K36" t="n">
        <v>0.018445944523128</v>
      </c>
      <c r="L36" t="n">
        <v>-0.26285853481718</v>
      </c>
      <c r="M36" t="n">
        <v>-0.26512790096428</v>
      </c>
      <c r="N36" t="n">
        <v>472.95640878908</v>
      </c>
      <c r="O36" t="n">
        <v>527.80481056196</v>
      </c>
    </row>
    <row r="37">
      <c r="A37" t="n">
        <v>6.4066849390983</v>
      </c>
      <c r="B37" t="n">
        <v>0.018214804070144</v>
      </c>
      <c r="C37" t="n">
        <v>92.698373638501</v>
      </c>
      <c r="D37" t="n">
        <v>0.020095724199958</v>
      </c>
      <c r="E37" t="n">
        <v>-6.2660375292043</v>
      </c>
      <c r="F37" t="n">
        <v>-2.0518601255798</v>
      </c>
      <c r="G37" t="n">
        <v>31454411.197677</v>
      </c>
      <c r="H37" t="n">
        <v>6658491.479058</v>
      </c>
      <c r="I37" t="n">
        <v>-0.009192106308923999</v>
      </c>
      <c r="J37" t="n">
        <v>-0.0088006713622474</v>
      </c>
      <c r="K37" t="n">
        <v>0.019034620894473</v>
      </c>
      <c r="L37" t="n">
        <v>-0.27280170884946</v>
      </c>
      <c r="M37" t="n">
        <v>-0.27508266922564</v>
      </c>
      <c r="N37" t="n">
        <v>474.36681390157</v>
      </c>
      <c r="O37" t="n">
        <v>529.5187022959</v>
      </c>
    </row>
    <row r="38">
      <c r="A38" t="n">
        <v>6.6066849390983</v>
      </c>
      <c r="B38" t="n">
        <v>0.018840069553578</v>
      </c>
      <c r="C38" t="n">
        <v>92.69824466468</v>
      </c>
      <c r="D38" t="n">
        <v>0.020727557399208</v>
      </c>
      <c r="E38" t="n">
        <v>-6.2582575178325</v>
      </c>
      <c r="F38" t="n">
        <v>-2.0609655879908</v>
      </c>
      <c r="G38" t="n">
        <v>32065349.256078</v>
      </c>
      <c r="H38" t="n">
        <v>6762789.1228648</v>
      </c>
      <c r="I38" t="n">
        <v>-0.0094916388569298</v>
      </c>
      <c r="J38" t="n">
        <v>-0.0090865887454313</v>
      </c>
      <c r="K38" t="n">
        <v>0.019622945591366</v>
      </c>
      <c r="L38" t="n">
        <v>-0.28308654961637</v>
      </c>
      <c r="M38" t="n">
        <v>-0.28535421144888</v>
      </c>
      <c r="N38" t="n">
        <v>475.76487326144</v>
      </c>
      <c r="O38" t="n">
        <v>531.21298822353</v>
      </c>
    </row>
    <row r="39">
      <c r="A39" t="n">
        <v>6.8066849390983</v>
      </c>
      <c r="B39" t="n">
        <v>0.019465128818556</v>
      </c>
      <c r="C39" t="n">
        <v>92.698108137004</v>
      </c>
      <c r="D39" t="n">
        <v>0.021359187651413</v>
      </c>
      <c r="E39" t="n">
        <v>-6.253857431069</v>
      </c>
      <c r="F39" t="n">
        <v>-2.0648796247087</v>
      </c>
      <c r="G39" t="n">
        <v>32680057.198594</v>
      </c>
      <c r="H39" t="n">
        <v>6867680.0078738</v>
      </c>
      <c r="I39" t="n">
        <v>-0.009791044924760199</v>
      </c>
      <c r="J39" t="n">
        <v>-0.0093723066432878</v>
      </c>
      <c r="K39" t="n">
        <v>0.020210919052819</v>
      </c>
      <c r="L39" t="n">
        <v>-0.29324640243003</v>
      </c>
      <c r="M39" t="n">
        <v>-0.29550012597237</v>
      </c>
      <c r="N39" t="n">
        <v>477.15131098338</v>
      </c>
      <c r="O39" t="n">
        <v>532.88872540978</v>
      </c>
    </row>
    <row r="40">
      <c r="A40" t="n">
        <v>7.0066849390983</v>
      </c>
      <c r="B40" t="n">
        <v>0.020089988426405</v>
      </c>
      <c r="C40" t="n">
        <v>92.69796213446701</v>
      </c>
      <c r="D40" t="n">
        <v>0.021990621783844</v>
      </c>
      <c r="E40" t="n">
        <v>-6.2503515824204</v>
      </c>
      <c r="F40" t="n">
        <v>-2.0697058053233</v>
      </c>
      <c r="G40" t="n">
        <v>33298486.392514</v>
      </c>
      <c r="H40" t="n">
        <v>6973155.7513691</v>
      </c>
      <c r="I40" t="n">
        <v>-0.010090322560691</v>
      </c>
      <c r="J40" t="n">
        <v>-0.009657827664913301</v>
      </c>
      <c r="K40" t="n">
        <v>0.020798541699391</v>
      </c>
      <c r="L40" t="n">
        <v>-0.3035349888744</v>
      </c>
      <c r="M40" t="n">
        <v>-0.30578416707624</v>
      </c>
      <c r="N40" t="n">
        <v>478.52658131049</v>
      </c>
      <c r="O40" t="n">
        <v>534.54727371334</v>
      </c>
    </row>
    <row r="41">
      <c r="A41" t="n">
        <v>7.2066849390983</v>
      </c>
      <c r="B41" t="n">
        <v>0.020714655255955</v>
      </c>
      <c r="C41" t="n">
        <v>92.697831401754</v>
      </c>
      <c r="D41" t="n">
        <v>0.022621866250251</v>
      </c>
      <c r="E41" t="n">
        <v>-6.2315650976006</v>
      </c>
      <c r="F41" t="n">
        <v>-2.0898003296522</v>
      </c>
      <c r="G41" t="n">
        <v>33920589.475317</v>
      </c>
      <c r="H41" t="n">
        <v>7079208.1927971</v>
      </c>
      <c r="I41" t="n">
        <v>-0.010389469163973</v>
      </c>
      <c r="J41" t="n">
        <v>-0.009943153212687</v>
      </c>
      <c r="K41" t="n">
        <v>0.021385813958545</v>
      </c>
      <c r="L41" t="n">
        <v>-0.31386186328694</v>
      </c>
      <c r="M41" t="n">
        <v>-0.31610472403638</v>
      </c>
      <c r="N41" t="n">
        <v>479.89123976866</v>
      </c>
      <c r="O41" t="n">
        <v>536.18970402942</v>
      </c>
    </row>
    <row r="42">
      <c r="A42" t="n">
        <v>7.4066849390983</v>
      </c>
      <c r="B42" t="n">
        <v>0.021339135656978</v>
      </c>
      <c r="C42" t="n">
        <v>92.69769346398699</v>
      </c>
      <c r="D42" t="n">
        <v>0.0232529273753</v>
      </c>
      <c r="E42" t="n">
        <v>-6.2433334094452</v>
      </c>
      <c r="F42" t="n">
        <v>-2.090343208798</v>
      </c>
      <c r="G42" t="n">
        <v>34546320.558527</v>
      </c>
      <c r="H42" t="n">
        <v>7185829.4325437</v>
      </c>
      <c r="I42" t="n">
        <v>-0.010688482531813</v>
      </c>
      <c r="J42" t="n">
        <v>-0.010228285557141</v>
      </c>
      <c r="K42" t="n">
        <v>0.021972736256116</v>
      </c>
      <c r="L42" t="n">
        <v>-0.32432106343618</v>
      </c>
      <c r="M42" t="n">
        <v>-0.32656075959662</v>
      </c>
      <c r="N42" t="n">
        <v>481.24567623751</v>
      </c>
      <c r="O42" t="n">
        <v>537.81702947152</v>
      </c>
    </row>
    <row r="43">
      <c r="A43" t="n">
        <v>7.6066849390983</v>
      </c>
      <c r="B43" t="n">
        <v>0.0219634361935</v>
      </c>
      <c r="C43" t="n">
        <v>92.69754773232199</v>
      </c>
      <c r="D43" t="n">
        <v>0.023883811104775</v>
      </c>
      <c r="E43" t="n">
        <v>-6.2618009952527</v>
      </c>
      <c r="F43" t="n">
        <v>-2.1171375686647</v>
      </c>
      <c r="G43" t="n">
        <v>35175635.595188</v>
      </c>
      <c r="H43" t="n">
        <v>7293011.8944343</v>
      </c>
      <c r="I43" t="n">
        <v>-0.010987359915022</v>
      </c>
      <c r="J43" t="n">
        <v>-0.010513226090115</v>
      </c>
      <c r="K43" t="n">
        <v>0.022559309025118</v>
      </c>
      <c r="L43" t="n">
        <v>-0.33473172073482</v>
      </c>
      <c r="M43" t="n">
        <v>-0.33695935417508</v>
      </c>
      <c r="N43" t="n">
        <v>482.59032188552</v>
      </c>
      <c r="O43" t="n">
        <v>539.42990743033</v>
      </c>
    </row>
    <row r="44">
      <c r="A44" t="n">
        <v>7.8066849390983</v>
      </c>
      <c r="B44" t="n">
        <v>0.022587562404985</v>
      </c>
      <c r="C44" t="n">
        <v>92.697395917827</v>
      </c>
      <c r="D44" t="n">
        <v>0.024514523206787</v>
      </c>
      <c r="E44" t="n">
        <v>-6.2735590473933</v>
      </c>
      <c r="F44" t="n">
        <v>-2.1396609444754</v>
      </c>
      <c r="G44" t="n">
        <v>35808490.854636</v>
      </c>
      <c r="H44" t="n">
        <v>7400748.0646912</v>
      </c>
      <c r="I44" t="n">
        <v>-0.011286099042877</v>
      </c>
      <c r="J44" t="n">
        <v>-0.010797976660084</v>
      </c>
      <c r="K44" t="n">
        <v>0.023145532698088</v>
      </c>
      <c r="L44" t="n">
        <v>-0.34510323682925</v>
      </c>
      <c r="M44" t="n">
        <v>-0.34732012632629</v>
      </c>
      <c r="N44" t="n">
        <v>483.92560931198</v>
      </c>
      <c r="O44" t="n">
        <v>541.02918500802</v>
      </c>
    </row>
    <row r="45">
      <c r="A45" t="n">
        <v>8.006684939098299</v>
      </c>
      <c r="B45" t="n">
        <v>0.023211520619639</v>
      </c>
      <c r="C45" t="n">
        <v>92.697239664761</v>
      </c>
      <c r="D45" t="n">
        <v>0.025145069283294</v>
      </c>
      <c r="E45" t="n">
        <v>-6.2743272845513</v>
      </c>
      <c r="F45" t="n">
        <v>-2.1402141025675</v>
      </c>
      <c r="G45" t="n">
        <v>36444844.419429</v>
      </c>
      <c r="H45" t="n">
        <v>7509030.7482264</v>
      </c>
      <c r="I45" t="n">
        <v>-0.011584699002662</v>
      </c>
      <c r="J45" t="n">
        <v>-0.011082538869486</v>
      </c>
      <c r="K45" t="n">
        <v>0.023731407698715</v>
      </c>
      <c r="L45" t="n">
        <v>-0.35559338120437</v>
      </c>
      <c r="M45" t="n">
        <v>-0.35780122950431</v>
      </c>
      <c r="N45" t="n">
        <v>485.25175058512</v>
      </c>
      <c r="O45" t="n">
        <v>542.61560408198</v>
      </c>
    </row>
    <row r="46">
      <c r="A46" t="n">
        <v>8.206684939098301</v>
      </c>
      <c r="B46" t="n">
        <v>0.023835316083761</v>
      </c>
      <c r="C46" t="n">
        <v>92.69708790220299</v>
      </c>
      <c r="D46" t="n">
        <v>0.025775454612718</v>
      </c>
      <c r="E46" t="n">
        <v>-6.3696882919444</v>
      </c>
      <c r="F46" t="n">
        <v>-2.1450434156191</v>
      </c>
      <c r="G46" t="n">
        <v>37084654.316284</v>
      </c>
      <c r="H46" t="n">
        <v>7617852.7469104</v>
      </c>
      <c r="I46" t="n">
        <v>-0.011883158416022</v>
      </c>
      <c r="J46" t="n">
        <v>-0.01136691327129</v>
      </c>
      <c r="K46" t="n">
        <v>0.024316934454881</v>
      </c>
      <c r="L46" t="n">
        <v>-0.36612446300332</v>
      </c>
      <c r="M46" t="n">
        <v>-0.36832326912998</v>
      </c>
      <c r="N46" t="n">
        <v>486.56915748939</v>
      </c>
      <c r="O46" t="n">
        <v>544.18982267862</v>
      </c>
    </row>
    <row r="47">
      <c r="A47" t="n">
        <v>8.4066849390983</v>
      </c>
      <c r="B47" t="n">
        <v>0.024458953450443</v>
      </c>
      <c r="C47" t="n">
        <v>92.69695342686001</v>
      </c>
      <c r="D47" t="n">
        <v>0.026405684421525</v>
      </c>
      <c r="E47" t="n">
        <v>-6.3948632447453</v>
      </c>
      <c r="F47" t="n">
        <v>-2.1541347591182</v>
      </c>
      <c r="G47" t="n">
        <v>37727878.470592</v>
      </c>
      <c r="H47" t="n">
        <v>7727206.8464172</v>
      </c>
      <c r="I47" t="n">
        <v>-0.012181476439032</v>
      </c>
      <c r="J47" t="n">
        <v>-0.011651100226713</v>
      </c>
      <c r="K47" t="n">
        <v>0.024902113395861</v>
      </c>
      <c r="L47" t="n">
        <v>-0.37668971241286</v>
      </c>
      <c r="M47" t="n">
        <v>-0.37887704708912</v>
      </c>
      <c r="N47" t="n">
        <v>487.87823896336</v>
      </c>
      <c r="O47" t="n">
        <v>545.75252941718</v>
      </c>
    </row>
    <row r="48">
      <c r="A48" t="n">
        <v>8.606684939098299</v>
      </c>
      <c r="B48" t="n">
        <v>0.025082440620048</v>
      </c>
      <c r="C48" t="n">
        <v>92.696803098766</v>
      </c>
      <c r="D48" t="n">
        <v>0.027035764471072</v>
      </c>
      <c r="E48" t="n">
        <v>-6.439561259637</v>
      </c>
      <c r="F48" t="n">
        <v>-2.1547016492695</v>
      </c>
      <c r="G48" t="n">
        <v>38374478.830544</v>
      </c>
      <c r="H48" t="n">
        <v>7837086.5273844</v>
      </c>
      <c r="I48" t="n">
        <v>-0.012479652872185</v>
      </c>
      <c r="J48" t="n">
        <v>-0.011935101078789</v>
      </c>
      <c r="K48" t="n">
        <v>0.025486944939965</v>
      </c>
      <c r="L48" t="n">
        <v>-0.38737320998383</v>
      </c>
      <c r="M48" t="n">
        <v>-0.3895535202931</v>
      </c>
      <c r="N48" t="n">
        <v>489.17884416279</v>
      </c>
      <c r="O48" t="n">
        <v>547.3039103299</v>
      </c>
    </row>
    <row r="49">
      <c r="A49" t="n">
        <v>8.806684939098201</v>
      </c>
      <c r="B49" t="n">
        <v>0.025705779807529</v>
      </c>
      <c r="C49" t="n">
        <v>92.69664632509399</v>
      </c>
      <c r="D49" t="n">
        <v>0.027665699010674</v>
      </c>
      <c r="E49" t="n">
        <v>-6.4512618720511</v>
      </c>
      <c r="F49" t="n">
        <v>-2.1746005903129</v>
      </c>
      <c r="G49" t="n">
        <v>39024413.110989</v>
      </c>
      <c r="H49" t="n">
        <v>7947484.5525526</v>
      </c>
      <c r="I49" t="n">
        <v>-0.012777685607264</v>
      </c>
      <c r="J49" t="n">
        <v>-0.012218915351782</v>
      </c>
      <c r="K49" t="n">
        <v>0.026071429508223</v>
      </c>
      <c r="L49" t="n">
        <v>-0.39792157710767</v>
      </c>
      <c r="M49" t="n">
        <v>-0.40009390117536</v>
      </c>
      <c r="N49" t="n">
        <v>490.47182956419</v>
      </c>
      <c r="O49" t="n">
        <v>548.8447850797</v>
      </c>
    </row>
    <row r="50">
      <c r="A50" t="n">
        <v>9.0066849390982</v>
      </c>
      <c r="B50" t="n">
        <v>0.026328977336515</v>
      </c>
      <c r="C50" t="n">
        <v>92.696487967952</v>
      </c>
      <c r="D50" t="n">
        <v>0.028295493522197</v>
      </c>
      <c r="E50" t="n">
        <v>-6.4739838549246</v>
      </c>
      <c r="F50" t="n">
        <v>-2.1641885390525</v>
      </c>
      <c r="G50" t="n">
        <v>39677644.009896</v>
      </c>
      <c r="H50" t="n">
        <v>8058394.5425552</v>
      </c>
      <c r="I50" t="n">
        <v>-0.013075575214689</v>
      </c>
      <c r="J50" t="n">
        <v>-0.012502545357434</v>
      </c>
      <c r="K50" t="n">
        <v>0.026655567525453</v>
      </c>
      <c r="L50" t="n">
        <v>-0.40878571103524</v>
      </c>
      <c r="M50" t="n">
        <v>-0.41093412001171</v>
      </c>
      <c r="N50" t="n">
        <v>491.75699625796</v>
      </c>
      <c r="O50" t="n">
        <v>550.37558588781</v>
      </c>
    </row>
    <row r="51">
      <c r="A51" t="n">
        <v>9.206684939098199</v>
      </c>
      <c r="B51" t="n">
        <v>0.026952037438311</v>
      </c>
      <c r="C51" t="n">
        <v>92.696333348005</v>
      </c>
      <c r="D51" t="n">
        <v>0.02892515175683</v>
      </c>
      <c r="E51" t="n">
        <v>-6.4992088705205</v>
      </c>
      <c r="F51" t="n">
        <v>-2.1622453893562</v>
      </c>
      <c r="G51" t="n">
        <v>40334134.054356</v>
      </c>
      <c r="H51" t="n">
        <v>8169810.0957232</v>
      </c>
      <c r="I51" t="n">
        <v>-0.013373319616999</v>
      </c>
      <c r="J51" t="n">
        <v>-0.012785990057502</v>
      </c>
      <c r="K51" t="n">
        <v>0.027239359411625</v>
      </c>
      <c r="L51" t="n">
        <v>-0.41936087387741</v>
      </c>
      <c r="M51" t="n">
        <v>-0.42152145914064</v>
      </c>
      <c r="N51" t="n">
        <v>493.03474833651</v>
      </c>
      <c r="O51" t="n">
        <v>551.89628077482</v>
      </c>
    </row>
    <row r="52">
      <c r="A52" t="n">
        <v>9.4066849390982</v>
      </c>
      <c r="B52" t="n">
        <v>0.027574964809774</v>
      </c>
      <c r="C52" t="n">
        <v>92.696171269638</v>
      </c>
      <c r="D52" t="n">
        <v>0.029554678341007</v>
      </c>
      <c r="E52" t="n">
        <v>-6.4999505890767</v>
      </c>
      <c r="F52" t="n">
        <v>-2.1738137777364</v>
      </c>
      <c r="G52" t="n">
        <v>40993847.075553</v>
      </c>
      <c r="H52" t="n">
        <v>8281725.0388546</v>
      </c>
      <c r="I52" t="n">
        <v>-0.01367091938385</v>
      </c>
      <c r="J52" t="n">
        <v>-0.013069251387703</v>
      </c>
      <c r="K52" t="n">
        <v>0.027822805585522</v>
      </c>
      <c r="L52" t="n">
        <v>-0.43013277729353</v>
      </c>
      <c r="M52" t="n">
        <v>-0.43227543504523</v>
      </c>
      <c r="N52" t="n">
        <v>494.30507379135</v>
      </c>
      <c r="O52" t="n">
        <v>553.40738567139</v>
      </c>
    </row>
    <row r="53">
      <c r="A53" t="n">
        <v>9.6066849390982</v>
      </c>
      <c r="B53" t="n">
        <v>0.028197761895981</v>
      </c>
      <c r="C53" t="n">
        <v>92.69600488788799</v>
      </c>
      <c r="D53" t="n">
        <v>0.030184076607538</v>
      </c>
      <c r="E53" t="n">
        <v>-6.5006900179557</v>
      </c>
      <c r="F53" t="n">
        <v>-2.1853846747005</v>
      </c>
      <c r="G53" t="n">
        <v>41656745.604909</v>
      </c>
      <c r="H53" t="n">
        <v>8394132.982588001</v>
      </c>
      <c r="I53" t="n">
        <v>-0.013968373043663</v>
      </c>
      <c r="J53" t="n">
        <v>-0.013352328986862</v>
      </c>
      <c r="K53" t="n">
        <v>0.028405906468591</v>
      </c>
      <c r="L53" t="n">
        <v>-0.4408354491621</v>
      </c>
      <c r="M53" t="n">
        <v>-0.44296712406131</v>
      </c>
      <c r="N53" t="n">
        <v>495.56848636125</v>
      </c>
      <c r="O53" t="n">
        <v>554.90928883933</v>
      </c>
    </row>
    <row r="54">
      <c r="A54" t="n">
        <v>9.806684939098201</v>
      </c>
      <c r="B54" t="n">
        <v>0.028820433166403</v>
      </c>
      <c r="C54" t="n">
        <v>92.695835147236</v>
      </c>
      <c r="D54" t="n">
        <v>0.030813350982898</v>
      </c>
      <c r="E54" t="n">
        <v>-6.5014271961999</v>
      </c>
      <c r="F54" t="n">
        <v>-2.1969580901432</v>
      </c>
      <c r="G54" t="n">
        <v>42322795.315836</v>
      </c>
      <c r="H54" t="n">
        <v>8507028.0770743</v>
      </c>
      <c r="I54" t="n">
        <v>-0.014265681124837</v>
      </c>
      <c r="J54" t="n">
        <v>-0.013635224246388</v>
      </c>
      <c r="K54" t="n">
        <v>0.028988662493594</v>
      </c>
      <c r="L54" t="n">
        <v>-0.45173716502239</v>
      </c>
      <c r="M54" t="n">
        <v>-0.45383965527144</v>
      </c>
      <c r="N54" t="n">
        <v>496.82483414112</v>
      </c>
      <c r="O54" t="n">
        <v>556.4021532995901</v>
      </c>
    </row>
    <row r="55">
      <c r="A55" t="n">
        <v>10.006684939098</v>
      </c>
      <c r="B55" t="n">
        <v>0.029442982427308</v>
      </c>
      <c r="C55" t="n">
        <v>92.69566830917</v>
      </c>
      <c r="D55" t="n">
        <v>0.031442504600957</v>
      </c>
      <c r="E55" t="n">
        <v>-6.5131485244589</v>
      </c>
      <c r="F55" t="n">
        <v>-2.1975476411272</v>
      </c>
      <c r="G55" t="n">
        <v>42991962.448629</v>
      </c>
      <c r="H55" t="n">
        <v>8620404.576846801</v>
      </c>
      <c r="I55" t="n">
        <v>-0.014562841983355</v>
      </c>
      <c r="J55" t="n">
        <v>-0.01391793780448</v>
      </c>
      <c r="K55" t="n">
        <v>0.029571074078759</v>
      </c>
      <c r="L55" t="n">
        <v>-0.46259559000245</v>
      </c>
      <c r="M55" t="n">
        <v>-0.46468748588099</v>
      </c>
      <c r="N55" t="n">
        <v>498.07428784116</v>
      </c>
      <c r="O55" t="n">
        <v>557.88599888081</v>
      </c>
    </row>
    <row r="56">
      <c r="A56" t="n">
        <v>10.206684939098</v>
      </c>
      <c r="B56" t="n">
        <v>0.030065411410093</v>
      </c>
      <c r="C56" t="n">
        <v>92.695501164299</v>
      </c>
      <c r="D56" t="n">
        <v>0.032071540730814</v>
      </c>
      <c r="E56" t="n">
        <v>-6.5864513243161</v>
      </c>
      <c r="F56" t="n">
        <v>-2.2134549818768</v>
      </c>
      <c r="G56" t="n">
        <v>43664211.390455</v>
      </c>
      <c r="H56" t="n">
        <v>8734256.424383899</v>
      </c>
      <c r="I56" t="n">
        <v>-0.014859854743085</v>
      </c>
      <c r="J56" t="n">
        <v>-0.014200470110312</v>
      </c>
      <c r="K56" t="n">
        <v>0.03015314164274</v>
      </c>
      <c r="L56" t="n">
        <v>-0.47339143946129</v>
      </c>
      <c r="M56" t="n">
        <v>-0.4754884781823</v>
      </c>
      <c r="N56" t="n">
        <v>499.31719402353</v>
      </c>
      <c r="O56" t="n">
        <v>559.3612130556101</v>
      </c>
    </row>
    <row r="57">
      <c r="A57" t="n">
        <v>10.406684939098</v>
      </c>
      <c r="B57" t="n">
        <v>0.03068772409291</v>
      </c>
      <c r="C57" t="n">
        <v>92.69531814726599</v>
      </c>
      <c r="D57" t="n">
        <v>0.032700463139574</v>
      </c>
      <c r="E57" t="n">
        <v>-6.5971138730512</v>
      </c>
      <c r="F57" t="n">
        <v>-2.2020341323501</v>
      </c>
      <c r="G57" t="n">
        <v>44339508.365209</v>
      </c>
      <c r="H57" t="n">
        <v>8848577.8804718</v>
      </c>
      <c r="I57" t="n">
        <v>-0.015156719437264</v>
      </c>
      <c r="J57" t="n">
        <v>-0.01448282245186</v>
      </c>
      <c r="K57" t="n">
        <v>0.030734865604907</v>
      </c>
      <c r="L57" t="n">
        <v>-0.48436813131987</v>
      </c>
      <c r="M57" t="n">
        <v>-0.48644288806504</v>
      </c>
      <c r="N57" t="n">
        <v>500.55359471131</v>
      </c>
      <c r="O57" t="n">
        <v>560.82817845253</v>
      </c>
    </row>
    <row r="58">
      <c r="A58" t="n">
        <v>10.606684939098</v>
      </c>
      <c r="B58" t="n">
        <v>0.031309924276007</v>
      </c>
      <c r="C58" t="n">
        <v>92.695128523704</v>
      </c>
      <c r="D58" t="n">
        <v>0.033329275213501</v>
      </c>
      <c r="E58" t="n">
        <v>-6.6198086036692</v>
      </c>
      <c r="F58" t="n">
        <v>-2.2026282882955</v>
      </c>
      <c r="G58" t="n">
        <v>45017819.591963</v>
      </c>
      <c r="H58" t="n">
        <v>8963363.2021256</v>
      </c>
      <c r="I58" t="n">
        <v>-0.015453435442433</v>
      </c>
      <c r="J58" t="n">
        <v>-0.014764994436507</v>
      </c>
      <c r="K58" t="n">
        <v>0.031316246379106</v>
      </c>
      <c r="L58" t="n">
        <v>-0.49527170859069</v>
      </c>
      <c r="M58" t="n">
        <v>-0.49731890077272</v>
      </c>
      <c r="N58" t="n">
        <v>501.7836302961</v>
      </c>
      <c r="O58" t="n">
        <v>562.28689059677</v>
      </c>
    </row>
    <row r="59">
      <c r="A59" t="n">
        <v>10.806684939098</v>
      </c>
      <c r="B59" t="n">
        <v>0.031932015585002</v>
      </c>
      <c r="C59" t="n">
        <v>92.694927614516</v>
      </c>
      <c r="D59" t="n">
        <v>0.03395798067719</v>
      </c>
      <c r="E59" t="n">
        <v>-6.6577342033864</v>
      </c>
      <c r="F59" t="n">
        <v>-2.2074662102861</v>
      </c>
      <c r="G59" t="n">
        <v>45699110.168287</v>
      </c>
      <c r="H59" t="n">
        <v>9078606.4591019</v>
      </c>
      <c r="I59" t="n">
        <v>-0.015750002890454</v>
      </c>
      <c r="J59" t="n">
        <v>-0.015046986518663</v>
      </c>
      <c r="K59" t="n">
        <v>0.031897284386561</v>
      </c>
      <c r="L59" t="n">
        <v>-0.50620850189288</v>
      </c>
      <c r="M59" t="n">
        <v>-0.50825212586112</v>
      </c>
      <c r="N59" t="n">
        <v>503.00748681895</v>
      </c>
      <c r="O59" t="n">
        <v>563.73783408577</v>
      </c>
    </row>
    <row r="60">
      <c r="A60" t="n">
        <v>11.006684939098</v>
      </c>
      <c r="B60" t="n">
        <v>0.032554001982421</v>
      </c>
      <c r="C60" t="n">
        <v>92.69473375109</v>
      </c>
      <c r="D60" t="n">
        <v>0.034586583172389</v>
      </c>
      <c r="E60" t="n">
        <v>-6.7024006365566</v>
      </c>
      <c r="F60" t="n">
        <v>-2.2190538607309</v>
      </c>
      <c r="G60" t="n">
        <v>46383346.893119</v>
      </c>
      <c r="H60" t="n">
        <v>9194302.0198326</v>
      </c>
      <c r="I60" t="n">
        <v>-0.016046421952806</v>
      </c>
      <c r="J60" t="n">
        <v>-0.015328798801512</v>
      </c>
      <c r="K60" t="n">
        <v>0.032477980037879</v>
      </c>
      <c r="L60" t="n">
        <v>-0.51720006544289</v>
      </c>
      <c r="M60" t="n">
        <v>-0.51923471040114</v>
      </c>
      <c r="N60" t="n">
        <v>504.22524299107</v>
      </c>
      <c r="O60" t="n">
        <v>565.1811845224</v>
      </c>
    </row>
    <row r="61">
      <c r="A61" t="n">
        <v>11.206684939098</v>
      </c>
      <c r="B61" t="n">
        <v>0.033175886871358</v>
      </c>
      <c r="C61" t="n">
        <v>92.694540091786</v>
      </c>
      <c r="D61" t="n">
        <v>0.035215086392018</v>
      </c>
      <c r="E61" t="n">
        <v>-6.7141062016512</v>
      </c>
      <c r="F61" t="n">
        <v>-2.2196572409723</v>
      </c>
      <c r="G61" t="n">
        <v>47070496.314353</v>
      </c>
      <c r="H61" t="n">
        <v>9310444.209657099</v>
      </c>
      <c r="I61" t="n">
        <v>-0.016342692358575</v>
      </c>
      <c r="J61" t="n">
        <v>-0.01561043179296</v>
      </c>
      <c r="K61" t="n">
        <v>0.033058333742281</v>
      </c>
      <c r="L61" t="n">
        <v>-0.52829585813358</v>
      </c>
      <c r="M61" t="n">
        <v>-0.53030286530792</v>
      </c>
      <c r="N61" t="n">
        <v>505.43706907511</v>
      </c>
      <c r="O61" t="n">
        <v>566.61725692429</v>
      </c>
    </row>
    <row r="62">
      <c r="A62" t="n">
        <v>11.406684939098</v>
      </c>
      <c r="B62" t="n">
        <v>0.033797674886024</v>
      </c>
      <c r="C62" t="n">
        <v>92.694337640372</v>
      </c>
      <c r="D62" t="n">
        <v>0.035843493507078</v>
      </c>
      <c r="E62" t="n">
        <v>-6.751739607349</v>
      </c>
      <c r="F62" t="n">
        <v>-2.2351993315061</v>
      </c>
      <c r="G62" t="n">
        <v>47760526.095533</v>
      </c>
      <c r="H62" t="n">
        <v>9427027.548053499</v>
      </c>
      <c r="I62" t="n">
        <v>-0.016638813913238</v>
      </c>
      <c r="J62" t="n">
        <v>-0.015891885027441</v>
      </c>
      <c r="K62" t="n">
        <v>0.033638345913472</v>
      </c>
      <c r="L62" t="n">
        <v>-0.53928603442185</v>
      </c>
      <c r="M62" t="n">
        <v>-0.5412893494209799</v>
      </c>
      <c r="N62" t="n">
        <v>506.64305361866</v>
      </c>
      <c r="O62" t="n">
        <v>568.04606698947</v>
      </c>
    </row>
    <row r="63">
      <c r="A63" t="n">
        <v>11.606684939098</v>
      </c>
      <c r="B63" t="n">
        <v>0.034419368424792</v>
      </c>
      <c r="C63" t="n">
        <v>92.694134222222</v>
      </c>
      <c r="D63" t="n">
        <v>0.036471808201885</v>
      </c>
      <c r="E63" t="n">
        <v>-6.8073861789515</v>
      </c>
      <c r="F63" t="n">
        <v>-2.2358059873764</v>
      </c>
      <c r="G63" t="n">
        <v>48453402.671655</v>
      </c>
      <c r="H63" t="n">
        <v>9544046.3545697</v>
      </c>
      <c r="I63" t="n">
        <v>-0.016934786945428</v>
      </c>
      <c r="J63" t="n">
        <v>-0.016173159166423</v>
      </c>
      <c r="K63" t="n">
        <v>0.034218016960294</v>
      </c>
      <c r="L63" t="n">
        <v>-0.55040747278272</v>
      </c>
      <c r="M63" t="n">
        <v>-0.55240503533089</v>
      </c>
      <c r="N63" t="n">
        <v>507.84340866843</v>
      </c>
      <c r="O63" t="n">
        <v>569.46814114938</v>
      </c>
    </row>
    <row r="64">
      <c r="A64" t="n">
        <v>11.806684939098</v>
      </c>
      <c r="B64" t="n">
        <v>0.035040971842487</v>
      </c>
      <c r="C64" t="n">
        <v>92.693932047156</v>
      </c>
      <c r="D64" t="n">
        <v>0.037100033797101</v>
      </c>
      <c r="E64" t="n">
        <v>-6.7971128966412</v>
      </c>
      <c r="F64" t="n">
        <v>-2.2364145838143</v>
      </c>
      <c r="G64" t="n">
        <v>49149095.517983</v>
      </c>
      <c r="H64" t="n">
        <v>9661495.463253099</v>
      </c>
      <c r="I64" t="n">
        <v>-0.01723061175627</v>
      </c>
      <c r="J64" t="n">
        <v>-0.01645425396347</v>
      </c>
      <c r="K64" t="n">
        <v>0.034797347284639</v>
      </c>
      <c r="L64" t="n">
        <v>-0.5615494016655</v>
      </c>
      <c r="M64" t="n">
        <v>-0.5635180391421299</v>
      </c>
      <c r="N64" t="n">
        <v>509.03803918501</v>
      </c>
      <c r="O64" t="n">
        <v>570.88331147313</v>
      </c>
    </row>
    <row r="65">
      <c r="A65" t="n">
        <v>12.006684939098</v>
      </c>
      <c r="B65" t="n">
        <v>0.035662487107237</v>
      </c>
      <c r="C65" t="n">
        <v>92.693729433671</v>
      </c>
      <c r="D65" t="n">
        <v>0.037728173218971</v>
      </c>
      <c r="E65" t="n">
        <v>-6.8088104232756</v>
      </c>
      <c r="F65" t="n">
        <v>-2.2260387536819</v>
      </c>
      <c r="G65" t="n">
        <v>49847571.233261</v>
      </c>
      <c r="H65" t="n">
        <v>9779369.2293339</v>
      </c>
      <c r="I65" t="n">
        <v>-0.017526288044435</v>
      </c>
      <c r="J65" t="n">
        <v>-0.016735168903652</v>
      </c>
      <c r="K65" t="n">
        <v>0.035376337302551</v>
      </c>
      <c r="L65" t="n">
        <v>-0.57262175877355</v>
      </c>
      <c r="M65" t="n">
        <v>-0.57458658477311</v>
      </c>
      <c r="N65" t="n">
        <v>510.22737988591</v>
      </c>
      <c r="O65" t="n">
        <v>572.2920379414001</v>
      </c>
    </row>
    <row r="66">
      <c r="A66" t="n">
        <v>12.206684939098</v>
      </c>
      <c r="B66" t="n">
        <v>0.036283918832945</v>
      </c>
      <c r="C66" t="n">
        <v>92.69353103461</v>
      </c>
      <c r="D66" t="n">
        <v>0.038356230023759</v>
      </c>
      <c r="E66" t="n">
        <v>-6.831492358416</v>
      </c>
      <c r="F66" t="n">
        <v>-2.2266511245425</v>
      </c>
      <c r="G66" t="n">
        <v>50548800.376381</v>
      </c>
      <c r="H66" t="n">
        <v>9897662.6820978</v>
      </c>
      <c r="I66" t="n">
        <v>-0.017821817100586</v>
      </c>
      <c r="J66" t="n">
        <v>-0.017015904228753</v>
      </c>
      <c r="K66" t="n">
        <v>0.035954987417056</v>
      </c>
      <c r="L66" t="n">
        <v>-0.5837916826477501</v>
      </c>
      <c r="M66" t="n">
        <v>-0.58575091306953</v>
      </c>
      <c r="N66" t="n">
        <v>511.41122377564</v>
      </c>
      <c r="O66" t="n">
        <v>573.69432728906</v>
      </c>
    </row>
    <row r="67">
      <c r="A67" t="n">
        <v>12.406684939098</v>
      </c>
      <c r="B67" t="n">
        <v>0.036905268949918</v>
      </c>
      <c r="C67" t="n">
        <v>92.693331370857</v>
      </c>
      <c r="D67" t="n">
        <v>0.038984206919734</v>
      </c>
      <c r="E67" t="n">
        <v>-6.8170870901654</v>
      </c>
      <c r="F67" t="n">
        <v>-2.2203990858919</v>
      </c>
      <c r="G67" t="n">
        <v>51252751.777165</v>
      </c>
      <c r="H67" t="n">
        <v>10016370.562556</v>
      </c>
      <c r="I67" t="n">
        <v>-0.018117199011912</v>
      </c>
      <c r="J67" t="n">
        <v>-0.017296459571506</v>
      </c>
      <c r="K67" t="n">
        <v>0.036533298039896</v>
      </c>
      <c r="L67" t="n">
        <v>-0.59502112910155</v>
      </c>
      <c r="M67" t="n">
        <v>-0.59695131708995</v>
      </c>
      <c r="N67" t="n">
        <v>512.58978924386</v>
      </c>
      <c r="O67" t="n">
        <v>575.09035753839</v>
      </c>
    </row>
    <row r="68">
      <c r="A68" t="n">
        <v>12.606684939098</v>
      </c>
      <c r="B68" t="n">
        <v>0.03752654056749</v>
      </c>
      <c r="C68" t="n">
        <v>92.693128450369</v>
      </c>
      <c r="D68" t="n">
        <v>0.039612106422268</v>
      </c>
      <c r="E68" t="n">
        <v>-6.8287801745686</v>
      </c>
      <c r="F68" t="n">
        <v>-2.2320004452599</v>
      </c>
      <c r="G68" t="n">
        <v>51959395.829846</v>
      </c>
      <c r="H68" t="n">
        <v>10135487.881443</v>
      </c>
      <c r="I68" t="n">
        <v>-0.018412434058093</v>
      </c>
      <c r="J68" t="n">
        <v>-0.017576834644251</v>
      </c>
      <c r="K68" t="n">
        <v>0.037111269577434</v>
      </c>
      <c r="L68" t="n">
        <v>-0.60621415211578</v>
      </c>
      <c r="M68" t="n">
        <v>-0.60815117128219</v>
      </c>
      <c r="N68" t="n">
        <v>513.76312248052</v>
      </c>
      <c r="O68" t="n">
        <v>576.48016187659</v>
      </c>
    </row>
    <row r="69">
      <c r="A69" t="n">
        <v>12.806684939098</v>
      </c>
      <c r="B69" t="n">
        <v>0.038147736116987</v>
      </c>
      <c r="C69" t="n">
        <v>92.692923416509</v>
      </c>
      <c r="D69" t="n">
        <v>0.040239931459662</v>
      </c>
      <c r="E69" t="n">
        <v>-6.8514577563116</v>
      </c>
      <c r="F69" t="n">
        <v>-2.2326173209608</v>
      </c>
      <c r="G69" t="n">
        <v>52668702.962961</v>
      </c>
      <c r="H69" t="n">
        <v>10255009.659488</v>
      </c>
      <c r="I69" t="n">
        <v>-0.018707523095846</v>
      </c>
      <c r="J69" t="n">
        <v>-0.017857029851853</v>
      </c>
      <c r="K69" t="n">
        <v>0.037688902434636</v>
      </c>
      <c r="L69" t="n">
        <v>-0.61761615339821</v>
      </c>
      <c r="M69" t="n">
        <v>-0.61953081044777</v>
      </c>
      <c r="N69" t="n">
        <v>514.93127398938</v>
      </c>
      <c r="O69" t="n">
        <v>577.86400972302</v>
      </c>
    </row>
    <row r="70">
      <c r="A70" t="n">
        <v>13.006684939098</v>
      </c>
      <c r="B70" t="n">
        <v>0.038768858128449</v>
      </c>
      <c r="C70" t="n">
        <v>92.692726210579</v>
      </c>
      <c r="D70" t="n">
        <v>0.040867684211807</v>
      </c>
      <c r="E70" t="n">
        <v>-6.8697979431528</v>
      </c>
      <c r="F70" t="n">
        <v>-2.2485505486296</v>
      </c>
      <c r="G70" t="n">
        <v>53380643.601886</v>
      </c>
      <c r="H70" t="n">
        <v>10374930.92198</v>
      </c>
      <c r="I70" t="n">
        <v>-0.019002465341663</v>
      </c>
      <c r="J70" t="n">
        <v>-0.018137044110324</v>
      </c>
      <c r="K70" t="n">
        <v>0.038266197018921</v>
      </c>
      <c r="L70" t="n">
        <v>-0.62882668773001</v>
      </c>
      <c r="M70" t="n">
        <v>-0.6307174568627</v>
      </c>
      <c r="N70" t="n">
        <v>516.09446800027</v>
      </c>
      <c r="O70" t="n">
        <v>579.2417757496</v>
      </c>
    </row>
    <row r="71">
      <c r="A71" t="n">
        <v>13.206684939098</v>
      </c>
      <c r="B71" t="n">
        <v>0.039389908426922</v>
      </c>
      <c r="C71" t="n">
        <v>92.69252314326199</v>
      </c>
      <c r="D71" t="n">
        <v>0.041495367328228</v>
      </c>
      <c r="E71" t="n">
        <v>-6.8704978980947</v>
      </c>
      <c r="F71" t="n">
        <v>-2.2491724571844</v>
      </c>
      <c r="G71" t="n">
        <v>54095188.46254</v>
      </c>
      <c r="H71" t="n">
        <v>10495246.743741</v>
      </c>
      <c r="I71" t="n">
        <v>-0.019297261356171</v>
      </c>
      <c r="J71" t="n">
        <v>-0.018416878091826</v>
      </c>
      <c r="K71" t="n">
        <v>0.038843153737875</v>
      </c>
      <c r="L71" t="n">
        <v>-0.64006461567135</v>
      </c>
      <c r="M71" t="n">
        <v>-0.64194597768298</v>
      </c>
      <c r="N71" t="n">
        <v>517.2528053546901</v>
      </c>
      <c r="O71" t="n">
        <v>580.61381343174</v>
      </c>
    </row>
    <row r="72">
      <c r="A72" t="n">
        <v>13.406684939098</v>
      </c>
      <c r="B72" t="n">
        <v>0.040010890069823</v>
      </c>
      <c r="C72" t="n">
        <v>92.69233111160401</v>
      </c>
      <c r="D72" t="n">
        <v>0.042122983453421</v>
      </c>
      <c r="E72" t="n">
        <v>-6.8998058919033</v>
      </c>
      <c r="F72" t="n">
        <v>-2.2541384658767</v>
      </c>
      <c r="G72" t="n">
        <v>54812309.813447</v>
      </c>
      <c r="H72" t="n">
        <v>10615952.466806</v>
      </c>
      <c r="I72" t="n">
        <v>-0.019591911779552</v>
      </c>
      <c r="J72" t="n">
        <v>-0.018696532129739</v>
      </c>
      <c r="K72" t="n">
        <v>0.039419772993259</v>
      </c>
      <c r="L72" t="n">
        <v>-0.65141174948101</v>
      </c>
      <c r="M72" t="n">
        <v>-0.65327192359296</v>
      </c>
      <c r="N72" t="n">
        <v>518.40616615252</v>
      </c>
      <c r="O72" t="n">
        <v>581.9800781093001</v>
      </c>
    </row>
    <row r="73">
      <c r="A73" t="n">
        <v>13.606684939098</v>
      </c>
      <c r="B73" t="n">
        <v>0.040631804603602</v>
      </c>
      <c r="C73" t="n">
        <v>92.692114813925</v>
      </c>
      <c r="D73" t="n">
        <v>0.042750534617861</v>
      </c>
      <c r="E73" t="n">
        <v>-6.9171886914016</v>
      </c>
      <c r="F73" t="n">
        <v>-2.2577195109665</v>
      </c>
      <c r="G73" t="n">
        <v>55531978.644462</v>
      </c>
      <c r="H73" t="n">
        <v>10737043.223458</v>
      </c>
      <c r="I73" t="n">
        <v>-0.019886416169587</v>
      </c>
      <c r="J73" t="n">
        <v>-0.018976006241099</v>
      </c>
      <c r="K73" t="n">
        <v>0.039996055176385</v>
      </c>
      <c r="L73" t="n">
        <v>-0.66279839678304</v>
      </c>
      <c r="M73" t="n">
        <v>-0.66465290149411</v>
      </c>
      <c r="N73" t="n">
        <v>519.55479843244</v>
      </c>
      <c r="O73" t="n">
        <v>583.34080446778</v>
      </c>
    </row>
    <row r="74">
      <c r="A74" t="n">
        <v>13.806684939098</v>
      </c>
      <c r="B74" t="n">
        <v>0.041252655741164</v>
      </c>
      <c r="C74" t="n">
        <v>92.691881460489</v>
      </c>
      <c r="D74" t="n">
        <v>0.043378023402794</v>
      </c>
      <c r="E74" t="n">
        <v>-6.9650028219125</v>
      </c>
      <c r="F74" t="n">
        <v>-2.2505258666768</v>
      </c>
      <c r="G74" t="n">
        <v>56254168.364555</v>
      </c>
      <c r="H74" t="n">
        <v>10858514.553929</v>
      </c>
      <c r="I74" t="n">
        <v>-0.020180775013549</v>
      </c>
      <c r="J74" t="n">
        <v>-0.019255300476396</v>
      </c>
      <c r="K74" t="n">
        <v>0.040572000693625</v>
      </c>
      <c r="L74" t="n">
        <v>-0.67420441581655</v>
      </c>
      <c r="M74" t="n">
        <v>-0.67603638691671</v>
      </c>
      <c r="N74" t="n">
        <v>520.69855986273</v>
      </c>
      <c r="O74" t="n">
        <v>584.69583003304</v>
      </c>
    </row>
    <row r="75">
      <c r="A75" t="n">
        <v>14.006684939098</v>
      </c>
      <c r="B75" t="n">
        <v>0.041873444452993</v>
      </c>
      <c r="C75" t="n">
        <v>92.691654786746</v>
      </c>
      <c r="D75" t="n">
        <v>0.044005451871779</v>
      </c>
      <c r="E75" t="n">
        <v>-6.9766761896895</v>
      </c>
      <c r="F75" t="n">
        <v>-2.2511498459374</v>
      </c>
      <c r="G75" t="n">
        <v>56978849.497045</v>
      </c>
      <c r="H75" t="n">
        <v>10980361.516887</v>
      </c>
      <c r="I75" t="n">
        <v>-0.020474987835693</v>
      </c>
      <c r="J75" t="n">
        <v>-0.019534414853661</v>
      </c>
      <c r="K75" t="n">
        <v>0.04114760994889</v>
      </c>
      <c r="L75" t="n">
        <v>-0.68557125954539</v>
      </c>
      <c r="M75" t="n">
        <v>-0.6874004368795</v>
      </c>
      <c r="N75" t="n">
        <v>521.83776746757</v>
      </c>
      <c r="O75" t="n">
        <v>586.0454826720199</v>
      </c>
    </row>
    <row r="76">
      <c r="A76" t="n">
        <v>14.206684939098</v>
      </c>
      <c r="B76" t="n">
        <v>0.042494174175621</v>
      </c>
      <c r="C76" t="n">
        <v>92.69143014976</v>
      </c>
      <c r="D76" t="n">
        <v>0.044632822700127</v>
      </c>
      <c r="E76" t="n">
        <v>-6.988348192434</v>
      </c>
      <c r="F76" t="n">
        <v>-2.2407890262675</v>
      </c>
      <c r="G76" t="n">
        <v>57705995.925604</v>
      </c>
      <c r="H76" t="n">
        <v>11102579.737659</v>
      </c>
      <c r="I76" t="n">
        <v>-0.020769055646082</v>
      </c>
      <c r="J76" t="n">
        <v>-0.019813349564633</v>
      </c>
      <c r="K76" t="n">
        <v>0.041722883330498</v>
      </c>
      <c r="L76" t="n">
        <v>-0.69700960810983</v>
      </c>
      <c r="M76" t="n">
        <v>-0.69881799062318</v>
      </c>
      <c r="N76" t="n">
        <v>522.97224038322</v>
      </c>
      <c r="O76" t="n">
        <v>587.38968606483</v>
      </c>
    </row>
    <row r="77">
      <c r="A77" t="n">
        <v>14.406684939098</v>
      </c>
      <c r="B77" t="n">
        <v>0.04311484644873</v>
      </c>
      <c r="C77" t="n">
        <v>92.691216597736</v>
      </c>
      <c r="D77" t="n">
        <v>0.045260138043757</v>
      </c>
      <c r="E77" t="n">
        <v>-7.0176776503089</v>
      </c>
      <c r="F77" t="n">
        <v>-2.245722304544</v>
      </c>
      <c r="G77" t="n">
        <v>58435579.902623</v>
      </c>
      <c r="H77" t="n">
        <v>11225164.576786</v>
      </c>
      <c r="I77" t="n">
        <v>-0.021062978511343</v>
      </c>
      <c r="J77" t="n">
        <v>-0.020092105197611</v>
      </c>
      <c r="K77" t="n">
        <v>0.042297821237734</v>
      </c>
      <c r="L77" t="n">
        <v>-0.70862529966653</v>
      </c>
      <c r="M77" t="n">
        <v>-0.71042167682888</v>
      </c>
      <c r="N77" t="n">
        <v>524.10211074561</v>
      </c>
      <c r="O77" t="n">
        <v>588.72872693055</v>
      </c>
    </row>
    <row r="78">
      <c r="A78" t="n">
        <v>14.606684939098</v>
      </c>
      <c r="B78" t="n">
        <v>0.043735463535365</v>
      </c>
      <c r="C78" t="n">
        <v>92.69100182914799</v>
      </c>
      <c r="D78" t="n">
        <v>0.045887399437205</v>
      </c>
      <c r="E78" t="n">
        <v>-7.0732910645222</v>
      </c>
      <c r="F78" t="n">
        <v>-2.2353656685605</v>
      </c>
      <c r="G78" t="n">
        <v>59167574.876127</v>
      </c>
      <c r="H78" t="n">
        <v>11348111.600803</v>
      </c>
      <c r="I78" t="n">
        <v>-0.021356755359019</v>
      </c>
      <c r="J78" t="n">
        <v>-0.020370680821072</v>
      </c>
      <c r="K78" t="n">
        <v>0.042872424070055</v>
      </c>
      <c r="L78" t="n">
        <v>-0.71999401720989</v>
      </c>
      <c r="M78" t="n">
        <v>-0.72178378825157</v>
      </c>
      <c r="N78" t="n">
        <v>525.2275832337</v>
      </c>
      <c r="O78" t="n">
        <v>590.06243432956</v>
      </c>
    </row>
    <row r="79">
      <c r="A79" t="n">
        <v>14.806684939098</v>
      </c>
      <c r="B79" t="n">
        <v>0.044356027857761</v>
      </c>
      <c r="C79" t="n">
        <v>92.690784456806</v>
      </c>
      <c r="D79" t="n">
        <v>0.046514609534086</v>
      </c>
      <c r="E79" t="n">
        <v>-7.080753741149</v>
      </c>
      <c r="F79" t="n">
        <v>-2.2401942102079</v>
      </c>
      <c r="G79" t="n">
        <v>59901954.888611</v>
      </c>
      <c r="H79" t="n">
        <v>11471416.477422</v>
      </c>
      <c r="I79" t="n">
        <v>-0.021650387600062</v>
      </c>
      <c r="J79" t="n">
        <v>-0.020649077540176</v>
      </c>
      <c r="K79" t="n">
        <v>0.043446692222235</v>
      </c>
      <c r="L79" t="n">
        <v>-0.73153538072615</v>
      </c>
      <c r="M79" t="n">
        <v>-0.73329465038923</v>
      </c>
      <c r="N79" t="n">
        <v>526.34852931796</v>
      </c>
      <c r="O79" t="n">
        <v>591.3910783072899</v>
      </c>
    </row>
    <row r="80">
      <c r="A80" t="n">
        <v>15.006684939098</v>
      </c>
      <c r="B80" t="n">
        <v>0.044976541514407</v>
      </c>
      <c r="C80" t="n">
        <v>92.69056860747899</v>
      </c>
      <c r="D80" t="n">
        <v>0.047141770068089</v>
      </c>
      <c r="E80" t="n">
        <v>-7.0704467097157</v>
      </c>
      <c r="F80" t="n">
        <v>-2.2408267092139</v>
      </c>
      <c r="G80" t="n">
        <v>60638694.170797</v>
      </c>
      <c r="H80" t="n">
        <v>11595074.912953</v>
      </c>
      <c r="I80" t="n">
        <v>-0.021943875221766</v>
      </c>
      <c r="J80" t="n">
        <v>-0.020927294880653</v>
      </c>
      <c r="K80" t="n">
        <v>0.044020626096794</v>
      </c>
      <c r="L80" t="n">
        <v>-0.74308766931338</v>
      </c>
      <c r="M80" t="n">
        <v>-0.74484282193796</v>
      </c>
      <c r="N80" t="n">
        <v>527.4650696651501</v>
      </c>
      <c r="O80" t="n">
        <v>592.71468481403</v>
      </c>
    </row>
    <row r="81">
      <c r="A81" t="n">
        <v>15.206684939098</v>
      </c>
      <c r="B81" t="n">
        <v>0.045597005710152</v>
      </c>
      <c r="C81" t="n">
        <v>92.69034743231001</v>
      </c>
      <c r="D81" t="n">
        <v>0.047768883087254</v>
      </c>
      <c r="E81" t="n">
        <v>-7.0995400691197</v>
      </c>
      <c r="F81" t="n">
        <v>-2.2543931248947</v>
      </c>
      <c r="G81" t="n">
        <v>61377766.2643</v>
      </c>
      <c r="H81" t="n">
        <v>11719082.498046</v>
      </c>
      <c r="I81" t="n">
        <v>-0.022237218350375</v>
      </c>
      <c r="J81" t="n">
        <v>-0.021205332943372</v>
      </c>
      <c r="K81" t="n">
        <v>0.044594226090149</v>
      </c>
      <c r="L81" t="n">
        <v>-0.75469571806492</v>
      </c>
      <c r="M81" t="n">
        <v>-0.7564293146943299</v>
      </c>
      <c r="N81" t="n">
        <v>528.57732461764</v>
      </c>
      <c r="O81" t="n">
        <v>594.03338555854</v>
      </c>
    </row>
    <row r="82">
      <c r="A82" t="n">
        <v>15.406684939098</v>
      </c>
      <c r="B82" t="n">
        <v>0.046217422358579</v>
      </c>
      <c r="C82" t="n">
        <v>92.690107194744</v>
      </c>
      <c r="D82" t="n">
        <v>0.048395950212208</v>
      </c>
      <c r="E82" t="n">
        <v>-7.1430852192787</v>
      </c>
      <c r="F82" t="n">
        <v>-2.2539792460052</v>
      </c>
      <c r="G82" t="n">
        <v>62119145.481609</v>
      </c>
      <c r="H82" t="n">
        <v>11843434.957407</v>
      </c>
      <c r="I82" t="n">
        <v>-0.022530417080594</v>
      </c>
      <c r="J82" t="n">
        <v>-0.021483191839162</v>
      </c>
      <c r="K82" t="n">
        <v>0.045167492600321</v>
      </c>
      <c r="L82" t="n">
        <v>-0.76636478480937</v>
      </c>
      <c r="M82" t="n">
        <v>-0.76809229199495</v>
      </c>
      <c r="N82" t="n">
        <v>529.68542354838</v>
      </c>
      <c r="O82" t="n">
        <v>595.34737636734</v>
      </c>
    </row>
    <row r="83">
      <c r="A83" t="n">
        <v>15.606684939098</v>
      </c>
      <c r="B83" t="n">
        <v>0.046837794557564</v>
      </c>
      <c r="C83" t="n">
        <v>92.689876815131</v>
      </c>
      <c r="D83" t="n">
        <v>0.049022973344528</v>
      </c>
      <c r="E83" t="n">
        <v>-7.1437558021063</v>
      </c>
      <c r="F83" t="n">
        <v>-2.2546176303351</v>
      </c>
      <c r="G83" t="n">
        <v>62862807.580707</v>
      </c>
      <c r="H83" t="n">
        <v>11968128.261384</v>
      </c>
      <c r="I83" t="n">
        <v>-0.022823470843084</v>
      </c>
      <c r="J83" t="n">
        <v>-0.021760871540146</v>
      </c>
      <c r="K83" t="n">
        <v>0.045740426021978</v>
      </c>
      <c r="L83" t="n">
        <v>-0.7778689869852899</v>
      </c>
      <c r="M83" t="n">
        <v>-0.7795870015035</v>
      </c>
      <c r="N83" t="n">
        <v>530.7893237990299</v>
      </c>
      <c r="O83" t="n">
        <v>596.65640551787</v>
      </c>
    </row>
    <row r="84">
      <c r="A84" t="n">
        <v>15.806684939098</v>
      </c>
      <c r="B84" t="n">
        <v>0.047458123564779</v>
      </c>
      <c r="C84" t="n">
        <v>92.68965154734801</v>
      </c>
      <c r="D84" t="n">
        <v>0.049649954738937</v>
      </c>
      <c r="E84" t="n">
        <v>-7.1398260079584</v>
      </c>
      <c r="F84" t="n">
        <v>-2.2488622512456</v>
      </c>
      <c r="G84" t="n">
        <v>63608727.712533</v>
      </c>
      <c r="H84" t="n">
        <v>12093158.278259</v>
      </c>
      <c r="I84" t="n">
        <v>-0.023116380708686</v>
      </c>
      <c r="J84" t="n">
        <v>-0.022038373013157</v>
      </c>
      <c r="K84" t="n">
        <v>0.046313026747831</v>
      </c>
      <c r="L84" t="n">
        <v>-0.78954057995447</v>
      </c>
      <c r="M84" t="n">
        <v>-0.7912337226852</v>
      </c>
      <c r="N84" t="n">
        <v>531.8889602329</v>
      </c>
      <c r="O84" t="n">
        <v>597.9606999725</v>
      </c>
    </row>
    <row r="85">
      <c r="A85" t="n">
        <v>16.006684939098</v>
      </c>
      <c r="B85" t="n">
        <v>0.04807841170044</v>
      </c>
      <c r="C85" t="n">
        <v>92.68943055051901</v>
      </c>
      <c r="D85" t="n">
        <v>0.050276896152489</v>
      </c>
      <c r="E85" t="n">
        <v>-7.1362066150931</v>
      </c>
      <c r="F85" t="n">
        <v>-2.2537834567645</v>
      </c>
      <c r="G85" t="n">
        <v>64356880.91185</v>
      </c>
      <c r="H85" t="n">
        <v>12218520.860493</v>
      </c>
      <c r="I85" t="n">
        <v>-0.023409146624128</v>
      </c>
      <c r="J85" t="n">
        <v>-0.022315695910452</v>
      </c>
      <c r="K85" t="n">
        <v>0.046885295176995</v>
      </c>
      <c r="L85" t="n">
        <v>-0.8012405074829601</v>
      </c>
      <c r="M85" t="n">
        <v>-0.80292734152503</v>
      </c>
      <c r="N85" t="n">
        <v>532.98443660206</v>
      </c>
      <c r="O85" t="n">
        <v>599.26029455002</v>
      </c>
    </row>
    <row r="86">
      <c r="A86" t="n">
        <v>16.206684939098</v>
      </c>
      <c r="B86" t="n">
        <v>0.048698660628874</v>
      </c>
      <c r="C86" t="n">
        <v>92.689202325656</v>
      </c>
      <c r="D86" t="n">
        <v>0.050903799079958</v>
      </c>
      <c r="E86" t="n">
        <v>-7.1588424483631</v>
      </c>
      <c r="F86" t="n">
        <v>-2.265416329318</v>
      </c>
      <c r="G86" t="n">
        <v>65107242.847809</v>
      </c>
      <c r="H86" t="n">
        <v>12344211.97366</v>
      </c>
      <c r="I86" t="n">
        <v>-0.023701768233569</v>
      </c>
      <c r="J86" t="n">
        <v>-0.022592840395749</v>
      </c>
      <c r="K86" t="n">
        <v>0.047457231701893</v>
      </c>
      <c r="L86" t="n">
        <v>-0.81290247499263</v>
      </c>
      <c r="M86" t="n">
        <v>-0.8145831172059</v>
      </c>
      <c r="N86" t="n">
        <v>534.07586145762</v>
      </c>
      <c r="O86" t="n">
        <v>600.5552308190501</v>
      </c>
    </row>
    <row r="87">
      <c r="A87" t="n">
        <v>16.406684939098</v>
      </c>
      <c r="B87" t="n">
        <v>0.049318872201872</v>
      </c>
      <c r="C87" t="n">
        <v>92.688971144514</v>
      </c>
      <c r="D87" t="n">
        <v>0.051530665816392</v>
      </c>
      <c r="E87" t="n">
        <v>-7.1924637716758</v>
      </c>
      <c r="F87" t="n">
        <v>-2.255077625289</v>
      </c>
      <c r="G87" t="n">
        <v>65859789.425084</v>
      </c>
      <c r="H87" t="n">
        <v>12470227.618381</v>
      </c>
      <c r="I87" t="n">
        <v>-0.023994245756816</v>
      </c>
      <c r="J87" t="n">
        <v>-0.022869807391296</v>
      </c>
      <c r="K87" t="n">
        <v>0.048028836710746</v>
      </c>
      <c r="L87" t="n">
        <v>-0.82466166002949</v>
      </c>
      <c r="M87" t="n">
        <v>-0.82631700712363</v>
      </c>
      <c r="N87" t="n">
        <v>535.16315694485</v>
      </c>
      <c r="O87" t="n">
        <v>601.84555818597</v>
      </c>
    </row>
    <row r="88">
      <c r="A88" t="n">
        <v>16.606684939098</v>
      </c>
      <c r="B88" t="n">
        <v>0.049939048002897</v>
      </c>
      <c r="C88" t="n">
        <v>92.68874183929501</v>
      </c>
      <c r="D88" t="n">
        <v>0.052157497806372</v>
      </c>
      <c r="E88" t="n">
        <v>-7.1821390384252</v>
      </c>
      <c r="F88" t="n">
        <v>-2.2557262733254</v>
      </c>
      <c r="G88" t="n">
        <v>66614495.885141</v>
      </c>
      <c r="H88" t="n">
        <v>12596563.690082</v>
      </c>
      <c r="I88" t="n">
        <v>-0.02428657901097</v>
      </c>
      <c r="J88" t="n">
        <v>-0.023146596647163</v>
      </c>
      <c r="K88" t="n">
        <v>0.048600110588612</v>
      </c>
      <c r="L88" t="n">
        <v>-0.83642357775151</v>
      </c>
      <c r="M88" t="n">
        <v>-0.83807350994876</v>
      </c>
      <c r="N88" t="n">
        <v>536.24653671363</v>
      </c>
      <c r="O88" t="n">
        <v>603.13146061241</v>
      </c>
    </row>
    <row r="89">
      <c r="A89" t="n">
        <v>16.806684939098</v>
      </c>
      <c r="B89" t="n">
        <v>0.050559189905324</v>
      </c>
      <c r="C89" t="n">
        <v>92.68850749672799</v>
      </c>
      <c r="D89" t="n">
        <v>0.05278429686517</v>
      </c>
      <c r="E89" t="n">
        <v>-7.2116353237489</v>
      </c>
      <c r="F89" t="n">
        <v>-2.2604934403402</v>
      </c>
      <c r="G89" t="n">
        <v>67371338.77844401</v>
      </c>
      <c r="H89" t="n">
        <v>12723216.307328</v>
      </c>
      <c r="I89" t="n">
        <v>-0.024578767942234</v>
      </c>
      <c r="J89" t="n">
        <v>-0.023423208483161</v>
      </c>
      <c r="K89" t="n">
        <v>0.049171053735854</v>
      </c>
      <c r="L89" t="n">
        <v>-0.84816816787958</v>
      </c>
      <c r="M89" t="n">
        <v>-0.8498090977172</v>
      </c>
      <c r="N89" t="n">
        <v>537.32599417658</v>
      </c>
      <c r="O89" t="n">
        <v>604.41291042077</v>
      </c>
    </row>
    <row r="90">
      <c r="A90" t="n">
        <v>17</v>
      </c>
      <c r="B90" t="n">
        <v>0.051158429573192</v>
      </c>
      <c r="C90" t="n">
        <v>92.688262296468</v>
      </c>
      <c r="D90" t="n">
        <v>0.053390102793445</v>
      </c>
      <c r="E90" t="n">
        <v>-7.2262705295514</v>
      </c>
      <c r="F90" t="n">
        <v>-2.2641122752043</v>
      </c>
      <c r="G90" t="n">
        <v>68104720.238105</v>
      </c>
      <c r="H90" t="n">
        <v>12845903.780129</v>
      </c>
      <c r="I90" t="n">
        <v>-0.024861026640512</v>
      </c>
      <c r="J90" t="n">
        <v>-0.023690381257825</v>
      </c>
      <c r="K90" t="n">
        <v>0.049722599394433</v>
      </c>
      <c r="L90" t="n">
        <v>-0.8589804063362</v>
      </c>
      <c r="M90" t="n">
        <v>-0.86059114752567</v>
      </c>
      <c r="N90" t="n">
        <v>538.39004769681</v>
      </c>
      <c r="O90" t="n">
        <v>605.67241452594</v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:O90"/>
    </sheetView>
  </sheetViews>
  <sheetFormatPr baseColWidth="8" defaultColWidth="8.85546875" defaultRowHeight="15"/>
  <sheetData>
    <row r="1">
      <c r="A1" t="inlineStr">
        <is>
          <t>time</t>
        </is>
      </c>
      <c r="B1" t="inlineStr">
        <is>
          <t>Ep_eff</t>
        </is>
      </c>
      <c r="C1" t="inlineStr">
        <is>
          <t>Phi</t>
        </is>
      </c>
      <c r="D1" t="inlineStr">
        <is>
          <t>eeq</t>
        </is>
      </c>
      <c r="E1" t="inlineStr">
        <is>
          <t>phi_1</t>
        </is>
      </c>
      <c r="F1" t="inlineStr">
        <is>
          <t>phi_2</t>
        </is>
      </c>
      <c r="G1" t="inlineStr">
        <is>
          <t>rho_i</t>
        </is>
      </c>
      <c r="H1" t="inlineStr">
        <is>
          <t>rho_m</t>
        </is>
      </c>
      <c r="I1" t="inlineStr">
        <is>
          <t>strain_xx</t>
        </is>
      </c>
      <c r="J1" t="inlineStr">
        <is>
          <t>strain_yy</t>
        </is>
      </c>
      <c r="K1" t="inlineStr">
        <is>
          <t>strain_zz</t>
        </is>
      </c>
      <c r="L1" t="inlineStr">
        <is>
          <t>stress_xx</t>
        </is>
      </c>
      <c r="M1" t="inlineStr">
        <is>
          <t>stress_yy</t>
        </is>
      </c>
      <c r="N1" t="inlineStr">
        <is>
          <t>stress_zz</t>
        </is>
      </c>
      <c r="O1" t="inlineStr">
        <is>
          <t>vonmises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0.0025830812468784</v>
      </c>
      <c r="B3" s="6" t="n">
        <v>7.9794350156811e-32</v>
      </c>
      <c r="C3" t="n">
        <v>92.68159957193301</v>
      </c>
      <c r="D3" s="6" t="n">
        <v>7.0976324146659e-06</v>
      </c>
      <c r="E3" t="n">
        <v>-5.6421876524785</v>
      </c>
      <c r="F3" t="n">
        <v>-2.7149641684479</v>
      </c>
      <c r="G3" t="n">
        <v>16000000</v>
      </c>
      <c r="H3" t="n">
        <v>4000000</v>
      </c>
      <c r="I3" s="6" t="n">
        <v>-2.0917529569729e-06</v>
      </c>
      <c r="J3" s="6" t="n">
        <v>-1.9986335771929e-06</v>
      </c>
      <c r="K3" s="6" t="n">
        <v>7.7492132953676e-06</v>
      </c>
      <c r="L3" s="6" t="n">
        <v>-1.6222025341985e-07</v>
      </c>
      <c r="M3" s="6" t="n">
        <v>-1.6807884180003e-07</v>
      </c>
      <c r="N3" t="n">
        <v>1.6353103255471</v>
      </c>
      <c r="O3" t="n">
        <v>1.7195718869275</v>
      </c>
    </row>
    <row r="4">
      <c r="A4" t="n">
        <v>0.018444056862426</v>
      </c>
      <c r="B4" s="6" t="n">
        <v>2.5103255574083e-28</v>
      </c>
      <c r="C4" t="n">
        <v>92.681713324231</v>
      </c>
      <c r="D4" s="6" t="n">
        <v>5.0681306557432e-05</v>
      </c>
      <c r="E4" t="n">
        <v>-5.6421885736515</v>
      </c>
      <c r="F4" t="n">
        <v>-2.7148640750154</v>
      </c>
      <c r="G4" t="n">
        <v>16000000</v>
      </c>
      <c r="H4" t="n">
        <v>4000000</v>
      </c>
      <c r="I4" s="6" t="n">
        <v>-1.493818344097e-05</v>
      </c>
      <c r="J4" s="6" t="n">
        <v>-1.4273142474264e-05</v>
      </c>
      <c r="K4" s="6" t="n">
        <v>5.5330618406147e-05</v>
      </c>
      <c r="L4" s="6" t="n">
        <v>-8.2668444527196e-06</v>
      </c>
      <c r="M4" s="6" t="n">
        <v>-8.565587590915599e-06</v>
      </c>
      <c r="N4" t="n">
        <v>11.679777186108</v>
      </c>
      <c r="O4" t="n">
        <v>12.281378435819</v>
      </c>
    </row>
    <row r="5">
      <c r="A5" t="n">
        <v>0.1</v>
      </c>
      <c r="B5" s="6" t="n">
        <v>9.9331878910772e-21</v>
      </c>
      <c r="C5" t="n">
        <v>92.68150636248799</v>
      </c>
      <c r="D5" t="n">
        <v>0.00027483998982319</v>
      </c>
      <c r="E5" t="n">
        <v>-5.8811418423231</v>
      </c>
      <c r="F5" t="n">
        <v>-3.0288706981289</v>
      </c>
      <c r="G5" t="n">
        <v>16000000</v>
      </c>
      <c r="H5" t="n">
        <v>4000000</v>
      </c>
      <c r="I5" s="6" t="n">
        <v>-8.1066937547127e-05</v>
      </c>
      <c r="J5" s="6" t="n">
        <v>-7.7457127873655e-05</v>
      </c>
      <c r="K5" t="n">
        <v>0.00029995437984488</v>
      </c>
      <c r="L5" t="n">
        <v>-0.00024136903981176</v>
      </c>
      <c r="M5" t="n">
        <v>-0.00025020568166943</v>
      </c>
      <c r="N5" t="n">
        <v>63.42262607453</v>
      </c>
      <c r="O5" t="n">
        <v>66.68288471423899</v>
      </c>
    </row>
    <row r="6">
      <c r="A6" t="n">
        <v>0.20668493909835</v>
      </c>
      <c r="B6" s="6" t="n">
        <v>3.0715523011365e-15</v>
      </c>
      <c r="C6" t="n">
        <v>92.68709368902501</v>
      </c>
      <c r="D6" t="n">
        <v>0.00056819344032959</v>
      </c>
      <c r="E6" t="n">
        <v>-5.7735570050507</v>
      </c>
      <c r="F6" t="n">
        <v>-2.7062926467726</v>
      </c>
      <c r="G6" t="n">
        <v>16000000.000002</v>
      </c>
      <c r="H6" t="n">
        <v>4000000.0000003</v>
      </c>
      <c r="I6" t="n">
        <v>-0.00016773244856644</v>
      </c>
      <c r="J6" t="n">
        <v>-0.00016026170277668</v>
      </c>
      <c r="K6" t="n">
        <v>0.00061985997902037</v>
      </c>
      <c r="L6" t="n">
        <v>-0.0010355448204319</v>
      </c>
      <c r="M6" t="n">
        <v>-0.0010730311979031</v>
      </c>
      <c r="N6" t="n">
        <v>131.32150603419</v>
      </c>
      <c r="O6" t="n">
        <v>138.05594671987</v>
      </c>
    </row>
    <row r="7">
      <c r="A7" t="n">
        <v>0.40668493909835</v>
      </c>
      <c r="B7" s="6" t="n">
        <v>9.8029147818532e-09</v>
      </c>
      <c r="C7" t="n">
        <v>92.69477367066099</v>
      </c>
      <c r="D7" t="n">
        <v>0.0011185714533647</v>
      </c>
      <c r="E7" t="n">
        <v>-6.0937418497339</v>
      </c>
      <c r="F7" t="n">
        <v>-2.5548894289071</v>
      </c>
      <c r="G7" t="n">
        <v>16000005.377671</v>
      </c>
      <c r="H7" t="n">
        <v>4000000.9344897</v>
      </c>
      <c r="I7" t="n">
        <v>-0.00033078892392921</v>
      </c>
      <c r="J7" t="n">
        <v>-0.00031604841907534</v>
      </c>
      <c r="K7" t="n">
        <v>0.0012193007892577</v>
      </c>
      <c r="L7" t="n">
        <v>-0.0040133929644783</v>
      </c>
      <c r="M7" t="n">
        <v>-0.0041581946786666</v>
      </c>
      <c r="N7" t="n">
        <v>259.36379577124</v>
      </c>
      <c r="O7" t="n">
        <v>272.60019676866</v>
      </c>
    </row>
    <row r="8">
      <c r="A8" t="n">
        <v>0.60668493909835</v>
      </c>
      <c r="B8" s="6" t="n">
        <v>4.403477181618e-05</v>
      </c>
      <c r="C8" t="n">
        <v>92.70006278061901</v>
      </c>
      <c r="D8" t="n">
        <v>0.0016765272536352</v>
      </c>
      <c r="E8" t="n">
        <v>-5.9082270623814</v>
      </c>
      <c r="F8" t="n">
        <v>-2.336073376891</v>
      </c>
      <c r="G8" t="n">
        <v>16024578.394429</v>
      </c>
      <c r="H8" t="n">
        <v>4004270.104297</v>
      </c>
      <c r="I8" t="n">
        <v>-0.00050384819347502</v>
      </c>
      <c r="J8" t="n">
        <v>-0.00048175536308654</v>
      </c>
      <c r="K8" t="n">
        <v>0.0018183782910286</v>
      </c>
      <c r="L8" t="n">
        <v>-0.0093410366373647</v>
      </c>
      <c r="M8" t="n">
        <v>-0.009695063756856999</v>
      </c>
      <c r="N8" t="n">
        <v>379.82531131589</v>
      </c>
      <c r="O8" t="n">
        <v>399.41799018325</v>
      </c>
    </row>
    <row r="9">
      <c r="A9" t="n">
        <v>0.80668493909835</v>
      </c>
      <c r="B9" t="n">
        <v>0.00046431499105584</v>
      </c>
      <c r="C9" t="n">
        <v>92.700069252023</v>
      </c>
      <c r="D9" t="n">
        <v>0.0022810914314903</v>
      </c>
      <c r="E9" t="n">
        <v>-6.1845933241785</v>
      </c>
      <c r="F9" t="n">
        <v>-2.1227345938816</v>
      </c>
      <c r="G9" t="n">
        <v>16271317.364932</v>
      </c>
      <c r="H9" t="n">
        <v>4047112.4379765</v>
      </c>
      <c r="I9" t="n">
        <v>-0.00075321800371105</v>
      </c>
      <c r="J9" t="n">
        <v>-0.00071993121738735</v>
      </c>
      <c r="K9" t="n">
        <v>0.0024170944539323</v>
      </c>
      <c r="L9" t="n">
        <v>-0.01594730945467</v>
      </c>
      <c r="M9" t="n">
        <v>-0.016699792055562</v>
      </c>
      <c r="N9" t="n">
        <v>432.07877891835</v>
      </c>
      <c r="O9" t="n">
        <v>457.21753368382</v>
      </c>
    </row>
    <row r="10">
      <c r="A10" t="n">
        <v>1.0066849390983</v>
      </c>
      <c r="B10" t="n">
        <v>0.0010700786009918</v>
      </c>
      <c r="C10" t="n">
        <v>92.700994550464</v>
      </c>
      <c r="D10" t="n">
        <v>0.0029068510757731</v>
      </c>
      <c r="E10" t="n">
        <v>-6.2601004497661</v>
      </c>
      <c r="F10" t="n">
        <v>-2.0612127403498</v>
      </c>
      <c r="G10" t="n">
        <v>16652807.321435</v>
      </c>
      <c r="H10" t="n">
        <v>4113298.7160073</v>
      </c>
      <c r="I10" t="n">
        <v>-0.0010419021498666</v>
      </c>
      <c r="J10" t="n">
        <v>-0.00099232081286868</v>
      </c>
      <c r="K10" t="n">
        <v>0.0030154446192412</v>
      </c>
      <c r="L10" t="n">
        <v>-0.024997394131701</v>
      </c>
      <c r="M10" t="n">
        <v>-0.026047735053142</v>
      </c>
      <c r="N10" t="n">
        <v>449.83147725864</v>
      </c>
      <c r="O10" t="n">
        <v>479.81661207953</v>
      </c>
    </row>
    <row r="11">
      <c r="A11" t="n">
        <v>1.2066849390983</v>
      </c>
      <c r="B11" t="n">
        <v>0.0017041169210877</v>
      </c>
      <c r="C11" t="n">
        <v>92.701560821412</v>
      </c>
      <c r="D11" t="n">
        <v>0.0035397172120932</v>
      </c>
      <c r="E11" t="n">
        <v>-6.2838771148845</v>
      </c>
      <c r="F11" t="n">
        <v>-2.0617547326446</v>
      </c>
      <c r="G11" t="n">
        <v>17078008.922797</v>
      </c>
      <c r="H11" t="n">
        <v>4187009.6621415</v>
      </c>
      <c r="I11" t="n">
        <v>-0.001338674481868</v>
      </c>
      <c r="J11" t="n">
        <v>-0.0012731026090002</v>
      </c>
      <c r="K11" t="n">
        <v>0.0036134285186296</v>
      </c>
      <c r="L11" t="n">
        <v>-0.032758318267196</v>
      </c>
      <c r="M11" t="n">
        <v>-0.034136367658043</v>
      </c>
      <c r="N11" t="n">
        <v>459.649776307</v>
      </c>
      <c r="O11" t="n">
        <v>493.84253786374</v>
      </c>
    </row>
    <row r="12">
      <c r="A12" t="n">
        <v>1.4066849390983</v>
      </c>
      <c r="B12" t="n">
        <v>0.0023424104033999</v>
      </c>
      <c r="C12" t="n">
        <v>92.701735556049</v>
      </c>
      <c r="D12" t="n">
        <v>0.0041762259440117</v>
      </c>
      <c r="E12" t="n">
        <v>-6.3114993667083</v>
      </c>
      <c r="F12" t="n">
        <v>-2.0580907052515</v>
      </c>
      <c r="G12" t="n">
        <v>17527536.400191</v>
      </c>
      <c r="H12" t="n">
        <v>4264879.8732659</v>
      </c>
      <c r="I12" t="n">
        <v>-0.0016379347762198</v>
      </c>
      <c r="J12" t="n">
        <v>-0.0015578741820143</v>
      </c>
      <c r="K12" t="n">
        <v>0.0042110467309793</v>
      </c>
      <c r="L12" t="n">
        <v>-0.040936997360642</v>
      </c>
      <c r="M12" t="n">
        <v>-0.042599521760337</v>
      </c>
      <c r="N12" t="n">
        <v>466.23103743785</v>
      </c>
      <c r="O12" t="n">
        <v>503.9749040293</v>
      </c>
    </row>
    <row r="13">
      <c r="A13" t="n">
        <v>1.6066849390983</v>
      </c>
      <c r="B13" t="n">
        <v>0.0029802106441591</v>
      </c>
      <c r="C13" t="n">
        <v>92.701772593651</v>
      </c>
      <c r="D13" t="n">
        <v>0.0048144828052982</v>
      </c>
      <c r="E13" t="n">
        <v>-6.3279938991416</v>
      </c>
      <c r="F13" t="n">
        <v>-2.0543418735785</v>
      </c>
      <c r="G13" t="n">
        <v>17993790.553717</v>
      </c>
      <c r="H13" t="n">
        <v>4345590.7458665</v>
      </c>
      <c r="I13" t="n">
        <v>-0.0019380917339308</v>
      </c>
      <c r="J13" t="n">
        <v>-0.0018449189821193</v>
      </c>
      <c r="K13" t="n">
        <v>0.0048083004751112</v>
      </c>
      <c r="L13" t="n">
        <v>-0.050129773812237</v>
      </c>
      <c r="M13" t="n">
        <v>-0.051971651046097</v>
      </c>
      <c r="N13" t="n">
        <v>471.13154292327</v>
      </c>
      <c r="O13" t="n">
        <v>511.82260180551</v>
      </c>
    </row>
    <row r="14">
      <c r="A14" t="n">
        <v>1.8066849390983</v>
      </c>
      <c r="B14" t="n">
        <v>0.0036165780334565</v>
      </c>
      <c r="C14" t="n">
        <v>92.701755832101</v>
      </c>
      <c r="D14" t="n">
        <v>0.0054534592806658</v>
      </c>
      <c r="E14" t="n">
        <v>-6.3444298514057</v>
      </c>
      <c r="F14" t="n">
        <v>-2.0505433193363</v>
      </c>
      <c r="G14" t="n">
        <v>18472808.794551</v>
      </c>
      <c r="H14" t="n">
        <v>4428454.6990475</v>
      </c>
      <c r="I14" t="n">
        <v>-0.0022386042488295</v>
      </c>
      <c r="J14" t="n">
        <v>-0.0021332893612201</v>
      </c>
      <c r="K14" t="n">
        <v>0.0054051909643354</v>
      </c>
      <c r="L14" t="n">
        <v>-0.059401056377288</v>
      </c>
      <c r="M14" t="n">
        <v>-0.061391938286718</v>
      </c>
      <c r="N14" t="n">
        <v>475.05081030518</v>
      </c>
      <c r="O14" t="n">
        <v>518.17658181426</v>
      </c>
    </row>
    <row r="15">
      <c r="A15" t="n">
        <v>2.0066849390983</v>
      </c>
      <c r="B15" t="n">
        <v>0.0042515873782231</v>
      </c>
      <c r="C15" t="n">
        <v>92.701729027379</v>
      </c>
      <c r="D15" t="n">
        <v>0.0060926099163187</v>
      </c>
      <c r="E15" t="n">
        <v>-6.3373116239679</v>
      </c>
      <c r="F15" t="n">
        <v>-2.0592278102158</v>
      </c>
      <c r="G15" t="n">
        <v>18962104.932494</v>
      </c>
      <c r="H15" t="n">
        <v>4513040.1654859</v>
      </c>
      <c r="I15" t="n">
        <v>-0.0025392558634118</v>
      </c>
      <c r="J15" t="n">
        <v>-0.0024224170592212</v>
      </c>
      <c r="K15" t="n">
        <v>0.0060017190164838</v>
      </c>
      <c r="L15" t="n">
        <v>-0.06875141206786201</v>
      </c>
      <c r="M15" t="n">
        <v>-0.07087376646676</v>
      </c>
      <c r="N15" t="n">
        <v>478.36109729741</v>
      </c>
      <c r="O15" t="n">
        <v>523.51835152028</v>
      </c>
    </row>
    <row r="16">
      <c r="A16" t="n">
        <v>2.2066849390983</v>
      </c>
      <c r="B16" t="n">
        <v>0.0048854777243935</v>
      </c>
      <c r="C16" t="n">
        <v>92.70168783135399</v>
      </c>
      <c r="D16" t="n">
        <v>0.0067316528793118</v>
      </c>
      <c r="E16" t="n">
        <v>-6.3411394646678</v>
      </c>
      <c r="F16" t="n">
        <v>-2.0679269144002</v>
      </c>
      <c r="G16" t="n">
        <v>19460063.200843</v>
      </c>
      <c r="H16" t="n">
        <v>4599066.6201469</v>
      </c>
      <c r="I16" t="n">
        <v>-0.0028399892564966</v>
      </c>
      <c r="J16" t="n">
        <v>-0.0027119199680619</v>
      </c>
      <c r="K16" t="n">
        <v>0.006597885198451</v>
      </c>
      <c r="L16" t="n">
        <v>-0.078287105803147</v>
      </c>
      <c r="M16" t="n">
        <v>-0.08053658149416699</v>
      </c>
      <c r="N16" t="n">
        <v>481.27276128428</v>
      </c>
      <c r="O16" t="n">
        <v>528.15032453507</v>
      </c>
    </row>
    <row r="17">
      <c r="A17" t="n">
        <v>2.4066849390983</v>
      </c>
      <c r="B17" t="n">
        <v>0.0055184564598352</v>
      </c>
      <c r="C17" t="n">
        <v>92.70162805396799</v>
      </c>
      <c r="D17" t="n">
        <v>0.007370451870312</v>
      </c>
      <c r="E17" t="n">
        <v>-6.338091073459</v>
      </c>
      <c r="F17" t="n">
        <v>-2.0725063288076</v>
      </c>
      <c r="G17" t="n">
        <v>19965604.004083</v>
      </c>
      <c r="H17" t="n">
        <v>4686346.6083729</v>
      </c>
      <c r="I17" t="n">
        <v>-0.0031407871959327</v>
      </c>
      <c r="J17" t="n">
        <v>-0.0030015561222849</v>
      </c>
      <c r="K17" t="n">
        <v>0.0071936899526776</v>
      </c>
      <c r="L17" t="n">
        <v>-0.087728737363568</v>
      </c>
      <c r="M17" t="n">
        <v>-0.090054069035597</v>
      </c>
      <c r="N17" t="n">
        <v>483.91007988688</v>
      </c>
      <c r="O17" t="n">
        <v>532.26421329757</v>
      </c>
    </row>
    <row r="18">
      <c r="A18" t="n">
        <v>2.6066849390983</v>
      </c>
      <c r="B18" t="n">
        <v>0.0061506970903807</v>
      </c>
      <c r="C18" t="n">
        <v>92.70153949623101</v>
      </c>
      <c r="D18" t="n">
        <v>0.0080089411969206</v>
      </c>
      <c r="E18" t="n">
        <v>-6.3350094770644</v>
      </c>
      <c r="F18" t="n">
        <v>-2.0770853569663</v>
      </c>
      <c r="G18" t="n">
        <v>20477964.174035</v>
      </c>
      <c r="H18" t="n">
        <v>4774747.5888614</v>
      </c>
      <c r="I18" t="n">
        <v>-0.0034416257638568</v>
      </c>
      <c r="J18" t="n">
        <v>-0.0032911910291259</v>
      </c>
      <c r="K18" t="n">
        <v>0.0077891337019874</v>
      </c>
      <c r="L18" t="n">
        <v>-0.09727179723529999</v>
      </c>
      <c r="M18" t="n">
        <v>-0.09970513176199799</v>
      </c>
      <c r="N18" t="n">
        <v>486.3505693645</v>
      </c>
      <c r="O18" t="n">
        <v>535.98989738433</v>
      </c>
    </row>
    <row r="19">
      <c r="A19" t="n">
        <v>2.8066849390983</v>
      </c>
      <c r="B19" t="n">
        <v>0.0067823115832507</v>
      </c>
      <c r="C19" t="n">
        <v>92.701437711102</v>
      </c>
      <c r="D19" t="n">
        <v>0.0086470860433352</v>
      </c>
      <c r="E19" t="n">
        <v>-6.3428978234538</v>
      </c>
      <c r="F19" t="n">
        <v>-2.0816676650209</v>
      </c>
      <c r="G19" t="n">
        <v>20996597.396602</v>
      </c>
      <c r="H19" t="n">
        <v>4864174.6774386</v>
      </c>
      <c r="I19" t="n">
        <v>-0.0037424824004495</v>
      </c>
      <c r="J19" t="n">
        <v>-0.0035807461722093</v>
      </c>
      <c r="K19" t="n">
        <v>0.008384216934059999</v>
      </c>
      <c r="L19" t="n">
        <v>-0.10702726205414</v>
      </c>
      <c r="M19" t="n">
        <v>-0.10952156430748</v>
      </c>
      <c r="N19" t="n">
        <v>488.64392576989</v>
      </c>
      <c r="O19" t="n">
        <v>539.41508559804</v>
      </c>
    </row>
    <row r="20">
      <c r="A20" t="n">
        <v>3.0066849390983</v>
      </c>
      <c r="B20" t="n">
        <v>0.0074133768817828</v>
      </c>
      <c r="C20" t="n">
        <v>92.701318526694</v>
      </c>
      <c r="D20" t="n">
        <v>0.009284871740089601</v>
      </c>
      <c r="E20" t="n">
        <v>-6.354939876132</v>
      </c>
      <c r="F20" t="n">
        <v>-2.0821007278942</v>
      </c>
      <c r="G20" t="n">
        <v>21521092.769088</v>
      </c>
      <c r="H20" t="n">
        <v>4954556.4944583</v>
      </c>
      <c r="I20" t="n">
        <v>-0.0040433308296879</v>
      </c>
      <c r="J20" t="n">
        <v>-0.0038701799196901</v>
      </c>
      <c r="K20" t="n">
        <v>0.00897894016827</v>
      </c>
      <c r="L20" t="n">
        <v>-0.11683119853859</v>
      </c>
      <c r="M20" t="n">
        <v>-0.11938956386019</v>
      </c>
      <c r="N20" t="n">
        <v>490.82348119458</v>
      </c>
      <c r="O20" t="n">
        <v>542.60147694809</v>
      </c>
    </row>
    <row r="21">
      <c r="A21" t="n">
        <v>3.2066849390983</v>
      </c>
      <c r="B21" t="n">
        <v>0.008043947341286901</v>
      </c>
      <c r="C21" t="n">
        <v>92.701196940591</v>
      </c>
      <c r="D21" t="n">
        <v>0.0099222934322042</v>
      </c>
      <c r="E21" t="n">
        <v>-6.3517739011469</v>
      </c>
      <c r="F21" t="n">
        <v>-2.0867376757283</v>
      </c>
      <c r="G21" t="n">
        <v>22051125.880349</v>
      </c>
      <c r="H21" t="n">
        <v>5045836.6757794</v>
      </c>
      <c r="I21" t="n">
        <v>-0.0043441427708975</v>
      </c>
      <c r="J21" t="n">
        <v>-0.0041594732757281</v>
      </c>
      <c r="K21" t="n">
        <v>0.0095733039238316</v>
      </c>
      <c r="L21" t="n">
        <v>-0.12672594948186</v>
      </c>
      <c r="M21" t="n">
        <v>-0.12930802213284</v>
      </c>
      <c r="N21" t="n">
        <v>492.91295628874</v>
      </c>
      <c r="O21" t="n">
        <v>545.5949740587</v>
      </c>
    </row>
    <row r="22">
      <c r="A22" t="n">
        <v>3.4066849390983</v>
      </c>
      <c r="B22" t="n">
        <v>0.0086740674684529</v>
      </c>
      <c r="C22" t="n">
        <v>92.701066506095</v>
      </c>
      <c r="D22" t="n">
        <v>0.010559354368371</v>
      </c>
      <c r="E22" t="n">
        <v>-6.374767856306</v>
      </c>
      <c r="F22" t="n">
        <v>-2.0871820903048</v>
      </c>
      <c r="G22" t="n">
        <v>22586433.033171</v>
      </c>
      <c r="H22" t="n">
        <v>5137969.3999294</v>
      </c>
      <c r="I22" t="n">
        <v>-0.0046448953371362</v>
      </c>
      <c r="J22" t="n">
        <v>-0.0044486150721587</v>
      </c>
      <c r="K22" t="n">
        <v>0.010167308706019</v>
      </c>
      <c r="L22" t="n">
        <v>-0.13673171398533</v>
      </c>
      <c r="M22" t="n">
        <v>-0.13939591795544</v>
      </c>
      <c r="N22" t="n">
        <v>494.92973787274</v>
      </c>
      <c r="O22" t="n">
        <v>548.43112690422</v>
      </c>
    </row>
    <row r="23">
      <c r="A23" t="n">
        <v>3.6066849390983</v>
      </c>
      <c r="B23" t="n">
        <v>0.0093037766847818</v>
      </c>
      <c r="C23" t="n">
        <v>92.70093625411</v>
      </c>
      <c r="D23" t="n">
        <v>0.011196060508294</v>
      </c>
      <c r="E23" t="n">
        <v>-6.3715680818126</v>
      </c>
      <c r="F23" t="n">
        <v>-2.0918320999857</v>
      </c>
      <c r="G23" t="n">
        <v>23126801.11853</v>
      </c>
      <c r="H23" t="n">
        <v>5230917.6343203</v>
      </c>
      <c r="I23" t="n">
        <v>-0.0049455781033264</v>
      </c>
      <c r="J23" t="n">
        <v>-0.0047375910136786</v>
      </c>
      <c r="K23" t="n">
        <v>0.010760954970707</v>
      </c>
      <c r="L23" t="n">
        <v>-0.1468283923029</v>
      </c>
      <c r="M23" t="n">
        <v>-0.1495335378449</v>
      </c>
      <c r="N23" t="n">
        <v>496.88628572202</v>
      </c>
      <c r="O23" t="n">
        <v>551.1366860596301</v>
      </c>
    </row>
    <row r="24">
      <c r="A24" t="n">
        <v>3.8066849390983</v>
      </c>
      <c r="B24" t="n">
        <v>0.0099331017689211</v>
      </c>
      <c r="C24" t="n">
        <v>92.700794729912</v>
      </c>
      <c r="D24" t="n">
        <v>0.011832420043824</v>
      </c>
      <c r="E24" t="n">
        <v>-6.3683199183817</v>
      </c>
      <c r="F24" t="n">
        <v>-2.0965109094354</v>
      </c>
      <c r="G24" t="n">
        <v>23672054.019874</v>
      </c>
      <c r="H24" t="n">
        <v>5324650.7855913</v>
      </c>
      <c r="I24" t="n">
        <v>-0.0052461876752988</v>
      </c>
      <c r="J24" t="n">
        <v>-0.0050263864773576</v>
      </c>
      <c r="K24" t="n">
        <v>0.011354243181995</v>
      </c>
      <c r="L24" t="n">
        <v>-0.15702048384463</v>
      </c>
      <c r="M24" t="n">
        <v>-0.15973674110489</v>
      </c>
      <c r="N24" t="n">
        <v>498.79191751219</v>
      </c>
      <c r="O24" t="n">
        <v>553.73221752897</v>
      </c>
    </row>
    <row r="25">
      <c r="A25" t="n">
        <v>4.0066849390983</v>
      </c>
      <c r="B25" t="n">
        <v>0.010562060234311</v>
      </c>
      <c r="C25" t="n">
        <v>92.700645625981</v>
      </c>
      <c r="D25" t="n">
        <v>0.012468440874087</v>
      </c>
      <c r="E25" t="n">
        <v>-6.3692931325411</v>
      </c>
      <c r="F25" t="n">
        <v>-2.085989617762</v>
      </c>
      <c r="G25" t="n">
        <v>24222045.938426</v>
      </c>
      <c r="H25" t="n">
        <v>5419143.5427378</v>
      </c>
      <c r="I25" t="n">
        <v>-0.0055467254949563</v>
      </c>
      <c r="J25" t="n">
        <v>-0.0053149868376068</v>
      </c>
      <c r="K25" t="n">
        <v>0.011947173796177</v>
      </c>
      <c r="L25" t="n">
        <v>-0.16733726531618</v>
      </c>
      <c r="M25" t="n">
        <v>-0.17008471631192</v>
      </c>
      <c r="N25" t="n">
        <v>500.65362516656</v>
      </c>
      <c r="O25" t="n">
        <v>556.2334326327</v>
      </c>
    </row>
    <row r="26">
      <c r="A26" t="n">
        <v>4.2066849390983</v>
      </c>
      <c r="B26" t="n">
        <v>0.011190667853296</v>
      </c>
      <c r="C26" t="n">
        <v>92.70049178448301</v>
      </c>
      <c r="D26" t="n">
        <v>0.013104132398943</v>
      </c>
      <c r="E26" t="n">
        <v>-6.3702545012179</v>
      </c>
      <c r="F26" t="n">
        <v>-2.0754722948712</v>
      </c>
      <c r="G26" t="n">
        <v>24776649.649929</v>
      </c>
      <c r="H26" t="n">
        <v>5514373.8252855</v>
      </c>
      <c r="I26" t="n">
        <v>-0.0058471929180239</v>
      </c>
      <c r="J26" t="n">
        <v>-0.0056033792634593</v>
      </c>
      <c r="K26" t="n">
        <v>0.012539747259941</v>
      </c>
      <c r="L26" t="n">
        <v>-0.17768451980912</v>
      </c>
      <c r="M26" t="n">
        <v>-0.1804505682687</v>
      </c>
      <c r="N26" t="n">
        <v>502.47713470835</v>
      </c>
      <c r="O26" t="n">
        <v>558.65293715927</v>
      </c>
    </row>
    <row r="27">
      <c r="A27" t="n">
        <v>4.4066849390983</v>
      </c>
      <c r="B27" t="n">
        <v>0.011818942060084</v>
      </c>
      <c r="C27" t="n">
        <v>92.700365974508</v>
      </c>
      <c r="D27" t="n">
        <v>0.013739506804653</v>
      </c>
      <c r="E27" t="n">
        <v>-6.3627893905519</v>
      </c>
      <c r="F27" t="n">
        <v>-2.0733621300998</v>
      </c>
      <c r="G27" t="n">
        <v>25335751.258126</v>
      </c>
      <c r="H27" t="n">
        <v>5610321.8684715</v>
      </c>
      <c r="I27" t="n">
        <v>-0.006147587257079</v>
      </c>
      <c r="J27" t="n">
        <v>-0.0058915576613301</v>
      </c>
      <c r="K27" t="n">
        <v>0.013131964008939</v>
      </c>
      <c r="L27" t="n">
        <v>-0.18796956094578</v>
      </c>
      <c r="M27" t="n">
        <v>-0.1907785894855</v>
      </c>
      <c r="N27" t="n">
        <v>504.26693787297</v>
      </c>
      <c r="O27" t="n">
        <v>561.00111969328</v>
      </c>
    </row>
    <row r="28">
      <c r="A28" t="n">
        <v>4.6066849390983</v>
      </c>
      <c r="B28" t="n">
        <v>0.012446899233271</v>
      </c>
      <c r="C28" t="n">
        <v>92.700228187683</v>
      </c>
      <c r="D28" t="n">
        <v>0.014374577032001</v>
      </c>
      <c r="E28" t="n">
        <v>-6.3637529610232</v>
      </c>
      <c r="F28" t="n">
        <v>-2.0738248613227</v>
      </c>
      <c r="G28" t="n">
        <v>25899247.216812</v>
      </c>
      <c r="H28" t="n">
        <v>5706969.708972</v>
      </c>
      <c r="I28" t="n">
        <v>-0.0064479044015579</v>
      </c>
      <c r="J28" t="n">
        <v>-0.0061795215924506</v>
      </c>
      <c r="K28" t="n">
        <v>0.013723824496245</v>
      </c>
      <c r="L28" t="n">
        <v>-0.19869545952603</v>
      </c>
      <c r="M28" t="n">
        <v>-0.20152442836484</v>
      </c>
      <c r="N28" t="n">
        <v>506.02667160814</v>
      </c>
      <c r="O28" t="n">
        <v>563.28717986625</v>
      </c>
    </row>
    <row r="29">
      <c r="A29" t="n">
        <v>4.8066849390983</v>
      </c>
      <c r="B29" t="n">
        <v>0.013074555223496</v>
      </c>
      <c r="C29" t="n">
        <v>92.700091227649</v>
      </c>
      <c r="D29" t="n">
        <v>0.015009354112227</v>
      </c>
      <c r="E29" t="n">
        <v>-6.3494415393057</v>
      </c>
      <c r="F29" t="n">
        <v>-2.0785479332493</v>
      </c>
      <c r="G29" t="n">
        <v>26467044.891483</v>
      </c>
      <c r="H29" t="n">
        <v>5804301.2828222</v>
      </c>
      <c r="I29" t="n">
        <v>-0.0067481354422157</v>
      </c>
      <c r="J29" t="n">
        <v>-0.0064672715440512</v>
      </c>
      <c r="K29" t="n">
        <v>0.014315329159442</v>
      </c>
      <c r="L29" t="n">
        <v>-0.209309707886</v>
      </c>
      <c r="M29" t="n">
        <v>-0.21212688872647</v>
      </c>
      <c r="N29" t="n">
        <v>507.75952399336</v>
      </c>
      <c r="O29" t="n">
        <v>565.51803204022</v>
      </c>
    </row>
    <row r="30">
      <c r="A30" t="n">
        <v>5.0066849390983</v>
      </c>
      <c r="B30" t="n">
        <v>0.013701923642482</v>
      </c>
      <c r="C30" t="n">
        <v>92.699942060629</v>
      </c>
      <c r="D30" t="n">
        <v>0.015643849597792</v>
      </c>
      <c r="E30" t="n">
        <v>-6.339372324837</v>
      </c>
      <c r="F30" t="n">
        <v>-2.0790317255561</v>
      </c>
      <c r="G30" t="n">
        <v>27039060.606515</v>
      </c>
      <c r="H30" t="n">
        <v>5902302.0906311</v>
      </c>
      <c r="I30" t="n">
        <v>-0.0070482735226808</v>
      </c>
      <c r="J30" t="n">
        <v>-0.0067548104586267</v>
      </c>
      <c r="K30" t="n">
        <v>0.01490647847653</v>
      </c>
      <c r="L30" t="n">
        <v>-0.21982105357444</v>
      </c>
      <c r="M30" t="n">
        <v>-0.22266329604169</v>
      </c>
      <c r="N30" t="n">
        <v>509.46782245568</v>
      </c>
      <c r="O30" t="n">
        <v>567.69962082226</v>
      </c>
    </row>
    <row r="31">
      <c r="A31" t="n">
        <v>5.2066849390983</v>
      </c>
      <c r="B31" t="n">
        <v>0.014329015200866</v>
      </c>
      <c r="C31" t="n">
        <v>92.699798304514</v>
      </c>
      <c r="D31" t="n">
        <v>0.016278072881928</v>
      </c>
      <c r="E31" t="n">
        <v>-6.3292953721966</v>
      </c>
      <c r="F31" t="n">
        <v>-2.0685311519566</v>
      </c>
      <c r="G31" t="n">
        <v>27615219.711897</v>
      </c>
      <c r="H31" t="n">
        <v>6000959.2121747</v>
      </c>
      <c r="I31" t="n">
        <v>-0.0073483150534591</v>
      </c>
      <c r="J31" t="n">
        <v>-0.0070421406955838</v>
      </c>
      <c r="K31" t="n">
        <v>0.015497272908721</v>
      </c>
      <c r="L31" t="n">
        <v>-0.23069729203955</v>
      </c>
      <c r="M31" t="n">
        <v>-0.23353675515072</v>
      </c>
      <c r="N31" t="n">
        <v>511.15338546468</v>
      </c>
      <c r="O31" t="n">
        <v>569.83693409453</v>
      </c>
    </row>
    <row r="32">
      <c r="A32" t="n">
        <v>5.4066849390983</v>
      </c>
      <c r="B32" t="n">
        <v>0.014955838029226</v>
      </c>
      <c r="C32" t="n">
        <v>92.699663568811</v>
      </c>
      <c r="D32" t="n">
        <v>0.016912031985825</v>
      </c>
      <c r="E32" t="n">
        <v>-6.3107297108893</v>
      </c>
      <c r="F32" t="n">
        <v>-2.0555130228051</v>
      </c>
      <c r="G32" t="n">
        <v>28195450.729721</v>
      </c>
      <c r="H32" t="n">
        <v>6100260.2906837</v>
      </c>
      <c r="I32" t="n">
        <v>-0.0076482542666694</v>
      </c>
      <c r="J32" t="n">
        <v>-0.0073292623714727</v>
      </c>
      <c r="K32" t="n">
        <v>0.016087712924649</v>
      </c>
      <c r="L32" t="n">
        <v>-0.24153357780381</v>
      </c>
      <c r="M32" t="n">
        <v>-0.24438081609966</v>
      </c>
      <c r="N32" t="n">
        <v>512.8183519247</v>
      </c>
      <c r="O32" t="n">
        <v>571.93416430796</v>
      </c>
    </row>
    <row r="33">
      <c r="A33" t="n">
        <v>5.6066849390983</v>
      </c>
      <c r="B33" t="n">
        <v>0.015582404868339</v>
      </c>
      <c r="C33" t="n">
        <v>92.699526533694</v>
      </c>
      <c r="D33" t="n">
        <v>0.017545736898595</v>
      </c>
      <c r="E33" t="n">
        <v>-6.2964645723449</v>
      </c>
      <c r="F33" t="n">
        <v>-2.0601731995592</v>
      </c>
      <c r="G33" t="n">
        <v>28779687.811591</v>
      </c>
      <c r="H33" t="n">
        <v>6200193.9436397</v>
      </c>
      <c r="I33" t="n">
        <v>-0.0079480882145633</v>
      </c>
      <c r="J33" t="n">
        <v>-0.0076161773838003</v>
      </c>
      <c r="K33" t="n">
        <v>0.016677798981263</v>
      </c>
      <c r="L33" t="n">
        <v>-0.25254860316559</v>
      </c>
      <c r="M33" t="n">
        <v>-0.25538241458063</v>
      </c>
      <c r="N33" t="n">
        <v>514.46392661447</v>
      </c>
      <c r="O33" t="n">
        <v>573.9948882518</v>
      </c>
    </row>
    <row r="34">
      <c r="A34" t="n">
        <v>5.8066849390983</v>
      </c>
      <c r="B34" t="n">
        <v>0.016208726529562</v>
      </c>
      <c r="C34" t="n">
        <v>92.69938670574101</v>
      </c>
      <c r="D34" t="n">
        <v>0.018179198311864</v>
      </c>
      <c r="E34" t="n">
        <v>-6.2931175531623</v>
      </c>
      <c r="F34" t="n">
        <v>-2.0648954399365</v>
      </c>
      <c r="G34" t="n">
        <v>29367863.993517</v>
      </c>
      <c r="H34" t="n">
        <v>6300748.5986006</v>
      </c>
      <c r="I34" t="n">
        <v>-0.0082478129040749</v>
      </c>
      <c r="J34" t="n">
        <v>-0.007902885317683499</v>
      </c>
      <c r="K34" t="n">
        <v>0.017267531541106</v>
      </c>
      <c r="L34" t="n">
        <v>-0.26331986008256</v>
      </c>
      <c r="M34" t="n">
        <v>-0.26617972256552</v>
      </c>
      <c r="N34" t="n">
        <v>516.09166685772</v>
      </c>
      <c r="O34" t="n">
        <v>576.02233568654</v>
      </c>
    </row>
    <row r="35">
      <c r="A35" t="n">
        <v>6.0066849390983</v>
      </c>
      <c r="B35" t="n">
        <v>0.016834816142667</v>
      </c>
      <c r="C35" t="n">
        <v>92.699248634952</v>
      </c>
      <c r="D35" t="n">
        <v>0.018812427507027</v>
      </c>
      <c r="E35" t="n">
        <v>-6.2898263756642</v>
      </c>
      <c r="F35" t="n">
        <v>-2.0585734881132</v>
      </c>
      <c r="G35" t="n">
        <v>29959916.02593</v>
      </c>
      <c r="H35" t="n">
        <v>6401913.3259179</v>
      </c>
      <c r="I35" t="n">
        <v>-0.0085474282892689</v>
      </c>
      <c r="J35" t="n">
        <v>-0.008189386689960099</v>
      </c>
      <c r="K35" t="n">
        <v>0.01785691104405</v>
      </c>
      <c r="L35" t="n">
        <v>-0.27435787142004</v>
      </c>
      <c r="M35" t="n">
        <v>-0.27720918782857</v>
      </c>
      <c r="N35" t="n">
        <v>517.70263297243</v>
      </c>
      <c r="O35" t="n">
        <v>578.01980741639</v>
      </c>
    </row>
    <row r="36">
      <c r="A36" t="n">
        <v>6.2066849390983</v>
      </c>
      <c r="B36" t="n">
        <v>0.017460684161642</v>
      </c>
      <c r="C36" t="n">
        <v>92.69910767620399</v>
      </c>
      <c r="D36" t="n">
        <v>0.019445434573934</v>
      </c>
      <c r="E36" t="n">
        <v>-6.2864378047858</v>
      </c>
      <c r="F36" t="n">
        <v>-2.0523457091244</v>
      </c>
      <c r="G36" t="n">
        <v>30555783.638431</v>
      </c>
      <c r="H36" t="n">
        <v>6503677.7232098</v>
      </c>
      <c r="I36" t="n">
        <v>-0.008846932636166</v>
      </c>
      <c r="J36" t="n">
        <v>-0.008475681726304401</v>
      </c>
      <c r="K36" t="n">
        <v>0.018445937934684</v>
      </c>
      <c r="L36" t="n">
        <v>-0.28565523409317</v>
      </c>
      <c r="M36" t="n">
        <v>-0.28850255725721</v>
      </c>
      <c r="N36" t="n">
        <v>519.29784532</v>
      </c>
      <c r="O36" t="n">
        <v>579.98990834477</v>
      </c>
    </row>
    <row r="37">
      <c r="A37" t="n">
        <v>6.4066849390983</v>
      </c>
      <c r="B37" t="n">
        <v>0.018086338423816</v>
      </c>
      <c r="C37" t="n">
        <v>92.698957594324</v>
      </c>
      <c r="D37" t="n">
        <v>0.020078227409934</v>
      </c>
      <c r="E37" t="n">
        <v>-6.2872988720164</v>
      </c>
      <c r="F37" t="n">
        <v>-2.0418704088735</v>
      </c>
      <c r="G37" t="n">
        <v>31155410.342509</v>
      </c>
      <c r="H37" t="n">
        <v>6606032.0538931</v>
      </c>
      <c r="I37" t="n">
        <v>-0.0091463221193336</v>
      </c>
      <c r="J37" t="n">
        <v>-0.008761770135882099</v>
      </c>
      <c r="K37" t="n">
        <v>0.019034612638963</v>
      </c>
      <c r="L37" t="n">
        <v>-0.29670359169955</v>
      </c>
      <c r="M37" t="n">
        <v>-0.29956009033669</v>
      </c>
      <c r="N37" t="n">
        <v>520.87841972378</v>
      </c>
      <c r="O37" t="n">
        <v>581.93439369625</v>
      </c>
    </row>
    <row r="38">
      <c r="A38" t="n">
        <v>6.6066849390983</v>
      </c>
      <c r="B38" t="n">
        <v>0.01871178588381</v>
      </c>
      <c r="C38" t="n">
        <v>92.69880228576601</v>
      </c>
      <c r="D38" t="n">
        <v>0.020710813633837</v>
      </c>
      <c r="E38" t="n">
        <v>-6.2881550132483</v>
      </c>
      <c r="F38" t="n">
        <v>-2.0423833898033</v>
      </c>
      <c r="G38" t="n">
        <v>31758744.35815</v>
      </c>
      <c r="H38" t="n">
        <v>6708967.4040109</v>
      </c>
      <c r="I38" t="n">
        <v>-0.0094455955718265</v>
      </c>
      <c r="J38" t="n">
        <v>-0.0090476546431306</v>
      </c>
      <c r="K38" t="n">
        <v>0.019622935591601</v>
      </c>
      <c r="L38" t="n">
        <v>-0.30804715323472</v>
      </c>
      <c r="M38" t="n">
        <v>-0.3108685781558</v>
      </c>
      <c r="N38" t="n">
        <v>522.44494979772</v>
      </c>
      <c r="O38" t="n">
        <v>583.85528182672</v>
      </c>
    </row>
    <row r="39">
      <c r="A39" t="n">
        <v>6.8066849390983</v>
      </c>
      <c r="B39" t="n">
        <v>0.019337031336055</v>
      </c>
      <c r="C39" t="n">
        <v>92.69865011681</v>
      </c>
      <c r="D39" t="n">
        <v>0.021343199860028</v>
      </c>
      <c r="E39" t="n">
        <v>-6.2839094488671</v>
      </c>
      <c r="F39" t="n">
        <v>-2.0461605222544</v>
      </c>
      <c r="G39" t="n">
        <v>32365735.802299</v>
      </c>
      <c r="H39" t="n">
        <v>6812475.1995994</v>
      </c>
      <c r="I39" t="n">
        <v>-0.009744749070032799</v>
      </c>
      <c r="J39" t="n">
        <v>-0.0093333362068206</v>
      </c>
      <c r="K39" t="n">
        <v>0.020210907246434</v>
      </c>
      <c r="L39" t="n">
        <v>-0.3192198106492</v>
      </c>
      <c r="M39" t="n">
        <v>-0.32204485199716</v>
      </c>
      <c r="N39" t="n">
        <v>523.99816450286</v>
      </c>
      <c r="O39" t="n">
        <v>585.7536593176</v>
      </c>
    </row>
    <row r="40">
      <c r="A40" t="n">
        <v>7.0066849390983</v>
      </c>
      <c r="B40" t="n">
        <v>0.01996208026231</v>
      </c>
      <c r="C40" t="n">
        <v>92.698503042757</v>
      </c>
      <c r="D40" t="n">
        <v>0.021975391960851</v>
      </c>
      <c r="E40" t="n">
        <v>-6.2764896879809</v>
      </c>
      <c r="F40" t="n">
        <v>-2.0439371600368</v>
      </c>
      <c r="G40" t="n">
        <v>32976336.843952</v>
      </c>
      <c r="H40" t="n">
        <v>6916547.2254387</v>
      </c>
      <c r="I40" t="n">
        <v>-0.010043780774811</v>
      </c>
      <c r="J40" t="n">
        <v>-0.0096188176971671</v>
      </c>
      <c r="K40" t="n">
        <v>0.020798528034402</v>
      </c>
      <c r="L40" t="n">
        <v>-0.33062912369593</v>
      </c>
      <c r="M40" t="n">
        <v>-0.33345476388277</v>
      </c>
      <c r="N40" t="n">
        <v>525.53860166854</v>
      </c>
      <c r="O40" t="n">
        <v>587.63116674301</v>
      </c>
    </row>
    <row r="41">
      <c r="A41" t="n">
        <v>7.2066849390983</v>
      </c>
      <c r="B41" t="n">
        <v>0.020586937092053</v>
      </c>
      <c r="C41" t="n">
        <v>92.698358520735</v>
      </c>
      <c r="D41" t="n">
        <v>0.022607394815038</v>
      </c>
      <c r="E41" t="n">
        <v>-6.2663434617306</v>
      </c>
      <c r="F41" t="n">
        <v>-2.055435815348</v>
      </c>
      <c r="G41" t="n">
        <v>33590499.748387</v>
      </c>
      <c r="H41" t="n">
        <v>7021175.2915559</v>
      </c>
      <c r="I41" t="n">
        <v>-0.01034268690749</v>
      </c>
      <c r="J41" t="n">
        <v>-0.009904099680493</v>
      </c>
      <c r="K41" t="n">
        <v>0.021385798363795</v>
      </c>
      <c r="L41" t="n">
        <v>-0.3418325443767</v>
      </c>
      <c r="M41" t="n">
        <v>-0.34465878581934</v>
      </c>
      <c r="N41" t="n">
        <v>527.06704718127</v>
      </c>
      <c r="O41" t="n">
        <v>589.48881165663</v>
      </c>
    </row>
    <row r="42">
      <c r="A42" t="n">
        <v>7.4066849390983</v>
      </c>
      <c r="B42" t="n">
        <v>0.02121160925019</v>
      </c>
      <c r="C42" t="n">
        <v>92.698213550848</v>
      </c>
      <c r="D42" t="n">
        <v>0.023239214775331</v>
      </c>
      <c r="E42" t="n">
        <v>-6.2763783485547</v>
      </c>
      <c r="F42" t="n">
        <v>-2.0687025596045</v>
      </c>
      <c r="G42" t="n">
        <v>34208179.778348</v>
      </c>
      <c r="H42" t="n">
        <v>7126351.7253712</v>
      </c>
      <c r="I42" t="n">
        <v>-0.010641466796636</v>
      </c>
      <c r="J42" t="n">
        <v>-0.010189184985075</v>
      </c>
      <c r="K42" t="n">
        <v>0.021972718671164</v>
      </c>
      <c r="L42" t="n">
        <v>-0.35327508807055</v>
      </c>
      <c r="M42" t="n">
        <v>-0.35609627888638</v>
      </c>
      <c r="N42" t="n">
        <v>528.58363478246</v>
      </c>
      <c r="O42" t="n">
        <v>591.3278469959999</v>
      </c>
    </row>
    <row r="43">
      <c r="A43" t="n">
        <v>7.6066849390983</v>
      </c>
      <c r="B43" t="n">
        <v>0.021836101969971</v>
      </c>
      <c r="C43" t="n">
        <v>92.698061057321</v>
      </c>
      <c r="D43" t="n">
        <v>0.023870857303061</v>
      </c>
      <c r="E43" t="n">
        <v>-6.2924811009263</v>
      </c>
      <c r="F43" t="n">
        <v>-2.0869239280863</v>
      </c>
      <c r="G43" t="n">
        <v>34829330.546285</v>
      </c>
      <c r="H43" t="n">
        <v>7232068.575099</v>
      </c>
      <c r="I43" t="n">
        <v>-0.010940117648572</v>
      </c>
      <c r="J43" t="n">
        <v>-0.0104740745144</v>
      </c>
      <c r="K43" t="n">
        <v>0.022559289378857</v>
      </c>
      <c r="L43" t="n">
        <v>-0.36476455335743</v>
      </c>
      <c r="M43" t="n">
        <v>-0.36758033881078</v>
      </c>
      <c r="N43" t="n">
        <v>530.0890597016499</v>
      </c>
      <c r="O43" t="n">
        <v>593.1494032801201</v>
      </c>
    </row>
    <row r="44">
      <c r="A44" t="n">
        <v>7.8066849390983</v>
      </c>
      <c r="B44" t="n">
        <v>0.022460422120422</v>
      </c>
      <c r="C44" t="n">
        <v>92.697913211737</v>
      </c>
      <c r="D44" t="n">
        <v>0.024502328025682</v>
      </c>
      <c r="E44" t="n">
        <v>-6.3042917153612</v>
      </c>
      <c r="F44" t="n">
        <v>-2.109419362282</v>
      </c>
      <c r="G44" t="n">
        <v>35453908.16657</v>
      </c>
      <c r="H44" t="n">
        <v>7338318.3218177</v>
      </c>
      <c r="I44" t="n">
        <v>-0.01123863724425</v>
      </c>
      <c r="J44" t="n">
        <v>-0.010758770250336</v>
      </c>
      <c r="K44" t="n">
        <v>0.023145510902391</v>
      </c>
      <c r="L44" t="n">
        <v>-0.37630313065403</v>
      </c>
      <c r="M44" t="n">
        <v>-0.37911231239595</v>
      </c>
      <c r="N44" t="n">
        <v>531.58364036479</v>
      </c>
      <c r="O44" t="n">
        <v>594.95439387616</v>
      </c>
    </row>
    <row r="45">
      <c r="A45" t="n">
        <v>8.006684939098299</v>
      </c>
      <c r="B45" t="n">
        <v>0.023084575161591</v>
      </c>
      <c r="C45" t="n">
        <v>92.697760198868</v>
      </c>
      <c r="D45" t="n">
        <v>0.025133632901712</v>
      </c>
      <c r="E45" t="n">
        <v>-6.3184147007127</v>
      </c>
      <c r="F45" t="n">
        <v>-2.118598651632</v>
      </c>
      <c r="G45" t="n">
        <v>36081868.451669</v>
      </c>
      <c r="H45" t="n">
        <v>7445093.4016623</v>
      </c>
      <c r="I45" t="n">
        <v>-0.011537023542787</v>
      </c>
      <c r="J45" t="n">
        <v>-0.01104327449648</v>
      </c>
      <c r="K45" t="n">
        <v>0.023731383673934</v>
      </c>
      <c r="L45" t="n">
        <v>-0.38807793948768</v>
      </c>
      <c r="M45" t="n">
        <v>-0.39086860356864</v>
      </c>
      <c r="N45" t="n">
        <v>533.06784596311</v>
      </c>
      <c r="O45" t="n">
        <v>596.7439652688799</v>
      </c>
    </row>
    <row r="46">
      <c r="A46" t="n">
        <v>8.206684939098301</v>
      </c>
      <c r="B46" t="n">
        <v>0.023708565945683</v>
      </c>
      <c r="C46" t="n">
        <v>92.697610033297</v>
      </c>
      <c r="D46" t="n">
        <v>0.025764776629361</v>
      </c>
      <c r="E46" t="n">
        <v>-6.3698116042871</v>
      </c>
      <c r="F46" t="n">
        <v>-2.1454430753765</v>
      </c>
      <c r="G46" t="n">
        <v>36713168.087068</v>
      </c>
      <c r="H46" t="n">
        <v>7552386.4063479</v>
      </c>
      <c r="I46" t="n">
        <v>-0.011835273284681</v>
      </c>
      <c r="J46" t="n">
        <v>-0.011327588124786</v>
      </c>
      <c r="K46" t="n">
        <v>0.024316908103142</v>
      </c>
      <c r="L46" t="n">
        <v>-0.39972794768261</v>
      </c>
      <c r="M46" t="n">
        <v>-0.40251051347016</v>
      </c>
      <c r="N46" t="n">
        <v>534.54226356581</v>
      </c>
      <c r="O46" t="n">
        <v>598.51882777768</v>
      </c>
    </row>
    <row r="47">
      <c r="A47" t="n">
        <v>8.4066849390983</v>
      </c>
      <c r="B47" t="n">
        <v>0.024332400658289</v>
      </c>
      <c r="C47" t="n">
        <v>92.697451950388</v>
      </c>
      <c r="D47" t="n">
        <v>0.026395764353679</v>
      </c>
      <c r="E47" t="n">
        <v>-6.4255435331356</v>
      </c>
      <c r="F47" t="n">
        <v>-2.1459866004245</v>
      </c>
      <c r="G47" t="n">
        <v>37347766.358712</v>
      </c>
      <c r="H47" t="n">
        <v>7660190.3827494</v>
      </c>
      <c r="I47" t="n">
        <v>-0.012133384359294</v>
      </c>
      <c r="J47" t="n">
        <v>-0.011611712891801</v>
      </c>
      <c r="K47" t="n">
        <v>0.024902084611068</v>
      </c>
      <c r="L47" t="n">
        <v>-0.41122144574892</v>
      </c>
      <c r="M47" t="n">
        <v>-0.41400276271926</v>
      </c>
      <c r="N47" t="n">
        <v>536.00717916281</v>
      </c>
      <c r="O47" t="n">
        <v>600.27964405356</v>
      </c>
    </row>
    <row r="48">
      <c r="A48" t="n">
        <v>8.606684939098299</v>
      </c>
      <c r="B48" t="n">
        <v>0.024956084961734</v>
      </c>
      <c r="C48" t="n">
        <v>92.69730913030099</v>
      </c>
      <c r="D48" t="n">
        <v>0.027026602019559</v>
      </c>
      <c r="E48" t="n">
        <v>-6.4506533372412</v>
      </c>
      <c r="F48" t="n">
        <v>-2.1551612543689</v>
      </c>
      <c r="G48" t="n">
        <v>37985623.923462</v>
      </c>
      <c r="H48" t="n">
        <v>7768498.6169694</v>
      </c>
      <c r="I48" t="n">
        <v>-0.012431356963322</v>
      </c>
      <c r="J48" t="n">
        <v>-0.011895651757406</v>
      </c>
      <c r="K48" t="n">
        <v>0.025486913632697</v>
      </c>
      <c r="L48" t="n">
        <v>-0.42312614153082</v>
      </c>
      <c r="M48" t="n">
        <v>-0.42588567498734</v>
      </c>
      <c r="N48" t="n">
        <v>537.46250025096</v>
      </c>
      <c r="O48" t="n">
        <v>602.02720270963</v>
      </c>
    </row>
    <row r="49">
      <c r="A49" t="n">
        <v>8.806684939098201</v>
      </c>
      <c r="B49" t="n">
        <v>0.025579623301757</v>
      </c>
      <c r="C49" t="n">
        <v>92.69714643946099</v>
      </c>
      <c r="D49" t="n">
        <v>0.027657293550865</v>
      </c>
      <c r="E49" t="n">
        <v>-6.4624264458363</v>
      </c>
      <c r="F49" t="n">
        <v>-2.1557169494168</v>
      </c>
      <c r="G49" t="n">
        <v>38626700.593496</v>
      </c>
      <c r="H49" t="n">
        <v>7877304.2593457</v>
      </c>
      <c r="I49" t="n">
        <v>-0.012729188422535</v>
      </c>
      <c r="J49" t="n">
        <v>-0.012179404241319</v>
      </c>
      <c r="K49" t="n">
        <v>0.026071395582919</v>
      </c>
      <c r="L49" t="n">
        <v>-0.43491941611189</v>
      </c>
      <c r="M49" t="n">
        <v>-0.43766926559311</v>
      </c>
      <c r="N49" t="n">
        <v>538.90882256014</v>
      </c>
      <c r="O49" t="n">
        <v>603.76189585565</v>
      </c>
    </row>
    <row r="50">
      <c r="A50" t="n">
        <v>9.0066849390982</v>
      </c>
      <c r="B50" t="n">
        <v>0.026203020088298</v>
      </c>
      <c r="C50" t="n">
        <v>92.696986118046</v>
      </c>
      <c r="D50" t="n">
        <v>0.028287843592771</v>
      </c>
      <c r="E50" t="n">
        <v>-6.5027757157411</v>
      </c>
      <c r="F50" t="n">
        <v>-2.1579817069272</v>
      </c>
      <c r="G50" t="n">
        <v>39270957.344851</v>
      </c>
      <c r="H50" t="n">
        <v>7986600.6640805</v>
      </c>
      <c r="I50" t="n">
        <v>-0.013026878013751</v>
      </c>
      <c r="J50" t="n">
        <v>-0.012462971413317</v>
      </c>
      <c r="K50" t="n">
        <v>0.026655530888222</v>
      </c>
      <c r="L50" t="n">
        <v>-0.44671864181671</v>
      </c>
      <c r="M50" t="n">
        <v>-0.44945859667981</v>
      </c>
      <c r="N50" t="n">
        <v>540.3464206062901</v>
      </c>
      <c r="O50" t="n">
        <v>605.48439874666</v>
      </c>
    </row>
    <row r="51">
      <c r="A51" t="n">
        <v>9.206684939098199</v>
      </c>
      <c r="B51" t="n">
        <v>0.026826280292932</v>
      </c>
      <c r="C51" t="n">
        <v>92.696823958699</v>
      </c>
      <c r="D51" t="n">
        <v>0.028918256774129</v>
      </c>
      <c r="E51" t="n">
        <v>-6.5255268119492</v>
      </c>
      <c r="F51" t="n">
        <v>-2.1475630437486</v>
      </c>
      <c r="G51" t="n">
        <v>39918356.54235</v>
      </c>
      <c r="H51" t="n">
        <v>8096381.4252541</v>
      </c>
      <c r="I51" t="n">
        <v>-0.013324425322273</v>
      </c>
      <c r="J51" t="n">
        <v>-0.012746354255071</v>
      </c>
      <c r="K51" t="n">
        <v>0.027239319971322</v>
      </c>
      <c r="L51" t="n">
        <v>-0.4585951092743</v>
      </c>
      <c r="M51" t="n">
        <v>-0.46132379879348</v>
      </c>
      <c r="N51" t="n">
        <v>541.77538391676</v>
      </c>
      <c r="O51" t="n">
        <v>607.19509586507</v>
      </c>
    </row>
    <row r="52">
      <c r="A52" t="n">
        <v>9.4066849390982</v>
      </c>
      <c r="B52" t="n">
        <v>0.027449407454021</v>
      </c>
      <c r="C52" t="n">
        <v>92.696673058645</v>
      </c>
      <c r="D52" t="n">
        <v>0.029548537051862</v>
      </c>
      <c r="E52" t="n">
        <v>-6.5287191045051</v>
      </c>
      <c r="F52" t="n">
        <v>-2.14570365882</v>
      </c>
      <c r="G52" t="n">
        <v>40568859.776868</v>
      </c>
      <c r="H52" t="n">
        <v>8206640.0138998</v>
      </c>
      <c r="I52" t="n">
        <v>-0.013621829270214</v>
      </c>
      <c r="J52" t="n">
        <v>-0.013029552459617</v>
      </c>
      <c r="K52" t="n">
        <v>0.027822763255184</v>
      </c>
      <c r="L52" t="n">
        <v>-0.47034349629409</v>
      </c>
      <c r="M52" t="n">
        <v>-0.4730839020645</v>
      </c>
      <c r="N52" t="n">
        <v>543.19614753522</v>
      </c>
      <c r="O52" t="n">
        <v>608.89447280378</v>
      </c>
    </row>
    <row r="53">
      <c r="A53" t="n">
        <v>9.6066849390982</v>
      </c>
      <c r="B53" t="n">
        <v>0.028072406557747</v>
      </c>
      <c r="C53" t="n">
        <v>92.696508880377</v>
      </c>
      <c r="D53" t="n">
        <v>0.030178688912088</v>
      </c>
      <c r="E53" t="n">
        <v>-6.5294895415958</v>
      </c>
      <c r="F53" t="n">
        <v>-2.1792376010936</v>
      </c>
      <c r="G53" t="n">
        <v>41222431.01668</v>
      </c>
      <c r="H53" t="n">
        <v>8317370.3092182</v>
      </c>
      <c r="I53" t="n">
        <v>-0.013919089563888</v>
      </c>
      <c r="J53" t="n">
        <v>-0.013312568021361</v>
      </c>
      <c r="K53" t="n">
        <v>0.02840586114927</v>
      </c>
      <c r="L53" t="n">
        <v>-0.48228753105918</v>
      </c>
      <c r="M53" t="n">
        <v>-0.48501550126338</v>
      </c>
      <c r="N53" t="n">
        <v>544.60874627417</v>
      </c>
      <c r="O53" t="n">
        <v>610.5830256676001</v>
      </c>
    </row>
    <row r="54">
      <c r="A54" t="n">
        <v>9.806684939098201</v>
      </c>
      <c r="B54" t="n">
        <v>0.028695280939807</v>
      </c>
      <c r="C54" t="n">
        <v>92.69633963143499</v>
      </c>
      <c r="D54" t="n">
        <v>0.030808716071128</v>
      </c>
      <c r="E54" t="n">
        <v>-6.5302575857852</v>
      </c>
      <c r="F54" t="n">
        <v>-2.1798148539764</v>
      </c>
      <c r="G54" t="n">
        <v>41879033.430647</v>
      </c>
      <c r="H54" t="n">
        <v>8428566.061706699</v>
      </c>
      <c r="I54" t="n">
        <v>-0.014216205048928</v>
      </c>
      <c r="J54" t="n">
        <v>-0.013595400662872</v>
      </c>
      <c r="K54" t="n">
        <v>0.028988614076528</v>
      </c>
      <c r="L54" t="n">
        <v>-0.49421172407396</v>
      </c>
      <c r="M54" t="n">
        <v>-0.49692555857178</v>
      </c>
      <c r="N54" t="n">
        <v>546.01361117921</v>
      </c>
      <c r="O54" t="n">
        <v>612.2611503256099</v>
      </c>
    </row>
    <row r="55">
      <c r="A55" t="n">
        <v>10.006684939098</v>
      </c>
      <c r="B55" t="n">
        <v>0.029318034531921</v>
      </c>
      <c r="C55" t="n">
        <v>92.696176006562</v>
      </c>
      <c r="D55" t="n">
        <v>0.031438622769905</v>
      </c>
      <c r="E55" t="n">
        <v>-6.5487929050379</v>
      </c>
      <c r="F55" t="n">
        <v>-2.1955762791898</v>
      </c>
      <c r="G55" t="n">
        <v>42538631.928311</v>
      </c>
      <c r="H55" t="n">
        <v>8540221.320354501</v>
      </c>
      <c r="I55" t="n">
        <v>-0.014513175888749</v>
      </c>
      <c r="J55" t="n">
        <v>-0.013878051624337</v>
      </c>
      <c r="K55" t="n">
        <v>0.029571022457611</v>
      </c>
      <c r="L55" t="n">
        <v>-0.50632493695615</v>
      </c>
      <c r="M55" t="n">
        <v>-0.5090246380773999</v>
      </c>
      <c r="N55" t="n">
        <v>547.41072818409</v>
      </c>
      <c r="O55" t="n">
        <v>613.92917493826</v>
      </c>
    </row>
    <row r="56">
      <c r="A56" t="n">
        <v>10.206684939098</v>
      </c>
      <c r="B56" t="n">
        <v>0.029940671665064</v>
      </c>
      <c r="C56" t="n">
        <v>92.69600900844701</v>
      </c>
      <c r="D56" t="n">
        <v>0.032068412007915</v>
      </c>
      <c r="E56" t="n">
        <v>-6.5935016311795</v>
      </c>
      <c r="F56" t="n">
        <v>-2.1961584549633</v>
      </c>
      <c r="G56" t="n">
        <v>43201192.092034</v>
      </c>
      <c r="H56" t="n">
        <v>8652330.255171999</v>
      </c>
      <c r="I56" t="n">
        <v>-0.014810000668526</v>
      </c>
      <c r="J56" t="n">
        <v>-0.014160520660988</v>
      </c>
      <c r="K56" t="n">
        <v>0.030153086704298</v>
      </c>
      <c r="L56" t="n">
        <v>-0.5183113059407</v>
      </c>
      <c r="M56" t="n">
        <v>-0.52099681323458</v>
      </c>
      <c r="N56" t="n">
        <v>548.80038763907</v>
      </c>
      <c r="O56" t="n">
        <v>615.58718062625</v>
      </c>
    </row>
    <row r="57">
      <c r="A57" t="n">
        <v>10.406684939098</v>
      </c>
      <c r="B57" t="n">
        <v>0.03056319462682</v>
      </c>
      <c r="C57" t="n">
        <v>92.695838332524</v>
      </c>
      <c r="D57" t="n">
        <v>0.032698087736687</v>
      </c>
      <c r="E57" t="n">
        <v>-6.6230318917252</v>
      </c>
      <c r="F57" t="n">
        <v>-2.2009276166691</v>
      </c>
      <c r="G57" t="n">
        <v>43866678.929492</v>
      </c>
      <c r="H57" t="n">
        <v>8764886.9437625</v>
      </c>
      <c r="I57" t="n">
        <v>-0.015106680218273</v>
      </c>
      <c r="J57" t="n">
        <v>-0.014442808240425</v>
      </c>
      <c r="K57" t="n">
        <v>0.030734807238064</v>
      </c>
      <c r="L57" t="n">
        <v>-0.53046496758907</v>
      </c>
      <c r="M57" t="n">
        <v>-0.53312107133498</v>
      </c>
      <c r="N57" t="n">
        <v>550.18278162882</v>
      </c>
      <c r="O57" t="n">
        <v>617.23573170362</v>
      </c>
    </row>
    <row r="58">
      <c r="A58" t="n">
        <v>10.606684939098</v>
      </c>
      <c r="B58" t="n">
        <v>0.031185607412495</v>
      </c>
      <c r="C58" t="n">
        <v>92.695649693764</v>
      </c>
      <c r="D58" t="n">
        <v>0.033327652882705</v>
      </c>
      <c r="E58" t="n">
        <v>-6.6776624566464</v>
      </c>
      <c r="F58" t="n">
        <v>-2.1894913647746</v>
      </c>
      <c r="G58" t="n">
        <v>44535059.832159</v>
      </c>
      <c r="H58" t="n">
        <v>8877885.869148901</v>
      </c>
      <c r="I58" t="n">
        <v>-0.015403213895181</v>
      </c>
      <c r="J58" t="n">
        <v>-0.014724914547563</v>
      </c>
      <c r="K58" t="n">
        <v>0.031316184479039</v>
      </c>
      <c r="L58" t="n">
        <v>-0.54257862996152</v>
      </c>
      <c r="M58" t="n">
        <v>-0.5452246220653399</v>
      </c>
      <c r="N58" t="n">
        <v>551.55791821644</v>
      </c>
      <c r="O58" t="n">
        <v>618.87474932295</v>
      </c>
    </row>
    <row r="59">
      <c r="A59" t="n">
        <v>10.806684939098</v>
      </c>
      <c r="B59" t="n">
        <v>0.03180791300119</v>
      </c>
      <c r="C59" t="n">
        <v>92.695455294898</v>
      </c>
      <c r="D59" t="n">
        <v>0.033957110770058</v>
      </c>
      <c r="E59" t="n">
        <v>-6.7222918602529</v>
      </c>
      <c r="F59" t="n">
        <v>-2.1986410537243</v>
      </c>
      <c r="G59" t="n">
        <v>45206301.851033</v>
      </c>
      <c r="H59" t="n">
        <v>8991321.466238299</v>
      </c>
      <c r="I59" t="n">
        <v>-0.015699601797084</v>
      </c>
      <c r="J59" t="n">
        <v>-0.015006839904157</v>
      </c>
      <c r="K59" t="n">
        <v>0.031897218841027</v>
      </c>
      <c r="L59" t="n">
        <v>-0.554749354854</v>
      </c>
      <c r="M59" t="n">
        <v>-0.55738943363546</v>
      </c>
      <c r="N59" t="n">
        <v>552.9259641351</v>
      </c>
      <c r="O59" t="n">
        <v>620.50455722705</v>
      </c>
    </row>
    <row r="60">
      <c r="A60" t="n">
        <v>11.006684939098</v>
      </c>
      <c r="B60" t="n">
        <v>0.032430112562689</v>
      </c>
      <c r="C60" t="n">
        <v>92.695261757233</v>
      </c>
      <c r="D60" t="n">
        <v>0.034586464233987</v>
      </c>
      <c r="E60" t="n">
        <v>-6.7560022069593</v>
      </c>
      <c r="F60" t="n">
        <v>-2.2212063730674</v>
      </c>
      <c r="G60" t="n">
        <v>45880371.134685</v>
      </c>
      <c r="H60" t="n">
        <v>9105188.0200211</v>
      </c>
      <c r="I60" t="n">
        <v>-0.015995842990073</v>
      </c>
      <c r="J60" t="n">
        <v>-0.015288584899187</v>
      </c>
      <c r="K60" t="n">
        <v>0.032477910743127</v>
      </c>
      <c r="L60" t="n">
        <v>-0.56696909022922</v>
      </c>
      <c r="M60" t="n">
        <v>-0.56960406114607</v>
      </c>
      <c r="N60" t="n">
        <v>554.28727055344</v>
      </c>
      <c r="O60" t="n">
        <v>622.12555463531</v>
      </c>
    </row>
    <row r="61">
      <c r="A61" t="n">
        <v>11.206684939098</v>
      </c>
      <c r="B61" t="n">
        <v>0.033052210095713</v>
      </c>
      <c r="C61" t="n">
        <v>92.695072982227</v>
      </c>
      <c r="D61" t="n">
        <v>0.035215716346647</v>
      </c>
      <c r="E61" t="n">
        <v>-6.7523981917672</v>
      </c>
      <c r="F61" t="n">
        <v>-2.2261494578202</v>
      </c>
      <c r="G61" t="n">
        <v>46557237.473806</v>
      </c>
      <c r="H61" t="n">
        <v>9219480.441350801</v>
      </c>
      <c r="I61" t="n">
        <v>-0.016291936640596</v>
      </c>
      <c r="J61" t="n">
        <v>-0.015570151151718</v>
      </c>
      <c r="K61" t="n">
        <v>0.0330582605977</v>
      </c>
      <c r="L61" t="n">
        <v>-0.57929304065843</v>
      </c>
      <c r="M61" t="n">
        <v>-0.58191344279461</v>
      </c>
      <c r="N61" t="n">
        <v>555.6417476479</v>
      </c>
      <c r="O61" t="n">
        <v>623.73776961103</v>
      </c>
    </row>
    <row r="62">
      <c r="A62" t="n">
        <v>11.406684939098</v>
      </c>
      <c r="B62" t="n">
        <v>0.033674208076246</v>
      </c>
      <c r="C62" t="n">
        <v>92.69487465391801</v>
      </c>
      <c r="D62" t="n">
        <v>0.035844869805856</v>
      </c>
      <c r="E62" t="n">
        <v>-6.7900578720507</v>
      </c>
      <c r="F62" t="n">
        <v>-2.230696685915</v>
      </c>
      <c r="G62" t="n">
        <v>47236868.791595</v>
      </c>
      <c r="H62" t="n">
        <v>9334193.323214199</v>
      </c>
      <c r="I62" t="n">
        <v>-0.016587881827608</v>
      </c>
      <c r="J62" t="n">
        <v>-0.015851538743662</v>
      </c>
      <c r="K62" t="n">
        <v>0.033638268821514</v>
      </c>
      <c r="L62" t="n">
        <v>-0.59154684470066</v>
      </c>
      <c r="M62" t="n">
        <v>-0.594134342003</v>
      </c>
      <c r="N62" t="n">
        <v>556.98960121972</v>
      </c>
      <c r="O62" t="n">
        <v>625.3412950222601</v>
      </c>
    </row>
    <row r="63">
      <c r="A63" t="n">
        <v>11.606684939098</v>
      </c>
      <c r="B63" t="n">
        <v>0.034296109333496</v>
      </c>
      <c r="C63" t="n">
        <v>92.694677098993</v>
      </c>
      <c r="D63" t="n">
        <v>0.036473927989583</v>
      </c>
      <c r="E63" t="n">
        <v>-6.8127737978841</v>
      </c>
      <c r="F63" t="n">
        <v>-2.2312975806541</v>
      </c>
      <c r="G63" t="n">
        <v>47919232.965203</v>
      </c>
      <c r="H63" t="n">
        <v>9449321.2540935</v>
      </c>
      <c r="I63" t="n">
        <v>-0.016883678948047</v>
      </c>
      <c r="J63" t="n">
        <v>-0.016132748475803</v>
      </c>
      <c r="K63" t="n">
        <v>0.03421793583008</v>
      </c>
      <c r="L63" t="n">
        <v>-0.60392882289084</v>
      </c>
      <c r="M63" t="n">
        <v>-0.6065105707920601</v>
      </c>
      <c r="N63" t="n">
        <v>558.33093983318</v>
      </c>
      <c r="O63" t="n">
        <v>626.93660523935</v>
      </c>
    </row>
    <row r="64">
      <c r="A64" t="n">
        <v>11.806684939098</v>
      </c>
      <c r="B64" t="n">
        <v>0.034917917738262</v>
      </c>
      <c r="C64" t="n">
        <v>92.694478240408</v>
      </c>
      <c r="D64" t="n">
        <v>0.037102893635845</v>
      </c>
      <c r="E64" t="n">
        <v>-6.8245017826951</v>
      </c>
      <c r="F64" t="n">
        <v>-2.2319005347773</v>
      </c>
      <c r="G64" t="n">
        <v>48604298.657478</v>
      </c>
      <c r="H64" t="n">
        <v>9564858.958388999</v>
      </c>
      <c r="I64" t="n">
        <v>-0.017179327683989</v>
      </c>
      <c r="J64" t="n">
        <v>-0.016413779548505</v>
      </c>
      <c r="K64" t="n">
        <v>0.034797262037682</v>
      </c>
      <c r="L64" t="n">
        <v>-0.61620068788175</v>
      </c>
      <c r="M64" t="n">
        <v>-0.618779939263</v>
      </c>
      <c r="N64" t="n">
        <v>559.66594475864</v>
      </c>
      <c r="O64" t="n">
        <v>628.52376490016</v>
      </c>
    </row>
    <row r="65">
      <c r="A65" t="n">
        <v>12.006684939098</v>
      </c>
      <c r="B65" t="n">
        <v>0.035539636903633</v>
      </c>
      <c r="C65" t="n">
        <v>92.694277755729</v>
      </c>
      <c r="D65" t="n">
        <v>0.037731770582357</v>
      </c>
      <c r="E65" t="n">
        <v>-6.8142554761069</v>
      </c>
      <c r="F65" t="n">
        <v>-2.2325054294309</v>
      </c>
      <c r="G65" t="n">
        <v>49292035.063071</v>
      </c>
      <c r="H65" t="n">
        <v>9680801.254590901</v>
      </c>
      <c r="I65" t="n">
        <v>-0.017474828714144</v>
      </c>
      <c r="J65" t="n">
        <v>-0.016694633201437</v>
      </c>
      <c r="K65" t="n">
        <v>0.035376247852282</v>
      </c>
      <c r="L65" t="n">
        <v>-0.6286623225893</v>
      </c>
      <c r="M65" t="n">
        <v>-0.63122308953833</v>
      </c>
      <c r="N65" t="n">
        <v>560.99452199446</v>
      </c>
      <c r="O65" t="n">
        <v>630.1030504266801</v>
      </c>
    </row>
    <row r="66">
      <c r="A66" t="n">
        <v>12.206684939098</v>
      </c>
      <c r="B66" t="n">
        <v>0.036161269222981</v>
      </c>
      <c r="C66" t="n">
        <v>92.694075534954</v>
      </c>
      <c r="D66" t="n">
        <v>0.038360561203495</v>
      </c>
      <c r="E66" t="n">
        <v>-6.8149938366207</v>
      </c>
      <c r="F66" t="n">
        <v>-2.2331122012465</v>
      </c>
      <c r="G66" t="n">
        <v>49982409.948818</v>
      </c>
      <c r="H66" t="n">
        <v>9797142.7224622</v>
      </c>
      <c r="I66" t="n">
        <v>-0.017770181280686</v>
      </c>
      <c r="J66" t="n">
        <v>-0.016975308612047</v>
      </c>
      <c r="K66" t="n">
        <v>0.035954893685022</v>
      </c>
      <c r="L66" t="n">
        <v>-0.6410560224105</v>
      </c>
      <c r="M66" t="n">
        <v>-0.64358869293704</v>
      </c>
      <c r="N66" t="n">
        <v>562.31707029088</v>
      </c>
      <c r="O66" t="n">
        <v>631.67473381952</v>
      </c>
    </row>
    <row r="67">
      <c r="A67" t="n">
        <v>12.406684939098</v>
      </c>
      <c r="B67" t="n">
        <v>0.036782818761013</v>
      </c>
      <c r="C67" t="n">
        <v>92.693871763706</v>
      </c>
      <c r="D67" t="n">
        <v>0.038989269030959</v>
      </c>
      <c r="E67" t="n">
        <v>-6.8377032595857</v>
      </c>
      <c r="F67" t="n">
        <v>-2.2337208059277</v>
      </c>
      <c r="G67" t="n">
        <v>50675394.059516</v>
      </c>
      <c r="H67" t="n">
        <v>9913878.450037099</v>
      </c>
      <c r="I67" t="n">
        <v>-0.01806538587639</v>
      </c>
      <c r="J67" t="n">
        <v>-0.017255806436682</v>
      </c>
      <c r="K67" t="n">
        <v>0.036533199946111</v>
      </c>
      <c r="L67" t="n">
        <v>-0.65347135709784</v>
      </c>
      <c r="M67" t="n">
        <v>-0.65600060242813</v>
      </c>
      <c r="N67" t="n">
        <v>563.63346768342</v>
      </c>
      <c r="O67" t="n">
        <v>633.23888863027</v>
      </c>
    </row>
    <row r="68">
      <c r="A68" t="n">
        <v>12.606684939098</v>
      </c>
      <c r="B68" t="n">
        <v>0.037404288557086</v>
      </c>
      <c r="C68" t="n">
        <v>92.69366632195501</v>
      </c>
      <c r="D68" t="n">
        <v>0.039617897205291</v>
      </c>
      <c r="E68" t="n">
        <v>-6.8604110521537</v>
      </c>
      <c r="F68" t="n">
        <v>-2.2343312055761</v>
      </c>
      <c r="G68" t="n">
        <v>51370956.706702</v>
      </c>
      <c r="H68" t="n">
        <v>10031003.285476</v>
      </c>
      <c r="I68" t="n">
        <v>-0.018360442352787</v>
      </c>
      <c r="J68" t="n">
        <v>-0.017536127161433</v>
      </c>
      <c r="K68" t="n">
        <v>0.037111167037041</v>
      </c>
      <c r="L68" t="n">
        <v>-0.66596399675761</v>
      </c>
      <c r="M68" t="n">
        <v>-0.6684808773511201</v>
      </c>
      <c r="N68" t="n">
        <v>564.94382692068</v>
      </c>
      <c r="O68" t="n">
        <v>634.79575609522</v>
      </c>
    </row>
    <row r="69">
      <c r="A69" t="n">
        <v>12.806684939098</v>
      </c>
      <c r="B69" t="n">
        <v>0.038025681105258</v>
      </c>
      <c r="C69" t="n">
        <v>92.693459133345</v>
      </c>
      <c r="D69" t="n">
        <v>0.040246448633057</v>
      </c>
      <c r="E69" t="n">
        <v>-6.8941034083721</v>
      </c>
      <c r="F69" t="n">
        <v>-2.2349433241328</v>
      </c>
      <c r="G69" t="n">
        <v>52069067.016539</v>
      </c>
      <c r="H69" t="n">
        <v>10148512.050255</v>
      </c>
      <c r="I69" t="n">
        <v>-0.018655350589573</v>
      </c>
      <c r="J69" t="n">
        <v>-0.01781627074039</v>
      </c>
      <c r="K69" t="n">
        <v>0.037688795363594</v>
      </c>
      <c r="L69" t="n">
        <v>-0.67853413845542</v>
      </c>
      <c r="M69" t="n">
        <v>-0.68101859415752</v>
      </c>
      <c r="N69" t="n">
        <v>566.24840547057</v>
      </c>
      <c r="O69" t="n">
        <v>636.34566587388</v>
      </c>
    </row>
    <row r="70">
      <c r="A70" t="n">
        <v>13.006684939098</v>
      </c>
      <c r="B70" t="n">
        <v>0.038646998497899</v>
      </c>
      <c r="C70" t="n">
        <v>92.69325023331299</v>
      </c>
      <c r="D70" t="n">
        <v>0.040874926197634</v>
      </c>
      <c r="E70" t="n">
        <v>-6.9277940189012</v>
      </c>
      <c r="F70" t="n">
        <v>-2.2355571532674</v>
      </c>
      <c r="G70" t="n">
        <v>52769694.378421</v>
      </c>
      <c r="H70" t="n">
        <v>10266399.610618</v>
      </c>
      <c r="I70" t="n">
        <v>-0.018950111208867</v>
      </c>
      <c r="J70" t="n">
        <v>-0.018096236888621</v>
      </c>
      <c r="K70" t="n">
        <v>0.03826608533687</v>
      </c>
      <c r="L70" t="n">
        <v>-0.69123046935046</v>
      </c>
      <c r="M70" t="n">
        <v>-0.69370279585335</v>
      </c>
      <c r="N70" t="n">
        <v>567.54739829548</v>
      </c>
      <c r="O70" t="n">
        <v>637.88898716472</v>
      </c>
    </row>
    <row r="71">
      <c r="A71" t="n">
        <v>13.206684939098</v>
      </c>
      <c r="B71" t="n">
        <v>0.039268245493579</v>
      </c>
      <c r="C71" t="n">
        <v>92.693039562078</v>
      </c>
      <c r="D71" t="n">
        <v>0.041503332711937</v>
      </c>
      <c r="E71" t="n">
        <v>-6.950496580622</v>
      </c>
      <c r="F71" t="n">
        <v>-2.2361725853425</v>
      </c>
      <c r="G71" t="n">
        <v>53472811.757443</v>
      </c>
      <c r="H71" t="n">
        <v>10384661.447827</v>
      </c>
      <c r="I71" t="n">
        <v>-0.019244724077274</v>
      </c>
      <c r="J71" t="n">
        <v>-0.018376024657371</v>
      </c>
      <c r="K71" t="n">
        <v>0.038843037352994</v>
      </c>
      <c r="L71" t="n">
        <v>-0.7037129990508</v>
      </c>
      <c r="M71" t="n">
        <v>-0.7061831738234</v>
      </c>
      <c r="N71" t="n">
        <v>568.84074929416</v>
      </c>
      <c r="O71" t="n">
        <v>639.4253569308499</v>
      </c>
    </row>
    <row r="72">
      <c r="A72" t="n">
        <v>13.406684939098</v>
      </c>
      <c r="B72" t="n">
        <v>0.039889424442896</v>
      </c>
      <c r="C72" t="n">
        <v>92.692821672524</v>
      </c>
      <c r="D72" t="n">
        <v>0.042131671092102</v>
      </c>
      <c r="E72" t="n">
        <v>-6.9402383747965</v>
      </c>
      <c r="F72" t="n">
        <v>-2.2367896184491</v>
      </c>
      <c r="G72" t="n">
        <v>54178390.076716</v>
      </c>
      <c r="H72" t="n">
        <v>10503292.69685</v>
      </c>
      <c r="I72" t="n">
        <v>-0.019539190399456</v>
      </c>
      <c r="J72" t="n">
        <v>-0.018655634505143</v>
      </c>
      <c r="K72" t="n">
        <v>0.039419651809372</v>
      </c>
      <c r="L72" t="n">
        <v>-0.71628966750892</v>
      </c>
      <c r="M72" t="n">
        <v>-0.7187343049766</v>
      </c>
      <c r="N72" t="n">
        <v>570.12848426652</v>
      </c>
      <c r="O72" t="n">
        <v>640.9551225937701</v>
      </c>
    </row>
    <row r="73">
      <c r="A73" t="n">
        <v>13.606684939098</v>
      </c>
      <c r="B73" t="n">
        <v>0.040510536979173</v>
      </c>
      <c r="C73" t="n">
        <v>92.69260167601701</v>
      </c>
      <c r="D73" t="n">
        <v>0.042759943757715</v>
      </c>
      <c r="E73" t="n">
        <v>-6.9288106536554</v>
      </c>
      <c r="F73" t="n">
        <v>-2.2362412899499</v>
      </c>
      <c r="G73" t="n">
        <v>54886400.122847</v>
      </c>
      <c r="H73" t="n">
        <v>10622288.475721</v>
      </c>
      <c r="I73" t="n">
        <v>-0.019833510329435</v>
      </c>
      <c r="J73" t="n">
        <v>-0.018935066228537</v>
      </c>
      <c r="K73" t="n">
        <v>0.039995929114583</v>
      </c>
      <c r="L73" t="n">
        <v>-0.72894349463789</v>
      </c>
      <c r="M73" t="n">
        <v>-0.73138577181145</v>
      </c>
      <c r="N73" t="n">
        <v>571.4108312419201</v>
      </c>
      <c r="O73" t="n">
        <v>642.478577107</v>
      </c>
    </row>
    <row r="74">
      <c r="A74" t="n">
        <v>13.806684939098</v>
      </c>
      <c r="B74" t="n">
        <v>0.041131585991436</v>
      </c>
      <c r="C74" t="n">
        <v>92.69238443108</v>
      </c>
      <c r="D74" t="n">
        <v>0.043388153221986</v>
      </c>
      <c r="E74" t="n">
        <v>-6.9473792064451</v>
      </c>
      <c r="F74" t="n">
        <v>-2.2409758459404</v>
      </c>
      <c r="G74" t="n">
        <v>55596815.05577</v>
      </c>
      <c r="H74" t="n">
        <v>10741644.303269</v>
      </c>
      <c r="I74" t="n">
        <v>-0.020127684500314</v>
      </c>
      <c r="J74" t="n">
        <v>-0.019214319697082</v>
      </c>
      <c r="K74" t="n">
        <v>0.040571869662488</v>
      </c>
      <c r="L74" t="n">
        <v>-0.74168575386447</v>
      </c>
      <c r="M74" t="n">
        <v>-0.74409710324232</v>
      </c>
      <c r="N74" t="n">
        <v>572.68770552243</v>
      </c>
      <c r="O74" t="n">
        <v>643.99562683253</v>
      </c>
    </row>
    <row r="75">
      <c r="A75" t="n">
        <v>14.006684939098</v>
      </c>
      <c r="B75" t="n">
        <v>0.041752573866967</v>
      </c>
      <c r="C75" t="n">
        <v>92.692141432019</v>
      </c>
      <c r="D75" t="n">
        <v>0.04401630156105</v>
      </c>
      <c r="E75" t="n">
        <v>-6.98424163372</v>
      </c>
      <c r="F75" t="n">
        <v>-2.2557520674536</v>
      </c>
      <c r="G75" t="n">
        <v>56309607.398097</v>
      </c>
      <c r="H75" t="n">
        <v>10861355.599923</v>
      </c>
      <c r="I75" t="n">
        <v>-0.020421712780646</v>
      </c>
      <c r="J75" t="n">
        <v>-0.019493394468956</v>
      </c>
      <c r="K75" t="n">
        <v>0.041147473857999</v>
      </c>
      <c r="L75" t="n">
        <v>-0.7543597947746</v>
      </c>
      <c r="M75" t="n">
        <v>-0.75676886080261</v>
      </c>
      <c r="N75" t="n">
        <v>573.95928802022</v>
      </c>
      <c r="O75" t="n">
        <v>645.50637045166</v>
      </c>
    </row>
    <row r="76">
      <c r="A76" t="n">
        <v>14.206684939098</v>
      </c>
      <c r="B76" t="n">
        <v>0.042373502982878</v>
      </c>
      <c r="C76" t="n">
        <v>92.691917371637</v>
      </c>
      <c r="D76" t="n">
        <v>0.044644391288347</v>
      </c>
      <c r="E76" t="n">
        <v>-7.0245391512038</v>
      </c>
      <c r="F76" t="n">
        <v>-2.2717127001003</v>
      </c>
      <c r="G76" t="n">
        <v>57024750.446341</v>
      </c>
      <c r="H76" t="n">
        <v>10981417.917248</v>
      </c>
      <c r="I76" t="n">
        <v>-0.020715595977762</v>
      </c>
      <c r="J76" t="n">
        <v>-0.019772291093344</v>
      </c>
      <c r="K76" t="n">
        <v>0.041722742094159</v>
      </c>
      <c r="L76" t="n">
        <v>-0.7671731647230799</v>
      </c>
      <c r="M76" t="n">
        <v>-0.7695478424575199</v>
      </c>
      <c r="N76" t="n">
        <v>575.2254934651399</v>
      </c>
      <c r="O76" t="n">
        <v>647.0109211743001</v>
      </c>
    </row>
    <row r="77">
      <c r="A77" t="n">
        <v>14.406684939098</v>
      </c>
      <c r="B77" t="n">
        <v>0.042994374343165</v>
      </c>
      <c r="C77" t="n">
        <v>92.691691189507</v>
      </c>
      <c r="D77" t="n">
        <v>0.045272424203486</v>
      </c>
      <c r="E77" t="n">
        <v>-7.0472256837914</v>
      </c>
      <c r="F77" t="n">
        <v>-2.2723330355322</v>
      </c>
      <c r="G77" t="n">
        <v>57742216.09805</v>
      </c>
      <c r="H77" t="n">
        <v>11101826.574403</v>
      </c>
      <c r="I77" t="n">
        <v>-0.021009333769255</v>
      </c>
      <c r="J77" t="n">
        <v>-0.020051008813761</v>
      </c>
      <c r="K77" t="n">
        <v>0.04229767477525</v>
      </c>
      <c r="L77" t="n">
        <v>-0.77992559165696</v>
      </c>
      <c r="M77" t="n">
        <v>-0.78229993663008</v>
      </c>
      <c r="N77" t="n">
        <v>576.4866729303</v>
      </c>
      <c r="O77" t="n">
        <v>648.50948499417</v>
      </c>
    </row>
    <row r="78">
      <c r="A78" t="n">
        <v>14.606684939098</v>
      </c>
      <c r="B78" t="n">
        <v>0.043615190760239</v>
      </c>
      <c r="C78" t="n">
        <v>92.691464834371</v>
      </c>
      <c r="D78" t="n">
        <v>0.045900402740411</v>
      </c>
      <c r="E78" t="n">
        <v>-7.0764884755211</v>
      </c>
      <c r="F78" t="n">
        <v>-2.2663678430122</v>
      </c>
      <c r="G78" t="n">
        <v>58461978.578278</v>
      </c>
      <c r="H78" t="n">
        <v>11222577.281973</v>
      </c>
      <c r="I78" t="n">
        <v>-0.021302926633054</v>
      </c>
      <c r="J78" t="n">
        <v>-0.020329548396216</v>
      </c>
      <c r="K78" t="n">
        <v>0.042872272289842</v>
      </c>
      <c r="L78" t="n">
        <v>-0.7927730592993401</v>
      </c>
      <c r="M78" t="n">
        <v>-0.79511078514052</v>
      </c>
      <c r="N78" t="n">
        <v>577.74267847456</v>
      </c>
      <c r="O78" t="n">
        <v>650.0020581802401</v>
      </c>
    </row>
    <row r="79">
      <c r="A79" t="n">
        <v>14.806684939098</v>
      </c>
      <c r="B79" t="n">
        <v>0.044235954540992</v>
      </c>
      <c r="C79" t="n">
        <v>92.69124761512001</v>
      </c>
      <c r="D79" t="n">
        <v>0.046528328853215</v>
      </c>
      <c r="E79" t="n">
        <v>-7.0620894420336</v>
      </c>
      <c r="F79" t="n">
        <v>-2.2491360164585</v>
      </c>
      <c r="G79" t="n">
        <v>59184012.135945</v>
      </c>
      <c r="H79" t="n">
        <v>11343665.766569</v>
      </c>
      <c r="I79" t="n">
        <v>-0.021596374440475</v>
      </c>
      <c r="J79" t="n">
        <v>-0.020607909679266</v>
      </c>
      <c r="K79" t="n">
        <v>0.043446535042612</v>
      </c>
      <c r="L79" t="n">
        <v>-0.80558147182367</v>
      </c>
      <c r="M79" t="n">
        <v>-0.80792261329986</v>
      </c>
      <c r="N79" t="n">
        <v>578.99362470967</v>
      </c>
      <c r="O79" t="n">
        <v>651.48869980054</v>
      </c>
    </row>
    <row r="80">
      <c r="A80" t="n">
        <v>15.006684939098</v>
      </c>
      <c r="B80" t="n">
        <v>0.044856666532722</v>
      </c>
      <c r="C80" t="n">
        <v>92.691028752173</v>
      </c>
      <c r="D80" t="n">
        <v>0.047156204682375</v>
      </c>
      <c r="E80" t="n">
        <v>-7.0803926963492</v>
      </c>
      <c r="F80" t="n">
        <v>-2.2321604911799</v>
      </c>
      <c r="G80" t="n">
        <v>59908289.991903</v>
      </c>
      <c r="H80" t="n">
        <v>11465087.579532</v>
      </c>
      <c r="I80" t="n">
        <v>-0.021889677303129</v>
      </c>
      <c r="J80" t="n">
        <v>-0.020886093128847</v>
      </c>
      <c r="K80" t="n">
        <v>0.044020463413247</v>
      </c>
      <c r="L80" t="n">
        <v>-0.81850752336856</v>
      </c>
      <c r="M80" t="n">
        <v>-0.82081139565191</v>
      </c>
      <c r="N80" t="n">
        <v>580.23966550668</v>
      </c>
      <c r="O80" t="n">
        <v>652.96967489297</v>
      </c>
    </row>
    <row r="81">
      <c r="A81" t="n">
        <v>15.206684939098</v>
      </c>
      <c r="B81" t="n">
        <v>0.045477328677133</v>
      </c>
      <c r="C81" t="n">
        <v>92.690809120927</v>
      </c>
      <c r="D81" t="n">
        <v>0.047784031870724</v>
      </c>
      <c r="E81" t="n">
        <v>-7.0920835407998</v>
      </c>
      <c r="F81" t="n">
        <v>-2.2547634796571</v>
      </c>
      <c r="G81" t="n">
        <v>60634786.466416</v>
      </c>
      <c r="H81" t="n">
        <v>11586838.461503</v>
      </c>
      <c r="I81" t="n">
        <v>-0.022182834922664</v>
      </c>
      <c r="J81" t="n">
        <v>-0.021164098610698</v>
      </c>
      <c r="K81" t="n">
        <v>0.044594057800398</v>
      </c>
      <c r="L81" t="n">
        <v>-0.8313891845067</v>
      </c>
      <c r="M81" t="n">
        <v>-0.8336977224854401</v>
      </c>
      <c r="N81" t="n">
        <v>581.48093801288</v>
      </c>
      <c r="O81" t="n">
        <v>654.44505439008</v>
      </c>
    </row>
    <row r="82">
      <c r="A82" t="n">
        <v>15.406684939098</v>
      </c>
      <c r="B82" t="n">
        <v>0.046097943704648</v>
      </c>
      <c r="C82" t="n">
        <v>92.690581880743</v>
      </c>
      <c r="D82" t="n">
        <v>0.048411812793952</v>
      </c>
      <c r="E82" t="n">
        <v>-7.110422165026</v>
      </c>
      <c r="F82" t="n">
        <v>-2.2597245286083</v>
      </c>
      <c r="G82" t="n">
        <v>61363477.092184</v>
      </c>
      <c r="H82" t="n">
        <v>11708914.361237</v>
      </c>
      <c r="I82" t="n">
        <v>-0.022475847821549</v>
      </c>
      <c r="J82" t="n">
        <v>-0.021441926772556</v>
      </c>
      <c r="K82" t="n">
        <v>0.04516731859275</v>
      </c>
      <c r="L82" t="n">
        <v>-0.8443818146192</v>
      </c>
      <c r="M82" t="n">
        <v>-0.84665608423811</v>
      </c>
      <c r="N82" t="n">
        <v>582.71730954494</v>
      </c>
      <c r="O82" t="n">
        <v>655.91481506923</v>
      </c>
    </row>
    <row r="83">
      <c r="A83" t="n">
        <v>15.606684939098</v>
      </c>
      <c r="B83" t="n">
        <v>0.046718514172926</v>
      </c>
      <c r="C83" t="n">
        <v>92.690344580507</v>
      </c>
      <c r="D83" t="n">
        <v>0.049039549124456</v>
      </c>
      <c r="E83" t="n">
        <v>-7.1539940483039</v>
      </c>
      <c r="F83" t="n">
        <v>-2.2593087172843</v>
      </c>
      <c r="G83" t="n">
        <v>62094338.16199</v>
      </c>
      <c r="H83" t="n">
        <v>11831311.359378</v>
      </c>
      <c r="I83" t="n">
        <v>-0.022768715949782</v>
      </c>
      <c r="J83" t="n">
        <v>-0.021719577507826</v>
      </c>
      <c r="K83" t="n">
        <v>0.045740246193183</v>
      </c>
      <c r="L83" t="n">
        <v>-0.85732283024379</v>
      </c>
      <c r="M83" t="n">
        <v>-0.85959060499601</v>
      </c>
      <c r="N83" t="n">
        <v>583.94875698889</v>
      </c>
      <c r="O83" t="n">
        <v>657.37885596525</v>
      </c>
    </row>
    <row r="84">
      <c r="A84" t="n">
        <v>15.806684939098</v>
      </c>
      <c r="B84" t="n">
        <v>0.047339040777891</v>
      </c>
      <c r="C84" t="n">
        <v>92.690097659492</v>
      </c>
      <c r="D84" t="n">
        <v>0.049667242995652</v>
      </c>
      <c r="E84" t="n">
        <v>-7.1259543487334</v>
      </c>
      <c r="F84" t="n">
        <v>-2.2641529557393</v>
      </c>
      <c r="G84" t="n">
        <v>62827343.502208</v>
      </c>
      <c r="H84" t="n">
        <v>11954025.124419</v>
      </c>
      <c r="I84" t="n">
        <v>-0.02306143962218</v>
      </c>
      <c r="J84" t="n">
        <v>-0.021997050923428</v>
      </c>
      <c r="K84" t="n">
        <v>0.04631284099124</v>
      </c>
      <c r="L84" t="n">
        <v>-0.8703411887587</v>
      </c>
      <c r="M84" t="n">
        <v>-0.87258442306471</v>
      </c>
      <c r="N84" t="n">
        <v>585.17550445155</v>
      </c>
      <c r="O84" t="n">
        <v>658.8375108110901</v>
      </c>
    </row>
    <row r="85">
      <c r="A85" t="n">
        <v>16.006684939098</v>
      </c>
      <c r="B85" t="n">
        <v>0.047959526548218</v>
      </c>
      <c r="C85" t="n">
        <v>92.689855500302</v>
      </c>
      <c r="D85" t="n">
        <v>0.050294896120403</v>
      </c>
      <c r="E85" t="n">
        <v>-7.1486239709124</v>
      </c>
      <c r="F85" t="n">
        <v>-2.2647887141743</v>
      </c>
      <c r="G85" t="n">
        <v>63562470.00748</v>
      </c>
      <c r="H85" t="n">
        <v>12077051.848637</v>
      </c>
      <c r="I85" t="n">
        <v>-0.023354019177836</v>
      </c>
      <c r="J85" t="n">
        <v>-0.02227434707194</v>
      </c>
      <c r="K85" t="n">
        <v>0.046885103373444</v>
      </c>
      <c r="L85" t="n">
        <v>-0.88341799552346</v>
      </c>
      <c r="M85" t="n">
        <v>-0.88565434498538</v>
      </c>
      <c r="N85" t="n">
        <v>586.39752789081</v>
      </c>
      <c r="O85" t="n">
        <v>660.29078581011</v>
      </c>
    </row>
    <row r="86">
      <c r="A86" t="n">
        <v>16.206684939098</v>
      </c>
      <c r="B86" t="n">
        <v>0.048579972644775</v>
      </c>
      <c r="C86" t="n">
        <v>92.689616253219</v>
      </c>
      <c r="D86" t="n">
        <v>0.050922510151572</v>
      </c>
      <c r="E86" t="n">
        <v>-7.1493198735322</v>
      </c>
      <c r="F86" t="n">
        <v>-2.265425642437</v>
      </c>
      <c r="G86" t="n">
        <v>64299692.922016</v>
      </c>
      <c r="H86" t="n">
        <v>12200387.444183</v>
      </c>
      <c r="I86" t="n">
        <v>-0.023646454357941</v>
      </c>
      <c r="J86" t="n">
        <v>-0.02255146567312</v>
      </c>
      <c r="K86" t="n">
        <v>0.047457033728802</v>
      </c>
      <c r="L86" t="n">
        <v>-0.89644327664486</v>
      </c>
      <c r="M86" t="n">
        <v>-0.89866740298402</v>
      </c>
      <c r="N86" t="n">
        <v>587.61500818053</v>
      </c>
      <c r="O86" t="n">
        <v>661.73875163252</v>
      </c>
    </row>
    <row r="87">
      <c r="A87" t="n">
        <v>16.406684939098</v>
      </c>
      <c r="B87" t="n">
        <v>0.049200381304586</v>
      </c>
      <c r="C87" t="n">
        <v>92.689389276952</v>
      </c>
      <c r="D87" t="n">
        <v>0.051550087149346</v>
      </c>
      <c r="E87" t="n">
        <v>-7.1634341065328</v>
      </c>
      <c r="F87" t="n">
        <v>-2.2746025218809</v>
      </c>
      <c r="G87" t="n">
        <v>65038988.795842</v>
      </c>
      <c r="H87" t="n">
        <v>12324028.045504</v>
      </c>
      <c r="I87" t="n">
        <v>-0.023938745895458</v>
      </c>
      <c r="J87" t="n">
        <v>-0.022828407172515</v>
      </c>
      <c r="K87" t="n">
        <v>0.048028632446118</v>
      </c>
      <c r="L87" t="n">
        <v>-0.90957205007189</v>
      </c>
      <c r="M87" t="n">
        <v>-0.91176697942698</v>
      </c>
      <c r="N87" t="n">
        <v>588.8278814128</v>
      </c>
      <c r="O87" t="n">
        <v>663.18152578958</v>
      </c>
    </row>
    <row r="88">
      <c r="A88" t="n">
        <v>16.606684939098</v>
      </c>
      <c r="B88" t="n">
        <v>0.049820754154775</v>
      </c>
      <c r="C88" t="n">
        <v>92.689162989089</v>
      </c>
      <c r="D88" t="n">
        <v>0.052177628725929</v>
      </c>
      <c r="E88" t="n">
        <v>-7.1704775066371</v>
      </c>
      <c r="F88" t="n">
        <v>-2.2578973263823</v>
      </c>
      <c r="G88" t="n">
        <v>65780334.463164</v>
      </c>
      <c r="H88" t="n">
        <v>12447969.838512</v>
      </c>
      <c r="I88" t="n">
        <v>-0.024230893847411</v>
      </c>
      <c r="J88" t="n">
        <v>-0.023105171488483</v>
      </c>
      <c r="K88" t="n">
        <v>0.04859989991955</v>
      </c>
      <c r="L88" t="n">
        <v>-0.92270251250122</v>
      </c>
      <c r="M88" t="n">
        <v>-0.92489037208764</v>
      </c>
      <c r="N88" t="n">
        <v>590.03617337947</v>
      </c>
      <c r="O88" t="n">
        <v>664.61905276179</v>
      </c>
    </row>
    <row r="89">
      <c r="A89" t="n">
        <v>16.806684939098</v>
      </c>
      <c r="B89" t="n">
        <v>0.050441093022443</v>
      </c>
      <c r="C89" t="n">
        <v>92.688928653532</v>
      </c>
      <c r="D89" t="n">
        <v>0.052805136551876</v>
      </c>
      <c r="E89" t="n">
        <v>-7.193137266893</v>
      </c>
      <c r="F89" t="n">
        <v>-2.2475569559384</v>
      </c>
      <c r="G89" t="n">
        <v>66523706.712909</v>
      </c>
      <c r="H89" t="n">
        <v>12572209.003084</v>
      </c>
      <c r="I89" t="n">
        <v>-0.024522898288533</v>
      </c>
      <c r="J89" t="n">
        <v>-0.023381758621906</v>
      </c>
      <c r="K89" t="n">
        <v>0.049170836545852</v>
      </c>
      <c r="L89" t="n">
        <v>-0.93581518633398</v>
      </c>
      <c r="M89" t="n">
        <v>-0.93798439610174</v>
      </c>
      <c r="N89" t="n">
        <v>591.23995523163</v>
      </c>
      <c r="O89" t="n">
        <v>666.0513683991001</v>
      </c>
    </row>
    <row r="90">
      <c r="A90" t="n">
        <v>17</v>
      </c>
      <c r="B90" t="n">
        <v>0.051040529795761</v>
      </c>
      <c r="C90" t="n">
        <v>92.688693937154</v>
      </c>
      <c r="D90" t="n">
        <v>0.053411626531067</v>
      </c>
      <c r="E90" t="n">
        <v>-7.2157734712351</v>
      </c>
      <c r="F90" t="n">
        <v>-2.2481821335139</v>
      </c>
      <c r="G90" t="n">
        <v>67243974.36070099</v>
      </c>
      <c r="H90" t="n">
        <v>12692547.375594</v>
      </c>
      <c r="I90" t="n">
        <v>-0.024804980570883</v>
      </c>
      <c r="J90" t="n">
        <v>-0.023648908680042</v>
      </c>
      <c r="K90" t="n">
        <v>0.049722375784784</v>
      </c>
      <c r="L90" t="n">
        <v>-0.94797675206967</v>
      </c>
      <c r="M90" t="n">
        <v>-0.9501178826290499</v>
      </c>
      <c r="N90" t="n">
        <v>592.4233290977101</v>
      </c>
      <c r="O90" t="n">
        <v>667.45556749898</v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6"/>
  <sheetViews>
    <sheetView workbookViewId="0">
      <selection activeCell="A1" sqref="A1:O176"/>
    </sheetView>
  </sheetViews>
  <sheetFormatPr baseColWidth="8" defaultColWidth="8.85546875" defaultRowHeight="15"/>
  <sheetData>
    <row r="1">
      <c r="A1" s="2" t="inlineStr">
        <is>
          <t>time</t>
        </is>
      </c>
      <c r="B1" s="2" t="inlineStr">
        <is>
          <t>Ep_eff</t>
        </is>
      </c>
      <c r="C1" s="2" t="inlineStr">
        <is>
          <t>Phi</t>
        </is>
      </c>
      <c r="D1" s="2" t="inlineStr">
        <is>
          <t>eeq</t>
        </is>
      </c>
      <c r="E1" s="2" t="inlineStr">
        <is>
          <t>phi_1</t>
        </is>
      </c>
      <c r="F1" s="2" t="inlineStr">
        <is>
          <t>phi_2</t>
        </is>
      </c>
      <c r="G1" s="2" t="inlineStr">
        <is>
          <t>rho_i</t>
        </is>
      </c>
      <c r="H1" s="2" t="inlineStr">
        <is>
          <t>rho_m</t>
        </is>
      </c>
      <c r="I1" s="2" t="inlineStr">
        <is>
          <t>strain_xx</t>
        </is>
      </c>
      <c r="J1" s="2" t="inlineStr">
        <is>
          <t>strain_yy</t>
        </is>
      </c>
      <c r="K1" s="2" t="inlineStr">
        <is>
          <t>strain_zz</t>
        </is>
      </c>
      <c r="L1" s="2" t="inlineStr">
        <is>
          <t>stress_xx</t>
        </is>
      </c>
      <c r="M1" s="2" t="inlineStr">
        <is>
          <t>stress_yy</t>
        </is>
      </c>
      <c r="N1" s="2" t="inlineStr">
        <is>
          <t>stress_zz</t>
        </is>
      </c>
      <c r="O1" s="2" t="inlineStr">
        <is>
          <t>vonmises</t>
        </is>
      </c>
    </row>
    <row r="2">
      <c r="A2" s="2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</row>
    <row r="3">
      <c r="A3" s="2" t="n">
        <v>0.0015861204153657</v>
      </c>
      <c r="B3" s="3" t="n">
        <v>9.5005388794803e-42</v>
      </c>
      <c r="C3" s="2" t="n">
        <v>92.681593083496</v>
      </c>
      <c r="D3" s="3" t="n">
        <v>4.3361094136292e-06</v>
      </c>
      <c r="E3" s="2" t="n">
        <v>-5.6421875276611</v>
      </c>
      <c r="F3" s="2" t="n">
        <v>-2.714971031937</v>
      </c>
      <c r="G3" s="2" t="n">
        <v>16000000</v>
      </c>
      <c r="H3" s="2" t="n">
        <v>4000000</v>
      </c>
      <c r="I3" s="3" t="n">
        <v>-1.2773337123075e-06</v>
      </c>
      <c r="J3" s="3" t="n">
        <v>-1.2222332881043e-06</v>
      </c>
      <c r="K3" s="3" t="n">
        <v>4.7583497819639e-06</v>
      </c>
      <c r="L3" s="3" t="n">
        <v>-5.6656778777134e-08</v>
      </c>
      <c r="M3" s="3" t="n">
        <v>-5.8683161379737e-08</v>
      </c>
      <c r="N3" s="2" t="n">
        <v>1.0236049992882</v>
      </c>
      <c r="O3" s="2" t="n">
        <v>1.0715918975481</v>
      </c>
    </row>
    <row r="4">
      <c r="A4" s="2" t="n">
        <v>0.0056628610230507</v>
      </c>
      <c r="B4" s="3" t="n">
        <v>2.4038507796856e-39</v>
      </c>
      <c r="C4" s="2" t="n">
        <v>92.681620596901</v>
      </c>
      <c r="D4" s="3" t="n">
        <v>1.5481185752114e-05</v>
      </c>
      <c r="E4" s="2" t="n">
        <v>-5.6421875976636</v>
      </c>
      <c r="F4" s="2" t="n">
        <v>-2.7149467764446</v>
      </c>
      <c r="G4" s="2" t="n">
        <v>16000000</v>
      </c>
      <c r="H4" s="2" t="n">
        <v>4000000</v>
      </c>
      <c r="I4" s="3" t="n">
        <v>-4.5606081907161e-06</v>
      </c>
      <c r="J4" s="3" t="n">
        <v>-4.3638744760763e-06</v>
      </c>
      <c r="K4" s="3" t="n">
        <v>1.6988436939939e-05</v>
      </c>
      <c r="L4" s="3" t="n">
        <v>-7.221564958306e-07</v>
      </c>
      <c r="M4" s="3" t="n">
        <v>-7.479859581462501e-07</v>
      </c>
      <c r="N4" s="2" t="n">
        <v>3.6547988920054</v>
      </c>
      <c r="O4" s="2" t="n">
        <v>3.826120632841</v>
      </c>
    </row>
    <row r="5">
      <c r="A5" s="2" t="n">
        <v>0.016141141121675</v>
      </c>
      <c r="B5" s="3" t="n">
        <v>5.2122765529741e-36</v>
      </c>
      <c r="C5" s="2" t="n">
        <v>92.681693745262</v>
      </c>
      <c r="D5" s="3" t="n">
        <v>4.4127919643863e-05</v>
      </c>
      <c r="E5" s="2" t="n">
        <v>-5.642187770368</v>
      </c>
      <c r="F5" s="2" t="n">
        <v>-2.7148844306496</v>
      </c>
      <c r="G5" s="2" t="n">
        <v>16000000</v>
      </c>
      <c r="H5" s="2" t="n">
        <v>4000000</v>
      </c>
      <c r="I5" s="3" t="n">
        <v>-1.30007678677e-05</v>
      </c>
      <c r="J5" s="3" t="n">
        <v>-1.2439927751104e-05</v>
      </c>
      <c r="K5" s="3" t="n">
        <v>4.8422236164211e-05</v>
      </c>
      <c r="L5" s="3" t="n">
        <v>-5.8664188421881e-06</v>
      </c>
      <c r="M5" s="3" t="n">
        <v>-6.0762513607913e-06</v>
      </c>
      <c r="N5" s="2" t="n">
        <v>10.419391624064</v>
      </c>
      <c r="O5" s="2" t="n">
        <v>10.907689955068</v>
      </c>
    </row>
    <row r="6">
      <c r="A6" s="2" t="n">
        <v>0.043073037062825</v>
      </c>
      <c r="B6" s="3" t="n">
        <v>5.052035584058e-31</v>
      </c>
      <c r="C6" s="2" t="n">
        <v>92.680637895611</v>
      </c>
      <c r="D6" s="2" t="n">
        <v>0.00011776404831465</v>
      </c>
      <c r="E6" s="2" t="n">
        <v>-5.8948007329707</v>
      </c>
      <c r="F6" s="2" t="n">
        <v>-3.0152548319375</v>
      </c>
      <c r="G6" s="2" t="n">
        <v>16000000</v>
      </c>
      <c r="H6" s="2" t="n">
        <v>4000000</v>
      </c>
      <c r="I6" s="3" t="n">
        <v>-3.4702697989482e-05</v>
      </c>
      <c r="J6" s="3" t="n">
        <v>-3.320554121585e-05</v>
      </c>
      <c r="K6" s="2" t="n">
        <v>0.00012921065757864</v>
      </c>
      <c r="L6" s="3" t="n">
        <v>-4.1761422223666e-05</v>
      </c>
      <c r="M6" s="3" t="n">
        <v>-4.3255267256556e-05</v>
      </c>
      <c r="N6" s="2" t="n">
        <v>27.817654447268</v>
      </c>
      <c r="O6" s="2" t="n">
        <v>29.120493994824</v>
      </c>
    </row>
    <row r="7">
      <c r="A7" s="2" t="n">
        <v>0.10863884959761</v>
      </c>
      <c r="B7" s="3" t="n">
        <v>4.6981328227588e-24</v>
      </c>
      <c r="C7" s="2" t="n">
        <v>92.68142364408401</v>
      </c>
      <c r="D7" s="2" t="n">
        <v>0.00029707158280822</v>
      </c>
      <c r="E7" s="2" t="n">
        <v>-5.9270036531636</v>
      </c>
      <c r="F7" s="2" t="n">
        <v>-2.9829829838255</v>
      </c>
      <c r="G7" s="2" t="n">
        <v>16000000</v>
      </c>
      <c r="H7" s="2" t="n">
        <v>4000000</v>
      </c>
      <c r="I7" s="3" t="n">
        <v>-8.758807600818599e-05</v>
      </c>
      <c r="J7" s="3" t="n">
        <v>-8.380880691447399e-05</v>
      </c>
      <c r="K7" s="2" t="n">
        <v>0.00032586277856654</v>
      </c>
      <c r="L7" s="2" t="n">
        <v>-0.00026591187191785</v>
      </c>
      <c r="M7" s="2" t="n">
        <v>-0.00027539442701167</v>
      </c>
      <c r="N7" s="2" t="n">
        <v>70.243954473069</v>
      </c>
      <c r="O7" s="2" t="n">
        <v>73.52878182534</v>
      </c>
    </row>
    <row r="8">
      <c r="A8" s="2" t="n">
        <v>0.20863884959761</v>
      </c>
      <c r="B8" s="3" t="n">
        <v>9.7630961917009e-17</v>
      </c>
      <c r="C8" s="2" t="n">
        <v>92.68717009230301</v>
      </c>
      <c r="D8" s="2" t="n">
        <v>0.00057066186159255</v>
      </c>
      <c r="E8" s="2" t="n">
        <v>-5.7694685219354</v>
      </c>
      <c r="F8" s="2" t="n">
        <v>-2.7103599534507</v>
      </c>
      <c r="G8" s="2" t="n">
        <v>16000000</v>
      </c>
      <c r="H8" s="2" t="n">
        <v>4000000</v>
      </c>
      <c r="I8" s="2" t="n">
        <v>-0.00016839776010355</v>
      </c>
      <c r="J8" s="2" t="n">
        <v>-0.00016112995637369</v>
      </c>
      <c r="K8" s="2" t="n">
        <v>0.00062571827268807</v>
      </c>
      <c r="L8" s="2" t="n">
        <v>-0.00097931838834315</v>
      </c>
      <c r="M8" s="2" t="n">
        <v>-0.0010142897855775</v>
      </c>
      <c r="N8" s="2" t="n">
        <v>135.15267609806</v>
      </c>
      <c r="O8" s="2" t="n">
        <v>141.45764381956</v>
      </c>
    </row>
    <row r="9">
      <c r="A9" s="2" t="n">
        <v>0.30863884959761</v>
      </c>
      <c r="B9" s="3" t="n">
        <v>3.674699205303e-12</v>
      </c>
      <c r="C9" s="2" t="n">
        <v>92.690104158604</v>
      </c>
      <c r="D9" s="2" t="n">
        <v>0.00084438901491046</v>
      </c>
      <c r="E9" s="2" t="n">
        <v>-6.0537579842804</v>
      </c>
      <c r="F9" s="2" t="n">
        <v>-2.5151496029052</v>
      </c>
      <c r="G9" s="2" t="n">
        <v>16000000.001994</v>
      </c>
      <c r="H9" s="2" t="n">
        <v>4000000.0003465</v>
      </c>
      <c r="I9" s="2" t="n">
        <v>-0.00024938826516694</v>
      </c>
      <c r="J9" s="2" t="n">
        <v>-0.00023862233444801</v>
      </c>
      <c r="K9" s="2" t="n">
        <v>0.000925482748805</v>
      </c>
      <c r="L9" s="2" t="n">
        <v>-0.0021432234231329</v>
      </c>
      <c r="M9" s="2" t="n">
        <v>-0.0022196296891304</v>
      </c>
      <c r="N9" s="2" t="n">
        <v>200.30431301002</v>
      </c>
      <c r="O9" s="2" t="n">
        <v>209.62616436993</v>
      </c>
    </row>
    <row r="10">
      <c r="A10" s="2" t="n">
        <v>0.40863884959761</v>
      </c>
      <c r="B10" s="3" t="n">
        <v>1.2706365415186e-08</v>
      </c>
      <c r="C10" s="2" t="n">
        <v>92.694800357774</v>
      </c>
      <c r="D10" s="2" t="n">
        <v>0.0011182558155366</v>
      </c>
      <c r="E10" s="2" t="n">
        <v>-6.0943714359295</v>
      </c>
      <c r="F10" s="2" t="n">
        <v>-2.5555274602287</v>
      </c>
      <c r="G10" s="2" t="n">
        <v>16000006.880057</v>
      </c>
      <c r="H10" s="2" t="n">
        <v>4000001.1955606</v>
      </c>
      <c r="I10" s="2" t="n">
        <v>-0.00033056142463745</v>
      </c>
      <c r="J10" s="2" t="n">
        <v>-0.0003162884267139</v>
      </c>
      <c r="K10" s="2" t="n">
        <v>0.0012251562651176</v>
      </c>
      <c r="L10" s="2" t="n">
        <v>-0.0037558800190857</v>
      </c>
      <c r="M10" s="2" t="n">
        <v>-0.0038896626441084</v>
      </c>
      <c r="N10" s="2" t="n">
        <v>265.69541673615</v>
      </c>
      <c r="O10" s="2" t="n">
        <v>278.03081678764</v>
      </c>
    </row>
    <row r="11">
      <c r="A11" s="2" t="n">
        <v>0.50863884959761</v>
      </c>
      <c r="B11" s="3" t="n">
        <v>4.0449655316931e-06</v>
      </c>
      <c r="C11" s="2" t="n">
        <v>92.697923368936</v>
      </c>
      <c r="D11" s="2" t="n">
        <v>0.0013930267625265</v>
      </c>
      <c r="E11" s="2" t="n">
        <v>-6.0275327909072</v>
      </c>
      <c r="F11" s="2" t="n">
        <v>-2.4885855694264</v>
      </c>
      <c r="G11" s="2" t="n">
        <v>16002200.731684</v>
      </c>
      <c r="H11" s="2" t="n">
        <v>4000382.3926761</v>
      </c>
      <c r="I11" s="2" t="n">
        <v>-0.00041278606345453</v>
      </c>
      <c r="J11" s="2" t="n">
        <v>-0.0003950289357542</v>
      </c>
      <c r="K11" s="2" t="n">
        <v>0.0015247389878287</v>
      </c>
      <c r="L11" s="2" t="n">
        <v>-0.0058386924065539</v>
      </c>
      <c r="M11" s="2" t="n">
        <v>-0.006063492487968</v>
      </c>
      <c r="N11" s="2" t="n">
        <v>330.50252048433</v>
      </c>
      <c r="O11" s="2" t="n">
        <v>345.83421230785</v>
      </c>
    </row>
    <row r="12">
      <c r="A12" s="2" t="n">
        <v>0.6086388495976101</v>
      </c>
      <c r="B12" s="3" t="n">
        <v>7.2087135554153e-05</v>
      </c>
      <c r="C12" s="2" t="n">
        <v>92.700040488168</v>
      </c>
      <c r="D12" s="2" t="n">
        <v>0.0016772120862454</v>
      </c>
      <c r="E12" s="2" t="n">
        <v>-5.9343628235734</v>
      </c>
      <c r="F12" s="2" t="n">
        <v>-2.3401771524728</v>
      </c>
      <c r="G12" s="2" t="n">
        <v>16039884.353559</v>
      </c>
      <c r="H12" s="2" t="n">
        <v>4006928.6685711</v>
      </c>
      <c r="I12" s="2" t="n">
        <v>-0.00050835861651698</v>
      </c>
      <c r="J12" s="2" t="n">
        <v>-0.00048687477710442</v>
      </c>
      <c r="K12" s="2" t="n">
        <v>0.0018242315872142</v>
      </c>
      <c r="L12" s="2" t="n">
        <v>-0.0082052831502867</v>
      </c>
      <c r="M12" s="2" t="n">
        <v>-0.0085810568843413</v>
      </c>
      <c r="N12" s="2" t="n">
        <v>383.29064675263</v>
      </c>
      <c r="O12" s="2" t="n">
        <v>401.52443559748</v>
      </c>
    </row>
    <row r="13">
      <c r="A13" s="2" t="n">
        <v>0.70863884959761</v>
      </c>
      <c r="B13" s="2" t="n">
        <v>0.00027627885804704</v>
      </c>
      <c r="C13" s="2" t="n">
        <v>92.70010177589199</v>
      </c>
      <c r="D13" s="2" t="n">
        <v>0.0019775871982418</v>
      </c>
      <c r="E13" s="2" t="n">
        <v>-6.0452413016135</v>
      </c>
      <c r="F13" s="2" t="n">
        <v>-2.2714113931022</v>
      </c>
      <c r="G13" s="2" t="n">
        <v>16156660.79309</v>
      </c>
      <c r="H13" s="2" t="n">
        <v>4027207.1736424</v>
      </c>
      <c r="I13" s="2" t="n">
        <v>-0.0006310882158415099</v>
      </c>
      <c r="J13" s="2" t="n">
        <v>-0.00060432924382906</v>
      </c>
      <c r="K13" s="2" t="n">
        <v>0.0021236337261287</v>
      </c>
      <c r="L13" s="2" t="n">
        <v>-0.011527705952697</v>
      </c>
      <c r="M13" s="2" t="n">
        <v>-0.012100843814397</v>
      </c>
      <c r="N13" s="2" t="n">
        <v>411.40335166245</v>
      </c>
      <c r="O13" s="2" t="n">
        <v>432.45523649144</v>
      </c>
    </row>
    <row r="14">
      <c r="A14" s="2" t="n">
        <v>0.80863884959761</v>
      </c>
      <c r="B14" s="2" t="n">
        <v>0.00055581413045053</v>
      </c>
      <c r="C14" s="2" t="n">
        <v>92.699945047629</v>
      </c>
      <c r="D14" s="2" t="n">
        <v>0.0022862865545731</v>
      </c>
      <c r="E14" s="2" t="n">
        <v>-6.1516301191801</v>
      </c>
      <c r="F14" s="2" t="n">
        <v>-2.1558786146195</v>
      </c>
      <c r="G14" s="2" t="n">
        <v>16323240.358511</v>
      </c>
      <c r="H14" s="2" t="n">
        <v>4056121.0575658</v>
      </c>
      <c r="I14" s="2" t="n">
        <v>-0.00076936636538319</v>
      </c>
      <c r="J14" s="2" t="n">
        <v>-0.00073517332282941</v>
      </c>
      <c r="K14" s="2" t="n">
        <v>0.0024229443732677</v>
      </c>
      <c r="L14" s="2" t="n">
        <v>-0.015547030999049</v>
      </c>
      <c r="M14" s="2" t="n">
        <v>-0.016261141058602</v>
      </c>
      <c r="N14" s="2" t="n">
        <v>425.82641251417</v>
      </c>
      <c r="O14" s="2" t="n">
        <v>449.6274299605</v>
      </c>
    </row>
    <row r="15">
      <c r="A15" s="2" t="n">
        <v>0.90863884959761</v>
      </c>
      <c r="B15" s="2" t="n">
        <v>0.00086162696610254</v>
      </c>
      <c r="C15" s="2" t="n">
        <v>92.700201897657</v>
      </c>
      <c r="D15" s="2" t="n">
        <v>0.0025987914231753</v>
      </c>
      <c r="E15" s="2" t="n">
        <v>-6.213548980486</v>
      </c>
      <c r="F15" s="2" t="n">
        <v>-2.1064919431027</v>
      </c>
      <c r="G15" s="2" t="n">
        <v>16513004.861865</v>
      </c>
      <c r="H15" s="2" t="n">
        <v>4089044.2318195</v>
      </c>
      <c r="I15" s="2" t="n">
        <v>-0.00091384216097906</v>
      </c>
      <c r="J15" s="2" t="n">
        <v>-0.00087110832328115</v>
      </c>
      <c r="K15" s="2" t="n">
        <v>0.0027221632972994</v>
      </c>
      <c r="L15" s="2" t="n">
        <v>-0.019377432151964</v>
      </c>
      <c r="M15" s="2" t="n">
        <v>-0.020244194226259</v>
      </c>
      <c r="N15" s="2" t="n">
        <v>434.85497863393</v>
      </c>
      <c r="O15" s="2" t="n">
        <v>461.29345393927</v>
      </c>
    </row>
    <row r="16">
      <c r="A16" s="2" t="n">
        <v>1.0086388495976</v>
      </c>
      <c r="B16" s="2" t="n">
        <v>0.0011767433857907</v>
      </c>
      <c r="C16" s="2" t="n">
        <v>92.70046937713499</v>
      </c>
      <c r="D16" s="2" t="n">
        <v>0.0029136868032804</v>
      </c>
      <c r="E16" s="2" t="n">
        <v>-6.2379922109343</v>
      </c>
      <c r="F16" s="2" t="n">
        <v>-2.094350889978</v>
      </c>
      <c r="G16" s="2" t="n">
        <v>16715844.951232</v>
      </c>
      <c r="H16" s="2" t="n">
        <v>4124220.5761409</v>
      </c>
      <c r="I16" s="2" t="n">
        <v>-0.0010609422031557</v>
      </c>
      <c r="J16" s="2" t="n">
        <v>-0.0010097224774299</v>
      </c>
      <c r="K16" s="2" t="n">
        <v>0.003021290606436</v>
      </c>
      <c r="L16" s="2" t="n">
        <v>-0.023272933378994</v>
      </c>
      <c r="M16" s="2" t="n">
        <v>-0.024321503856901</v>
      </c>
      <c r="N16" s="2" t="n">
        <v>441.32202078948</v>
      </c>
      <c r="O16" s="2" t="n">
        <v>470.25624877235</v>
      </c>
    </row>
    <row r="17">
      <c r="A17" s="2" t="n">
        <v>1.1086388495976</v>
      </c>
      <c r="B17" s="2" t="n">
        <v>0.0014953170279352</v>
      </c>
      <c r="C17" s="2" t="n">
        <v>92.70064349497299</v>
      </c>
      <c r="D17" s="2" t="n">
        <v>0.0032302394531784</v>
      </c>
      <c r="E17" s="2" t="n">
        <v>-6.2456850575557</v>
      </c>
      <c r="F17" s="2" t="n">
        <v>-2.0987844547547</v>
      </c>
      <c r="G17" s="2" t="n">
        <v>16927654.928653</v>
      </c>
      <c r="H17" s="2" t="n">
        <v>4160937.2662566</v>
      </c>
      <c r="I17" s="2" t="n">
        <v>-0.0012093501756149</v>
      </c>
      <c r="J17" s="2" t="n">
        <v>-0.0011500910232967</v>
      </c>
      <c r="K17" s="2" t="n">
        <v>0.0033203263166151</v>
      </c>
      <c r="L17" s="2" t="n">
        <v>-0.027856513490203</v>
      </c>
      <c r="M17" s="2" t="n">
        <v>-0.02901973792619</v>
      </c>
      <c r="N17" s="2" t="n">
        <v>446.29056340051</v>
      </c>
      <c r="O17" s="2" t="n">
        <v>477.55348982706</v>
      </c>
    </row>
    <row r="18">
      <c r="A18" s="2" t="n">
        <v>1.2086388495976</v>
      </c>
      <c r="B18" s="2" t="n">
        <v>0.00181504550183</v>
      </c>
      <c r="C18" s="2" t="n">
        <v>92.70072994937</v>
      </c>
      <c r="D18" s="2" t="n">
        <v>0.0035479338823155</v>
      </c>
      <c r="E18" s="2" t="n">
        <v>-6.2767249360538</v>
      </c>
      <c r="F18" s="2" t="n">
        <v>-2.0907534226256</v>
      </c>
      <c r="G18" s="2" t="n">
        <v>17146274.827826</v>
      </c>
      <c r="H18" s="2" t="n">
        <v>4198819.46635</v>
      </c>
      <c r="I18" s="2" t="n">
        <v>-0.001358515168731</v>
      </c>
      <c r="J18" s="2" t="n">
        <v>-0.0012916655044465</v>
      </c>
      <c r="K18" s="2" t="n">
        <v>0.0036192704611067</v>
      </c>
      <c r="L18" s="2" t="n">
        <v>-0.031809944197688</v>
      </c>
      <c r="M18" s="2" t="n">
        <v>-0.033174427449588</v>
      </c>
      <c r="N18" s="2" t="n">
        <v>450.27874302466</v>
      </c>
      <c r="O18" s="2" t="n">
        <v>483.68438091123</v>
      </c>
    </row>
    <row r="19">
      <c r="A19" s="2" t="n">
        <v>1.3086388495976</v>
      </c>
      <c r="B19" s="2" t="n">
        <v>0.0021349657104863</v>
      </c>
      <c r="C19" s="2" t="n">
        <v>92.700799881465</v>
      </c>
      <c r="D19" s="2" t="n">
        <v>0.0038664113417914</v>
      </c>
      <c r="E19" s="2" t="n">
        <v>-6.2690878990488</v>
      </c>
      <c r="F19" s="2" t="n">
        <v>-2.0993087492172</v>
      </c>
      <c r="G19" s="2" t="n">
        <v>17370321.608775</v>
      </c>
      <c r="H19" s="2" t="n">
        <v>4237627.1999468</v>
      </c>
      <c r="I19" s="2" t="n">
        <v>-0.0015081282704656</v>
      </c>
      <c r="J19" s="2" t="n">
        <v>-0.0014341179841375</v>
      </c>
      <c r="K19" s="2" t="n">
        <v>0.0039181231466449</v>
      </c>
      <c r="L19" s="2" t="n">
        <v>-0.036013050318477</v>
      </c>
      <c r="M19" s="2" t="n">
        <v>-0.037536693785637</v>
      </c>
      <c r="N19" s="2" t="n">
        <v>453.59025614359</v>
      </c>
      <c r="O19" s="2" t="n">
        <v>488.95238004962</v>
      </c>
    </row>
    <row r="20">
      <c r="A20" s="2" t="n">
        <v>1.4086388495976</v>
      </c>
      <c r="B20" s="2" t="n">
        <v>0.0024546777567739</v>
      </c>
      <c r="C20" s="2" t="n">
        <v>92.700839440427</v>
      </c>
      <c r="D20" s="2" t="n">
        <v>0.0041854218903672</v>
      </c>
      <c r="E20" s="2" t="n">
        <v>-6.2697489204119</v>
      </c>
      <c r="F20" s="2" t="n">
        <v>-2.0995315192745</v>
      </c>
      <c r="G20" s="2" t="n">
        <v>17598868.896432</v>
      </c>
      <c r="H20" s="2" t="n">
        <v>4277199.7443735</v>
      </c>
      <c r="I20" s="2" t="n">
        <v>-0.0016579901394802</v>
      </c>
      <c r="J20" s="2" t="n">
        <v>-0.0015772488442878</v>
      </c>
      <c r="K20" s="2" t="n">
        <v>0.0042168845748977</v>
      </c>
      <c r="L20" s="2" t="n">
        <v>-0.040352309241036</v>
      </c>
      <c r="M20" s="2" t="n">
        <v>-0.04201088378316</v>
      </c>
      <c r="N20" s="2" t="n">
        <v>456.41416277475</v>
      </c>
      <c r="O20" s="2" t="n">
        <v>493.55294758382</v>
      </c>
    </row>
    <row r="21">
      <c r="A21" s="2" t="n">
        <v>1.5086388495976</v>
      </c>
      <c r="B21" s="2" t="n">
        <v>0.0027740134837231</v>
      </c>
      <c r="C21" s="2" t="n">
        <v>92.70085921383701</v>
      </c>
      <c r="D21" s="2" t="n">
        <v>0.0045047839149814</v>
      </c>
      <c r="E21" s="2" t="n">
        <v>-6.2813733323644</v>
      </c>
      <c r="F21" s="2" t="n">
        <v>-2.0997383932719</v>
      </c>
      <c r="G21" s="2" t="n">
        <v>17831274.564857</v>
      </c>
      <c r="H21" s="2" t="n">
        <v>4317425.6992128</v>
      </c>
      <c r="I21" s="2" t="n">
        <v>-0.0018079977473856</v>
      </c>
      <c r="J21" s="2" t="n">
        <v>-0.0017209025068969</v>
      </c>
      <c r="K21" s="2" t="n">
        <v>0.0045155549502179</v>
      </c>
      <c r="L21" s="2" t="n">
        <v>-0.044767183749949</v>
      </c>
      <c r="M21" s="2" t="n">
        <v>-0.0465422153577</v>
      </c>
      <c r="N21" s="2" t="n">
        <v>458.87301572767</v>
      </c>
      <c r="O21" s="2" t="n">
        <v>497.61971120002</v>
      </c>
    </row>
    <row r="22">
      <c r="A22" s="2" t="n">
        <v>1.6086388495976</v>
      </c>
      <c r="B22" s="2" t="n">
        <v>0.0030929189135728</v>
      </c>
      <c r="C22" s="2" t="n">
        <v>92.70086763414299</v>
      </c>
      <c r="D22" s="2" t="n">
        <v>0.0048243683059269</v>
      </c>
      <c r="E22" s="2" t="n">
        <v>-6.2929803149403</v>
      </c>
      <c r="F22" s="2" t="n">
        <v>-2.0999360786024</v>
      </c>
      <c r="G22" s="2" t="n">
        <v>18067060.101475</v>
      </c>
      <c r="H22" s="2" t="n">
        <v>4358222.0371917</v>
      </c>
      <c r="I22" s="2" t="n">
        <v>-0.001958105776818</v>
      </c>
      <c r="J22" s="2" t="n">
        <v>-0.0018649454145045</v>
      </c>
      <c r="K22" s="2" t="n">
        <v>0.0048141344213273</v>
      </c>
      <c r="L22" s="2" t="n">
        <v>-0.049236372680826</v>
      </c>
      <c r="M22" s="2" t="n">
        <v>-0.051104304069572</v>
      </c>
      <c r="N22" s="2" t="n">
        <v>461.05170643629</v>
      </c>
      <c r="O22" s="2" t="n">
        <v>501.25149563678</v>
      </c>
    </row>
    <row r="23">
      <c r="A23" s="2" t="n">
        <v>1.7086388495976</v>
      </c>
      <c r="B23" s="2" t="n">
        <v>0.003411402417378</v>
      </c>
      <c r="C23" s="2" t="n">
        <v>92.700866163534</v>
      </c>
      <c r="D23" s="2" t="n">
        <v>0.0051440822801783</v>
      </c>
      <c r="E23" s="2" t="n">
        <v>-6.289409757718</v>
      </c>
      <c r="F23" s="2" t="n">
        <v>-2.1042989838349</v>
      </c>
      <c r="G23" s="2" t="n">
        <v>18305841.633453</v>
      </c>
      <c r="H23" s="2" t="n">
        <v>4399522.1323293</v>
      </c>
      <c r="I23" s="2" t="n">
        <v>-0.0021082827377877</v>
      </c>
      <c r="J23" s="2" t="n">
        <v>-0.0020092791837634</v>
      </c>
      <c r="K23" s="2" t="n">
        <v>0.0051126231106342</v>
      </c>
      <c r="L23" s="2" t="n">
        <v>-0.053752622480118</v>
      </c>
      <c r="M23" s="2" t="n">
        <v>-0.055698399487418</v>
      </c>
      <c r="N23" s="2" t="n">
        <v>463.01215283166</v>
      </c>
      <c r="O23" s="2" t="n">
        <v>504.52651391627</v>
      </c>
    </row>
    <row r="24">
      <c r="A24" s="2" t="n">
        <v>1.8086388495976</v>
      </c>
      <c r="B24" s="2" t="n">
        <v>0.0037295005166776</v>
      </c>
      <c r="C24" s="2" t="n">
        <v>92.70085099429301</v>
      </c>
      <c r="D24" s="2" t="n">
        <v>0.0054638570643269</v>
      </c>
      <c r="E24" s="2" t="n">
        <v>-6.2900007321063</v>
      </c>
      <c r="F24" s="2" t="n">
        <v>-2.1044946923811</v>
      </c>
      <c r="G24" s="2" t="n">
        <v>18547297.701765</v>
      </c>
      <c r="H24" s="2" t="n">
        <v>4441270.1788708</v>
      </c>
      <c r="I24" s="2" t="n">
        <v>-0.0022584994889212</v>
      </c>
      <c r="J24" s="2" t="n">
        <v>-0.0021538339067396</v>
      </c>
      <c r="K24" s="2" t="n">
        <v>0.0054110211264293</v>
      </c>
      <c r="L24" s="2" t="n">
        <v>-0.058294137047878</v>
      </c>
      <c r="M24" s="2" t="n">
        <v>-0.060307845220929</v>
      </c>
      <c r="N24" s="2" t="n">
        <v>464.80178502822</v>
      </c>
      <c r="O24" s="2" t="n">
        <v>507.50983136722</v>
      </c>
    </row>
    <row r="25">
      <c r="A25" s="2" t="n">
        <v>1.9086388495976</v>
      </c>
      <c r="B25" s="2" t="n">
        <v>0.0040472573226035</v>
      </c>
      <c r="C25" s="2" t="n">
        <v>92.700829278751</v>
      </c>
      <c r="D25" s="2" t="n">
        <v>0.0057836424767403</v>
      </c>
      <c r="E25" s="2" t="n">
        <v>-6.2905809253712</v>
      </c>
      <c r="F25" s="2" t="n">
        <v>-2.1046936210842</v>
      </c>
      <c r="G25" s="2" t="n">
        <v>18791170.348119</v>
      </c>
      <c r="H25" s="2" t="n">
        <v>4483421.3950006</v>
      </c>
      <c r="I25" s="2" t="n">
        <v>-0.002408740458853</v>
      </c>
      <c r="J25" s="2" t="n">
        <v>-0.0022985511812954</v>
      </c>
      <c r="K25" s="2" t="n">
        <v>0.005709328551163</v>
      </c>
      <c r="L25" s="2" t="n">
        <v>-0.062866886383071</v>
      </c>
      <c r="M25" s="2" t="n">
        <v>-0.064941291835038</v>
      </c>
      <c r="N25" s="2" t="n">
        <v>466.45618341949</v>
      </c>
      <c r="O25" s="2" t="n">
        <v>510.25326201553</v>
      </c>
    </row>
    <row r="26">
      <c r="A26" s="2" t="n">
        <v>2.0086388495976</v>
      </c>
      <c r="B26" s="2" t="n">
        <v>0.0043647102556901</v>
      </c>
      <c r="C26" s="2" t="n">
        <v>92.700797872473</v>
      </c>
      <c r="D26" s="2" t="n">
        <v>0.0061034039099549</v>
      </c>
      <c r="E26" s="2" t="n">
        <v>-6.2911514955208</v>
      </c>
      <c r="F26" s="2" t="n">
        <v>-2.1048975260141</v>
      </c>
      <c r="G26" s="2" t="n">
        <v>19037262.257148</v>
      </c>
      <c r="H26" s="2" t="n">
        <v>4525941.5292281</v>
      </c>
      <c r="I26" s="2" t="n">
        <v>-0.0025590056292069</v>
      </c>
      <c r="J26" s="2" t="n">
        <v>-0.0024433783652797</v>
      </c>
      <c r="K26" s="2" t="n">
        <v>0.0060075454565188</v>
      </c>
      <c r="L26" s="2" t="n">
        <v>-0.06747296852997101</v>
      </c>
      <c r="M26" s="2" t="n">
        <v>-0.06959799133408399</v>
      </c>
      <c r="N26" s="2" t="n">
        <v>468.00074653036</v>
      </c>
      <c r="O26" s="2" t="n">
        <v>512.79533644156</v>
      </c>
    </row>
    <row r="27">
      <c r="A27" s="2" t="n">
        <v>2.1086388495976</v>
      </c>
      <c r="B27" s="2" t="n">
        <v>0.0046818893332743</v>
      </c>
      <c r="C27" s="2" t="n">
        <v>92.70076688115699</v>
      </c>
      <c r="D27" s="2" t="n">
        <v>0.006423117673946</v>
      </c>
      <c r="E27" s="2" t="n">
        <v>-6.2833416933612</v>
      </c>
      <c r="F27" s="2" t="n">
        <v>-2.1134601171143</v>
      </c>
      <c r="G27" s="2" t="n">
        <v>19285412.328467</v>
      </c>
      <c r="H27" s="2" t="n">
        <v>4568802.6197318</v>
      </c>
      <c r="I27" s="2" t="n">
        <v>-0.0027092997106119</v>
      </c>
      <c r="J27" s="2" t="n">
        <v>-0.0025882699750425</v>
      </c>
      <c r="K27" s="2" t="n">
        <v>0.006305671901684</v>
      </c>
      <c r="L27" s="2" t="n">
        <v>-0.072105158931379</v>
      </c>
      <c r="M27" s="2" t="n">
        <v>-0.07427952544977801</v>
      </c>
      <c r="N27" s="2" t="n">
        <v>469.45519958317</v>
      </c>
      <c r="O27" s="2" t="n">
        <v>515.16673067616</v>
      </c>
    </row>
    <row r="28">
      <c r="A28" s="2" t="n">
        <v>2.2086388495976</v>
      </c>
      <c r="B28" s="2" t="n">
        <v>0.0049988247172262</v>
      </c>
      <c r="C28" s="2" t="n">
        <v>92.700732997217</v>
      </c>
      <c r="D28" s="2" t="n">
        <v>0.0067427688146837</v>
      </c>
      <c r="E28" s="2" t="n">
        <v>-6.305863718946</v>
      </c>
      <c r="F28" s="2" t="n">
        <v>-2.1136779477485</v>
      </c>
      <c r="G28" s="2" t="n">
        <v>19535487.224398</v>
      </c>
      <c r="H28" s="2" t="n">
        <v>4611981.5203127</v>
      </c>
      <c r="I28" s="2" t="n">
        <v>-0.0028596228290222</v>
      </c>
      <c r="J28" s="2" t="n">
        <v>-0.0027331947019094</v>
      </c>
      <c r="K28" s="2" t="n">
        <v>0.0066037079344806</v>
      </c>
      <c r="L28" s="2" t="n">
        <v>-0.076748835568042</v>
      </c>
      <c r="M28" s="2" t="n">
        <v>-0.078968987919616</v>
      </c>
      <c r="N28" s="2" t="n">
        <v>470.83466575667</v>
      </c>
      <c r="O28" s="2" t="n">
        <v>517.3920941964</v>
      </c>
    </row>
    <row r="29">
      <c r="A29" s="2" t="n">
        <v>2.3086388495976</v>
      </c>
      <c r="B29" s="2" t="n">
        <v>0.005315540762049</v>
      </c>
      <c r="C29" s="2" t="n">
        <v>92.700691128975</v>
      </c>
      <c r="D29" s="2" t="n">
        <v>0.0070623463692393</v>
      </c>
      <c r="E29" s="2" t="n">
        <v>-6.3022051281094</v>
      </c>
      <c r="F29" s="2" t="n">
        <v>-2.1180896364162</v>
      </c>
      <c r="G29" s="2" t="n">
        <v>19787372.124806</v>
      </c>
      <c r="H29" s="2" t="n">
        <v>4655458.3001929</v>
      </c>
      <c r="I29" s="2" t="n">
        <v>-0.0030099701414757</v>
      </c>
      <c r="J29" s="2" t="n">
        <v>-0.0028781318172927</v>
      </c>
      <c r="K29" s="2" t="n">
        <v>0.0069016536012906</v>
      </c>
      <c r="L29" s="2" t="n">
        <v>-0.081428868683385</v>
      </c>
      <c r="M29" s="2" t="n">
        <v>-0.08369116597764201</v>
      </c>
      <c r="N29" s="2" t="n">
        <v>472.15166150259</v>
      </c>
      <c r="O29" s="2" t="n">
        <v>519.49236421737</v>
      </c>
    </row>
    <row r="30">
      <c r="A30" s="2" t="n">
        <v>2.4086388495976</v>
      </c>
      <c r="B30" s="2" t="n">
        <v>0.0056320607041846</v>
      </c>
      <c r="C30" s="2" t="n">
        <v>92.700643299394</v>
      </c>
      <c r="D30" s="2" t="n">
        <v>0.0073818423586477</v>
      </c>
      <c r="E30" s="2" t="n">
        <v>-6.302738211472</v>
      </c>
      <c r="F30" s="2" t="n">
        <v>-2.1183169333048</v>
      </c>
      <c r="G30" s="2" t="n">
        <v>20040972.742981</v>
      </c>
      <c r="H30" s="2" t="n">
        <v>4699216.5916487</v>
      </c>
      <c r="I30" s="2" t="n">
        <v>-0.0031603369135378</v>
      </c>
      <c r="J30" s="2" t="n">
        <v>-0.0030230667454925</v>
      </c>
      <c r="K30" s="2" t="n">
        <v>0.0071995089550236</v>
      </c>
      <c r="L30" s="2" t="n">
        <v>-0.086136736265033</v>
      </c>
      <c r="M30" s="2" t="n">
        <v>-0.088433279506694</v>
      </c>
      <c r="N30" s="2" t="n">
        <v>473.41561536665</v>
      </c>
      <c r="O30" s="2" t="n">
        <v>521.48426427112</v>
      </c>
    </row>
    <row r="31">
      <c r="A31" s="2" t="n">
        <v>2.5086388495976</v>
      </c>
      <c r="B31" s="2" t="n">
        <v>0.0059484007259555</v>
      </c>
      <c r="C31" s="2" t="n">
        <v>92.700598161352</v>
      </c>
      <c r="D31" s="2" t="n">
        <v>0.0077012506792222</v>
      </c>
      <c r="E31" s="2" t="n">
        <v>-6.3142518590946</v>
      </c>
      <c r="F31" s="2" t="n">
        <v>-2.1185467768372</v>
      </c>
      <c r="G31" s="2" t="n">
        <v>20296209.226767</v>
      </c>
      <c r="H31" s="2" t="n">
        <v>4743242.5333416</v>
      </c>
      <c r="I31" s="2" t="n">
        <v>-0.00331071863859</v>
      </c>
      <c r="J31" s="2" t="n">
        <v>-0.0031679882199462</v>
      </c>
      <c r="K31" s="2" t="n">
        <v>0.0074972740563228</v>
      </c>
      <c r="L31" s="2" t="n">
        <v>-0.090861780839825</v>
      </c>
      <c r="M31" s="2" t="n">
        <v>-0.09319832553045999</v>
      </c>
      <c r="N31" s="2" t="n">
        <v>474.63425662861</v>
      </c>
      <c r="O31" s="2" t="n">
        <v>523.38170519881</v>
      </c>
    </row>
    <row r="32">
      <c r="A32" s="2" t="n">
        <v>2.6086388495976</v>
      </c>
      <c r="B32" s="2" t="n">
        <v>0.0062645742580786</v>
      </c>
      <c r="C32" s="2" t="n">
        <v>92.700547973596</v>
      </c>
      <c r="D32" s="2" t="n">
        <v>0.008020567339689999</v>
      </c>
      <c r="E32" s="2" t="n">
        <v>-6.3106143074001</v>
      </c>
      <c r="F32" s="2" t="n">
        <v>-2.1229332265309</v>
      </c>
      <c r="G32" s="2" t="n">
        <v>20553013.474792</v>
      </c>
      <c r="H32" s="2" t="n">
        <v>4787524.3032512</v>
      </c>
      <c r="I32" s="2" t="n">
        <v>-0.0034611118786583</v>
      </c>
      <c r="J32" s="2" t="n">
        <v>-0.0033128870084422</v>
      </c>
      <c r="K32" s="2" t="n">
        <v>0.0077949489684791</v>
      </c>
      <c r="L32" s="2" t="n">
        <v>-0.095608885867148</v>
      </c>
      <c r="M32" s="2" t="n">
        <v>-0.0979839314868</v>
      </c>
      <c r="N32" s="2" t="n">
        <v>475.81382563478</v>
      </c>
      <c r="O32" s="2" t="n">
        <v>525.19616690514</v>
      </c>
    </row>
    <row r="33">
      <c r="A33" s="2" t="n">
        <v>2.7086388495976</v>
      </c>
      <c r="B33" s="2" t="n">
        <v>0.0065805945172047</v>
      </c>
      <c r="C33" s="2" t="n">
        <v>92.70051566610999</v>
      </c>
      <c r="D33" s="2" t="n">
        <v>0.0083397902656367</v>
      </c>
      <c r="E33" s="2" t="n">
        <v>-6.3069427871873</v>
      </c>
      <c r="F33" s="2" t="n">
        <v>-2.127348732918</v>
      </c>
      <c r="G33" s="2" t="n">
        <v>20811328.411933</v>
      </c>
      <c r="H33" s="2" t="n">
        <v>4832051.9923309</v>
      </c>
      <c r="I33" s="2" t="n">
        <v>-0.0036115128978587</v>
      </c>
      <c r="J33" s="2" t="n">
        <v>-0.0034577574696393</v>
      </c>
      <c r="K33" s="2" t="n">
        <v>0.0080925337576434</v>
      </c>
      <c r="L33" s="2" t="n">
        <v>-0.10038076673966</v>
      </c>
      <c r="M33" s="2" t="n">
        <v>-0.10279173842555</v>
      </c>
      <c r="N33" s="2" t="n">
        <v>476.95899151002</v>
      </c>
      <c r="O33" s="2" t="n">
        <v>526.93683543824</v>
      </c>
    </row>
    <row r="34">
      <c r="A34" s="2" t="n">
        <v>2.8086388495976</v>
      </c>
      <c r="B34" s="2" t="n">
        <v>0.0068964703908404</v>
      </c>
      <c r="C34" s="2" t="n">
        <v>92.700480314412</v>
      </c>
      <c r="D34" s="2" t="n">
        <v>0.008658918070754799</v>
      </c>
      <c r="E34" s="2" t="n">
        <v>-6.299125159057</v>
      </c>
      <c r="F34" s="2" t="n">
        <v>-2.1359036848461</v>
      </c>
      <c r="G34" s="2" t="n">
        <v>21071102.579905</v>
      </c>
      <c r="H34" s="2" t="n">
        <v>4876816.6676265</v>
      </c>
      <c r="I34" s="2" t="n">
        <v>-0.0037619174457753</v>
      </c>
      <c r="J34" s="2" t="n">
        <v>-0.0036025953763061</v>
      </c>
      <c r="K34" s="2" t="n">
        <v>0.008390028490437899</v>
      </c>
      <c r="L34" s="2" t="n">
        <v>-0.10518774246932</v>
      </c>
      <c r="M34" s="2" t="n">
        <v>-0.10763142735435</v>
      </c>
      <c r="N34" s="2" t="n">
        <v>478.07399102775</v>
      </c>
      <c r="O34" s="2" t="n">
        <v>528.6118560454599</v>
      </c>
    </row>
    <row r="35">
      <c r="A35" s="2" t="n">
        <v>2.9086388495976</v>
      </c>
      <c r="B35" s="2" t="n">
        <v>0.0072122093309239</v>
      </c>
      <c r="C35" s="2" t="n">
        <v>92.700438068651</v>
      </c>
      <c r="D35" s="2" t="n">
        <v>0.008977950005116499</v>
      </c>
      <c r="E35" s="2" t="n">
        <v>-6.295443090817</v>
      </c>
      <c r="F35" s="2" t="n">
        <v>-2.1403205847576</v>
      </c>
      <c r="G35" s="2" t="n">
        <v>21332290.334542</v>
      </c>
      <c r="H35" s="2" t="n">
        <v>4921810.4045363</v>
      </c>
      <c r="I35" s="2" t="n">
        <v>-0.0039123209810235</v>
      </c>
      <c r="J35" s="2" t="n">
        <v>-0.0037473980271388</v>
      </c>
      <c r="K35" s="2" t="n">
        <v>0.0086874332348828</v>
      </c>
      <c r="L35" s="2" t="n">
        <v>-0.11000514183884</v>
      </c>
      <c r="M35" s="2" t="n">
        <v>-0.11248047622073</v>
      </c>
      <c r="N35" s="2" t="n">
        <v>479.16240022944</v>
      </c>
      <c r="O35" s="2" t="n">
        <v>530.22823124377</v>
      </c>
    </row>
    <row r="36">
      <c r="A36" s="2" t="n">
        <v>3.0086388495976</v>
      </c>
      <c r="B36" s="2" t="n">
        <v>0.0075278188261842</v>
      </c>
      <c r="C36" s="2" t="n">
        <v>92.700391552726</v>
      </c>
      <c r="D36" s="2" t="n">
        <v>0.009296886192456499</v>
      </c>
      <c r="E36" s="2" t="n">
        <v>-6.2917440148722</v>
      </c>
      <c r="F36" s="2" t="n">
        <v>-2.1447518988032</v>
      </c>
      <c r="G36" s="2" t="n">
        <v>21594851.174995</v>
      </c>
      <c r="H36" s="2" t="n">
        <v>4967026.1696405</v>
      </c>
      <c r="I36" s="2" t="n">
        <v>-0.0040627190842343</v>
      </c>
      <c r="J36" s="2" t="n">
        <v>-0.0038921643121491</v>
      </c>
      <c r="K36" s="2" t="n">
        <v>0.0089847480579682</v>
      </c>
      <c r="L36" s="2" t="n">
        <v>-0.11485298374213</v>
      </c>
      <c r="M36" s="2" t="n">
        <v>-0.11735863045478</v>
      </c>
      <c r="N36" s="2" t="n">
        <v>480.22705721887</v>
      </c>
      <c r="O36" s="2" t="n">
        <v>531.7919282432</v>
      </c>
    </row>
    <row r="37">
      <c r="A37" s="2" t="n">
        <v>3.1086388495976</v>
      </c>
      <c r="B37" s="2" t="n">
        <v>0.0078433052657294</v>
      </c>
      <c r="C37" s="2" t="n">
        <v>92.700338843425</v>
      </c>
      <c r="D37" s="2" t="n">
        <v>0.0096157269816567</v>
      </c>
      <c r="E37" s="2" t="n">
        <v>-6.3032245371925</v>
      </c>
      <c r="F37" s="2" t="n">
        <v>-2.1449945348178</v>
      </c>
      <c r="G37" s="2" t="n">
        <v>21858748.40762</v>
      </c>
      <c r="H37" s="2" t="n">
        <v>5012457.5907182</v>
      </c>
      <c r="I37" s="2" t="n">
        <v>-0.004213107788916</v>
      </c>
      <c r="J37" s="2" t="n">
        <v>-0.0040368930848709</v>
      </c>
      <c r="K37" s="2" t="n">
        <v>0.009281973022569801</v>
      </c>
      <c r="L37" s="2" t="n">
        <v>-0.11972865826526</v>
      </c>
      <c r="M37" s="2" t="n">
        <v>-0.12225768165108</v>
      </c>
      <c r="N37" s="2" t="n">
        <v>481.27053579366</v>
      </c>
      <c r="O37" s="2" t="n">
        <v>533.30831447114</v>
      </c>
    </row>
    <row r="38">
      <c r="A38" s="2" t="n">
        <v>3.2086388495976</v>
      </c>
      <c r="B38" s="2" t="n">
        <v>0.0081586748715262</v>
      </c>
      <c r="C38" s="2" t="n">
        <v>92.700282326281</v>
      </c>
      <c r="D38" s="2" t="n">
        <v>0.009934472895997901</v>
      </c>
      <c r="E38" s="2" t="n">
        <v>-6.303715268416</v>
      </c>
      <c r="F38" s="2" t="n">
        <v>-2.1452376888623</v>
      </c>
      <c r="G38" s="2" t="n">
        <v>22123949.552349</v>
      </c>
      <c r="H38" s="2" t="n">
        <v>5058099.0276758</v>
      </c>
      <c r="I38" s="2" t="n">
        <v>-0.0043634839797596</v>
      </c>
      <c r="J38" s="2" t="n">
        <v>-0.0041815831884334</v>
      </c>
      <c r="K38" s="2" t="n">
        <v>0.009579108188338899</v>
      </c>
      <c r="L38" s="2" t="n">
        <v>-0.12461918904314</v>
      </c>
      <c r="M38" s="2" t="n">
        <v>-0.1271743846365</v>
      </c>
      <c r="N38" s="2" t="n">
        <v>482.29497596506</v>
      </c>
      <c r="O38" s="2" t="n">
        <v>534.782002972</v>
      </c>
    </row>
    <row r="39">
      <c r="A39" s="2" t="n">
        <v>3.3086388495976</v>
      </c>
      <c r="B39" s="2" t="n">
        <v>0.008473933633145799</v>
      </c>
      <c r="C39" s="2" t="n">
        <v>92.700229125467</v>
      </c>
      <c r="D39" s="2" t="n">
        <v>0.010253125022068</v>
      </c>
      <c r="E39" s="2" t="n">
        <v>-6.315189134711</v>
      </c>
      <c r="F39" s="2" t="n">
        <v>-2.1454813977334</v>
      </c>
      <c r="G39" s="2" t="n">
        <v>22390425.674411</v>
      </c>
      <c r="H39" s="2" t="n">
        <v>5103945.4561818</v>
      </c>
      <c r="I39" s="2" t="n">
        <v>-0.0045138459357773</v>
      </c>
      <c r="J39" s="2" t="n">
        <v>-0.0043262330611881</v>
      </c>
      <c r="K39" s="2" t="n">
        <v>0.009876153614652499</v>
      </c>
      <c r="L39" s="2" t="n">
        <v>-0.12954521911294</v>
      </c>
      <c r="M39" s="2" t="n">
        <v>-0.13212231429513</v>
      </c>
      <c r="N39" s="2" t="n">
        <v>483.30209196471</v>
      </c>
      <c r="O39" s="2" t="n">
        <v>536.21691003629</v>
      </c>
    </row>
    <row r="40">
      <c r="A40" s="2" t="n">
        <v>3.4086388495976</v>
      </c>
      <c r="B40" s="2" t="n">
        <v>0.0087890848610927</v>
      </c>
      <c r="C40" s="2" t="n">
        <v>92.700175796602</v>
      </c>
      <c r="D40" s="2" t="n">
        <v>0.01057168420927</v>
      </c>
      <c r="E40" s="2" t="n">
        <v>-6.3224231833155</v>
      </c>
      <c r="F40" s="2" t="n">
        <v>-2.149952896485</v>
      </c>
      <c r="G40" s="2" t="n">
        <v>22658149.253481</v>
      </c>
      <c r="H40" s="2" t="n">
        <v>5149992.0997054</v>
      </c>
      <c r="I40" s="2" t="n">
        <v>-0.0046641918378566</v>
      </c>
      <c r="J40" s="2" t="n">
        <v>-0.0044708410212394</v>
      </c>
      <c r="K40" s="2" t="n">
        <v>0.010173109359025</v>
      </c>
      <c r="L40" s="2" t="n">
        <v>-0.13448911731723</v>
      </c>
      <c r="M40" s="2" t="n">
        <v>-0.13708985256066</v>
      </c>
      <c r="N40" s="2" t="n">
        <v>484.293634165</v>
      </c>
      <c r="O40" s="2" t="n">
        <v>537.61672218738</v>
      </c>
    </row>
    <row r="41">
      <c r="A41" s="2" t="n">
        <v>3.5086388495976</v>
      </c>
      <c r="B41" s="2" t="n">
        <v>0.009104133623335399</v>
      </c>
      <c r="C41" s="2" t="n">
        <v>92.700116929194</v>
      </c>
      <c r="D41" s="2" t="n">
        <v>0.010890151742371</v>
      </c>
      <c r="E41" s="2" t="n">
        <v>-6.3186690540167</v>
      </c>
      <c r="F41" s="2" t="n">
        <v>-2.1544246399453</v>
      </c>
      <c r="G41" s="2" t="n">
        <v>22927097.207886</v>
      </c>
      <c r="H41" s="2" t="n">
        <v>5196234.952439</v>
      </c>
      <c r="I41" s="2" t="n">
        <v>-0.0048145214101066</v>
      </c>
      <c r="J41" s="2" t="n">
        <v>-0.0046154051319918</v>
      </c>
      <c r="K41" s="2" t="n">
        <v>0.010469975480998</v>
      </c>
      <c r="L41" s="2" t="n">
        <v>-0.13945945218093</v>
      </c>
      <c r="M41" s="2" t="n">
        <v>-0.14208038787886</v>
      </c>
      <c r="N41" s="2" t="n">
        <v>485.27076374297</v>
      </c>
      <c r="O41" s="2" t="n">
        <v>538.98432237169</v>
      </c>
    </row>
    <row r="42">
      <c r="A42" s="2" t="n">
        <v>3.6086388495976</v>
      </c>
      <c r="B42" s="2" t="n">
        <v>0.009419082207963499</v>
      </c>
      <c r="C42" s="2" t="n">
        <v>92.700058828797</v>
      </c>
      <c r="D42" s="2" t="n">
        <v>0.011208528636395</v>
      </c>
      <c r="E42" s="2" t="n">
        <v>-6.3191411297534</v>
      </c>
      <c r="F42" s="2" t="n">
        <v>-2.1546767778696</v>
      </c>
      <c r="G42" s="2" t="n">
        <v>23197247.966494</v>
      </c>
      <c r="H42" s="2" t="n">
        <v>5242670.2730783</v>
      </c>
      <c r="I42" s="2" t="n">
        <v>-0.0049648345850459</v>
      </c>
      <c r="J42" s="2" t="n">
        <v>-0.0047599232285219</v>
      </c>
      <c r="K42" s="2" t="n">
        <v>0.010766752038606</v>
      </c>
      <c r="L42" s="2" t="n">
        <v>-0.14445890767395</v>
      </c>
      <c r="M42" s="2" t="n">
        <v>-0.1470955263043</v>
      </c>
      <c r="N42" s="2" t="n">
        <v>486.23463922392</v>
      </c>
      <c r="O42" s="2" t="n">
        <v>540.32233385728</v>
      </c>
    </row>
    <row r="43">
      <c r="A43" s="2" t="n">
        <v>3.7086388495976</v>
      </c>
      <c r="B43" s="2" t="n">
        <v>0.0097339326767322</v>
      </c>
      <c r="C43" s="2" t="n">
        <v>92.699998335182</v>
      </c>
      <c r="D43" s="2" t="n">
        <v>0.011526815740502</v>
      </c>
      <c r="E43" s="2" t="n">
        <v>-6.3196101466273</v>
      </c>
      <c r="F43" s="2" t="n">
        <v>-2.1549299769212</v>
      </c>
      <c r="G43" s="2" t="n">
        <v>23468582.163453</v>
      </c>
      <c r="H43" s="2" t="n">
        <v>5289294.7043714</v>
      </c>
      <c r="I43" s="2" t="n">
        <v>-0.0051151317991129</v>
      </c>
      <c r="J43" s="2" t="n">
        <v>-0.0049043928624976</v>
      </c>
      <c r="K43" s="2" t="n">
        <v>0.011063439089834</v>
      </c>
      <c r="L43" s="2" t="n">
        <v>-0.14947093377811</v>
      </c>
      <c r="M43" s="2" t="n">
        <v>-0.1521240769396</v>
      </c>
      <c r="N43" s="2" t="n">
        <v>487.18626211616</v>
      </c>
      <c r="O43" s="2" t="n">
        <v>541.63301894823</v>
      </c>
    </row>
    <row r="44">
      <c r="A44" s="2" t="n">
        <v>3.8086388495976</v>
      </c>
      <c r="B44" s="2" t="n">
        <v>0.010048687181955</v>
      </c>
      <c r="C44" s="2" t="n">
        <v>92.69993653032</v>
      </c>
      <c r="D44" s="2" t="n">
        <v>0.01184501396171</v>
      </c>
      <c r="E44" s="2" t="n">
        <v>-6.3048687414978</v>
      </c>
      <c r="F44" s="2" t="n">
        <v>-2.1593966690636</v>
      </c>
      <c r="G44" s="2" t="n">
        <v>23741082.435512</v>
      </c>
      <c r="H44" s="2" t="n">
        <v>5336105.2374928</v>
      </c>
      <c r="I44" s="2" t="n">
        <v>-0.0052654138913374</v>
      </c>
      <c r="J44" s="2" t="n">
        <v>-0.0050488117621988</v>
      </c>
      <c r="K44" s="2" t="n">
        <v>0.011360036691526</v>
      </c>
      <c r="L44" s="2" t="n">
        <v>-0.15451242117471</v>
      </c>
      <c r="M44" s="2" t="n">
        <v>-0.15718161769945</v>
      </c>
      <c r="N44" s="2" t="n">
        <v>488.12641771694</v>
      </c>
      <c r="O44" s="2" t="n">
        <v>542.91829540045</v>
      </c>
    </row>
    <row r="45">
      <c r="A45" s="2" t="n">
        <v>3.9086388495976</v>
      </c>
      <c r="B45" s="2" t="n">
        <v>0.010363347584118</v>
      </c>
      <c r="C45" s="2" t="n">
        <v>92.699879740762</v>
      </c>
      <c r="D45" s="2" t="n">
        <v>0.012163124415583</v>
      </c>
      <c r="E45" s="2" t="n">
        <v>-6.3011667688467</v>
      </c>
      <c r="F45" s="2" t="n">
        <v>-2.1528255575489</v>
      </c>
      <c r="G45" s="2" t="n">
        <v>24014731.744596</v>
      </c>
      <c r="H45" s="2" t="n">
        <v>5383098.9209776</v>
      </c>
      <c r="I45" s="2" t="n">
        <v>-0.005415681164805</v>
      </c>
      <c r="J45" s="2" t="n">
        <v>-0.0051931778286668</v>
      </c>
      <c r="K45" s="2" t="n">
        <v>0.01165654489793</v>
      </c>
      <c r="L45" s="2" t="n">
        <v>-0.15957043044603</v>
      </c>
      <c r="M45" s="2" t="n">
        <v>-0.16225568214947</v>
      </c>
      <c r="N45" s="2" t="n">
        <v>489.05599212496</v>
      </c>
      <c r="O45" s="2" t="n">
        <v>544.18006353807</v>
      </c>
    </row>
    <row r="46">
      <c r="A46" s="2" t="n">
        <v>4.0086388495976</v>
      </c>
      <c r="B46" s="2" t="n">
        <v>0.010677917135724</v>
      </c>
      <c r="C46" s="2" t="n">
        <v>92.69981745864401</v>
      </c>
      <c r="D46" s="2" t="n">
        <v>0.012481148629153</v>
      </c>
      <c r="E46" s="2" t="n">
        <v>-6.3016249779369</v>
      </c>
      <c r="F46" s="2" t="n">
        <v>-2.1530843417143</v>
      </c>
      <c r="G46" s="2" t="n">
        <v>24289514.843604</v>
      </c>
      <c r="H46" s="2" t="n">
        <v>5430273.1132569</v>
      </c>
      <c r="I46" s="2" t="n">
        <v>-0.0055659337413333</v>
      </c>
      <c r="J46" s="2" t="n">
        <v>-0.0053374898514909</v>
      </c>
      <c r="K46" s="2" t="n">
        <v>0.011952963762629</v>
      </c>
      <c r="L46" s="2" t="n">
        <v>-0.16465109539594</v>
      </c>
      <c r="M46" s="2" t="n">
        <v>-0.1673486088162</v>
      </c>
      <c r="N46" s="2" t="n">
        <v>489.97557131561</v>
      </c>
      <c r="O46" s="2" t="n">
        <v>545.41985798729</v>
      </c>
    </row>
    <row r="47">
      <c r="A47" s="2" t="n">
        <v>4.1086388495976</v>
      </c>
      <c r="B47" s="2" t="n">
        <v>0.010992397938872</v>
      </c>
      <c r="C47" s="2" t="n">
        <v>92.69976051003501</v>
      </c>
      <c r="D47" s="2" t="n">
        <v>0.012799088551272</v>
      </c>
      <c r="E47" s="2" t="n">
        <v>-6.3020807283639</v>
      </c>
      <c r="F47" s="2" t="n">
        <v>-2.14235756034</v>
      </c>
      <c r="G47" s="2" t="n">
        <v>24565416.175258</v>
      </c>
      <c r="H47" s="2" t="n">
        <v>5477625.1176947</v>
      </c>
      <c r="I47" s="2" t="n">
        <v>-0.005716171088156</v>
      </c>
      <c r="J47" s="2" t="n">
        <v>-0.0054817470858922</v>
      </c>
      <c r="K47" s="2" t="n">
        <v>0.012249293337525</v>
      </c>
      <c r="L47" s="2" t="n">
        <v>-0.16976075479033</v>
      </c>
      <c r="M47" s="2" t="n">
        <v>-0.17246923514868</v>
      </c>
      <c r="N47" s="2" t="n">
        <v>490.88584390701</v>
      </c>
      <c r="O47" s="2" t="n">
        <v>546.63925766508</v>
      </c>
    </row>
    <row r="48">
      <c r="A48" s="2" t="n">
        <v>4.2086388495976</v>
      </c>
      <c r="B48" s="2" t="n">
        <v>0.011306792242469</v>
      </c>
      <c r="C48" s="2" t="n">
        <v>92.69970582188201</v>
      </c>
      <c r="D48" s="2" t="n">
        <v>0.013116945884671</v>
      </c>
      <c r="E48" s="2" t="n">
        <v>-6.2982873435637</v>
      </c>
      <c r="F48" s="2" t="n">
        <v>-2.1358671398365</v>
      </c>
      <c r="G48" s="2" t="n">
        <v>24842420.885872</v>
      </c>
      <c r="H48" s="2" t="n">
        <v>5525152.3610308</v>
      </c>
      <c r="I48" s="2" t="n">
        <v>-0.0058663925255333</v>
      </c>
      <c r="J48" s="2" t="n">
        <v>-0.0056259488790562</v>
      </c>
      <c r="K48" s="2" t="n">
        <v>0.012545533679299</v>
      </c>
      <c r="L48" s="2" t="n">
        <v>-0.17488579401874</v>
      </c>
      <c r="M48" s="2" t="n">
        <v>-0.17760165277609</v>
      </c>
      <c r="N48" s="2" t="n">
        <v>491.78747292956</v>
      </c>
      <c r="O48" s="2" t="n">
        <v>547.83973907704</v>
      </c>
    </row>
    <row r="49">
      <c r="A49" s="2" t="n">
        <v>4.3086388495976</v>
      </c>
      <c r="B49" s="2" t="n">
        <v>0.011621102076026</v>
      </c>
      <c r="C49" s="2" t="n">
        <v>92.699657445227</v>
      </c>
      <c r="D49" s="2" t="n">
        <v>0.013434722528991</v>
      </c>
      <c r="E49" s="2" t="n">
        <v>-6.2903552148243</v>
      </c>
      <c r="F49" s="2" t="n">
        <v>-2.1444936596276</v>
      </c>
      <c r="G49" s="2" t="n">
        <v>25120514.929666</v>
      </c>
      <c r="H49" s="2" t="n">
        <v>5572852.409886</v>
      </c>
      <c r="I49" s="2" t="n">
        <v>-0.006016597556329</v>
      </c>
      <c r="J49" s="2" t="n">
        <v>-0.0057700947059633</v>
      </c>
      <c r="K49" s="2" t="n">
        <v>0.012841684841095</v>
      </c>
      <c r="L49" s="2" t="n">
        <v>-0.18003723271777</v>
      </c>
      <c r="M49" s="2" t="n">
        <v>-0.18276087530276</v>
      </c>
      <c r="N49" s="2" t="n">
        <v>492.68102982144</v>
      </c>
      <c r="O49" s="2" t="n">
        <v>549.0226340225601</v>
      </c>
    </row>
    <row r="50">
      <c r="A50" s="2" t="n">
        <v>4.4086388495976</v>
      </c>
      <c r="B50" s="2" t="n">
        <v>0.011935330416093</v>
      </c>
      <c r="C50" s="2" t="n">
        <v>92.69960757406101</v>
      </c>
      <c r="D50" s="2" t="n">
        <v>0.013752420266322</v>
      </c>
      <c r="E50" s="2" t="n">
        <v>-6.2866576158928</v>
      </c>
      <c r="F50" s="2" t="n">
        <v>-2.1488967258297</v>
      </c>
      <c r="G50" s="2" t="n">
        <v>25399685.933614</v>
      </c>
      <c r="H50" s="2" t="n">
        <v>5620723.1212187</v>
      </c>
      <c r="I50" s="2" t="n">
        <v>-0.0061667854406582</v>
      </c>
      <c r="J50" s="2" t="n">
        <v>-0.0059141845575074</v>
      </c>
      <c r="K50" s="2" t="n">
        <v>0.013137746880733</v>
      </c>
      <c r="L50" s="2" t="n">
        <v>-0.18520369353079</v>
      </c>
      <c r="M50" s="2" t="n">
        <v>-0.18793346830915</v>
      </c>
      <c r="N50" s="2" t="n">
        <v>493.56689688225</v>
      </c>
      <c r="O50" s="2" t="n">
        <v>550.18900907872</v>
      </c>
    </row>
    <row r="51">
      <c r="A51" s="2" t="n">
        <v>4.5086388495976</v>
      </c>
      <c r="B51" s="2" t="n">
        <v>0.012249479797485</v>
      </c>
      <c r="C51" s="2" t="n">
        <v>92.699553763889</v>
      </c>
      <c r="D51" s="2" t="n">
        <v>0.014070040935188</v>
      </c>
      <c r="E51" s="2" t="n">
        <v>-6.2870996579061</v>
      </c>
      <c r="F51" s="2" t="n">
        <v>-2.1491629580987</v>
      </c>
      <c r="G51" s="2" t="n">
        <v>25679922.066611</v>
      </c>
      <c r="H51" s="2" t="n">
        <v>5668762.4461983</v>
      </c>
      <c r="I51" s="2" t="n">
        <v>-0.0063169551086921</v>
      </c>
      <c r="J51" s="2" t="n">
        <v>-0.0060582189354362</v>
      </c>
      <c r="K51" s="2" t="n">
        <v>0.01343371985539</v>
      </c>
      <c r="L51" s="2" t="n">
        <v>-0.19038820506618</v>
      </c>
      <c r="M51" s="2" t="n">
        <v>-0.19312802946679</v>
      </c>
      <c r="N51" s="2" t="n">
        <v>494.44541060334</v>
      </c>
      <c r="O51" s="2" t="n">
        <v>551.3398313466</v>
      </c>
    </row>
    <row r="52">
      <c r="A52" s="2" t="n">
        <v>4.6086388495976</v>
      </c>
      <c r="B52" s="2" t="n">
        <v>0.012563552482313</v>
      </c>
      <c r="C52" s="2" t="n">
        <v>92.699495784443</v>
      </c>
      <c r="D52" s="2" t="n">
        <v>0.014387586166378</v>
      </c>
      <c r="E52" s="2" t="n">
        <v>-6.2833556936926</v>
      </c>
      <c r="F52" s="2" t="n">
        <v>-2.1536091497868</v>
      </c>
      <c r="G52" s="2" t="n">
        <v>25961211.744708</v>
      </c>
      <c r="H52" s="2" t="n">
        <v>5716968.3804917</v>
      </c>
      <c r="I52" s="2" t="n">
        <v>-0.0064671057017568</v>
      </c>
      <c r="J52" s="2" t="n">
        <v>-0.0062021980264538</v>
      </c>
      <c r="K52" s="2" t="n">
        <v>0.013729603823182</v>
      </c>
      <c r="L52" s="2" t="n">
        <v>-0.19559641264701</v>
      </c>
      <c r="M52" s="2" t="n">
        <v>-0.19834130106006</v>
      </c>
      <c r="N52" s="2" t="n">
        <v>495.3169396719</v>
      </c>
      <c r="O52" s="2" t="n">
        <v>552.47603970131</v>
      </c>
    </row>
    <row r="53">
      <c r="A53" s="2" t="n">
        <v>4.7086388495976</v>
      </c>
      <c r="B53" s="2" t="n">
        <v>0.012877549850708</v>
      </c>
      <c r="C53" s="2" t="n">
        <v>92.699435529311</v>
      </c>
      <c r="D53" s="2" t="n">
        <v>0.014705057471785</v>
      </c>
      <c r="E53" s="2" t="n">
        <v>-6.2728072746391</v>
      </c>
      <c r="F53" s="2" t="n">
        <v>-2.153876054505</v>
      </c>
      <c r="G53" s="2" t="n">
        <v>26243543.809779</v>
      </c>
      <c r="H53" s="2" t="n">
        <v>5765338.9939604</v>
      </c>
      <c r="I53" s="2" t="n">
        <v>-0.0066172360532984</v>
      </c>
      <c r="J53" s="2" t="n">
        <v>-0.0063461223170877</v>
      </c>
      <c r="K53" s="2" t="n">
        <v>0.014025398841394</v>
      </c>
      <c r="L53" s="2" t="n">
        <v>-0.20082226782293</v>
      </c>
      <c r="M53" s="2" t="n">
        <v>-0.20357099952692</v>
      </c>
      <c r="N53" s="2" t="n">
        <v>496.18184684916</v>
      </c>
      <c r="O53" s="2" t="n">
        <v>553.59849241935</v>
      </c>
    </row>
    <row r="54">
      <c r="A54" s="2" t="n">
        <v>4.8086388495975</v>
      </c>
      <c r="B54" s="2" t="n">
        <v>0.013191473419261</v>
      </c>
      <c r="C54" s="2" t="n">
        <v>92.699379531739</v>
      </c>
      <c r="D54" s="2" t="n">
        <v>0.015022456100164</v>
      </c>
      <c r="E54" s="2" t="n">
        <v>-6.2732433515036</v>
      </c>
      <c r="F54" s="2" t="n">
        <v>-2.1541430928345</v>
      </c>
      <c r="G54" s="2" t="n">
        <v>26526907.890922</v>
      </c>
      <c r="H54" s="2" t="n">
        <v>5813872.4951325</v>
      </c>
      <c r="I54" s="2" t="n">
        <v>-0.0067673452953614</v>
      </c>
      <c r="J54" s="2" t="n">
        <v>-0.0064899920140838</v>
      </c>
      <c r="K54" s="2" t="n">
        <v>0.01432110497137</v>
      </c>
      <c r="L54" s="2" t="n">
        <v>-0.20606782670754</v>
      </c>
      <c r="M54" s="2" t="n">
        <v>-0.2088191902954</v>
      </c>
      <c r="N54" s="2" t="n">
        <v>497.04049080313</v>
      </c>
      <c r="O54" s="2" t="n">
        <v>554.7080056372</v>
      </c>
    </row>
    <row r="55">
      <c r="A55" s="2" t="n">
        <v>4.9086388495975</v>
      </c>
      <c r="B55" s="2" t="n">
        <v>0.01350532443591</v>
      </c>
      <c r="C55" s="2" t="n">
        <v>92.69932112855599</v>
      </c>
      <c r="D55" s="2" t="n">
        <v>0.0153397832682</v>
      </c>
      <c r="E55" s="2" t="n">
        <v>-6.2584335060598</v>
      </c>
      <c r="F55" s="2" t="n">
        <v>-2.1586596386787</v>
      </c>
      <c r="G55" s="2" t="n">
        <v>26811294.10295</v>
      </c>
      <c r="H55" s="2" t="n">
        <v>5862567.176736</v>
      </c>
      <c r="I55" s="2" t="n">
        <v>-0.0069174325865156</v>
      </c>
      <c r="J55" s="2" t="n">
        <v>-0.0066338074371752</v>
      </c>
      <c r="K55" s="2" t="n">
        <v>0.014616722272969</v>
      </c>
      <c r="L55" s="2" t="n">
        <v>-0.21133446889013</v>
      </c>
      <c r="M55" s="2" t="n">
        <v>-0.21408684278834</v>
      </c>
      <c r="N55" s="2" t="n">
        <v>497.89316071825</v>
      </c>
      <c r="O55" s="2" t="n">
        <v>555.80526886091</v>
      </c>
    </row>
    <row r="56">
      <c r="A56" s="2" t="n">
        <v>5.0086388495975</v>
      </c>
      <c r="B56" s="2" t="n">
        <v>0.01381910485572</v>
      </c>
      <c r="C56" s="2" t="n">
        <v>92.699263265875</v>
      </c>
      <c r="D56" s="2" t="n">
        <v>0.0156570400594</v>
      </c>
      <c r="E56" s="2" t="n">
        <v>-6.2588635993244</v>
      </c>
      <c r="F56" s="2" t="n">
        <v>-2.1589298599047</v>
      </c>
      <c r="G56" s="2" t="n">
        <v>27096693.958189</v>
      </c>
      <c r="H56" s="2" t="n">
        <v>5911421.574873</v>
      </c>
      <c r="I56" s="2" t="n">
        <v>-0.0070674972602542</v>
      </c>
      <c r="J56" s="2" t="n">
        <v>-0.0067775690381271</v>
      </c>
      <c r="K56" s="2" t="n">
        <v>0.014912250803957</v>
      </c>
      <c r="L56" s="2" t="n">
        <v>-0.21661650704096</v>
      </c>
      <c r="M56" s="2" t="n">
        <v>-0.21937130538065</v>
      </c>
      <c r="N56" s="2" t="n">
        <v>498.73998441356</v>
      </c>
      <c r="O56" s="2" t="n">
        <v>556.89075461891</v>
      </c>
    </row>
    <row r="57">
      <c r="A57" s="2" t="n">
        <v>5.1086388495975</v>
      </c>
      <c r="B57" s="2" t="n">
        <v>0.014132816285712</v>
      </c>
      <c r="C57" s="2" t="n">
        <v>92.699206295378</v>
      </c>
      <c r="D57" s="2" t="n">
        <v>0.015974227683196</v>
      </c>
      <c r="E57" s="2" t="n">
        <v>-6.2550346488399</v>
      </c>
      <c r="F57" s="2" t="n">
        <v>-2.163449552313</v>
      </c>
      <c r="G57" s="2" t="n">
        <v>27383098.843325</v>
      </c>
      <c r="H57" s="2" t="n">
        <v>5960434.2040171</v>
      </c>
      <c r="I57" s="2" t="n">
        <v>-0.0072175386493682</v>
      </c>
      <c r="J57" s="2" t="n">
        <v>-0.0069212771986439</v>
      </c>
      <c r="K57" s="2" t="n">
        <v>0.015207690623998</v>
      </c>
      <c r="L57" s="2" t="n">
        <v>-0.22191621286589</v>
      </c>
      <c r="M57" s="2" t="n">
        <v>-0.22467297990607</v>
      </c>
      <c r="N57" s="2" t="n">
        <v>499.58113126009</v>
      </c>
      <c r="O57" s="2" t="n">
        <v>557.9649752456201</v>
      </c>
    </row>
    <row r="58">
      <c r="A58" s="2" t="n">
        <v>5.2086388495975</v>
      </c>
      <c r="B58" s="2" t="n">
        <v>0.014446458886459</v>
      </c>
      <c r="C58" s="2" t="n">
        <v>92.699145259964</v>
      </c>
      <c r="D58" s="2" t="n">
        <v>0.016291347136225</v>
      </c>
      <c r="E58" s="2" t="n">
        <v>-6.2444724841703</v>
      </c>
      <c r="F58" s="2" t="n">
        <v>-2.1417507557552</v>
      </c>
      <c r="G58" s="2" t="n">
        <v>27670499.240508</v>
      </c>
      <c r="H58" s="2" t="n">
        <v>6009603.4241347</v>
      </c>
      <c r="I58" s="2" t="n">
        <v>-0.0073675560235589</v>
      </c>
      <c r="J58" s="2" t="n">
        <v>-0.0070649319224307</v>
      </c>
      <c r="K58" s="2" t="n">
        <v>0.015503041791339</v>
      </c>
      <c r="L58" s="2" t="n">
        <v>-0.2272329466938</v>
      </c>
      <c r="M58" s="2" t="n">
        <v>-0.22999096552116</v>
      </c>
      <c r="N58" s="2" t="n">
        <v>500.41698551579</v>
      </c>
      <c r="O58" s="2" t="n">
        <v>559.02862703247</v>
      </c>
    </row>
    <row r="59">
      <c r="A59" s="2" t="n">
        <v>5.3086388495975</v>
      </c>
      <c r="B59" s="2" t="n">
        <v>0.014760034669566</v>
      </c>
      <c r="C59" s="2" t="n">
        <v>92.69908213570601</v>
      </c>
      <c r="D59" s="2" t="n">
        <v>0.016608399785149</v>
      </c>
      <c r="E59" s="2" t="n">
        <v>-6.2448950897138</v>
      </c>
      <c r="F59" s="2" t="n">
        <v>-2.1310388013693</v>
      </c>
      <c r="G59" s="2" t="n">
        <v>27958886.916614</v>
      </c>
      <c r="H59" s="2" t="n">
        <v>6058927.8161795</v>
      </c>
      <c r="I59" s="2" t="n">
        <v>-0.0075175489719074</v>
      </c>
      <c r="J59" s="2" t="n">
        <v>-0.007208533479133</v>
      </c>
      <c r="K59" s="2" t="n">
        <v>0.015798304363313</v>
      </c>
      <c r="L59" s="2" t="n">
        <v>-0.23256897612445</v>
      </c>
      <c r="M59" s="2" t="n">
        <v>-0.23532566595313</v>
      </c>
      <c r="N59" s="2" t="n">
        <v>501.2476533184</v>
      </c>
      <c r="O59" s="2" t="n">
        <v>560.0821276512499</v>
      </c>
    </row>
    <row r="60">
      <c r="A60" s="2" t="n">
        <v>5.4086388495975</v>
      </c>
      <c r="B60" s="2" t="n">
        <v>0.015073544834443</v>
      </c>
      <c r="C60" s="2" t="n">
        <v>92.69901742442001</v>
      </c>
      <c r="D60" s="2" t="n">
        <v>0.016925386966029</v>
      </c>
      <c r="E60" s="2" t="n">
        <v>-6.2453161858921</v>
      </c>
      <c r="F60" s="2" t="n">
        <v>-2.1313137125255</v>
      </c>
      <c r="G60" s="2" t="n">
        <v>28248252.819586</v>
      </c>
      <c r="H60" s="2" t="n">
        <v>6108405.8200196</v>
      </c>
      <c r="I60" s="2" t="n">
        <v>-0.007667516831162</v>
      </c>
      <c r="J60" s="2" t="n">
        <v>-0.0073520819720968</v>
      </c>
      <c r="K60" s="2" t="n">
        <v>0.016093478397736</v>
      </c>
      <c r="L60" s="2" t="n">
        <v>-0.23791746158672</v>
      </c>
      <c r="M60" s="2" t="n">
        <v>-0.24067711691082</v>
      </c>
      <c r="N60" s="2" t="n">
        <v>502.07342652525</v>
      </c>
      <c r="O60" s="2" t="n">
        <v>561.1260807183299</v>
      </c>
    </row>
    <row r="61">
      <c r="A61" s="2" t="n">
        <v>5.5086388495975</v>
      </c>
      <c r="B61" s="2" t="n">
        <v>0.015386991214247</v>
      </c>
      <c r="C61" s="2" t="n">
        <v>92.698945207351</v>
      </c>
      <c r="D61" s="2" t="n">
        <v>0.017242310236317</v>
      </c>
      <c r="E61" s="2" t="n">
        <v>-6.2457358044497</v>
      </c>
      <c r="F61" s="2" t="n">
        <v>-2.1315891841766</v>
      </c>
      <c r="G61" s="2" t="n">
        <v>28538588.676626</v>
      </c>
      <c r="H61" s="2" t="n">
        <v>6158036.0092736</v>
      </c>
      <c r="I61" s="2" t="n">
        <v>-0.0078174594346521</v>
      </c>
      <c r="J61" s="2" t="n">
        <v>-0.0074955774418061</v>
      </c>
      <c r="K61" s="2" t="n">
        <v>0.016388563952537</v>
      </c>
      <c r="L61" s="2" t="n">
        <v>-0.24328298916044</v>
      </c>
      <c r="M61" s="2" t="n">
        <v>-0.2460423321985</v>
      </c>
      <c r="N61" s="2" t="n">
        <v>502.89440930454</v>
      </c>
      <c r="O61" s="2" t="n">
        <v>562.16087092008</v>
      </c>
    </row>
    <row r="62">
      <c r="A62" s="2" t="n">
        <v>5.6086388495975</v>
      </c>
      <c r="B62" s="2" t="n">
        <v>0.015700375342164</v>
      </c>
      <c r="C62" s="2" t="n">
        <v>92.698870203333</v>
      </c>
      <c r="D62" s="2" t="n">
        <v>0.017559171070802</v>
      </c>
      <c r="E62" s="2" t="n">
        <v>-6.2342573206525</v>
      </c>
      <c r="F62" s="2" t="n">
        <v>-2.1310031803323</v>
      </c>
      <c r="G62" s="2" t="n">
        <v>28829885.720818</v>
      </c>
      <c r="H62" s="2" t="n">
        <v>6207816.8731541</v>
      </c>
      <c r="I62" s="2" t="n">
        <v>-0.007967376348081</v>
      </c>
      <c r="J62" s="2" t="n">
        <v>-0.0076390198422724</v>
      </c>
      <c r="K62" s="2" t="n">
        <v>0.016683561083587</v>
      </c>
      <c r="L62" s="2" t="n">
        <v>-0.24866635214547</v>
      </c>
      <c r="M62" s="2" t="n">
        <v>-0.25142656098896</v>
      </c>
      <c r="N62" s="2" t="n">
        <v>503.71086849106</v>
      </c>
      <c r="O62" s="2" t="n">
        <v>563.18705383698</v>
      </c>
    </row>
    <row r="63">
      <c r="A63" s="2" t="n">
        <v>5.7086388495975</v>
      </c>
      <c r="B63" s="2" t="n">
        <v>0.016013699364062</v>
      </c>
      <c r="C63" s="2" t="n">
        <v>92.69879695399401</v>
      </c>
      <c r="D63" s="2" t="n">
        <v>0.017875971113378</v>
      </c>
      <c r="E63" s="2" t="n">
        <v>-6.2346714405252</v>
      </c>
      <c r="F63" s="2" t="n">
        <v>-2.1312768452709</v>
      </c>
      <c r="G63" s="2" t="n">
        <v>29122135.85643</v>
      </c>
      <c r="H63" s="2" t="n">
        <v>6257747.0142742</v>
      </c>
      <c r="I63" s="2" t="n">
        <v>-0.008117267401779</v>
      </c>
      <c r="J63" s="2" t="n">
        <v>-0.0077824092904096</v>
      </c>
      <c r="K63" s="2" t="n">
        <v>0.016978469848208</v>
      </c>
      <c r="L63" s="2" t="n">
        <v>-0.25406597215141</v>
      </c>
      <c r="M63" s="2" t="n">
        <v>-0.25682395364554</v>
      </c>
      <c r="N63" s="2" t="n">
        <v>504.52286447757</v>
      </c>
      <c r="O63" s="2" t="n">
        <v>564.20496003911</v>
      </c>
    </row>
    <row r="64">
      <c r="A64" s="2" t="n">
        <v>5.8086388495975</v>
      </c>
      <c r="B64" s="2" t="n">
        <v>0.016326964540174</v>
      </c>
      <c r="C64" s="2" t="n">
        <v>92.698726029212</v>
      </c>
      <c r="D64" s="2" t="n">
        <v>0.018192711743445</v>
      </c>
      <c r="E64" s="2" t="n">
        <v>-6.2240979008326</v>
      </c>
      <c r="F64" s="2" t="n">
        <v>-2.1315510917811</v>
      </c>
      <c r="G64" s="2" t="n">
        <v>29415330.781534</v>
      </c>
      <c r="H64" s="2" t="n">
        <v>6307825.0033926</v>
      </c>
      <c r="I64" s="2" t="n">
        <v>-0.0082671324895088</v>
      </c>
      <c r="J64" s="2" t="n">
        <v>-0.007925745485809399</v>
      </c>
      <c r="K64" s="2" t="n">
        <v>0.017273290300867</v>
      </c>
      <c r="L64" s="2" t="n">
        <v>-0.25948216140167</v>
      </c>
      <c r="M64" s="2" t="n">
        <v>-0.26223935763162</v>
      </c>
      <c r="N64" s="2" t="n">
        <v>505.33062938306</v>
      </c>
      <c r="O64" s="2" t="n">
        <v>565.21505645765</v>
      </c>
    </row>
    <row r="65">
      <c r="A65" s="2" t="n">
        <v>5.9086388495975</v>
      </c>
      <c r="B65" s="2" t="n">
        <v>0.016640172706146</v>
      </c>
      <c r="C65" s="2" t="n">
        <v>92.698657003973</v>
      </c>
      <c r="D65" s="2" t="n">
        <v>0.018509394459874</v>
      </c>
      <c r="E65" s="2" t="n">
        <v>-6.2245094586115</v>
      </c>
      <c r="F65" s="2" t="n">
        <v>-2.1318258708998</v>
      </c>
      <c r="G65" s="2" t="n">
        <v>29709463.025816</v>
      </c>
      <c r="H65" s="2" t="n">
        <v>6358049.5537719</v>
      </c>
      <c r="I65" s="2" t="n">
        <v>-0.008416971453441301</v>
      </c>
      <c r="J65" s="2" t="n">
        <v>-0.008069028475607899</v>
      </c>
      <c r="K65" s="2" t="n">
        <v>0.017568022496888</v>
      </c>
      <c r="L65" s="2" t="n">
        <v>-0.26491502822189</v>
      </c>
      <c r="M65" s="2" t="n">
        <v>-0.26767071226818</v>
      </c>
      <c r="N65" s="2" t="n">
        <v>506.13424658131</v>
      </c>
      <c r="O65" s="2" t="n">
        <v>566.217645966</v>
      </c>
    </row>
    <row r="66">
      <c r="A66" s="2" t="n">
        <v>6.0086388495975</v>
      </c>
      <c r="B66" s="2" t="n">
        <v>0.016953325047788</v>
      </c>
      <c r="C66" s="2" t="n">
        <v>92.698585364199</v>
      </c>
      <c r="D66" s="2" t="n">
        <v>0.018826020674426</v>
      </c>
      <c r="E66" s="2" t="n">
        <v>-6.2207193584002</v>
      </c>
      <c r="F66" s="2" t="n">
        <v>-2.1362948186172</v>
      </c>
      <c r="G66" s="2" t="n">
        <v>30004524.838744</v>
      </c>
      <c r="H66" s="2" t="n">
        <v>6408419.3310197</v>
      </c>
      <c r="I66" s="2" t="n">
        <v>-0.0085667839073915</v>
      </c>
      <c r="J66" s="2" t="n">
        <v>-0.0082122584228978</v>
      </c>
      <c r="K66" s="2" t="n">
        <v>0.017862666491489</v>
      </c>
      <c r="L66" s="2" t="n">
        <v>-0.27036087824781</v>
      </c>
      <c r="M66" s="2" t="n">
        <v>-0.27311419933049</v>
      </c>
      <c r="N66" s="2" t="n">
        <v>506.93385226419</v>
      </c>
      <c r="O66" s="2" t="n">
        <v>567.21304484242</v>
      </c>
    </row>
    <row r="67">
      <c r="A67" s="2" t="n">
        <v>6.1086388495975</v>
      </c>
      <c r="B67" s="2" t="n">
        <v>0.017266423041794</v>
      </c>
      <c r="C67" s="2" t="n">
        <v>92.698526880351</v>
      </c>
      <c r="D67" s="2" t="n">
        <v>0.019142591502141</v>
      </c>
      <c r="E67" s="2" t="n">
        <v>-6.2211282444329</v>
      </c>
      <c r="F67" s="2" t="n">
        <v>-2.1365709715433</v>
      </c>
      <c r="G67" s="2" t="n">
        <v>30300509.286085</v>
      </c>
      <c r="H67" s="2" t="n">
        <v>6458933.1430256</v>
      </c>
      <c r="I67" s="2" t="n">
        <v>-0.0087165695374887</v>
      </c>
      <c r="J67" s="2" t="n">
        <v>-0.0083554355486765</v>
      </c>
      <c r="K67" s="2" t="n">
        <v>0.01815722234168</v>
      </c>
      <c r="L67" s="2" t="n">
        <v>-0.27582536333128</v>
      </c>
      <c r="M67" s="2" t="n">
        <v>-0.27857728529418</v>
      </c>
      <c r="N67" s="2" t="n">
        <v>507.72953169657</v>
      </c>
      <c r="O67" s="2" t="n">
        <v>568.2015189886999</v>
      </c>
    </row>
    <row r="68">
      <c r="A68" s="2" t="n">
        <v>6.2086388495975</v>
      </c>
      <c r="B68" s="2" t="n">
        <v>0.01757946681022</v>
      </c>
      <c r="C68" s="2" t="n">
        <v>92.69846113380601</v>
      </c>
      <c r="D68" s="2" t="n">
        <v>0.019459107748506</v>
      </c>
      <c r="E68" s="2" t="n">
        <v>-6.21298915483</v>
      </c>
      <c r="F68" s="2" t="n">
        <v>-2.1343948245917</v>
      </c>
      <c r="G68" s="2" t="n">
        <v>30597408.727038</v>
      </c>
      <c r="H68" s="2" t="n">
        <v>6509589.6790813</v>
      </c>
      <c r="I68" s="2" t="n">
        <v>-0.0088663279820976</v>
      </c>
      <c r="J68" s="2" t="n">
        <v>-0.008498559733886701</v>
      </c>
      <c r="K68" s="2" t="n">
        <v>0.018451690099355</v>
      </c>
      <c r="L68" s="2" t="n">
        <v>-0.2813090585558</v>
      </c>
      <c r="M68" s="2" t="n">
        <v>-0.28405820853595</v>
      </c>
      <c r="N68" s="2" t="n">
        <v>508.52154396578</v>
      </c>
      <c r="O68" s="2" t="n">
        <v>569.18346880788</v>
      </c>
    </row>
    <row r="69">
      <c r="A69" s="2" t="n">
        <v>6.3086388495975</v>
      </c>
      <c r="B69" s="2" t="n">
        <v>0.017892457887856</v>
      </c>
      <c r="C69" s="2" t="n">
        <v>92.698392294508</v>
      </c>
      <c r="D69" s="2" t="n">
        <v>0.019775570628157</v>
      </c>
      <c r="E69" s="2" t="n">
        <v>-6.2133926332761</v>
      </c>
      <c r="F69" s="2" t="n">
        <v>-2.1346752086077</v>
      </c>
      <c r="G69" s="2" t="n">
        <v>30895217.221101</v>
      </c>
      <c r="H69" s="2" t="n">
        <v>6560387.9190797</v>
      </c>
      <c r="I69" s="2" t="n">
        <v>-0.009016058882975899</v>
      </c>
      <c r="J69" s="2" t="n">
        <v>-0.0086416314322864</v>
      </c>
      <c r="K69" s="2" t="n">
        <v>0.018746069821063</v>
      </c>
      <c r="L69" s="2" t="n">
        <v>-0.28679969515969</v>
      </c>
      <c r="M69" s="2" t="n">
        <v>-0.28954765273115</v>
      </c>
      <c r="N69" s="2" t="n">
        <v>509.30985138479</v>
      </c>
      <c r="O69" s="2" t="n">
        <v>570.15895940083</v>
      </c>
    </row>
    <row r="70">
      <c r="A70" s="2" t="n">
        <v>6.4086388495975</v>
      </c>
      <c r="B70" s="2" t="n">
        <v>0.018205397148742</v>
      </c>
      <c r="C70" s="2" t="n">
        <v>92.69832170726499</v>
      </c>
      <c r="D70" s="2" t="n">
        <v>0.020091981084699</v>
      </c>
      <c r="E70" s="2" t="n">
        <v>-6.2137950905769</v>
      </c>
      <c r="F70" s="2" t="n">
        <v>-2.1129834149855</v>
      </c>
      <c r="G70" s="2" t="n">
        <v>31193928.559143</v>
      </c>
      <c r="H70" s="2" t="n">
        <v>6611326.7989419</v>
      </c>
      <c r="I70" s="2" t="n">
        <v>-0.0091657616977155</v>
      </c>
      <c r="J70" s="2" t="n">
        <v>-0.008784651152108299</v>
      </c>
      <c r="K70" s="2" t="n">
        <v>0.019040361560537</v>
      </c>
      <c r="L70" s="2" t="n">
        <v>-0.29231301496023</v>
      </c>
      <c r="M70" s="2" t="n">
        <v>-0.29505591344663</v>
      </c>
      <c r="N70" s="2" t="n">
        <v>510.09452138567</v>
      </c>
      <c r="O70" s="2" t="n">
        <v>571.12817580684</v>
      </c>
    </row>
    <row r="71">
      <c r="A71" s="2" t="n">
        <v>6.5086388495975</v>
      </c>
      <c r="B71" s="2" t="n">
        <v>0.018518284133678</v>
      </c>
      <c r="C71" s="2" t="n">
        <v>92.698249901007</v>
      </c>
      <c r="D71" s="2" t="n">
        <v>0.020408339674046</v>
      </c>
      <c r="E71" s="2" t="n">
        <v>-6.2141965557627</v>
      </c>
      <c r="F71" s="2" t="n">
        <v>-2.1132647465695</v>
      </c>
      <c r="G71" s="2" t="n">
        <v>31493535.490567</v>
      </c>
      <c r="H71" s="2" t="n">
        <v>6662405.0766881</v>
      </c>
      <c r="I71" s="2" t="n">
        <v>-0.009315435766336901</v>
      </c>
      <c r="J71" s="2" t="n">
        <v>-0.0089276190064987</v>
      </c>
      <c r="K71" s="2" t="n">
        <v>0.019334565372071</v>
      </c>
      <c r="L71" s="2" t="n">
        <v>-0.29783849008258</v>
      </c>
      <c r="M71" s="2" t="n">
        <v>-0.30057918391367</v>
      </c>
      <c r="N71" s="2" t="n">
        <v>510.87583056298</v>
      </c>
      <c r="O71" s="2" t="n">
        <v>572.09149174914</v>
      </c>
    </row>
    <row r="72">
      <c r="A72" s="2" t="n">
        <v>6.6086388495975</v>
      </c>
      <c r="B72" s="2" t="n">
        <v>0.018831120043356</v>
      </c>
      <c r="C72" s="2" t="n">
        <v>92.698176981233</v>
      </c>
      <c r="D72" s="2" t="n">
        <v>0.020724647216325</v>
      </c>
      <c r="E72" s="2" t="n">
        <v>-6.214597098007</v>
      </c>
      <c r="F72" s="2" t="n">
        <v>-2.113546508264</v>
      </c>
      <c r="G72" s="2" t="n">
        <v>31794032.676603</v>
      </c>
      <c r="H72" s="2" t="n">
        <v>6713621.8388991</v>
      </c>
      <c r="I72" s="2" t="n">
        <v>-0.0094650808317735</v>
      </c>
      <c r="J72" s="2" t="n">
        <v>-0.009070535443831899</v>
      </c>
      <c r="K72" s="2" t="n">
        <v>0.019628681311237</v>
      </c>
      <c r="L72" s="2" t="n">
        <v>-0.30337871969623</v>
      </c>
      <c r="M72" s="2" t="n">
        <v>-0.30611797029111</v>
      </c>
      <c r="N72" s="2" t="n">
        <v>511.65371722702</v>
      </c>
      <c r="O72" s="2" t="n">
        <v>573.04893210026</v>
      </c>
    </row>
    <row r="73">
      <c r="A73" s="2" t="n">
        <v>6.7086388495975</v>
      </c>
      <c r="B73" s="2" t="n">
        <v>0.019143905356085</v>
      </c>
      <c r="C73" s="2" t="n">
        <v>92.69810314575101</v>
      </c>
      <c r="D73" s="2" t="n">
        <v>0.021040904415241</v>
      </c>
      <c r="E73" s="2" t="n">
        <v>-6.2149966977167</v>
      </c>
      <c r="F73" s="2" t="n">
        <v>-2.102842357408</v>
      </c>
      <c r="G73" s="2" t="n">
        <v>32095413.927763</v>
      </c>
      <c r="H73" s="2" t="n">
        <v>6764976.0277364</v>
      </c>
      <c r="I73" s="2" t="n">
        <v>-0.0096146963004552</v>
      </c>
      <c r="J73" s="2" t="n">
        <v>-0.009213400763345401</v>
      </c>
      <c r="K73" s="2" t="n">
        <v>0.019922709432179</v>
      </c>
      <c r="L73" s="2" t="n">
        <v>-0.3089312481303</v>
      </c>
      <c r="M73" s="2" t="n">
        <v>-0.31166829259604</v>
      </c>
      <c r="N73" s="2" t="n">
        <v>512.42833770342</v>
      </c>
      <c r="O73" s="2" t="n">
        <v>574.00074574462</v>
      </c>
    </row>
    <row r="74">
      <c r="A74" s="2" t="n">
        <v>6.8086388495975</v>
      </c>
      <c r="B74" s="2" t="n">
        <v>0.019456641426849</v>
      </c>
      <c r="C74" s="2" t="n">
        <v>92.698031763822</v>
      </c>
      <c r="D74" s="2" t="n">
        <v>0.021357112126392</v>
      </c>
      <c r="E74" s="2" t="n">
        <v>-6.215395360011</v>
      </c>
      <c r="F74" s="2" t="n">
        <v>-2.1141112171657</v>
      </c>
      <c r="G74" s="2" t="n">
        <v>32397674.062529</v>
      </c>
      <c r="H74" s="2" t="n">
        <v>6816466.7568219</v>
      </c>
      <c r="I74" s="2" t="n">
        <v>-0.009764282101712599</v>
      </c>
      <c r="J74" s="2" t="n">
        <v>-0.0093562153347331</v>
      </c>
      <c r="K74" s="2" t="n">
        <v>0.020216649789607</v>
      </c>
      <c r="L74" s="2" t="n">
        <v>-0.31449899680087</v>
      </c>
      <c r="M74" s="2" t="n">
        <v>-0.31723093183895</v>
      </c>
      <c r="N74" s="2" t="n">
        <v>513.1995818307699</v>
      </c>
      <c r="O74" s="2" t="n">
        <v>574.94691632834</v>
      </c>
    </row>
    <row r="75">
      <c r="A75" s="2" t="n">
        <v>6.9086388495975</v>
      </c>
      <c r="B75" s="2" t="n">
        <v>0.019769328238947</v>
      </c>
      <c r="C75" s="2" t="n">
        <v>92.697957406114</v>
      </c>
      <c r="D75" s="2" t="n">
        <v>0.021673270859136</v>
      </c>
      <c r="E75" s="2" t="n">
        <v>-6.2047180069758</v>
      </c>
      <c r="F75" s="2" t="n">
        <v>-2.1227647260745</v>
      </c>
      <c r="G75" s="2" t="n">
        <v>32700806.398463</v>
      </c>
      <c r="H75" s="2" t="n">
        <v>6868092.8830104</v>
      </c>
      <c r="I75" s="2" t="n">
        <v>-0.009913837654570601</v>
      </c>
      <c r="J75" s="2" t="n">
        <v>-0.0094989793203964</v>
      </c>
      <c r="K75" s="2" t="n">
        <v>0.020510502438023</v>
      </c>
      <c r="L75" s="2" t="n">
        <v>-0.32007856525593</v>
      </c>
      <c r="M75" s="2" t="n">
        <v>-0.32280913412478</v>
      </c>
      <c r="N75" s="2" t="n">
        <v>513.96767064416</v>
      </c>
      <c r="O75" s="2" t="n">
        <v>575.8877641831</v>
      </c>
    </row>
    <row r="76">
      <c r="A76" s="2" t="n">
        <v>7.0086388495975</v>
      </c>
      <c r="B76" s="2" t="n">
        <v>0.020081966490706</v>
      </c>
      <c r="C76" s="2" t="n">
        <v>92.697882699974</v>
      </c>
      <c r="D76" s="2" t="n">
        <v>0.021989381369946</v>
      </c>
      <c r="E76" s="2" t="n">
        <v>-6.2008431203219</v>
      </c>
      <c r="F76" s="2" t="n">
        <v>-2.1273128542149</v>
      </c>
      <c r="G76" s="2" t="n">
        <v>33004805.253721</v>
      </c>
      <c r="H76" s="2" t="n">
        <v>6919853.4355816</v>
      </c>
      <c r="I76" s="2" t="n">
        <v>-0.010063362766711</v>
      </c>
      <c r="J76" s="2" t="n">
        <v>-0.009641692873409701</v>
      </c>
      <c r="K76" s="2" t="n">
        <v>0.020804267428343</v>
      </c>
      <c r="L76" s="2" t="n">
        <v>-0.32567154350843</v>
      </c>
      <c r="M76" s="2" t="n">
        <v>-0.32840031643077</v>
      </c>
      <c r="N76" s="2" t="n">
        <v>514.73264890494</v>
      </c>
      <c r="O76" s="2" t="n">
        <v>576.82341922184</v>
      </c>
    </row>
    <row r="77">
      <c r="A77" s="2" t="n">
        <v>7.1086388495975</v>
      </c>
      <c r="B77" s="2" t="n">
        <v>0.020394556983393</v>
      </c>
      <c r="C77" s="2" t="n">
        <v>92.697806918263</v>
      </c>
      <c r="D77" s="2" t="n">
        <v>0.022305444386576</v>
      </c>
      <c r="E77" s="2" t="n">
        <v>-6.2012378464017</v>
      </c>
      <c r="F77" s="2" t="n">
        <v>-2.1276003824009</v>
      </c>
      <c r="G77" s="2" t="n">
        <v>33309664.685251</v>
      </c>
      <c r="H77" s="2" t="n">
        <v>6971747.399038</v>
      </c>
      <c r="I77" s="2" t="n">
        <v>-0.010212857138858</v>
      </c>
      <c r="J77" s="2" t="n">
        <v>-0.009784356192844301</v>
      </c>
      <c r="K77" s="2" t="n">
        <v>0.021097944815473</v>
      </c>
      <c r="L77" s="2" t="n">
        <v>-0.33127921192041</v>
      </c>
      <c r="M77" s="2" t="n">
        <v>-0.33400652314957</v>
      </c>
      <c r="N77" s="2" t="n">
        <v>515.49459632251</v>
      </c>
      <c r="O77" s="2" t="n">
        <v>577.75406261455</v>
      </c>
    </row>
    <row r="78">
      <c r="A78" s="2" t="n">
        <v>7.2086388495975</v>
      </c>
      <c r="B78" s="2" t="n">
        <v>0.020707100461516</v>
      </c>
      <c r="C78" s="2" t="n">
        <v>92.69773030366299</v>
      </c>
      <c r="D78" s="2" t="n">
        <v>0.022621460546677</v>
      </c>
      <c r="E78" s="2" t="n">
        <v>-6.2016317399359</v>
      </c>
      <c r="F78" s="2" t="n">
        <v>-2.1388745108092</v>
      </c>
      <c r="G78" s="2" t="n">
        <v>33615378.954376</v>
      </c>
      <c r="H78" s="2" t="n">
        <v>7023773.7937331</v>
      </c>
      <c r="I78" s="2" t="n">
        <v>-0.010362320351778</v>
      </c>
      <c r="J78" s="2" t="n">
        <v>-0.0099269695775554</v>
      </c>
      <c r="K78" s="2" t="n">
        <v>0.021391534650036</v>
      </c>
      <c r="L78" s="2" t="n">
        <v>-0.33689901909061</v>
      </c>
      <c r="M78" s="2" t="n">
        <v>-0.33962240058377</v>
      </c>
      <c r="N78" s="2" t="n">
        <v>516.25358518905</v>
      </c>
      <c r="O78" s="2" t="n">
        <v>578.67985169958</v>
      </c>
    </row>
    <row r="79">
      <c r="A79" s="2" t="n">
        <v>7.3086388495975</v>
      </c>
      <c r="B79" s="2" t="n">
        <v>0.021019598044034</v>
      </c>
      <c r="C79" s="2" t="n">
        <v>92.697652889585</v>
      </c>
      <c r="D79" s="2" t="n">
        <v>0.022937430662141</v>
      </c>
      <c r="E79" s="2" t="n">
        <v>-6.2020248222232</v>
      </c>
      <c r="F79" s="2" t="n">
        <v>-2.1391626172318</v>
      </c>
      <c r="G79" s="2" t="n">
        <v>33921942.566185</v>
      </c>
      <c r="H79" s="2" t="n">
        <v>7075931.680486</v>
      </c>
      <c r="I79" s="2" t="n">
        <v>-0.010511752035524</v>
      </c>
      <c r="J79" s="2" t="n">
        <v>-0.010069533475091</v>
      </c>
      <c r="K79" s="2" t="n">
        <v>0.02168503698479</v>
      </c>
      <c r="L79" s="2" t="n">
        <v>-0.34253124741081</v>
      </c>
      <c r="M79" s="2" t="n">
        <v>-0.34525298758354</v>
      </c>
      <c r="N79" s="2" t="n">
        <v>517.009609483</v>
      </c>
      <c r="O79" s="2" t="n">
        <v>579.60086752501</v>
      </c>
    </row>
    <row r="80">
      <c r="A80" s="2" t="n">
        <v>7.4086388495975</v>
      </c>
      <c r="B80" s="2" t="n">
        <v>0.021332050335728</v>
      </c>
      <c r="C80" s="2" t="n">
        <v>92.697574659265</v>
      </c>
      <c r="D80" s="2" t="n">
        <v>0.023253355426263</v>
      </c>
      <c r="E80" s="2" t="n">
        <v>-6.2134034266368</v>
      </c>
      <c r="F80" s="2" t="n">
        <v>-2.1504373565326</v>
      </c>
      <c r="G80" s="2" t="n">
        <v>34229349.695368</v>
      </c>
      <c r="H80" s="2" t="n">
        <v>7128220.0641594</v>
      </c>
      <c r="I80" s="2" t="n">
        <v>-0.010661151909209</v>
      </c>
      <c r="J80" s="2" t="n">
        <v>-0.010212048083778</v>
      </c>
      <c r="K80" s="2" t="n">
        <v>0.02197845187178</v>
      </c>
      <c r="L80" s="2" t="n">
        <v>-0.34817309600198</v>
      </c>
      <c r="M80" s="2" t="n">
        <v>-0.35089546449287</v>
      </c>
      <c r="N80" s="2" t="n">
        <v>517.76273137232</v>
      </c>
      <c r="O80" s="2" t="n">
        <v>580.51726090045</v>
      </c>
    </row>
    <row r="81">
      <c r="A81" s="2" t="n">
        <v>7.5086388495975</v>
      </c>
      <c r="B81" s="2" t="n">
        <v>0.021644457607424</v>
      </c>
      <c r="C81" s="2" t="n">
        <v>92.69749803219899</v>
      </c>
      <c r="D81" s="2" t="n">
        <v>0.023569235469768</v>
      </c>
      <c r="E81" s="2" t="n">
        <v>-6.2357675535231</v>
      </c>
      <c r="F81" s="2" t="n">
        <v>-2.150726082729</v>
      </c>
      <c r="G81" s="2" t="n">
        <v>34537594.057351</v>
      </c>
      <c r="H81" s="2" t="n">
        <v>7180637.8724626</v>
      </c>
      <c r="I81" s="2" t="n">
        <v>-0.010810519358581</v>
      </c>
      <c r="J81" s="2" t="n">
        <v>-0.010354513683808</v>
      </c>
      <c r="K81" s="2" t="n">
        <v>0.022271779365448</v>
      </c>
      <c r="L81" s="2" t="n">
        <v>-0.35383071098233</v>
      </c>
      <c r="M81" s="2" t="n">
        <v>-0.35654952073455</v>
      </c>
      <c r="N81" s="2" t="n">
        <v>518.5131422447701</v>
      </c>
      <c r="O81" s="2" t="n">
        <v>581.42930526486</v>
      </c>
    </row>
    <row r="82">
      <c r="A82" s="2" t="n">
        <v>7.6086388495975</v>
      </c>
      <c r="B82" s="2" t="n">
        <v>0.021956821221543</v>
      </c>
      <c r="C82" s="2" t="n">
        <v>92.697422460872</v>
      </c>
      <c r="D82" s="2" t="n">
        <v>0.023885071726233</v>
      </c>
      <c r="E82" s="2" t="n">
        <v>-6.2361582326918</v>
      </c>
      <c r="F82" s="2" t="n">
        <v>-2.1729878061242</v>
      </c>
      <c r="G82" s="2" t="n">
        <v>34846670.394901</v>
      </c>
      <c r="H82" s="2" t="n">
        <v>7233184.207842</v>
      </c>
      <c r="I82" s="2" t="n">
        <v>-0.010959854259316</v>
      </c>
      <c r="J82" s="2" t="n">
        <v>-0.010496930506229</v>
      </c>
      <c r="K82" s="2" t="n">
        <v>0.022565019514905</v>
      </c>
      <c r="L82" s="2" t="n">
        <v>-0.359501830633</v>
      </c>
      <c r="M82" s="2" t="n">
        <v>-0.36221922010476</v>
      </c>
      <c r="N82" s="2" t="n">
        <v>519.26081518309</v>
      </c>
      <c r="O82" s="2" t="n">
        <v>582.33705346411</v>
      </c>
    </row>
    <row r="83">
      <c r="A83" s="2" t="n">
        <v>7.7086388495975</v>
      </c>
      <c r="B83" s="2" t="n">
        <v>0.022269141737153</v>
      </c>
      <c r="C83" s="2" t="n">
        <v>92.697344695198</v>
      </c>
      <c r="D83" s="2" t="n">
        <v>0.02420086494537</v>
      </c>
      <c r="E83" s="2" t="n">
        <v>-6.2433838753111</v>
      </c>
      <c r="F83" s="2" t="n">
        <v>-2.188409380675</v>
      </c>
      <c r="G83" s="2" t="n">
        <v>35156572.683651</v>
      </c>
      <c r="H83" s="2" t="n">
        <v>7285858.041192</v>
      </c>
      <c r="I83" s="2" t="n">
        <v>-0.011109155994059</v>
      </c>
      <c r="J83" s="2" t="n">
        <v>-0.010639298976285</v>
      </c>
      <c r="K83" s="2" t="n">
        <v>0.022858172376995</v>
      </c>
      <c r="L83" s="2" t="n">
        <v>-0.365181215606</v>
      </c>
      <c r="M83" s="2" t="n">
        <v>-0.36789534662023</v>
      </c>
      <c r="N83" s="2" t="n">
        <v>520.00585699473</v>
      </c>
      <c r="O83" s="2" t="n">
        <v>583.24069938755</v>
      </c>
    </row>
    <row r="84">
      <c r="A84" s="2" t="n">
        <v>7.8086388495975</v>
      </c>
      <c r="B84" s="2" t="n">
        <v>0.022581420481716</v>
      </c>
      <c r="C84" s="2" t="n">
        <v>92.69726575439999</v>
      </c>
      <c r="D84" s="2" t="n">
        <v>0.024516615894091</v>
      </c>
      <c r="E84" s="2" t="n">
        <v>-6.2547597233424</v>
      </c>
      <c r="F84" s="2" t="n">
        <v>-2.188698803836</v>
      </c>
      <c r="G84" s="2" t="n">
        <v>35467295.901693</v>
      </c>
      <c r="H84" s="2" t="n">
        <v>7338658.5168185</v>
      </c>
      <c r="I84" s="2" t="n">
        <v>-0.011258424250023</v>
      </c>
      <c r="J84" s="2" t="n">
        <v>-0.010781619576979</v>
      </c>
      <c r="K84" s="2" t="n">
        <v>0.023151238002232</v>
      </c>
      <c r="L84" s="2" t="n">
        <v>-0.37087724879238</v>
      </c>
      <c r="M84" s="2" t="n">
        <v>-0.37358865016565</v>
      </c>
      <c r="N84" s="2" t="n">
        <v>520.74823138864</v>
      </c>
      <c r="O84" s="2" t="n">
        <v>584.14029485486</v>
      </c>
    </row>
    <row r="85">
      <c r="A85" s="2" t="n">
        <v>7.9086388495975</v>
      </c>
      <c r="B85" s="2" t="n">
        <v>0.022893658068886</v>
      </c>
      <c r="C85" s="2" t="n">
        <v>92.69718602872901</v>
      </c>
      <c r="D85" s="2" t="n">
        <v>0.024832325305057</v>
      </c>
      <c r="E85" s="2" t="n">
        <v>-6.2661348374326</v>
      </c>
      <c r="F85" s="2" t="n">
        <v>-2.1999749745374</v>
      </c>
      <c r="G85" s="2" t="n">
        <v>35778834.531768</v>
      </c>
      <c r="H85" s="2" t="n">
        <v>7391584.694781</v>
      </c>
      <c r="I85" s="2" t="n">
        <v>-0.011407658837808</v>
      </c>
      <c r="J85" s="2" t="n">
        <v>-0.010923892372023</v>
      </c>
      <c r="K85" s="2" t="n">
        <v>0.02344421644199</v>
      </c>
      <c r="L85" s="2" t="n">
        <v>-0.37658362438821</v>
      </c>
      <c r="M85" s="2" t="n">
        <v>-0.37929331617131</v>
      </c>
      <c r="N85" s="2" t="n">
        <v>521.4880104451599</v>
      </c>
      <c r="O85" s="2" t="n">
        <v>585.03596118102</v>
      </c>
    </row>
    <row r="86">
      <c r="A86" s="2" t="n">
        <v>8.008638849597499</v>
      </c>
      <c r="B86" s="2" t="n">
        <v>0.02320585544273</v>
      </c>
      <c r="C86" s="2" t="n">
        <v>92.697105522773</v>
      </c>
      <c r="D86" s="2" t="n">
        <v>0.025147994008177</v>
      </c>
      <c r="E86" s="2" t="n">
        <v>-6.2665229107125</v>
      </c>
      <c r="F86" s="2" t="n">
        <v>-2.200265278826</v>
      </c>
      <c r="G86" s="2" t="n">
        <v>36091183.229965</v>
      </c>
      <c r="H86" s="2" t="n">
        <v>7444635.664067</v>
      </c>
      <c r="I86" s="2" t="n">
        <v>-0.01155685950927</v>
      </c>
      <c r="J86" s="2" t="n">
        <v>-0.01106611758528</v>
      </c>
      <c r="K86" s="2" t="n">
        <v>0.023737107748587</v>
      </c>
      <c r="L86" s="2" t="n">
        <v>-0.38229731570457</v>
      </c>
      <c r="M86" s="2" t="n">
        <v>-0.38500630743377</v>
      </c>
      <c r="N86" s="2" t="n">
        <v>522.22522628807</v>
      </c>
      <c r="O86" s="2" t="n">
        <v>585.92779618035</v>
      </c>
    </row>
    <row r="87">
      <c r="A87" s="2" t="n">
        <v>8.108638849597501</v>
      </c>
      <c r="B87" s="2" t="n">
        <v>0.02351801353796</v>
      </c>
      <c r="C87" s="2" t="n">
        <v>92.697024280533</v>
      </c>
      <c r="D87" s="2" t="n">
        <v>0.025463622613383</v>
      </c>
      <c r="E87" s="2" t="n">
        <v>-6.2778965632651</v>
      </c>
      <c r="F87" s="2" t="n">
        <v>-2.2005560443559</v>
      </c>
      <c r="G87" s="2" t="n">
        <v>36404337.015756</v>
      </c>
      <c r="H87" s="2" t="n">
        <v>7497810.5774127</v>
      </c>
      <c r="I87" s="2" t="n">
        <v>-0.011706025885605</v>
      </c>
      <c r="J87" s="2" t="n">
        <v>-0.011208295655986</v>
      </c>
      <c r="K87" s="2" t="n">
        <v>0.024029911973339</v>
      </c>
      <c r="L87" s="2" t="n">
        <v>-0.38802864674479</v>
      </c>
      <c r="M87" s="2" t="n">
        <v>-0.39073243891387</v>
      </c>
      <c r="N87" s="2" t="n">
        <v>522.95988726589</v>
      </c>
      <c r="O87" s="2" t="n">
        <v>586.81586703203</v>
      </c>
    </row>
    <row r="88">
      <c r="A88" s="2" t="n">
        <v>8.2086388495975</v>
      </c>
      <c r="B88" s="2" t="n">
        <v>0.023830132333569</v>
      </c>
      <c r="C88" s="2" t="n">
        <v>92.69694233000099</v>
      </c>
      <c r="D88" s="2" t="n">
        <v>0.025779211762097</v>
      </c>
      <c r="E88" s="2" t="n">
        <v>-6.2892694921877</v>
      </c>
      <c r="F88" s="2" t="n">
        <v>-2.2008472626877</v>
      </c>
      <c r="G88" s="2" t="n">
        <v>36718289.93777</v>
      </c>
      <c r="H88" s="2" t="n">
        <v>7551108.4220234</v>
      </c>
      <c r="I88" s="2" t="n">
        <v>-0.011855157605756</v>
      </c>
      <c r="J88" s="2" t="n">
        <v>-0.01135042664999</v>
      </c>
      <c r="K88" s="2" t="n">
        <v>0.024322629169427</v>
      </c>
      <c r="L88" s="2" t="n">
        <v>-0.39376970367797</v>
      </c>
      <c r="M88" s="2" t="n">
        <v>-0.39647234816002</v>
      </c>
      <c r="N88" s="2" t="n">
        <v>523.69215616313</v>
      </c>
      <c r="O88" s="2" t="n">
        <v>587.70040364508</v>
      </c>
    </row>
    <row r="89">
      <c r="A89" s="2" t="n">
        <v>8.3086388495975</v>
      </c>
      <c r="B89" s="2" t="n">
        <v>0.024142212695591</v>
      </c>
      <c r="C89" s="2" t="n">
        <v>92.696859668587</v>
      </c>
      <c r="D89" s="2" t="n">
        <v>0.026094762169425</v>
      </c>
      <c r="E89" s="2" t="n">
        <v>-6.3006417206825</v>
      </c>
      <c r="F89" s="2" t="n">
        <v>-2.2011389797798</v>
      </c>
      <c r="G89" s="2" t="n">
        <v>37033036.965355</v>
      </c>
      <c r="H89" s="2" t="n">
        <v>7604528.3425355</v>
      </c>
      <c r="I89" s="2" t="n">
        <v>-0.012004254600205</v>
      </c>
      <c r="J89" s="2" t="n">
        <v>-0.01149251063013</v>
      </c>
      <c r="K89" s="2" t="n">
        <v>0.024615259391055</v>
      </c>
      <c r="L89" s="2" t="n">
        <v>-0.39951962741326</v>
      </c>
      <c r="M89" s="2" t="n">
        <v>-0.4022188952429</v>
      </c>
      <c r="N89" s="2" t="n">
        <v>524.42205263619</v>
      </c>
      <c r="O89" s="2" t="n">
        <v>588.5814588506501</v>
      </c>
    </row>
    <row r="90">
      <c r="A90" s="2" t="n">
        <v>8.4086388495975</v>
      </c>
      <c r="B90" s="2" t="n">
        <v>0.024454255051804</v>
      </c>
      <c r="C90" s="2" t="n">
        <v>92.696781017779</v>
      </c>
      <c r="D90" s="2" t="n">
        <v>0.026410274403293</v>
      </c>
      <c r="E90" s="2" t="n">
        <v>-6.3339859204923</v>
      </c>
      <c r="F90" s="2" t="n">
        <v>-2.2124175227233</v>
      </c>
      <c r="G90" s="2" t="n">
        <v>37348572.775786</v>
      </c>
      <c r="H90" s="2" t="n">
        <v>7658069.4342606</v>
      </c>
      <c r="I90" s="2" t="n">
        <v>-0.012153316552735</v>
      </c>
      <c r="J90" s="2" t="n">
        <v>-0.011634547840952</v>
      </c>
      <c r="K90" s="2" t="n">
        <v>0.024907802687266</v>
      </c>
      <c r="L90" s="2" t="n">
        <v>-0.40528677890444</v>
      </c>
      <c r="M90" s="2" t="n">
        <v>-0.4079802954918</v>
      </c>
      <c r="N90" s="2" t="n">
        <v>525.14965319124</v>
      </c>
      <c r="O90" s="2" t="n">
        <v>589.45916813953</v>
      </c>
    </row>
    <row r="91">
      <c r="A91" s="2" t="n">
        <v>8.508638849597499</v>
      </c>
      <c r="B91" s="2" t="n">
        <v>0.024766260609576</v>
      </c>
      <c r="C91" s="2" t="n">
        <v>92.6967004615</v>
      </c>
      <c r="D91" s="2" t="n">
        <v>0.02672574913937</v>
      </c>
      <c r="E91" s="2" t="n">
        <v>-6.3410310589168</v>
      </c>
      <c r="F91" s="2" t="n">
        <v>-2.2170305488637</v>
      </c>
      <c r="G91" s="2" t="n">
        <v>37664893.102463</v>
      </c>
      <c r="H91" s="2" t="n">
        <v>7711730.9730005</v>
      </c>
      <c r="I91" s="2" t="n">
        <v>-0.012302343329893</v>
      </c>
      <c r="J91" s="2" t="n">
        <v>-0.011776538658174</v>
      </c>
      <c r="K91" s="2" t="n">
        <v>0.025200259113284</v>
      </c>
      <c r="L91" s="2" t="n">
        <v>-0.41106058289584</v>
      </c>
      <c r="M91" s="2" t="n">
        <v>-0.41375319630315</v>
      </c>
      <c r="N91" s="2" t="n">
        <v>525.8748529862301</v>
      </c>
      <c r="O91" s="2" t="n">
        <v>590.33345372285</v>
      </c>
    </row>
    <row r="92">
      <c r="A92" s="2" t="n">
        <v>8.608638849597501</v>
      </c>
      <c r="B92" s="2" t="n">
        <v>0.02507823022995</v>
      </c>
      <c r="C92" s="2" t="n">
        <v>92.696610981543</v>
      </c>
      <c r="D92" s="2" t="n">
        <v>0.027041186967176</v>
      </c>
      <c r="E92" s="2" t="n">
        <v>-6.3673526298526</v>
      </c>
      <c r="F92" s="2" t="n">
        <v>-2.2212843716126</v>
      </c>
      <c r="G92" s="2" t="n">
        <v>37981993.224241</v>
      </c>
      <c r="H92" s="2" t="n">
        <v>7765512.1593388</v>
      </c>
      <c r="I92" s="2" t="n">
        <v>-0.012451334934058</v>
      </c>
      <c r="J92" s="2" t="n">
        <v>-0.011918483068997</v>
      </c>
      <c r="K92" s="2" t="n">
        <v>0.025492628723736</v>
      </c>
      <c r="L92" s="2" t="n">
        <v>-0.41684721861</v>
      </c>
      <c r="M92" s="2" t="n">
        <v>-0.41953430946814</v>
      </c>
      <c r="N92" s="2" t="n">
        <v>526.5976811934499</v>
      </c>
      <c r="O92" s="2" t="n">
        <v>591.20438581085</v>
      </c>
    </row>
    <row r="93">
      <c r="A93" s="2" t="n">
        <v>8.7086388495975</v>
      </c>
      <c r="B93" s="2" t="n">
        <v>0.025390163697739</v>
      </c>
      <c r="C93" s="2" t="n">
        <v>92.69652155668</v>
      </c>
      <c r="D93" s="2" t="n">
        <v>0.027356588489301</v>
      </c>
      <c r="E93" s="2" t="n">
        <v>-6.3787204901234</v>
      </c>
      <c r="F93" s="2" t="n">
        <v>-2.2105927659662</v>
      </c>
      <c r="G93" s="2" t="n">
        <v>38299867.586522</v>
      </c>
      <c r="H93" s="2" t="n">
        <v>7819412.0501086</v>
      </c>
      <c r="I93" s="2" t="n">
        <v>-0.012600291223383</v>
      </c>
      <c r="J93" s="2" t="n">
        <v>-0.012060381013542</v>
      </c>
      <c r="K93" s="2" t="n">
        <v>0.025784911571473</v>
      </c>
      <c r="L93" s="2" t="n">
        <v>-0.42264670815221</v>
      </c>
      <c r="M93" s="2" t="n">
        <v>-0.42533089601862</v>
      </c>
      <c r="N93" s="2" t="n">
        <v>527.31827381597</v>
      </c>
      <c r="O93" s="2" t="n">
        <v>592.07212764511</v>
      </c>
    </row>
    <row r="94">
      <c r="A94" s="2" t="n">
        <v>8.8086388495975</v>
      </c>
      <c r="B94" s="2" t="n">
        <v>0.025702061730128</v>
      </c>
      <c r="C94" s="2" t="n">
        <v>92.696425998598</v>
      </c>
      <c r="D94" s="2" t="n">
        <v>0.027671954232222</v>
      </c>
      <c r="E94" s="2" t="n">
        <v>-6.3943192501888</v>
      </c>
      <c r="F94" s="2" t="n">
        <v>-2.2151146708256</v>
      </c>
      <c r="G94" s="2" t="n">
        <v>38618511.457493</v>
      </c>
      <c r="H94" s="2" t="n">
        <v>7873429.8428206</v>
      </c>
      <c r="I94" s="2" t="n">
        <v>-0.012749212112078</v>
      </c>
      <c r="J94" s="2" t="n">
        <v>-0.012202232565144</v>
      </c>
      <c r="K94" s="2" t="n">
        <v>0.02607710771026</v>
      </c>
      <c r="L94" s="2" t="n">
        <v>-0.42845548468528</v>
      </c>
      <c r="M94" s="2" t="n">
        <v>-0.43113523640493</v>
      </c>
      <c r="N94" s="2" t="n">
        <v>528.03664622305</v>
      </c>
      <c r="O94" s="2" t="n">
        <v>592.93672372243</v>
      </c>
    </row>
    <row r="95">
      <c r="A95" s="2" t="n">
        <v>8.9086388495975</v>
      </c>
      <c r="B95" s="2" t="n">
        <v>0.026013924584408</v>
      </c>
      <c r="C95" s="2" t="n">
        <v>92.696334471676</v>
      </c>
      <c r="D95" s="2" t="n">
        <v>0.027987284741429</v>
      </c>
      <c r="E95" s="2" t="n">
        <v>-6.4056875544175</v>
      </c>
      <c r="F95" s="2" t="n">
        <v>-2.2044256971522</v>
      </c>
      <c r="G95" s="2" t="n">
        <v>38937919.528395</v>
      </c>
      <c r="H95" s="2" t="n">
        <v>7927564.6372534</v>
      </c>
      <c r="I95" s="2" t="n">
        <v>-0.012898097453398</v>
      </c>
      <c r="J95" s="2" t="n">
        <v>-0.012344037724939</v>
      </c>
      <c r="K95" s="2" t="n">
        <v>0.026369217194282</v>
      </c>
      <c r="L95" s="2" t="n">
        <v>-0.43427656897605</v>
      </c>
      <c r="M95" s="2" t="n">
        <v>-0.43695228922071</v>
      </c>
      <c r="N95" s="2" t="n">
        <v>528.75290597654</v>
      </c>
      <c r="O95" s="2" t="n">
        <v>593.7983345692199</v>
      </c>
    </row>
    <row r="96">
      <c r="A96" s="2" t="n">
        <v>9.008638849597499</v>
      </c>
      <c r="B96" s="2" t="n">
        <v>0.026325753618687</v>
      </c>
      <c r="C96" s="2" t="n">
        <v>92.696243630097</v>
      </c>
      <c r="D96" s="2" t="n">
        <v>0.028302580682667</v>
      </c>
      <c r="E96" s="2" t="n">
        <v>-6.4060689240309</v>
      </c>
      <c r="F96" s="2" t="n">
        <v>-2.1937371906704</v>
      </c>
      <c r="G96" s="2" t="n">
        <v>39258087.735719</v>
      </c>
      <c r="H96" s="2" t="n">
        <v>7981815.745583</v>
      </c>
      <c r="I96" s="2" t="n">
        <v>-0.013046947307784</v>
      </c>
      <c r="J96" s="2" t="n">
        <v>-0.012485796668839</v>
      </c>
      <c r="K96" s="2" t="n">
        <v>0.026661240073736</v>
      </c>
      <c r="L96" s="2" t="n">
        <v>-0.44010808534632</v>
      </c>
      <c r="M96" s="2" t="n">
        <v>-0.4427791963851</v>
      </c>
      <c r="N96" s="2" t="n">
        <v>529.46695581249</v>
      </c>
      <c r="O96" s="2" t="n">
        <v>594.65688273289</v>
      </c>
    </row>
    <row r="97">
      <c r="A97" s="2" t="n">
        <v>9.108638849597501</v>
      </c>
      <c r="B97" s="2" t="n">
        <v>0.026637548745558</v>
      </c>
      <c r="C97" s="2" t="n">
        <v>92.69615300040201</v>
      </c>
      <c r="D97" s="2" t="n">
        <v>0.028617842456036</v>
      </c>
      <c r="E97" s="2" t="n">
        <v>-6.4284223706695</v>
      </c>
      <c r="F97" s="2" t="n">
        <v>-2.1940355318571</v>
      </c>
      <c r="G97" s="2" t="n">
        <v>39579010.956083</v>
      </c>
      <c r="H97" s="2" t="n">
        <v>8036182.3008374</v>
      </c>
      <c r="I97" s="2" t="n">
        <v>-0.013195761486704</v>
      </c>
      <c r="J97" s="2" t="n">
        <v>-0.012627509406523</v>
      </c>
      <c r="K97" s="2" t="n">
        <v>0.026953176403464</v>
      </c>
      <c r="L97" s="2" t="n">
        <v>-0.44594990261414</v>
      </c>
      <c r="M97" s="2" t="n">
        <v>-0.44861420237008</v>
      </c>
      <c r="N97" s="2" t="n">
        <v>530.1789083493099</v>
      </c>
      <c r="O97" s="2" t="n">
        <v>595.51250955044</v>
      </c>
    </row>
    <row r="98">
      <c r="A98" s="2" t="n">
        <v>9.2086388495975</v>
      </c>
      <c r="B98" s="2" t="n">
        <v>0.026949310653812</v>
      </c>
      <c r="C98" s="2" t="n">
        <v>92.69606222172401</v>
      </c>
      <c r="D98" s="2" t="n">
        <v>0.028933070613873</v>
      </c>
      <c r="E98" s="2" t="n">
        <v>-6.4397888559916</v>
      </c>
      <c r="F98" s="2" t="n">
        <v>-2.1943343791836</v>
      </c>
      <c r="G98" s="2" t="n">
        <v>39900684.874846</v>
      </c>
      <c r="H98" s="2" t="n">
        <v>8090663.5745961</v>
      </c>
      <c r="I98" s="2" t="n">
        <v>-0.013344539852661</v>
      </c>
      <c r="J98" s="2" t="n">
        <v>-0.012769176111563</v>
      </c>
      <c r="K98" s="2" t="n">
        <v>0.027245026236605</v>
      </c>
      <c r="L98" s="2" t="n">
        <v>-0.45180477981596</v>
      </c>
      <c r="M98" s="2" t="n">
        <v>-0.45446510790479</v>
      </c>
      <c r="N98" s="2" t="n">
        <v>530.88877680776</v>
      </c>
      <c r="O98" s="2" t="n">
        <v>596.36524767524</v>
      </c>
    </row>
    <row r="99">
      <c r="A99" s="2" t="n">
        <v>9.3086388495975</v>
      </c>
      <c r="B99" s="2" t="n">
        <v>0.027261039833759</v>
      </c>
      <c r="C99" s="2" t="n">
        <v>92.69596231116</v>
      </c>
      <c r="D99" s="2" t="n">
        <v>0.029248265580685</v>
      </c>
      <c r="E99" s="2" t="n">
        <v>-6.4611097005993</v>
      </c>
      <c r="F99" s="2" t="n">
        <v>-2.193626910187</v>
      </c>
      <c r="G99" s="2" t="n">
        <v>40223104.861017</v>
      </c>
      <c r="H99" s="2" t="n">
        <v>8145258.7826395</v>
      </c>
      <c r="I99" s="2" t="n">
        <v>-0.013493282320842</v>
      </c>
      <c r="J99" s="2" t="n">
        <v>-0.012910796944579</v>
      </c>
      <c r="K99" s="2" t="n">
        <v>0.027536789624469</v>
      </c>
      <c r="L99" s="2" t="n">
        <v>-0.45766816529236</v>
      </c>
      <c r="M99" s="2" t="n">
        <v>-0.46032318909122</v>
      </c>
      <c r="N99" s="2" t="n">
        <v>531.5965396059599</v>
      </c>
      <c r="O99" s="2" t="n">
        <v>597.21509037585</v>
      </c>
    </row>
    <row r="100">
      <c r="A100" s="2" t="n">
        <v>9.4086388495975</v>
      </c>
      <c r="B100" s="2" t="n">
        <v>0.027572736560903</v>
      </c>
      <c r="C100" s="2" t="n">
        <v>92.695863683338</v>
      </c>
      <c r="D100" s="2" t="n">
        <v>0.029563427946574</v>
      </c>
      <c r="E100" s="2" t="n">
        <v>-6.4614861776869</v>
      </c>
      <c r="F100" s="2" t="n">
        <v>-2.21589690273</v>
      </c>
      <c r="G100" s="2" t="n">
        <v>40546266.033219</v>
      </c>
      <c r="H100" s="2" t="n">
        <v>8199967.1008417</v>
      </c>
      <c r="I100" s="2" t="n">
        <v>-0.013641988672449</v>
      </c>
      <c r="J100" s="2" t="n">
        <v>-0.013052371923407</v>
      </c>
      <c r="K100" s="2" t="n">
        <v>0.027828466616612</v>
      </c>
      <c r="L100" s="2" t="n">
        <v>-0.46354346304495</v>
      </c>
      <c r="M100" s="2" t="n">
        <v>-0.46619362717523</v>
      </c>
      <c r="N100" s="2" t="n">
        <v>532.3023199552</v>
      </c>
      <c r="O100" s="2" t="n">
        <v>598.06218878953</v>
      </c>
    </row>
    <row r="101">
      <c r="A101" s="2" t="n">
        <v>9.5086388495974</v>
      </c>
      <c r="B101" s="2" t="n">
        <v>0.027884401432571</v>
      </c>
      <c r="C101" s="2" t="n">
        <v>92.695767186734</v>
      </c>
      <c r="D101" s="2" t="n">
        <v>0.029878558143228</v>
      </c>
      <c r="E101" s="2" t="n">
        <v>-6.4948210939137</v>
      </c>
      <c r="F101" s="2" t="n">
        <v>-2.2271811501984</v>
      </c>
      <c r="G101" s="2" t="n">
        <v>40870164.300468</v>
      </c>
      <c r="H101" s="2" t="n">
        <v>8254787.8393975</v>
      </c>
      <c r="I101" s="2" t="n">
        <v>-0.013790658865372</v>
      </c>
      <c r="J101" s="2" t="n">
        <v>-0.013193901250273</v>
      </c>
      <c r="K101" s="2" t="n">
        <v>0.0281200572719</v>
      </c>
      <c r="L101" s="2" t="n">
        <v>-0.46943140733999</v>
      </c>
      <c r="M101" s="2" t="n">
        <v>-0.47207578450995</v>
      </c>
      <c r="N101" s="2" t="n">
        <v>533.0060720226001</v>
      </c>
      <c r="O101" s="2" t="n">
        <v>598.9065090674</v>
      </c>
    </row>
    <row r="102">
      <c r="A102" s="2" t="n">
        <v>9.6086388495974</v>
      </c>
      <c r="B102" s="2" t="n">
        <v>0.028196034947445</v>
      </c>
      <c r="C102" s="2" t="n">
        <v>92.695671268073</v>
      </c>
      <c r="D102" s="2" t="n">
        <v>0.030193656544747</v>
      </c>
      <c r="E102" s="2" t="n">
        <v>-6.4951964994949</v>
      </c>
      <c r="F102" s="2" t="n">
        <v>-2.2274796731924</v>
      </c>
      <c r="G102" s="2" t="n">
        <v>41194795.159979</v>
      </c>
      <c r="H102" s="2" t="n">
        <v>8309720.2384179</v>
      </c>
      <c r="I102" s="2" t="n">
        <v>-0.013939292542845</v>
      </c>
      <c r="J102" s="2" t="n">
        <v>-0.013335385189371</v>
      </c>
      <c r="K102" s="2" t="n">
        <v>0.028411561636294</v>
      </c>
      <c r="L102" s="2" t="n">
        <v>-0.47532385322832</v>
      </c>
      <c r="M102" s="2" t="n">
        <v>-0.47796439902375</v>
      </c>
      <c r="N102" s="2" t="n">
        <v>533.70784608819</v>
      </c>
      <c r="O102" s="2" t="n">
        <v>599.7481179423399</v>
      </c>
    </row>
    <row r="103">
      <c r="A103" s="2" t="n">
        <v>9.708638849597399</v>
      </c>
      <c r="B103" s="2" t="n">
        <v>0.028507637714117</v>
      </c>
      <c r="C103" s="2" t="n">
        <v>92.69557561493799</v>
      </c>
      <c r="D103" s="2" t="n">
        <v>0.03050872382613</v>
      </c>
      <c r="E103" s="2" t="n">
        <v>-6.4955713461721</v>
      </c>
      <c r="F103" s="2" t="n">
        <v>-2.2277788217373</v>
      </c>
      <c r="G103" s="2" t="n">
        <v>41520154.435464</v>
      </c>
      <c r="H103" s="2" t="n">
        <v>8364763.5921471</v>
      </c>
      <c r="I103" s="2" t="n">
        <v>-0.014087889937792</v>
      </c>
      <c r="J103" s="2" t="n">
        <v>-0.013476823709717</v>
      </c>
      <c r="K103" s="2" t="n">
        <v>0.028702979764529</v>
      </c>
      <c r="L103" s="2" t="n">
        <v>-0.48122878979177</v>
      </c>
      <c r="M103" s="2" t="n">
        <v>-0.48386437521881</v>
      </c>
      <c r="N103" s="2" t="n">
        <v>534.40758753949</v>
      </c>
      <c r="O103" s="2" t="n">
        <v>600.58697475998</v>
      </c>
    </row>
    <row r="104">
      <c r="A104" s="2" t="n">
        <v>9.808638849597401</v>
      </c>
      <c r="B104" s="2" t="n">
        <v>0.028819210484659</v>
      </c>
      <c r="C104" s="2" t="n">
        <v>92.695482653493</v>
      </c>
      <c r="D104" s="2" t="n">
        <v>0.030823760414687</v>
      </c>
      <c r="E104" s="2" t="n">
        <v>-6.484959318141</v>
      </c>
      <c r="F104" s="2" t="n">
        <v>-2.228078590132</v>
      </c>
      <c r="G104" s="2" t="n">
        <v>41846237.745736</v>
      </c>
      <c r="H104" s="2" t="n">
        <v>8419917.1621197</v>
      </c>
      <c r="I104" s="2" t="n">
        <v>-0.01423645090604</v>
      </c>
      <c r="J104" s="2" t="n">
        <v>-0.013618216922097</v>
      </c>
      <c r="K104" s="2" t="n">
        <v>0.028994311707884</v>
      </c>
      <c r="L104" s="2" t="n">
        <v>-0.48714567743493</v>
      </c>
      <c r="M104" s="2" t="n">
        <v>-0.48977644819037</v>
      </c>
      <c r="N104" s="2" t="n">
        <v>535.1053315322</v>
      </c>
      <c r="O104" s="2" t="n">
        <v>601.42313277305</v>
      </c>
    </row>
    <row r="105">
      <c r="A105" s="2" t="n">
        <v>9.9086388495974</v>
      </c>
      <c r="B105" s="2" t="n">
        <v>0.029130753224098</v>
      </c>
      <c r="C105" s="2" t="n">
        <v>92.695391400555</v>
      </c>
      <c r="D105" s="2" t="n">
        <v>0.031138766740444</v>
      </c>
      <c r="E105" s="2" t="n">
        <v>-6.496319442158</v>
      </c>
      <c r="F105" s="2" t="n">
        <v>-2.2283789963067</v>
      </c>
      <c r="G105" s="2" t="n">
        <v>42173040.281927</v>
      </c>
      <c r="H105" s="2" t="n">
        <v>8475180.135379801</v>
      </c>
      <c r="I105" s="2" t="n">
        <v>-0.014384975407733</v>
      </c>
      <c r="J105" s="2" t="n">
        <v>-0.013759564720314</v>
      </c>
      <c r="K105" s="2" t="n">
        <v>0.029285557520044</v>
      </c>
      <c r="L105" s="2" t="n">
        <v>-0.49307172431399</v>
      </c>
      <c r="M105" s="2" t="n">
        <v>-0.49569693140812</v>
      </c>
      <c r="N105" s="2" t="n">
        <v>535.80116668346</v>
      </c>
      <c r="O105" s="2" t="n">
        <v>602.25669437918</v>
      </c>
    </row>
    <row r="106">
      <c r="A106" s="2" t="n">
        <v>10.008638849597</v>
      </c>
      <c r="B106" s="2" t="n">
        <v>0.029442266323018</v>
      </c>
      <c r="C106" s="2" t="n">
        <v>92.69529809777001</v>
      </c>
      <c r="D106" s="2" t="n">
        <v>0.031453743188492</v>
      </c>
      <c r="E106" s="2" t="n">
        <v>-6.5145302338709</v>
      </c>
      <c r="F106" s="2" t="n">
        <v>-2.2328099038754</v>
      </c>
      <c r="G106" s="2" t="n">
        <v>42500557.657108</v>
      </c>
      <c r="H106" s="2" t="n">
        <v>8530551.772660101</v>
      </c>
      <c r="I106" s="2" t="n">
        <v>-0.014533463477611</v>
      </c>
      <c r="J106" s="2" t="n">
        <v>-0.013900867073917</v>
      </c>
      <c r="K106" s="2" t="n">
        <v>0.029576717252379</v>
      </c>
      <c r="L106" s="2" t="n">
        <v>-0.49900673858696</v>
      </c>
      <c r="M106" s="2" t="n">
        <v>-0.50162719669046</v>
      </c>
      <c r="N106" s="2" t="n">
        <v>536.49511784588</v>
      </c>
      <c r="O106" s="2" t="n">
        <v>603.08770643256</v>
      </c>
    </row>
    <row r="107">
      <c r="A107" s="2" t="n">
        <v>10.108638849597</v>
      </c>
      <c r="B107" s="2" t="n">
        <v>0.029753750841187</v>
      </c>
      <c r="C107" s="2" t="n">
        <v>92.69520398502701</v>
      </c>
      <c r="D107" s="2" t="n">
        <v>0.031768690242672</v>
      </c>
      <c r="E107" s="2" t="n">
        <v>-6.558848647541</v>
      </c>
      <c r="F107" s="2" t="n">
        <v>-2.2331111902272</v>
      </c>
      <c r="G107" s="2" t="n">
        <v>42828786.129488</v>
      </c>
      <c r="H107" s="2" t="n">
        <v>8586031.44445</v>
      </c>
      <c r="I107" s="2" t="n">
        <v>-0.014681915326818</v>
      </c>
      <c r="J107" s="2" t="n">
        <v>-0.014042123971653</v>
      </c>
      <c r="K107" s="2" t="n">
        <v>0.029867790955755</v>
      </c>
      <c r="L107" s="2" t="n">
        <v>-0.50495229039311</v>
      </c>
      <c r="M107" s="2" t="n">
        <v>-0.50756779347604</v>
      </c>
      <c r="N107" s="2" t="n">
        <v>537.18711380626</v>
      </c>
      <c r="O107" s="2" t="n">
        <v>603.91612104279</v>
      </c>
    </row>
    <row r="108">
      <c r="A108" s="2" t="n">
        <v>10.208638849597</v>
      </c>
      <c r="B108" s="2" t="n">
        <v>0.03006520643492</v>
      </c>
      <c r="C108" s="2" t="n">
        <v>92.695109365025</v>
      </c>
      <c r="D108" s="2" t="n">
        <v>0.03208360829974</v>
      </c>
      <c r="E108" s="2" t="n">
        <v>-6.5811939181322</v>
      </c>
      <c r="F108" s="2" t="n">
        <v>-2.2334130805209</v>
      </c>
      <c r="G108" s="2" t="n">
        <v>43157720.784114</v>
      </c>
      <c r="H108" s="2" t="n">
        <v>8641618.3218395</v>
      </c>
      <c r="I108" s="2" t="n">
        <v>-0.014830330785362</v>
      </c>
      <c r="J108" s="2" t="n">
        <v>-0.014183335367441</v>
      </c>
      <c r="K108" s="2" t="n">
        <v>0.030158778682793</v>
      </c>
      <c r="L108" s="2" t="n">
        <v>-0.5109069965886101</v>
      </c>
      <c r="M108" s="2" t="n">
        <v>-0.51351755255973</v>
      </c>
      <c r="N108" s="2" t="n">
        <v>537.87728375411</v>
      </c>
      <c r="O108" s="2" t="n">
        <v>604.74205771616</v>
      </c>
    </row>
    <row r="109">
      <c r="A109" s="2" t="n">
        <v>10.308638849597</v>
      </c>
      <c r="B109" s="2" t="n">
        <v>0.030376633738691</v>
      </c>
      <c r="C109" s="2" t="n">
        <v>92.69501418129499</v>
      </c>
      <c r="D109" s="2" t="n">
        <v>0.032398497828631</v>
      </c>
      <c r="E109" s="2" t="n">
        <v>-6.6035387035978</v>
      </c>
      <c r="F109" s="2" t="n">
        <v>-2.2337155503999</v>
      </c>
      <c r="G109" s="2" t="n">
        <v>43487357.551449</v>
      </c>
      <c r="H109" s="2" t="n">
        <v>8697311.7195893</v>
      </c>
      <c r="I109" s="2" t="n">
        <v>-0.014978709876506</v>
      </c>
      <c r="J109" s="2" t="n">
        <v>-0.014324501333723</v>
      </c>
      <c r="K109" s="2" t="n">
        <v>0.030449680484953</v>
      </c>
      <c r="L109" s="2" t="n">
        <v>-0.51687296930573</v>
      </c>
      <c r="M109" s="2" t="n">
        <v>-0.51947786090035</v>
      </c>
      <c r="N109" s="2" t="n">
        <v>538.56560686338</v>
      </c>
      <c r="O109" s="2" t="n">
        <v>605.56552411154</v>
      </c>
    </row>
    <row r="110">
      <c r="A110" s="2" t="n">
        <v>10.408638849597</v>
      </c>
      <c r="B110" s="2" t="n">
        <v>0.030688033065218</v>
      </c>
      <c r="C110" s="2" t="n">
        <v>92.694918503686</v>
      </c>
      <c r="D110" s="2" t="n">
        <v>0.032713359234305</v>
      </c>
      <c r="E110" s="2" t="n">
        <v>-6.6368694120704</v>
      </c>
      <c r="F110" s="2" t="n">
        <v>-2.2230322915419</v>
      </c>
      <c r="G110" s="2" t="n">
        <v>43817691.954223</v>
      </c>
      <c r="H110" s="2" t="n">
        <v>8753110.8825863</v>
      </c>
      <c r="I110" s="2" t="n">
        <v>-0.015127052620028</v>
      </c>
      <c r="J110" s="2" t="n">
        <v>-0.014465621794106</v>
      </c>
      <c r="K110" s="2" t="n">
        <v>0.030740496416705</v>
      </c>
      <c r="L110" s="2" t="n">
        <v>-0.52284919642512</v>
      </c>
      <c r="M110" s="2" t="n">
        <v>-0.52544849121797</v>
      </c>
      <c r="N110" s="2" t="n">
        <v>539.25213601007</v>
      </c>
      <c r="O110" s="2" t="n">
        <v>606.3865875346399</v>
      </c>
    </row>
    <row r="111">
      <c r="A111" s="2" t="n">
        <v>10.508638849597</v>
      </c>
      <c r="B111" s="2" t="n">
        <v>0.030999404842376</v>
      </c>
      <c r="C111" s="2" t="n">
        <v>92.694822443923</v>
      </c>
      <c r="D111" s="2" t="n">
        <v>0.033028192892998</v>
      </c>
      <c r="E111" s="2" t="n">
        <v>-6.6372406706634</v>
      </c>
      <c r="F111" s="2" t="n">
        <v>-2.2343222579528</v>
      </c>
      <c r="G111" s="2" t="n">
        <v>44148719.925955</v>
      </c>
      <c r="H111" s="2" t="n">
        <v>8809015.127305601</v>
      </c>
      <c r="I111" s="2" t="n">
        <v>-0.015275358970475</v>
      </c>
      <c r="J111" s="2" t="n">
        <v>-0.01460669680893</v>
      </c>
      <c r="K111" s="2" t="n">
        <v>0.031031226531799</v>
      </c>
      <c r="L111" s="2" t="n">
        <v>-0.52883224356326</v>
      </c>
      <c r="M111" s="2" t="n">
        <v>-0.5314267611267099</v>
      </c>
      <c r="N111" s="2" t="n">
        <v>539.93688224957</v>
      </c>
      <c r="O111" s="2" t="n">
        <v>607.2052708623499</v>
      </c>
    </row>
    <row r="112">
      <c r="A112" s="2" t="n">
        <v>10.608638849597</v>
      </c>
      <c r="B112" s="2" t="n">
        <v>0.031310749451507</v>
      </c>
      <c r="C112" s="2" t="n">
        <v>92.69472593101101</v>
      </c>
      <c r="D112" s="2" t="n">
        <v>0.033342999102014</v>
      </c>
      <c r="E112" s="2" t="n">
        <v>-6.6815568360164</v>
      </c>
      <c r="F112" s="2" t="n">
        <v>-2.2346264809173</v>
      </c>
      <c r="G112" s="2" t="n">
        <v>44480437.583211</v>
      </c>
      <c r="H112" s="2" t="n">
        <v>8865023.8016493</v>
      </c>
      <c r="I112" s="2" t="n">
        <v>-0.015423628946951</v>
      </c>
      <c r="J112" s="2" t="n">
        <v>-0.014747726411005</v>
      </c>
      <c r="K112" s="2" t="n">
        <v>0.031321870881294</v>
      </c>
      <c r="L112" s="2" t="n">
        <v>-0.53482765343156</v>
      </c>
      <c r="M112" s="2" t="n">
        <v>-0.537416027226</v>
      </c>
      <c r="N112" s="2" t="n">
        <v>540.61985030366</v>
      </c>
      <c r="O112" s="2" t="n">
        <v>608.02158028803</v>
      </c>
    </row>
    <row r="113">
      <c r="A113" s="2" t="n">
        <v>10.708638849597</v>
      </c>
      <c r="B113" s="2" t="n">
        <v>0.031622067253488</v>
      </c>
      <c r="C113" s="2" t="n">
        <v>92.694643928079</v>
      </c>
      <c r="D113" s="2" t="n">
        <v>0.033657778310525</v>
      </c>
      <c r="E113" s="2" t="n">
        <v>-6.6709409099051</v>
      </c>
      <c r="F113" s="2" t="n">
        <v>-2.2349313554106</v>
      </c>
      <c r="G113" s="2" t="n">
        <v>44812841.0171</v>
      </c>
      <c r="H113" s="2" t="n">
        <v>8921136.2498498</v>
      </c>
      <c r="I113" s="2" t="n">
        <v>-0.015571862415979</v>
      </c>
      <c r="J113" s="2" t="n">
        <v>-0.014888710795054</v>
      </c>
      <c r="K113" s="2" t="n">
        <v>0.031612429515896</v>
      </c>
      <c r="L113" s="2" t="n">
        <v>-0.54082998220517</v>
      </c>
      <c r="M113" s="2" t="n">
        <v>-0.54341264157567</v>
      </c>
      <c r="N113" s="2" t="n">
        <v>541.30102491549</v>
      </c>
      <c r="O113" s="2" t="n">
        <v>608.83550687331</v>
      </c>
    </row>
    <row r="114">
      <c r="A114" s="2" t="n">
        <v>10.808638849597</v>
      </c>
      <c r="B114" s="2" t="n">
        <v>0.031933358708718</v>
      </c>
      <c r="C114" s="2" t="n">
        <v>92.694558086364</v>
      </c>
      <c r="D114" s="2" t="n">
        <v>0.033972530893045</v>
      </c>
      <c r="E114" s="2" t="n">
        <v>-6.6846023763104</v>
      </c>
      <c r="F114" s="2" t="n">
        <v>-2.2439042533017</v>
      </c>
      <c r="G114" s="2" t="n">
        <v>45145926.571026</v>
      </c>
      <c r="H114" s="2" t="n">
        <v>8977351.858742701</v>
      </c>
      <c r="I114" s="2" t="n">
        <v>-0.015720059263773</v>
      </c>
      <c r="J114" s="2" t="n">
        <v>-0.015029650180123</v>
      </c>
      <c r="K114" s="2" t="n">
        <v>0.031902902487351</v>
      </c>
      <c r="L114" s="2" t="n">
        <v>-0.54684257854215</v>
      </c>
      <c r="M114" s="2" t="n">
        <v>-0.54941808365387</v>
      </c>
      <c r="N114" s="2" t="n">
        <v>541.98038171315</v>
      </c>
      <c r="O114" s="2" t="n">
        <v>609.64702105383</v>
      </c>
    </row>
    <row r="115">
      <c r="A115" s="2" t="n">
        <v>10.908638849597</v>
      </c>
      <c r="B115" s="2" t="n">
        <v>0.032244623382471</v>
      </c>
      <c r="C115" s="2" t="n">
        <v>92.694468080722</v>
      </c>
      <c r="D115" s="2" t="n">
        <v>0.034287257076703</v>
      </c>
      <c r="E115" s="2" t="n">
        <v>-6.7027361392288</v>
      </c>
      <c r="F115" s="2" t="n">
        <v>-2.2484132012186</v>
      </c>
      <c r="G115" s="2" t="n">
        <v>45479689.486552</v>
      </c>
      <c r="H115" s="2" t="n">
        <v>9033669.828211401</v>
      </c>
      <c r="I115" s="2" t="n">
        <v>-0.015868219268384</v>
      </c>
      <c r="J115" s="2" t="n">
        <v>-0.015170544585846</v>
      </c>
      <c r="K115" s="2" t="n">
        <v>0.032193289849611</v>
      </c>
      <c r="L115" s="2" t="n">
        <v>-0.55286543492364</v>
      </c>
      <c r="M115" s="2" t="n">
        <v>-0.5554352077488</v>
      </c>
      <c r="N115" s="2" t="n">
        <v>542.65805241065</v>
      </c>
      <c r="O115" s="2" t="n">
        <v>610.45627441518</v>
      </c>
    </row>
    <row r="116">
      <c r="A116" s="2" t="n">
        <v>11.008638849597</v>
      </c>
      <c r="B116" s="2" t="n">
        <v>0.032555862167496</v>
      </c>
      <c r="C116" s="2" t="n">
        <v>92.694379705778</v>
      </c>
      <c r="D116" s="2" t="n">
        <v>0.034601957256821</v>
      </c>
      <c r="E116" s="2" t="n">
        <v>-6.7250752467235</v>
      </c>
      <c r="F116" s="2" t="n">
        <v>-2.2487226343469</v>
      </c>
      <c r="G116" s="2" t="n">
        <v>45814126.218139</v>
      </c>
      <c r="H116" s="2" t="n">
        <v>9090089.565179599</v>
      </c>
      <c r="I116" s="2" t="n">
        <v>-0.016016342229098</v>
      </c>
      <c r="J116" s="2" t="n">
        <v>-0.015311394304619</v>
      </c>
      <c r="K116" s="2" t="n">
        <v>0.032483591653619</v>
      </c>
      <c r="L116" s="2" t="n">
        <v>-0.55889618365159</v>
      </c>
      <c r="M116" s="2" t="n">
        <v>-0.56145791357564</v>
      </c>
      <c r="N116" s="2" t="n">
        <v>543.33400183581</v>
      </c>
      <c r="O116" s="2" t="n">
        <v>611.26324115527</v>
      </c>
    </row>
    <row r="117">
      <c r="A117" s="2" t="n">
        <v>11.108638849597</v>
      </c>
      <c r="B117" s="2" t="n">
        <v>0.032867075301531</v>
      </c>
      <c r="C117" s="2" t="n">
        <v>92.694289872686</v>
      </c>
      <c r="D117" s="2" t="n">
        <v>0.034916631759957</v>
      </c>
      <c r="E117" s="2" t="n">
        <v>-6.7254412660899</v>
      </c>
      <c r="F117" s="2" t="n">
        <v>-2.2600189882806</v>
      </c>
      <c r="G117" s="2" t="n">
        <v>46149232.78873</v>
      </c>
      <c r="H117" s="2" t="n">
        <v>9146610.4030835</v>
      </c>
      <c r="I117" s="2" t="n">
        <v>-0.016164427997309</v>
      </c>
      <c r="J117" s="2" t="n">
        <v>-0.015452199488141</v>
      </c>
      <c r="K117" s="2" t="n">
        <v>0.032773807955207</v>
      </c>
      <c r="L117" s="2" t="n">
        <v>-0.56493184028123</v>
      </c>
      <c r="M117" s="2" t="n">
        <v>-0.5674882760837</v>
      </c>
      <c r="N117" s="2" t="n">
        <v>544.0082540242601</v>
      </c>
      <c r="O117" s="2" t="n">
        <v>612.06795896781</v>
      </c>
    </row>
    <row r="118">
      <c r="A118" s="2" t="n">
        <v>11.208638849597</v>
      </c>
      <c r="B118" s="2" t="n">
        <v>0.033178263182295</v>
      </c>
      <c r="C118" s="2" t="n">
        <v>92.69418950889801</v>
      </c>
      <c r="D118" s="2" t="n">
        <v>0.035231281041852</v>
      </c>
      <c r="E118" s="2" t="n">
        <v>-6.7364401837967</v>
      </c>
      <c r="F118" s="2" t="n">
        <v>-2.2690018893518</v>
      </c>
      <c r="G118" s="2" t="n">
        <v>46485005.011791</v>
      </c>
      <c r="H118" s="2" t="n">
        <v>9203231.638138199</v>
      </c>
      <c r="I118" s="2" t="n">
        <v>-0.01631247673369</v>
      </c>
      <c r="J118" s="2" t="n">
        <v>-0.015592960046014</v>
      </c>
      <c r="K118" s="2" t="n">
        <v>0.033063938804201</v>
      </c>
      <c r="L118" s="2" t="n">
        <v>-0.57098172776777</v>
      </c>
      <c r="M118" s="2" t="n">
        <v>-0.57353356226693</v>
      </c>
      <c r="N118" s="2" t="n">
        <v>544.68081633494</v>
      </c>
      <c r="O118" s="2" t="n">
        <v>612.87046081911</v>
      </c>
    </row>
    <row r="119">
      <c r="A119" s="2" t="n">
        <v>11.308638849597</v>
      </c>
      <c r="B119" s="2" t="n">
        <v>0.03348942625486</v>
      </c>
      <c r="C119" s="2" t="n">
        <v>92.694092517139</v>
      </c>
      <c r="D119" s="2" t="n">
        <v>0.03554590539901</v>
      </c>
      <c r="E119" s="2" t="n">
        <v>-6.7477895268628</v>
      </c>
      <c r="F119" s="2" t="n">
        <v>-2.2693162461506</v>
      </c>
      <c r="G119" s="2" t="n">
        <v>46821438.821871</v>
      </c>
      <c r="H119" s="2" t="n">
        <v>9259952.5888453</v>
      </c>
      <c r="I119" s="2" t="n">
        <v>-0.016460488545254</v>
      </c>
      <c r="J119" s="2" t="n">
        <v>-0.015733675820347</v>
      </c>
      <c r="K119" s="2" t="n">
        <v>0.033353984249582</v>
      </c>
      <c r="L119" s="2" t="n">
        <v>-0.5770381091401</v>
      </c>
      <c r="M119" s="2" t="n">
        <v>-0.57958129925292</v>
      </c>
      <c r="N119" s="2" t="n">
        <v>545.3517166378</v>
      </c>
      <c r="O119" s="2" t="n">
        <v>613.67079294659</v>
      </c>
    </row>
    <row r="120">
      <c r="A120" s="2" t="n">
        <v>11.408638849597</v>
      </c>
      <c r="B120" s="2" t="n">
        <v>0.033800564797026</v>
      </c>
      <c r="C120" s="2" t="n">
        <v>92.693995746154</v>
      </c>
      <c r="D120" s="2" t="n">
        <v>0.035860505389129</v>
      </c>
      <c r="E120" s="2" t="n">
        <v>-6.7481522090648</v>
      </c>
      <c r="F120" s="2" t="n">
        <v>-2.2696310905767</v>
      </c>
      <c r="G120" s="2" t="n">
        <v>47158530.023053</v>
      </c>
      <c r="H120" s="2" t="n">
        <v>9316772.5508139</v>
      </c>
      <c r="I120" s="2" t="n">
        <v>-0.016608463297893</v>
      </c>
      <c r="J120" s="2" t="n">
        <v>-0.01587434693278</v>
      </c>
      <c r="K120" s="2" t="n">
        <v>0.033643944345042</v>
      </c>
      <c r="L120" s="2" t="n">
        <v>-0.58310332351823</v>
      </c>
      <c r="M120" s="2" t="n">
        <v>-0.58563884152697</v>
      </c>
      <c r="N120" s="2" t="n">
        <v>546.02099750976</v>
      </c>
      <c r="O120" s="2" t="n">
        <v>614.46900831379</v>
      </c>
    </row>
    <row r="121">
      <c r="A121" s="2" t="n">
        <v>11.508638849597</v>
      </c>
      <c r="B121" s="2" t="n">
        <v>0.034111679927837</v>
      </c>
      <c r="C121" s="2" t="n">
        <v>92.693888458179</v>
      </c>
      <c r="D121" s="2" t="n">
        <v>0.036175081496389</v>
      </c>
      <c r="E121" s="2" t="n">
        <v>-6.7693645831511</v>
      </c>
      <c r="F121" s="2" t="n">
        <v>-2.2688249507139</v>
      </c>
      <c r="G121" s="2" t="n">
        <v>47496275.33993</v>
      </c>
      <c r="H121" s="2" t="n">
        <v>9373690.975651201</v>
      </c>
      <c r="I121" s="2" t="n">
        <v>-0.016756401016699</v>
      </c>
      <c r="J121" s="2" t="n">
        <v>-0.016014973600342</v>
      </c>
      <c r="K121" s="2" t="n">
        <v>0.033933819142092</v>
      </c>
      <c r="L121" s="2" t="n">
        <v>-0.5891751884429099</v>
      </c>
      <c r="M121" s="2" t="n">
        <v>-0.59170409100351</v>
      </c>
      <c r="N121" s="2" t="n">
        <v>546.68856048895</v>
      </c>
      <c r="O121" s="2" t="n">
        <v>615.2650263435</v>
      </c>
    </row>
    <row r="122">
      <c r="A122" s="2" t="n">
        <v>11.608638849597</v>
      </c>
      <c r="B122" s="2" t="n">
        <v>0.034422771421647</v>
      </c>
      <c r="C122" s="2" t="n">
        <v>92.693790010504</v>
      </c>
      <c r="D122" s="2" t="n">
        <v>0.036489634045999</v>
      </c>
      <c r="E122" s="2" t="n">
        <v>-6.7807105432758</v>
      </c>
      <c r="F122" s="2" t="n">
        <v>-2.2691383432543</v>
      </c>
      <c r="G122" s="2" t="n">
        <v>47834670.091197</v>
      </c>
      <c r="H122" s="2" t="n">
        <v>9430707.0784018</v>
      </c>
      <c r="I122" s="2" t="n">
        <v>-0.016904301756603</v>
      </c>
      <c r="J122" s="2" t="n">
        <v>-0.016155555551954</v>
      </c>
      <c r="K122" s="2" t="n">
        <v>0.034223608693335</v>
      </c>
      <c r="L122" s="2" t="n">
        <v>-0.59525696532148</v>
      </c>
      <c r="M122" s="2" t="n">
        <v>-0.59777970333212</v>
      </c>
      <c r="N122" s="2" t="n">
        <v>547.35454233107</v>
      </c>
      <c r="O122" s="2" t="n">
        <v>616.05901684703</v>
      </c>
    </row>
    <row r="123">
      <c r="A123" s="2" t="n">
        <v>11.708638849597</v>
      </c>
      <c r="B123" s="2" t="n">
        <v>0.034733840267838</v>
      </c>
      <c r="C123" s="2" t="n">
        <v>92.69369356375999</v>
      </c>
      <c r="D123" s="2" t="n">
        <v>0.036804163560946</v>
      </c>
      <c r="E123" s="2" t="n">
        <v>-6.7767484400521</v>
      </c>
      <c r="F123" s="2" t="n">
        <v>-2.2847525314775</v>
      </c>
      <c r="G123" s="2" t="n">
        <v>48173710.659126</v>
      </c>
      <c r="H123" s="2" t="n">
        <v>9487820.251915701</v>
      </c>
      <c r="I123" s="2" t="n">
        <v>-0.017052165510374</v>
      </c>
      <c r="J123" s="2" t="n">
        <v>-0.016296092995038</v>
      </c>
      <c r="K123" s="2" t="n">
        <v>0.034513313048967</v>
      </c>
      <c r="L123" s="2" t="n">
        <v>-0.60134897844243</v>
      </c>
      <c r="M123" s="2" t="n">
        <v>-0.60386469604023</v>
      </c>
      <c r="N123" s="2" t="n">
        <v>548.01886846132</v>
      </c>
      <c r="O123" s="2" t="n">
        <v>616.85091290594</v>
      </c>
    </row>
    <row r="124">
      <c r="A124" s="2" t="n">
        <v>11.808638849597</v>
      </c>
      <c r="B124" s="2" t="n">
        <v>0.035044885748168</v>
      </c>
      <c r="C124" s="2" t="n">
        <v>92.69359514161999</v>
      </c>
      <c r="D124" s="2" t="n">
        <v>0.037118670295796</v>
      </c>
      <c r="E124" s="2" t="n">
        <v>-6.7771063838788</v>
      </c>
      <c r="F124" s="2" t="n">
        <v>-2.27408147754</v>
      </c>
      <c r="G124" s="2" t="n">
        <v>48513391.977192</v>
      </c>
      <c r="H124" s="2" t="n">
        <v>9545029.6461413</v>
      </c>
      <c r="I124" s="2" t="n">
        <v>-0.017199991863781</v>
      </c>
      <c r="J124" s="2" t="n">
        <v>-0.016436585966549</v>
      </c>
      <c r="K124" s="2" t="n">
        <v>0.034802932260774</v>
      </c>
      <c r="L124" s="2" t="n">
        <v>-0.6074493915164</v>
      </c>
      <c r="M124" s="2" t="n">
        <v>-0.60995828848427</v>
      </c>
      <c r="N124" s="2" t="n">
        <v>548.68174590083</v>
      </c>
      <c r="O124" s="2" t="n">
        <v>617.64094744635</v>
      </c>
    </row>
    <row r="125">
      <c r="A125" s="2" t="n">
        <v>11.908638849597</v>
      </c>
      <c r="B125" s="2" t="n">
        <v>0.035355909404422</v>
      </c>
      <c r="C125" s="2" t="n">
        <v>92.693496137012</v>
      </c>
      <c r="D125" s="2" t="n">
        <v>0.037433154801436</v>
      </c>
      <c r="E125" s="2" t="n">
        <v>-6.7774639945028</v>
      </c>
      <c r="F125" s="2" t="n">
        <v>-2.2743971575645</v>
      </c>
      <c r="G125" s="2" t="n">
        <v>48853711.287616</v>
      </c>
      <c r="H125" s="2" t="n">
        <v>9602334.80075</v>
      </c>
      <c r="I125" s="2" t="n">
        <v>-0.017347781034725</v>
      </c>
      <c r="J125" s="2" t="n">
        <v>-0.016577034675148</v>
      </c>
      <c r="K125" s="2" t="n">
        <v>0.03509246637907</v>
      </c>
      <c r="L125" s="2" t="n">
        <v>-0.61355583953945</v>
      </c>
      <c r="M125" s="2" t="n">
        <v>-0.61605689062433</v>
      </c>
      <c r="N125" s="2" t="n">
        <v>549.34298787435</v>
      </c>
      <c r="O125" s="2" t="n">
        <v>618.42893895728</v>
      </c>
    </row>
    <row r="126">
      <c r="A126" s="2" t="n">
        <v>12.008638849597</v>
      </c>
      <c r="B126" s="2" t="n">
        <v>0.035666911645234</v>
      </c>
      <c r="C126" s="2" t="n">
        <v>92.693396674208</v>
      </c>
      <c r="D126" s="2" t="n">
        <v>0.037747617490401</v>
      </c>
      <c r="E126" s="2" t="n">
        <v>-6.7778212399346</v>
      </c>
      <c r="F126" s="2" t="n">
        <v>-2.2747132384953</v>
      </c>
      <c r="G126" s="2" t="n">
        <v>49194664.596579</v>
      </c>
      <c r="H126" s="2" t="n">
        <v>9659735.0488069</v>
      </c>
      <c r="I126" s="2" t="n">
        <v>-0.017495532999561</v>
      </c>
      <c r="J126" s="2" t="n">
        <v>-0.016717439080419</v>
      </c>
      <c r="K126" s="2" t="n">
        <v>0.035381915458616</v>
      </c>
      <c r="L126" s="2" t="n">
        <v>-0.61967140608867</v>
      </c>
      <c r="M126" s="2" t="n">
        <v>-0.6221658581654</v>
      </c>
      <c r="N126" s="2" t="n">
        <v>550.0026561233</v>
      </c>
      <c r="O126" s="2" t="n">
        <v>619.21498591562</v>
      </c>
    </row>
    <row r="127">
      <c r="A127" s="2" t="n">
        <v>12.108638849597</v>
      </c>
      <c r="B127" s="2" t="n">
        <v>0.035977892711473</v>
      </c>
      <c r="C127" s="2" t="n">
        <v>92.693301192767</v>
      </c>
      <c r="D127" s="2" t="n">
        <v>0.038062058856451</v>
      </c>
      <c r="E127" s="2" t="n">
        <v>-6.7781781454308</v>
      </c>
      <c r="F127" s="2" t="n">
        <v>-2.2750296935101</v>
      </c>
      <c r="G127" s="2" t="n">
        <v>49536247.833346</v>
      </c>
      <c r="H127" s="2" t="n">
        <v>9717229.7085547</v>
      </c>
      <c r="I127" s="2" t="n">
        <v>-0.017643247626495</v>
      </c>
      <c r="J127" s="2" t="n">
        <v>-0.016857799294869</v>
      </c>
      <c r="K127" s="2" t="n">
        <v>0.03567127954994</v>
      </c>
      <c r="L127" s="2" t="n">
        <v>-0.62579314272812</v>
      </c>
      <c r="M127" s="2" t="n">
        <v>-0.62828113903619</v>
      </c>
      <c r="N127" s="2" t="n">
        <v>550.66078047649</v>
      </c>
      <c r="O127" s="2" t="n">
        <v>619.9991160942</v>
      </c>
    </row>
    <row r="128">
      <c r="A128" s="2" t="n">
        <v>12.208638849597</v>
      </c>
      <c r="B128" s="2" t="n">
        <v>0.036288853206264</v>
      </c>
      <c r="C128" s="2" t="n">
        <v>92.693204935465</v>
      </c>
      <c r="D128" s="2" t="n">
        <v>0.038376479265345</v>
      </c>
      <c r="E128" s="2" t="n">
        <v>-6.7852002336845</v>
      </c>
      <c r="F128" s="2" t="n">
        <v>-2.2796603264937</v>
      </c>
      <c r="G128" s="2" t="n">
        <v>49878457.164405</v>
      </c>
      <c r="H128" s="2" t="n">
        <v>9774818.1395119</v>
      </c>
      <c r="I128" s="2" t="n">
        <v>-0.017790925018277</v>
      </c>
      <c r="J128" s="2" t="n">
        <v>-0.016998115258556</v>
      </c>
      <c r="K128" s="2" t="n">
        <v>0.035960558703689</v>
      </c>
      <c r="L128" s="2" t="n">
        <v>-0.63192735997643</v>
      </c>
      <c r="M128" s="2" t="n">
        <v>-0.63440888104142</v>
      </c>
      <c r="N128" s="2" t="n">
        <v>551.3173748345901</v>
      </c>
      <c r="O128" s="2" t="n">
        <v>620.78138159552</v>
      </c>
    </row>
    <row r="129">
      <c r="A129" s="2" t="n">
        <v>12.308638849597</v>
      </c>
      <c r="B129" s="2" t="n">
        <v>0.036599793117087</v>
      </c>
      <c r="C129" s="2" t="n">
        <v>92.69309682006499</v>
      </c>
      <c r="D129" s="2" t="n">
        <v>0.038690879077413</v>
      </c>
      <c r="E129" s="2" t="n">
        <v>-6.7845866408777</v>
      </c>
      <c r="F129" s="2" t="n">
        <v>-2.2790035281393</v>
      </c>
      <c r="G129" s="2" t="n">
        <v>50221288.239399</v>
      </c>
      <c r="H129" s="2" t="n">
        <v>9832499.6136104</v>
      </c>
      <c r="I129" s="2" t="n">
        <v>-0.017938565101901</v>
      </c>
      <c r="J129" s="2" t="n">
        <v>-0.017138386883124</v>
      </c>
      <c r="K129" s="2" t="n">
        <v>0.036249752968546</v>
      </c>
      <c r="L129" s="2" t="n">
        <v>-0.63806877471176</v>
      </c>
      <c r="M129" s="2" t="n">
        <v>-0.64054333874714</v>
      </c>
      <c r="N129" s="2" t="n">
        <v>551.97252884923</v>
      </c>
      <c r="O129" s="2" t="n">
        <v>621.56187300594</v>
      </c>
    </row>
    <row r="130">
      <c r="A130" s="2" t="n">
        <v>12.408638849597</v>
      </c>
      <c r="B130" s="2" t="n">
        <v>0.03691071336844</v>
      </c>
      <c r="C130" s="2" t="n">
        <v>92.69299163182301</v>
      </c>
      <c r="D130" s="2" t="n">
        <v>0.039005258891199</v>
      </c>
      <c r="E130" s="2" t="n">
        <v>-6.7849403369276</v>
      </c>
      <c r="F130" s="2" t="n">
        <v>-2.2793209175164</v>
      </c>
      <c r="G130" s="2" t="n">
        <v>50564737.9558</v>
      </c>
      <c r="H130" s="2" t="n">
        <v>9890273.613272799</v>
      </c>
      <c r="I130" s="2" t="n">
        <v>-0.018086167862253</v>
      </c>
      <c r="J130" s="2" t="n">
        <v>-0.017278614485649</v>
      </c>
      <c r="K130" s="2" t="n">
        <v>0.036538862397383</v>
      </c>
      <c r="L130" s="2" t="n">
        <v>-0.644217475242</v>
      </c>
      <c r="M130" s="2" t="n">
        <v>-0.64668504762428</v>
      </c>
      <c r="N130" s="2" t="n">
        <v>552.62612749989</v>
      </c>
      <c r="O130" s="2" t="n">
        <v>622.34047940819</v>
      </c>
    </row>
    <row r="131">
      <c r="A131" s="2" t="n">
        <v>12.508638849597</v>
      </c>
      <c r="B131" s="2" t="n">
        <v>0.037221614046884</v>
      </c>
      <c r="C131" s="2" t="n">
        <v>92.692882525374</v>
      </c>
      <c r="D131" s="2" t="n">
        <v>0.039319618949811</v>
      </c>
      <c r="E131" s="2" t="n">
        <v>-6.8072663233313</v>
      </c>
      <c r="F131" s="2" t="n">
        <v>-2.2796386365819</v>
      </c>
      <c r="G131" s="2" t="n">
        <v>50908802.006936</v>
      </c>
      <c r="H131" s="2" t="n">
        <v>9948139.4189525</v>
      </c>
      <c r="I131" s="2" t="n">
        <v>-0.018233733307357</v>
      </c>
      <c r="J131" s="2" t="n">
        <v>-0.01741879787069</v>
      </c>
      <c r="K131" s="2" t="n">
        <v>0.03682788704253</v>
      </c>
      <c r="L131" s="2" t="n">
        <v>-0.65037757247174</v>
      </c>
      <c r="M131" s="2" t="n">
        <v>-0.65283664424381</v>
      </c>
      <c r="N131" s="2" t="n">
        <v>553.27828973481</v>
      </c>
      <c r="O131" s="2" t="n">
        <v>623.11734648658</v>
      </c>
    </row>
    <row r="132">
      <c r="A132" s="2" t="n">
        <v>12.608638849597</v>
      </c>
      <c r="B132" s="2" t="n">
        <v>0.037532495799175</v>
      </c>
      <c r="C132" s="2" t="n">
        <v>92.692773596042</v>
      </c>
      <c r="D132" s="2" t="n">
        <v>0.039633959771113</v>
      </c>
      <c r="E132" s="2" t="n">
        <v>-6.8228072781449</v>
      </c>
      <c r="F132" s="2" t="n">
        <v>-2.2841459014097</v>
      </c>
      <c r="G132" s="2" t="n">
        <v>51253477.197535</v>
      </c>
      <c r="H132" s="2" t="n">
        <v>10006096.498437</v>
      </c>
      <c r="I132" s="2" t="n">
        <v>-0.018381261610245</v>
      </c>
      <c r="J132" s="2" t="n">
        <v>-0.017558937073962</v>
      </c>
      <c r="K132" s="2" t="n">
        <v>0.037116826953437</v>
      </c>
      <c r="L132" s="2" t="n">
        <v>-0.65654385105639</v>
      </c>
      <c r="M132" s="2" t="n">
        <v>-0.65899601648507</v>
      </c>
      <c r="N132" s="2" t="n">
        <v>553.9289341203601</v>
      </c>
      <c r="O132" s="2" t="n">
        <v>623.89237591731</v>
      </c>
    </row>
    <row r="133">
      <c r="A133" s="2" t="n">
        <v>12.708638849597</v>
      </c>
      <c r="B133" s="2" t="n">
        <v>0.037843358988156</v>
      </c>
      <c r="C133" s="2" t="n">
        <v>92.692666291359</v>
      </c>
      <c r="D133" s="2" t="n">
        <v>0.039948281643055</v>
      </c>
      <c r="E133" s="2" t="n">
        <v>-6.834147391424</v>
      </c>
      <c r="F133" s="2" t="n">
        <v>-2.2844654453416</v>
      </c>
      <c r="G133" s="2" t="n">
        <v>51598759.467475</v>
      </c>
      <c r="H133" s="2" t="n">
        <v>10064144.174249</v>
      </c>
      <c r="I133" s="2" t="n">
        <v>-0.018528752872203</v>
      </c>
      <c r="J133" s="2" t="n">
        <v>-0.01769903189992</v>
      </c>
      <c r="K133" s="2" t="n">
        <v>0.037405682183158</v>
      </c>
      <c r="L133" s="2" t="n">
        <v>-0.66271888425056</v>
      </c>
      <c r="M133" s="2" t="n">
        <v>-0.66516372248643</v>
      </c>
      <c r="N133" s="2" t="n">
        <v>554.5781319361899</v>
      </c>
      <c r="O133" s="2" t="n">
        <v>624.6656705033701</v>
      </c>
    </row>
    <row r="134">
      <c r="A134" s="2" t="n">
        <v>12.808638849597</v>
      </c>
      <c r="B134" s="2" t="n">
        <v>0.038154204263146</v>
      </c>
      <c r="C134" s="2" t="n">
        <v>92.692559406084</v>
      </c>
      <c r="D134" s="2" t="n">
        <v>0.040262584975333</v>
      </c>
      <c r="E134" s="2" t="n">
        <v>-6.8345007599965</v>
      </c>
      <c r="F134" s="2" t="n">
        <v>-2.2847853115009</v>
      </c>
      <c r="G134" s="2" t="n">
        <v>51944645.428936</v>
      </c>
      <c r="H134" s="2" t="n">
        <v>10122281.882009</v>
      </c>
      <c r="I134" s="2" t="n">
        <v>-0.018676207281815</v>
      </c>
      <c r="J134" s="2" t="n">
        <v>-0.017839082294311</v>
      </c>
      <c r="K134" s="2" t="n">
        <v>0.037694452777436</v>
      </c>
      <c r="L134" s="2" t="n">
        <v>-0.66890159149426</v>
      </c>
      <c r="M134" s="2" t="n">
        <v>-0.67133918382971</v>
      </c>
      <c r="N134" s="2" t="n">
        <v>555.22583731465</v>
      </c>
      <c r="O134" s="2" t="n">
        <v>625.43718865013</v>
      </c>
    </row>
    <row r="135">
      <c r="A135" s="2" t="n">
        <v>12.908638849597</v>
      </c>
      <c r="B135" s="2" t="n">
        <v>0.038465031712117</v>
      </c>
      <c r="C135" s="2" t="n">
        <v>92.692452635593</v>
      </c>
      <c r="D135" s="2" t="n">
        <v>0.040576870139679</v>
      </c>
      <c r="E135" s="2" t="n">
        <v>-6.8348537381769</v>
      </c>
      <c r="F135" s="2" t="n">
        <v>-2.2851054914107</v>
      </c>
      <c r="G135" s="2" t="n">
        <v>52291131.649976</v>
      </c>
      <c r="H135" s="2" t="n">
        <v>10180509.052232</v>
      </c>
      <c r="I135" s="2" t="n">
        <v>-0.018823624934397</v>
      </c>
      <c r="J135" s="2" t="n">
        <v>-0.017979088234084</v>
      </c>
      <c r="K135" s="2" t="n">
        <v>0.037983138789379</v>
      </c>
      <c r="L135" s="2" t="n">
        <v>-0.67509433857376</v>
      </c>
      <c r="M135" s="2" t="n">
        <v>-0.67752491365568</v>
      </c>
      <c r="N135" s="2" t="n">
        <v>555.87205119494</v>
      </c>
      <c r="O135" s="2" t="n">
        <v>626.20691582679</v>
      </c>
    </row>
    <row r="136">
      <c r="A136" s="2" t="n">
        <v>13.008638849597</v>
      </c>
      <c r="B136" s="2" t="n">
        <v>0.038775841349438</v>
      </c>
      <c r="C136" s="2" t="n">
        <v>92.692345765841</v>
      </c>
      <c r="D136" s="2" t="n">
        <v>0.040891137428385</v>
      </c>
      <c r="E136" s="2" t="n">
        <v>-6.8352063475562</v>
      </c>
      <c r="F136" s="2" t="n">
        <v>-2.2854259683593</v>
      </c>
      <c r="G136" s="2" t="n">
        <v>52638214.06389</v>
      </c>
      <c r="H136" s="2" t="n">
        <v>10238825.0066</v>
      </c>
      <c r="I136" s="2" t="n">
        <v>-0.018971005789377</v>
      </c>
      <c r="J136" s="2" t="n">
        <v>-0.018119049588968</v>
      </c>
      <c r="K136" s="2" t="n">
        <v>0.038271740268903</v>
      </c>
      <c r="L136" s="2" t="n">
        <v>-0.68129758581405</v>
      </c>
      <c r="M136" s="2" t="n">
        <v>-0.683719266897</v>
      </c>
      <c r="N136" s="2" t="n">
        <v>556.5168741367499</v>
      </c>
      <c r="O136" s="2" t="n">
        <v>626.97496213848</v>
      </c>
    </row>
    <row r="137">
      <c r="A137" s="2" t="n">
        <v>13.108638849597</v>
      </c>
      <c r="B137" s="2" t="n">
        <v>0.039086633070133</v>
      </c>
      <c r="C137" s="2" t="n">
        <v>92.692238688139</v>
      </c>
      <c r="D137" s="2" t="n">
        <v>0.041205387048852</v>
      </c>
      <c r="E137" s="2" t="n">
        <v>-6.8575311982565</v>
      </c>
      <c r="F137" s="2" t="n">
        <v>-2.2857467513857</v>
      </c>
      <c r="G137" s="2" t="n">
        <v>52985888.494688</v>
      </c>
      <c r="H137" s="2" t="n">
        <v>10297229.048321</v>
      </c>
      <c r="I137" s="2" t="n">
        <v>-0.019118349754359</v>
      </c>
      <c r="J137" s="2" t="n">
        <v>-0.018258966248404</v>
      </c>
      <c r="K137" s="2" t="n">
        <v>0.038560257264817</v>
      </c>
      <c r="L137" s="2" t="n">
        <v>-0.68750450642061</v>
      </c>
      <c r="M137" s="2" t="n">
        <v>-0.68991880430417</v>
      </c>
      <c r="N137" s="2" t="n">
        <v>557.16041738765</v>
      </c>
      <c r="O137" s="2" t="n">
        <v>627.7414502064699</v>
      </c>
    </row>
    <row r="138">
      <c r="A138" s="2" t="n">
        <v>13.208638849597</v>
      </c>
      <c r="B138" s="2" t="n">
        <v>0.039397408330267</v>
      </c>
      <c r="C138" s="2" t="n">
        <v>92.692134326423</v>
      </c>
      <c r="D138" s="2" t="n">
        <v>0.041519619467407</v>
      </c>
      <c r="E138" s="2" t="n">
        <v>-6.8688692906833</v>
      </c>
      <c r="F138" s="2" t="n">
        <v>-2.2860678546219</v>
      </c>
      <c r="G138" s="2" t="n">
        <v>53334153.124289</v>
      </c>
      <c r="H138" s="2" t="n">
        <v>10355720.880312</v>
      </c>
      <c r="I138" s="2" t="n">
        <v>-0.0192656573813</v>
      </c>
      <c r="J138" s="2" t="n">
        <v>-0.01839883832175</v>
      </c>
      <c r="K138" s="2" t="n">
        <v>0.038848689827795</v>
      </c>
      <c r="L138" s="2" t="n">
        <v>-0.69372288555189</v>
      </c>
      <c r="M138" s="2" t="n">
        <v>-0.69612838352972</v>
      </c>
      <c r="N138" s="2" t="n">
        <v>557.80240061995</v>
      </c>
      <c r="O138" s="2" t="n">
        <v>628.5060917603601</v>
      </c>
    </row>
    <row r="139">
      <c r="A139" s="2" t="n">
        <v>13.308638849597</v>
      </c>
      <c r="B139" s="2" t="n">
        <v>0.039708166119299</v>
      </c>
      <c r="C139" s="2" t="n">
        <v>92.692030723266</v>
      </c>
      <c r="D139" s="2" t="n">
        <v>0.041833834794203</v>
      </c>
      <c r="E139" s="2" t="n">
        <v>-6.8802069411505</v>
      </c>
      <c r="F139" s="2" t="n">
        <v>-2.2863892494533</v>
      </c>
      <c r="G139" s="2" t="n">
        <v>53683002.600938</v>
      </c>
      <c r="H139" s="2" t="n">
        <v>10414299.606357</v>
      </c>
      <c r="I139" s="2" t="n">
        <v>-0.019412928337274</v>
      </c>
      <c r="J139" s="2" t="n">
        <v>-0.018538665583955</v>
      </c>
      <c r="K139" s="2" t="n">
        <v>0.039137038009598</v>
      </c>
      <c r="L139" s="2" t="n">
        <v>-0.6999488032919</v>
      </c>
      <c r="M139" s="2" t="n">
        <v>-0.70234677483548</v>
      </c>
      <c r="N139" s="2" t="n">
        <v>558.4431102657099</v>
      </c>
      <c r="O139" s="2" t="n">
        <v>629.269185786</v>
      </c>
    </row>
    <row r="140">
      <c r="A140" s="2" t="n">
        <v>13.408638849597</v>
      </c>
      <c r="B140" s="2" t="n">
        <v>0.040018907784788</v>
      </c>
      <c r="C140" s="2" t="n">
        <v>92.691925218913</v>
      </c>
      <c r="D140" s="2" t="n">
        <v>0.042148033530734</v>
      </c>
      <c r="E140" s="2" t="n">
        <v>-6.8872500828095</v>
      </c>
      <c r="F140" s="2" t="n">
        <v>-2.2909980707715</v>
      </c>
      <c r="G140" s="2" t="n">
        <v>54032434.624847</v>
      </c>
      <c r="H140" s="2" t="n">
        <v>10472964.84915</v>
      </c>
      <c r="I140" s="2" t="n">
        <v>-0.019560162866025</v>
      </c>
      <c r="J140" s="2" t="n">
        <v>-0.01867844816863</v>
      </c>
      <c r="K140" s="2" t="n">
        <v>0.039425301859283</v>
      </c>
      <c r="L140" s="2" t="n">
        <v>-0.70618575298485</v>
      </c>
      <c r="M140" s="2" t="n">
        <v>-0.7085741931303</v>
      </c>
      <c r="N140" s="2" t="n">
        <v>559.08239093434</v>
      </c>
      <c r="O140" s="2" t="n">
        <v>630.03058947205</v>
      </c>
    </row>
    <row r="141">
      <c r="A141" s="2" t="n">
        <v>13.508638849597</v>
      </c>
      <c r="B141" s="2" t="n">
        <v>0.040329633208322</v>
      </c>
      <c r="C141" s="2" t="n">
        <v>92.69181846447</v>
      </c>
      <c r="D141" s="2" t="n">
        <v>0.042462215886612</v>
      </c>
      <c r="E141" s="2" t="n">
        <v>-6.9095728305234</v>
      </c>
      <c r="F141" s="2" t="n">
        <v>-2.2913205487988</v>
      </c>
      <c r="G141" s="2" t="n">
        <v>54382445.379284</v>
      </c>
      <c r="H141" s="2" t="n">
        <v>10531715.974817</v>
      </c>
      <c r="I141" s="2" t="n">
        <v>-0.019707360875941</v>
      </c>
      <c r="J141" s="2" t="n">
        <v>-0.018818186027397</v>
      </c>
      <c r="K141" s="2" t="n">
        <v>0.039713481427803</v>
      </c>
      <c r="L141" s="2" t="n">
        <v>-0.7124275156211201</v>
      </c>
      <c r="M141" s="2" t="n">
        <v>-0.71480898357713</v>
      </c>
      <c r="N141" s="2" t="n">
        <v>559.7203240897099</v>
      </c>
      <c r="O141" s="2" t="n">
        <v>630.79037708207</v>
      </c>
    </row>
    <row r="142">
      <c r="A142" s="2" t="n">
        <v>13.608638849597</v>
      </c>
      <c r="B142" s="2" t="n">
        <v>0.040640342953943</v>
      </c>
      <c r="C142" s="2" t="n">
        <v>92.691709993465</v>
      </c>
      <c r="D142" s="2" t="n">
        <v>0.042776382235402</v>
      </c>
      <c r="E142" s="2" t="n">
        <v>-6.9029071712034</v>
      </c>
      <c r="F142" s="2" t="n">
        <v>-2.2956081624873</v>
      </c>
      <c r="G142" s="2" t="n">
        <v>54733031.778485</v>
      </c>
      <c r="H142" s="2" t="n">
        <v>10590552.471247</v>
      </c>
      <c r="I142" s="2" t="n">
        <v>-0.019854522601889</v>
      </c>
      <c r="J142" s="2" t="n">
        <v>-0.018957879119999</v>
      </c>
      <c r="K142" s="2" t="n">
        <v>0.040001576765043</v>
      </c>
      <c r="L142" s="2" t="n">
        <v>-0.71867723822552</v>
      </c>
      <c r="M142" s="2" t="n">
        <v>-0.72104884420527</v>
      </c>
      <c r="N142" s="2" t="n">
        <v>560.35684063</v>
      </c>
      <c r="O142" s="2" t="n">
        <v>631.54847929467</v>
      </c>
    </row>
    <row r="143">
      <c r="A143" s="2" t="n">
        <v>13.708638849597</v>
      </c>
      <c r="B143" s="2" t="n">
        <v>0.040951037547678</v>
      </c>
      <c r="C143" s="2" t="n">
        <v>92.69160163671501</v>
      </c>
      <c r="D143" s="2" t="n">
        <v>0.043090532865031</v>
      </c>
      <c r="E143" s="2" t="n">
        <v>-6.9210938588026</v>
      </c>
      <c r="F143" s="2" t="n">
        <v>-2.3000613886433</v>
      </c>
      <c r="G143" s="2" t="n">
        <v>55084190.479647</v>
      </c>
      <c r="H143" s="2" t="n">
        <v>10649473.783847</v>
      </c>
      <c r="I143" s="2" t="n">
        <v>-0.020001648071794</v>
      </c>
      <c r="J143" s="2" t="n">
        <v>-0.019097527538323</v>
      </c>
      <c r="K143" s="2" t="n">
        <v>0.040289587921986</v>
      </c>
      <c r="L143" s="2" t="n">
        <v>-0.7249377903174</v>
      </c>
      <c r="M143" s="2" t="n">
        <v>-0.7273005312816</v>
      </c>
      <c r="N143" s="2" t="n">
        <v>560.99191917094</v>
      </c>
      <c r="O143" s="2" t="n">
        <v>632.30489128111</v>
      </c>
    </row>
    <row r="144">
      <c r="A144" s="2" t="n">
        <v>13.808638849597</v>
      </c>
      <c r="B144" s="2" t="n">
        <v>0.041261716635203</v>
      </c>
      <c r="C144" s="2" t="n">
        <v>92.69148176146</v>
      </c>
      <c r="D144" s="2" t="n">
        <v>0.043404667955838</v>
      </c>
      <c r="E144" s="2" t="n">
        <v>-6.9203998309197</v>
      </c>
      <c r="F144" s="2" t="n">
        <v>-2.3213390032508</v>
      </c>
      <c r="G144" s="2" t="n">
        <v>55435917.502321</v>
      </c>
      <c r="H144" s="2" t="n">
        <v>10708479.250714</v>
      </c>
      <c r="I144" s="2" t="n">
        <v>-0.020148737154834</v>
      </c>
      <c r="J144" s="2" t="n">
        <v>-0.019237131222067</v>
      </c>
      <c r="K144" s="2" t="n">
        <v>0.040577514946809</v>
      </c>
      <c r="L144" s="2" t="n">
        <v>-0.73120762518788</v>
      </c>
      <c r="M144" s="2" t="n">
        <v>-0.73355893582434</v>
      </c>
      <c r="N144" s="2" t="n">
        <v>561.62566610634</v>
      </c>
      <c r="O144" s="2" t="n">
        <v>633.05971376285</v>
      </c>
    </row>
    <row r="145">
      <c r="A145" s="2" t="n">
        <v>13.908638849597</v>
      </c>
      <c r="B145" s="2" t="n">
        <v>0.041572380518187</v>
      </c>
      <c r="C145" s="2" t="n">
        <v>92.691361916457</v>
      </c>
      <c r="D145" s="2" t="n">
        <v>0.043718787775795</v>
      </c>
      <c r="E145" s="2" t="n">
        <v>-6.9317332386456</v>
      </c>
      <c r="F145" s="2" t="n">
        <v>-2.3216605109761</v>
      </c>
      <c r="G145" s="2" t="n">
        <v>55788209.512952</v>
      </c>
      <c r="H145" s="2" t="n">
        <v>10767568.320387</v>
      </c>
      <c r="I145" s="2" t="n">
        <v>-0.020295789808813</v>
      </c>
      <c r="J145" s="2" t="n">
        <v>-0.01937669018708</v>
      </c>
      <c r="K145" s="2" t="n">
        <v>0.04086535788987</v>
      </c>
      <c r="L145" s="2" t="n">
        <v>-0.73748225870825</v>
      </c>
      <c r="M145" s="2" t="n">
        <v>-0.73982687717074</v>
      </c>
      <c r="N145" s="2" t="n">
        <v>562.25811549227</v>
      </c>
      <c r="O145" s="2" t="n">
        <v>633.81299813255</v>
      </c>
    </row>
    <row r="146">
      <c r="A146" s="2" t="n">
        <v>14.008638849597</v>
      </c>
      <c r="B146" s="2" t="n">
        <v>0.041883029462764</v>
      </c>
      <c r="C146" s="2" t="n">
        <v>92.69123569991</v>
      </c>
      <c r="D146" s="2" t="n">
        <v>0.044032892664048</v>
      </c>
      <c r="E146" s="2" t="n">
        <v>-6.9620609579767</v>
      </c>
      <c r="F146" s="2" t="n">
        <v>-2.3299753743849</v>
      </c>
      <c r="G146" s="2" t="n">
        <v>56141063.398568</v>
      </c>
      <c r="H146" s="2" t="n">
        <v>10826740.477025</v>
      </c>
      <c r="I146" s="2" t="n">
        <v>-0.020442806199734</v>
      </c>
      <c r="J146" s="2" t="n">
        <v>-0.019516204456056</v>
      </c>
      <c r="K146" s="2" t="n">
        <v>0.041153116802849</v>
      </c>
      <c r="L146" s="2" t="n">
        <v>-0.7437652474442999</v>
      </c>
      <c r="M146" s="2" t="n">
        <v>-0.74610174756473</v>
      </c>
      <c r="N146" s="2" t="n">
        <v>562.88920464059</v>
      </c>
      <c r="O146" s="2" t="n">
        <v>634.5646653761499</v>
      </c>
    </row>
    <row r="147">
      <c r="A147" s="2" t="n">
        <v>14.108638849597</v>
      </c>
      <c r="B147" s="2" t="n">
        <v>0.042193663621615</v>
      </c>
      <c r="C147" s="2" t="n">
        <v>92.691116241922</v>
      </c>
      <c r="D147" s="2" t="n">
        <v>0.044346982827535</v>
      </c>
      <c r="E147" s="2" t="n">
        <v>-6.9624072464689</v>
      </c>
      <c r="F147" s="2" t="n">
        <v>-2.3302974572506</v>
      </c>
      <c r="G147" s="2" t="n">
        <v>56494475.312755</v>
      </c>
      <c r="H147" s="2" t="n">
        <v>10885995.082594</v>
      </c>
      <c r="I147" s="2" t="n">
        <v>-0.020589786234944</v>
      </c>
      <c r="J147" s="2" t="n">
        <v>-0.019655673964196</v>
      </c>
      <c r="K147" s="2" t="n">
        <v>0.041440791733363</v>
      </c>
      <c r="L147" s="2" t="n">
        <v>-0.75005724004776</v>
      </c>
      <c r="M147" s="2" t="n">
        <v>-0.7523852995932701</v>
      </c>
      <c r="N147" s="2" t="n">
        <v>563.51903230991</v>
      </c>
      <c r="O147" s="2" t="n">
        <v>635.31483394563</v>
      </c>
    </row>
    <row r="148">
      <c r="A148" s="2" t="n">
        <v>14.208638849597</v>
      </c>
      <c r="B148" s="2" t="n">
        <v>0.042504283276706</v>
      </c>
      <c r="C148" s="2" t="n">
        <v>92.69099820309999</v>
      </c>
      <c r="D148" s="2" t="n">
        <v>0.044661058595276</v>
      </c>
      <c r="E148" s="2" t="n">
        <v>-6.9737395021192</v>
      </c>
      <c r="F148" s="2" t="n">
        <v>-2.3306198968548</v>
      </c>
      <c r="G148" s="2" t="n">
        <v>56848442.060998</v>
      </c>
      <c r="H148" s="2" t="n">
        <v>10945331.60755</v>
      </c>
      <c r="I148" s="2" t="n">
        <v>-0.020736729817335</v>
      </c>
      <c r="J148" s="2" t="n">
        <v>-0.019795098841054</v>
      </c>
      <c r="K148" s="2" t="n">
        <v>0.041728382728941</v>
      </c>
      <c r="L148" s="2" t="n">
        <v>-0.7563561624134</v>
      </c>
      <c r="M148" s="2" t="n">
        <v>-0.7586748373488</v>
      </c>
      <c r="N148" s="2" t="n">
        <v>564.14760081545</v>
      </c>
      <c r="O148" s="2" t="n">
        <v>636.06350274607</v>
      </c>
    </row>
    <row r="149">
      <c r="A149" s="2" t="n">
        <v>14.308638849597</v>
      </c>
      <c r="B149" s="2" t="n">
        <v>0.04281488901946</v>
      </c>
      <c r="C149" s="2" t="n">
        <v>92.690880787322</v>
      </c>
      <c r="D149" s="2" t="n">
        <v>0.044975120265362</v>
      </c>
      <c r="E149" s="2" t="n">
        <v>-6.9850714341955</v>
      </c>
      <c r="F149" s="2" t="n">
        <v>-2.3089700069958</v>
      </c>
      <c r="G149" s="2" t="n">
        <v>57202960.617436</v>
      </c>
      <c r="H149" s="2" t="n">
        <v>11004749.551461</v>
      </c>
      <c r="I149" s="2" t="n">
        <v>-0.020883637082281</v>
      </c>
      <c r="J149" s="2" t="n">
        <v>-0.019934479181401</v>
      </c>
      <c r="K149" s="2" t="n">
        <v>0.042015889838049</v>
      </c>
      <c r="L149" s="2" t="n">
        <v>-0.76266705912905</v>
      </c>
      <c r="M149" s="2" t="n">
        <v>-0.76497668480353</v>
      </c>
      <c r="N149" s="2" t="n">
        <v>564.77483547555</v>
      </c>
      <c r="O149" s="2" t="n">
        <v>636.8106105916301</v>
      </c>
    </row>
    <row r="150">
      <c r="A150" s="2" t="n">
        <v>14.408638849597</v>
      </c>
      <c r="B150" s="2" t="n">
        <v>0.043125480917716</v>
      </c>
      <c r="C150" s="2" t="n">
        <v>92.690763658028</v>
      </c>
      <c r="D150" s="2" t="n">
        <v>0.045289168112506</v>
      </c>
      <c r="E150" s="2" t="n">
        <v>-7.018375706465</v>
      </c>
      <c r="F150" s="2" t="n">
        <v>-2.3092930981601</v>
      </c>
      <c r="G150" s="2" t="n">
        <v>57558027.670169</v>
      </c>
      <c r="H150" s="2" t="n">
        <v>11064248.366268</v>
      </c>
      <c r="I150" s="2" t="n">
        <v>-0.021030507985673</v>
      </c>
      <c r="J150" s="2" t="n">
        <v>-0.020073814990673</v>
      </c>
      <c r="K150" s="2" t="n">
        <v>0.042303313114673</v>
      </c>
      <c r="L150" s="2" t="n">
        <v>-0.76898400807176</v>
      </c>
      <c r="M150" s="2" t="n">
        <v>-0.77128446649503</v>
      </c>
      <c r="N150" s="2" t="n">
        <v>565.4007702914</v>
      </c>
      <c r="O150" s="2" t="n">
        <v>637.55617878313</v>
      </c>
    </row>
    <row r="151">
      <c r="A151" s="2" t="n">
        <v>14.508638849597</v>
      </c>
      <c r="B151" s="2" t="n">
        <v>0.043436059406551</v>
      </c>
      <c r="C151" s="2" t="n">
        <v>92.690649049225</v>
      </c>
      <c r="D151" s="2" t="n">
        <v>0.045603202470873</v>
      </c>
      <c r="E151" s="2" t="n">
        <v>-7.0297069366101</v>
      </c>
      <c r="F151" s="2" t="n">
        <v>-2.309616529149</v>
      </c>
      <c r="G151" s="2" t="n">
        <v>57913639.755899</v>
      </c>
      <c r="H151" s="2" t="n">
        <v>11123827.477743</v>
      </c>
      <c r="I151" s="2" t="n">
        <v>-0.021177342435671</v>
      </c>
      <c r="J151" s="2" t="n">
        <v>-0.020213106382485</v>
      </c>
      <c r="K151" s="2" t="n">
        <v>0.042590652605705</v>
      </c>
      <c r="L151" s="2" t="n">
        <v>-0.77530804520472</v>
      </c>
      <c r="M151" s="2" t="n">
        <v>-0.77759901050613</v>
      </c>
      <c r="N151" s="2" t="n">
        <v>566.02541557529</v>
      </c>
      <c r="O151" s="2" t="n">
        <v>638.30022904537</v>
      </c>
    </row>
    <row r="152">
      <c r="A152" s="2" t="n">
        <v>14.608638849597</v>
      </c>
      <c r="B152" s="2" t="n">
        <v>0.043746624565378</v>
      </c>
      <c r="C152" s="2" t="n">
        <v>92.690536401382</v>
      </c>
      <c r="D152" s="2" t="n">
        <v>0.045917223500812</v>
      </c>
      <c r="E152" s="2" t="n">
        <v>-7.0300515205793</v>
      </c>
      <c r="F152" s="2" t="n">
        <v>-2.2989539216124</v>
      </c>
      <c r="G152" s="2" t="n">
        <v>58269793.426913</v>
      </c>
      <c r="H152" s="2" t="n">
        <v>11183486.315546</v>
      </c>
      <c r="I152" s="2" t="n">
        <v>-0.021324140451677</v>
      </c>
      <c r="J152" s="2" t="n">
        <v>-0.020352353315562</v>
      </c>
      <c r="K152" s="2" t="n">
        <v>0.042877908361775</v>
      </c>
      <c r="L152" s="2" t="n">
        <v>-0.78163908998801</v>
      </c>
      <c r="M152" s="2" t="n">
        <v>-0.78392222481129</v>
      </c>
      <c r="N152" s="2" t="n">
        <v>566.6488073013199</v>
      </c>
      <c r="O152" s="2" t="n">
        <v>639.04281700685</v>
      </c>
    </row>
    <row r="153">
      <c r="A153" s="2" t="n">
        <v>14.708638849597</v>
      </c>
      <c r="B153" s="2" t="n">
        <v>0.044057176764406</v>
      </c>
      <c r="C153" s="2" t="n">
        <v>92.690421805612</v>
      </c>
      <c r="D153" s="2" t="n">
        <v>0.046231231542465</v>
      </c>
      <c r="E153" s="2" t="n">
        <v>-7.0263139068348</v>
      </c>
      <c r="F153" s="2" t="n">
        <v>-2.3033532767998</v>
      </c>
      <c r="G153" s="2" t="n">
        <v>58626485.853794</v>
      </c>
      <c r="H153" s="2" t="n">
        <v>11243224.414095</v>
      </c>
      <c r="I153" s="2" t="n">
        <v>-0.02147090200054</v>
      </c>
      <c r="J153" s="2" t="n">
        <v>-0.020491555959959</v>
      </c>
      <c r="K153" s="2" t="n">
        <v>0.043165080428509</v>
      </c>
      <c r="L153" s="2" t="n">
        <v>-0.787978589114</v>
      </c>
      <c r="M153" s="2" t="n">
        <v>-0.7902529040033101</v>
      </c>
      <c r="N153" s="2" t="n">
        <v>567.27090507908</v>
      </c>
      <c r="O153" s="2" t="n">
        <v>639.78389762833</v>
      </c>
    </row>
    <row r="154">
      <c r="A154" s="2" t="n">
        <v>14.808638849597</v>
      </c>
      <c r="B154" s="2" t="n">
        <v>0.044367716198839</v>
      </c>
      <c r="C154" s="2" t="n">
        <v>92.690306519397</v>
      </c>
      <c r="D154" s="2" t="n">
        <v>0.046545226882769</v>
      </c>
      <c r="E154" s="2" t="n">
        <v>-7.026658250192</v>
      </c>
      <c r="F154" s="2" t="n">
        <v>-2.3036772289704</v>
      </c>
      <c r="G154" s="2" t="n">
        <v>58983713.52616</v>
      </c>
      <c r="H154" s="2" t="n">
        <v>11303041.193053</v>
      </c>
      <c r="I154" s="2" t="n">
        <v>-0.021617627054727</v>
      </c>
      <c r="J154" s="2" t="n">
        <v>-0.020630714278145</v>
      </c>
      <c r="K154" s="2" t="n">
        <v>0.043452168854738</v>
      </c>
      <c r="L154" s="2" t="n">
        <v>-0.79432762617084</v>
      </c>
      <c r="M154" s="2" t="n">
        <v>-0.79659322717457</v>
      </c>
      <c r="N154" s="2" t="n">
        <v>567.89176289787</v>
      </c>
      <c r="O154" s="2" t="n">
        <v>640.52352217461</v>
      </c>
    </row>
    <row r="155">
      <c r="A155" s="2" t="n">
        <v>14.908638849597</v>
      </c>
      <c r="B155" s="2" t="n">
        <v>0.044678243433628</v>
      </c>
      <c r="C155" s="2" t="n">
        <v>92.690195214211</v>
      </c>
      <c r="D155" s="2" t="n">
        <v>0.046859209802726</v>
      </c>
      <c r="E155" s="2" t="n">
        <v>-7.0270022754287</v>
      </c>
      <c r="F155" s="2" t="n">
        <v>-2.3040015153247</v>
      </c>
      <c r="G155" s="2" t="n">
        <v>59341473.519798</v>
      </c>
      <c r="H155" s="2" t="n">
        <v>11362936.169643</v>
      </c>
      <c r="I155" s="2" t="n">
        <v>-0.021764315695687</v>
      </c>
      <c r="J155" s="2" t="n">
        <v>-0.020769828357376</v>
      </c>
      <c r="K155" s="2" t="n">
        <v>0.043739173690927</v>
      </c>
      <c r="L155" s="2" t="n">
        <v>-0.8006846048309399</v>
      </c>
      <c r="M155" s="2" t="n">
        <v>-0.80294148098785</v>
      </c>
      <c r="N155" s="2" t="n">
        <v>568.51132278434</v>
      </c>
      <c r="O155" s="2" t="n">
        <v>641.26163957426</v>
      </c>
    </row>
    <row r="156">
      <c r="A156" s="2" t="n">
        <v>15.008638849597</v>
      </c>
      <c r="B156" s="2" t="n">
        <v>0.044988758429288</v>
      </c>
      <c r="C156" s="2" t="n">
        <v>92.690055907966</v>
      </c>
      <c r="D156" s="2" t="n">
        <v>0.04717318052173</v>
      </c>
      <c r="E156" s="2" t="n">
        <v>-7.0418031640804</v>
      </c>
      <c r="F156" s="2" t="n">
        <v>-2.3163544954194</v>
      </c>
      <c r="G156" s="2" t="n">
        <v>59699762.307188</v>
      </c>
      <c r="H156" s="2" t="n">
        <v>11422908.760098</v>
      </c>
      <c r="I156" s="2" t="n">
        <v>-0.021910967955764</v>
      </c>
      <c r="J156" s="2" t="n">
        <v>-0.020908898091959</v>
      </c>
      <c r="K156" s="2" t="n">
        <v>0.044026094986054</v>
      </c>
      <c r="L156" s="2" t="n">
        <v>-0.8070481505919</v>
      </c>
      <c r="M156" s="2" t="n">
        <v>-0.80929680412585</v>
      </c>
      <c r="N156" s="2" t="n">
        <v>569.12963472411</v>
      </c>
      <c r="O156" s="2" t="n">
        <v>641.99829843271</v>
      </c>
    </row>
    <row r="157">
      <c r="A157" s="2" t="n">
        <v>15.108638849597</v>
      </c>
      <c r="B157" s="2" t="n">
        <v>0.045299261455255</v>
      </c>
      <c r="C157" s="2" t="n">
        <v>92.68992132685</v>
      </c>
      <c r="D157" s="2" t="n">
        <v>0.047487139282493</v>
      </c>
      <c r="E157" s="2" t="n">
        <v>-7.0571993007462</v>
      </c>
      <c r="F157" s="2" t="n">
        <v>-2.3207424925384</v>
      </c>
      <c r="G157" s="2" t="n">
        <v>60058576.840037</v>
      </c>
      <c r="H157" s="2" t="n">
        <v>11482958.463328</v>
      </c>
      <c r="I157" s="2" t="n">
        <v>-0.022057583873314</v>
      </c>
      <c r="J157" s="2" t="n">
        <v>-0.02104792348733</v>
      </c>
      <c r="K157" s="2" t="n">
        <v>0.044312932788711</v>
      </c>
      <c r="L157" s="2" t="n">
        <v>-0.81341962403615</v>
      </c>
      <c r="M157" s="2" t="n">
        <v>-0.81566179137767</v>
      </c>
      <c r="N157" s="2" t="n">
        <v>569.74670930762</v>
      </c>
      <c r="O157" s="2" t="n">
        <v>642.73352118422</v>
      </c>
    </row>
    <row r="158">
      <c r="A158" s="2" t="n">
        <v>15.208638849597</v>
      </c>
      <c r="B158" s="2" t="n">
        <v>0.045609752137856</v>
      </c>
      <c r="C158" s="2" t="n">
        <v>92.689793676965</v>
      </c>
      <c r="D158" s="2" t="n">
        <v>0.047801086174822</v>
      </c>
      <c r="E158" s="2" t="n">
        <v>-7.0685292462934</v>
      </c>
      <c r="F158" s="2" t="n">
        <v>-2.3100832934671</v>
      </c>
      <c r="G158" s="2" t="n">
        <v>60417913.280861</v>
      </c>
      <c r="H158" s="2" t="n">
        <v>11543084.64592</v>
      </c>
      <c r="I158" s="2" t="n">
        <v>-0.022204163360911</v>
      </c>
      <c r="J158" s="2" t="n">
        <v>-0.021186904394829</v>
      </c>
      <c r="K158" s="2" t="n">
        <v>0.044599687150297</v>
      </c>
      <c r="L158" s="2" t="n">
        <v>-0.81979961118131</v>
      </c>
      <c r="M158" s="2" t="n">
        <v>-0.82203083267452</v>
      </c>
      <c r="N158" s="2" t="n">
        <v>570.3626803465301</v>
      </c>
      <c r="O158" s="2" t="n">
        <v>643.4674572562</v>
      </c>
    </row>
    <row r="159">
      <c r="A159" s="2" t="n">
        <v>15.308638849597</v>
      </c>
      <c r="B159" s="2" t="n">
        <v>0.045920231508993</v>
      </c>
      <c r="C159" s="2" t="n">
        <v>92.68966772680901</v>
      </c>
      <c r="D159" s="2" t="n">
        <v>0.048115021628576</v>
      </c>
      <c r="E159" s="2" t="n">
        <v>-7.0798588777216</v>
      </c>
      <c r="F159" s="2" t="n">
        <v>-2.3104107425322</v>
      </c>
      <c r="G159" s="2" t="n">
        <v>60777769.136426</v>
      </c>
      <c r="H159" s="2" t="n">
        <v>11603286.897868</v>
      </c>
      <c r="I159" s="2" t="n">
        <v>-0.02235070651131</v>
      </c>
      <c r="J159" s="2" t="n">
        <v>-0.021325841004379</v>
      </c>
      <c r="K159" s="2" t="n">
        <v>0.04488635811488</v>
      </c>
      <c r="L159" s="2" t="n">
        <v>-0.82618786378277</v>
      </c>
      <c r="M159" s="2" t="n">
        <v>-0.82841114160116</v>
      </c>
      <c r="N159" s="2" t="n">
        <v>570.97743792239</v>
      </c>
      <c r="O159" s="2" t="n">
        <v>644.19999604546</v>
      </c>
    </row>
    <row r="160">
      <c r="A160" s="2" t="n">
        <v>15.408638849597</v>
      </c>
      <c r="B160" s="2" t="n">
        <v>0.046230700001447</v>
      </c>
      <c r="C160" s="2" t="n">
        <v>92.68954259623401</v>
      </c>
      <c r="D160" s="2" t="n">
        <v>0.04842894594606</v>
      </c>
      <c r="E160" s="2" t="n">
        <v>-7.0911882434352</v>
      </c>
      <c r="F160" s="2" t="n">
        <v>-2.3107385144875</v>
      </c>
      <c r="G160" s="2" t="n">
        <v>61138141.463874</v>
      </c>
      <c r="H160" s="2" t="n">
        <v>11663564.735034</v>
      </c>
      <c r="I160" s="2" t="n">
        <v>-0.022497213453389</v>
      </c>
      <c r="J160" s="2" t="n">
        <v>-0.021464733326761</v>
      </c>
      <c r="K160" s="2" t="n">
        <v>0.045172945735894</v>
      </c>
      <c r="L160" s="2" t="n">
        <v>-0.83258537458495</v>
      </c>
      <c r="M160" s="2" t="n">
        <v>-0.834802449132</v>
      </c>
      <c r="N160" s="2" t="n">
        <v>571.5909433323</v>
      </c>
      <c r="O160" s="2" t="n">
        <v>644.93109600804</v>
      </c>
    </row>
    <row r="161">
      <c r="A161" s="2" t="n">
        <v>15.508638849597</v>
      </c>
      <c r="B161" s="2" t="n">
        <v>0.046541157677994</v>
      </c>
      <c r="C161" s="2" t="n">
        <v>92.689414962114</v>
      </c>
      <c r="D161" s="2" t="n">
        <v>0.048742859249758</v>
      </c>
      <c r="E161" s="2" t="n">
        <v>-7.1135036104499</v>
      </c>
      <c r="F161" s="2" t="n">
        <v>-2.3000803075954</v>
      </c>
      <c r="G161" s="2" t="n">
        <v>61499027.374123</v>
      </c>
      <c r="H161" s="2" t="n">
        <v>11723917.685248</v>
      </c>
      <c r="I161" s="2" t="n">
        <v>-0.022643684281437</v>
      </c>
      <c r="J161" s="2" t="n">
        <v>-0.021603581242888</v>
      </c>
      <c r="K161" s="2" t="n">
        <v>0.045459450060534</v>
      </c>
      <c r="L161" s="2" t="n">
        <v>-0.83898789034552</v>
      </c>
      <c r="M161" s="2" t="n">
        <v>-0.84119639880258</v>
      </c>
      <c r="N161" s="2" t="n">
        <v>572.20321594097</v>
      </c>
      <c r="O161" s="2" t="n">
        <v>645.66077245262</v>
      </c>
    </row>
    <row r="162">
      <c r="A162" s="2" t="n">
        <v>15.608638849597</v>
      </c>
      <c r="B162" s="2" t="n">
        <v>0.046851604390622</v>
      </c>
      <c r="C162" s="2" t="n">
        <v>92.689284652118</v>
      </c>
      <c r="D162" s="2" t="n">
        <v>0.049056761738107</v>
      </c>
      <c r="E162" s="2" t="n">
        <v>-7.1069351291651</v>
      </c>
      <c r="F162" s="2" t="n">
        <v>-2.3154582550282</v>
      </c>
      <c r="G162" s="2" t="n">
        <v>61860423.482973</v>
      </c>
      <c r="H162" s="2" t="n">
        <v>11784345.19049</v>
      </c>
      <c r="I162" s="2" t="n">
        <v>-0.022790118940271</v>
      </c>
      <c r="J162" s="2" t="n">
        <v>-0.021742384785439</v>
      </c>
      <c r="K162" s="2" t="n">
        <v>0.045745871137589</v>
      </c>
      <c r="L162" s="2" t="n">
        <v>-0.84539958026471</v>
      </c>
      <c r="M162" s="2" t="n">
        <v>-0.84759757031218</v>
      </c>
      <c r="N162" s="2" t="n">
        <v>572.81429992566</v>
      </c>
      <c r="O162" s="2" t="n">
        <v>646.3890801323799</v>
      </c>
    </row>
    <row r="163">
      <c r="A163" s="2" t="n">
        <v>15.708638849597</v>
      </c>
      <c r="B163" s="2" t="n">
        <v>0.047162040388469</v>
      </c>
      <c r="C163" s="2" t="n">
        <v>92.68915707591999</v>
      </c>
      <c r="D163" s="2" t="n">
        <v>0.049370653681538</v>
      </c>
      <c r="E163" s="2" t="n">
        <v>-7.0962913422183</v>
      </c>
      <c r="F163" s="2" t="n">
        <v>-2.3157874149075</v>
      </c>
      <c r="G163" s="2" t="n">
        <v>62222326.471988</v>
      </c>
      <c r="H163" s="2" t="n">
        <v>11844846.703688</v>
      </c>
      <c r="I163" s="2" t="n">
        <v>-0.022936517358958</v>
      </c>
      <c r="J163" s="2" t="n">
        <v>-0.021881143982287</v>
      </c>
      <c r="K163" s="2" t="n">
        <v>0.046032209016687</v>
      </c>
      <c r="L163" s="2" t="n">
        <v>-0.85181689498242</v>
      </c>
      <c r="M163" s="2" t="n">
        <v>-0.85400861528232</v>
      </c>
      <c r="N163" s="2" t="n">
        <v>573.42423923383</v>
      </c>
      <c r="O163" s="2" t="n">
        <v>647.11606617824</v>
      </c>
    </row>
    <row r="164">
      <c r="A164" s="2" t="n">
        <v>15.808638849597</v>
      </c>
      <c r="B164" s="2" t="n">
        <v>0.047472466405397</v>
      </c>
      <c r="C164" s="2" t="n">
        <v>92.689030172481</v>
      </c>
      <c r="D164" s="2" t="n">
        <v>0.049684535384357</v>
      </c>
      <c r="E164" s="2" t="n">
        <v>-7.1186062483546</v>
      </c>
      <c r="F164" s="2" t="n">
        <v>-2.3271032291288</v>
      </c>
      <c r="G164" s="2" t="n">
        <v>62584733.8554</v>
      </c>
      <c r="H164" s="2" t="n">
        <v>11905421.820112</v>
      </c>
      <c r="I164" s="2" t="n">
        <v>-0.023082879708789</v>
      </c>
      <c r="J164" s="2" t="n">
        <v>-0.022019858826429</v>
      </c>
      <c r="K164" s="2" t="n">
        <v>0.046318463743804</v>
      </c>
      <c r="L164" s="2" t="n">
        <v>-0.85824529035356</v>
      </c>
      <c r="M164" s="2" t="n">
        <v>-0.86042880811316</v>
      </c>
      <c r="N164" s="2" t="n">
        <v>574.03297835378</v>
      </c>
      <c r="O164" s="2" t="n">
        <v>647.84168546607</v>
      </c>
    </row>
    <row r="165">
      <c r="A165" s="2" t="n">
        <v>15.908638849597</v>
      </c>
      <c r="B165" s="2" t="n">
        <v>0.047782882383919</v>
      </c>
      <c r="C165" s="2" t="n">
        <v>92.68890361644701</v>
      </c>
      <c r="D165" s="2" t="n">
        <v>0.049998406997449</v>
      </c>
      <c r="E165" s="2" t="n">
        <v>-7.1189482243684</v>
      </c>
      <c r="F165" s="2" t="n">
        <v>-2.3274330215146</v>
      </c>
      <c r="G165" s="2" t="n">
        <v>62947642.469747</v>
      </c>
      <c r="H165" s="2" t="n">
        <v>11966070.021191</v>
      </c>
      <c r="I165" s="2" t="n">
        <v>-0.023229205943175</v>
      </c>
      <c r="J165" s="2" t="n">
        <v>-0.022158529318447</v>
      </c>
      <c r="K165" s="2" t="n">
        <v>0.046604635372275</v>
      </c>
      <c r="L165" s="2" t="n">
        <v>-0.86467811655627</v>
      </c>
      <c r="M165" s="2" t="n">
        <v>-0.86685411784851</v>
      </c>
      <c r="N165" s="2" t="n">
        <v>574.64055402897</v>
      </c>
      <c r="O165" s="2" t="n">
        <v>648.5659629783401</v>
      </c>
    </row>
    <row r="166">
      <c r="A166" s="2" t="n">
        <v>16.008638849597</v>
      </c>
      <c r="B166" s="2" t="n">
        <v>0.048093288962534</v>
      </c>
      <c r="C166" s="2" t="n">
        <v>92.68877184629901</v>
      </c>
      <c r="D166" s="2" t="n">
        <v>0.05031226880807</v>
      </c>
      <c r="E166" s="2" t="n">
        <v>-7.1083036031451</v>
      </c>
      <c r="F166" s="2" t="n">
        <v>-2.3277631084778</v>
      </c>
      <c r="G166" s="2" t="n">
        <v>63311049.921704</v>
      </c>
      <c r="H166" s="2" t="n">
        <v>12026790.916866</v>
      </c>
      <c r="I166" s="2" t="n">
        <v>-0.023375496168133</v>
      </c>
      <c r="J166" s="2" t="n">
        <v>-0.022297155559104</v>
      </c>
      <c r="K166" s="2" t="n">
        <v>0.046890723950334</v>
      </c>
      <c r="L166" s="2" t="n">
        <v>-0.87112279160747</v>
      </c>
      <c r="M166" s="2" t="n">
        <v>-0.8732895682826</v>
      </c>
      <c r="N166" s="2" t="n">
        <v>575.24689985071</v>
      </c>
      <c r="O166" s="2" t="n">
        <v>649.28883988051</v>
      </c>
    </row>
    <row r="167">
      <c r="A167" s="2" t="n">
        <v>16.108638849597</v>
      </c>
      <c r="B167" s="2" t="n">
        <v>0.048403686107654</v>
      </c>
      <c r="C167" s="2" t="n">
        <v>92.68863731015</v>
      </c>
      <c r="D167" s="2" t="n">
        <v>0.050626121024749</v>
      </c>
      <c r="E167" s="2" t="n">
        <v>-7.1129569370668</v>
      </c>
      <c r="F167" s="2" t="n">
        <v>-2.329915533745</v>
      </c>
      <c r="G167" s="2" t="n">
        <v>63674952.842922</v>
      </c>
      <c r="H167" s="2" t="n">
        <v>12087583.953591</v>
      </c>
      <c r="I167" s="2" t="n">
        <v>-0.023521750286305</v>
      </c>
      <c r="J167" s="2" t="n">
        <v>-0.022435737493185</v>
      </c>
      <c r="K167" s="2" t="n">
        <v>0.047176729525414</v>
      </c>
      <c r="L167" s="2" t="n">
        <v>-0.87757177323818</v>
      </c>
      <c r="M167" s="2" t="n">
        <v>-0.87973116337928</v>
      </c>
      <c r="N167" s="2" t="n">
        <v>575.8520942114</v>
      </c>
      <c r="O167" s="2" t="n">
        <v>650.0103860107899</v>
      </c>
    </row>
    <row r="168">
      <c r="A168" s="2" t="n">
        <v>16.208638849597</v>
      </c>
      <c r="B168" s="2" t="n">
        <v>0.048714074184594</v>
      </c>
      <c r="C168" s="2" t="n">
        <v>92.688505998815</v>
      </c>
      <c r="D168" s="2" t="n">
        <v>0.050939963876683</v>
      </c>
      <c r="E168" s="2" t="n">
        <v>-7.1352720849294</v>
      </c>
      <c r="F168" s="2" t="n">
        <v>-2.3192616315023</v>
      </c>
      <c r="G168" s="2" t="n">
        <v>64039348.383157</v>
      </c>
      <c r="H168" s="2" t="n">
        <v>12148448.663878</v>
      </c>
      <c r="I168" s="2" t="n">
        <v>-0.023667968402421</v>
      </c>
      <c r="J168" s="2" t="n">
        <v>-0.022574275176427</v>
      </c>
      <c r="K168" s="2" t="n">
        <v>0.047462652145728</v>
      </c>
      <c r="L168" s="2" t="n">
        <v>-0.88403011346911</v>
      </c>
      <c r="M168" s="2" t="n">
        <v>-0.88618230407315</v>
      </c>
      <c r="N168" s="2" t="n">
        <v>576.45609894191</v>
      </c>
      <c r="O168" s="2" t="n">
        <v>650.73058710024</v>
      </c>
    </row>
    <row r="169">
      <c r="A169" s="2" t="n">
        <v>16.308638849597</v>
      </c>
      <c r="B169" s="2" t="n">
        <v>0.049024453124739</v>
      </c>
      <c r="C169" s="2" t="n">
        <v>92.688363046861</v>
      </c>
      <c r="D169" s="2" t="n">
        <v>0.051253797511716</v>
      </c>
      <c r="E169" s="2" t="n">
        <v>-7.1356143413882</v>
      </c>
      <c r="F169" s="2" t="n">
        <v>-2.3195942682499</v>
      </c>
      <c r="G169" s="2" t="n">
        <v>64404233.464708</v>
      </c>
      <c r="H169" s="2" t="n">
        <v>12209384.544832</v>
      </c>
      <c r="I169" s="2" t="n">
        <v>-0.023814150458478</v>
      </c>
      <c r="J169" s="2" t="n">
        <v>-0.022712768616139</v>
      </c>
      <c r="K169" s="2" t="n">
        <v>0.047748491856378</v>
      </c>
      <c r="L169" s="2" t="n">
        <v>-0.89049645552039</v>
      </c>
      <c r="M169" s="2" t="n">
        <v>-0.89264194491553</v>
      </c>
      <c r="N169" s="2" t="n">
        <v>577.05895626991</v>
      </c>
      <c r="O169" s="2" t="n">
        <v>651.44947641493</v>
      </c>
    </row>
    <row r="170">
      <c r="A170" s="2" t="n">
        <v>16.408638849597</v>
      </c>
      <c r="B170" s="2" t="n">
        <v>0.049334823091891</v>
      </c>
      <c r="C170" s="2" t="n">
        <v>92.688224692342</v>
      </c>
      <c r="D170" s="2" t="n">
        <v>0.051567622114933</v>
      </c>
      <c r="E170" s="2" t="n">
        <v>-7.1442476439165</v>
      </c>
      <c r="F170" s="2" t="n">
        <v>-2.3282132295099</v>
      </c>
      <c r="G170" s="2" t="n">
        <v>64769605.215646</v>
      </c>
      <c r="H170" s="2" t="n">
        <v>12270391.126711</v>
      </c>
      <c r="I170" s="2" t="n">
        <v>-0.023960296601359</v>
      </c>
      <c r="J170" s="2" t="n">
        <v>-0.022851217660884</v>
      </c>
      <c r="K170" s="2" t="n">
        <v>0.048034248710044</v>
      </c>
      <c r="L170" s="2" t="n">
        <v>-0.89696786394091</v>
      </c>
      <c r="M170" s="2" t="n">
        <v>-0.89910443932799</v>
      </c>
      <c r="N170" s="2" t="n">
        <v>577.66068470982</v>
      </c>
      <c r="O170" s="2" t="n">
        <v>652.16706585816</v>
      </c>
    </row>
    <row r="171">
      <c r="A171" s="2" t="n">
        <v>16.508638849597</v>
      </c>
      <c r="B171" s="2" t="n">
        <v>0.049645184305028</v>
      </c>
      <c r="C171" s="2" t="n">
        <v>92.688089196817</v>
      </c>
      <c r="D171" s="2" t="n">
        <v>0.051881437918313</v>
      </c>
      <c r="E171" s="2" t="n">
        <v>-7.111630373425</v>
      </c>
      <c r="F171" s="2" t="n">
        <v>-2.3175599810229</v>
      </c>
      <c r="G171" s="2" t="n">
        <v>65135460.861524</v>
      </c>
      <c r="H171" s="2" t="n">
        <v>12331467.957339</v>
      </c>
      <c r="I171" s="2" t="n">
        <v>-0.024106407033937</v>
      </c>
      <c r="J171" s="2" t="n">
        <v>-0.022989622166913</v>
      </c>
      <c r="K171" s="2" t="n">
        <v>0.04831992276201</v>
      </c>
      <c r="L171" s="2" t="n">
        <v>-0.90344865175544</v>
      </c>
      <c r="M171" s="2" t="n">
        <v>-0.90557773742281</v>
      </c>
      <c r="N171" s="2" t="n">
        <v>578.26129396</v>
      </c>
      <c r="O171" s="2" t="n">
        <v>652.88337109655</v>
      </c>
    </row>
    <row r="172">
      <c r="A172" s="2" t="n">
        <v>16.608638849597</v>
      </c>
      <c r="B172" s="2" t="n">
        <v>0.049955536928249</v>
      </c>
      <c r="C172" s="2" t="n">
        <v>92.68794873462301</v>
      </c>
      <c r="D172" s="2" t="n">
        <v>0.052195245121602</v>
      </c>
      <c r="E172" s="2" t="n">
        <v>-7.1449307638086</v>
      </c>
      <c r="F172" s="2" t="n">
        <v>-2.3178932728053</v>
      </c>
      <c r="G172" s="2" t="n">
        <v>65501797.453913</v>
      </c>
      <c r="H172" s="2" t="n">
        <v>12392614.553269</v>
      </c>
      <c r="I172" s="2" t="n">
        <v>-0.024252481713196</v>
      </c>
      <c r="J172" s="2" t="n">
        <v>-0.02312798219073</v>
      </c>
      <c r="K172" s="2" t="n">
        <v>0.04860551405661</v>
      </c>
      <c r="L172" s="2" t="n">
        <v>-0.90993837385117</v>
      </c>
      <c r="M172" s="2" t="n">
        <v>-0.9120594074618</v>
      </c>
      <c r="N172" s="2" t="n">
        <v>578.86079506276</v>
      </c>
      <c r="O172" s="2" t="n">
        <v>653.59840497576</v>
      </c>
    </row>
    <row r="173">
      <c r="A173" s="2" t="n">
        <v>16.708638849597</v>
      </c>
      <c r="B173" s="2" t="n">
        <v>0.050265881248432</v>
      </c>
      <c r="C173" s="2" t="n">
        <v>92.687811492045</v>
      </c>
      <c r="D173" s="2" t="n">
        <v>0.052509043933937</v>
      </c>
      <c r="E173" s="2" t="n">
        <v>-7.1713198394117</v>
      </c>
      <c r="F173" s="2" t="n">
        <v>-2.322295978945</v>
      </c>
      <c r="G173" s="2" t="n">
        <v>65868612.084343</v>
      </c>
      <c r="H173" s="2" t="n">
        <v>12453830.439105</v>
      </c>
      <c r="I173" s="2" t="n">
        <v>-0.024398520504288</v>
      </c>
      <c r="J173" s="2" t="n">
        <v>-0.023266297891879</v>
      </c>
      <c r="K173" s="2" t="n">
        <v>0.048891022642471</v>
      </c>
      <c r="L173" s="2" t="n">
        <v>-0.91643279004767</v>
      </c>
      <c r="M173" s="2" t="n">
        <v>-0.91854705488841</v>
      </c>
      <c r="N173" s="2" t="n">
        <v>579.45919153231</v>
      </c>
      <c r="O173" s="2" t="n">
        <v>654.31216988806</v>
      </c>
    </row>
    <row r="174">
      <c r="A174" s="2" t="n">
        <v>16.808638849597</v>
      </c>
      <c r="B174" s="2" t="n">
        <v>0.05057621750333</v>
      </c>
      <c r="C174" s="2" t="n">
        <v>92.687660844183</v>
      </c>
      <c r="D174" s="2" t="n">
        <v>0.05282283455926</v>
      </c>
      <c r="E174" s="2" t="n">
        <v>-7.2088118168953</v>
      </c>
      <c r="F174" s="2" t="n">
        <v>-2.3378054557192</v>
      </c>
      <c r="G174" s="2" t="n">
        <v>66235902.143533</v>
      </c>
      <c r="H174" s="2" t="n">
        <v>12515115.189675</v>
      </c>
      <c r="I174" s="2" t="n">
        <v>-0.024544523423853</v>
      </c>
      <c r="J174" s="2" t="n">
        <v>-0.023404569364853</v>
      </c>
      <c r="K174" s="2" t="n">
        <v>0.04917644857002</v>
      </c>
      <c r="L174" s="2" t="n">
        <v>-0.92293687281141</v>
      </c>
      <c r="M174" s="2" t="n">
        <v>-0.92504387150616</v>
      </c>
      <c r="N174" s="2" t="n">
        <v>580.05646214213</v>
      </c>
      <c r="O174" s="2" t="n">
        <v>655.02464771144</v>
      </c>
    </row>
    <row r="175">
      <c r="A175" s="2" t="n">
        <v>16.908638849597</v>
      </c>
      <c r="B175" s="2" t="n">
        <v>0.050886546260987</v>
      </c>
      <c r="C175" s="2" t="n">
        <v>92.687508214316</v>
      </c>
      <c r="D175" s="2" t="n">
        <v>0.05313661728092</v>
      </c>
      <c r="E175" s="2" t="n">
        <v>-7.1862146922886</v>
      </c>
      <c r="F175" s="2" t="n">
        <v>-2.3371699288108</v>
      </c>
      <c r="G175" s="2" t="n">
        <v>66603665.124413</v>
      </c>
      <c r="H175" s="2" t="n">
        <v>12576468.395663</v>
      </c>
      <c r="I175" s="2" t="n">
        <v>-0.024690490612853</v>
      </c>
      <c r="J175" s="2" t="n">
        <v>-0.023542796633856</v>
      </c>
      <c r="K175" s="2" t="n">
        <v>0.049461791891441</v>
      </c>
      <c r="L175" s="2" t="n">
        <v>-0.92944860525429</v>
      </c>
      <c r="M175" s="2" t="n">
        <v>-0.93154637273605</v>
      </c>
      <c r="N175" s="2" t="n">
        <v>580.65254588588</v>
      </c>
      <c r="O175" s="2" t="n">
        <v>655.73577541012</v>
      </c>
    </row>
    <row r="176">
      <c r="A176" s="2" t="n">
        <v>17</v>
      </c>
      <c r="B176" s="2" t="n">
        <v>0.05116970958178</v>
      </c>
      <c r="C176" s="2" t="n">
        <v>92.687370005852</v>
      </c>
      <c r="D176" s="2" t="n">
        <v>0.053423247668406</v>
      </c>
      <c r="E176" s="2" t="n">
        <v>-7.1906515883123</v>
      </c>
      <c r="F176" s="2" t="n">
        <v>-2.3415845494627</v>
      </c>
      <c r="G176" s="2" t="n">
        <v>66939656.139762</v>
      </c>
      <c r="H176" s="2" t="n">
        <v>12632511.818704</v>
      </c>
      <c r="I176" s="2" t="n">
        <v>-0.024823751069675</v>
      </c>
      <c r="J176" s="2" t="n">
        <v>-0.023668982606883</v>
      </c>
      <c r="K176" s="2" t="n">
        <v>0.049722412841697</v>
      </c>
      <c r="L176" s="2" t="n">
        <v>-0.93617543733942</v>
      </c>
      <c r="M176" s="2" t="n">
        <v>-0.9382439589370301</v>
      </c>
      <c r="N176" s="2" t="n">
        <v>581.26013788927</v>
      </c>
      <c r="O176" s="2" t="n">
        <v>656.45022844045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6"/>
  <sheetViews>
    <sheetView topLeftCell="A163" workbookViewId="0">
      <selection activeCell="A1" sqref="A1:O186"/>
    </sheetView>
  </sheetViews>
  <sheetFormatPr baseColWidth="8" defaultColWidth="8.85546875" defaultRowHeight="15"/>
  <cols>
    <col width="12.42578125" customWidth="1" style="2" min="1" max="8"/>
    <col width="13.5703125" customWidth="1" style="2" min="9" max="14"/>
    <col width="12.42578125" customWidth="1" style="2" min="15" max="15"/>
    <col width="8.85546875" customWidth="1" style="2" min="16" max="16384"/>
  </cols>
  <sheetData>
    <row r="1">
      <c r="A1" t="inlineStr">
        <is>
          <t>time</t>
        </is>
      </c>
      <c r="B1" t="inlineStr">
        <is>
          <t>Ep_eff</t>
        </is>
      </c>
      <c r="C1" t="inlineStr">
        <is>
          <t>Phi</t>
        </is>
      </c>
      <c r="D1" t="inlineStr">
        <is>
          <t>eeq</t>
        </is>
      </c>
      <c r="E1" t="inlineStr">
        <is>
          <t>phi_1</t>
        </is>
      </c>
      <c r="F1" t="inlineStr">
        <is>
          <t>phi_2</t>
        </is>
      </c>
      <c r="G1" t="inlineStr">
        <is>
          <t>rho_i</t>
        </is>
      </c>
      <c r="H1" t="inlineStr">
        <is>
          <t>rho_m</t>
        </is>
      </c>
      <c r="I1" t="inlineStr">
        <is>
          <t>strain_xx</t>
        </is>
      </c>
      <c r="J1" t="inlineStr">
        <is>
          <t>strain_yy</t>
        </is>
      </c>
      <c r="K1" t="inlineStr">
        <is>
          <t>strain_zz</t>
        </is>
      </c>
      <c r="L1" t="inlineStr">
        <is>
          <t>stress_xx</t>
        </is>
      </c>
      <c r="M1" t="inlineStr">
        <is>
          <t>stress_yy</t>
        </is>
      </c>
      <c r="N1" t="inlineStr">
        <is>
          <t>stress_zz</t>
        </is>
      </c>
      <c r="O1" t="inlineStr">
        <is>
          <t>vonmises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0.0015861204153657</v>
      </c>
      <c r="B3" s="6" t="n">
        <v>3.5708348781248e-49</v>
      </c>
      <c r="C3" t="n">
        <v>92.681593442047</v>
      </c>
      <c r="D3" s="6" t="n">
        <v>4.2985502133871e-06</v>
      </c>
      <c r="E3" t="n">
        <v>-5.6421874228601</v>
      </c>
      <c r="F3" t="n">
        <v>-2.7149720540268</v>
      </c>
      <c r="G3" t="n">
        <v>16000000</v>
      </c>
      <c r="H3" t="n">
        <v>4000000</v>
      </c>
      <c r="I3" s="6" t="n">
        <v>-1.2650005169098e-06</v>
      </c>
      <c r="J3" s="6" t="n">
        <v>-1.2138471467923e-06</v>
      </c>
      <c r="K3" s="6" t="n">
        <v>4.7583498075146e-06</v>
      </c>
      <c r="L3" s="6" t="n">
        <v>-4.8700536513051e-08</v>
      </c>
      <c r="M3" s="6" t="n">
        <v>-5.0411459825983e-08</v>
      </c>
      <c r="N3" t="n">
        <v>1.0613972689945</v>
      </c>
      <c r="O3" t="n">
        <v>1.1027768689041</v>
      </c>
    </row>
    <row r="4">
      <c r="A4" t="n">
        <v>0.0056628610230507</v>
      </c>
      <c r="B4" s="6" t="n">
        <v>1.6524970650987e-46</v>
      </c>
      <c r="C4" t="n">
        <v>92.681621900095</v>
      </c>
      <c r="D4" s="6" t="n">
        <v>1.534708756372e-05</v>
      </c>
      <c r="E4" t="n">
        <v>-5.6421872236766</v>
      </c>
      <c r="F4" t="n">
        <v>-2.7149504255471</v>
      </c>
      <c r="G4" t="n">
        <v>16000000</v>
      </c>
      <c r="H4" t="n">
        <v>4000000</v>
      </c>
      <c r="I4" s="6" t="n">
        <v>-4.5165688396035e-06</v>
      </c>
      <c r="J4" s="6" t="n">
        <v>-4.3339282579621e-06</v>
      </c>
      <c r="K4" s="6" t="n">
        <v>1.6988437265671e-05</v>
      </c>
      <c r="L4" s="6" t="n">
        <v>-6.2074423763797e-07</v>
      </c>
      <c r="M4" s="6" t="n">
        <v>-6.4255337810633e-07</v>
      </c>
      <c r="N4" t="n">
        <v>3.7897345684177</v>
      </c>
      <c r="O4" t="n">
        <v>3.9374671604444</v>
      </c>
    </row>
    <row r="5">
      <c r="A5" t="n">
        <v>0.016141141121675</v>
      </c>
      <c r="B5" s="6" t="n">
        <v>1.7549895300899e-42</v>
      </c>
      <c r="C5" t="n">
        <v>92.68169690022999</v>
      </c>
      <c r="D5" s="6" t="n">
        <v>4.3745677303797e-05</v>
      </c>
      <c r="E5" t="n">
        <v>-5.6421867056885</v>
      </c>
      <c r="F5" t="n">
        <v>-2.7148948317044</v>
      </c>
      <c r="G5" t="n">
        <v>16000000</v>
      </c>
      <c r="H5" t="n">
        <v>4000000</v>
      </c>
      <c r="I5" s="6" t="n">
        <v>-1.2875191565839e-05</v>
      </c>
      <c r="J5" s="6" t="n">
        <v>-1.2354530079519e-05</v>
      </c>
      <c r="K5" s="6" t="n">
        <v>4.8422238810202e-05</v>
      </c>
      <c r="L5" s="6" t="n">
        <v>-5.0425321374045e-06</v>
      </c>
      <c r="M5" s="6" t="n">
        <v>-5.2197067977694e-06</v>
      </c>
      <c r="N5" t="n">
        <v>10.804060439299</v>
      </c>
      <c r="O5" t="n">
        <v>11.225125952696</v>
      </c>
    </row>
    <row r="6">
      <c r="A6" t="n">
        <v>0.043073037062825</v>
      </c>
      <c r="B6" s="6" t="n">
        <v>1.3008801263422e-36</v>
      </c>
      <c r="C6" t="n">
        <v>92.68069458397601</v>
      </c>
      <c r="D6" t="n">
        <v>0.00011674391949563</v>
      </c>
      <c r="E6" t="n">
        <v>-5.9041033807388</v>
      </c>
      <c r="F6" t="n">
        <v>-3.0059573251872</v>
      </c>
      <c r="G6" t="n">
        <v>16000000</v>
      </c>
      <c r="H6" t="n">
        <v>4000000</v>
      </c>
      <c r="I6" s="6" t="n">
        <v>-3.4367262277347e-05</v>
      </c>
      <c r="J6" s="6" t="n">
        <v>-3.2977378509089e-05</v>
      </c>
      <c r="K6" t="n">
        <v>0.000129210676412</v>
      </c>
      <c r="L6" s="6" t="n">
        <v>-3.5895146568207e-05</v>
      </c>
      <c r="M6" s="6" t="n">
        <v>-3.715656305797e-05</v>
      </c>
      <c r="N6" t="n">
        <v>28.844528915294</v>
      </c>
      <c r="O6" t="n">
        <v>29.967987036196</v>
      </c>
    </row>
    <row r="7">
      <c r="A7" t="n">
        <v>0.10863884959761</v>
      </c>
      <c r="B7" s="6" t="n">
        <v>3.2500374688647e-28</v>
      </c>
      <c r="C7" t="n">
        <v>92.681447927395</v>
      </c>
      <c r="D7" t="n">
        <v>0.00029449794632453</v>
      </c>
      <c r="E7" t="n">
        <v>-5.9212509681893</v>
      </c>
      <c r="F7" t="n">
        <v>-2.9887427262244</v>
      </c>
      <c r="G7" t="n">
        <v>16000000</v>
      </c>
      <c r="H7" t="n">
        <v>4000000</v>
      </c>
      <c r="I7" s="6" t="n">
        <v>-8.673999126238801e-05</v>
      </c>
      <c r="J7" s="6" t="n">
        <v>-8.3231611296984e-05</v>
      </c>
      <c r="K7" t="n">
        <v>0.00032586289823863</v>
      </c>
      <c r="L7" t="n">
        <v>-0.00022859611688171</v>
      </c>
      <c r="M7" t="n">
        <v>-0.00023660348907084</v>
      </c>
      <c r="N7" t="n">
        <v>72.836268612711</v>
      </c>
      <c r="O7" t="n">
        <v>75.668849833152</v>
      </c>
    </row>
    <row r="8">
      <c r="A8" t="n">
        <v>0.20863884959761</v>
      </c>
      <c r="B8" s="6" t="n">
        <v>4.8203803992252e-20</v>
      </c>
      <c r="C8" t="n">
        <v>92.68722727325</v>
      </c>
      <c r="D8" t="n">
        <v>0.00056571708798115</v>
      </c>
      <c r="E8" t="n">
        <v>-5.74599485405</v>
      </c>
      <c r="F8" t="n">
        <v>-2.7275603446755</v>
      </c>
      <c r="G8" t="n">
        <v>16000000</v>
      </c>
      <c r="H8" t="n">
        <v>4000000</v>
      </c>
      <c r="I8" t="n">
        <v>-0.00016676277527232</v>
      </c>
      <c r="J8" t="n">
        <v>-0.00016001622630935</v>
      </c>
      <c r="K8" t="n">
        <v>0.00062571871330888</v>
      </c>
      <c r="L8" t="n">
        <v>-0.00084175289308773</v>
      </c>
      <c r="M8" t="n">
        <v>-0.00087129327419211</v>
      </c>
      <c r="N8" t="n">
        <v>140.13827914686</v>
      </c>
      <c r="O8" t="n">
        <v>145.57527272499</v>
      </c>
    </row>
    <row r="9">
      <c r="A9" t="n">
        <v>0.30863884959761</v>
      </c>
      <c r="B9" s="6" t="n">
        <v>2.13848603333e-14</v>
      </c>
      <c r="C9" t="n">
        <v>92.689997449662</v>
      </c>
      <c r="D9" t="n">
        <v>0.00083707098022382</v>
      </c>
      <c r="E9" t="n">
        <v>-6.0537021171489</v>
      </c>
      <c r="F9" t="n">
        <v>-2.5151082718664</v>
      </c>
      <c r="G9" t="n">
        <v>16000000.000012</v>
      </c>
      <c r="H9" t="n">
        <v>4000000.000002</v>
      </c>
      <c r="I9" t="n">
        <v>-0.00024696035885512</v>
      </c>
      <c r="J9" t="n">
        <v>-0.00023696703732048</v>
      </c>
      <c r="K9" t="n">
        <v>0.00092548371136566</v>
      </c>
      <c r="L9" t="n">
        <v>-0.0018422644460479</v>
      </c>
      <c r="M9" t="n">
        <v>-0.0019068181027065</v>
      </c>
      <c r="N9" t="n">
        <v>207.69010769752</v>
      </c>
      <c r="O9" t="n">
        <v>215.72878304166</v>
      </c>
    </row>
    <row r="10">
      <c r="A10" t="n">
        <v>0.40863884959761</v>
      </c>
      <c r="B10" s="6" t="n">
        <v>1.9008134840115e-10</v>
      </c>
      <c r="C10" t="n">
        <v>92.694740322407</v>
      </c>
      <c r="D10" t="n">
        <v>0.0011085593623002</v>
      </c>
      <c r="E10" t="n">
        <v>-6.0936325354201</v>
      </c>
      <c r="F10" t="n">
        <v>-2.5548434299748</v>
      </c>
      <c r="G10" t="n">
        <v>16000000.102245</v>
      </c>
      <c r="H10" t="n">
        <v>4000000.0177673</v>
      </c>
      <c r="I10" t="n">
        <v>-0.00032733193034274</v>
      </c>
      <c r="J10" t="n">
        <v>-0.00031408330995955</v>
      </c>
      <c r="K10" t="n">
        <v>0.0012251579487187</v>
      </c>
      <c r="L10" t="n">
        <v>-0.0032295916973541</v>
      </c>
      <c r="M10" t="n">
        <v>-0.0033426100825877</v>
      </c>
      <c r="N10" t="n">
        <v>275.49096444571</v>
      </c>
      <c r="O10" t="n">
        <v>286.12859736806</v>
      </c>
    </row>
    <row r="11">
      <c r="A11" t="n">
        <v>0.50863884959761</v>
      </c>
      <c r="B11" s="6" t="n">
        <v>3.4471550735255e-07</v>
      </c>
      <c r="C11" t="n">
        <v>92.697856136794</v>
      </c>
      <c r="D11" t="n">
        <v>0.0013802552454261</v>
      </c>
      <c r="E11" t="n">
        <v>-6.0314309221288</v>
      </c>
      <c r="F11" t="n">
        <v>-2.492550851139</v>
      </c>
      <c r="G11" t="n">
        <v>16000185.535803</v>
      </c>
      <c r="H11" t="n">
        <v>4000032.2400026</v>
      </c>
      <c r="I11" t="n">
        <v>-0.00040795218023717</v>
      </c>
      <c r="J11" t="n">
        <v>-0.00039144744232748</v>
      </c>
      <c r="K11" t="n">
        <v>0.0015247414979166</v>
      </c>
      <c r="L11" t="n">
        <v>-0.004957645352434</v>
      </c>
      <c r="M11" t="n">
        <v>-0.005136425871709</v>
      </c>
      <c r="N11" t="n">
        <v>343.46611320358</v>
      </c>
      <c r="O11" t="n">
        <v>356.69853316741</v>
      </c>
    </row>
    <row r="12">
      <c r="A12" t="n">
        <v>0.6086388495976101</v>
      </c>
      <c r="B12" s="6" t="n">
        <v>2.1658999741972e-05</v>
      </c>
      <c r="C12" t="n">
        <v>92.70033290893601</v>
      </c>
      <c r="D12" t="n">
        <v>0.0016554536449398</v>
      </c>
      <c r="E12" t="n">
        <v>-5.9119518775055</v>
      </c>
      <c r="F12" t="n">
        <v>-2.3399719598924</v>
      </c>
      <c r="G12" t="n">
        <v>16011733.850748</v>
      </c>
      <c r="H12" t="n">
        <v>4002038.6167171</v>
      </c>
      <c r="I12" t="n">
        <v>-0.00049316461917105</v>
      </c>
      <c r="J12" t="n">
        <v>-0.00047338755129107</v>
      </c>
      <c r="K12" t="n">
        <v>0.0018242347249826</v>
      </c>
      <c r="L12" t="n">
        <v>-0.0072172682675226</v>
      </c>
      <c r="M12" t="n">
        <v>-0.0075048994183959</v>
      </c>
      <c r="N12" t="n">
        <v>407.43744700425</v>
      </c>
      <c r="O12" t="n">
        <v>423.24496012297</v>
      </c>
    </row>
    <row r="13">
      <c r="A13" t="n">
        <v>0.70863884959761</v>
      </c>
      <c r="B13" t="n">
        <v>0.00015755688243531</v>
      </c>
      <c r="C13" t="n">
        <v>92.700771612118</v>
      </c>
      <c r="D13" t="n">
        <v>0.0019455809464509</v>
      </c>
      <c r="E13" t="n">
        <v>-5.999184154642</v>
      </c>
      <c r="F13" t="n">
        <v>-2.2836246355112</v>
      </c>
      <c r="G13" t="n">
        <v>16086861.171844</v>
      </c>
      <c r="H13" t="n">
        <v>4015086.8811565</v>
      </c>
      <c r="I13" t="n">
        <v>-0.00060145962033666</v>
      </c>
      <c r="J13" t="n">
        <v>-0.00057756084696171</v>
      </c>
      <c r="K13" t="n">
        <v>0.0021236377368423</v>
      </c>
      <c r="L13" t="n">
        <v>-0.010870299476311</v>
      </c>
      <c r="M13" t="n">
        <v>-0.011318043565226</v>
      </c>
      <c r="N13" t="n">
        <v>449.77299643474</v>
      </c>
      <c r="O13" t="n">
        <v>468.2638274088</v>
      </c>
    </row>
    <row r="14">
      <c r="A14" t="n">
        <v>0.80863884959761</v>
      </c>
      <c r="B14" t="n">
        <v>0.00040770625734625</v>
      </c>
      <c r="C14" t="n">
        <v>92.700434526775</v>
      </c>
      <c r="D14" t="n">
        <v>0.0022489157185851</v>
      </c>
      <c r="E14" t="n">
        <v>-6.159340204093</v>
      </c>
      <c r="F14" t="n">
        <v>-2.1474085498595</v>
      </c>
      <c r="G14" t="n">
        <v>16230022.234814</v>
      </c>
      <c r="H14" t="n">
        <v>4039940.3298153</v>
      </c>
      <c r="I14" t="n">
        <v>-0.00073263448059698</v>
      </c>
      <c r="J14" t="n">
        <v>-0.00070220369689795</v>
      </c>
      <c r="K14" t="n">
        <v>0.0024229494430389</v>
      </c>
      <c r="L14" t="n">
        <v>-0.013825296863146</v>
      </c>
      <c r="M14" t="n">
        <v>-0.014468407582052</v>
      </c>
      <c r="N14" t="n">
        <v>471.08467068633</v>
      </c>
      <c r="O14" t="n">
        <v>492.48215033055</v>
      </c>
    </row>
    <row r="15">
      <c r="A15" t="n">
        <v>0.90863884959761</v>
      </c>
      <c r="B15" t="n">
        <v>0.00070378656518989</v>
      </c>
      <c r="C15" t="n">
        <v>92.700783976051</v>
      </c>
      <c r="D15" t="n">
        <v>0.0025583177823742</v>
      </c>
      <c r="E15" t="n">
        <v>-6.2254828669855</v>
      </c>
      <c r="F15" t="n">
        <v>-2.0938470659576</v>
      </c>
      <c r="G15" t="n">
        <v>16406446.974033</v>
      </c>
      <c r="H15" t="n">
        <v>4070553.6912842</v>
      </c>
      <c r="I15" t="n">
        <v>-0.00087389166882214</v>
      </c>
      <c r="J15" t="n">
        <v>-0.00083502133401847</v>
      </c>
      <c r="K15" t="n">
        <v>0.0027221693883084</v>
      </c>
      <c r="L15" t="n">
        <v>-0.018054929712874</v>
      </c>
      <c r="M15" t="n">
        <v>-0.018858515006389</v>
      </c>
      <c r="N15" t="n">
        <v>483.45970692417</v>
      </c>
      <c r="O15" t="n">
        <v>507.84346498001</v>
      </c>
    </row>
    <row r="16">
      <c r="A16" t="n">
        <v>1.0086388495976</v>
      </c>
      <c r="B16" t="n">
        <v>0.0010157734409232</v>
      </c>
      <c r="C16" t="n">
        <v>92.70113502150799</v>
      </c>
      <c r="D16" t="n">
        <v>0.002871127794739</v>
      </c>
      <c r="E16" t="n">
        <v>-6.2306771618322</v>
      </c>
      <c r="F16" t="n">
        <v>-2.0899660148979</v>
      </c>
      <c r="G16" t="n">
        <v>16599660.071668</v>
      </c>
      <c r="H16" t="n">
        <v>4104064.331446</v>
      </c>
      <c r="I16" t="n">
        <v>-0.0010192301891991</v>
      </c>
      <c r="J16" t="n">
        <v>-0.00097153841275734</v>
      </c>
      <c r="K16" t="n">
        <v>0.0030212977000976</v>
      </c>
      <c r="L16" t="n">
        <v>-0.022276832102288</v>
      </c>
      <c r="M16" t="n">
        <v>-0.023284718455258</v>
      </c>
      <c r="N16" t="n">
        <v>491.99219409828</v>
      </c>
      <c r="O16" t="n">
        <v>519.3228746923101</v>
      </c>
    </row>
    <row r="17">
      <c r="A17" t="n">
        <v>1.1086388495976</v>
      </c>
      <c r="B17" t="n">
        <v>0.001333503484268</v>
      </c>
      <c r="C17" t="n">
        <v>92.70130427938599</v>
      </c>
      <c r="D17" t="n">
        <v>0.0031862070610785</v>
      </c>
      <c r="E17" t="n">
        <v>-6.2660128752284</v>
      </c>
      <c r="F17" t="n">
        <v>-2.0778144968406</v>
      </c>
      <c r="G17" t="n">
        <v>16803427.154877</v>
      </c>
      <c r="H17" t="n">
        <v>4139389.5919099</v>
      </c>
      <c r="I17" t="n">
        <v>-0.0011664552239115</v>
      </c>
      <c r="J17" t="n">
        <v>-0.0011103187895593</v>
      </c>
      <c r="K17" t="n">
        <v>0.0033203344688581</v>
      </c>
      <c r="L17" t="n">
        <v>-0.027495270375649</v>
      </c>
      <c r="M17" t="n">
        <v>-0.028656223072646</v>
      </c>
      <c r="N17" t="n">
        <v>498.45634380199</v>
      </c>
      <c r="O17" t="n">
        <v>528.62725230084</v>
      </c>
    </row>
    <row r="18">
      <c r="A18" t="n">
        <v>1.2086388495976</v>
      </c>
      <c r="B18" t="n">
        <v>0.0016532217586206</v>
      </c>
      <c r="C18" t="n">
        <v>92.701391907569</v>
      </c>
      <c r="D18" t="n">
        <v>0.0035028091477075</v>
      </c>
      <c r="E18" t="n">
        <v>-6.2819347861062</v>
      </c>
      <c r="F18" t="n">
        <v>-2.0739538742853</v>
      </c>
      <c r="G18" t="n">
        <v>17014878.23098</v>
      </c>
      <c r="H18" t="n">
        <v>4176031.4076817</v>
      </c>
      <c r="I18" t="n">
        <v>-0.0013147507631144</v>
      </c>
      <c r="J18" t="n">
        <v>-0.0012506006485816</v>
      </c>
      <c r="K18" t="n">
        <v>0.003619279681402</v>
      </c>
      <c r="L18" t="n">
        <v>-0.031735489003478</v>
      </c>
      <c r="M18" t="n">
        <v>-0.033167797960015</v>
      </c>
      <c r="N18" t="n">
        <v>503.61760209053</v>
      </c>
      <c r="O18" t="n">
        <v>536.47115416486</v>
      </c>
    </row>
    <row r="19">
      <c r="A19" t="n">
        <v>1.3086388495976</v>
      </c>
      <c r="B19" t="n">
        <v>0.0019733556032431</v>
      </c>
      <c r="C19" t="n">
        <v>92.701445876976</v>
      </c>
      <c r="D19" t="n">
        <v>0.003820456583383</v>
      </c>
      <c r="E19" t="n">
        <v>-6.2894895735954</v>
      </c>
      <c r="F19" t="n">
        <v>-2.0783432291741</v>
      </c>
      <c r="G19" t="n">
        <v>17232360.744424</v>
      </c>
      <c r="H19" t="n">
        <v>4213703.1147778</v>
      </c>
      <c r="I19" t="n">
        <v>-0.00146367563537</v>
      </c>
      <c r="J19" t="n">
        <v>-0.0013919814224942</v>
      </c>
      <c r="K19" t="n">
        <v>0.0039181333796278</v>
      </c>
      <c r="L19" t="n">
        <v>-0.036278152564242</v>
      </c>
      <c r="M19" t="n">
        <v>-0.037954047403089</v>
      </c>
      <c r="N19" t="n">
        <v>507.88957626931</v>
      </c>
      <c r="O19" t="n">
        <v>543.23873187327</v>
      </c>
    </row>
    <row r="20">
      <c r="A20" t="n">
        <v>1.4086388495976</v>
      </c>
      <c r="B20" t="n">
        <v>0.0022933475184102</v>
      </c>
      <c r="C20" t="n">
        <v>92.70148210314299</v>
      </c>
      <c r="D20" t="n">
        <v>0.004138842289003</v>
      </c>
      <c r="E20" t="n">
        <v>-6.2818696841026</v>
      </c>
      <c r="F20" t="n">
        <v>-2.0868612588465</v>
      </c>
      <c r="G20" t="n">
        <v>17454800.319874</v>
      </c>
      <c r="H20" t="n">
        <v>4252218.3529028</v>
      </c>
      <c r="I20" t="n">
        <v>-0.0016129843332778</v>
      </c>
      <c r="J20" t="n">
        <v>-0.0015341922054175</v>
      </c>
      <c r="K20" t="n">
        <v>0.0042168956538415</v>
      </c>
      <c r="L20" t="n">
        <v>-0.041057832778857</v>
      </c>
      <c r="M20" t="n">
        <v>-0.042955840757902</v>
      </c>
      <c r="N20" t="n">
        <v>511.52235049627</v>
      </c>
      <c r="O20" t="n">
        <v>549.17137677828</v>
      </c>
    </row>
    <row r="21">
      <c r="A21" t="n">
        <v>1.5086388495976</v>
      </c>
      <c r="B21" t="n">
        <v>0.0026129986870773</v>
      </c>
      <c r="C21" t="n">
        <v>92.701500840864</v>
      </c>
      <c r="D21" t="n">
        <v>0.0044577576105894</v>
      </c>
      <c r="E21" t="n">
        <v>-6.2783521351336</v>
      </c>
      <c r="F21" t="n">
        <v>-2.0912144779076</v>
      </c>
      <c r="G21" t="n">
        <v>17681450.541561</v>
      </c>
      <c r="H21" t="n">
        <v>4291447.6430941</v>
      </c>
      <c r="I21" t="n">
        <v>-0.0017625311807051</v>
      </c>
      <c r="J21" t="n">
        <v>-0.001677045087833</v>
      </c>
      <c r="K21" t="n">
        <v>0.0045155666674734</v>
      </c>
      <c r="L21" t="n">
        <v>-0.045978205903286</v>
      </c>
      <c r="M21" t="n">
        <v>-0.048066150284419</v>
      </c>
      <c r="N21" t="n">
        <v>514.67800392335</v>
      </c>
      <c r="O21" t="n">
        <v>554.434967033</v>
      </c>
    </row>
    <row r="22">
      <c r="A22" t="n">
        <v>1.6086388495976</v>
      </c>
      <c r="B22" t="n">
        <v>0.0029322302474145</v>
      </c>
      <c r="C22" t="n">
        <v>92.70150998301099</v>
      </c>
      <c r="D22" t="n">
        <v>0.0047770444934249</v>
      </c>
      <c r="E22" t="n">
        <v>-6.2857956471037</v>
      </c>
      <c r="F22" t="n">
        <v>-2.0955604452724</v>
      </c>
      <c r="G22" t="n">
        <v>17911785.454453</v>
      </c>
      <c r="H22" t="n">
        <v>4331299.7614387</v>
      </c>
      <c r="I22" t="n">
        <v>-0.0019122200661938</v>
      </c>
      <c r="J22" t="n">
        <v>-0.0018204131935411</v>
      </c>
      <c r="K22" t="n">
        <v>0.0048141466148214</v>
      </c>
      <c r="L22" t="n">
        <v>-0.050978674982212</v>
      </c>
      <c r="M22" t="n">
        <v>-0.053212826311195</v>
      </c>
      <c r="N22" t="n">
        <v>517.46481176983</v>
      </c>
      <c r="O22" t="n">
        <v>559.14687267763</v>
      </c>
    </row>
    <row r="23">
      <c r="A23" t="n">
        <v>1.7086388495976</v>
      </c>
      <c r="B23" t="n">
        <v>0.0032510234530592</v>
      </c>
      <c r="C23" t="n">
        <v>92.701510385783</v>
      </c>
      <c r="D23" t="n">
        <v>0.005096584359831</v>
      </c>
      <c r="E23" t="n">
        <v>-6.2932212428529</v>
      </c>
      <c r="F23" t="n">
        <v>-2.0999067804948</v>
      </c>
      <c r="G23" t="n">
        <v>18145401.875567</v>
      </c>
      <c r="H23" t="n">
        <v>4371704.7703517</v>
      </c>
      <c r="I23" t="n">
        <v>-0.002062001019265</v>
      </c>
      <c r="J23" t="n">
        <v>-0.0019641876356208</v>
      </c>
      <c r="K23" t="n">
        <v>0.005112635661887</v>
      </c>
      <c r="L23" t="n">
        <v>-0.056043724933556</v>
      </c>
      <c r="M23" t="n">
        <v>-0.058399351963661</v>
      </c>
      <c r="N23" t="n">
        <v>519.9601039545</v>
      </c>
      <c r="O23" t="n">
        <v>563.3968838777801</v>
      </c>
    </row>
    <row r="24">
      <c r="A24" t="n">
        <v>1.8086388495976</v>
      </c>
      <c r="B24" t="n">
        <v>0.0035693909358681</v>
      </c>
      <c r="C24" t="n">
        <v>92.701499030823</v>
      </c>
      <c r="D24" t="n">
        <v>0.0054162899780039</v>
      </c>
      <c r="E24" t="n">
        <v>-6.2896331307987</v>
      </c>
      <c r="F24" t="n">
        <v>-2.104258577554</v>
      </c>
      <c r="G24" t="n">
        <v>18381967.532342</v>
      </c>
      <c r="H24" t="n">
        <v>4412605.0144165</v>
      </c>
      <c r="I24" t="n">
        <v>-0.0022118565235416</v>
      </c>
      <c r="J24" t="n">
        <v>-0.0021082657468719</v>
      </c>
      <c r="K24" t="n">
        <v>0.0054110339377973</v>
      </c>
      <c r="L24" t="n">
        <v>-0.061158705155775</v>
      </c>
      <c r="M24" t="n">
        <v>-0.063619007309357</v>
      </c>
      <c r="N24" t="n">
        <v>522.22256618089</v>
      </c>
      <c r="O24" t="n">
        <v>567.25835060773</v>
      </c>
    </row>
    <row r="25">
      <c r="A25" t="n">
        <v>1.9086388495976</v>
      </c>
      <c r="B25" t="n">
        <v>0.0038873629937142</v>
      </c>
      <c r="C25" t="n">
        <v>92.701472493327</v>
      </c>
      <c r="D25" t="n">
        <v>0.0057360931440202</v>
      </c>
      <c r="E25" t="n">
        <v>-6.290221134504</v>
      </c>
      <c r="F25" t="n">
        <v>-2.1044449985592</v>
      </c>
      <c r="G25" t="n">
        <v>18621199.781435</v>
      </c>
      <c r="H25" t="n">
        <v>4453951.4383833</v>
      </c>
      <c r="I25" t="n">
        <v>-0.0023617643619469</v>
      </c>
      <c r="J25" t="n">
        <v>-0.0022525761415776</v>
      </c>
      <c r="K25" t="n">
        <v>0.0057093415578116</v>
      </c>
      <c r="L25" t="n">
        <v>-0.06630936816327899</v>
      </c>
      <c r="M25" t="n">
        <v>-0.068858485712533</v>
      </c>
      <c r="N25" t="n">
        <v>524.2980548476399</v>
      </c>
      <c r="O25" t="n">
        <v>570.79328483906</v>
      </c>
    </row>
    <row r="26">
      <c r="A26" t="n">
        <v>2.0086388495976</v>
      </c>
      <c r="B26" t="n">
        <v>0.0042049893532604</v>
      </c>
      <c r="C26" t="n">
        <v>92.70143594825601</v>
      </c>
      <c r="D26" t="n">
        <v>0.0060559406853871</v>
      </c>
      <c r="E26" t="n">
        <v>-6.2908004032002</v>
      </c>
      <c r="F26" t="n">
        <v>-2.1046357509312</v>
      </c>
      <c r="G26" t="n">
        <v>18862852.956737</v>
      </c>
      <c r="H26" t="n">
        <v>4495701.3970218</v>
      </c>
      <c r="I26" t="n">
        <v>-0.0025117001801361</v>
      </c>
      <c r="J26" t="n">
        <v>-0.0023970694919122</v>
      </c>
      <c r="K26" t="n">
        <v>0.006007558625236</v>
      </c>
      <c r="L26" t="n">
        <v>-0.07149146258580601</v>
      </c>
      <c r="M26" t="n">
        <v>-0.07411501732739401</v>
      </c>
      <c r="N26" t="n">
        <v>526.22288427781</v>
      </c>
      <c r="O26" t="n">
        <v>574.05551114227</v>
      </c>
    </row>
    <row r="27">
      <c r="A27" t="n">
        <v>2.1086388495976</v>
      </c>
      <c r="B27" t="n">
        <v>0.0045223147766335</v>
      </c>
      <c r="C27" t="n">
        <v>92.701391934171</v>
      </c>
      <c r="D27" t="n">
        <v>0.0063757936354863</v>
      </c>
      <c r="E27" t="n">
        <v>-6.3023582204518</v>
      </c>
      <c r="F27" t="n">
        <v>-2.1048318029902</v>
      </c>
      <c r="G27" t="n">
        <v>19106725.208978</v>
      </c>
      <c r="H27" t="n">
        <v>4537819.8542309</v>
      </c>
      <c r="I27" t="n">
        <v>-0.0026616542866492</v>
      </c>
      <c r="J27" t="n">
        <v>-0.002541698877082</v>
      </c>
      <c r="K27" t="n">
        <v>0.0063056852171509</v>
      </c>
      <c r="L27" t="n">
        <v>-0.076697533002792</v>
      </c>
      <c r="M27" t="n">
        <v>-0.07939055251404201</v>
      </c>
      <c r="N27" t="n">
        <v>528.02507695445</v>
      </c>
      <c r="O27" t="n">
        <v>577.08860575859</v>
      </c>
    </row>
    <row r="28">
      <c r="A28" t="n">
        <v>2.2086388495976</v>
      </c>
      <c r="B28" t="n">
        <v>0.0048393717278266</v>
      </c>
      <c r="C28" t="n">
        <v>92.70135247466899</v>
      </c>
      <c r="D28" t="n">
        <v>0.0066956247121527</v>
      </c>
      <c r="E28" t="n">
        <v>-6.3097300138181</v>
      </c>
      <c r="F28" t="n">
        <v>-2.1092052196542</v>
      </c>
      <c r="G28" t="n">
        <v>19352658.14146</v>
      </c>
      <c r="H28" t="n">
        <v>4580279.3214853</v>
      </c>
      <c r="I28" t="n">
        <v>-0.0028116337960638</v>
      </c>
      <c r="J28" t="n">
        <v>-0.0026864150182614</v>
      </c>
      <c r="K28" t="n">
        <v>0.0066037214011439</v>
      </c>
      <c r="L28" t="n">
        <v>-0.081937851582218</v>
      </c>
      <c r="M28" t="n">
        <v>-0.084690444546664</v>
      </c>
      <c r="N28" t="n">
        <v>529.72556009935</v>
      </c>
      <c r="O28" t="n">
        <v>579.92591994638</v>
      </c>
    </row>
    <row r="29">
      <c r="A29" t="n">
        <v>2.3086388495976</v>
      </c>
      <c r="B29" t="n">
        <v>0.0051561852718169</v>
      </c>
      <c r="C29" t="n">
        <v>92.70130340380599</v>
      </c>
      <c r="D29" t="n">
        <v>0.0070154134503476</v>
      </c>
      <c r="E29" t="n">
        <v>-6.3102858509122</v>
      </c>
      <c r="F29" t="n">
        <v>-2.1094130117032</v>
      </c>
      <c r="G29" t="n">
        <v>19600521.533105</v>
      </c>
      <c r="H29" t="n">
        <v>4623057.2051508</v>
      </c>
      <c r="I29" t="n">
        <v>-0.0029616472845293</v>
      </c>
      <c r="J29" t="n">
        <v>-0.0028311764518628</v>
      </c>
      <c r="K29" t="n">
        <v>0.0069016672395159</v>
      </c>
      <c r="L29" t="n">
        <v>-0.08720576981056399</v>
      </c>
      <c r="M29" t="n">
        <v>-0.09001584892282299</v>
      </c>
      <c r="N29" t="n">
        <v>531.34068416129</v>
      </c>
      <c r="O29" t="n">
        <v>582.59419037135</v>
      </c>
    </row>
    <row r="30">
      <c r="A30" t="n">
        <v>2.4086388495976</v>
      </c>
      <c r="B30" t="n">
        <v>0.0054727764774096</v>
      </c>
      <c r="C30" t="n">
        <v>92.701261660242</v>
      </c>
      <c r="D30" t="n">
        <v>0.0073351455452599</v>
      </c>
      <c r="E30" t="n">
        <v>-6.3066305090454</v>
      </c>
      <c r="F30" t="n">
        <v>-2.1138198739138</v>
      </c>
      <c r="G30" t="n">
        <v>19850204.425652</v>
      </c>
      <c r="H30" t="n">
        <v>4666134.2553277</v>
      </c>
      <c r="I30" t="n">
        <v>-0.003111694897702</v>
      </c>
      <c r="J30" t="n">
        <v>-0.0029759567608054</v>
      </c>
      <c r="K30" t="n">
        <v>0.0071995227815959</v>
      </c>
      <c r="L30" t="n">
        <v>-0.09249763149479601</v>
      </c>
      <c r="M30" t="n">
        <v>-0.095358622934806</v>
      </c>
      <c r="N30" t="n">
        <v>532.88356098107</v>
      </c>
      <c r="O30" t="n">
        <v>585.11550804437</v>
      </c>
    </row>
    <row r="31">
      <c r="A31" t="n">
        <v>2.5086388495976</v>
      </c>
      <c r="B31" t="n">
        <v>0.0057891643583778</v>
      </c>
      <c r="C31" t="n">
        <v>92.70121396508399</v>
      </c>
      <c r="D31" t="n">
        <v>0.0076548107166664</v>
      </c>
      <c r="E31" t="n">
        <v>-6.3029679140303</v>
      </c>
      <c r="F31" t="n">
        <v>-2.1182327963376</v>
      </c>
      <c r="G31" t="n">
        <v>20101612.026796</v>
      </c>
      <c r="H31" t="n">
        <v>4709494.0279758</v>
      </c>
      <c r="I31" t="n">
        <v>-0.0032617705360784</v>
      </c>
      <c r="J31" t="n">
        <v>-0.0031207410162811</v>
      </c>
      <c r="K31" t="n">
        <v>0.0074972880706056</v>
      </c>
      <c r="L31" t="n">
        <v>-0.097809534965817</v>
      </c>
      <c r="M31" t="n">
        <v>-0.10071858299974</v>
      </c>
      <c r="N31" t="n">
        <v>534.36472835779</v>
      </c>
      <c r="O31" t="n">
        <v>587.5082130936501</v>
      </c>
    </row>
    <row r="32">
      <c r="A32" t="n">
        <v>2.6086388495976</v>
      </c>
      <c r="B32" t="n">
        <v>0.0061053660148075</v>
      </c>
      <c r="C32" t="n">
        <v>92.701163499576</v>
      </c>
      <c r="D32" t="n">
        <v>0.007974401629267399</v>
      </c>
      <c r="E32" t="n">
        <v>-6.3103314733869</v>
      </c>
      <c r="F32" t="n">
        <v>-2.1226111385838</v>
      </c>
      <c r="G32" t="n">
        <v>20354662.165649</v>
      </c>
      <c r="H32" t="n">
        <v>4753122.2694174</v>
      </c>
      <c r="I32" t="n">
        <v>-0.0034118668177031</v>
      </c>
      <c r="J32" t="n">
        <v>-0.0032655192885833</v>
      </c>
      <c r="K32" t="n">
        <v>0.007794963158871</v>
      </c>
      <c r="L32" t="n">
        <v>-0.10315056884403</v>
      </c>
      <c r="M32" t="n">
        <v>-0.1061039365852</v>
      </c>
      <c r="N32" t="n">
        <v>535.7929028859299</v>
      </c>
      <c r="O32" t="n">
        <v>589.7880468575</v>
      </c>
    </row>
    <row r="33">
      <c r="A33" t="n">
        <v>2.7086388495976</v>
      </c>
      <c r="B33" t="n">
        <v>0.0064213964376422</v>
      </c>
      <c r="C33" t="n">
        <v>92.701107536058</v>
      </c>
      <c r="D33" t="n">
        <v>0.0082939126426402</v>
      </c>
      <c r="E33" t="n">
        <v>-6.3108607287825</v>
      </c>
      <c r="F33" t="n">
        <v>-2.1228398663302</v>
      </c>
      <c r="G33" t="n">
        <v>20609283.669904</v>
      </c>
      <c r="H33" t="n">
        <v>4797006.6331214</v>
      </c>
      <c r="I33" t="n">
        <v>-0.0035619786705537</v>
      </c>
      <c r="J33" t="n">
        <v>-0.0034102823587927</v>
      </c>
      <c r="K33" t="n">
        <v>0.0080925481068513</v>
      </c>
      <c r="L33" t="n">
        <v>-0.1085080913709</v>
      </c>
      <c r="M33" t="n">
        <v>-0.11150726634709</v>
      </c>
      <c r="N33" t="n">
        <v>537.1752643436899</v>
      </c>
      <c r="O33" t="n">
        <v>591.96844128321</v>
      </c>
    </row>
    <row r="34">
      <c r="A34" t="n">
        <v>2.8086388495976</v>
      </c>
      <c r="B34" t="n">
        <v>0.0067372703512743</v>
      </c>
      <c r="C34" t="n">
        <v>92.701060939135</v>
      </c>
      <c r="D34" t="n">
        <v>0.008613339984405</v>
      </c>
      <c r="E34" t="n">
        <v>-6.3072168194019</v>
      </c>
      <c r="F34" t="n">
        <v>-2.127234727886</v>
      </c>
      <c r="G34" t="n">
        <v>20865417.076933</v>
      </c>
      <c r="H34" t="n">
        <v>4841136.8023328</v>
      </c>
      <c r="I34" t="n">
        <v>-0.0037121030282049</v>
      </c>
      <c r="J34" t="n">
        <v>-0.0035550226749282</v>
      </c>
      <c r="K34" t="n">
        <v>0.0083900429781358</v>
      </c>
      <c r="L34" t="n">
        <v>-0.11390048842487</v>
      </c>
      <c r="M34" t="n">
        <v>-0.11694159766005</v>
      </c>
      <c r="N34" t="n">
        <v>538.51722184145</v>
      </c>
      <c r="O34" t="n">
        <v>594.0602798098701</v>
      </c>
    </row>
    <row r="35">
      <c r="A35" t="n">
        <v>2.9086388495976</v>
      </c>
      <c r="B35" t="n">
        <v>0.007052996626586</v>
      </c>
      <c r="C35" t="n">
        <v>92.701030709954</v>
      </c>
      <c r="D35" t="n">
        <v>0.008932680985475901</v>
      </c>
      <c r="E35" t="n">
        <v>-6.3035435575042</v>
      </c>
      <c r="F35" t="n">
        <v>-2.1316546699484</v>
      </c>
      <c r="G35" t="n">
        <v>21123007.602424</v>
      </c>
      <c r="H35" t="n">
        <v>4885503.2727794</v>
      </c>
      <c r="I35" t="n">
        <v>-0.0038622362491552</v>
      </c>
      <c r="J35" t="n">
        <v>-0.0036997337525941</v>
      </c>
      <c r="K35" t="n">
        <v>0.008687447837077301</v>
      </c>
      <c r="L35" t="n">
        <v>-0.11931739755863</v>
      </c>
      <c r="M35" t="n">
        <v>-0.12240064507212</v>
      </c>
      <c r="N35" t="n">
        <v>539.8238972383</v>
      </c>
      <c r="O35" t="n">
        <v>596.0734319319899</v>
      </c>
    </row>
    <row r="36">
      <c r="A36" t="n">
        <v>3.0086388495976</v>
      </c>
      <c r="B36" t="n">
        <v>0.0073685848432915</v>
      </c>
      <c r="C36" t="n">
        <v>92.70098604326201</v>
      </c>
      <c r="D36" t="n">
        <v>0.009251934397489101</v>
      </c>
      <c r="E36" t="n">
        <v>-6.2915029143902</v>
      </c>
      <c r="F36" t="n">
        <v>-2.1444245758555</v>
      </c>
      <c r="G36" t="n">
        <v>21382008.332394</v>
      </c>
      <c r="H36" t="n">
        <v>4930097.9053575</v>
      </c>
      <c r="I36" t="n">
        <v>-0.0040123750110779</v>
      </c>
      <c r="J36" t="n">
        <v>-0.0038444111229029</v>
      </c>
      <c r="K36" t="n">
        <v>0.0089847627473512</v>
      </c>
      <c r="L36" t="n">
        <v>-0.12475414183784</v>
      </c>
      <c r="M36" t="n">
        <v>-0.12788112418915</v>
      </c>
      <c r="N36" t="n">
        <v>541.09926500344</v>
      </c>
      <c r="O36" t="n">
        <v>598.01601632838</v>
      </c>
    </row>
    <row r="37">
      <c r="A37" t="n">
        <v>3.1086388495976</v>
      </c>
      <c r="B37" t="n">
        <v>0.0076840435818818</v>
      </c>
      <c r="C37" t="n">
        <v>92.700934059125</v>
      </c>
      <c r="D37" t="n">
        <v>0.0095710999417669</v>
      </c>
      <c r="E37" t="n">
        <v>-6.2920087632099</v>
      </c>
      <c r="F37" t="n">
        <v>-2.1446653735378</v>
      </c>
      <c r="G37" t="n">
        <v>21642377.635272</v>
      </c>
      <c r="H37" t="n">
        <v>4974913.4762387</v>
      </c>
      <c r="I37" t="n">
        <v>-0.0041625160313167</v>
      </c>
      <c r="J37" t="n">
        <v>-0.003989051657205</v>
      </c>
      <c r="K37" t="n">
        <v>0.009281987772693101</v>
      </c>
      <c r="L37" t="n">
        <v>-0.13022423402391</v>
      </c>
      <c r="M37" t="n">
        <v>-0.13339221997136</v>
      </c>
      <c r="N37" t="n">
        <v>542.34664409509</v>
      </c>
      <c r="O37" t="n">
        <v>599.89500337871</v>
      </c>
    </row>
    <row r="38">
      <c r="A38" t="n">
        <v>3.2086388495976</v>
      </c>
      <c r="B38" t="n">
        <v>0.007999379526512</v>
      </c>
      <c r="C38" t="n">
        <v>92.70087781546999</v>
      </c>
      <c r="D38" t="n">
        <v>0.0098901774841014</v>
      </c>
      <c r="E38" t="n">
        <v>-6.2925110627988</v>
      </c>
      <c r="F38" t="n">
        <v>-2.1449068533856</v>
      </c>
      <c r="G38" t="n">
        <v>21904077.811232</v>
      </c>
      <c r="H38" t="n">
        <v>5019943.4443018</v>
      </c>
      <c r="I38" t="n">
        <v>-0.0043126553604817</v>
      </c>
      <c r="J38" t="n">
        <v>-0.0041336535688717</v>
      </c>
      <c r="K38" t="n">
        <v>0.0095791229769408</v>
      </c>
      <c r="L38" t="n">
        <v>-0.13570747454904</v>
      </c>
      <c r="M38" t="n">
        <v>-0.13891438266594</v>
      </c>
      <c r="N38" t="n">
        <v>543.56894991529</v>
      </c>
      <c r="O38" t="n">
        <v>601.71649242246</v>
      </c>
    </row>
    <row r="39">
      <c r="A39" t="n">
        <v>3.3086388495976</v>
      </c>
      <c r="B39" t="n">
        <v>0.008314599948646599</v>
      </c>
      <c r="C39" t="n">
        <v>92.70081828551</v>
      </c>
      <c r="D39" t="n">
        <v>0.010209167348333</v>
      </c>
      <c r="E39" t="n">
        <v>-6.2930099788303</v>
      </c>
      <c r="F39" t="n">
        <v>-2.1451488511698</v>
      </c>
      <c r="G39" t="n">
        <v>22167075.579916</v>
      </c>
      <c r="H39" t="n">
        <v>5065182.034471</v>
      </c>
      <c r="I39" t="n">
        <v>-0.0044627891391389</v>
      </c>
      <c r="J39" t="n">
        <v>-0.0042782162937768</v>
      </c>
      <c r="K39" t="n">
        <v>0.0098761684199645</v>
      </c>
      <c r="L39" t="n">
        <v>-0.14122904020355</v>
      </c>
      <c r="M39" t="n">
        <v>-0.14446669471744</v>
      </c>
      <c r="N39" t="n">
        <v>544.76851844003</v>
      </c>
      <c r="O39" t="n">
        <v>603.48573879233</v>
      </c>
    </row>
    <row r="40">
      <c r="A40" t="n">
        <v>3.4086388495976</v>
      </c>
      <c r="B40" t="n">
        <v>0.0086297095684785</v>
      </c>
      <c r="C40" t="n">
        <v>92.700764226023</v>
      </c>
      <c r="D40" t="n">
        <v>0.010528070077895</v>
      </c>
      <c r="E40" t="n">
        <v>-6.2935058019424</v>
      </c>
      <c r="F40" t="n">
        <v>-2.1453912347983</v>
      </c>
      <c r="G40" t="n">
        <v>22431338.683977</v>
      </c>
      <c r="H40" t="n">
        <v>5110623.6499357</v>
      </c>
      <c r="I40" t="n">
        <v>-0.0046129132777493</v>
      </c>
      <c r="J40" t="n">
        <v>-0.004422739217545</v>
      </c>
      <c r="K40" t="n">
        <v>0.010173124163976</v>
      </c>
      <c r="L40" t="n">
        <v>-0.14676860980044</v>
      </c>
      <c r="M40" t="n">
        <v>-0.15003759539681</v>
      </c>
      <c r="N40" t="n">
        <v>545.94774821343</v>
      </c>
      <c r="O40" t="n">
        <v>605.2077772922499</v>
      </c>
    </row>
    <row r="41">
      <c r="A41" t="n">
        <v>3.5086388495976</v>
      </c>
      <c r="B41" t="n">
        <v>0.008944713934467399</v>
      </c>
      <c r="C41" t="n">
        <v>92.70071257161899</v>
      </c>
      <c r="D41" t="n">
        <v>0.010846886714113</v>
      </c>
      <c r="E41" t="n">
        <v>-6.3049851117335</v>
      </c>
      <c r="F41" t="n">
        <v>-2.1456339668248</v>
      </c>
      <c r="G41" t="n">
        <v>22696839.508444</v>
      </c>
      <c r="H41" t="n">
        <v>5156263.4986468</v>
      </c>
      <c r="I41" t="n">
        <v>-0.0047630253420303</v>
      </c>
      <c r="J41" t="n">
        <v>-0.004567221613323</v>
      </c>
      <c r="K41" t="n">
        <v>0.010469990270338</v>
      </c>
      <c r="L41" t="n">
        <v>-0.15233854979413</v>
      </c>
      <c r="M41" t="n">
        <v>-0.1556363203743</v>
      </c>
      <c r="N41" t="n">
        <v>547.10832854955</v>
      </c>
      <c r="O41" t="n">
        <v>606.8866409364</v>
      </c>
    </row>
    <row r="42">
      <c r="A42" t="n">
        <v>3.6086388495976</v>
      </c>
      <c r="B42" t="n">
        <v>0.009259616928971001</v>
      </c>
      <c r="C42" t="n">
        <v>92.700654177309</v>
      </c>
      <c r="D42" t="n">
        <v>0.011165617958964</v>
      </c>
      <c r="E42" t="n">
        <v>-6.3037644979262</v>
      </c>
      <c r="F42" t="n">
        <v>-2.1585457642157</v>
      </c>
      <c r="G42" t="n">
        <v>22963552.446191</v>
      </c>
      <c r="H42" t="n">
        <v>5202097.1404001</v>
      </c>
      <c r="I42" t="n">
        <v>-0.0049131230814154</v>
      </c>
      <c r="J42" t="n">
        <v>-0.0047116625737492</v>
      </c>
      <c r="K42" t="n">
        <v>0.010766766799502</v>
      </c>
      <c r="L42" t="n">
        <v>-0.15793622556164</v>
      </c>
      <c r="M42" t="n">
        <v>-0.16125812224013</v>
      </c>
      <c r="N42" t="n">
        <v>548.25190590187</v>
      </c>
      <c r="O42" t="n">
        <v>608.52603106506</v>
      </c>
    </row>
    <row r="43">
      <c r="A43" t="n">
        <v>3.7086388495976</v>
      </c>
      <c r="B43" t="n">
        <v>0.0095744222564863</v>
      </c>
      <c r="C43" t="n">
        <v>92.700592828777</v>
      </c>
      <c r="D43" t="n">
        <v>0.011484264644418</v>
      </c>
      <c r="E43" t="n">
        <v>-6.3152299975695</v>
      </c>
      <c r="F43" t="n">
        <v>-2.1587983033564</v>
      </c>
      <c r="G43" t="n">
        <v>23231454.95817</v>
      </c>
      <c r="H43" t="n">
        <v>5248120.66813</v>
      </c>
      <c r="I43" t="n">
        <v>-0.0050632045123122</v>
      </c>
      <c r="J43" t="n">
        <v>-0.0048560616612212</v>
      </c>
      <c r="K43" t="n">
        <v>0.011063453812564</v>
      </c>
      <c r="L43" t="n">
        <v>-0.16355196365811</v>
      </c>
      <c r="M43" t="n">
        <v>-0.16690189189905</v>
      </c>
      <c r="N43" t="n">
        <v>549.37975254126</v>
      </c>
      <c r="O43" t="n">
        <v>610.12903874309</v>
      </c>
    </row>
    <row r="44">
      <c r="A44" t="n">
        <v>3.8086388495976</v>
      </c>
      <c r="B44" t="n">
        <v>0.0098891322791082</v>
      </c>
      <c r="C44" t="n">
        <v>92.70052927485099</v>
      </c>
      <c r="D44" t="n">
        <v>0.011802827596626</v>
      </c>
      <c r="E44" t="n">
        <v>-6.3157068516625</v>
      </c>
      <c r="F44" t="n">
        <v>-2.1590515174444</v>
      </c>
      <c r="G44" t="n">
        <v>23500525.168536</v>
      </c>
      <c r="H44" t="n">
        <v>5294330.292217</v>
      </c>
      <c r="I44" t="n">
        <v>-0.0052132683917531</v>
      </c>
      <c r="J44" t="n">
        <v>-0.0050004175739738</v>
      </c>
      <c r="K44" t="n">
        <v>0.011360051367161</v>
      </c>
      <c r="L44" t="n">
        <v>-0.16920651511221</v>
      </c>
      <c r="M44" t="n">
        <v>-0.17257892943036</v>
      </c>
      <c r="N44" t="n">
        <v>550.49323234451</v>
      </c>
      <c r="O44" t="n">
        <v>611.69869139199</v>
      </c>
    </row>
    <row r="45">
      <c r="A45" t="n">
        <v>3.9086388495976</v>
      </c>
      <c r="B45" t="n">
        <v>0.010203750035587</v>
      </c>
      <c r="C45" t="n">
        <v>92.700468519677</v>
      </c>
      <c r="D45" t="n">
        <v>0.0121213074054</v>
      </c>
      <c r="E45" t="n">
        <v>-6.3161813419953</v>
      </c>
      <c r="F45" t="n">
        <v>-2.1593056308556</v>
      </c>
      <c r="G45" t="n">
        <v>23770744.294848</v>
      </c>
      <c r="H45" t="n">
        <v>5340722.7606085</v>
      </c>
      <c r="I45" t="n">
        <v>-0.0053633139961876</v>
      </c>
      <c r="J45" t="n">
        <v>-0.0051447291702072</v>
      </c>
      <c r="K45" t="n">
        <v>0.011656559520344</v>
      </c>
      <c r="L45" t="n">
        <v>-0.1748759024249</v>
      </c>
      <c r="M45" t="n">
        <v>-0.17827034194627</v>
      </c>
      <c r="N45" t="n">
        <v>551.5932880805</v>
      </c>
      <c r="O45" t="n">
        <v>613.23738425243</v>
      </c>
    </row>
    <row r="46">
      <c r="A46" t="n">
        <v>4.0086388495976</v>
      </c>
      <c r="B46" t="n">
        <v>0.010518277301112</v>
      </c>
      <c r="C46" t="n">
        <v>92.700408181828</v>
      </c>
      <c r="D46" t="n">
        <v>0.012439704584573</v>
      </c>
      <c r="E46" t="n">
        <v>-6.312488393725</v>
      </c>
      <c r="F46" t="n">
        <v>-2.1527344120983</v>
      </c>
      <c r="G46" t="n">
        <v>24042095.203774</v>
      </c>
      <c r="H46" t="n">
        <v>5387295.1086379</v>
      </c>
      <c r="I46" t="n">
        <v>-0.0055133419294293</v>
      </c>
      <c r="J46" t="n">
        <v>-0.0052889943182644</v>
      </c>
      <c r="K46" t="n">
        <v>0.011952978330214</v>
      </c>
      <c r="L46" t="n">
        <v>-0.18057447205863</v>
      </c>
      <c r="M46" t="n">
        <v>-0.18398849904967</v>
      </c>
      <c r="N46" t="n">
        <v>552.68076171234</v>
      </c>
      <c r="O46" t="n">
        <v>614.74723557568</v>
      </c>
    </row>
    <row r="47">
      <c r="A47" t="n">
        <v>4.1086388495976</v>
      </c>
      <c r="B47" t="n">
        <v>0.010832715052443</v>
      </c>
      <c r="C47" t="n">
        <v>92.700350531933</v>
      </c>
      <c r="D47" t="n">
        <v>0.01275801944258</v>
      </c>
      <c r="E47" t="n">
        <v>-6.3129579220854</v>
      </c>
      <c r="F47" t="n">
        <v>-2.1529911158413</v>
      </c>
      <c r="G47" t="n">
        <v>24314561.366028</v>
      </c>
      <c r="H47" t="n">
        <v>5434044.480252</v>
      </c>
      <c r="I47" t="n">
        <v>-0.0056633527274914</v>
      </c>
      <c r="J47" t="n">
        <v>-0.0054332105718524</v>
      </c>
      <c r="K47" t="n">
        <v>0.012249307854744</v>
      </c>
      <c r="L47" t="n">
        <v>-0.18629691429157</v>
      </c>
      <c r="M47" t="n">
        <v>-0.18973089747335</v>
      </c>
      <c r="N47" t="n">
        <v>553.75663118573</v>
      </c>
      <c r="O47" t="n">
        <v>616.23036633548</v>
      </c>
    </row>
    <row r="48">
      <c r="A48" t="n">
        <v>4.2086388495976</v>
      </c>
      <c r="B48" t="n">
        <v>0.011147065861404</v>
      </c>
      <c r="C48" t="n">
        <v>92.70028962935299</v>
      </c>
      <c r="D48" t="n">
        <v>0.013076252880544</v>
      </c>
      <c r="E48" t="n">
        <v>-6.3091748179897</v>
      </c>
      <c r="F48" t="n">
        <v>-2.1465009414486</v>
      </c>
      <c r="G48" t="n">
        <v>24588128.273079</v>
      </c>
      <c r="H48" t="n">
        <v>5480968.3662023</v>
      </c>
      <c r="I48" t="n">
        <v>-0.0058133471338815</v>
      </c>
      <c r="J48" t="n">
        <v>-0.005577376160606</v>
      </c>
      <c r="K48" t="n">
        <v>0.01254554814888</v>
      </c>
      <c r="L48" t="n">
        <v>-0.19204406739513</v>
      </c>
      <c r="M48" t="n">
        <v>-0.19549498614957</v>
      </c>
      <c r="N48" t="n">
        <v>554.8214529934399</v>
      </c>
      <c r="O48" t="n">
        <v>617.68836232988</v>
      </c>
    </row>
    <row r="49">
      <c r="A49" t="n">
        <v>4.3086388495976</v>
      </c>
      <c r="B49" t="n">
        <v>0.011461331717624</v>
      </c>
      <c r="C49" t="n">
        <v>92.700229036235</v>
      </c>
      <c r="D49" t="n">
        <v>0.013394406102789</v>
      </c>
      <c r="E49" t="n">
        <v>-6.3096365385857</v>
      </c>
      <c r="F49" t="n">
        <v>-2.1357770763571</v>
      </c>
      <c r="G49" t="n">
        <v>24862781.022935</v>
      </c>
      <c r="H49" t="n">
        <v>5528064.1902372</v>
      </c>
      <c r="I49" t="n">
        <v>-0.0059633253787439</v>
      </c>
      <c r="J49" t="n">
        <v>-0.0057214894077963</v>
      </c>
      <c r="K49" t="n">
        <v>0.012841699265453</v>
      </c>
      <c r="L49" t="n">
        <v>-0.19781484629504</v>
      </c>
      <c r="M49" t="n">
        <v>-0.2012820375913</v>
      </c>
      <c r="N49" t="n">
        <v>555.8759882094801</v>
      </c>
      <c r="O49" t="n">
        <v>619.12294773965</v>
      </c>
    </row>
    <row r="50">
      <c r="A50" t="n">
        <v>4.4086388495976</v>
      </c>
      <c r="B50" t="n">
        <v>0.011775515735907</v>
      </c>
      <c r="C50" t="n">
        <v>92.700175457969</v>
      </c>
      <c r="D50" t="n">
        <v>0.013712480825163</v>
      </c>
      <c r="E50" t="n">
        <v>-6.3059638075359</v>
      </c>
      <c r="F50" t="n">
        <v>-2.1401678511498</v>
      </c>
      <c r="G50" t="n">
        <v>25138505.624958</v>
      </c>
      <c r="H50" t="n">
        <v>5575329.5309612</v>
      </c>
      <c r="I50" t="n">
        <v>-0.0061132872265402</v>
      </c>
      <c r="J50" t="n">
        <v>-0.0058655495859213</v>
      </c>
      <c r="K50" t="n">
        <v>0.013137761255368</v>
      </c>
      <c r="L50" t="n">
        <v>-0.20360808150525</v>
      </c>
      <c r="M50" t="n">
        <v>-0.20709052793298</v>
      </c>
      <c r="N50" t="n">
        <v>556.92075856061</v>
      </c>
      <c r="O50" t="n">
        <v>620.53557074615</v>
      </c>
    </row>
    <row r="51">
      <c r="A51" t="n">
        <v>4.5086388495976</v>
      </c>
      <c r="B51" t="n">
        <v>0.012089619691904</v>
      </c>
      <c r="C51" t="n">
        <v>92.700130018621</v>
      </c>
      <c r="D51" t="n">
        <v>0.014030478705447</v>
      </c>
      <c r="E51" t="n">
        <v>-6.3022809830148</v>
      </c>
      <c r="F51" t="n">
        <v>-2.1445684277804</v>
      </c>
      <c r="G51" t="n">
        <v>25415287.647609</v>
      </c>
      <c r="H51" t="n">
        <v>5622761.892576</v>
      </c>
      <c r="I51" t="n">
        <v>-0.0062632325134475</v>
      </c>
      <c r="J51" t="n">
        <v>-0.0060095554904772</v>
      </c>
      <c r="K51" t="n">
        <v>0.013433734166837</v>
      </c>
      <c r="L51" t="n">
        <v>-0.20941992994269</v>
      </c>
      <c r="M51" t="n">
        <v>-0.21291842544966</v>
      </c>
      <c r="N51" t="n">
        <v>557.9564842424001</v>
      </c>
      <c r="O51" t="n">
        <v>621.92779254764</v>
      </c>
    </row>
    <row r="52">
      <c r="A52" t="n">
        <v>4.6086388495976</v>
      </c>
      <c r="B52" t="n">
        <v>0.012403646369023</v>
      </c>
      <c r="C52" t="n">
        <v>92.70007542078299</v>
      </c>
      <c r="D52" t="n">
        <v>0.014348401687227</v>
      </c>
      <c r="E52" t="n">
        <v>-6.2942941974534</v>
      </c>
      <c r="F52" t="n">
        <v>-2.1532593282037</v>
      </c>
      <c r="G52" t="n">
        <v>25693114.282164</v>
      </c>
      <c r="H52" t="n">
        <v>5670359.0589197</v>
      </c>
      <c r="I52" t="n">
        <v>-0.0064131608830865</v>
      </c>
      <c r="J52" t="n">
        <v>-0.0061535067006691</v>
      </c>
      <c r="K52" t="n">
        <v>0.013729618052975</v>
      </c>
      <c r="L52" t="n">
        <v>-0.21526352747315</v>
      </c>
      <c r="M52" t="n">
        <v>-0.21877158146763</v>
      </c>
      <c r="N52" t="n">
        <v>558.98362272806</v>
      </c>
      <c r="O52" t="n">
        <v>623.30084346841</v>
      </c>
    </row>
    <row r="53">
      <c r="A53" t="n">
        <v>4.7086388495976</v>
      </c>
      <c r="B53" t="n">
        <v>0.0127175988959</v>
      </c>
      <c r="C53" t="n">
        <v>92.700017022512</v>
      </c>
      <c r="D53" t="n">
        <v>0.014666251395085</v>
      </c>
      <c r="E53" t="n">
        <v>-6.294745574141</v>
      </c>
      <c r="F53" t="n">
        <v>-2.1535280916797</v>
      </c>
      <c r="G53" t="n">
        <v>25971974.144993</v>
      </c>
      <c r="H53" t="n">
        <v>5718119.0615665</v>
      </c>
      <c r="I53" t="n">
        <v>-0.0065630720666244</v>
      </c>
      <c r="J53" t="n">
        <v>-0.006297403038442</v>
      </c>
      <c r="K53" t="n">
        <v>0.014025412966432</v>
      </c>
      <c r="L53" t="n">
        <v>-0.22112875468625</v>
      </c>
      <c r="M53" t="n">
        <v>-0.22465037841377</v>
      </c>
      <c r="N53" t="n">
        <v>560.00243310045</v>
      </c>
      <c r="O53" t="n">
        <v>624.65569724903</v>
      </c>
    </row>
    <row r="54">
      <c r="A54" t="n">
        <v>4.8086388495975</v>
      </c>
      <c r="B54" t="n">
        <v>0.013031477671047</v>
      </c>
      <c r="C54" t="n">
        <v>92.69995633040099</v>
      </c>
      <c r="D54" t="n">
        <v>0.014984029302464</v>
      </c>
      <c r="E54" t="n">
        <v>-6.2951954422213</v>
      </c>
      <c r="F54" t="n">
        <v>-2.1537973139769</v>
      </c>
      <c r="G54" t="n">
        <v>26251854.3573</v>
      </c>
      <c r="H54" t="n">
        <v>5766039.6759841</v>
      </c>
      <c r="I54" t="n">
        <v>-0.0067129655105375</v>
      </c>
      <c r="J54" t="n">
        <v>-0.0064412437248718</v>
      </c>
      <c r="K54" t="n">
        <v>0.01432111896004</v>
      </c>
      <c r="L54" t="n">
        <v>-0.22701455658095</v>
      </c>
      <c r="M54" t="n">
        <v>-0.23054524697573</v>
      </c>
      <c r="N54" t="n">
        <v>561.01360789774</v>
      </c>
      <c r="O54" t="n">
        <v>625.99366581367</v>
      </c>
    </row>
    <row r="55">
      <c r="A55" t="n">
        <v>4.9086388495975</v>
      </c>
      <c r="B55" t="n">
        <v>0.013345285286525</v>
      </c>
      <c r="C55" t="n">
        <v>92.69990249888301</v>
      </c>
      <c r="D55" t="n">
        <v>0.01530173695933</v>
      </c>
      <c r="E55" t="n">
        <v>-6.2803951491787</v>
      </c>
      <c r="F55" t="n">
        <v>-2.158319869645</v>
      </c>
      <c r="G55" t="n">
        <v>26532744.483945</v>
      </c>
      <c r="H55" t="n">
        <v>5814119.0997383</v>
      </c>
      <c r="I55" t="n">
        <v>-0.0068628404707079</v>
      </c>
      <c r="J55" t="n">
        <v>-0.0065850291222658</v>
      </c>
      <c r="K55" t="n">
        <v>0.014616736091239</v>
      </c>
      <c r="L55" t="n">
        <v>-0.2329236470151</v>
      </c>
      <c r="M55" t="n">
        <v>-0.23646330183581</v>
      </c>
      <c r="N55" t="n">
        <v>562.01738601012</v>
      </c>
      <c r="O55" t="n">
        <v>627.3155961566</v>
      </c>
    </row>
    <row r="56">
      <c r="A56" t="n">
        <v>5.0086388495975</v>
      </c>
      <c r="B56" t="n">
        <v>0.013659022976647</v>
      </c>
      <c r="C56" t="n">
        <v>92.699842469871</v>
      </c>
      <c r="D56" t="n">
        <v>0.015619375648952</v>
      </c>
      <c r="E56" t="n">
        <v>-6.2698530262125</v>
      </c>
      <c r="F56" t="n">
        <v>-2.1585923837612</v>
      </c>
      <c r="G56" t="n">
        <v>26814633.886569</v>
      </c>
      <c r="H56" t="n">
        <v>5862355.4968206</v>
      </c>
      <c r="I56" t="n">
        <v>-0.0070126959971331</v>
      </c>
      <c r="J56" t="n">
        <v>-0.0067287595510307</v>
      </c>
      <c r="K56" t="n">
        <v>0.014912264418233</v>
      </c>
      <c r="L56" t="n">
        <v>-0.2388500331641</v>
      </c>
      <c r="M56" t="n">
        <v>-0.2424005701671</v>
      </c>
      <c r="N56" t="n">
        <v>563.0141162536</v>
      </c>
      <c r="O56" t="n">
        <v>628.62235628562</v>
      </c>
    </row>
    <row r="57">
      <c r="A57" t="n">
        <v>5.1086388495975</v>
      </c>
      <c r="B57" t="n">
        <v>0.013972693104972</v>
      </c>
      <c r="C57" t="n">
        <v>92.699780310203</v>
      </c>
      <c r="D57" t="n">
        <v>0.015936946676589</v>
      </c>
      <c r="E57" t="n">
        <v>-6.2702958073996</v>
      </c>
      <c r="F57" t="n">
        <v>-2.1588651155062</v>
      </c>
      <c r="G57" t="n">
        <v>27097513.13622</v>
      </c>
      <c r="H57" t="n">
        <v>5910747.2422829</v>
      </c>
      <c r="I57" t="n">
        <v>-0.0071625314373254</v>
      </c>
      <c r="J57" t="n">
        <v>-0.0068724353024646</v>
      </c>
      <c r="K57" t="n">
        <v>0.015207703998793</v>
      </c>
      <c r="L57" t="n">
        <v>-0.24480701897471</v>
      </c>
      <c r="M57" t="n">
        <v>-0.24836276568357</v>
      </c>
      <c r="N57" t="n">
        <v>564.00402910307</v>
      </c>
      <c r="O57" t="n">
        <v>629.91468331525</v>
      </c>
    </row>
    <row r="58">
      <c r="A58" t="n">
        <v>5.2086388495975</v>
      </c>
      <c r="B58" t="n">
        <v>0.01428629731206</v>
      </c>
      <c r="C58" t="n">
        <v>92.699724897834</v>
      </c>
      <c r="D58" t="n">
        <v>0.016254451144086</v>
      </c>
      <c r="E58" t="n">
        <v>-6.2554861012339</v>
      </c>
      <c r="F58" t="n">
        <v>-2.1524073962509</v>
      </c>
      <c r="G58" t="n">
        <v>27381372.743949</v>
      </c>
      <c r="H58" t="n">
        <v>5959292.7015531</v>
      </c>
      <c r="I58" t="n">
        <v>-0.0073123460966245</v>
      </c>
      <c r="J58" t="n">
        <v>-0.0070160565449845</v>
      </c>
      <c r="K58" t="n">
        <v>0.015503054890594</v>
      </c>
      <c r="L58" t="n">
        <v>-0.25077856271457</v>
      </c>
      <c r="M58" t="n">
        <v>-0.25434243321004</v>
      </c>
      <c r="N58" t="n">
        <v>564.98739612959</v>
      </c>
      <c r="O58" t="n">
        <v>631.19330676585</v>
      </c>
    </row>
    <row r="59">
      <c r="A59" t="n">
        <v>5.3086388495975</v>
      </c>
      <c r="B59" t="n">
        <v>0.014599836792532</v>
      </c>
      <c r="C59" t="n">
        <v>92.699663918208</v>
      </c>
      <c r="D59" t="n">
        <v>0.016571890201201</v>
      </c>
      <c r="E59" t="n">
        <v>-6.2559232795917</v>
      </c>
      <c r="F59" t="n">
        <v>-2.1526834377841</v>
      </c>
      <c r="G59" t="n">
        <v>27666203.657206</v>
      </c>
      <c r="H59" t="n">
        <v>6007990.3160702</v>
      </c>
      <c r="I59" t="n">
        <v>-0.007462139460906</v>
      </c>
      <c r="J59" t="n">
        <v>-0.0071596233790672</v>
      </c>
      <c r="K59" t="n">
        <v>0.015798317154314</v>
      </c>
      <c r="L59" t="n">
        <v>-0.25677440837936</v>
      </c>
      <c r="M59" t="n">
        <v>-0.26034325096926</v>
      </c>
      <c r="N59" t="n">
        <v>565.9644738524401</v>
      </c>
      <c r="O59" t="n">
        <v>632.45888353892</v>
      </c>
    </row>
    <row r="60">
      <c r="A60" t="n">
        <v>5.4086388495975</v>
      </c>
      <c r="B60" t="n">
        <v>0.014913312147652</v>
      </c>
      <c r="C60" t="n">
        <v>92.699597471931</v>
      </c>
      <c r="D60" t="n">
        <v>0.016889264853756</v>
      </c>
      <c r="E60" t="n">
        <v>-6.2563590383621</v>
      </c>
      <c r="F60" t="n">
        <v>-2.130987115168</v>
      </c>
      <c r="G60" t="n">
        <v>27951996.475058</v>
      </c>
      <c r="H60" t="n">
        <v>6056838.4686147</v>
      </c>
      <c r="I60" t="n">
        <v>-0.0076119107052739</v>
      </c>
      <c r="J60" t="n">
        <v>-0.0073031359801502</v>
      </c>
      <c r="K60" t="n">
        <v>0.016093490849079</v>
      </c>
      <c r="L60" t="n">
        <v>-0.2627936997029</v>
      </c>
      <c r="M60" t="n">
        <v>-0.26636587605986</v>
      </c>
      <c r="N60" t="n">
        <v>566.93561914483</v>
      </c>
      <c r="O60" t="n">
        <v>633.71213785598</v>
      </c>
    </row>
    <row r="61">
      <c r="A61" t="n">
        <v>5.5086388495975</v>
      </c>
      <c r="B61" t="n">
        <v>0.015226724945489</v>
      </c>
      <c r="C61" t="n">
        <v>92.69952293593801</v>
      </c>
      <c r="D61" t="n">
        <v>0.017206576182677</v>
      </c>
      <c r="E61" t="n">
        <v>-6.2448866354614</v>
      </c>
      <c r="F61" t="n">
        <v>-2.1303981288743</v>
      </c>
      <c r="G61" t="n">
        <v>28238743.123491</v>
      </c>
      <c r="H61" t="n">
        <v>6105835.7705804</v>
      </c>
      <c r="I61" t="n">
        <v>-0.0077616590982826</v>
      </c>
      <c r="J61" t="n">
        <v>-0.0074465948427279</v>
      </c>
      <c r="K61" t="n">
        <v>0.01638857603568</v>
      </c>
      <c r="L61" t="n">
        <v>-0.26882910559629</v>
      </c>
      <c r="M61" t="n">
        <v>-0.27240461660449</v>
      </c>
      <c r="N61" t="n">
        <v>567.90096965956</v>
      </c>
      <c r="O61" t="n">
        <v>634.95353240112</v>
      </c>
    </row>
    <row r="62">
      <c r="A62" t="n">
        <v>5.6086388495975</v>
      </c>
      <c r="B62" t="n">
        <v>0.015540075857976</v>
      </c>
      <c r="C62" t="n">
        <v>92.699452080924</v>
      </c>
      <c r="D62" t="n">
        <v>0.017523825084167</v>
      </c>
      <c r="E62" t="n">
        <v>-6.2453168491489</v>
      </c>
      <c r="F62" t="n">
        <v>-2.1306722548529</v>
      </c>
      <c r="G62" t="n">
        <v>28526435.118002</v>
      </c>
      <c r="H62" t="n">
        <v>6154980.7652323</v>
      </c>
      <c r="I62" t="n">
        <v>-0.007911383930415799</v>
      </c>
      <c r="J62" t="n">
        <v>-0.0075900001343058</v>
      </c>
      <c r="K62" t="n">
        <v>0.016683572772413</v>
      </c>
      <c r="L62" t="n">
        <v>-0.274880866681</v>
      </c>
      <c r="M62" t="n">
        <v>-0.27846097884618</v>
      </c>
      <c r="N62" t="n">
        <v>568.86082541587</v>
      </c>
      <c r="O62" t="n">
        <v>636.18367652338</v>
      </c>
    </row>
    <row r="63">
      <c r="A63" t="n">
        <v>5.7086388495975</v>
      </c>
      <c r="B63" t="n">
        <v>0.015853366436229</v>
      </c>
      <c r="C63" t="n">
        <v>92.69938132745401</v>
      </c>
      <c r="D63" t="n">
        <v>0.017841012705905</v>
      </c>
      <c r="E63" t="n">
        <v>-6.245745768924</v>
      </c>
      <c r="F63" t="n">
        <v>-2.1309468882101</v>
      </c>
      <c r="G63" t="n">
        <v>28815065.105222</v>
      </c>
      <c r="H63" t="n">
        <v>6204272.189549</v>
      </c>
      <c r="I63" t="n">
        <v>-0.008061084683958501</v>
      </c>
      <c r="J63" t="n">
        <v>-0.0077333524369885</v>
      </c>
      <c r="K63" t="n">
        <v>0.016978481119006</v>
      </c>
      <c r="L63" t="n">
        <v>-0.28096073817588</v>
      </c>
      <c r="M63" t="n">
        <v>-0.28454255880631</v>
      </c>
      <c r="N63" t="n">
        <v>569.8152137474</v>
      </c>
      <c r="O63" t="n">
        <v>637.40289896047</v>
      </c>
    </row>
    <row r="64">
      <c r="A64" t="n">
        <v>5.8086388495975</v>
      </c>
      <c r="B64" t="n">
        <v>0.016166597636618</v>
      </c>
      <c r="C64" t="n">
        <v>92.699310062463</v>
      </c>
      <c r="D64" t="n">
        <v>0.018158140136476</v>
      </c>
      <c r="E64" t="n">
        <v>-6.2461734229712</v>
      </c>
      <c r="F64" t="n">
        <v>-2.1312220989987</v>
      </c>
      <c r="G64" t="n">
        <v>29104624.927609</v>
      </c>
      <c r="H64" t="n">
        <v>6253708.6431994</v>
      </c>
      <c r="I64" t="n">
        <v>-0.0082107608485137</v>
      </c>
      <c r="J64" t="n">
        <v>-0.0078766517431308</v>
      </c>
      <c r="K64" t="n">
        <v>0.017273301132452</v>
      </c>
      <c r="L64" t="n">
        <v>-0.28705451173619</v>
      </c>
      <c r="M64" t="n">
        <v>-0.29063911932092</v>
      </c>
      <c r="N64" t="n">
        <v>570.76439400605</v>
      </c>
      <c r="O64" t="n">
        <v>638.6117172571001</v>
      </c>
    </row>
    <row r="65">
      <c r="A65" t="n">
        <v>5.9086388495975</v>
      </c>
      <c r="B65" t="n">
        <v>0.016479770268875</v>
      </c>
      <c r="C65" t="n">
        <v>92.69923826917901</v>
      </c>
      <c r="D65" t="n">
        <v>0.01847520832114</v>
      </c>
      <c r="E65" t="n">
        <v>-6.2465997956031</v>
      </c>
      <c r="F65" t="n">
        <v>-2.1424842599873</v>
      </c>
      <c r="G65" t="n">
        <v>29395106.296968</v>
      </c>
      <c r="H65" t="n">
        <v>6303288.7046743</v>
      </c>
      <c r="I65" t="n">
        <v>-0.0083604119220473</v>
      </c>
      <c r="J65" t="n">
        <v>-0.008019898087780201</v>
      </c>
      <c r="K65" t="n">
        <v>0.01756803286808</v>
      </c>
      <c r="L65" t="n">
        <v>-0.29316490178019</v>
      </c>
      <c r="M65" t="n">
        <v>-0.29675351088611</v>
      </c>
      <c r="N65" t="n">
        <v>571.70863660883</v>
      </c>
      <c r="O65" t="n">
        <v>639.8106941521399</v>
      </c>
    </row>
    <row r="66">
      <c r="A66" t="n">
        <v>6.0086388495975</v>
      </c>
      <c r="B66" t="n">
        <v>0.016792886583246</v>
      </c>
      <c r="C66" t="n">
        <v>92.699165703712</v>
      </c>
      <c r="D66" t="n">
        <v>0.01879221863127</v>
      </c>
      <c r="E66" t="n">
        <v>-6.24702489776</v>
      </c>
      <c r="F66" t="n">
        <v>-2.1427606906168</v>
      </c>
      <c r="G66" t="n">
        <v>29686502.545879</v>
      </c>
      <c r="H66" t="n">
        <v>6353011.2304035</v>
      </c>
      <c r="I66" t="n">
        <v>-0.0085100375653058</v>
      </c>
      <c r="J66" t="n">
        <v>-0.008163091954039201</v>
      </c>
      <c r="K66" t="n">
        <v>0.017862676381663</v>
      </c>
      <c r="L66" t="n">
        <v>-0.29929721605342</v>
      </c>
      <c r="M66" t="n">
        <v>-0.30288564650217</v>
      </c>
      <c r="N66" t="n">
        <v>572.64790660433</v>
      </c>
      <c r="O66" t="n">
        <v>641.00004168941</v>
      </c>
    </row>
    <row r="67">
      <c r="A67" t="n">
        <v>6.1086388495975</v>
      </c>
      <c r="B67" t="n">
        <v>0.017105947579203</v>
      </c>
      <c r="C67" t="n">
        <v>92.699098143325</v>
      </c>
      <c r="D67" t="n">
        <v>0.019109172354787</v>
      </c>
      <c r="E67" t="n">
        <v>-6.2474487343379</v>
      </c>
      <c r="F67" t="n">
        <v>-2.1430377521152</v>
      </c>
      <c r="G67" t="n">
        <v>29978805.818886</v>
      </c>
      <c r="H67" t="n">
        <v>6402874.8725052</v>
      </c>
      <c r="I67" t="n">
        <v>-0.0086596374067278</v>
      </c>
      <c r="J67" t="n">
        <v>-0.008306233415174301</v>
      </c>
      <c r="K67" t="n">
        <v>0.018157231729352</v>
      </c>
      <c r="L67" t="n">
        <v>-0.30545283910278</v>
      </c>
      <c r="M67" t="n">
        <v>-0.30904267511711</v>
      </c>
      <c r="N67" t="n">
        <v>573.58239501056</v>
      </c>
      <c r="O67" t="n">
        <v>642.18019908605</v>
      </c>
    </row>
    <row r="68">
      <c r="A68" t="n">
        <v>6.2086388495975</v>
      </c>
      <c r="B68" t="n">
        <v>0.017418953851857</v>
      </c>
      <c r="C68" t="n">
        <v>92.69902686337601</v>
      </c>
      <c r="D68" t="n">
        <v>0.019426070615736</v>
      </c>
      <c r="E68" t="n">
        <v>-6.2436611776657</v>
      </c>
      <c r="F68" t="n">
        <v>-2.1475191257486</v>
      </c>
      <c r="G68" t="n">
        <v>30272007.58135</v>
      </c>
      <c r="H68" t="n">
        <v>6452878.1658735</v>
      </c>
      <c r="I68" t="n">
        <v>-0.0088092110669991</v>
      </c>
      <c r="J68" t="n">
        <v>-0.008449322199269299</v>
      </c>
      <c r="K68" t="n">
        <v>0.01845169896459</v>
      </c>
      <c r="L68" t="n">
        <v>-0.31161955599666</v>
      </c>
      <c r="M68" t="n">
        <v>-0.3152084103787</v>
      </c>
      <c r="N68" t="n">
        <v>574.51242875679</v>
      </c>
      <c r="O68" t="n">
        <v>643.35174434344</v>
      </c>
    </row>
    <row r="69">
      <c r="A69" t="n">
        <v>6.3086388495975</v>
      </c>
      <c r="B69" t="n">
        <v>0.017731907437382</v>
      </c>
      <c r="C69" t="n">
        <v>92.698963271709</v>
      </c>
      <c r="D69" t="n">
        <v>0.019742914860618</v>
      </c>
      <c r="E69" t="n">
        <v>-6.239814694931</v>
      </c>
      <c r="F69" t="n">
        <v>-2.1520579454176</v>
      </c>
      <c r="G69" t="n">
        <v>30566100.797822</v>
      </c>
      <c r="H69" t="n">
        <v>6503019.9014898</v>
      </c>
      <c r="I69" t="n">
        <v>-0.008958758549510001</v>
      </c>
      <c r="J69" t="n">
        <v>-0.008592358411233699</v>
      </c>
      <c r="K69" t="n">
        <v>0.018746078142449</v>
      </c>
      <c r="L69" t="n">
        <v>-0.31780645889748</v>
      </c>
      <c r="M69" t="n">
        <v>-0.3213973389297</v>
      </c>
      <c r="N69" t="n">
        <v>575.43801425251</v>
      </c>
      <c r="O69" t="n">
        <v>644.51492642204</v>
      </c>
    </row>
    <row r="70">
      <c r="A70" t="n">
        <v>6.4086388495975</v>
      </c>
      <c r="B70" t="n">
        <v>0.01804480943053</v>
      </c>
      <c r="C70" t="n">
        <v>92.698898877139</v>
      </c>
      <c r="D70" t="n">
        <v>0.020059706226735</v>
      </c>
      <c r="E70" t="n">
        <v>-6.229246113062</v>
      </c>
      <c r="F70" t="n">
        <v>-2.130366722762</v>
      </c>
      <c r="G70" t="n">
        <v>30861077.801011</v>
      </c>
      <c r="H70" t="n">
        <v>6553298.7648637</v>
      </c>
      <c r="I70" t="n">
        <v>-0.009108279745584501</v>
      </c>
      <c r="J70" t="n">
        <v>-0.0087353418049846</v>
      </c>
      <c r="K70" t="n">
        <v>0.019040369317227</v>
      </c>
      <c r="L70" t="n">
        <v>-0.32401021130851</v>
      </c>
      <c r="M70" t="n">
        <v>-0.32759914634435</v>
      </c>
      <c r="N70" t="n">
        <v>576.35934770049</v>
      </c>
      <c r="O70" t="n">
        <v>645.67016142505</v>
      </c>
    </row>
    <row r="71">
      <c r="A71" t="n">
        <v>6.5086388495975</v>
      </c>
      <c r="B71" t="n">
        <v>0.0183576618591</v>
      </c>
      <c r="C71" t="n">
        <v>92.698830895299</v>
      </c>
      <c r="D71" t="n">
        <v>0.020376446087339</v>
      </c>
      <c r="E71" t="n">
        <v>-6.2253635690613</v>
      </c>
      <c r="F71" t="n">
        <v>-2.1239554237174</v>
      </c>
      <c r="G71" t="n">
        <v>31156932.102002</v>
      </c>
      <c r="H71" t="n">
        <v>6603713.6435785</v>
      </c>
      <c r="I71" t="n">
        <v>-0.0092577745254334</v>
      </c>
      <c r="J71" t="n">
        <v>-0.008878272630880301</v>
      </c>
      <c r="K71" t="n">
        <v>0.019334572545789</v>
      </c>
      <c r="L71" t="n">
        <v>-0.33023691469403</v>
      </c>
      <c r="M71" t="n">
        <v>-0.33382497946562</v>
      </c>
      <c r="N71" t="n">
        <v>577.27642044988</v>
      </c>
      <c r="O71" t="n">
        <v>646.81766033696</v>
      </c>
    </row>
    <row r="72">
      <c r="A72" t="n">
        <v>6.6086388495975</v>
      </c>
      <c r="B72" t="n">
        <v>0.01867046509217</v>
      </c>
      <c r="C72" t="n">
        <v>92.698753376049</v>
      </c>
      <c r="D72" t="n">
        <v>0.020693135385127</v>
      </c>
      <c r="E72" t="n">
        <v>-6.2257779582111</v>
      </c>
      <c r="F72" t="n">
        <v>-2.1242392185533</v>
      </c>
      <c r="G72" t="n">
        <v>31453655.765429</v>
      </c>
      <c r="H72" t="n">
        <v>6654263.1772058</v>
      </c>
      <c r="I72" t="n">
        <v>-0.0094072426035272</v>
      </c>
      <c r="J72" t="n">
        <v>-0.009021150674156601</v>
      </c>
      <c r="K72" t="n">
        <v>0.019628687880981</v>
      </c>
      <c r="L72" t="n">
        <v>-0.33647878561103</v>
      </c>
      <c r="M72" t="n">
        <v>-0.34006840687746</v>
      </c>
      <c r="N72" t="n">
        <v>578.18949854364</v>
      </c>
      <c r="O72" t="n">
        <v>647.95787908129</v>
      </c>
    </row>
    <row r="73">
      <c r="A73" t="n">
        <v>6.7086388495975</v>
      </c>
      <c r="B73" t="n">
        <v>0.018983220181984</v>
      </c>
      <c r="C73" t="n">
        <v>92.698674186717</v>
      </c>
      <c r="D73" t="n">
        <v>0.021009775208897</v>
      </c>
      <c r="E73" t="n">
        <v>-6.2303356682943</v>
      </c>
      <c r="F73" t="n">
        <v>-2.1176799028049</v>
      </c>
      <c r="G73" t="n">
        <v>31751242.053699</v>
      </c>
      <c r="H73" t="n">
        <v>6704946.213108</v>
      </c>
      <c r="I73" t="n">
        <v>-0.0095566839031027</v>
      </c>
      <c r="J73" t="n">
        <v>-0.0091639758334591</v>
      </c>
      <c r="K73" t="n">
        <v>0.019922715379161</v>
      </c>
      <c r="L73" t="n">
        <v>-0.34274146628523</v>
      </c>
      <c r="M73" t="n">
        <v>-0.34632771713988</v>
      </c>
      <c r="N73" t="n">
        <v>579.09870404098</v>
      </c>
      <c r="O73" t="n">
        <v>649.09109755628</v>
      </c>
    </row>
    <row r="74">
      <c r="A74" t="n">
        <v>6.8086388495975</v>
      </c>
      <c r="B74" t="n">
        <v>0.019295928544251</v>
      </c>
      <c r="C74" t="n">
        <v>92.698596267746</v>
      </c>
      <c r="D74" t="n">
        <v>0.021326366589323</v>
      </c>
      <c r="E74" t="n">
        <v>-6.2307497335519</v>
      </c>
      <c r="F74" t="n">
        <v>-2.1289525902727</v>
      </c>
      <c r="G74" t="n">
        <v>32049685.063426</v>
      </c>
      <c r="H74" t="n">
        <v>6755761.7415484</v>
      </c>
      <c r="I74" t="n">
        <v>-0.009706098244767499</v>
      </c>
      <c r="J74" t="n">
        <v>-0.0093067484235604</v>
      </c>
      <c r="K74" t="n">
        <v>0.020216655093609</v>
      </c>
      <c r="L74" t="n">
        <v>-0.34901923657715</v>
      </c>
      <c r="M74" t="n">
        <v>-0.35260451105387</v>
      </c>
      <c r="N74" t="n">
        <v>580.00399848055</v>
      </c>
      <c r="O74" t="n">
        <v>650.21740319137</v>
      </c>
    </row>
    <row r="75">
      <c r="A75" t="n">
        <v>6.9086388495975</v>
      </c>
      <c r="B75" t="n">
        <v>0.019608590624919</v>
      </c>
      <c r="C75" t="n">
        <v>92.698518115542</v>
      </c>
      <c r="D75" t="n">
        <v>0.02164291032861</v>
      </c>
      <c r="E75" t="n">
        <v>-6.2201765719556</v>
      </c>
      <c r="F75" t="n">
        <v>-2.1182531742144</v>
      </c>
      <c r="G75" t="n">
        <v>32348978.037167</v>
      </c>
      <c r="H75" t="n">
        <v>6806708.6081614</v>
      </c>
      <c r="I75" t="n">
        <v>-0.0098554850277708</v>
      </c>
      <c r="J75" t="n">
        <v>-0.009449468701861301</v>
      </c>
      <c r="K75" t="n">
        <v>0.020510507076352</v>
      </c>
      <c r="L75" t="n">
        <v>-0.35531450384001</v>
      </c>
      <c r="M75" t="n">
        <v>-0.35889899584349</v>
      </c>
      <c r="N75" t="n">
        <v>580.90558055708</v>
      </c>
      <c r="O75" t="n">
        <v>651.33714071694</v>
      </c>
    </row>
    <row r="76">
      <c r="A76" t="n">
        <v>7.0086388495975</v>
      </c>
      <c r="B76" t="n">
        <v>0.019921207422186</v>
      </c>
      <c r="C76" t="n">
        <v>92.698439507918</v>
      </c>
      <c r="D76" t="n">
        <v>0.021959407213302</v>
      </c>
      <c r="E76" t="n">
        <v>-6.2205888651393</v>
      </c>
      <c r="F76" t="n">
        <v>-2.1185406462069</v>
      </c>
      <c r="G76" t="n">
        <v>32649115.220362</v>
      </c>
      <c r="H76" t="n">
        <v>6857785.8320313</v>
      </c>
      <c r="I76" t="n">
        <v>-0.010004843981645</v>
      </c>
      <c r="J76" t="n">
        <v>-0.0095921369353489</v>
      </c>
      <c r="K76" t="n">
        <v>0.020804271382053</v>
      </c>
      <c r="L76" t="n">
        <v>-0.36163192130626</v>
      </c>
      <c r="M76" t="n">
        <v>-0.36521341473792</v>
      </c>
      <c r="N76" t="n">
        <v>581.80348644912</v>
      </c>
      <c r="O76" t="n">
        <v>652.45045520214</v>
      </c>
    </row>
    <row r="77">
      <c r="A77" t="n">
        <v>7.1086388495975</v>
      </c>
      <c r="B77" t="n">
        <v>0.020233779433498</v>
      </c>
      <c r="C77" t="n">
        <v>92.69836034897401</v>
      </c>
      <c r="D77" t="n">
        <v>0.022275858041822</v>
      </c>
      <c r="E77" t="n">
        <v>-6.2100139489193</v>
      </c>
      <c r="F77" t="n">
        <v>-2.1188286738788</v>
      </c>
      <c r="G77" t="n">
        <v>32950090.702887</v>
      </c>
      <c r="H77" t="n">
        <v>6908992.4053649</v>
      </c>
      <c r="I77" t="n">
        <v>-0.010154174358188</v>
      </c>
      <c r="J77" t="n">
        <v>-0.0097347537657784</v>
      </c>
      <c r="K77" t="n">
        <v>0.021097948065748</v>
      </c>
      <c r="L77" t="n">
        <v>-0.36796392582862</v>
      </c>
      <c r="M77" t="n">
        <v>-0.37154308208087</v>
      </c>
      <c r="N77" t="n">
        <v>582.69778483638</v>
      </c>
      <c r="O77" t="n">
        <v>653.55749345805</v>
      </c>
    </row>
    <row r="78">
      <c r="A78" t="n">
        <v>7.2086388495975</v>
      </c>
      <c r="B78" t="n">
        <v>0.020546307225709</v>
      </c>
      <c r="C78" t="n">
        <v>92.69828062875899</v>
      </c>
      <c r="D78" t="n">
        <v>0.022592263433857</v>
      </c>
      <c r="E78" t="n">
        <v>-6.2104245189031</v>
      </c>
      <c r="F78" t="n">
        <v>-2.130103541368</v>
      </c>
      <c r="G78" t="n">
        <v>33251898.529043</v>
      </c>
      <c r="H78" t="n">
        <v>6960327.3136512</v>
      </c>
      <c r="I78" t="n">
        <v>-0.010303475590566</v>
      </c>
      <c r="J78" t="n">
        <v>-0.009877319615222599</v>
      </c>
      <c r="K78" t="n">
        <v>0.021391537178123</v>
      </c>
      <c r="L78" t="n">
        <v>-0.37431281608195</v>
      </c>
      <c r="M78" t="n">
        <v>-0.37788938985894</v>
      </c>
      <c r="N78" t="n">
        <v>583.58857595027</v>
      </c>
      <c r="O78" t="n">
        <v>654.65847191552</v>
      </c>
    </row>
    <row r="79">
      <c r="A79" t="n">
        <v>7.3086388495975</v>
      </c>
      <c r="B79" t="n">
        <v>0.020858791237919</v>
      </c>
      <c r="C79" t="n">
        <v>92.69820030104</v>
      </c>
      <c r="D79" t="n">
        <v>0.022908624115259</v>
      </c>
      <c r="E79" t="n">
        <v>-6.2108342489754</v>
      </c>
      <c r="F79" t="n">
        <v>-2.1303925688968</v>
      </c>
      <c r="G79" t="n">
        <v>33554533.013081</v>
      </c>
      <c r="H79" t="n">
        <v>7011789.5887476</v>
      </c>
      <c r="I79" t="n">
        <v>-0.010452747281979</v>
      </c>
      <c r="J79" t="n">
        <v>-0.010019834796056</v>
      </c>
      <c r="K79" t="n">
        <v>0.021685038776479</v>
      </c>
      <c r="L79" t="n">
        <v>-0.38067967070008</v>
      </c>
      <c r="M79" t="n">
        <v>-0.38425577352124</v>
      </c>
      <c r="N79" t="n">
        <v>584.47593338559</v>
      </c>
      <c r="O79" t="n">
        <v>655.75354303492</v>
      </c>
    </row>
    <row r="80">
      <c r="A80" t="n">
        <v>7.4086388495975</v>
      </c>
      <c r="B80" t="n">
        <v>0.021171232443725</v>
      </c>
      <c r="C80" t="n">
        <v>92.698119282467</v>
      </c>
      <c r="D80" t="n">
        <v>0.023224940792672</v>
      </c>
      <c r="E80" t="n">
        <v>-6.2222295348267</v>
      </c>
      <c r="F80" t="n">
        <v>-2.1306820062628</v>
      </c>
      <c r="G80" t="n">
        <v>33857989.052498</v>
      </c>
      <c r="H80" t="n">
        <v>7063378.3640595</v>
      </c>
      <c r="I80" t="n">
        <v>-0.010601989040646</v>
      </c>
      <c r="J80" t="n">
        <v>-0.010162299706241</v>
      </c>
      <c r="K80" t="n">
        <v>0.021978452911877</v>
      </c>
      <c r="L80" t="n">
        <v>-0.38706281666287</v>
      </c>
      <c r="M80" t="n">
        <v>-0.39063610227441</v>
      </c>
      <c r="N80" t="n">
        <v>585.35986807657</v>
      </c>
      <c r="O80" t="n">
        <v>656.84278982246</v>
      </c>
    </row>
    <row r="81">
      <c r="A81" t="n">
        <v>7.5086388495975</v>
      </c>
      <c r="B81" t="n">
        <v>0.021483630742755</v>
      </c>
      <c r="C81" t="n">
        <v>92.698046413003</v>
      </c>
      <c r="D81" t="n">
        <v>0.023541213987332</v>
      </c>
      <c r="E81" t="n">
        <v>-6.2293818995238</v>
      </c>
      <c r="F81" t="n">
        <v>-2.1461944065293</v>
      </c>
      <c r="G81" t="n">
        <v>34162260.510945</v>
      </c>
      <c r="H81" t="n">
        <v>7115092.5946493</v>
      </c>
      <c r="I81" t="n">
        <v>-0.010751200476881</v>
      </c>
      <c r="J81" t="n">
        <v>-0.010304714453336</v>
      </c>
      <c r="K81" t="n">
        <v>0.022271779640892</v>
      </c>
      <c r="L81" t="n">
        <v>-0.39346052852174</v>
      </c>
      <c r="M81" t="n">
        <v>-0.397033528008</v>
      </c>
      <c r="N81" t="n">
        <v>586.24054925461</v>
      </c>
      <c r="O81" t="n">
        <v>657.92646989843</v>
      </c>
    </row>
    <row r="82">
      <c r="A82" t="n">
        <v>7.6086388495975</v>
      </c>
      <c r="B82" t="n">
        <v>0.02179598690249</v>
      </c>
      <c r="C82" t="n">
        <v>92.69797147872301</v>
      </c>
      <c r="D82" t="n">
        <v>0.0238574443648</v>
      </c>
      <c r="E82" t="n">
        <v>-6.2517610606795</v>
      </c>
      <c r="F82" t="n">
        <v>-2.1684580676136</v>
      </c>
      <c r="G82" t="n">
        <v>34467342.301608</v>
      </c>
      <c r="H82" t="n">
        <v>7166931.4159591</v>
      </c>
      <c r="I82" t="n">
        <v>-0.010900381431231</v>
      </c>
      <c r="J82" t="n">
        <v>-0.010447079281443</v>
      </c>
      <c r="K82" t="n">
        <v>0.022565019016099</v>
      </c>
      <c r="L82" t="n">
        <v>-0.39987606552758</v>
      </c>
      <c r="M82" t="n">
        <v>-0.40344634950895</v>
      </c>
      <c r="N82" t="n">
        <v>587.11796471338</v>
      </c>
      <c r="O82" t="n">
        <v>659.0046541747799</v>
      </c>
    </row>
    <row r="83">
      <c r="A83" t="n">
        <v>7.7086388495975</v>
      </c>
      <c r="B83" t="n">
        <v>0.022108301470568</v>
      </c>
      <c r="C83" t="n">
        <v>92.697895778188</v>
      </c>
      <c r="D83" t="n">
        <v>0.024173632473063</v>
      </c>
      <c r="E83" t="n">
        <v>-6.2411804638266</v>
      </c>
      <c r="F83" t="n">
        <v>-2.1797356544741</v>
      </c>
      <c r="G83" t="n">
        <v>34773229.015864</v>
      </c>
      <c r="H83" t="n">
        <v>7218893.9097125</v>
      </c>
      <c r="I83" t="n">
        <v>-0.011049531670415</v>
      </c>
      <c r="J83" t="n">
        <v>-0.01058939430529</v>
      </c>
      <c r="K83" t="n">
        <v>0.022858171091418</v>
      </c>
      <c r="L83" t="n">
        <v>-0.40630479977545</v>
      </c>
      <c r="M83" t="n">
        <v>-0.40987306150754</v>
      </c>
      <c r="N83" t="n">
        <v>587.99219120544</v>
      </c>
      <c r="O83" t="n">
        <v>660.07748940162</v>
      </c>
    </row>
    <row r="84">
      <c r="A84" t="n">
        <v>7.8086388495975</v>
      </c>
      <c r="B84" t="n">
        <v>0.022420575281663</v>
      </c>
      <c r="C84" t="n">
        <v>92.697821896056</v>
      </c>
      <c r="D84" t="n">
        <v>0.024489778974682</v>
      </c>
      <c r="E84" t="n">
        <v>-6.2812414354157</v>
      </c>
      <c r="F84" t="n">
        <v>-2.1843062150957</v>
      </c>
      <c r="G84" t="n">
        <v>35079915.508111</v>
      </c>
      <c r="H84" t="n">
        <v>7270979.2013563</v>
      </c>
      <c r="I84" t="n">
        <v>-0.011198651009985</v>
      </c>
      <c r="J84" t="n">
        <v>-0.010731659802857</v>
      </c>
      <c r="K84" t="n">
        <v>0.023151235918714</v>
      </c>
      <c r="L84" t="n">
        <v>-0.41275256619544</v>
      </c>
      <c r="M84" t="n">
        <v>-0.41631850149838</v>
      </c>
      <c r="N84" t="n">
        <v>588.86321779203</v>
      </c>
      <c r="O84" t="n">
        <v>661.14504122664</v>
      </c>
    </row>
    <row r="85">
      <c r="A85" t="n">
        <v>7.9086388495975</v>
      </c>
      <c r="B85" t="n">
        <v>0.022732808580932</v>
      </c>
      <c r="C85" t="n">
        <v>92.697744976289</v>
      </c>
      <c r="D85" t="n">
        <v>0.024805884372675</v>
      </c>
      <c r="E85" t="n">
        <v>-6.2926302577486</v>
      </c>
      <c r="F85" t="n">
        <v>-2.1955860526716</v>
      </c>
      <c r="G85" t="n">
        <v>35387395.974443</v>
      </c>
      <c r="H85" t="n">
        <v>7323186.3047568</v>
      </c>
      <c r="I85" t="n">
        <v>-0.01134773902078</v>
      </c>
      <c r="J85" t="n">
        <v>-0.010873875923517</v>
      </c>
      <c r="K85" t="n">
        <v>0.023444213551176</v>
      </c>
      <c r="L85" t="n">
        <v>-0.41921166405037</v>
      </c>
      <c r="M85" t="n">
        <v>-0.42277804186804</v>
      </c>
      <c r="N85" t="n">
        <v>589.73119698606</v>
      </c>
      <c r="O85" t="n">
        <v>662.20755257171</v>
      </c>
    </row>
    <row r="86">
      <c r="A86" t="n">
        <v>8.008638849597499</v>
      </c>
      <c r="B86" t="n">
        <v>0.023045002101453</v>
      </c>
      <c r="C86" t="n">
        <v>92.69766637414899</v>
      </c>
      <c r="D86" t="n">
        <v>0.025121949271185</v>
      </c>
      <c r="E86" t="n">
        <v>-6.266905899981</v>
      </c>
      <c r="F86" t="n">
        <v>-2.200028848778</v>
      </c>
      <c r="G86" t="n">
        <v>35695665.19655</v>
      </c>
      <c r="H86" t="n">
        <v>7375514.3339147</v>
      </c>
      <c r="I86" t="n">
        <v>-0.011496795297475</v>
      </c>
      <c r="J86" t="n">
        <v>-0.011016043075654</v>
      </c>
      <c r="K86" t="n">
        <v>0.023737104038115</v>
      </c>
      <c r="L86" t="n">
        <v>-0.42568477691983</v>
      </c>
      <c r="M86" t="n">
        <v>-0.42925057798845</v>
      </c>
      <c r="N86" t="n">
        <v>590.5961531731</v>
      </c>
      <c r="O86" t="n">
        <v>663.26512939443</v>
      </c>
    </row>
    <row r="87">
      <c r="A87" t="n">
        <v>8.108638849597501</v>
      </c>
      <c r="B87" t="n">
        <v>0.023357156290894</v>
      </c>
      <c r="C87" t="n">
        <v>92.697586602494</v>
      </c>
      <c r="D87" t="n">
        <v>0.02543797431745</v>
      </c>
      <c r="E87" t="n">
        <v>-6.2673073948028</v>
      </c>
      <c r="F87" t="n">
        <v>-2.2003223922442</v>
      </c>
      <c r="G87" t="n">
        <v>36004717.775654</v>
      </c>
      <c r="H87" t="n">
        <v>7427962.3724058</v>
      </c>
      <c r="I87" t="n">
        <v>-0.011645819527393</v>
      </c>
      <c r="J87" t="n">
        <v>-0.011158161492557</v>
      </c>
      <c r="K87" t="n">
        <v>0.024029907433995</v>
      </c>
      <c r="L87" t="n">
        <v>-0.43217597335649</v>
      </c>
      <c r="M87" t="n">
        <v>-0.43574055727434</v>
      </c>
      <c r="N87" t="n">
        <v>591.45815991451</v>
      </c>
      <c r="O87" t="n">
        <v>664.31791810494</v>
      </c>
    </row>
    <row r="88">
      <c r="A88" t="n">
        <v>8.2086388495975</v>
      </c>
      <c r="B88" t="n">
        <v>0.023669272255625</v>
      </c>
      <c r="C88" t="n">
        <v>92.697497858126</v>
      </c>
      <c r="D88" t="n">
        <v>0.025753960111339</v>
      </c>
      <c r="E88" t="n">
        <v>-6.2826588515937</v>
      </c>
      <c r="F88" t="n">
        <v>-2.2045725733023</v>
      </c>
      <c r="G88" t="n">
        <v>36314548.724369</v>
      </c>
      <c r="H88" t="n">
        <v>7480529.5742794</v>
      </c>
      <c r="I88" t="n">
        <v>-0.011794811409994</v>
      </c>
      <c r="J88" t="n">
        <v>-0.011300231589416</v>
      </c>
      <c r="K88" t="n">
        <v>0.024322623791451</v>
      </c>
      <c r="L88" t="n">
        <v>-0.43868091761126</v>
      </c>
      <c r="M88" t="n">
        <v>-0.44224632658309</v>
      </c>
      <c r="N88" t="n">
        <v>592.31718238342</v>
      </c>
      <c r="O88" t="n">
        <v>665.3659707819299</v>
      </c>
    </row>
    <row r="89">
      <c r="A89" t="n">
        <v>8.3086388495975</v>
      </c>
      <c r="B89" t="n">
        <v>0.023981350335815</v>
      </c>
      <c r="C89" t="n">
        <v>92.697411523253</v>
      </c>
      <c r="D89" t="n">
        <v>0.026069907195602</v>
      </c>
      <c r="E89" t="n">
        <v>-6.3050313820017</v>
      </c>
      <c r="F89" t="n">
        <v>-2.2048661719253</v>
      </c>
      <c r="G89" t="n">
        <v>36625152.645234</v>
      </c>
      <c r="H89" t="n">
        <v>7533215.0247152</v>
      </c>
      <c r="I89" t="n">
        <v>-0.011943770496425</v>
      </c>
      <c r="J89" t="n">
        <v>-0.011442253633327</v>
      </c>
      <c r="K89" t="n">
        <v>0.024615253162703</v>
      </c>
      <c r="L89" t="n">
        <v>-0.44519806846877</v>
      </c>
      <c r="M89" t="n">
        <v>-0.44876286016082</v>
      </c>
      <c r="N89" t="n">
        <v>593.17332842423</v>
      </c>
      <c r="O89" t="n">
        <v>666.40945529798</v>
      </c>
    </row>
    <row r="90">
      <c r="A90" t="n">
        <v>8.4086388495975</v>
      </c>
      <c r="B90" t="n">
        <v>0.024293390888924</v>
      </c>
      <c r="C90" t="n">
        <v>92.697325853371</v>
      </c>
      <c r="D90" t="n">
        <v>0.026385816057354</v>
      </c>
      <c r="E90" t="n">
        <v>-6.3164170091251</v>
      </c>
      <c r="F90" t="n">
        <v>-2.2051600421699</v>
      </c>
      <c r="G90" t="n">
        <v>36936524.041087</v>
      </c>
      <c r="H90" t="n">
        <v>7586017.7913023</v>
      </c>
      <c r="I90" t="n">
        <v>-0.012092696403362</v>
      </c>
      <c r="J90" t="n">
        <v>-0.011584227887394</v>
      </c>
      <c r="K90" t="n">
        <v>0.024907795599865</v>
      </c>
      <c r="L90" t="n">
        <v>-0.45173115729745</v>
      </c>
      <c r="M90" t="n">
        <v>-0.45529648018785</v>
      </c>
      <c r="N90" t="n">
        <v>594.02669534218</v>
      </c>
      <c r="O90" t="n">
        <v>667.4485569708</v>
      </c>
    </row>
    <row r="91">
      <c r="A91" t="n">
        <v>8.508638849597499</v>
      </c>
      <c r="B91" t="n">
        <v>0.024605394476297</v>
      </c>
      <c r="C91" t="n">
        <v>92.69723680806401</v>
      </c>
      <c r="D91" t="n">
        <v>0.026701687367113</v>
      </c>
      <c r="E91" t="n">
        <v>-6.3387883588941</v>
      </c>
      <c r="F91" t="n">
        <v>-2.2164405090588</v>
      </c>
      <c r="G91" t="n">
        <v>37248657.640208</v>
      </c>
      <c r="H91" t="n">
        <v>7638936.9803587</v>
      </c>
      <c r="I91" t="n">
        <v>-0.012241588747662</v>
      </c>
      <c r="J91" t="n">
        <v>-0.011726154634891</v>
      </c>
      <c r="K91" t="n">
        <v>0.02520025115768</v>
      </c>
      <c r="L91" t="n">
        <v>-0.45827862112985</v>
      </c>
      <c r="M91" t="n">
        <v>-0.46184460160357</v>
      </c>
      <c r="N91" t="n">
        <v>594.8773555458999</v>
      </c>
      <c r="O91" t="n">
        <v>668.48341229408</v>
      </c>
    </row>
    <row r="92">
      <c r="A92" t="n">
        <v>8.608638849597501</v>
      </c>
      <c r="B92" t="n">
        <v>0.024917362550181</v>
      </c>
      <c r="C92" t="n">
        <v>92.69714184929801</v>
      </c>
      <c r="D92" t="n">
        <v>0.027017521908577</v>
      </c>
      <c r="E92" t="n">
        <v>-6.3653947471036</v>
      </c>
      <c r="F92" t="n">
        <v>-2.2209654304758</v>
      </c>
      <c r="G92" t="n">
        <v>37561548.945138</v>
      </c>
      <c r="H92" t="n">
        <v>7691971.8304291</v>
      </c>
      <c r="I92" t="n">
        <v>-0.0123904473605</v>
      </c>
      <c r="J92" t="n">
        <v>-0.011868034238721</v>
      </c>
      <c r="K92" t="n">
        <v>0.025492619885877</v>
      </c>
      <c r="L92" t="n">
        <v>-0.46483966722199</v>
      </c>
      <c r="M92" t="n">
        <v>-0.46840273435437</v>
      </c>
      <c r="N92" t="n">
        <v>595.72522752948</v>
      </c>
      <c r="O92" t="n">
        <v>669.51400580923</v>
      </c>
    </row>
    <row r="93">
      <c r="A93" t="n">
        <v>8.7086388495975</v>
      </c>
      <c r="B93" t="n">
        <v>0.025229295704157</v>
      </c>
      <c r="C93" t="n">
        <v>92.69705062318501</v>
      </c>
      <c r="D93" t="n">
        <v>0.027333320302679</v>
      </c>
      <c r="E93" t="n">
        <v>-6.3767803538354</v>
      </c>
      <c r="F93" t="n">
        <v>-2.221261960962</v>
      </c>
      <c r="G93" t="n">
        <v>37875192.57252</v>
      </c>
      <c r="H93" t="n">
        <v>7745121.4290465</v>
      </c>
      <c r="I93" t="n">
        <v>-0.012539271887125</v>
      </c>
      <c r="J93" t="n">
        <v>-0.012009867008687</v>
      </c>
      <c r="K93" t="n">
        <v>0.025784901836771</v>
      </c>
      <c r="L93" t="n">
        <v>-0.47141828042554</v>
      </c>
      <c r="M93" t="n">
        <v>-0.47498175372626</v>
      </c>
      <c r="N93" t="n">
        <v>596.5703802450701</v>
      </c>
      <c r="O93" t="n">
        <v>670.54049377941</v>
      </c>
    </row>
    <row r="94">
      <c r="A94" t="n">
        <v>8.8086388495975</v>
      </c>
      <c r="B94" t="n">
        <v>0.025541194114738</v>
      </c>
      <c r="C94" t="n">
        <v>92.69696000734</v>
      </c>
      <c r="D94" t="n">
        <v>0.027649083149554</v>
      </c>
      <c r="E94" t="n">
        <v>-6.3991516857733</v>
      </c>
      <c r="F94" t="n">
        <v>-2.2215587994879</v>
      </c>
      <c r="G94" t="n">
        <v>38189583.269843</v>
      </c>
      <c r="H94" t="n">
        <v>7798384.8873565</v>
      </c>
      <c r="I94" t="n">
        <v>-0.01268806192002</v>
      </c>
      <c r="J94" t="n">
        <v>-0.012151653154609</v>
      </c>
      <c r="K94" t="n">
        <v>0.026077097061929</v>
      </c>
      <c r="L94" t="n">
        <v>-0.47800699169509</v>
      </c>
      <c r="M94" t="n">
        <v>-0.48157135070376</v>
      </c>
      <c r="N94" t="n">
        <v>597.41292116506</v>
      </c>
      <c r="O94" t="n">
        <v>671.56302552241</v>
      </c>
    </row>
    <row r="95">
      <c r="A95" t="n">
        <v>8.9086388495975</v>
      </c>
      <c r="B95" t="n">
        <v>0.025853058743912</v>
      </c>
      <c r="C95" t="n">
        <v>92.696869463423</v>
      </c>
      <c r="D95" t="n">
        <v>0.027964811103174</v>
      </c>
      <c r="E95" t="n">
        <v>-6.410536075799</v>
      </c>
      <c r="F95" t="n">
        <v>-2.221856005637</v>
      </c>
      <c r="G95" t="n">
        <v>38504715.909235</v>
      </c>
      <c r="H95" t="n">
        <v>7851761.337168</v>
      </c>
      <c r="I95" t="n">
        <v>-0.012836817455592</v>
      </c>
      <c r="J95" t="n">
        <v>-0.012293392657764</v>
      </c>
      <c r="K95" t="n">
        <v>0.026369205614322</v>
      </c>
      <c r="L95" t="n">
        <v>-0.48461231088344</v>
      </c>
      <c r="M95" t="n">
        <v>-0.48817577818403</v>
      </c>
      <c r="N95" t="n">
        <v>598.25289626395</v>
      </c>
      <c r="O95" t="n">
        <v>672.5817367559901</v>
      </c>
    </row>
    <row r="96">
      <c r="A96" t="n">
        <v>9.008638849597499</v>
      </c>
      <c r="B96" t="n">
        <v>0.026164890340482</v>
      </c>
      <c r="C96" t="n">
        <v>92.696778803052</v>
      </c>
      <c r="D96" t="n">
        <v>0.028280504738037</v>
      </c>
      <c r="E96" t="n">
        <v>-6.4219198469724</v>
      </c>
      <c r="F96" t="n">
        <v>-2.2111672305665</v>
      </c>
      <c r="G96" t="n">
        <v>38820586.056577</v>
      </c>
      <c r="H96" t="n">
        <v>7905250.0302276</v>
      </c>
      <c r="I96" t="n">
        <v>-0.012985538121204</v>
      </c>
      <c r="J96" t="n">
        <v>-0.012435086010571</v>
      </c>
      <c r="K96" t="n">
        <v>0.026661227541697</v>
      </c>
      <c r="L96" t="n">
        <v>-0.49122982401995</v>
      </c>
      <c r="M96" t="n">
        <v>-0.49479277858834</v>
      </c>
      <c r="N96" t="n">
        <v>599.09026668406</v>
      </c>
      <c r="O96" t="n">
        <v>673.59662619201</v>
      </c>
    </row>
    <row r="97">
      <c r="A97" t="n">
        <v>9.108638849597501</v>
      </c>
      <c r="B97" t="n">
        <v>0.02647668955367</v>
      </c>
      <c r="C97" t="n">
        <v>92.696691334842</v>
      </c>
      <c r="D97" t="n">
        <v>0.028596164737902</v>
      </c>
      <c r="E97" t="n">
        <v>-6.4223167134142</v>
      </c>
      <c r="F97" t="n">
        <v>-2.2114651294625</v>
      </c>
      <c r="G97" t="n">
        <v>39137188.810214</v>
      </c>
      <c r="H97" t="n">
        <v>7958850.1380969</v>
      </c>
      <c r="I97" t="n">
        <v>-0.013134223702585</v>
      </c>
      <c r="J97" t="n">
        <v>-0.01257673340647</v>
      </c>
      <c r="K97" t="n">
        <v>0.026953162897275</v>
      </c>
      <c r="L97" t="n">
        <v>-0.49786273197912</v>
      </c>
      <c r="M97" t="n">
        <v>-0.50142277578766</v>
      </c>
      <c r="N97" t="n">
        <v>599.92507271303</v>
      </c>
      <c r="O97" t="n">
        <v>674.6077808216201</v>
      </c>
    </row>
    <row r="98">
      <c r="A98" t="n">
        <v>9.2086388495975</v>
      </c>
      <c r="B98" t="n">
        <v>0.026788456697774</v>
      </c>
      <c r="C98" t="n">
        <v>92.69660568083501</v>
      </c>
      <c r="D98" t="n">
        <v>0.028911791615176</v>
      </c>
      <c r="E98" t="n">
        <v>-6.4183689620356</v>
      </c>
      <c r="F98" t="n">
        <v>-2.2270882305458</v>
      </c>
      <c r="G98" t="n">
        <v>39454519.210639</v>
      </c>
      <c r="H98" t="n">
        <v>8012560.8244976</v>
      </c>
      <c r="I98" t="n">
        <v>-0.013282873846374</v>
      </c>
      <c r="J98" t="n">
        <v>-0.012718335071016</v>
      </c>
      <c r="K98" t="n">
        <v>0.027245011730499</v>
      </c>
      <c r="L98" t="n">
        <v>-0.50450994498859</v>
      </c>
      <c r="M98" t="n">
        <v>-0.50806925874386</v>
      </c>
      <c r="N98" t="n">
        <v>600.75740315681</v>
      </c>
      <c r="O98" t="n">
        <v>675.61534045626</v>
      </c>
    </row>
    <row r="99">
      <c r="A99" t="n">
        <v>9.3086388495975</v>
      </c>
      <c r="B99" t="n">
        <v>0.02710019192896</v>
      </c>
      <c r="C99" t="n">
        <v>92.69651730785</v>
      </c>
      <c r="D99" t="n">
        <v>0.029227385859655</v>
      </c>
      <c r="E99" t="n">
        <v>-6.4407358700485</v>
      </c>
      <c r="F99" t="n">
        <v>-2.2273882519679</v>
      </c>
      <c r="G99" t="n">
        <v>39772572.078952</v>
      </c>
      <c r="H99" t="n">
        <v>8066381.214945</v>
      </c>
      <c r="I99" t="n">
        <v>-0.013431488253856</v>
      </c>
      <c r="J99" t="n">
        <v>-0.012859891097378</v>
      </c>
      <c r="K99" t="n">
        <v>0.027536774096313</v>
      </c>
      <c r="L99" t="n">
        <v>-0.51117091627262</v>
      </c>
      <c r="M99" t="n">
        <v>-0.51472822100849</v>
      </c>
      <c r="N99" t="n">
        <v>601.5873816913401</v>
      </c>
      <c r="O99" t="n">
        <v>676.61946744978</v>
      </c>
    </row>
    <row r="100">
      <c r="A100" t="n">
        <v>9.4086388495975</v>
      </c>
      <c r="B100" t="n">
        <v>0.02741189600157</v>
      </c>
      <c r="C100" t="n">
        <v>92.696416972515</v>
      </c>
      <c r="D100" t="n">
        <v>0.029542948008061</v>
      </c>
      <c r="E100" t="n">
        <v>-6.4510768607971</v>
      </c>
      <c r="F100" t="n">
        <v>-2.2156908566016</v>
      </c>
      <c r="G100" t="n">
        <v>40091343.252423</v>
      </c>
      <c r="H100" t="n">
        <v>8120310.6079127</v>
      </c>
      <c r="I100" t="n">
        <v>-0.013580066822979</v>
      </c>
      <c r="J100" t="n">
        <v>-0.013001401765055</v>
      </c>
      <c r="K100" t="n">
        <v>0.027828450047616</v>
      </c>
      <c r="L100" t="n">
        <v>-0.51784474220248</v>
      </c>
      <c r="M100" t="n">
        <v>-0.52139937556089</v>
      </c>
      <c r="N100" t="n">
        <v>602.4149462255</v>
      </c>
      <c r="O100" t="n">
        <v>677.6201230117</v>
      </c>
    </row>
    <row r="101">
      <c r="A101" t="n">
        <v>9.5086388495974</v>
      </c>
      <c r="B101" t="n">
        <v>0.027723569380389</v>
      </c>
      <c r="C101" t="n">
        <v>92.69631980551701</v>
      </c>
      <c r="D101" t="n">
        <v>0.029858478607562</v>
      </c>
      <c r="E101" t="n">
        <v>-6.4514674910691</v>
      </c>
      <c r="F101" t="n">
        <v>-2.215989157251</v>
      </c>
      <c r="G101" t="n">
        <v>40410828.144902</v>
      </c>
      <c r="H101" t="n">
        <v>8174348.2311295</v>
      </c>
      <c r="I101" t="n">
        <v>-0.013728609496467</v>
      </c>
      <c r="J101" t="n">
        <v>-0.013142867129656</v>
      </c>
      <c r="K101" t="n">
        <v>0.028120039633661</v>
      </c>
      <c r="L101" t="n">
        <v>-0.52453231592801</v>
      </c>
      <c r="M101" t="n">
        <v>-0.52808414719579</v>
      </c>
      <c r="N101" t="n">
        <v>603.2401246932</v>
      </c>
      <c r="O101" t="n">
        <v>678.61736539627</v>
      </c>
    </row>
    <row r="102">
      <c r="A102" t="n">
        <v>9.6086388495974</v>
      </c>
      <c r="B102" t="n">
        <v>0.028035213222678</v>
      </c>
      <c r="C102" t="n">
        <v>92.696223953735</v>
      </c>
      <c r="D102" t="n">
        <v>0.030173978188712</v>
      </c>
      <c r="E102" t="n">
        <v>-6.4848165697841</v>
      </c>
      <c r="F102" t="n">
        <v>-2.2272741761095</v>
      </c>
      <c r="G102" t="n">
        <v>40731022.872431</v>
      </c>
      <c r="H102" t="n">
        <v>8228493.433094</v>
      </c>
      <c r="I102" t="n">
        <v>-0.013877116336011</v>
      </c>
      <c r="J102" t="n">
        <v>-0.013284287321271</v>
      </c>
      <c r="K102" t="n">
        <v>0.028411542907988</v>
      </c>
      <c r="L102" t="n">
        <v>-0.53123484669717</v>
      </c>
      <c r="M102" t="n">
        <v>-0.53478387039709</v>
      </c>
      <c r="N102" t="n">
        <v>604.06284825554</v>
      </c>
      <c r="O102" t="n">
        <v>679.61115821314</v>
      </c>
    </row>
    <row r="103">
      <c r="A103" t="n">
        <v>9.708638849597399</v>
      </c>
      <c r="B103" t="n">
        <v>0.028346827230264</v>
      </c>
      <c r="C103" t="n">
        <v>92.696128337922</v>
      </c>
      <c r="D103" t="n">
        <v>0.030489447076734</v>
      </c>
      <c r="E103" t="n">
        <v>-6.4852061481856</v>
      </c>
      <c r="F103" t="n">
        <v>-2.2165869216753</v>
      </c>
      <c r="G103" t="n">
        <v>41051922.113751</v>
      </c>
      <c r="H103" t="n">
        <v>8282745.316552</v>
      </c>
      <c r="I103" t="n">
        <v>-0.014025587116184</v>
      </c>
      <c r="J103" t="n">
        <v>-0.013425662246173</v>
      </c>
      <c r="K103" t="n">
        <v>0.028702959921054</v>
      </c>
      <c r="L103" t="n">
        <v>-0.53795081874948</v>
      </c>
      <c r="M103" t="n">
        <v>-0.54149632746944</v>
      </c>
      <c r="N103" t="n">
        <v>604.88329666767</v>
      </c>
      <c r="O103" t="n">
        <v>680.60170837505</v>
      </c>
    </row>
    <row r="104">
      <c r="A104" t="n">
        <v>9.808638849597401</v>
      </c>
      <c r="B104" t="n">
        <v>0.028658412275253</v>
      </c>
      <c r="C104" t="n">
        <v>92.69603271374601</v>
      </c>
      <c r="D104" t="n">
        <v>0.030804885867922</v>
      </c>
      <c r="E104" t="n">
        <v>-6.4855952145897</v>
      </c>
      <c r="F104" t="n">
        <v>-2.2278727240193</v>
      </c>
      <c r="G104" t="n">
        <v>41373521.767991</v>
      </c>
      <c r="H104" t="n">
        <v>8337103.191987</v>
      </c>
      <c r="I104" t="n">
        <v>-0.014174021778368</v>
      </c>
      <c r="J104" t="n">
        <v>-0.013566992121424</v>
      </c>
      <c r="K104" t="n">
        <v>0.028994290727771</v>
      </c>
      <c r="L104" t="n">
        <v>-0.54467901256939</v>
      </c>
      <c r="M104" t="n">
        <v>-0.54822109955072</v>
      </c>
      <c r="N104" t="n">
        <v>605.70141694853</v>
      </c>
      <c r="O104" t="n">
        <v>681.5890027384301</v>
      </c>
    </row>
    <row r="105">
      <c r="A105" t="n">
        <v>9.9086388495974</v>
      </c>
      <c r="B105" t="n">
        <v>0.028969968497194</v>
      </c>
      <c r="C105" t="n">
        <v>92.695936913724</v>
      </c>
      <c r="D105" t="n">
        <v>0.031120294960327</v>
      </c>
      <c r="E105" t="n">
        <v>-6.5079564449174</v>
      </c>
      <c r="F105" t="n">
        <v>-2.2281725666578</v>
      </c>
      <c r="G105" t="n">
        <v>41695816.918368</v>
      </c>
      <c r="H105" t="n">
        <v>8391566.2319606</v>
      </c>
      <c r="I105" t="n">
        <v>-0.014322420332071</v>
      </c>
      <c r="J105" t="n">
        <v>-0.013708276777217</v>
      </c>
      <c r="K105" t="n">
        <v>0.029285535379893</v>
      </c>
      <c r="L105" t="n">
        <v>-0.55142157185359</v>
      </c>
      <c r="M105" t="n">
        <v>-0.55496066794934</v>
      </c>
      <c r="N105" t="n">
        <v>606.5173174684199</v>
      </c>
      <c r="O105" t="n">
        <v>682.5731745801201</v>
      </c>
    </row>
    <row r="106">
      <c r="A106" t="n">
        <v>10.008638849597</v>
      </c>
      <c r="B106" t="n">
        <v>0.029281497013523</v>
      </c>
      <c r="C106" t="n">
        <v>92.69584083871599</v>
      </c>
      <c r="D106" t="n">
        <v>0.031435674927315</v>
      </c>
      <c r="E106" t="n">
        <v>-6.5193308821803</v>
      </c>
      <c r="F106" t="n">
        <v>-2.228472831045</v>
      </c>
      <c r="G106" t="n">
        <v>42018803.987942</v>
      </c>
      <c r="H106" t="n">
        <v>8446133.8376163</v>
      </c>
      <c r="I106" t="n">
        <v>-0.01447078299752</v>
      </c>
      <c r="J106" t="n">
        <v>-0.013849516247438</v>
      </c>
      <c r="K106" t="n">
        <v>0.02957669393081</v>
      </c>
      <c r="L106" t="n">
        <v>-0.55817742114798</v>
      </c>
      <c r="M106" t="n">
        <v>-0.56171105026338</v>
      </c>
      <c r="N106" t="n">
        <v>607.33089325618</v>
      </c>
      <c r="O106" t="n">
        <v>683.55414811409</v>
      </c>
    </row>
    <row r="107">
      <c r="A107" t="n">
        <v>10.108638849597</v>
      </c>
      <c r="B107" t="n">
        <v>0.029592997388921</v>
      </c>
      <c r="C107" t="n">
        <v>92.695747093737</v>
      </c>
      <c r="D107" t="n">
        <v>0.031751026022637</v>
      </c>
      <c r="E107" t="n">
        <v>-6.5636638754019</v>
      </c>
      <c r="F107" t="n">
        <v>-2.2287735306867</v>
      </c>
      <c r="G107" t="n">
        <v>42342477.795242</v>
      </c>
      <c r="H107" t="n">
        <v>8500805.137450499</v>
      </c>
      <c r="I107" t="n">
        <v>-0.014619109523789</v>
      </c>
      <c r="J107" t="n">
        <v>-0.013990710473638</v>
      </c>
      <c r="K107" t="n">
        <v>0.029867766433243</v>
      </c>
      <c r="L107" t="n">
        <v>-0.56494533607963</v>
      </c>
      <c r="M107" t="n">
        <v>-0.5684753323842</v>
      </c>
      <c r="N107" t="n">
        <v>608.14232555052</v>
      </c>
      <c r="O107" t="n">
        <v>684.53212761399</v>
      </c>
    </row>
    <row r="108">
      <c r="A108" t="n">
        <v>10.208638849597</v>
      </c>
      <c r="B108" t="n">
        <v>0.029904470475132</v>
      </c>
      <c r="C108" t="n">
        <v>92.69565487804999</v>
      </c>
      <c r="D108" t="n">
        <v>0.03206634877955</v>
      </c>
      <c r="E108" t="n">
        <v>-6.5970100831235</v>
      </c>
      <c r="F108" t="n">
        <v>-2.2400609948597</v>
      </c>
      <c r="G108" t="n">
        <v>42666834.638467</v>
      </c>
      <c r="H108" t="n">
        <v>8555579.5108843</v>
      </c>
      <c r="I108" t="n">
        <v>-0.01476739992115</v>
      </c>
      <c r="J108" t="n">
        <v>-0.014131859676831</v>
      </c>
      <c r="K108" t="n">
        <v>0.030158752941315</v>
      </c>
      <c r="L108" t="n">
        <v>-0.57172901318574</v>
      </c>
      <c r="M108" t="n">
        <v>-0.57525323902076</v>
      </c>
      <c r="N108" t="n">
        <v>608.9515282034999</v>
      </c>
      <c r="O108" t="n">
        <v>685.5070367439</v>
      </c>
    </row>
    <row r="109">
      <c r="A109" t="n">
        <v>10.308638849597</v>
      </c>
      <c r="B109" t="n">
        <v>0.030215916464756</v>
      </c>
      <c r="C109" t="n">
        <v>92.69556044568399</v>
      </c>
      <c r="D109" t="n">
        <v>0.032381643512033</v>
      </c>
      <c r="E109" t="n">
        <v>-6.604246043058</v>
      </c>
      <c r="F109" t="n">
        <v>-2.2444948145096</v>
      </c>
      <c r="G109" t="n">
        <v>42991869.789903</v>
      </c>
      <c r="H109" t="n">
        <v>8610456.164269101</v>
      </c>
      <c r="I109" t="n">
        <v>-0.014915654172538</v>
      </c>
      <c r="J109" t="n">
        <v>-0.014272963698977</v>
      </c>
      <c r="K109" t="n">
        <v>0.030449653500793</v>
      </c>
      <c r="L109" t="n">
        <v>-0.57852505886563</v>
      </c>
      <c r="M109" t="n">
        <v>-0.582045078529</v>
      </c>
      <c r="N109" t="n">
        <v>609.75860704687</v>
      </c>
      <c r="O109" t="n">
        <v>686.4790228604001</v>
      </c>
    </row>
    <row r="110">
      <c r="A110" t="n">
        <v>10.408638849597</v>
      </c>
      <c r="B110" t="n">
        <v>0.030527336210372</v>
      </c>
      <c r="C110" t="n">
        <v>92.695465104192</v>
      </c>
      <c r="D110" t="n">
        <v>0.032696910700759</v>
      </c>
      <c r="E110" t="n">
        <v>-6.6485779179088</v>
      </c>
      <c r="F110" t="n">
        <v>-2.2447966043546</v>
      </c>
      <c r="G110" t="n">
        <v>43317579.841775</v>
      </c>
      <c r="H110" t="n">
        <v>8665434.530302599</v>
      </c>
      <c r="I110" t="n">
        <v>-0.015063872264623</v>
      </c>
      <c r="J110" t="n">
        <v>-0.014414022759785</v>
      </c>
      <c r="K110" t="n">
        <v>0.030740468165767</v>
      </c>
      <c r="L110" t="n">
        <v>-0.58533145902025</v>
      </c>
      <c r="M110" t="n">
        <v>-0.5888475539433</v>
      </c>
      <c r="N110" t="n">
        <v>610.5634793281901</v>
      </c>
      <c r="O110" t="n">
        <v>687.44800581411</v>
      </c>
    </row>
    <row r="111">
      <c r="A111" t="n">
        <v>10.508638849597</v>
      </c>
      <c r="B111" t="n">
        <v>0.030838729518269</v>
      </c>
      <c r="C111" t="n">
        <v>92.695369140571</v>
      </c>
      <c r="D111" t="n">
        <v>0.033012150687852</v>
      </c>
      <c r="E111" t="n">
        <v>-6.6709366251251</v>
      </c>
      <c r="F111" t="n">
        <v>-2.2450988848385</v>
      </c>
      <c r="G111" t="n">
        <v>43643960.203203</v>
      </c>
      <c r="H111" t="n">
        <v>8720513.839218199</v>
      </c>
      <c r="I111" t="n">
        <v>-0.015212054079264</v>
      </c>
      <c r="J111" t="n">
        <v>-0.014555036839522</v>
      </c>
      <c r="K111" t="n">
        <v>0.031031196989626</v>
      </c>
      <c r="L111" t="n">
        <v>-0.59215356881897</v>
      </c>
      <c r="M111" t="n">
        <v>-0.59566638584222</v>
      </c>
      <c r="N111" t="n">
        <v>611.36625139483</v>
      </c>
      <c r="O111" t="n">
        <v>688.41410663061</v>
      </c>
    </row>
    <row r="112">
      <c r="A112" t="n">
        <v>10.608638849597</v>
      </c>
      <c r="B112" t="n">
        <v>0.031150096651317</v>
      </c>
      <c r="C112" t="n">
        <v>92.69527264553</v>
      </c>
      <c r="D112" t="n">
        <v>0.03332736376188</v>
      </c>
      <c r="E112" t="n">
        <v>-6.6823085261846</v>
      </c>
      <c r="F112" t="n">
        <v>-2.2454016435891</v>
      </c>
      <c r="G112" t="n">
        <v>43971006.412369</v>
      </c>
      <c r="H112" t="n">
        <v>8775693.343229201</v>
      </c>
      <c r="I112" t="n">
        <v>-0.015360199210217</v>
      </c>
      <c r="J112" t="n">
        <v>-0.014696006209341</v>
      </c>
      <c r="K112" t="n">
        <v>0.031321840024521</v>
      </c>
      <c r="L112" t="n">
        <v>-0.59898512144779</v>
      </c>
      <c r="M112" t="n">
        <v>-0.60249260318766</v>
      </c>
      <c r="N112" t="n">
        <v>612.16699754482</v>
      </c>
      <c r="O112" t="n">
        <v>689.37741739976</v>
      </c>
    </row>
    <row r="113">
      <c r="A113" t="n">
        <v>10.708638849597</v>
      </c>
      <c r="B113" t="n">
        <v>0.03146143841564</v>
      </c>
      <c r="C113" t="n">
        <v>92.695175716546</v>
      </c>
      <c r="D113" t="n">
        <v>0.033642550388359</v>
      </c>
      <c r="E113" t="n">
        <v>-6.7156525794184</v>
      </c>
      <c r="F113" t="n">
        <v>-2.2457049294573</v>
      </c>
      <c r="G113" t="n">
        <v>44298715.150105</v>
      </c>
      <c r="H113" t="n">
        <v>8830972.4884829</v>
      </c>
      <c r="I113" t="n">
        <v>-0.015508307976517</v>
      </c>
      <c r="J113" t="n">
        <v>-0.014836930859138</v>
      </c>
      <c r="K113" t="n">
        <v>0.031612397322988</v>
      </c>
      <c r="L113" t="n">
        <v>-0.60583083278095</v>
      </c>
      <c r="M113" t="n">
        <v>-0.60933229739281</v>
      </c>
      <c r="N113" t="n">
        <v>612.96560458738</v>
      </c>
      <c r="O113" t="n">
        <v>690.3378451869499</v>
      </c>
    </row>
    <row r="114">
      <c r="A114" t="n">
        <v>10.808638849597</v>
      </c>
      <c r="B114" t="n">
        <v>0.031772755171139</v>
      </c>
      <c r="C114" t="n">
        <v>92.695082419804</v>
      </c>
      <c r="D114" t="n">
        <v>0.033957710887077</v>
      </c>
      <c r="E114" t="n">
        <v>-6.7160371612795</v>
      </c>
      <c r="F114" t="n">
        <v>-2.2460087449758</v>
      </c>
      <c r="G114" t="n">
        <v>44627082.274386</v>
      </c>
      <c r="H114" t="n">
        <v>8886350.5816816</v>
      </c>
      <c r="I114" t="n">
        <v>-0.015656380200421</v>
      </c>
      <c r="J114" t="n">
        <v>-0.014977810963698</v>
      </c>
      <c r="K114" t="n">
        <v>0.031902868933138</v>
      </c>
      <c r="L114" t="n">
        <v>-0.61268908542683</v>
      </c>
      <c r="M114" t="n">
        <v>-0.61618565422076</v>
      </c>
      <c r="N114" t="n">
        <v>613.76209339113</v>
      </c>
      <c r="O114" t="n">
        <v>691.29542336361</v>
      </c>
    </row>
    <row r="115">
      <c r="A115" t="n">
        <v>10.908638849597</v>
      </c>
      <c r="B115" t="n">
        <v>0.032084046739621</v>
      </c>
      <c r="C115" t="n">
        <v>92.694988284348</v>
      </c>
      <c r="D115" t="n">
        <v>0.034272845575165</v>
      </c>
      <c r="E115" t="n">
        <v>-6.7448557096554</v>
      </c>
      <c r="F115" t="n">
        <v>-2.2508280086994</v>
      </c>
      <c r="G115" t="n">
        <v>44956102.895949</v>
      </c>
      <c r="H115" t="n">
        <v>8941826.8030995</v>
      </c>
      <c r="I115" t="n">
        <v>-0.015804415922315</v>
      </c>
      <c r="J115" t="n">
        <v>-0.015118646218948</v>
      </c>
      <c r="K115" t="n">
        <v>0.032193254906899</v>
      </c>
      <c r="L115" t="n">
        <v>-0.61955990824719</v>
      </c>
      <c r="M115" t="n">
        <v>-0.62305146069571</v>
      </c>
      <c r="N115" t="n">
        <v>614.55661747135</v>
      </c>
      <c r="O115" t="n">
        <v>692.25031996564</v>
      </c>
    </row>
    <row r="116">
      <c r="A116" t="n">
        <v>11.008638849597</v>
      </c>
      <c r="B116" t="n">
        <v>0.032395314013929</v>
      </c>
      <c r="C116" t="n">
        <v>92.69489240842201</v>
      </c>
      <c r="D116" t="n">
        <v>0.034587954853664</v>
      </c>
      <c r="E116" t="n">
        <v>-6.7342501637323</v>
      </c>
      <c r="F116" t="n">
        <v>-2.240149446977</v>
      </c>
      <c r="G116" t="n">
        <v>45285773.930906</v>
      </c>
      <c r="H116" t="n">
        <v>8997400.639885699</v>
      </c>
      <c r="I116" t="n">
        <v>-0.015952415222483</v>
      </c>
      <c r="J116" t="n">
        <v>-0.015259436856551</v>
      </c>
      <c r="K116" t="n">
        <v>0.032483555296684</v>
      </c>
      <c r="L116" t="n">
        <v>-0.62644265139314</v>
      </c>
      <c r="M116" t="n">
        <v>-0.6299289505204</v>
      </c>
      <c r="N116" t="n">
        <v>615.34904887092</v>
      </c>
      <c r="O116" t="n">
        <v>693.20241220346</v>
      </c>
    </row>
    <row r="117">
      <c r="A117" t="n">
        <v>11.108638849597</v>
      </c>
      <c r="B117" t="n">
        <v>0.032706556905409</v>
      </c>
      <c r="C117" t="n">
        <v>92.694781066849</v>
      </c>
      <c r="D117" t="n">
        <v>0.034903039008539</v>
      </c>
      <c r="E117" t="n">
        <v>-6.7445011897343</v>
      </c>
      <c r="F117" t="n">
        <v>-2.2503297709579</v>
      </c>
      <c r="G117" t="n">
        <v>45616090.928039</v>
      </c>
      <c r="H117" t="n">
        <v>9053071.348011</v>
      </c>
      <c r="I117" t="n">
        <v>-0.016100378036401</v>
      </c>
      <c r="J117" t="n">
        <v>-0.015400182754829</v>
      </c>
      <c r="K117" t="n">
        <v>0.032773770151446</v>
      </c>
      <c r="L117" t="n">
        <v>-0.63333814286879</v>
      </c>
      <c r="M117" t="n">
        <v>-0.6368195772737</v>
      </c>
      <c r="N117" t="n">
        <v>616.13950255646</v>
      </c>
      <c r="O117" t="n">
        <v>694.1518275398</v>
      </c>
    </row>
    <row r="118">
      <c r="A118" t="n">
        <v>11.208638849597</v>
      </c>
      <c r="B118" t="n">
        <v>0.033017775874202</v>
      </c>
      <c r="C118" t="n">
        <v>92.694672546438</v>
      </c>
      <c r="D118" t="n">
        <v>0.03521809842445</v>
      </c>
      <c r="E118" t="n">
        <v>-6.7600378597472</v>
      </c>
      <c r="F118" t="n">
        <v>-2.2548057543649</v>
      </c>
      <c r="G118" t="n">
        <v>45947049.785484</v>
      </c>
      <c r="H118" t="n">
        <v>9108838.240216</v>
      </c>
      <c r="I118" t="n">
        <v>-0.016248304419171</v>
      </c>
      <c r="J118" t="n">
        <v>-0.015540883852388</v>
      </c>
      <c r="K118" t="n">
        <v>0.033063899524808</v>
      </c>
      <c r="L118" t="n">
        <v>-0.6402436803649</v>
      </c>
      <c r="M118" t="n">
        <v>-0.64371890841173</v>
      </c>
      <c r="N118" t="n">
        <v>616.9279970310999</v>
      </c>
      <c r="O118" t="n">
        <v>695.09859879843</v>
      </c>
    </row>
    <row r="119">
      <c r="A119" t="n">
        <v>11.308638849597</v>
      </c>
      <c r="B119" t="n">
        <v>0.033328971510274</v>
      </c>
      <c r="C119" t="n">
        <v>92.69457383159801</v>
      </c>
      <c r="D119" t="n">
        <v>0.035533133518677</v>
      </c>
      <c r="E119" t="n">
        <v>-6.7494293381967</v>
      </c>
      <c r="F119" t="n">
        <v>-2.2551131764901</v>
      </c>
      <c r="G119" t="n">
        <v>46278646.986121</v>
      </c>
      <c r="H119" t="n">
        <v>9164700.7303381</v>
      </c>
      <c r="I119" t="n">
        <v>-0.016396194580484</v>
      </c>
      <c r="J119" t="n">
        <v>-0.015681540151302</v>
      </c>
      <c r="K119" t="n">
        <v>0.033353943467737</v>
      </c>
      <c r="L119" t="n">
        <v>-0.64716389045907</v>
      </c>
      <c r="M119" t="n">
        <v>-0.65063442453843</v>
      </c>
      <c r="N119" t="n">
        <v>617.71446940424</v>
      </c>
      <c r="O119" t="n">
        <v>696.0426845209601</v>
      </c>
    </row>
    <row r="120">
      <c r="A120" t="n">
        <v>11.408638849597</v>
      </c>
      <c r="B120" t="n">
        <v>0.03364014369542</v>
      </c>
      <c r="C120" t="n">
        <v>92.694478279443</v>
      </c>
      <c r="D120" t="n">
        <v>0.035848144543713</v>
      </c>
      <c r="E120" t="n">
        <v>-6.7564238593883</v>
      </c>
      <c r="F120" t="n">
        <v>-2.2597825368187</v>
      </c>
      <c r="G120" t="n">
        <v>46610878.289627</v>
      </c>
      <c r="H120" t="n">
        <v>9220658.1101343</v>
      </c>
      <c r="I120" t="n">
        <v>-0.016544048407229</v>
      </c>
      <c r="J120" t="n">
        <v>-0.015822151624122</v>
      </c>
      <c r="K120" t="n">
        <v>0.033643902034175</v>
      </c>
      <c r="L120" t="n">
        <v>-0.65409545861464</v>
      </c>
      <c r="M120" t="n">
        <v>-0.65756194360502</v>
      </c>
      <c r="N120" t="n">
        <v>618.49900679769</v>
      </c>
      <c r="O120" t="n">
        <v>696.9841727729799</v>
      </c>
    </row>
    <row r="121">
      <c r="A121" t="n">
        <v>11.508638849597</v>
      </c>
      <c r="B121" t="n">
        <v>0.033951292867703</v>
      </c>
      <c r="C121" t="n">
        <v>92.694380114111</v>
      </c>
      <c r="D121" t="n">
        <v>0.03616313184091</v>
      </c>
      <c r="E121" t="n">
        <v>-6.7744137321149</v>
      </c>
      <c r="F121" t="n">
        <v>-2.2754305262414</v>
      </c>
      <c r="G121" t="n">
        <v>46943739.814411</v>
      </c>
      <c r="H121" t="n">
        <v>9276709.7312508</v>
      </c>
      <c r="I121" t="n">
        <v>-0.016691866054032</v>
      </c>
      <c r="J121" t="n">
        <v>-0.015962718147388</v>
      </c>
      <c r="K121" t="n">
        <v>0.033933775271946</v>
      </c>
      <c r="L121" t="n">
        <v>-0.66103742456755</v>
      </c>
      <c r="M121" t="n">
        <v>-0.66449787271086</v>
      </c>
      <c r="N121" t="n">
        <v>619.28161312269</v>
      </c>
      <c r="O121" t="n">
        <v>697.9230843223301</v>
      </c>
    </row>
    <row r="122">
      <c r="A122" t="n">
        <v>11.608638849597</v>
      </c>
      <c r="B122" t="n">
        <v>0.03426241885993</v>
      </c>
      <c r="C122" t="n">
        <v>92.694280458538</v>
      </c>
      <c r="D122" t="n">
        <v>0.036478095657529</v>
      </c>
      <c r="E122" t="n">
        <v>-6.7747876366386</v>
      </c>
      <c r="F122" t="n">
        <v>-2.2757422260183</v>
      </c>
      <c r="G122" t="n">
        <v>47277227.17705</v>
      </c>
      <c r="H122" t="n">
        <v>9332854.8617226</v>
      </c>
      <c r="I122" t="n">
        <v>-0.016839647444921</v>
      </c>
      <c r="J122" t="n">
        <v>-0.016103239599346</v>
      </c>
      <c r="K122" t="n">
        <v>0.034223563230987</v>
      </c>
      <c r="L122" t="n">
        <v>-0.66799043768203</v>
      </c>
      <c r="M122" t="n">
        <v>-0.671445865579</v>
      </c>
      <c r="N122" t="n">
        <v>620.06241323378</v>
      </c>
      <c r="O122" t="n">
        <v>698.85955144153</v>
      </c>
    </row>
    <row r="123">
      <c r="A123" t="n">
        <v>11.708638849597</v>
      </c>
      <c r="B123" t="n">
        <v>0.034573522677807</v>
      </c>
      <c r="C123" t="n">
        <v>92.694186076712</v>
      </c>
      <c r="D123" t="n">
        <v>0.036793036462518</v>
      </c>
      <c r="E123" t="n">
        <v>-6.7861475541608</v>
      </c>
      <c r="F123" t="n">
        <v>-2.2760543875445</v>
      </c>
      <c r="G123" t="n">
        <v>47611337.329222</v>
      </c>
      <c r="H123" t="n">
        <v>9389092.9953932</v>
      </c>
      <c r="I123" t="n">
        <v>-0.016987392763323</v>
      </c>
      <c r="J123" t="n">
        <v>-0.016243716139595</v>
      </c>
      <c r="K123" t="n">
        <v>0.03451326596274</v>
      </c>
      <c r="L123" t="n">
        <v>-0.67495588233408</v>
      </c>
      <c r="M123" t="n">
        <v>-0.6784049267837901</v>
      </c>
      <c r="N123" t="n">
        <v>620.84126488043</v>
      </c>
      <c r="O123" t="n">
        <v>699.79345343267</v>
      </c>
    </row>
    <row r="124">
      <c r="A124" t="n">
        <v>11.808638849597</v>
      </c>
      <c r="B124" t="n">
        <v>0.034884604519273</v>
      </c>
      <c r="C124" t="n">
        <v>92.69408755640499</v>
      </c>
      <c r="D124" t="n">
        <v>0.037107954473381</v>
      </c>
      <c r="E124" t="n">
        <v>-6.7713206704318</v>
      </c>
      <c r="F124" t="n">
        <v>-2.2805754834816</v>
      </c>
      <c r="G124" t="n">
        <v>47946066.557155</v>
      </c>
      <c r="H124" t="n">
        <v>9445423.5148724</v>
      </c>
      <c r="I124" t="n">
        <v>-0.017135101939292</v>
      </c>
      <c r="J124" t="n">
        <v>-0.016384147836548</v>
      </c>
      <c r="K124" t="n">
        <v>0.034802883517266</v>
      </c>
      <c r="L124" t="n">
        <v>-0.68193510192798</v>
      </c>
      <c r="M124" t="n">
        <v>-0.68537757776494</v>
      </c>
      <c r="N124" t="n">
        <v>621.61819416434</v>
      </c>
      <c r="O124" t="n">
        <v>700.72480763295</v>
      </c>
    </row>
    <row r="125">
      <c r="A125" t="n">
        <v>11.908638849597</v>
      </c>
      <c r="B125" t="n">
        <v>0.035195664192383</v>
      </c>
      <c r="C125" t="n">
        <v>92.693987924618</v>
      </c>
      <c r="D125" t="n">
        <v>0.037422849991244</v>
      </c>
      <c r="E125" t="n">
        <v>-6.7716935180941</v>
      </c>
      <c r="F125" t="n">
        <v>-2.2808887596965</v>
      </c>
      <c r="G125" t="n">
        <v>48281410.701554</v>
      </c>
      <c r="H125" t="n">
        <v>9501845.725718699</v>
      </c>
      <c r="I125" t="n">
        <v>-0.017282774701228</v>
      </c>
      <c r="J125" t="n">
        <v>-0.016524534816932</v>
      </c>
      <c r="K125" t="n">
        <v>0.035092415948265</v>
      </c>
      <c r="L125" t="n">
        <v>-0.68892388819846</v>
      </c>
      <c r="M125" t="n">
        <v>-0.6923606869249</v>
      </c>
      <c r="N125" t="n">
        <v>622.39329222903</v>
      </c>
      <c r="O125" t="n">
        <v>701.65371210398</v>
      </c>
    </row>
    <row r="126">
      <c r="A126" t="n">
        <v>12.008638849597</v>
      </c>
      <c r="B126" t="n">
        <v>0.035506701912554</v>
      </c>
      <c r="C126" t="n">
        <v>92.693887498148</v>
      </c>
      <c r="D126" t="n">
        <v>0.037737723259275</v>
      </c>
      <c r="E126" t="n">
        <v>-6.7940387046166</v>
      </c>
      <c r="F126" t="n">
        <v>-2.2812025830899</v>
      </c>
      <c r="G126" t="n">
        <v>48617366.051863</v>
      </c>
      <c r="H126" t="n">
        <v>9558359.011202101</v>
      </c>
      <c r="I126" t="n">
        <v>-0.017430410891443</v>
      </c>
      <c r="J126" t="n">
        <v>-0.016664877198962</v>
      </c>
      <c r="K126" t="n">
        <v>0.035381863306762</v>
      </c>
      <c r="L126" t="n">
        <v>-0.69592124449195</v>
      </c>
      <c r="M126" t="n">
        <v>-0.69935238335596</v>
      </c>
      <c r="N126" t="n">
        <v>623.16659841273</v>
      </c>
      <c r="O126" t="n">
        <v>702.58020802595</v>
      </c>
    </row>
    <row r="127">
      <c r="A127" t="n">
        <v>12.108638849597</v>
      </c>
      <c r="B127" t="n">
        <v>0.035817718141744</v>
      </c>
      <c r="C127" t="n">
        <v>92.69379128564</v>
      </c>
      <c r="D127" t="n">
        <v>0.038052574565019</v>
      </c>
      <c r="E127" t="n">
        <v>-6.8053972185676</v>
      </c>
      <c r="F127" t="n">
        <v>-2.281516954481</v>
      </c>
      <c r="G127" t="n">
        <v>48953929.279186</v>
      </c>
      <c r="H127" t="n">
        <v>9614962.8198322</v>
      </c>
      <c r="I127" t="n">
        <v>-0.017578010407469</v>
      </c>
      <c r="J127" t="n">
        <v>-0.016805175236803</v>
      </c>
      <c r="K127" t="n">
        <v>0.035671225645302</v>
      </c>
      <c r="L127" t="n">
        <v>-0.70293303168372</v>
      </c>
      <c r="M127" t="n">
        <v>-0.70635793022143</v>
      </c>
      <c r="N127" t="n">
        <v>623.93807370998</v>
      </c>
      <c r="O127" t="n">
        <v>703.50427347381</v>
      </c>
    </row>
    <row r="128">
      <c r="A128" t="n">
        <v>12.208638849597</v>
      </c>
      <c r="B128" t="n">
        <v>0.036128713084292</v>
      </c>
      <c r="C128" t="n">
        <v>92.693694137268</v>
      </c>
      <c r="D128" t="n">
        <v>0.038367404247422</v>
      </c>
      <c r="E128" t="n">
        <v>-6.8124128118924</v>
      </c>
      <c r="F128" t="n">
        <v>-2.2861667466536</v>
      </c>
      <c r="G128" t="n">
        <v>49291096.803468</v>
      </c>
      <c r="H128" t="n">
        <v>9671656.5577641</v>
      </c>
      <c r="I128" t="n">
        <v>-0.017725573106956</v>
      </c>
      <c r="J128" t="n">
        <v>-0.01694542907717</v>
      </c>
      <c r="K128" t="n">
        <v>0.035960503018007</v>
      </c>
      <c r="L128" t="n">
        <v>-0.7099551862601</v>
      </c>
      <c r="M128" t="n">
        <v>-0.71337344473097</v>
      </c>
      <c r="N128" t="n">
        <v>624.70773166164</v>
      </c>
      <c r="O128" t="n">
        <v>704.42592136911</v>
      </c>
    </row>
    <row r="129">
      <c r="A129" t="n">
        <v>12.308638849597</v>
      </c>
      <c r="B129" t="n">
        <v>0.036439686899385</v>
      </c>
      <c r="C129" t="n">
        <v>92.69358586211401</v>
      </c>
      <c r="D129" t="n">
        <v>0.038682212470111</v>
      </c>
      <c r="E129" t="n">
        <v>-6.8337838755391</v>
      </c>
      <c r="F129" t="n">
        <v>-2.2745187594711</v>
      </c>
      <c r="G129" t="n">
        <v>49628864.962235</v>
      </c>
      <c r="H129" t="n">
        <v>9728439.618073599</v>
      </c>
      <c r="I129" t="n">
        <v>-0.017873098835867</v>
      </c>
      <c r="J129" t="n">
        <v>-0.017085638839946</v>
      </c>
      <c r="K129" t="n">
        <v>0.036249695470442</v>
      </c>
      <c r="L129" t="n">
        <v>-0.71698714213399</v>
      </c>
      <c r="M129" t="n">
        <v>-0.72039820050006</v>
      </c>
      <c r="N129" t="n">
        <v>625.4756088596801</v>
      </c>
      <c r="O129" t="n">
        <v>705.34520582782</v>
      </c>
    </row>
    <row r="130">
      <c r="A130" t="n">
        <v>12.408638849597</v>
      </c>
      <c r="B130" t="n">
        <v>0.03675064017304</v>
      </c>
      <c r="C130" t="n">
        <v>92.693478675186</v>
      </c>
      <c r="D130" t="n">
        <v>0.03899699967322</v>
      </c>
      <c r="E130" t="n">
        <v>-6.8451390577356</v>
      </c>
      <c r="F130" t="n">
        <v>-2.2748347582568</v>
      </c>
      <c r="G130" t="n">
        <v>49967230.41027</v>
      </c>
      <c r="H130" t="n">
        <v>9785311.445585901</v>
      </c>
      <c r="I130" t="n">
        <v>-0.018020587764828</v>
      </c>
      <c r="J130" t="n">
        <v>-0.017225804501995</v>
      </c>
      <c r="K130" t="n">
        <v>0.036538803056036</v>
      </c>
      <c r="L130" t="n">
        <v>-0.72403139049433</v>
      </c>
      <c r="M130" t="n">
        <v>-0.72743556213715</v>
      </c>
      <c r="N130" t="n">
        <v>626.24166366363</v>
      </c>
      <c r="O130" t="n">
        <v>706.26209573395</v>
      </c>
    </row>
    <row r="131">
      <c r="A131" t="n">
        <v>12.508638849597</v>
      </c>
      <c r="B131" t="n">
        <v>0.037061573048334</v>
      </c>
      <c r="C131" t="n">
        <v>92.693364838818</v>
      </c>
      <c r="D131" t="n">
        <v>0.039311766165815</v>
      </c>
      <c r="E131" t="n">
        <v>-6.8826785313764</v>
      </c>
      <c r="F131" t="n">
        <v>-2.2793485596424</v>
      </c>
      <c r="G131" t="n">
        <v>50306189.249436</v>
      </c>
      <c r="H131" t="n">
        <v>9842271.392806999</v>
      </c>
      <c r="I131" t="n">
        <v>-0.018168039738387</v>
      </c>
      <c r="J131" t="n">
        <v>-0.017365926134305</v>
      </c>
      <c r="K131" t="n">
        <v>0.036827825826942</v>
      </c>
      <c r="L131" t="n">
        <v>-0.7310859355656401</v>
      </c>
      <c r="M131" t="n">
        <v>-0.73448202830165</v>
      </c>
      <c r="N131" t="n">
        <v>627.00595721262</v>
      </c>
      <c r="O131" t="n">
        <v>707.17665431711</v>
      </c>
    </row>
    <row r="132">
      <c r="A132" t="n">
        <v>12.608638849597</v>
      </c>
      <c r="B132" t="n">
        <v>0.037372486469662</v>
      </c>
      <c r="C132" t="n">
        <v>92.69325552340101</v>
      </c>
      <c r="D132" t="n">
        <v>0.039626512322244</v>
      </c>
      <c r="E132" t="n">
        <v>-6.872061689386</v>
      </c>
      <c r="F132" t="n">
        <v>-2.2796667938946</v>
      </c>
      <c r="G132" t="n">
        <v>50645738.406392</v>
      </c>
      <c r="H132" t="n">
        <v>9899318.9496195</v>
      </c>
      <c r="I132" t="n">
        <v>-0.018315454842996</v>
      </c>
      <c r="J132" t="n">
        <v>-0.017506003919458</v>
      </c>
      <c r="K132" t="n">
        <v>0.037116763836266</v>
      </c>
      <c r="L132" t="n">
        <v>-0.7381502751016999</v>
      </c>
      <c r="M132" t="n">
        <v>-0.74153916186405</v>
      </c>
      <c r="N132" t="n">
        <v>627.76838431898</v>
      </c>
      <c r="O132" t="n">
        <v>708.08880799096</v>
      </c>
    </row>
    <row r="133">
      <c r="A133" t="n">
        <v>12.708638849597</v>
      </c>
      <c r="B133" t="n">
        <v>0.037683379844018</v>
      </c>
      <c r="C133" t="n">
        <v>92.693153786846</v>
      </c>
      <c r="D133" t="n">
        <v>0.039941238437594</v>
      </c>
      <c r="E133" t="n">
        <v>-6.8724308513592</v>
      </c>
      <c r="F133" t="n">
        <v>-2.2799854558533</v>
      </c>
      <c r="G133" t="n">
        <v>50985873.081984</v>
      </c>
      <c r="H133" t="n">
        <v>9956453.3154753</v>
      </c>
      <c r="I133" t="n">
        <v>-0.018462832962414</v>
      </c>
      <c r="J133" t="n">
        <v>-0.01764603758493</v>
      </c>
      <c r="K133" t="n">
        <v>0.037405617133009</v>
      </c>
      <c r="L133" t="n">
        <v>-0.74522535353466</v>
      </c>
      <c r="M133" t="n">
        <v>-0.7486057869164</v>
      </c>
      <c r="N133" t="n">
        <v>628.52916027945</v>
      </c>
      <c r="O133" t="n">
        <v>708.99878247298</v>
      </c>
    </row>
    <row r="134">
      <c r="A134" t="n">
        <v>12.808638849597</v>
      </c>
      <c r="B134" t="n">
        <v>0.037994254267718</v>
      </c>
      <c r="C134" t="n">
        <v>92.69304867912</v>
      </c>
      <c r="D134" t="n">
        <v>0.040255944977398</v>
      </c>
      <c r="E134" t="n">
        <v>-6.8684570901539</v>
      </c>
      <c r="F134" t="n">
        <v>-2.2846399185232</v>
      </c>
      <c r="G134" t="n">
        <v>51326590.012177</v>
      </c>
      <c r="H134" t="n">
        <v>10013673.947303</v>
      </c>
      <c r="I134" t="n">
        <v>-0.018610174277575</v>
      </c>
      <c r="J134" t="n">
        <v>-0.017786027230007</v>
      </c>
      <c r="K134" t="n">
        <v>0.037694385765606</v>
      </c>
      <c r="L134" t="n">
        <v>-0.7523096375932899</v>
      </c>
      <c r="M134" t="n">
        <v>-0.75568314671133</v>
      </c>
      <c r="N134" t="n">
        <v>629.28817361885</v>
      </c>
      <c r="O134" t="n">
        <v>709.90650475084</v>
      </c>
    </row>
    <row r="135">
      <c r="A135" t="n">
        <v>12.908638849597</v>
      </c>
      <c r="B135" t="n">
        <v>0.038305110166391</v>
      </c>
      <c r="C135" t="n">
        <v>92.692942768366</v>
      </c>
      <c r="D135" t="n">
        <v>0.040570632320935</v>
      </c>
      <c r="E135" t="n">
        <v>-6.8798108536647</v>
      </c>
      <c r="F135" t="n">
        <v>-2.2849605112546</v>
      </c>
      <c r="G135" t="n">
        <v>51667885.924283</v>
      </c>
      <c r="H135" t="n">
        <v>10070980.304994</v>
      </c>
      <c r="I135" t="n">
        <v>-0.018757478837651</v>
      </c>
      <c r="J135" t="n">
        <v>-0.01792597285415</v>
      </c>
      <c r="K135" t="n">
        <v>0.03798306978882</v>
      </c>
      <c r="L135" t="n">
        <v>-0.75940556235072</v>
      </c>
      <c r="M135" t="n">
        <v>-0.76277059386128</v>
      </c>
      <c r="N135" t="n">
        <v>630.04542700217</v>
      </c>
      <c r="O135" t="n">
        <v>710.8119841153</v>
      </c>
    </row>
    <row r="136">
      <c r="A136" t="n">
        <v>13.008638849597</v>
      </c>
      <c r="B136" t="n">
        <v>0.038615947050268</v>
      </c>
      <c r="C136" t="n">
        <v>92.692836391157</v>
      </c>
      <c r="D136" t="n">
        <v>0.040885300760945</v>
      </c>
      <c r="E136" t="n">
        <v>-6.8691917044348</v>
      </c>
      <c r="F136" t="n">
        <v>-2.2962677139438</v>
      </c>
      <c r="G136" t="n">
        <v>52009756.081249</v>
      </c>
      <c r="H136" t="n">
        <v>10128371.598612</v>
      </c>
      <c r="I136" t="n">
        <v>-0.018904746427166</v>
      </c>
      <c r="J136" t="n">
        <v>-0.018065874362588</v>
      </c>
      <c r="K136" t="n">
        <v>0.038271669253028</v>
      </c>
      <c r="L136" t="n">
        <v>-0.7665129486704</v>
      </c>
      <c r="M136" t="n">
        <v>-0.7698704749217899</v>
      </c>
      <c r="N136" t="n">
        <v>630.80110306795</v>
      </c>
      <c r="O136" t="n">
        <v>711.7154209666</v>
      </c>
    </row>
    <row r="137">
      <c r="A137" t="n">
        <v>13.108638849597</v>
      </c>
      <c r="B137" t="n">
        <v>0.038926765980775</v>
      </c>
      <c r="C137" t="n">
        <v>92.692729512246</v>
      </c>
      <c r="D137" t="n">
        <v>0.041199950713485</v>
      </c>
      <c r="E137" t="n">
        <v>-6.8585722693615</v>
      </c>
      <c r="F137" t="n">
        <v>-2.2965889010879</v>
      </c>
      <c r="G137" t="n">
        <v>52352197.514538</v>
      </c>
      <c r="H137" t="n">
        <v>10185847.336895</v>
      </c>
      <c r="I137" t="n">
        <v>-0.019051977055121</v>
      </c>
      <c r="J137" t="n">
        <v>-0.018205731996078</v>
      </c>
      <c r="K137" t="n">
        <v>0.038560184207729</v>
      </c>
      <c r="L137" t="n">
        <v>-0.77363067147193</v>
      </c>
      <c r="M137" t="n">
        <v>-0.776981586822</v>
      </c>
      <c r="N137" t="n">
        <v>631.55509998276</v>
      </c>
      <c r="O137" t="n">
        <v>712.6167423888199</v>
      </c>
    </row>
    <row r="138">
      <c r="A138" t="n">
        <v>13.208638849597</v>
      </c>
      <c r="B138" t="n">
        <v>0.039237567402537</v>
      </c>
      <c r="C138" t="n">
        <v>92.69261571752401</v>
      </c>
      <c r="D138" t="n">
        <v>0.041514582477419</v>
      </c>
      <c r="E138" t="n">
        <v>-6.8699252263438</v>
      </c>
      <c r="F138" t="n">
        <v>-2.2969103436764</v>
      </c>
      <c r="G138" t="n">
        <v>52695206.895242</v>
      </c>
      <c r="H138" t="n">
        <v>10243406.970146</v>
      </c>
      <c r="I138" t="n">
        <v>-0.019199170790026</v>
      </c>
      <c r="J138" t="n">
        <v>-0.018345545710239</v>
      </c>
      <c r="K138" t="n">
        <v>0.03884861470412</v>
      </c>
      <c r="L138" t="n">
        <v>-0.78075504937489</v>
      </c>
      <c r="M138" t="n">
        <v>-0.78409725020067</v>
      </c>
      <c r="N138" t="n">
        <v>632.30741846562</v>
      </c>
      <c r="O138" t="n">
        <v>713.51595643546</v>
      </c>
    </row>
    <row r="139">
      <c r="A139" t="n">
        <v>13.308638849597</v>
      </c>
      <c r="B139" t="n">
        <v>0.039548351707631</v>
      </c>
      <c r="C139" t="n">
        <v>92.692503935299</v>
      </c>
      <c r="D139" t="n">
        <v>0.0418291965663</v>
      </c>
      <c r="E139" t="n">
        <v>-6.885245634163</v>
      </c>
      <c r="F139" t="n">
        <v>-2.3011930910118</v>
      </c>
      <c r="G139" t="n">
        <v>53038780.882939</v>
      </c>
      <c r="H139" t="n">
        <v>10301049.945667</v>
      </c>
      <c r="I139" t="n">
        <v>-0.019346327655242</v>
      </c>
      <c r="J139" t="n">
        <v>-0.018485315641543</v>
      </c>
      <c r="K139" t="n">
        <v>0.039136960793823</v>
      </c>
      <c r="L139" t="n">
        <v>-0.78789283195247</v>
      </c>
      <c r="M139" t="n">
        <v>-0.79122754249998</v>
      </c>
      <c r="N139" t="n">
        <v>633.0580238965</v>
      </c>
      <c r="O139" t="n">
        <v>714.4130349839201</v>
      </c>
    </row>
    <row r="140">
      <c r="A140" t="n">
        <v>13.408638849597</v>
      </c>
      <c r="B140" t="n">
        <v>0.039859118953199</v>
      </c>
      <c r="C140" t="n">
        <v>92.69239298918799</v>
      </c>
      <c r="D140" t="n">
        <v>0.042143793213208</v>
      </c>
      <c r="E140" t="n">
        <v>-6.8856115963901</v>
      </c>
      <c r="F140" t="n">
        <v>-2.3125012236449</v>
      </c>
      <c r="G140" t="n">
        <v>53382915.504888</v>
      </c>
      <c r="H140" t="n">
        <v>10358775.605746</v>
      </c>
      <c r="I140" t="n">
        <v>-0.019493447307441</v>
      </c>
      <c r="J140" t="n">
        <v>-0.018625041899446</v>
      </c>
      <c r="K140" t="n">
        <v>0.039425222527469</v>
      </c>
      <c r="L140" t="n">
        <v>-0.79504078726503</v>
      </c>
      <c r="M140" t="n">
        <v>-0.7983675360744</v>
      </c>
      <c r="N140" t="n">
        <v>633.80704649697</v>
      </c>
      <c r="O140" t="n">
        <v>715.30812528406</v>
      </c>
    </row>
    <row r="141">
      <c r="A141" t="n">
        <v>13.508638849597</v>
      </c>
      <c r="B141" t="n">
        <v>0.04016986995299</v>
      </c>
      <c r="C141" t="n">
        <v>92.692282170043</v>
      </c>
      <c r="D141" t="n">
        <v>0.042458372832338</v>
      </c>
      <c r="E141" t="n">
        <v>-6.8859773300044</v>
      </c>
      <c r="F141" t="n">
        <v>-2.3128232821628</v>
      </c>
      <c r="G141" t="n">
        <v>53727608.005891</v>
      </c>
      <c r="H141" t="n">
        <v>10416583.49653</v>
      </c>
      <c r="I141" t="n">
        <v>-0.019640529850999</v>
      </c>
      <c r="J141" t="n">
        <v>-0.018764724707401</v>
      </c>
      <c r="K141" t="n">
        <v>0.039713399958481</v>
      </c>
      <c r="L141" t="n">
        <v>-0.80219910191514</v>
      </c>
      <c r="M141" t="n">
        <v>-0.805517650859</v>
      </c>
      <c r="N141" t="n">
        <v>634.55435315247</v>
      </c>
      <c r="O141" t="n">
        <v>716.20110380133</v>
      </c>
    </row>
    <row r="142">
      <c r="A142" t="n">
        <v>13.608638849597</v>
      </c>
      <c r="B142" t="n">
        <v>0.04048060408889</v>
      </c>
      <c r="C142" t="n">
        <v>92.692171328321</v>
      </c>
      <c r="D142" t="n">
        <v>0.042772935633844</v>
      </c>
      <c r="E142" t="n">
        <v>-6.8973290801414</v>
      </c>
      <c r="F142" t="n">
        <v>-2.3021592693505</v>
      </c>
      <c r="G142" t="n">
        <v>54072853.491669</v>
      </c>
      <c r="H142" t="n">
        <v>10474472.804657</v>
      </c>
      <c r="I142" t="n">
        <v>-0.019787575212094</v>
      </c>
      <c r="J142" t="n">
        <v>-0.018904363689061</v>
      </c>
      <c r="K142" t="n">
        <v>0.040001493140081</v>
      </c>
      <c r="L142" t="n">
        <v>-0.80936993456466</v>
      </c>
      <c r="M142" t="n">
        <v>-0.8126790774699399</v>
      </c>
      <c r="N142" t="n">
        <v>635.30019637713</v>
      </c>
      <c r="O142" t="n">
        <v>717.0922476304</v>
      </c>
    </row>
    <row r="143">
      <c r="A143" t="n">
        <v>13.708638849597</v>
      </c>
      <c r="B143" t="n">
        <v>0.040791323087864</v>
      </c>
      <c r="C143" t="n">
        <v>92.692060345097</v>
      </c>
      <c r="D143" t="n">
        <v>0.043087482200677</v>
      </c>
      <c r="E143" t="n">
        <v>-6.9086805541191</v>
      </c>
      <c r="F143" t="n">
        <v>-2.3024817881345</v>
      </c>
      <c r="G143" t="n">
        <v>54418650.184806</v>
      </c>
      <c r="H143" t="n">
        <v>10532443.242003</v>
      </c>
      <c r="I143" t="n">
        <v>-0.019934583634824</v>
      </c>
      <c r="J143" t="n">
        <v>-0.019043959180832</v>
      </c>
      <c r="K143" t="n">
        <v>0.040289502118531</v>
      </c>
      <c r="L143" t="n">
        <v>-0.81654620602878</v>
      </c>
      <c r="M143" t="n">
        <v>-0.81984814539492</v>
      </c>
      <c r="N143" t="n">
        <v>636.04430067693</v>
      </c>
      <c r="O143" t="n">
        <v>717.98127492115</v>
      </c>
    </row>
    <row r="144">
      <c r="A144" t="n">
        <v>13.808638849597</v>
      </c>
      <c r="B144" t="n">
        <v>0.04110202666695</v>
      </c>
      <c r="C144" t="n">
        <v>92.69194234981801</v>
      </c>
      <c r="D144" t="n">
        <v>0.043402012825305</v>
      </c>
      <c r="E144" t="n">
        <v>-6.9200317380593</v>
      </c>
      <c r="F144" t="n">
        <v>-2.3137908112955</v>
      </c>
      <c r="G144" t="n">
        <v>54764993.955881</v>
      </c>
      <c r="H144" t="n">
        <v>10590494.123195</v>
      </c>
      <c r="I144" t="n">
        <v>-0.02008155503489</v>
      </c>
      <c r="J144" t="n">
        <v>-0.01918351109329</v>
      </c>
      <c r="K144" t="n">
        <v>0.04057742694476</v>
      </c>
      <c r="L144" t="n">
        <v>-0.82373644762609</v>
      </c>
      <c r="M144" t="n">
        <v>-0.82702882409261</v>
      </c>
      <c r="N144" t="n">
        <v>636.78679130078</v>
      </c>
      <c r="O144" t="n">
        <v>718.86833691902</v>
      </c>
    </row>
    <row r="145">
      <c r="A145" t="n">
        <v>13.908638849597</v>
      </c>
      <c r="B145" t="n">
        <v>0.041412715697049</v>
      </c>
      <c r="C145" t="n">
        <v>92.691812460337</v>
      </c>
      <c r="D145" t="n">
        <v>0.043716527921984</v>
      </c>
      <c r="E145" t="n">
        <v>-6.9174167041502</v>
      </c>
      <c r="F145" t="n">
        <v>-2.3221040451639</v>
      </c>
      <c r="G145" t="n">
        <v>55111881.672475</v>
      </c>
      <c r="H145" t="n">
        <v>10648624.931083</v>
      </c>
      <c r="I145" t="n">
        <v>-0.020228489605187</v>
      </c>
      <c r="J145" t="n">
        <v>-0.019323019338331</v>
      </c>
      <c r="K145" t="n">
        <v>0.040865267672403</v>
      </c>
      <c r="L145" t="n">
        <v>-0.8309340291041299</v>
      </c>
      <c r="M145" t="n">
        <v>-0.83421821716141</v>
      </c>
      <c r="N145" t="n">
        <v>637.52762754733</v>
      </c>
      <c r="O145" t="n">
        <v>719.7534018019001</v>
      </c>
    </row>
    <row r="146">
      <c r="A146" t="n">
        <v>14.008638849597</v>
      </c>
      <c r="B146" t="n">
        <v>0.041723389666547</v>
      </c>
      <c r="C146" t="n">
        <v>92.691686680472</v>
      </c>
      <c r="D146" t="n">
        <v>0.044031027694795</v>
      </c>
      <c r="E146" t="n">
        <v>-6.9496970695488</v>
      </c>
      <c r="F146" t="n">
        <v>-2.3214135356049</v>
      </c>
      <c r="G146" t="n">
        <v>55459309.110557</v>
      </c>
      <c r="H146" t="n">
        <v>10706834.965773</v>
      </c>
      <c r="I146" t="n">
        <v>-0.020375387325076</v>
      </c>
      <c r="J146" t="n">
        <v>-0.01946248371966</v>
      </c>
      <c r="K146" t="n">
        <v>0.041153024352985</v>
      </c>
      <c r="L146" t="n">
        <v>-0.83814626165452</v>
      </c>
      <c r="M146" t="n">
        <v>-0.84141991906858</v>
      </c>
      <c r="N146" t="n">
        <v>638.26695496644</v>
      </c>
      <c r="O146" t="n">
        <v>720.63663312893</v>
      </c>
    </row>
    <row r="147">
      <c r="A147" t="n">
        <v>14.108638849597</v>
      </c>
      <c r="B147" t="n">
        <v>0.042034049168331</v>
      </c>
      <c r="C147" t="n">
        <v>92.69156482977699</v>
      </c>
      <c r="D147" t="n">
        <v>0.044345512522163</v>
      </c>
      <c r="E147" t="n">
        <v>-6.9720319356103</v>
      </c>
      <c r="F147" t="n">
        <v>-2.321735027108</v>
      </c>
      <c r="G147" t="n">
        <v>55807272.942434</v>
      </c>
      <c r="H147" t="n">
        <v>10765123.676706</v>
      </c>
      <c r="I147" t="n">
        <v>-0.020522248196543</v>
      </c>
      <c r="J147" t="n">
        <v>-0.019601904292061</v>
      </c>
      <c r="K147" t="n">
        <v>0.04144069703584</v>
      </c>
      <c r="L147" t="n">
        <v>-0.8453649665677599</v>
      </c>
      <c r="M147" t="n">
        <v>-0.8486307087206501</v>
      </c>
      <c r="N147" t="n">
        <v>639.00476203362</v>
      </c>
      <c r="O147" t="n">
        <v>721.51803434497</v>
      </c>
    </row>
    <row r="148">
      <c r="A148" t="n">
        <v>14.208638849597</v>
      </c>
      <c r="B148" t="n">
        <v>0.042344694995427</v>
      </c>
      <c r="C148" t="n">
        <v>92.691440177009</v>
      </c>
      <c r="D148" t="n">
        <v>0.044659982756979</v>
      </c>
      <c r="E148" t="n">
        <v>-6.9833801184665</v>
      </c>
      <c r="F148" t="n">
        <v>-2.3220567021296</v>
      </c>
      <c r="G148" t="n">
        <v>56155770.338823</v>
      </c>
      <c r="H148" t="n">
        <v>10823490.599552</v>
      </c>
      <c r="I148" t="n">
        <v>-0.020669072406175</v>
      </c>
      <c r="J148" t="n">
        <v>-0.019741281108021</v>
      </c>
      <c r="K148" t="n">
        <v>0.041728285763706</v>
      </c>
      <c r="L148" t="n">
        <v>-0.85259413240204</v>
      </c>
      <c r="M148" t="n">
        <v>-0.85585160513514</v>
      </c>
      <c r="N148" t="n">
        <v>639.74095623755</v>
      </c>
      <c r="O148" t="n">
        <v>722.3975148931499</v>
      </c>
    </row>
    <row r="149">
      <c r="A149" t="n">
        <v>14.308638849597</v>
      </c>
      <c r="B149" t="n">
        <v>0.042655326914439</v>
      </c>
      <c r="C149" t="n">
        <v>92.691314504826</v>
      </c>
      <c r="D149" t="n">
        <v>0.044974438683257</v>
      </c>
      <c r="E149" t="n">
        <v>-6.9990836266215</v>
      </c>
      <c r="F149" t="n">
        <v>-2.3267306065419</v>
      </c>
      <c r="G149" t="n">
        <v>56504797.470317</v>
      </c>
      <c r="H149" t="n">
        <v>10881935.101043</v>
      </c>
      <c r="I149" t="n">
        <v>-0.020815860143558</v>
      </c>
      <c r="J149" t="n">
        <v>-0.019880613824548</v>
      </c>
      <c r="K149" t="n">
        <v>0.042015790590768</v>
      </c>
      <c r="L149" t="n">
        <v>-0.85983476727138</v>
      </c>
      <c r="M149" t="n">
        <v>-0.86308248832409</v>
      </c>
      <c r="N149" t="n">
        <v>640.47564038487</v>
      </c>
      <c r="O149" t="n">
        <v>723.27518390099</v>
      </c>
    </row>
    <row r="150">
      <c r="A150" t="n">
        <v>14.408638849597</v>
      </c>
      <c r="B150" t="n">
        <v>0.04296594523013</v>
      </c>
      <c r="C150" t="n">
        <v>92.69119520209701</v>
      </c>
      <c r="D150" t="n">
        <v>0.045288880617986</v>
      </c>
      <c r="E150" t="n">
        <v>-7.0214189433077</v>
      </c>
      <c r="F150" t="n">
        <v>-2.3270541904422</v>
      </c>
      <c r="G150" t="n">
        <v>56854350.974281</v>
      </c>
      <c r="H150" t="n">
        <v>10940456.62635</v>
      </c>
      <c r="I150" t="n">
        <v>-0.02096261130308</v>
      </c>
      <c r="J150" t="n">
        <v>-0.020019902564065</v>
      </c>
      <c r="K150" t="n">
        <v>0.042303211565695</v>
      </c>
      <c r="L150" t="n">
        <v>-0.86708886042936</v>
      </c>
      <c r="M150" t="n">
        <v>-0.87032599592375</v>
      </c>
      <c r="N150" t="n">
        <v>641.20883741134</v>
      </c>
      <c r="O150" t="n">
        <v>724.15107556416</v>
      </c>
    </row>
    <row r="151">
      <c r="A151" t="n">
        <v>14.508638849597</v>
      </c>
      <c r="B151" t="n">
        <v>0.043276550461955</v>
      </c>
      <c r="C151" t="n">
        <v>92.691072102522</v>
      </c>
      <c r="D151" t="n">
        <v>0.045603308910196</v>
      </c>
      <c r="E151" t="n">
        <v>-7.0217812165969</v>
      </c>
      <c r="F151" t="n">
        <v>-2.3383643158536</v>
      </c>
      <c r="G151" t="n">
        <v>57204427.728196</v>
      </c>
      <c r="H151" t="n">
        <v>10999054.660867</v>
      </c>
      <c r="I151" t="n">
        <v>-0.021109326002107</v>
      </c>
      <c r="J151" t="n">
        <v>-0.020159147286704</v>
      </c>
      <c r="K151" t="n">
        <v>0.042590548739132</v>
      </c>
      <c r="L151" t="n">
        <v>-0.87434867527032</v>
      </c>
      <c r="M151" t="n">
        <v>-0.87757646262704</v>
      </c>
      <c r="N151" t="n">
        <v>641.9405177580001</v>
      </c>
      <c r="O151" t="n">
        <v>725.02516214284</v>
      </c>
    </row>
    <row r="152">
      <c r="A152" t="n">
        <v>14.608638849597</v>
      </c>
      <c r="B152" t="n">
        <v>0.043587143200146</v>
      </c>
      <c r="C152" t="n">
        <v>92.690947213591</v>
      </c>
      <c r="D152" t="n">
        <v>0.045917723791864</v>
      </c>
      <c r="E152" t="n">
        <v>-7.0438745680984</v>
      </c>
      <c r="F152" t="n">
        <v>-2.3470631280105</v>
      </c>
      <c r="G152" t="n">
        <v>57555025.151843</v>
      </c>
      <c r="H152" t="n">
        <v>11057728.784009</v>
      </c>
      <c r="I152" t="n">
        <v>-0.021256004492063</v>
      </c>
      <c r="J152" t="n">
        <v>-0.020298347973063</v>
      </c>
      <c r="K152" t="n">
        <v>0.042877802162465</v>
      </c>
      <c r="L152" t="n">
        <v>-0.8816210191431</v>
      </c>
      <c r="M152" t="n">
        <v>-0.8848380013431399</v>
      </c>
      <c r="N152" t="n">
        <v>642.67060296957</v>
      </c>
      <c r="O152" t="n">
        <v>725.89737013092</v>
      </c>
    </row>
    <row r="153">
      <c r="A153" t="n">
        <v>14.708638849597</v>
      </c>
      <c r="B153" t="n">
        <v>0.043897723092352</v>
      </c>
      <c r="C153" t="n">
        <v>92.69081670959</v>
      </c>
      <c r="D153" t="n">
        <v>0.046232125523175</v>
      </c>
      <c r="E153" t="n">
        <v>-7.0552219814752</v>
      </c>
      <c r="F153" t="n">
        <v>-2.3364013209291</v>
      </c>
      <c r="G153" t="n">
        <v>57906139.282228</v>
      </c>
      <c r="H153" t="n">
        <v>11116478.339834</v>
      </c>
      <c r="I153" t="n">
        <v>-0.021402646554072</v>
      </c>
      <c r="J153" t="n">
        <v>-0.020437504594891</v>
      </c>
      <c r="K153" t="n">
        <v>0.043164971880807</v>
      </c>
      <c r="L153" t="n">
        <v>-0.88890201657199</v>
      </c>
      <c r="M153" t="n">
        <v>-0.89210911722772</v>
      </c>
      <c r="N153" t="n">
        <v>643.39923065162</v>
      </c>
      <c r="O153" t="n">
        <v>726.7678340185601</v>
      </c>
    </row>
    <row r="154">
      <c r="A154" t="n">
        <v>14.808638849597</v>
      </c>
      <c r="B154" t="n">
        <v>0.044208290733293</v>
      </c>
      <c r="C154" t="n">
        <v>92.690691199314</v>
      </c>
      <c r="D154" t="n">
        <v>0.046546514449849</v>
      </c>
      <c r="E154" t="n">
        <v>-7.0599411511686</v>
      </c>
      <c r="F154" t="n">
        <v>-2.3410815725643</v>
      </c>
      <c r="G154" t="n">
        <v>58257767.116554</v>
      </c>
      <c r="H154" t="n">
        <v>11175302.835567</v>
      </c>
      <c r="I154" t="n">
        <v>-0.021549252471843</v>
      </c>
      <c r="J154" t="n">
        <v>-0.020576617028209</v>
      </c>
      <c r="K154" t="n">
        <v>0.043452057944542</v>
      </c>
      <c r="L154" t="n">
        <v>-0.89619642836276</v>
      </c>
      <c r="M154" t="n">
        <v>-0.89939325730708</v>
      </c>
      <c r="N154" t="n">
        <v>644.12635686076</v>
      </c>
      <c r="O154" t="n">
        <v>727.63651738695</v>
      </c>
    </row>
    <row r="155">
      <c r="A155" t="n">
        <v>14.908638849597</v>
      </c>
      <c r="B155" t="n">
        <v>0.044518845860634</v>
      </c>
      <c r="C155" t="n">
        <v>92.690567379477</v>
      </c>
      <c r="D155" t="n">
        <v>0.046860890671469</v>
      </c>
      <c r="E155" t="n">
        <v>-7.0603028459637</v>
      </c>
      <c r="F155" t="n">
        <v>-2.3304215637263</v>
      </c>
      <c r="G155" t="n">
        <v>58609905.021468</v>
      </c>
      <c r="H155" t="n">
        <v>11234201.671766</v>
      </c>
      <c r="I155" t="n">
        <v>-0.021695822136745</v>
      </c>
      <c r="J155" t="n">
        <v>-0.020715685241287</v>
      </c>
      <c r="K155" t="n">
        <v>0.043739060402198</v>
      </c>
      <c r="L155" t="n">
        <v>-0.9034996284289299</v>
      </c>
      <c r="M155" t="n">
        <v>-0.90668653257621</v>
      </c>
      <c r="N155" t="n">
        <v>644.85206635406</v>
      </c>
      <c r="O155" t="n">
        <v>728.50351729636</v>
      </c>
    </row>
    <row r="156">
      <c r="A156" t="n">
        <v>15.008638849597</v>
      </c>
      <c r="B156" t="n">
        <v>0.044829388883216</v>
      </c>
      <c r="C156" t="n">
        <v>92.690435541238</v>
      </c>
      <c r="D156" t="n">
        <v>0.047175254488905</v>
      </c>
      <c r="E156" t="n">
        <v>-7.0775568081932</v>
      </c>
      <c r="F156" t="n">
        <v>-2.3339204559515</v>
      </c>
      <c r="G156" t="n">
        <v>58962550.201563</v>
      </c>
      <c r="H156" t="n">
        <v>11293174.391694</v>
      </c>
      <c r="I156" t="n">
        <v>-0.021842355703907</v>
      </c>
      <c r="J156" t="n">
        <v>-0.020854709194433</v>
      </c>
      <c r="K156" t="n">
        <v>0.04402597930449</v>
      </c>
      <c r="L156" t="n">
        <v>-0.9108114832325001</v>
      </c>
      <c r="M156" t="n">
        <v>-0.91398834501029</v>
      </c>
      <c r="N156" t="n">
        <v>645.57632519576</v>
      </c>
      <c r="O156" t="n">
        <v>729.3688003172</v>
      </c>
    </row>
    <row r="157">
      <c r="A157" t="n">
        <v>15.108638849597</v>
      </c>
      <c r="B157" t="n">
        <v>0.045139920784554</v>
      </c>
      <c r="C157" t="n">
        <v>92.690308024711</v>
      </c>
      <c r="D157" t="n">
        <v>0.047489606330536</v>
      </c>
      <c r="E157" t="n">
        <v>-7.0779166193471</v>
      </c>
      <c r="F157" t="n">
        <v>-2.3342453432447</v>
      </c>
      <c r="G157" t="n">
        <v>59315700.080407</v>
      </c>
      <c r="H157" t="n">
        <v>11352220.57391</v>
      </c>
      <c r="I157" t="n">
        <v>-0.021988853396522</v>
      </c>
      <c r="J157" t="n">
        <v>-0.020993688914563</v>
      </c>
      <c r="K157" t="n">
        <v>0.044312814700806</v>
      </c>
      <c r="L157" t="n">
        <v>-0.91813436238382</v>
      </c>
      <c r="M157" t="n">
        <v>-0.92130141307951</v>
      </c>
      <c r="N157" t="n">
        <v>646.29903766131</v>
      </c>
      <c r="O157" t="n">
        <v>730.2322753434401</v>
      </c>
    </row>
    <row r="158">
      <c r="A158" t="n">
        <v>15.208638849597</v>
      </c>
      <c r="B158" t="n">
        <v>0.045450441004314</v>
      </c>
      <c r="C158" t="n">
        <v>92.690181434726</v>
      </c>
      <c r="D158" t="n">
        <v>0.047803946309045</v>
      </c>
      <c r="E158" t="n">
        <v>-7.1002487438993</v>
      </c>
      <c r="F158" t="n">
        <v>-2.334570448388</v>
      </c>
      <c r="G158" t="n">
        <v>59669350.708436</v>
      </c>
      <c r="H158" t="n">
        <v>11411339.566226</v>
      </c>
      <c r="I158" t="n">
        <v>-0.022135314846179</v>
      </c>
      <c r="J158" t="n">
        <v>-0.021132624538603</v>
      </c>
      <c r="K158" t="n">
        <v>0.04459956663748</v>
      </c>
      <c r="L158" t="n">
        <v>-0.92546923503578</v>
      </c>
      <c r="M158" t="n">
        <v>-0.92862467710477</v>
      </c>
      <c r="N158" t="n">
        <v>647.0203449186899</v>
      </c>
      <c r="O158" t="n">
        <v>731.0940792878901</v>
      </c>
    </row>
    <row r="159">
      <c r="A159" t="n">
        <v>15.308638849597</v>
      </c>
      <c r="B159" t="n">
        <v>0.045760949968405</v>
      </c>
      <c r="C159" t="n">
        <v>92.69005527878301</v>
      </c>
      <c r="D159" t="n">
        <v>0.048118274703053</v>
      </c>
      <c r="E159" t="n">
        <v>-7.1115941909232</v>
      </c>
      <c r="F159" t="n">
        <v>-2.3348957883873</v>
      </c>
      <c r="G159" t="n">
        <v>60023499.41003</v>
      </c>
      <c r="H159" t="n">
        <v>11470530.932482</v>
      </c>
      <c r="I159" t="n">
        <v>-0.022281740297663</v>
      </c>
      <c r="J159" t="n">
        <v>-0.021271515931899</v>
      </c>
      <c r="K159" t="n">
        <v>0.04488623516259</v>
      </c>
      <c r="L159" t="n">
        <v>-0.93281190420876</v>
      </c>
      <c r="M159" t="n">
        <v>-0.93595767009854</v>
      </c>
      <c r="N159" t="n">
        <v>647.74021067629</v>
      </c>
      <c r="O159" t="n">
        <v>731.95418087889</v>
      </c>
    </row>
    <row r="160">
      <c r="A160" t="n">
        <v>15.408638849597</v>
      </c>
      <c r="B160" t="n">
        <v>0.046071447984932</v>
      </c>
      <c r="C160" t="n">
        <v>92.689935096344</v>
      </c>
      <c r="D160" t="n">
        <v>0.048432591775152</v>
      </c>
      <c r="E160" t="n">
        <v>-7.122939303193</v>
      </c>
      <c r="F160" t="n">
        <v>-2.3352213134508</v>
      </c>
      <c r="G160" t="n">
        <v>60378142.921526</v>
      </c>
      <c r="H160" t="n">
        <v>11529794.136242</v>
      </c>
      <c r="I160" t="n">
        <v>-0.02242812974008</v>
      </c>
      <c r="J160" t="n">
        <v>-0.021410363095986</v>
      </c>
      <c r="K160" t="n">
        <v>0.045172820329148</v>
      </c>
      <c r="L160" t="n">
        <v>-0.9401652221569901</v>
      </c>
      <c r="M160" t="n">
        <v>-0.94330031788739</v>
      </c>
      <c r="N160" t="n">
        <v>648.45866456059</v>
      </c>
      <c r="O160" t="n">
        <v>732.81262219694</v>
      </c>
    </row>
    <row r="161">
      <c r="A161" t="n">
        <v>15.508638849597</v>
      </c>
      <c r="B161" t="n">
        <v>0.046381935207475</v>
      </c>
      <c r="C161" t="n">
        <v>92.689818698579</v>
      </c>
      <c r="D161" t="n">
        <v>0.048746897773441</v>
      </c>
      <c r="E161" t="n">
        <v>-7.1189883673218</v>
      </c>
      <c r="F161" t="n">
        <v>-2.339848773099</v>
      </c>
      <c r="G161" t="n">
        <v>60733278.16012</v>
      </c>
      <c r="H161" t="n">
        <v>11589128.671617</v>
      </c>
      <c r="I161" t="n">
        <v>-0.022574483205745</v>
      </c>
      <c r="J161" t="n">
        <v>-0.02154916605418</v>
      </c>
      <c r="K161" t="n">
        <v>0.045459322177865</v>
      </c>
      <c r="L161" t="n">
        <v>-0.9475318165647501</v>
      </c>
      <c r="M161" t="n">
        <v>-0.9506561166002599</v>
      </c>
      <c r="N161" t="n">
        <v>649.17570387375</v>
      </c>
      <c r="O161" t="n">
        <v>733.66940703785</v>
      </c>
    </row>
    <row r="162">
      <c r="A162" t="n">
        <v>15.608638849597</v>
      </c>
      <c r="B162" t="n">
        <v>0.046692411968245</v>
      </c>
      <c r="C162" t="n">
        <v>92.689698286376</v>
      </c>
      <c r="D162" t="n">
        <v>0.049061192910217</v>
      </c>
      <c r="E162" t="n">
        <v>-7.104278554037</v>
      </c>
      <c r="F162" t="n">
        <v>-2.3552363051101</v>
      </c>
      <c r="G162" t="n">
        <v>61088902.250577</v>
      </c>
      <c r="H162" t="n">
        <v>11648534.068758</v>
      </c>
      <c r="I162" t="n">
        <v>-0.022720800673178</v>
      </c>
      <c r="J162" t="n">
        <v>-0.021687924878635</v>
      </c>
      <c r="K162" t="n">
        <v>0.045745740761751</v>
      </c>
      <c r="L162" t="n">
        <v>-0.95490475765572</v>
      </c>
      <c r="M162" t="n">
        <v>-0.95801858165608</v>
      </c>
      <c r="N162" t="n">
        <v>649.8913198409</v>
      </c>
      <c r="O162" t="n">
        <v>734.52452838267</v>
      </c>
    </row>
    <row r="163">
      <c r="A163" t="n">
        <v>15.708638849597</v>
      </c>
      <c r="B163" t="n">
        <v>0.047002878659655</v>
      </c>
      <c r="C163" t="n">
        <v>92.689576611109</v>
      </c>
      <c r="D163" t="n">
        <v>0.049375477418062</v>
      </c>
      <c r="E163" t="n">
        <v>-7.1046360284476</v>
      </c>
      <c r="F163" t="n">
        <v>-2.344576566275</v>
      </c>
      <c r="G163" t="n">
        <v>61445012.425745</v>
      </c>
      <c r="H163" t="n">
        <v>11708009.875717</v>
      </c>
      <c r="I163" t="n">
        <v>-0.022867082249842</v>
      </c>
      <c r="J163" t="n">
        <v>-0.021826639584281</v>
      </c>
      <c r="K163" t="n">
        <v>0.046032076132416</v>
      </c>
      <c r="L163" t="n">
        <v>-0.96228795365776</v>
      </c>
      <c r="M163" t="n">
        <v>-0.96539120534737</v>
      </c>
      <c r="N163" t="n">
        <v>650.60548436994</v>
      </c>
      <c r="O163" t="n">
        <v>735.37796490778</v>
      </c>
    </row>
    <row r="164">
      <c r="A164" t="n">
        <v>15.808638849597</v>
      </c>
      <c r="B164" t="n">
        <v>0.047313334980182</v>
      </c>
      <c r="C164" t="n">
        <v>92.689454163034</v>
      </c>
      <c r="D164" t="n">
        <v>0.049689751451862</v>
      </c>
      <c r="E164" t="n">
        <v>-7.0830205487558</v>
      </c>
      <c r="F164" t="n">
        <v>-2.3339170908293</v>
      </c>
      <c r="G164" t="n">
        <v>61801604.988151</v>
      </c>
      <c r="H164" t="n">
        <v>11767555.484344</v>
      </c>
      <c r="I164" t="n">
        <v>-0.023013327854822</v>
      </c>
      <c r="J164" t="n">
        <v>-0.021965310080897</v>
      </c>
      <c r="K164" t="n">
        <v>0.046318328327723</v>
      </c>
      <c r="L164" t="n">
        <v>-0.96968330271641</v>
      </c>
      <c r="M164" t="n">
        <v>-0.97277527189361</v>
      </c>
      <c r="N164" t="n">
        <v>651.31830484743</v>
      </c>
      <c r="O164" t="n">
        <v>736.22983251696</v>
      </c>
    </row>
    <row r="165">
      <c r="A165" t="n">
        <v>15.908638849597</v>
      </c>
      <c r="B165" t="n">
        <v>0.047623781608861</v>
      </c>
      <c r="C165" t="n">
        <v>92.68933098632</v>
      </c>
      <c r="D165" t="n">
        <v>0.050004015382871</v>
      </c>
      <c r="E165" t="n">
        <v>-7.0833774734933</v>
      </c>
      <c r="F165" t="n">
        <v>-2.3452305162196</v>
      </c>
      <c r="G165" t="n">
        <v>62158677.543355</v>
      </c>
      <c r="H165" t="n">
        <v>11827170.506247</v>
      </c>
      <c r="I165" t="n">
        <v>-0.023159537523123</v>
      </c>
      <c r="J165" t="n">
        <v>-0.022103936496304</v>
      </c>
      <c r="K165" t="n">
        <v>0.046604497403817</v>
      </c>
      <c r="L165" t="n">
        <v>-0.97709041986305</v>
      </c>
      <c r="M165" t="n">
        <v>-0.98017097542008</v>
      </c>
      <c r="N165" t="n">
        <v>652.02972438751</v>
      </c>
      <c r="O165" t="n">
        <v>737.08006239487</v>
      </c>
    </row>
    <row r="166">
      <c r="A166" t="n">
        <v>16.008638849597</v>
      </c>
      <c r="B166" t="n">
        <v>0.047934218572518</v>
      </c>
      <c r="C166" t="n">
        <v>92.689202467996</v>
      </c>
      <c r="D166" t="n">
        <v>0.050318269372518</v>
      </c>
      <c r="E166" t="n">
        <v>-7.0837341192675</v>
      </c>
      <c r="F166" t="n">
        <v>-2.3455578676511</v>
      </c>
      <c r="G166" t="n">
        <v>62516226.975538</v>
      </c>
      <c r="H166" t="n">
        <v>11886854.431715</v>
      </c>
      <c r="I166" t="n">
        <v>-0.023305711209725</v>
      </c>
      <c r="J166" t="n">
        <v>-0.02224251886367</v>
      </c>
      <c r="K166" t="n">
        <v>0.0468905834089</v>
      </c>
      <c r="L166" t="n">
        <v>-0.9845029400213</v>
      </c>
      <c r="M166" t="n">
        <v>-0.9875749527889101</v>
      </c>
      <c r="N166" t="n">
        <v>652.7397643069399</v>
      </c>
      <c r="O166" t="n">
        <v>737.92868594663</v>
      </c>
    </row>
    <row r="167">
      <c r="A167" t="n">
        <v>16.108638849597</v>
      </c>
      <c r="B167" t="n">
        <v>0.048244646198983</v>
      </c>
      <c r="C167" t="n">
        <v>92.68907362980799</v>
      </c>
      <c r="D167" t="n">
        <v>0.050632513665874</v>
      </c>
      <c r="E167" t="n">
        <v>-7.1101505022153</v>
      </c>
      <c r="F167" t="n">
        <v>-2.3499584770442</v>
      </c>
      <c r="G167" t="n">
        <v>62874250.376516</v>
      </c>
      <c r="H167" t="n">
        <v>11946606.78584</v>
      </c>
      <c r="I167" t="n">
        <v>-0.023451848869697</v>
      </c>
      <c r="J167" t="n">
        <v>-0.02238105723866</v>
      </c>
      <c r="K167" t="n">
        <v>0.047176586389007</v>
      </c>
      <c r="L167" t="n">
        <v>-0.99192670989595</v>
      </c>
      <c r="M167" t="n">
        <v>-0.99498660069727</v>
      </c>
      <c r="N167" t="n">
        <v>653.44844313853</v>
      </c>
      <c r="O167" t="n">
        <v>738.77572705501</v>
      </c>
    </row>
    <row r="168">
      <c r="A168" t="n">
        <v>16.208638849597</v>
      </c>
      <c r="B168" t="n">
        <v>0.048555064587873</v>
      </c>
      <c r="C168" t="n">
        <v>92.688929826818</v>
      </c>
      <c r="D168" t="n">
        <v>0.050946748532637</v>
      </c>
      <c r="E168" t="n">
        <v>-7.103954345698</v>
      </c>
      <c r="F168" t="n">
        <v>-2.3437292411721</v>
      </c>
      <c r="G168" t="n">
        <v>63232744.933789</v>
      </c>
      <c r="H168" t="n">
        <v>12006427.109583</v>
      </c>
      <c r="I168" t="n">
        <v>-0.023597950611857</v>
      </c>
      <c r="J168" t="n">
        <v>-0.022519551613569</v>
      </c>
      <c r="K168" t="n">
        <v>0.047462506393045</v>
      </c>
      <c r="L168" t="n">
        <v>-0.99935932451091</v>
      </c>
      <c r="M168" t="n">
        <v>-1.0024100149313</v>
      </c>
      <c r="N168" t="n">
        <v>654.15573856101</v>
      </c>
      <c r="O168" t="n">
        <v>739.62115592571</v>
      </c>
    </row>
    <row r="169">
      <c r="A169" t="n">
        <v>16.308638849597</v>
      </c>
      <c r="B169" t="n">
        <v>0.048865474065927</v>
      </c>
      <c r="C169" t="n">
        <v>92.688788676724</v>
      </c>
      <c r="D169" t="n">
        <v>0.051260974169706</v>
      </c>
      <c r="E169" t="n">
        <v>-7.1414303458244</v>
      </c>
      <c r="F169" t="n">
        <v>-2.3482107246279</v>
      </c>
      <c r="G169" t="n">
        <v>63591707.744461</v>
      </c>
      <c r="H169" t="n">
        <v>12066314.929891</v>
      </c>
      <c r="I169" t="n">
        <v>-0.023744016359862</v>
      </c>
      <c r="J169" t="n">
        <v>-0.02265800207573</v>
      </c>
      <c r="K169" t="n">
        <v>0.047748343468749</v>
      </c>
      <c r="L169" t="n">
        <v>-1.0068036935676</v>
      </c>
      <c r="M169" t="n">
        <v>-1.0098438433715</v>
      </c>
      <c r="N169" t="n">
        <v>654.86166895495</v>
      </c>
      <c r="O169" t="n">
        <v>740.46499535301</v>
      </c>
    </row>
    <row r="170">
      <c r="A170" t="n">
        <v>16.408638849597</v>
      </c>
      <c r="B170" t="n">
        <v>0.049175874809441</v>
      </c>
      <c r="C170" t="n">
        <v>92.68863675703</v>
      </c>
      <c r="D170" t="n">
        <v>0.051575190752618</v>
      </c>
      <c r="E170" t="n">
        <v>-7.1238976066448</v>
      </c>
      <c r="F170" t="n">
        <v>-2.3416307351021</v>
      </c>
      <c r="G170" t="n">
        <v>63951135.893881</v>
      </c>
      <c r="H170" t="n">
        <v>12126269.771128</v>
      </c>
      <c r="I170" t="n">
        <v>-0.023890046023587</v>
      </c>
      <c r="J170" t="n">
        <v>-0.022796408717627</v>
      </c>
      <c r="K170" t="n">
        <v>0.048034097665823</v>
      </c>
      <c r="L170" t="n">
        <v>-1.0142568417532</v>
      </c>
      <c r="M170" t="n">
        <v>-1.0172860756749</v>
      </c>
      <c r="N170" t="n">
        <v>655.5662525172201</v>
      </c>
      <c r="O170" t="n">
        <v>741.30726959483</v>
      </c>
    </row>
    <row r="171">
      <c r="A171" t="n">
        <v>16.508638849597</v>
      </c>
      <c r="B171" t="n">
        <v>0.04948626740613</v>
      </c>
      <c r="C171" t="n">
        <v>92.68848390567101</v>
      </c>
      <c r="D171" t="n">
        <v>0.05188939853724</v>
      </c>
      <c r="E171" t="n">
        <v>-7.1231196214587</v>
      </c>
      <c r="F171" t="n">
        <v>-2.3407675019968</v>
      </c>
      <c r="G171" t="n">
        <v>64311027.365299</v>
      </c>
      <c r="H171" t="n">
        <v>12186291.310162</v>
      </c>
      <c r="I171" t="n">
        <v>-0.02403603980594</v>
      </c>
      <c r="J171" t="n">
        <v>-0.022934771596451</v>
      </c>
      <c r="K171" t="n">
        <v>0.048319769030002</v>
      </c>
      <c r="L171" t="n">
        <v>-1.0217211299565</v>
      </c>
      <c r="M171" t="n">
        <v>-1.0247402072434</v>
      </c>
      <c r="N171" t="n">
        <v>656.26938776107</v>
      </c>
      <c r="O171" t="n">
        <v>742.14787295078</v>
      </c>
    </row>
    <row r="172">
      <c r="A172" t="n">
        <v>16.608638849597</v>
      </c>
      <c r="B172" t="n">
        <v>0.049796650942899</v>
      </c>
      <c r="C172" t="n">
        <v>92.688338938893</v>
      </c>
      <c r="D172" t="n">
        <v>0.052203597595928</v>
      </c>
      <c r="E172" t="n">
        <v>-7.1495083039381</v>
      </c>
      <c r="F172" t="n">
        <v>-2.3561432356167</v>
      </c>
      <c r="G172" t="n">
        <v>64671377.761372</v>
      </c>
      <c r="H172" t="n">
        <v>12246378.82194</v>
      </c>
      <c r="I172" t="n">
        <v>-0.024181997523118</v>
      </c>
      <c r="J172" t="n">
        <v>-0.023073090469997</v>
      </c>
      <c r="K172" t="n">
        <v>0.048605357614267</v>
      </c>
      <c r="L172" t="n">
        <v>-1.0291935440305</v>
      </c>
      <c r="M172" t="n">
        <v>-1.0322026604418</v>
      </c>
      <c r="N172" t="n">
        <v>656.9713073962999</v>
      </c>
      <c r="O172" t="n">
        <v>742.98703824655</v>
      </c>
    </row>
    <row r="173">
      <c r="A173" t="n">
        <v>16.708638849597</v>
      </c>
      <c r="B173" t="n">
        <v>0.050107026575578</v>
      </c>
      <c r="C173" t="n">
        <v>92.688196632063</v>
      </c>
      <c r="D173" t="n">
        <v>0.0525177882505</v>
      </c>
      <c r="E173" t="n">
        <v>-7.1608563917055</v>
      </c>
      <c r="F173" t="n">
        <v>-2.3564793509989</v>
      </c>
      <c r="G173" t="n">
        <v>65032185.307224</v>
      </c>
      <c r="H173" t="n">
        <v>12306532.023669</v>
      </c>
      <c r="I173" t="n">
        <v>-0.02432791928462</v>
      </c>
      <c r="J173" t="n">
        <v>-0.023211365549828</v>
      </c>
      <c r="K173" t="n">
        <v>0.048890863467873</v>
      </c>
      <c r="L173" t="n">
        <v>-1.0366750492973</v>
      </c>
      <c r="M173" t="n">
        <v>-1.039673602895</v>
      </c>
      <c r="N173" t="n">
        <v>657.6718754942</v>
      </c>
      <c r="O173" t="n">
        <v>743.8246384962</v>
      </c>
    </row>
    <row r="174">
      <c r="A174" t="n">
        <v>16.808638849597</v>
      </c>
      <c r="B174" t="n">
        <v>0.050417394181723</v>
      </c>
      <c r="C174" t="n">
        <v>92.688029567979</v>
      </c>
      <c r="D174" t="n">
        <v>0.052831970684314</v>
      </c>
      <c r="E174" t="n">
        <v>-7.1579392994518</v>
      </c>
      <c r="F174" t="n">
        <v>-2.3535236952892</v>
      </c>
      <c r="G174" t="n">
        <v>65393446.974738</v>
      </c>
      <c r="H174" t="n">
        <v>12366750.421091</v>
      </c>
      <c r="I174" t="n">
        <v>-0.024473805076334</v>
      </c>
      <c r="J174" t="n">
        <v>-0.023349596836804</v>
      </c>
      <c r="K174" t="n">
        <v>0.049176286637492</v>
      </c>
      <c r="L174" t="n">
        <v>-1.0441674057776</v>
      </c>
      <c r="M174" t="n">
        <v>-1.0471562214375</v>
      </c>
      <c r="N174" t="n">
        <v>658.37112146932</v>
      </c>
      <c r="O174" t="n">
        <v>744.66070496514</v>
      </c>
    </row>
    <row r="175">
      <c r="A175" t="n">
        <v>16.908638849597</v>
      </c>
      <c r="B175" t="n">
        <v>0.05072775449285</v>
      </c>
      <c r="C175" t="n">
        <v>92.687881958559</v>
      </c>
      <c r="D175" t="n">
        <v>0.053146145222103</v>
      </c>
      <c r="E175" t="n">
        <v>-7.158302167112</v>
      </c>
      <c r="F175" t="n">
        <v>-2.3538619092201</v>
      </c>
      <c r="G175" t="n">
        <v>65755160.484341</v>
      </c>
      <c r="H175" t="n">
        <v>12427033.64561</v>
      </c>
      <c r="I175" t="n">
        <v>-0.024619654958754</v>
      </c>
      <c r="J175" t="n">
        <v>-0.023487784508522</v>
      </c>
      <c r="K175" t="n">
        <v>0.049461627174245</v>
      </c>
      <c r="L175" t="n">
        <v>-1.0516696915768</v>
      </c>
      <c r="M175" t="n">
        <v>-1.0546494640825</v>
      </c>
      <c r="N175" t="n">
        <v>659.06895271805</v>
      </c>
      <c r="O175" t="n">
        <v>745.49514628489</v>
      </c>
    </row>
    <row r="176">
      <c r="A176" t="n">
        <v>17.008638849597</v>
      </c>
      <c r="B176" t="n">
        <v>0.051038107284237</v>
      </c>
      <c r="C176" t="n">
        <v>92.687724357363</v>
      </c>
      <c r="D176" t="n">
        <v>0.05346031195827</v>
      </c>
      <c r="E176" t="n">
        <v>-7.1862256263416</v>
      </c>
      <c r="F176" t="n">
        <v>-2.3573264205871</v>
      </c>
      <c r="G176" t="n">
        <v>66117322.579626</v>
      </c>
      <c r="H176" t="n">
        <v>12487381.165102</v>
      </c>
      <c r="I176" t="n">
        <v>-0.024765468918973</v>
      </c>
      <c r="J176" t="n">
        <v>-0.023625928402261</v>
      </c>
      <c r="K176" t="n">
        <v>0.049746885124019</v>
      </c>
      <c r="L176" t="n">
        <v>-1.0591816995728</v>
      </c>
      <c r="M176" t="n">
        <v>-1.0621498214932</v>
      </c>
      <c r="N176" t="n">
        <v>659.7654738648999</v>
      </c>
      <c r="O176" t="n">
        <v>746.32806185598</v>
      </c>
    </row>
    <row r="177">
      <c r="A177" t="n">
        <v>17.108638849597</v>
      </c>
      <c r="B177" t="n">
        <v>0.051348452280384</v>
      </c>
      <c r="C177" t="n">
        <v>92.68757431447401</v>
      </c>
      <c r="D177" t="n">
        <v>0.053774471113772</v>
      </c>
      <c r="E177" t="n">
        <v>-7.1756000805472</v>
      </c>
      <c r="F177" t="n">
        <v>-2.3576640099761</v>
      </c>
      <c r="G177" t="n">
        <v>66479929.56388</v>
      </c>
      <c r="H177" t="n">
        <v>12547792.373853</v>
      </c>
      <c r="I177" t="n">
        <v>-0.024911246843369</v>
      </c>
      <c r="J177" t="n">
        <v>-0.023764028389778</v>
      </c>
      <c r="K177" t="n">
        <v>0.050032060533259</v>
      </c>
      <c r="L177" t="n">
        <v>-1.0667011378979</v>
      </c>
      <c r="M177" t="n">
        <v>-1.0696597311474</v>
      </c>
      <c r="N177" t="n">
        <v>660.46082974915</v>
      </c>
      <c r="O177" t="n">
        <v>747.15961716686</v>
      </c>
    </row>
    <row r="178">
      <c r="A178" t="n">
        <v>17.208638849597</v>
      </c>
      <c r="B178" t="n">
        <v>0.051658790295611</v>
      </c>
      <c r="C178" t="n">
        <v>92.68742635746899</v>
      </c>
      <c r="D178" t="n">
        <v>0.054088622952237</v>
      </c>
      <c r="E178" t="n">
        <v>-7.1649742249238</v>
      </c>
      <c r="F178" t="n">
        <v>-2.3580018252569</v>
      </c>
      <c r="G178" t="n">
        <v>66842979.443175</v>
      </c>
      <c r="H178" t="n">
        <v>12608266.952245</v>
      </c>
      <c r="I178" t="n">
        <v>-0.025056988806132</v>
      </c>
      <c r="J178" t="n">
        <v>-0.023902084753202</v>
      </c>
      <c r="K178" t="n">
        <v>0.05031715345004</v>
      </c>
      <c r="L178" t="n">
        <v>-1.0742303006643</v>
      </c>
      <c r="M178" t="n">
        <v>-1.0771790278849</v>
      </c>
      <c r="N178" t="n">
        <v>661.15487141071</v>
      </c>
      <c r="O178" t="n">
        <v>747.98966242387</v>
      </c>
    </row>
    <row r="179">
      <c r="A179" t="n">
        <v>17.308638849598</v>
      </c>
      <c r="B179" t="n">
        <v>0.051969122087786</v>
      </c>
      <c r="C179" t="n">
        <v>92.68727496132</v>
      </c>
      <c r="D179" t="n">
        <v>0.054402767729844</v>
      </c>
      <c r="E179" t="n">
        <v>-7.1763207348248</v>
      </c>
      <c r="F179" t="n">
        <v>-2.3583398786131</v>
      </c>
      <c r="G179" t="n">
        <v>67206470.404107</v>
      </c>
      <c r="H179" t="n">
        <v>12668804.611943</v>
      </c>
      <c r="I179" t="n">
        <v>-0.025202695011813</v>
      </c>
      <c r="J179" t="n">
        <v>-0.024040097540479</v>
      </c>
      <c r="K179" t="n">
        <v>0.050602163924138</v>
      </c>
      <c r="L179" t="n">
        <v>-1.0817707253861</v>
      </c>
      <c r="M179" t="n">
        <v>-1.0847091314941</v>
      </c>
      <c r="N179" t="n">
        <v>661.84750155111</v>
      </c>
      <c r="O179" t="n">
        <v>748.81811462996</v>
      </c>
    </row>
    <row r="180">
      <c r="A180" t="n">
        <v>17.408638849598</v>
      </c>
      <c r="B180" t="n">
        <v>0.052279446745566</v>
      </c>
      <c r="C180" t="n">
        <v>92.687123684285</v>
      </c>
      <c r="D180" t="n">
        <v>0.054716905444265</v>
      </c>
      <c r="E180" t="n">
        <v>-7.1429906509254</v>
      </c>
      <c r="F180" t="n">
        <v>-2.35794949959</v>
      </c>
      <c r="G180" t="n">
        <v>67570398.331908</v>
      </c>
      <c r="H180" t="n">
        <v>12729404.678173</v>
      </c>
      <c r="I180" t="n">
        <v>-0.025348365342677</v>
      </c>
      <c r="J180" t="n">
        <v>-0.02417806643617</v>
      </c>
      <c r="K180" t="n">
        <v>0.050887092005997</v>
      </c>
      <c r="L180" t="n">
        <v>-1.0893210232133</v>
      </c>
      <c r="M180" t="n">
        <v>-1.0922507494401</v>
      </c>
      <c r="N180" t="n">
        <v>662.53895593948</v>
      </c>
      <c r="O180" t="n">
        <v>749.64519781423</v>
      </c>
    </row>
    <row r="181">
      <c r="A181" t="n">
        <v>17.508638849598</v>
      </c>
      <c r="B181" t="n">
        <v>0.052589765244147</v>
      </c>
      <c r="C181" t="n">
        <v>92.686969509131</v>
      </c>
      <c r="D181" t="n">
        <v>0.055031036501424</v>
      </c>
      <c r="E181" t="n">
        <v>-7.1323640646653</v>
      </c>
      <c r="F181" t="n">
        <v>-2.3473017223586</v>
      </c>
      <c r="G181" t="n">
        <v>67934761.41537599</v>
      </c>
      <c r="H181" t="n">
        <v>12790066.861013</v>
      </c>
      <c r="I181" t="n">
        <v>-0.025493999958996</v>
      </c>
      <c r="J181" t="n">
        <v>-0.024315991606066</v>
      </c>
      <c r="K181" t="n">
        <v>0.051171937739828</v>
      </c>
      <c r="L181" t="n">
        <v>-1.0968793666909</v>
      </c>
      <c r="M181" t="n">
        <v>-1.0997984640012</v>
      </c>
      <c r="N181" t="n">
        <v>663.2290870944601</v>
      </c>
      <c r="O181" t="n">
        <v>750.47076518237</v>
      </c>
    </row>
    <row r="182">
      <c r="A182" t="n">
        <v>17.608638849598</v>
      </c>
      <c r="B182" t="n">
        <v>0.05290007704269</v>
      </c>
      <c r="C182" t="n">
        <v>92.686817944417</v>
      </c>
      <c r="D182" t="n">
        <v>0.055345160950312</v>
      </c>
      <c r="E182" t="n">
        <v>-7.1258779105682</v>
      </c>
      <c r="F182" t="n">
        <v>-2.3407770914498</v>
      </c>
      <c r="G182" t="n">
        <v>68299556.164774</v>
      </c>
      <c r="H182" t="n">
        <v>12850790.592514</v>
      </c>
      <c r="I182" t="n">
        <v>-0.025639598685664</v>
      </c>
      <c r="J182" t="n">
        <v>-0.02445387296438</v>
      </c>
      <c r="K182" t="n">
        <v>0.051456701173692</v>
      </c>
      <c r="L182" t="n">
        <v>-1.1044479162817</v>
      </c>
      <c r="M182" t="n">
        <v>-1.1073569567924</v>
      </c>
      <c r="N182" t="n">
        <v>663.91805526515</v>
      </c>
      <c r="O182" t="n">
        <v>751.29498890514</v>
      </c>
    </row>
    <row r="183">
      <c r="A183" t="n">
        <v>17.708638849598</v>
      </c>
      <c r="B183" t="n">
        <v>0.053210383500725</v>
      </c>
      <c r="C183" t="n">
        <v>92.686668174598</v>
      </c>
      <c r="D183" t="n">
        <v>0.055659279209779</v>
      </c>
      <c r="E183" t="n">
        <v>-7.1152511814789</v>
      </c>
      <c r="F183" t="n">
        <v>-2.3411164840497</v>
      </c>
      <c r="G183" t="n">
        <v>68664781.19747201</v>
      </c>
      <c r="H183" t="n">
        <v>12911575.654815</v>
      </c>
      <c r="I183" t="n">
        <v>-0.02578516188544</v>
      </c>
      <c r="J183" t="n">
        <v>-0.024591710658149</v>
      </c>
      <c r="K183" t="n">
        <v>0.051741382355799</v>
      </c>
      <c r="L183" t="n">
        <v>-1.1120256254562</v>
      </c>
      <c r="M183" t="n">
        <v>-1.114926049678</v>
      </c>
      <c r="N183" t="n">
        <v>664.60563078257</v>
      </c>
      <c r="O183" t="n">
        <v>752.11763379895</v>
      </c>
    </row>
    <row r="184">
      <c r="A184" t="n">
        <v>17.808638849598</v>
      </c>
      <c r="B184" t="n">
        <v>0.053520684124615</v>
      </c>
      <c r="C184" t="n">
        <v>92.686519298042</v>
      </c>
      <c r="D184" t="n">
        <v>0.055973391293675</v>
      </c>
      <c r="E184" t="n">
        <v>-7.1156104985653</v>
      </c>
      <c r="F184" t="n">
        <v>-2.3414560828188</v>
      </c>
      <c r="G184" t="n">
        <v>69030433.12561201</v>
      </c>
      <c r="H184" t="n">
        <v>12972421.496019</v>
      </c>
      <c r="I184" t="n">
        <v>-0.025930689579371</v>
      </c>
      <c r="J184" t="n">
        <v>-0.024729504424804</v>
      </c>
      <c r="K184" t="n">
        <v>0.052025981337004</v>
      </c>
      <c r="L184" t="n">
        <v>-1.1196152974387</v>
      </c>
      <c r="M184" t="n">
        <v>-1.1225060409936</v>
      </c>
      <c r="N184" t="n">
        <v>665.29196076911</v>
      </c>
      <c r="O184" t="n">
        <v>752.9388501914</v>
      </c>
    </row>
    <row r="185">
      <c r="A185" t="n">
        <v>17.908638849598</v>
      </c>
      <c r="B185" t="n">
        <v>0.053830979041261</v>
      </c>
      <c r="C185" t="n">
        <v>92.686371161229</v>
      </c>
      <c r="D185" t="n">
        <v>0.056287497418986</v>
      </c>
      <c r="E185" t="n">
        <v>-7.1159695275925</v>
      </c>
      <c r="F185" t="n">
        <v>-2.341795881196</v>
      </c>
      <c r="G185" t="n">
        <v>69396509.222783</v>
      </c>
      <c r="H185" t="n">
        <v>13033327.674705</v>
      </c>
      <c r="I185" t="n">
        <v>-0.02607618172577</v>
      </c>
      <c r="J185" t="n">
        <v>-0.024867254264144</v>
      </c>
      <c r="K185" t="n">
        <v>0.05231049816676</v>
      </c>
      <c r="L185" t="n">
        <v>-1.1272087337501</v>
      </c>
      <c r="M185" t="n">
        <v>-1.1300890136657</v>
      </c>
      <c r="N185" t="n">
        <v>665.97707101141</v>
      </c>
      <c r="O185" t="n">
        <v>753.7586537312</v>
      </c>
    </row>
    <row r="186">
      <c r="A186" t="n">
        <v>18</v>
      </c>
      <c r="B186" t="n">
        <v>0.054114132114612</v>
      </c>
      <c r="C186" t="n">
        <v>92.686238410809</v>
      </c>
      <c r="D186" t="n">
        <v>0.056574424736681</v>
      </c>
      <c r="E186" t="n">
        <v>-7.1272840076498</v>
      </c>
      <c r="F186" t="n">
        <v>-2.3421061285916</v>
      </c>
      <c r="G186" t="n">
        <v>69730938.561299</v>
      </c>
      <c r="H186" t="n">
        <v>13088959.458003</v>
      </c>
      <c r="I186" t="n">
        <v>-0.026209011014063</v>
      </c>
      <c r="J186" t="n">
        <v>-0.024993007027323</v>
      </c>
      <c r="K186" t="n">
        <v>0.052570364449439</v>
      </c>
      <c r="L186" t="n">
        <v>-1.1348215243765</v>
      </c>
      <c r="M186" t="n">
        <v>-1.1376476336801</v>
      </c>
      <c r="N186" t="n">
        <v>666.66540513491</v>
      </c>
      <c r="O186" t="n">
        <v>754.57086036008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187"/>
  <sheetViews>
    <sheetView topLeftCell="A172" workbookViewId="0">
      <selection activeCell="A1" sqref="A1:O187"/>
    </sheetView>
  </sheetViews>
  <sheetFormatPr baseColWidth="8" defaultColWidth="8.85546875" defaultRowHeight="15"/>
  <cols>
    <col width="12.42578125" customWidth="1" style="5" min="2" max="2"/>
  </cols>
  <sheetData>
    <row r="1">
      <c r="A1" t="inlineStr">
        <is>
          <t>time</t>
        </is>
      </c>
      <c r="B1" t="inlineStr">
        <is>
          <t>Ep_eff</t>
        </is>
      </c>
      <c r="C1" t="inlineStr">
        <is>
          <t>Phi</t>
        </is>
      </c>
      <c r="D1" t="inlineStr">
        <is>
          <t>eeq</t>
        </is>
      </c>
      <c r="E1" t="inlineStr">
        <is>
          <t>phi_1</t>
        </is>
      </c>
      <c r="F1" t="inlineStr">
        <is>
          <t>phi_2</t>
        </is>
      </c>
      <c r="G1" t="inlineStr">
        <is>
          <t>rho_i</t>
        </is>
      </c>
      <c r="H1" t="inlineStr">
        <is>
          <t>rho_m</t>
        </is>
      </c>
      <c r="I1" t="inlineStr">
        <is>
          <t>strain_xx</t>
        </is>
      </c>
      <c r="J1" t="inlineStr">
        <is>
          <t>strain_yy</t>
        </is>
      </c>
      <c r="K1" t="inlineStr">
        <is>
          <t>strain_zz</t>
        </is>
      </c>
      <c r="L1" t="inlineStr">
        <is>
          <t>stress_xx</t>
        </is>
      </c>
      <c r="M1" t="inlineStr">
        <is>
          <t>stress_yy</t>
        </is>
      </c>
      <c r="N1" t="inlineStr">
        <is>
          <t>stress_zz</t>
        </is>
      </c>
      <c r="O1" t="inlineStr">
        <is>
          <t>vonmises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</row>
    <row r="3">
      <c r="A3" t="n">
        <v>0.0015861204153657</v>
      </c>
      <c r="B3" s="6" t="n">
        <v>5.8824361256333e-60</v>
      </c>
      <c r="C3" t="n">
        <v>92.68159373167001</v>
      </c>
      <c r="D3" s="6" t="n">
        <v>4.2681348595324e-06</v>
      </c>
      <c r="E3" t="n">
        <v>-5.6421873467198</v>
      </c>
      <c r="F3" t="n">
        <v>-2.7149729405912</v>
      </c>
      <c r="G3" t="n">
        <v>16000000</v>
      </c>
      <c r="H3" t="n">
        <v>4000000</v>
      </c>
      <c r="I3" s="6" t="n">
        <v>-1.2547145221993e-06</v>
      </c>
      <c r="J3" s="6" t="n">
        <v>-1.2072499956317e-06</v>
      </c>
      <c r="K3" s="6" t="n">
        <v>4.758349828017e-06</v>
      </c>
      <c r="L3" s="6" t="n">
        <v>-4.1928067508789e-08</v>
      </c>
      <c r="M3" s="6" t="n">
        <v>-4.3376879672101e-08</v>
      </c>
      <c r="N3" t="n">
        <v>1.0978720054351</v>
      </c>
      <c r="O3" t="n">
        <v>1.133629899309</v>
      </c>
      <c r="P3" s="3" t="n"/>
      <c r="Q3" s="3" t="n"/>
      <c r="R3" s="3" t="n"/>
      <c r="S3" s="3" t="n"/>
      <c r="T3" s="3" t="n"/>
      <c r="U3" s="2" t="n"/>
      <c r="V3" s="3" t="n"/>
      <c r="W3" s="3" t="n"/>
      <c r="X3" s="3" t="n"/>
      <c r="Y3" s="3" t="n"/>
      <c r="Z3" s="3" t="n"/>
      <c r="AA3" s="3" t="n"/>
      <c r="AB3" s="3" t="n"/>
      <c r="AC3" s="2" t="n"/>
      <c r="AD3" s="2" t="n"/>
      <c r="AE3" s="2" t="n"/>
      <c r="AF3" s="2" t="n"/>
      <c r="AG3" s="3" t="n"/>
      <c r="AH3" s="3" t="n"/>
      <c r="AI3" s="3" t="n"/>
      <c r="AJ3" s="3" t="n"/>
      <c r="AK3" s="3" t="n"/>
      <c r="AL3" s="2" t="n"/>
      <c r="AM3" s="2" t="n"/>
    </row>
    <row r="4">
      <c r="A4" t="n">
        <v>0.0056628610230507</v>
      </c>
      <c r="B4" s="6" t="n">
        <v>2.1862444157391e-56</v>
      </c>
      <c r="C4" t="n">
        <v>92.681622946538</v>
      </c>
      <c r="D4" s="6" t="n">
        <v>1.5238494992578e-05</v>
      </c>
      <c r="E4" t="n">
        <v>-5.6421869519886</v>
      </c>
      <c r="F4" t="n">
        <v>-2.7149535908019</v>
      </c>
      <c r="G4" t="n">
        <v>16000000</v>
      </c>
      <c r="H4" t="n">
        <v>4000000</v>
      </c>
      <c r="I4" s="6" t="n">
        <v>-4.4798398353793e-06</v>
      </c>
      <c r="J4" s="6" t="n">
        <v>-4.3103703326886e-06</v>
      </c>
      <c r="K4" s="6" t="n">
        <v>1.6988437526866e-05</v>
      </c>
      <c r="L4" s="6" t="n">
        <v>-5.344166286786e-07</v>
      </c>
      <c r="M4" s="6" t="n">
        <v>-5.5288372782345e-07</v>
      </c>
      <c r="N4" t="n">
        <v>3.9199662720455</v>
      </c>
      <c r="O4" t="n">
        <v>4.047628424012</v>
      </c>
      <c r="P4" s="3" t="n"/>
      <c r="Q4" s="3" t="n"/>
      <c r="R4" s="3" t="n"/>
      <c r="S4" s="3" t="n"/>
      <c r="T4" s="3" t="n"/>
      <c r="U4" s="2" t="n"/>
      <c r="V4" s="3" t="n"/>
      <c r="W4" s="3" t="n"/>
      <c r="X4" s="3" t="n"/>
      <c r="Y4" s="3" t="n"/>
      <c r="Z4" s="3" t="n"/>
      <c r="AA4" s="3" t="n"/>
      <c r="AB4" s="3" t="n"/>
      <c r="AC4" s="2" t="n"/>
      <c r="AD4" s="2" t="n"/>
      <c r="AE4" s="2" t="n"/>
      <c r="AF4" s="2" t="n"/>
      <c r="AG4" s="3" t="n"/>
      <c r="AH4" s="3" t="n"/>
      <c r="AI4" s="3" t="n"/>
      <c r="AJ4" s="3" t="n"/>
      <c r="AK4" s="3" t="n"/>
      <c r="AL4" s="2" t="n"/>
      <c r="AM4" s="2" t="n"/>
    </row>
    <row r="5">
      <c r="A5" t="n">
        <v>0.016141141121675</v>
      </c>
      <c r="B5" s="6" t="n">
        <v>1.4654834132236e-51</v>
      </c>
      <c r="C5" t="n">
        <v>92.681699328601</v>
      </c>
      <c r="D5" s="6" t="n">
        <v>4.3436136637623e-05</v>
      </c>
      <c r="E5" t="n">
        <v>-5.6421859323999</v>
      </c>
      <c r="F5" t="n">
        <v>-2.7149038537195</v>
      </c>
      <c r="G5" t="n">
        <v>16000000</v>
      </c>
      <c r="H5" t="n">
        <v>4000000</v>
      </c>
      <c r="I5" s="6" t="n">
        <v>-1.2770461913772e-05</v>
      </c>
      <c r="J5" s="6" t="n">
        <v>-1.2287349594486e-05</v>
      </c>
      <c r="K5" s="6" t="n">
        <v>4.8422240931861e-05</v>
      </c>
      <c r="L5" s="6" t="n">
        <v>-4.3411914824616e-06</v>
      </c>
      <c r="M5" s="6" t="n">
        <v>-4.4912184032866e-06</v>
      </c>
      <c r="N5" t="n">
        <v>11.175321006664</v>
      </c>
      <c r="O5" t="n">
        <v>11.539182441903</v>
      </c>
      <c r="P5" s="3" t="n"/>
      <c r="Q5" s="3" t="n"/>
      <c r="R5" s="3" t="n"/>
      <c r="S5" s="3" t="n"/>
      <c r="T5" s="3" t="n"/>
      <c r="U5" s="2" t="n"/>
      <c r="V5" s="3" t="n"/>
      <c r="W5" s="3" t="n"/>
      <c r="X5" s="3" t="n"/>
      <c r="Y5" s="3" t="n"/>
      <c r="Z5" s="3" t="n"/>
      <c r="AA5" s="3" t="n"/>
      <c r="AB5" s="3" t="n"/>
      <c r="AC5" s="2" t="n"/>
      <c r="AD5" s="2" t="n"/>
      <c r="AE5" s="2" t="n"/>
      <c r="AF5" s="2" t="n"/>
      <c r="AG5" s="3" t="n"/>
      <c r="AH5" s="3" t="n"/>
      <c r="AI5" s="3" t="n"/>
      <c r="AJ5" s="3" t="n"/>
      <c r="AK5" s="3" t="n"/>
      <c r="AL5" s="2" t="n"/>
      <c r="AM5" s="2" t="n"/>
    </row>
    <row r="6">
      <c r="A6" t="n">
        <v>0.043073037062825</v>
      </c>
      <c r="B6" s="6" t="n">
        <v>2.3109006619295e-44</v>
      </c>
      <c r="C6" t="n">
        <v>92.680763471557</v>
      </c>
      <c r="D6" t="n">
        <v>0.00011591780858636</v>
      </c>
      <c r="E6" t="n">
        <v>-5.9115476855182</v>
      </c>
      <c r="F6" t="n">
        <v>-2.9985196464601</v>
      </c>
      <c r="G6" t="n">
        <v>16000000</v>
      </c>
      <c r="H6" t="n">
        <v>4000000</v>
      </c>
      <c r="I6" s="6" t="n">
        <v>-3.4087521783053e-05</v>
      </c>
      <c r="J6" s="6" t="n">
        <v>-3.2797885703261e-05</v>
      </c>
      <c r="K6" t="n">
        <v>0.00012921069151408</v>
      </c>
      <c r="L6" s="6" t="n">
        <v>-3.0901370410702e-05</v>
      </c>
      <c r="M6" s="6" t="n">
        <v>-3.1969563554567e-05</v>
      </c>
      <c r="N6" t="n">
        <v>29.835621165133</v>
      </c>
      <c r="O6" t="n">
        <v>30.806454235645</v>
      </c>
      <c r="P6" s="3" t="n"/>
      <c r="Q6" s="3" t="n"/>
      <c r="R6" s="3" t="n"/>
      <c r="S6" s="3" t="n"/>
      <c r="T6" s="3" t="n"/>
      <c r="U6" s="2" t="n"/>
      <c r="V6" s="3" t="n"/>
      <c r="W6" s="3" t="n"/>
      <c r="X6" s="3" t="n"/>
      <c r="Y6" s="3" t="n"/>
      <c r="Z6" s="3" t="n"/>
      <c r="AA6" s="3" t="n"/>
      <c r="AB6" s="3" t="n"/>
      <c r="AC6" s="2" t="n"/>
      <c r="AD6" s="2" t="n"/>
      <c r="AE6" s="2" t="n"/>
      <c r="AF6" s="2" t="n"/>
      <c r="AG6" s="3" t="n"/>
      <c r="AH6" s="3" t="n"/>
      <c r="AI6" s="2" t="n"/>
      <c r="AJ6" s="3" t="n"/>
      <c r="AK6" s="3" t="n"/>
      <c r="AL6" s="2" t="n"/>
      <c r="AM6" s="2" t="n"/>
    </row>
    <row r="7">
      <c r="A7" t="n">
        <v>0.10863884959761</v>
      </c>
      <c r="B7" s="6" t="n">
        <v>2.7838039919027e-34</v>
      </c>
      <c r="C7" t="n">
        <v>92.68147647937801</v>
      </c>
      <c r="D7" t="n">
        <v>0.00029241373659624</v>
      </c>
      <c r="E7" t="n">
        <v>-5.9169443517443</v>
      </c>
      <c r="F7" t="n">
        <v>-2.9930594800368</v>
      </c>
      <c r="G7" t="n">
        <v>16000000</v>
      </c>
      <c r="H7" t="n">
        <v>4000000</v>
      </c>
      <c r="I7" s="6" t="n">
        <v>-8.6032787184251e-05</v>
      </c>
      <c r="J7" s="6" t="n">
        <v>-8.2777525039553e-05</v>
      </c>
      <c r="K7" t="n">
        <v>0.00032586299421503</v>
      </c>
      <c r="L7" t="n">
        <v>-0.00019683119108884</v>
      </c>
      <c r="M7" t="n">
        <v>-0.00020361200479166</v>
      </c>
      <c r="N7" t="n">
        <v>75.338322101072</v>
      </c>
      <c r="O7" t="n">
        <v>77.786107893465</v>
      </c>
      <c r="P7" s="3" t="n"/>
      <c r="Q7" s="3" t="n"/>
      <c r="R7" s="3" t="n"/>
      <c r="S7" s="3" t="n"/>
      <c r="T7" s="3" t="n"/>
      <c r="U7" s="2" t="n"/>
      <c r="V7" s="3" t="n"/>
      <c r="W7" s="3" t="n"/>
      <c r="X7" s="3" t="n"/>
      <c r="Y7" s="3" t="n"/>
      <c r="Z7" s="3" t="n"/>
      <c r="AA7" s="3" t="n"/>
      <c r="AB7" s="3" t="n"/>
      <c r="AC7" s="2" t="n"/>
      <c r="AD7" s="2" t="n"/>
      <c r="AE7" s="2" t="n"/>
      <c r="AF7" s="2" t="n"/>
      <c r="AG7" s="3" t="n"/>
      <c r="AH7" s="3" t="n"/>
      <c r="AI7" s="2" t="n"/>
      <c r="AJ7" s="2" t="n"/>
      <c r="AK7" s="2" t="n"/>
      <c r="AL7" s="2" t="n"/>
      <c r="AM7" s="2" t="n"/>
    </row>
    <row r="8">
      <c r="A8" t="n">
        <v>0.20863884959761</v>
      </c>
      <c r="B8" s="6" t="n">
        <v>1.0312996198798e-24</v>
      </c>
      <c r="C8" t="n">
        <v>92.68720561759901</v>
      </c>
      <c r="D8" t="n">
        <v>0.0005617125014267999</v>
      </c>
      <c r="E8" t="n">
        <v>-5.7381765099818</v>
      </c>
      <c r="F8" t="n">
        <v>-2.7197551214997</v>
      </c>
      <c r="G8" t="n">
        <v>16000000</v>
      </c>
      <c r="H8" t="n">
        <v>4000000</v>
      </c>
      <c r="I8" t="n">
        <v>-0.00016539958797243</v>
      </c>
      <c r="J8" t="n">
        <v>-0.00015914000333916</v>
      </c>
      <c r="K8" t="n">
        <v>0.00062571906676484</v>
      </c>
      <c r="L8" t="n">
        <v>-0.00072464392139913</v>
      </c>
      <c r="M8" t="n">
        <v>-0.00074966735044094</v>
      </c>
      <c r="N8" t="n">
        <v>144.95050347474</v>
      </c>
      <c r="O8" t="n">
        <v>149.64896027518</v>
      </c>
      <c r="P8" s="3" t="n"/>
      <c r="Q8" s="3" t="n"/>
      <c r="R8" s="3" t="n"/>
      <c r="S8" s="3" t="n"/>
      <c r="T8" s="3" t="n"/>
      <c r="U8" s="2" t="n"/>
      <c r="V8" s="3" t="n"/>
      <c r="W8" s="3" t="n"/>
      <c r="X8" s="3" t="n"/>
      <c r="Y8" s="3" t="n"/>
      <c r="Z8" s="3" t="n"/>
      <c r="AA8" s="3" t="n"/>
      <c r="AB8" s="3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</row>
    <row r="9">
      <c r="A9" t="n">
        <v>0.30863884959761</v>
      </c>
      <c r="B9" s="6" t="n">
        <v>1.4703892073452e-17</v>
      </c>
      <c r="C9" t="n">
        <v>92.689903568245</v>
      </c>
      <c r="D9" t="n">
        <v>0.00083114414518532</v>
      </c>
      <c r="E9" t="n">
        <v>-6.0536544321906</v>
      </c>
      <c r="F9" t="n">
        <v>-2.5150705234459</v>
      </c>
      <c r="G9" t="n">
        <v>16000000</v>
      </c>
      <c r="H9" t="n">
        <v>4000000</v>
      </c>
      <c r="I9" t="n">
        <v>-0.00024493636817562</v>
      </c>
      <c r="J9" t="n">
        <v>-0.00023566468998613</v>
      </c>
      <c r="K9" t="n">
        <v>0.00092548448368626</v>
      </c>
      <c r="L9" t="n">
        <v>-0.001586054109403</v>
      </c>
      <c r="M9" t="n">
        <v>-0.0016407470136493</v>
      </c>
      <c r="N9" t="n">
        <v>214.81937808755</v>
      </c>
      <c r="O9" t="n">
        <v>221.76620552366</v>
      </c>
      <c r="P9" s="3" t="n"/>
      <c r="Q9" s="3" t="n"/>
      <c r="R9" s="3" t="n"/>
      <c r="S9" s="3" t="n"/>
      <c r="T9" s="3" t="n"/>
      <c r="U9" s="2" t="n"/>
      <c r="V9" s="3" t="n"/>
      <c r="W9" s="3" t="n"/>
      <c r="X9" s="3" t="n"/>
      <c r="Y9" s="3" t="n"/>
      <c r="Z9" s="3" t="n"/>
      <c r="AA9" s="3" t="n"/>
      <c r="AB9" s="3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</row>
    <row r="10">
      <c r="A10" t="n">
        <v>0.40863884959761</v>
      </c>
      <c r="B10" s="6" t="n">
        <v>8.9023536190548e-13</v>
      </c>
      <c r="C10" t="n">
        <v>92.69468369511399</v>
      </c>
      <c r="D10" t="n">
        <v>0.0011007083745697</v>
      </c>
      <c r="E10" t="n">
        <v>-6.0929145090389</v>
      </c>
      <c r="F10" t="n">
        <v>-2.5541622223148</v>
      </c>
      <c r="G10" t="n">
        <v>16000000.000477</v>
      </c>
      <c r="H10" t="n">
        <v>4000000.0000829</v>
      </c>
      <c r="I10" t="n">
        <v>-0.00032464227431196</v>
      </c>
      <c r="J10" t="n">
        <v>-0.00031235080408345</v>
      </c>
      <c r="K10" t="n">
        <v>0.0012251593005888</v>
      </c>
      <c r="L10" t="n">
        <v>-0.002780580836113</v>
      </c>
      <c r="M10" t="n">
        <v>-0.0028763529613369</v>
      </c>
      <c r="N10" t="n">
        <v>284.94413850874</v>
      </c>
      <c r="O10" t="n">
        <v>294.13704392109</v>
      </c>
      <c r="P10" s="3" t="n"/>
      <c r="Q10" s="3" t="n"/>
      <c r="R10" s="3" t="n"/>
      <c r="S10" s="3" t="n"/>
      <c r="T10" s="3" t="n"/>
      <c r="U10" s="2" t="n"/>
      <c r="V10" s="3" t="n"/>
      <c r="W10" s="3" t="n"/>
      <c r="X10" s="3" t="n"/>
      <c r="Y10" s="3" t="n"/>
      <c r="Z10" s="3" t="n"/>
      <c r="AA10" s="3" t="n"/>
      <c r="AB10" s="3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</row>
    <row r="11">
      <c r="A11" t="n">
        <v>0.50863884959761</v>
      </c>
      <c r="B11" s="6" t="n">
        <v>5.9654450986534e-09</v>
      </c>
      <c r="C11" t="n">
        <v>92.69779415192799</v>
      </c>
      <c r="D11" t="n">
        <v>0.0013704065952713</v>
      </c>
      <c r="E11" t="n">
        <v>-6.0353852133696</v>
      </c>
      <c r="F11" t="n">
        <v>-2.4965412779437</v>
      </c>
      <c r="G11" t="n">
        <v>16000003.196512</v>
      </c>
      <c r="H11" t="n">
        <v>4000000.5554636</v>
      </c>
      <c r="I11" t="n">
        <v>-0.00040451857414123</v>
      </c>
      <c r="J11" t="n">
        <v>-0.00038919989108518</v>
      </c>
      <c r="K11" t="n">
        <v>0.001524743573432</v>
      </c>
      <c r="L11" t="n">
        <v>-0.0043071834393561</v>
      </c>
      <c r="M11" t="n">
        <v>-0.0044553714081447</v>
      </c>
      <c r="N11" t="n">
        <v>355.3238178324</v>
      </c>
      <c r="O11" t="n">
        <v>366.76050573941</v>
      </c>
      <c r="P11" s="3" t="n"/>
      <c r="Q11" s="3" t="n"/>
      <c r="R11" s="3" t="n"/>
      <c r="S11" s="3" t="n"/>
      <c r="T11" s="3" t="n"/>
      <c r="U11" s="2" t="n"/>
      <c r="V11" s="3" t="n"/>
      <c r="W11" s="3" t="n"/>
      <c r="X11" s="3" t="n"/>
      <c r="Y11" s="3" t="n"/>
      <c r="Z11" s="3" t="n"/>
      <c r="AA11" s="3" t="n"/>
      <c r="AB11" s="3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</row>
    <row r="12">
      <c r="A12" t="n">
        <v>0.6086388495976101</v>
      </c>
      <c r="B12" s="6" t="n">
        <v>2.8145481633483e-06</v>
      </c>
      <c r="C12" t="n">
        <v>92.700499587989</v>
      </c>
      <c r="D12" t="n">
        <v>0.0016407511400524</v>
      </c>
      <c r="E12" t="n">
        <v>-5.8897141335563</v>
      </c>
      <c r="F12" t="n">
        <v>-2.3398634794272</v>
      </c>
      <c r="G12" t="n">
        <v>16001509.602431</v>
      </c>
      <c r="H12" t="n">
        <v>4000262.3018517</v>
      </c>
      <c r="I12" t="n">
        <v>-0.00048517141854015</v>
      </c>
      <c r="J12" t="n">
        <v>-0.00046683907670395</v>
      </c>
      <c r="K12" t="n">
        <v>0.0018242374409266</v>
      </c>
      <c r="L12" t="n">
        <v>-0.006182556966882</v>
      </c>
      <c r="M12" t="n">
        <v>-0.0064110135282257</v>
      </c>
      <c r="N12" t="n">
        <v>425.35007266516</v>
      </c>
      <c r="O12" t="n">
        <v>439.0239595757</v>
      </c>
      <c r="P12" s="3" t="n"/>
      <c r="Q12" s="3" t="n"/>
      <c r="R12" s="3" t="n"/>
      <c r="S12" s="3" t="n"/>
      <c r="T12" s="3" t="n"/>
      <c r="U12" s="2" t="n"/>
      <c r="V12" s="3" t="n"/>
      <c r="W12" s="3" t="n"/>
      <c r="X12" s="3" t="n"/>
      <c r="Y12" s="3" t="n"/>
      <c r="Z12" s="3" t="n"/>
      <c r="AA12" s="3" t="n"/>
      <c r="AB12" s="3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</row>
    <row r="13">
      <c r="A13" t="n">
        <v>0.70863884959761</v>
      </c>
      <c r="B13" s="6" t="n">
        <v>6.0073987667771e-05</v>
      </c>
      <c r="C13" t="n">
        <v>92.70135671698399</v>
      </c>
      <c r="D13" t="n">
        <v>0.0019189872093148</v>
      </c>
      <c r="E13" t="n">
        <v>-5.905033733927</v>
      </c>
      <c r="F13" t="n">
        <v>-2.2999118680867</v>
      </c>
      <c r="G13" t="n">
        <v>16032459.819898</v>
      </c>
      <c r="H13" t="n">
        <v>4005638.7642479</v>
      </c>
      <c r="I13" t="n">
        <v>-0.00057714838141417</v>
      </c>
      <c r="J13" t="n">
        <v>-0.00055561175985868</v>
      </c>
      <c r="K13" t="n">
        <v>0.0021236412602557</v>
      </c>
      <c r="L13" t="n">
        <v>-0.0089697375267769</v>
      </c>
      <c r="M13" t="n">
        <v>-0.009323809230273801</v>
      </c>
      <c r="N13" t="n">
        <v>484.60752831512</v>
      </c>
      <c r="O13" t="n">
        <v>500.59062053514</v>
      </c>
      <c r="P13" s="3" t="n"/>
      <c r="Q13" s="3" t="n"/>
      <c r="R13" s="3" t="n"/>
      <c r="S13" s="3" t="n"/>
      <c r="T13" s="3" t="n"/>
      <c r="U13" s="2" t="n"/>
      <c r="V13" s="3" t="n"/>
      <c r="W13" s="3" t="n"/>
      <c r="X13" s="3" t="n"/>
      <c r="Y13" s="3" t="n"/>
      <c r="Z13" s="3" t="n"/>
      <c r="AA13" s="3" t="n"/>
      <c r="AB13" s="3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</row>
    <row r="14">
      <c r="A14" t="n">
        <v>0.70863884959761</v>
      </c>
      <c r="B14" s="6" t="n">
        <v>6.0073987667771e-05</v>
      </c>
      <c r="C14" t="n">
        <v>92.70135671698399</v>
      </c>
      <c r="D14" t="n">
        <v>0.0019189872093148</v>
      </c>
      <c r="E14" t="n">
        <v>-5.905033733927</v>
      </c>
      <c r="F14" t="n">
        <v>-2.2999118680867</v>
      </c>
      <c r="G14" t="n">
        <v>16032459.819898</v>
      </c>
      <c r="H14" t="n">
        <v>4005638.7642479</v>
      </c>
      <c r="I14" t="n">
        <v>-0.00057714838141417</v>
      </c>
      <c r="J14" t="n">
        <v>-0.00055561175985868</v>
      </c>
      <c r="K14" t="n">
        <v>0.0021236412602557</v>
      </c>
      <c r="L14" t="n">
        <v>-0.008969737526640299</v>
      </c>
      <c r="M14" t="n">
        <v>-0.0093238092303444</v>
      </c>
      <c r="N14" t="n">
        <v>484.60752831512</v>
      </c>
      <c r="O14" t="n">
        <v>500.59062053514</v>
      </c>
      <c r="P14" s="3" t="n"/>
      <c r="Q14" s="3" t="n"/>
      <c r="R14" s="3" t="n"/>
      <c r="S14" s="3" t="n"/>
      <c r="T14" s="3" t="n"/>
      <c r="U14" s="2" t="n"/>
      <c r="V14" s="3" t="n"/>
      <c r="W14" s="3" t="n"/>
      <c r="X14" s="3" t="n"/>
      <c r="Y14" s="3" t="n"/>
      <c r="Z14" s="3" t="n"/>
      <c r="AA14" s="3" t="n"/>
      <c r="AB14" s="3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</row>
    <row r="15">
      <c r="A15" t="n">
        <v>0.80863884959761</v>
      </c>
      <c r="B15" t="n">
        <v>0.00025139561475089</v>
      </c>
      <c r="C15" t="n">
        <v>92.700939429456</v>
      </c>
      <c r="D15" t="n">
        <v>0.0022136475583673</v>
      </c>
      <c r="E15" t="n">
        <v>-6.1696382792065</v>
      </c>
      <c r="F15" t="n">
        <v>-2.1472267895762</v>
      </c>
      <c r="G15" t="n">
        <v>16138122.867546</v>
      </c>
      <c r="H15" t="n">
        <v>4023986.5384231</v>
      </c>
      <c r="I15" t="n">
        <v>-0.00069578078657665</v>
      </c>
      <c r="J15" t="n">
        <v>-0.00066927741053383</v>
      </c>
      <c r="K15" t="n">
        <v>0.0024229541463851</v>
      </c>
      <c r="L15" t="n">
        <v>-0.01279252032467</v>
      </c>
      <c r="M15" t="n">
        <v>-0.013321633484215</v>
      </c>
      <c r="N15" t="n">
        <v>518.30104229932</v>
      </c>
      <c r="O15" t="n">
        <v>537.01219744179</v>
      </c>
      <c r="P15" s="3" t="n"/>
      <c r="Q15" s="3" t="n"/>
      <c r="R15" s="2" t="n"/>
      <c r="S15" s="3" t="n"/>
      <c r="T15" s="3" t="n"/>
      <c r="U15" s="2" t="n"/>
      <c r="V15" s="3" t="n"/>
      <c r="W15" s="3" t="n"/>
      <c r="X15" s="3" t="n"/>
      <c r="Y15" s="3" t="n"/>
      <c r="Z15" s="3" t="n"/>
      <c r="AA15" s="3" t="n"/>
      <c r="AB15" s="3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</row>
    <row r="16">
      <c r="A16" t="n">
        <v>0.90863884959761</v>
      </c>
      <c r="B16" t="n">
        <v>0.00052504326649629</v>
      </c>
      <c r="C16" t="n">
        <v>92.70145308636999</v>
      </c>
      <c r="D16" t="n">
        <v>0.0025182929730975</v>
      </c>
      <c r="E16" t="n">
        <v>-6.237313276993</v>
      </c>
      <c r="F16" t="n">
        <v>-2.0812445097773</v>
      </c>
      <c r="G16" t="n">
        <v>16294579.993274</v>
      </c>
      <c r="H16" t="n">
        <v>4051140.9841318</v>
      </c>
      <c r="I16" t="n">
        <v>-0.00083126535160697</v>
      </c>
      <c r="J16" t="n">
        <v>-0.00079719470639098</v>
      </c>
      <c r="K16" t="n">
        <v>0.002722175298349</v>
      </c>
      <c r="L16" t="n">
        <v>-0.016160301023466</v>
      </c>
      <c r="M16" t="n">
        <v>-0.016873035807557</v>
      </c>
      <c r="N16" t="n">
        <v>536.38936679534</v>
      </c>
      <c r="O16" t="n">
        <v>558.208535698</v>
      </c>
      <c r="P16" s="3" t="n"/>
      <c r="Q16" s="2" t="n"/>
      <c r="R16" s="2" t="n"/>
      <c r="S16" s="3" t="n"/>
      <c r="T16" s="2" t="n"/>
      <c r="U16" s="2" t="n"/>
      <c r="V16" s="3" t="n"/>
      <c r="W16" s="3" t="n"/>
      <c r="X16" s="3" t="n"/>
      <c r="Y16" s="3" t="n"/>
      <c r="Z16" s="3" t="n"/>
      <c r="AA16" s="3" t="n"/>
      <c r="AB16" s="3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</row>
    <row r="17">
      <c r="A17" t="n">
        <v>1.0086388495976</v>
      </c>
      <c r="B17" t="n">
        <v>0.00082887361178486</v>
      </c>
      <c r="C17" t="n">
        <v>92.701910631893</v>
      </c>
      <c r="D17" t="n">
        <v>0.0028279661444122</v>
      </c>
      <c r="E17" t="n">
        <v>-6.2701545523852</v>
      </c>
      <c r="F17" t="n">
        <v>-2.0607365170608</v>
      </c>
      <c r="G17" t="n">
        <v>16475102.083535</v>
      </c>
      <c r="H17" t="n">
        <v>4082456.2580601</v>
      </c>
      <c r="I17" t="n">
        <v>-0.00097376664622443</v>
      </c>
      <c r="J17" t="n">
        <v>-0.00093081091285258</v>
      </c>
      <c r="K17" t="n">
        <v>0.0030213046971435</v>
      </c>
      <c r="L17" t="n">
        <v>-0.020749089724334</v>
      </c>
      <c r="M17" t="n">
        <v>-0.021646248872019</v>
      </c>
      <c r="N17" t="n">
        <v>548.0503446857</v>
      </c>
      <c r="O17" t="n">
        <v>573.11939749818</v>
      </c>
      <c r="P17" s="3" t="n"/>
      <c r="Q17" s="2" t="n"/>
      <c r="R17" s="2" t="n"/>
      <c r="S17" s="3" t="n"/>
      <c r="T17" s="2" t="n"/>
      <c r="U17" s="2" t="n"/>
      <c r="V17" s="3" t="n"/>
      <c r="W17" s="3" t="n"/>
      <c r="X17" s="3" t="n"/>
      <c r="Y17" s="3" t="n"/>
      <c r="Z17" s="3" t="n"/>
      <c r="AA17" s="3" t="n"/>
      <c r="AB17" s="3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</row>
    <row r="18">
      <c r="A18" t="n">
        <v>1.1086388495976</v>
      </c>
      <c r="B18" t="n">
        <v>0.0011434194179088</v>
      </c>
      <c r="C18" t="n">
        <v>92.702218873411</v>
      </c>
      <c r="D18" t="n">
        <v>0.0031408146118031</v>
      </c>
      <c r="E18" t="n">
        <v>-6.2711311576288</v>
      </c>
      <c r="F18" t="n">
        <v>-2.0609815125545</v>
      </c>
      <c r="G18" t="n">
        <v>16668945.096054</v>
      </c>
      <c r="H18" t="n">
        <v>4116065.9085245</v>
      </c>
      <c r="I18" t="n">
        <v>-0.0011192258981388</v>
      </c>
      <c r="J18" t="n">
        <v>-0.0010674958765866</v>
      </c>
      <c r="K18" t="n">
        <v>0.0033203425879465</v>
      </c>
      <c r="L18" t="n">
        <v>-0.025463461826547</v>
      </c>
      <c r="M18" t="n">
        <v>-0.026633154647356</v>
      </c>
      <c r="N18" t="n">
        <v>556.6417075739</v>
      </c>
      <c r="O18" t="n">
        <v>584.96231044383</v>
      </c>
      <c r="P18" s="3" t="n"/>
      <c r="Q18" s="2" t="n"/>
      <c r="R18" s="2" t="n"/>
      <c r="S18" s="3" t="n"/>
      <c r="T18" s="2" t="n"/>
      <c r="U18" s="2" t="n"/>
      <c r="V18" s="3" t="n"/>
      <c r="W18" s="3" t="n"/>
      <c r="X18" s="3" t="n"/>
      <c r="Y18" s="3" t="n"/>
      <c r="Z18" s="3" t="n"/>
      <c r="AA18" s="3" t="n"/>
      <c r="AB18" s="3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</row>
    <row r="19">
      <c r="A19" t="n">
        <v>1.2086388495976</v>
      </c>
      <c r="B19" t="n">
        <v>0.0014619001589505</v>
      </c>
      <c r="C19" t="n">
        <v>92.70233228226</v>
      </c>
      <c r="D19" t="n">
        <v>0.0034557900338551</v>
      </c>
      <c r="E19" t="n">
        <v>-6.2939589343944</v>
      </c>
      <c r="F19" t="n">
        <v>-2.061266897349</v>
      </c>
      <c r="G19" t="n">
        <v>16871836.538887</v>
      </c>
      <c r="H19" t="n">
        <v>4151228.2431573</v>
      </c>
      <c r="I19" t="n">
        <v>-0.0012662683980047</v>
      </c>
      <c r="J19" t="n">
        <v>-0.0012061239338444</v>
      </c>
      <c r="K19" t="n">
        <v>0.0036192889995047</v>
      </c>
      <c r="L19" t="n">
        <v>-0.030403044930943</v>
      </c>
      <c r="M19" t="n">
        <v>-0.031895285687542</v>
      </c>
      <c r="N19" t="n">
        <v>563.41966007875</v>
      </c>
      <c r="O19" t="n">
        <v>594.90515665998</v>
      </c>
      <c r="P19" s="3" t="n"/>
      <c r="Q19" s="2" t="n"/>
      <c r="R19" s="2" t="n"/>
      <c r="S19" s="3" t="n"/>
      <c r="T19" s="2" t="n"/>
      <c r="U19" s="2" t="n"/>
      <c r="V19" s="3" t="n"/>
      <c r="W19" s="3" t="n"/>
      <c r="X19" s="3" t="n"/>
      <c r="Y19" s="3" t="n"/>
      <c r="Z19" s="3" t="n"/>
      <c r="AA19" s="3" t="n"/>
      <c r="AB19" s="3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</row>
    <row r="20">
      <c r="A20" t="n">
        <v>1.3086388495976</v>
      </c>
      <c r="B20" t="n">
        <v>0.0017815641384141</v>
      </c>
      <c r="C20" t="n">
        <v>92.70235692779001</v>
      </c>
      <c r="D20" t="n">
        <v>0.0037721847456529</v>
      </c>
      <c r="E20" t="n">
        <v>-6.294723043503</v>
      </c>
      <c r="F20" t="n">
        <v>-2.0615405985852</v>
      </c>
      <c r="G20" t="n">
        <v>17081522.571371</v>
      </c>
      <c r="H20" t="n">
        <v>4187552.2711068</v>
      </c>
      <c r="I20" t="n">
        <v>-0.001414268158789</v>
      </c>
      <c r="J20" t="n">
        <v>-0.0013460798871012</v>
      </c>
      <c r="K20" t="n">
        <v>0.0039181439353441</v>
      </c>
      <c r="L20" t="n">
        <v>-0.035562959169331</v>
      </c>
      <c r="M20" t="n">
        <v>-0.037370631716789</v>
      </c>
      <c r="N20" t="n">
        <v>569.0068846659</v>
      </c>
      <c r="O20" t="n">
        <v>603.5154829783201</v>
      </c>
      <c r="P20" s="3" t="n"/>
      <c r="Q20" s="2" t="n"/>
      <c r="R20" s="2" t="n"/>
      <c r="S20" s="3" t="n"/>
      <c r="T20" s="2" t="n"/>
      <c r="U20" s="2" t="n"/>
      <c r="V20" s="3" t="n"/>
      <c r="W20" s="3" t="n"/>
      <c r="X20" s="3" t="n"/>
      <c r="Y20" s="3" t="n"/>
      <c r="Z20" s="3" t="n"/>
      <c r="AA20" s="3" t="n"/>
      <c r="AB20" s="3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</row>
    <row r="21">
      <c r="A21" t="n">
        <v>1.4086388495976</v>
      </c>
      <c r="B21" t="n">
        <v>0.0021013084533986</v>
      </c>
      <c r="C21" t="n">
        <v>92.702377732573</v>
      </c>
      <c r="D21" t="n">
        <v>0.004089570400423</v>
      </c>
      <c r="E21" t="n">
        <v>-6.2871115297108</v>
      </c>
      <c r="F21" t="n">
        <v>-2.0700710434935</v>
      </c>
      <c r="G21" t="n">
        <v>17296727.845804</v>
      </c>
      <c r="H21" t="n">
        <v>4224816.8753257</v>
      </c>
      <c r="I21" t="n">
        <v>-0.0015628299210356</v>
      </c>
      <c r="J21" t="n">
        <v>-0.0014870753926548</v>
      </c>
      <c r="K21" t="n">
        <v>0.0042169074559586</v>
      </c>
      <c r="L21" t="n">
        <v>-0.041207786597943</v>
      </c>
      <c r="M21" t="n">
        <v>-0.043240955031857</v>
      </c>
      <c r="N21" t="n">
        <v>573.74537477758</v>
      </c>
      <c r="O21" t="n">
        <v>611.09543402349</v>
      </c>
      <c r="P21" s="3" t="n"/>
      <c r="Q21" s="2" t="n"/>
      <c r="R21" s="2" t="n"/>
      <c r="S21" s="2" t="n"/>
      <c r="T21" s="2" t="n"/>
      <c r="U21" s="2" t="n"/>
      <c r="V21" s="3" t="n"/>
      <c r="W21" s="3" t="n"/>
      <c r="X21" s="3" t="n"/>
      <c r="Y21" s="3" t="n"/>
      <c r="Z21" s="3" t="n"/>
      <c r="AA21" s="3" t="n"/>
      <c r="AB21" s="3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</row>
    <row r="22">
      <c r="A22" t="n">
        <v>1.5086388495976</v>
      </c>
      <c r="B22" t="n">
        <v>0.0024207877311928</v>
      </c>
      <c r="C22" t="n">
        <v>92.702376569435</v>
      </c>
      <c r="D22" t="n">
        <v>0.0044076844757806</v>
      </c>
      <c r="E22" t="n">
        <v>-6.2987718274691</v>
      </c>
      <c r="F22" t="n">
        <v>-2.0702672859252</v>
      </c>
      <c r="G22" t="n">
        <v>17516607.99272</v>
      </c>
      <c r="H22" t="n">
        <v>4262875.6489864</v>
      </c>
      <c r="I22" t="n">
        <v>-0.001711743535115</v>
      </c>
      <c r="J22" t="n">
        <v>-0.0016288898275749</v>
      </c>
      <c r="K22" t="n">
        <v>0.0045155795960218</v>
      </c>
      <c r="L22" t="n">
        <v>-0.046579544852261</v>
      </c>
      <c r="M22" t="n">
        <v>-0.048898913856417</v>
      </c>
      <c r="N22" t="n">
        <v>577.84832368155</v>
      </c>
      <c r="O22" t="n">
        <v>617.8414831157</v>
      </c>
      <c r="P22" s="3" t="n"/>
      <c r="Q22" s="2" t="n"/>
      <c r="R22" s="2" t="n"/>
      <c r="S22" s="2" t="n"/>
      <c r="T22" s="2" t="n"/>
      <c r="U22" s="2" t="n"/>
      <c r="V22" s="3" t="n"/>
      <c r="W22" s="3" t="n"/>
      <c r="X22" s="3" t="n"/>
      <c r="Y22" s="3" t="n"/>
      <c r="Z22" s="3" t="n"/>
      <c r="AA22" s="3" t="n"/>
      <c r="AB22" s="3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</row>
    <row r="23">
      <c r="A23" t="n">
        <v>1.6086388495976</v>
      </c>
      <c r="B23" t="n">
        <v>0.0027399220269087</v>
      </c>
      <c r="C23" t="n">
        <v>92.702358964252</v>
      </c>
      <c r="D23" t="n">
        <v>0.004726352689249</v>
      </c>
      <c r="E23" t="n">
        <v>-6.299424100599</v>
      </c>
      <c r="F23" t="n">
        <v>-2.0704353210914</v>
      </c>
      <c r="G23" t="n">
        <v>17740538.257685</v>
      </c>
      <c r="H23" t="n">
        <v>4301620.2325689</v>
      </c>
      <c r="I23" t="n">
        <v>-0.0018609205475438</v>
      </c>
      <c r="J23" t="n">
        <v>-0.0017713206242671</v>
      </c>
      <c r="K23" t="n">
        <v>0.0048141604321767</v>
      </c>
      <c r="L23" t="n">
        <v>-0.052118766069353</v>
      </c>
      <c r="M23" t="n">
        <v>-0.054674739118752</v>
      </c>
      <c r="N23" t="n">
        <v>581.46166422678</v>
      </c>
      <c r="O23" t="n">
        <v>623.90099331184</v>
      </c>
    </row>
    <row r="24">
      <c r="A24" t="n">
        <v>1.7086388495976</v>
      </c>
      <c r="B24" t="n">
        <v>0.0030586886593177</v>
      </c>
      <c r="C24" t="n">
        <v>92.702355825632</v>
      </c>
      <c r="D24" t="n">
        <v>0.0050454375006059</v>
      </c>
      <c r="E24" t="n">
        <v>-6.2985790423123</v>
      </c>
      <c r="F24" t="n">
        <v>-2.0830347386969</v>
      </c>
      <c r="G24" t="n">
        <v>17968051.095276</v>
      </c>
      <c r="H24" t="n">
        <v>4340969.5388603</v>
      </c>
      <c r="I24" t="n">
        <v>-0.0020102710437449</v>
      </c>
      <c r="J24" t="n">
        <v>-0.0019142513801767</v>
      </c>
      <c r="K24" t="n">
        <v>0.0051126501374622</v>
      </c>
      <c r="L24" t="n">
        <v>-0.057773411841694</v>
      </c>
      <c r="M24" t="n">
        <v>-0.060531327294085</v>
      </c>
      <c r="N24" t="n">
        <v>584.6882877294501</v>
      </c>
      <c r="O24" t="n">
        <v>629.3849224386601</v>
      </c>
    </row>
    <row r="25">
      <c r="A25" t="n">
        <v>1.8086388495976</v>
      </c>
      <c r="B25" t="n">
        <v>0.0033770710770999</v>
      </c>
      <c r="C25" t="n">
        <v>92.70234683724</v>
      </c>
      <c r="D25" t="n">
        <v>0.0053648234739593</v>
      </c>
      <c r="E25" t="n">
        <v>-6.2950212951875</v>
      </c>
      <c r="F25" t="n">
        <v>-2.0873569492443</v>
      </c>
      <c r="G25" t="n">
        <v>18198796.497766</v>
      </c>
      <c r="H25" t="n">
        <v>4380862.8795327</v>
      </c>
      <c r="I25" t="n">
        <v>-0.0021597202262266</v>
      </c>
      <c r="J25" t="n">
        <v>-0.0020576087858601</v>
      </c>
      <c r="K25" t="n">
        <v>0.0054110488986698</v>
      </c>
      <c r="L25" t="n">
        <v>-0.063511488156809</v>
      </c>
      <c r="M25" t="n">
        <v>-0.066424175631046</v>
      </c>
      <c r="N25" t="n">
        <v>587.60200143318</v>
      </c>
      <c r="O25" t="n">
        <v>634.37689257225</v>
      </c>
    </row>
    <row r="26">
      <c r="A26" t="n">
        <v>1.9086388495976</v>
      </c>
      <c r="B26" t="n">
        <v>0.0036950762720723</v>
      </c>
      <c r="C26" t="n">
        <v>92.70232375233699</v>
      </c>
      <c r="D26" t="n">
        <v>0.0056844236293599</v>
      </c>
      <c r="E26" t="n">
        <v>-6.3024325088145</v>
      </c>
      <c r="F26" t="n">
        <v>-2.091692254181</v>
      </c>
      <c r="G26" t="n">
        <v>18432479.740287</v>
      </c>
      <c r="H26" t="n">
        <v>4421249.1341357</v>
      </c>
      <c r="I26" t="n">
        <v>-0.0023092306344826</v>
      </c>
      <c r="J26" t="n">
        <v>-0.0022013151587731</v>
      </c>
      <c r="K26" t="n">
        <v>0.005709356879354</v>
      </c>
      <c r="L26" t="n">
        <v>-0.06930097632835901</v>
      </c>
      <c r="M26" t="n">
        <v>-0.072358953974007</v>
      </c>
      <c r="N26" t="n">
        <v>590.2604052312601</v>
      </c>
      <c r="O26" t="n">
        <v>638.94678702404</v>
      </c>
    </row>
    <row r="27">
      <c r="A27" t="n">
        <v>2.0086388495976</v>
      </c>
      <c r="B27" t="n">
        <v>0.0040127228977038</v>
      </c>
      <c r="C27" t="n">
        <v>92.702293958098</v>
      </c>
      <c r="D27" t="n">
        <v>0.0060041706391677</v>
      </c>
      <c r="E27" t="n">
        <v>-6.3030284201127</v>
      </c>
      <c r="F27" t="n">
        <v>-2.091861825887</v>
      </c>
      <c r="G27" t="n">
        <v>18668851.842535</v>
      </c>
      <c r="H27" t="n">
        <v>4462085.1040844</v>
      </c>
      <c r="I27" t="n">
        <v>-0.0024587977404051</v>
      </c>
      <c r="J27" t="n">
        <v>-0.0023452852531964</v>
      </c>
      <c r="K27" t="n">
        <v>0.0060075742007916</v>
      </c>
      <c r="L27" t="n">
        <v>-0.075124160909763</v>
      </c>
      <c r="M27" t="n">
        <v>-0.07831377342739</v>
      </c>
      <c r="N27" t="n">
        <v>592.70853700288</v>
      </c>
      <c r="O27" t="n">
        <v>643.1530264489001</v>
      </c>
    </row>
    <row r="28">
      <c r="A28" t="n">
        <v>2.1086388495976</v>
      </c>
      <c r="B28" t="n">
        <v>0.0043300351292129</v>
      </c>
      <c r="C28" t="n">
        <v>92.702254471983</v>
      </c>
      <c r="D28" t="n">
        <v>0.0063240071434526</v>
      </c>
      <c r="E28" t="n">
        <v>-6.3104167803247</v>
      </c>
      <c r="F28" t="n">
        <v>-2.0962157547086</v>
      </c>
      <c r="G28" t="n">
        <v>18907699.047155</v>
      </c>
      <c r="H28" t="n">
        <v>4503333.7038971</v>
      </c>
      <c r="I28" t="n">
        <v>-0.002608413733352</v>
      </c>
      <c r="J28" t="n">
        <v>-0.0024894557312024</v>
      </c>
      <c r="K28" t="n">
        <v>0.0063057009842419</v>
      </c>
      <c r="L28" t="n">
        <v>-0.080989446095414</v>
      </c>
      <c r="M28" t="n">
        <v>-0.084283921695259</v>
      </c>
      <c r="N28" t="n">
        <v>594.98221977919</v>
      </c>
      <c r="O28" t="n">
        <v>647.04538629031</v>
      </c>
    </row>
    <row r="29">
      <c r="A29" t="n">
        <v>2.2086388495976</v>
      </c>
      <c r="B29" t="n">
        <v>0.0046470512930581</v>
      </c>
      <c r="C29" t="n">
        <v>92.702211982346</v>
      </c>
      <c r="D29" t="n">
        <v>0.0066438870512003</v>
      </c>
      <c r="E29" t="n">
        <v>-6.3219817308127</v>
      </c>
      <c r="F29" t="n">
        <v>-2.0963987048753</v>
      </c>
      <c r="G29" t="n">
        <v>19148817.551161</v>
      </c>
      <c r="H29" t="n">
        <v>4544959.5660249</v>
      </c>
      <c r="I29" t="n">
        <v>-0.0027580589538022</v>
      </c>
      <c r="J29" t="n">
        <v>-0.0026337848983155</v>
      </c>
      <c r="K29" t="n">
        <v>0.0066037373305237</v>
      </c>
      <c r="L29" t="n">
        <v>-0.08689254229691799</v>
      </c>
      <c r="M29" t="n">
        <v>-0.090280985335004</v>
      </c>
      <c r="N29" t="n">
        <v>597.11260359978</v>
      </c>
      <c r="O29" t="n">
        <v>650.67130458918</v>
      </c>
    </row>
    <row r="30">
      <c r="A30" t="n">
        <v>2.3086388495976</v>
      </c>
      <c r="B30" t="n">
        <v>0.004963812205315</v>
      </c>
      <c r="C30" t="n">
        <v>92.702162028364</v>
      </c>
      <c r="D30" t="n">
        <v>0.0069637772257251</v>
      </c>
      <c r="E30" t="n">
        <v>-6.3183449261499</v>
      </c>
      <c r="F30" t="n">
        <v>-2.1007770054306</v>
      </c>
      <c r="G30" t="n">
        <v>19392033.823359</v>
      </c>
      <c r="H30" t="n">
        <v>4586932.5723685</v>
      </c>
      <c r="I30" t="n">
        <v>-0.0029077186061658</v>
      </c>
      <c r="J30" t="n">
        <v>-0.0027782394413212</v>
      </c>
      <c r="K30" t="n">
        <v>0.0069016833074517</v>
      </c>
      <c r="L30" t="n">
        <v>-0.092824464676344</v>
      </c>
      <c r="M30" t="n">
        <v>-0.096292828881911</v>
      </c>
      <c r="N30" t="n">
        <v>599.12423189627</v>
      </c>
      <c r="O30" t="n">
        <v>654.07051704329</v>
      </c>
    </row>
    <row r="31">
      <c r="A31" t="n">
        <v>2.4086388495976</v>
      </c>
      <c r="B31" t="n">
        <v>0.005280345512076</v>
      </c>
      <c r="C31" t="n">
        <v>92.702105617168</v>
      </c>
      <c r="D31" t="n">
        <v>0.0072836537234615</v>
      </c>
      <c r="E31" t="n">
        <v>-6.3189097680286</v>
      </c>
      <c r="F31" t="n">
        <v>-2.1009724523172</v>
      </c>
      <c r="G31" t="n">
        <v>19637209.938616</v>
      </c>
      <c r="H31" t="n">
        <v>4629228.790856</v>
      </c>
      <c r="I31" t="n">
        <v>-0.0030573953216122</v>
      </c>
      <c r="J31" t="n">
        <v>-0.0029227798583309</v>
      </c>
      <c r="K31" t="n">
        <v>0.0071995389773011</v>
      </c>
      <c r="L31" t="n">
        <v>-0.09877704359870899</v>
      </c>
      <c r="M31" t="n">
        <v>-0.10232075436573</v>
      </c>
      <c r="N31" t="n">
        <v>601.03593236194</v>
      </c>
      <c r="O31" t="n">
        <v>657.27374801596</v>
      </c>
    </row>
    <row r="32">
      <c r="A32" t="n">
        <v>2.5086388495976</v>
      </c>
      <c r="B32" t="n">
        <v>0.0055966708589691</v>
      </c>
      <c r="C32" t="n">
        <v>92.702044286595</v>
      </c>
      <c r="D32" t="n">
        <v>0.0076034988129141</v>
      </c>
      <c r="E32" t="n">
        <v>-6.3194703941848</v>
      </c>
      <c r="F32" t="n">
        <v>-2.1011728301682</v>
      </c>
      <c r="G32" t="n">
        <v>19884232.948258</v>
      </c>
      <c r="H32" t="n">
        <v>4671828.629163</v>
      </c>
      <c r="I32" t="n">
        <v>-0.0032071040366846</v>
      </c>
      <c r="J32" t="n">
        <v>-0.0030673628036375</v>
      </c>
      <c r="K32" t="n">
        <v>0.0074973044074707</v>
      </c>
      <c r="L32" t="n">
        <v>-0.10476629999384</v>
      </c>
      <c r="M32" t="n">
        <v>-0.10837822374824</v>
      </c>
      <c r="N32" t="n">
        <v>602.86230742557</v>
      </c>
      <c r="O32" t="n">
        <v>660.30545893174</v>
      </c>
    </row>
    <row r="33">
      <c r="A33" t="n">
        <v>2.6086388495976</v>
      </c>
      <c r="B33" t="n">
        <v>0.0059128035463792</v>
      </c>
      <c r="C33" t="n">
        <v>92.701987998006</v>
      </c>
      <c r="D33" t="n">
        <v>0.0079232985604583</v>
      </c>
      <c r="E33" t="n">
        <v>-6.3158410529458</v>
      </c>
      <c r="F33" t="n">
        <v>-2.1055580243326</v>
      </c>
      <c r="G33" t="n">
        <v>20133004.575329</v>
      </c>
      <c r="H33" t="n">
        <v>4714715.0466096</v>
      </c>
      <c r="I33" t="n">
        <v>-0.0033568506025545</v>
      </c>
      <c r="J33" t="n">
        <v>-0.0032119589379269</v>
      </c>
      <c r="K33" t="n">
        <v>0.0077949796580844</v>
      </c>
      <c r="L33" t="n">
        <v>-0.11078053741873</v>
      </c>
      <c r="M33" t="n">
        <v>-0.1144560852605</v>
      </c>
      <c r="N33" t="n">
        <v>604.61543821543</v>
      </c>
      <c r="O33" t="n">
        <v>663.18638882406</v>
      </c>
    </row>
    <row r="34">
      <c r="A34" t="n">
        <v>2.7086388495976</v>
      </c>
      <c r="B34" t="n">
        <v>0.0062287546314197</v>
      </c>
      <c r="C34" t="n">
        <v>92.701931881148</v>
      </c>
      <c r="D34" t="n">
        <v>0.008243042015252999</v>
      </c>
      <c r="E34" t="n">
        <v>-6.3163924820832</v>
      </c>
      <c r="F34" t="n">
        <v>-2.1057698996706</v>
      </c>
      <c r="G34" t="n">
        <v>20383442.192585</v>
      </c>
      <c r="H34" t="n">
        <v>4757873.7226265</v>
      </c>
      <c r="I34" t="n">
        <v>-0.0035066312058443</v>
      </c>
      <c r="J34" t="n">
        <v>-0.0033565531941391</v>
      </c>
      <c r="K34" t="n">
        <v>0.008092564778223999</v>
      </c>
      <c r="L34" t="n">
        <v>-0.11682260925443</v>
      </c>
      <c r="M34" t="n">
        <v>-0.12055797411301</v>
      </c>
      <c r="N34" t="n">
        <v>606.30507970573</v>
      </c>
      <c r="O34" t="n">
        <v>665.93351056234</v>
      </c>
    </row>
    <row r="35">
      <c r="A35" t="n">
        <v>2.8086388495976</v>
      </c>
      <c r="B35" t="n">
        <v>0.0065445343140861</v>
      </c>
      <c r="C35" t="n">
        <v>92.701867763054</v>
      </c>
      <c r="D35" t="n">
        <v>0.008562720759596</v>
      </c>
      <c r="E35" t="n">
        <v>-6.3127165943581</v>
      </c>
      <c r="F35" t="n">
        <v>-2.1101890759529</v>
      </c>
      <c r="G35" t="n">
        <v>20635475.209639</v>
      </c>
      <c r="H35" t="n">
        <v>4801292.4271806</v>
      </c>
      <c r="I35" t="n">
        <v>-0.0036564374241761</v>
      </c>
      <c r="J35" t="n">
        <v>-0.0035011383014021</v>
      </c>
      <c r="K35" t="n">
        <v>0.0083900598159564</v>
      </c>
      <c r="L35" t="n">
        <v>-0.12288764229651</v>
      </c>
      <c r="M35" t="n">
        <v>-0.12667789154242</v>
      </c>
      <c r="N35" t="n">
        <v>607.9393169456901</v>
      </c>
      <c r="O35" t="n">
        <v>668.56114102331</v>
      </c>
    </row>
    <row r="36">
      <c r="A36" t="n">
        <v>2.9086388495976</v>
      </c>
      <c r="B36" t="n">
        <v>0.0068601538446271</v>
      </c>
      <c r="C36" t="n">
        <v>92.701814294008</v>
      </c>
      <c r="D36" t="n">
        <v>0.0088823288737018</v>
      </c>
      <c r="E36" t="n">
        <v>-6.313256712883</v>
      </c>
      <c r="F36" t="n">
        <v>-2.1104104710452</v>
      </c>
      <c r="G36" t="n">
        <v>20889041.018765</v>
      </c>
      <c r="H36" t="n">
        <v>4844960.3119792</v>
      </c>
      <c r="I36" t="n">
        <v>-0.0038062610336085</v>
      </c>
      <c r="J36" t="n">
        <v>-0.003645709566267</v>
      </c>
      <c r="K36" t="n">
        <v>0.0086874648305024</v>
      </c>
      <c r="L36" t="n">
        <v>-0.12898523557401</v>
      </c>
      <c r="M36" t="n">
        <v>-0.13282746480045</v>
      </c>
      <c r="N36" t="n">
        <v>609.52485403803</v>
      </c>
      <c r="O36" t="n">
        <v>671.08180845249</v>
      </c>
    </row>
    <row r="37">
      <c r="A37" t="n">
        <v>3.0086388495976</v>
      </c>
      <c r="B37" t="n">
        <v>0.0071756247739514</v>
      </c>
      <c r="C37" t="n">
        <v>92.701753938992</v>
      </c>
      <c r="D37" t="n">
        <v>0.0092018617648662</v>
      </c>
      <c r="E37" t="n">
        <v>-6.3054083695539</v>
      </c>
      <c r="F37" t="n">
        <v>-2.1190022098377</v>
      </c>
      <c r="G37" t="n">
        <v>21144082.363977</v>
      </c>
      <c r="H37" t="n">
        <v>4888867.4531511</v>
      </c>
      <c r="I37" t="n">
        <v>-0.003956096544425</v>
      </c>
      <c r="J37" t="n">
        <v>-0.0037902612315116</v>
      </c>
      <c r="K37" t="n">
        <v>0.0089847798839341</v>
      </c>
      <c r="L37" t="n">
        <v>-0.13510338633224</v>
      </c>
      <c r="M37" t="n">
        <v>-0.13899657487135</v>
      </c>
      <c r="N37" t="n">
        <v>611.06750594211</v>
      </c>
      <c r="O37" t="n">
        <v>673.50690270296</v>
      </c>
    </row>
    <row r="38">
      <c r="A38" t="n">
        <v>3.1086388495976</v>
      </c>
      <c r="B38" t="n">
        <v>0.0074909581725556</v>
      </c>
      <c r="C38" t="n">
        <v>92.70168887649599</v>
      </c>
      <c r="D38" t="n">
        <v>0.0095213162044745</v>
      </c>
      <c r="E38" t="n">
        <v>-6.3059361239159</v>
      </c>
      <c r="F38" t="n">
        <v>-2.119231862672</v>
      </c>
      <c r="G38" t="n">
        <v>21400548.871933</v>
      </c>
      <c r="H38" t="n">
        <v>4933005.1166216</v>
      </c>
      <c r="I38" t="n">
        <v>-0.0041059407208861</v>
      </c>
      <c r="J38" t="n">
        <v>-0.0039347876623534</v>
      </c>
      <c r="K38" t="n">
        <v>0.009282005037562199</v>
      </c>
      <c r="L38" t="n">
        <v>-0.14125290755312</v>
      </c>
      <c r="M38" t="n">
        <v>-0.1451932466053</v>
      </c>
      <c r="N38" t="n">
        <v>612.57193700992</v>
      </c>
      <c r="O38" t="n">
        <v>675.84616007593</v>
      </c>
    </row>
    <row r="39">
      <c r="A39" t="n">
        <v>3.2086388495976</v>
      </c>
      <c r="B39" t="n">
        <v>0.0078061603894599</v>
      </c>
      <c r="C39" t="n">
        <v>92.701629379663</v>
      </c>
      <c r="D39" t="n">
        <v>0.009840689940168</v>
      </c>
      <c r="E39" t="n">
        <v>-6.3132232207104</v>
      </c>
      <c r="F39" t="n">
        <v>-2.1236749035052</v>
      </c>
      <c r="G39" t="n">
        <v>21658394.108618</v>
      </c>
      <c r="H39" t="n">
        <v>4977365.2526263</v>
      </c>
      <c r="I39" t="n">
        <v>-0.0042557906058809</v>
      </c>
      <c r="J39" t="n">
        <v>-0.0040792833219981</v>
      </c>
      <c r="K39" t="n">
        <v>0.0095791403549873</v>
      </c>
      <c r="L39" t="n">
        <v>-0.14742046375618</v>
      </c>
      <c r="M39" t="n">
        <v>-0.15140848464791</v>
      </c>
      <c r="N39" t="n">
        <v>614.04257383552</v>
      </c>
      <c r="O39" t="n">
        <v>678.10833617387</v>
      </c>
    </row>
    <row r="40">
      <c r="A40" t="n">
        <v>3.3086388495976</v>
      </c>
      <c r="B40" t="n">
        <v>0.0081212409016933</v>
      </c>
      <c r="C40" t="n">
        <v>92.701588738466</v>
      </c>
      <c r="D40" t="n">
        <v>0.01015998236971</v>
      </c>
      <c r="E40" t="n">
        <v>-6.3095403382596</v>
      </c>
      <c r="F40" t="n">
        <v>-2.1281046159731</v>
      </c>
      <c r="G40" t="n">
        <v>21917579.091871</v>
      </c>
      <c r="H40" t="n">
        <v>5021941.1003537</v>
      </c>
      <c r="I40" t="n">
        <v>-0.0044056449765289</v>
      </c>
      <c r="J40" t="n">
        <v>-0.004223743592734</v>
      </c>
      <c r="K40" t="n">
        <v>0.009876185896886699</v>
      </c>
      <c r="L40" t="n">
        <v>-0.15362086716007</v>
      </c>
      <c r="M40" t="n">
        <v>-0.15766072337081</v>
      </c>
      <c r="N40" t="n">
        <v>615.4825454988299</v>
      </c>
      <c r="O40" t="n">
        <v>680.30040131124</v>
      </c>
    </row>
    <row r="41">
      <c r="A41" t="n">
        <v>3.4086388495976</v>
      </c>
      <c r="B41" t="n">
        <v>0.008436205775513199</v>
      </c>
      <c r="C41" t="n">
        <v>92.701534237492</v>
      </c>
      <c r="D41" t="n">
        <v>0.010479193542841</v>
      </c>
      <c r="E41" t="n">
        <v>-6.3016648239908</v>
      </c>
      <c r="F41" t="n">
        <v>-2.1367180196766</v>
      </c>
      <c r="G41" t="n">
        <v>22178066.049166</v>
      </c>
      <c r="H41" t="n">
        <v>5066726.1115232</v>
      </c>
      <c r="I41" t="n">
        <v>-0.0045555021148199</v>
      </c>
      <c r="J41" t="n">
        <v>-0.0043681639716811</v>
      </c>
      <c r="K41" t="n">
        <v>0.010173141723249</v>
      </c>
      <c r="L41" t="n">
        <v>-0.15984177890892</v>
      </c>
      <c r="M41" t="n">
        <v>-0.16393101944018</v>
      </c>
      <c r="N41" t="n">
        <v>616.8951045475</v>
      </c>
      <c r="O41" t="n">
        <v>682.42903619734</v>
      </c>
    </row>
    <row r="42">
      <c r="A42" t="n">
        <v>3.5086388495976</v>
      </c>
      <c r="B42" t="n">
        <v>0.0087510625425865</v>
      </c>
      <c r="C42" t="n">
        <v>92.701489198891</v>
      </c>
      <c r="D42" t="n">
        <v>0.010798324233014</v>
      </c>
      <c r="E42" t="n">
        <v>-6.2980042943515</v>
      </c>
      <c r="F42" t="n">
        <v>-2.1411224370355</v>
      </c>
      <c r="G42" t="n">
        <v>22439822.026443</v>
      </c>
      <c r="H42" t="n">
        <v>5111714.5711989</v>
      </c>
      <c r="I42" t="n">
        <v>-0.0047053591123815</v>
      </c>
      <c r="J42" t="n">
        <v>-0.0045125427152126</v>
      </c>
      <c r="K42" t="n">
        <v>0.010470007890383</v>
      </c>
      <c r="L42" t="n">
        <v>-0.16609148798926</v>
      </c>
      <c r="M42" t="n">
        <v>-0.17022782933779</v>
      </c>
      <c r="N42" t="n">
        <v>618.28274447913</v>
      </c>
      <c r="O42" t="n">
        <v>684.4998515828401</v>
      </c>
    </row>
    <row r="43">
      <c r="A43" t="n">
        <v>3.6086388495976</v>
      </c>
      <c r="B43" t="n">
        <v>0.0090658160900399</v>
      </c>
      <c r="C43" t="n">
        <v>92.701434480945</v>
      </c>
      <c r="D43" t="n">
        <v>0.011117375106788</v>
      </c>
      <c r="E43" t="n">
        <v>-6.2943103798058</v>
      </c>
      <c r="F43" t="n">
        <v>-2.1455521662901</v>
      </c>
      <c r="G43" t="n">
        <v>22702816.451243</v>
      </c>
      <c r="H43" t="n">
        <v>5156901.1791931</v>
      </c>
      <c r="I43" t="n">
        <v>-0.0048552120081301</v>
      </c>
      <c r="J43" t="n">
        <v>-0.0046568793149159</v>
      </c>
      <c r="K43" t="n">
        <v>0.010766784454744</v>
      </c>
      <c r="L43" t="n">
        <v>-0.17237132316441</v>
      </c>
      <c r="M43" t="n">
        <v>-0.17654470858927</v>
      </c>
      <c r="N43" t="n">
        <v>619.64783859747</v>
      </c>
      <c r="O43" t="n">
        <v>686.5179225406901</v>
      </c>
    </row>
    <row r="44">
      <c r="A44" t="n">
        <v>3.7086388495976</v>
      </c>
      <c r="B44" t="n">
        <v>0.009380471913427</v>
      </c>
      <c r="C44" t="n">
        <v>92.701374960004</v>
      </c>
      <c r="D44" t="n">
        <v>0.011436347368323</v>
      </c>
      <c r="E44" t="n">
        <v>-6.30579578548</v>
      </c>
      <c r="F44" t="n">
        <v>-2.1457956456045</v>
      </c>
      <c r="G44" t="n">
        <v>22967022.236176</v>
      </c>
      <c r="H44" t="n">
        <v>5202281.2385794</v>
      </c>
      <c r="I44" t="n">
        <v>-0.0050050572826068</v>
      </c>
      <c r="J44" t="n">
        <v>-0.0048011739096888</v>
      </c>
      <c r="K44" t="n">
        <v>0.0110634714759</v>
      </c>
      <c r="L44" t="n">
        <v>-0.17867365420834</v>
      </c>
      <c r="M44" t="n">
        <v>-0.18288633707942</v>
      </c>
      <c r="N44" t="n">
        <v>620.9922118614001</v>
      </c>
      <c r="O44" t="n">
        <v>688.48752610212</v>
      </c>
    </row>
    <row r="45">
      <c r="A45" t="n">
        <v>3.8086388495976</v>
      </c>
      <c r="B45" t="n">
        <v>0.009695034310764799</v>
      </c>
      <c r="C45" t="n">
        <v>92.701312546295</v>
      </c>
      <c r="D45" t="n">
        <v>0.011755242046209</v>
      </c>
      <c r="E45" t="n">
        <v>-6.3062926439836</v>
      </c>
      <c r="F45" t="n">
        <v>-2.1460394189572</v>
      </c>
      <c r="G45" t="n">
        <v>23232413.680398</v>
      </c>
      <c r="H45" t="n">
        <v>5247850.2946544</v>
      </c>
      <c r="I45" t="n">
        <v>-0.0051548919609616</v>
      </c>
      <c r="J45" t="n">
        <v>-0.0049454261484438</v>
      </c>
      <c r="K45" t="n">
        <v>0.011360069015032</v>
      </c>
      <c r="L45" t="n">
        <v>-0.18500906528544</v>
      </c>
      <c r="M45" t="n">
        <v>-0.18925721637337</v>
      </c>
      <c r="N45" t="n">
        <v>622.31766557037</v>
      </c>
      <c r="O45" t="n">
        <v>690.41269655757</v>
      </c>
    </row>
    <row r="46">
      <c r="A46" t="n">
        <v>3.9086388495976</v>
      </c>
      <c r="B46" t="n">
        <v>0.010009507009624</v>
      </c>
      <c r="C46" t="n">
        <v>92.70124817666699</v>
      </c>
      <c r="D46" t="n">
        <v>0.012074059812457</v>
      </c>
      <c r="E46" t="n">
        <v>-6.3177738465666</v>
      </c>
      <c r="F46" t="n">
        <v>-2.1462834688849</v>
      </c>
      <c r="G46" t="n">
        <v>23498967.762602</v>
      </c>
      <c r="H46" t="n">
        <v>5293604.3598819</v>
      </c>
      <c r="I46" t="n">
        <v>-0.0053047140882527</v>
      </c>
      <c r="J46" t="n">
        <v>-0.0050896352938108</v>
      </c>
      <c r="K46" t="n">
        <v>0.011656577137797</v>
      </c>
      <c r="L46" t="n">
        <v>-0.1913762753979</v>
      </c>
      <c r="M46" t="n">
        <v>-0.19565308190037</v>
      </c>
      <c r="N46" t="n">
        <v>623.62565764687</v>
      </c>
      <c r="O46" t="n">
        <v>692.2969199352</v>
      </c>
    </row>
    <row r="47">
      <c r="A47" t="n">
        <v>4.0086388495976</v>
      </c>
      <c r="B47" t="n">
        <v>0.010323892526771</v>
      </c>
      <c r="C47" t="n">
        <v>92.70118222128799</v>
      </c>
      <c r="D47" t="n">
        <v>0.012392801019842</v>
      </c>
      <c r="E47" t="n">
        <v>-6.3182668715977</v>
      </c>
      <c r="F47" t="n">
        <v>-2.1465278103715</v>
      </c>
      <c r="G47" t="n">
        <v>23766663.619869</v>
      </c>
      <c r="H47" t="n">
        <v>5339539.8239736</v>
      </c>
      <c r="I47" t="n">
        <v>-0.0054545216593162</v>
      </c>
      <c r="J47" t="n">
        <v>-0.005233800887709</v>
      </c>
      <c r="K47" t="n">
        <v>0.011952995907239</v>
      </c>
      <c r="L47" t="n">
        <v>-0.19776831442136</v>
      </c>
      <c r="M47" t="n">
        <v>-0.20207447298953</v>
      </c>
      <c r="N47" t="n">
        <v>624.91751080689</v>
      </c>
      <c r="O47" t="n">
        <v>694.14326241126</v>
      </c>
    </row>
    <row r="48">
      <c r="A48" t="n">
        <v>4.1086388495976</v>
      </c>
      <c r="B48" t="n">
        <v>0.010638193324662</v>
      </c>
      <c r="C48" t="n">
        <v>92.701114891279</v>
      </c>
      <c r="D48" t="n">
        <v>0.012711466055118</v>
      </c>
      <c r="E48" t="n">
        <v>-6.3187581318625</v>
      </c>
      <c r="F48" t="n">
        <v>-2.1467725113042</v>
      </c>
      <c r="G48" t="n">
        <v>24035482.75843</v>
      </c>
      <c r="H48" t="n">
        <v>5385653.4886843</v>
      </c>
      <c r="I48" t="n">
        <v>-0.0056043129295513</v>
      </c>
      <c r="J48" t="n">
        <v>-0.0053779228113492</v>
      </c>
      <c r="K48" t="n">
        <v>0.012249325384694</v>
      </c>
      <c r="L48" t="n">
        <v>-0.20418715148097</v>
      </c>
      <c r="M48" t="n">
        <v>-0.2085210459814</v>
      </c>
      <c r="N48" t="n">
        <v>626.19424546992</v>
      </c>
      <c r="O48" t="n">
        <v>695.95427805629</v>
      </c>
    </row>
    <row r="49">
      <c r="A49" t="n">
        <v>4.2086388495976</v>
      </c>
      <c r="B49" t="n">
        <v>0.010952410909762</v>
      </c>
      <c r="C49" t="n">
        <v>92.701046468</v>
      </c>
      <c r="D49" t="n">
        <v>0.013030055361716</v>
      </c>
      <c r="E49" t="n">
        <v>-6.3192476916975</v>
      </c>
      <c r="F49" t="n">
        <v>-2.1360314567556</v>
      </c>
      <c r="G49" t="n">
        <v>24305407.076608</v>
      </c>
      <c r="H49" t="n">
        <v>5431942.2253592</v>
      </c>
      <c r="I49" t="n">
        <v>-0.0057540858305036</v>
      </c>
      <c r="J49" t="n">
        <v>-0.0055220011454043</v>
      </c>
      <c r="K49" t="n">
        <v>0.012545565627263</v>
      </c>
      <c r="L49" t="n">
        <v>-0.21063212933874</v>
      </c>
      <c r="M49" t="n">
        <v>-0.21499187593262</v>
      </c>
      <c r="N49" t="n">
        <v>627.45694259201</v>
      </c>
      <c r="O49" t="n">
        <v>697.73246833903</v>
      </c>
    </row>
    <row r="50">
      <c r="A50" t="n">
        <v>4.3086388495976</v>
      </c>
      <c r="B50" t="n">
        <v>0.01126654696127</v>
      </c>
      <c r="C50" t="n">
        <v>92.70097715836501</v>
      </c>
      <c r="D50" t="n">
        <v>0.013348569352422</v>
      </c>
      <c r="E50" t="n">
        <v>-6.3197354451125</v>
      </c>
      <c r="F50" t="n">
        <v>-2.13627757183</v>
      </c>
      <c r="G50" t="n">
        <v>24576419.932331</v>
      </c>
      <c r="H50" t="n">
        <v>5478403.1595145</v>
      </c>
      <c r="I50" t="n">
        <v>-0.0059038389797367</v>
      </c>
      <c r="J50" t="n">
        <v>-0.0056660356050163</v>
      </c>
      <c r="K50" t="n">
        <v>0.012841716690694</v>
      </c>
      <c r="L50" t="n">
        <v>-0.21710629658547</v>
      </c>
      <c r="M50" t="n">
        <v>-0.22149103214977</v>
      </c>
      <c r="N50" t="n">
        <v>628.70651510811</v>
      </c>
      <c r="O50" t="n">
        <v>699.48005395302</v>
      </c>
    </row>
    <row r="51">
      <c r="A51" t="n">
        <v>4.4086388495976</v>
      </c>
      <c r="B51" t="n">
        <v>0.01158060264338</v>
      </c>
      <c r="C51" t="n">
        <v>92.700912391286</v>
      </c>
      <c r="D51" t="n">
        <v>0.013667008208021</v>
      </c>
      <c r="E51" t="n">
        <v>-6.3202212932253</v>
      </c>
      <c r="F51" t="n">
        <v>-2.1255385491409</v>
      </c>
      <c r="G51" t="n">
        <v>24848506.619747</v>
      </c>
      <c r="H51" t="n">
        <v>5525033.75401</v>
      </c>
      <c r="I51" t="n">
        <v>-0.006053572136405</v>
      </c>
      <c r="J51" t="n">
        <v>-0.0058100251158452</v>
      </c>
      <c r="K51" t="n">
        <v>0.013137778631226</v>
      </c>
      <c r="L51" t="n">
        <v>-0.22360925804666</v>
      </c>
      <c r="M51" t="n">
        <v>-0.22801792183873</v>
      </c>
      <c r="N51" t="n">
        <v>629.94368094677</v>
      </c>
      <c r="O51" t="n">
        <v>701.19886559649</v>
      </c>
    </row>
    <row r="52">
      <c r="A52" t="n">
        <v>4.5086388495976</v>
      </c>
      <c r="B52" t="n">
        <v>0.011894577990659</v>
      </c>
      <c r="C52" t="n">
        <v>92.700844802532</v>
      </c>
      <c r="D52" t="n">
        <v>0.013985371863941</v>
      </c>
      <c r="E52" t="n">
        <v>-6.3207052084038</v>
      </c>
      <c r="F52" t="n">
        <v>-2.114800977048</v>
      </c>
      <c r="G52" t="n">
        <v>25121652.78375</v>
      </c>
      <c r="H52" t="n">
        <v>5571831.5354925</v>
      </c>
      <c r="I52" t="n">
        <v>-0.0062032858293588</v>
      </c>
      <c r="J52" t="n">
        <v>-0.0059539674955957</v>
      </c>
      <c r="K52" t="n">
        <v>0.013433751508305</v>
      </c>
      <c r="L52" t="n">
        <v>-0.23013788900218</v>
      </c>
      <c r="M52" t="n">
        <v>-0.23457019214886</v>
      </c>
      <c r="N52" t="n">
        <v>631.1693136606</v>
      </c>
      <c r="O52" t="n">
        <v>702.89076424789</v>
      </c>
    </row>
    <row r="53">
      <c r="A53" t="n">
        <v>4.6086388495976</v>
      </c>
      <c r="B53" t="n">
        <v>0.012208475234931</v>
      </c>
      <c r="C53" t="n">
        <v>92.700782791747</v>
      </c>
      <c r="D53" t="n">
        <v>0.01430366082555</v>
      </c>
      <c r="E53" t="n">
        <v>-6.3127794900386</v>
      </c>
      <c r="F53" t="n">
        <v>-2.1234441942026</v>
      </c>
      <c r="G53" t="n">
        <v>25395846.318136</v>
      </c>
      <c r="H53" t="n">
        <v>5618794.417301</v>
      </c>
      <c r="I53" t="n">
        <v>-0.0063529812176312</v>
      </c>
      <c r="J53" t="n">
        <v>-0.006097860941793</v>
      </c>
      <c r="K53" t="n">
        <v>0.013729635377944</v>
      </c>
      <c r="L53" t="n">
        <v>-0.23669391291425</v>
      </c>
      <c r="M53" t="n">
        <v>-0.24114441957623</v>
      </c>
      <c r="N53" t="n">
        <v>632.38378367404</v>
      </c>
      <c r="O53" t="n">
        <v>704.5570498206</v>
      </c>
    </row>
    <row r="54">
      <c r="A54" t="n">
        <v>4.7086388495976</v>
      </c>
      <c r="B54" t="n">
        <v>0.012522295535938</v>
      </c>
      <c r="C54" t="n">
        <v>92.70072850367301</v>
      </c>
      <c r="D54" t="n">
        <v>0.014621876107216</v>
      </c>
      <c r="E54" t="n">
        <v>-6.3242431266018</v>
      </c>
      <c r="F54" t="n">
        <v>-2.1236987366436</v>
      </c>
      <c r="G54" t="n">
        <v>25671073.406792</v>
      </c>
      <c r="H54" t="n">
        <v>5665920.0161222</v>
      </c>
      <c r="I54" t="n">
        <v>-0.0065026582848661</v>
      </c>
      <c r="J54" t="n">
        <v>-0.0062417040974116</v>
      </c>
      <c r="K54" t="n">
        <v>0.014025430297961</v>
      </c>
      <c r="L54" t="n">
        <v>-0.24327403044822</v>
      </c>
      <c r="M54" t="n">
        <v>-0.24774483944382</v>
      </c>
      <c r="N54" t="n">
        <v>633.58783875749</v>
      </c>
      <c r="O54" t="n">
        <v>706.19937605149</v>
      </c>
    </row>
    <row r="55">
      <c r="A55" t="n">
        <v>4.8086388495975</v>
      </c>
      <c r="B55" t="n">
        <v>0.012836041813126</v>
      </c>
      <c r="C55" t="n">
        <v>92.700670965623</v>
      </c>
      <c r="D55" t="n">
        <v>0.014940019369889</v>
      </c>
      <c r="E55" t="n">
        <v>-6.3161728961081</v>
      </c>
      <c r="F55" t="n">
        <v>-2.1324781711151</v>
      </c>
      <c r="G55" t="n">
        <v>25947320.927228</v>
      </c>
      <c r="H55" t="n">
        <v>5713206.0656314</v>
      </c>
      <c r="I55" t="n">
        <v>-0.0066523170864172</v>
      </c>
      <c r="J55" t="n">
        <v>-0.0063854959201159</v>
      </c>
      <c r="K55" t="n">
        <v>0.014321136319088</v>
      </c>
      <c r="L55" t="n">
        <v>-0.24987179397386</v>
      </c>
      <c r="M55" t="n">
        <v>-0.25436197831754</v>
      </c>
      <c r="N55" t="n">
        <v>634.78201575465</v>
      </c>
      <c r="O55" t="n">
        <v>707.81916800011</v>
      </c>
    </row>
    <row r="56">
      <c r="A56" t="n">
        <v>4.9086388495975</v>
      </c>
      <c r="B56" t="n">
        <v>0.013149717040523</v>
      </c>
      <c r="C56" t="n">
        <v>92.700613107528</v>
      </c>
      <c r="D56" t="n">
        <v>0.015258092449361</v>
      </c>
      <c r="E56" t="n">
        <v>-6.3166404823312</v>
      </c>
      <c r="F56" t="n">
        <v>-2.1327417018706</v>
      </c>
      <c r="G56" t="n">
        <v>26224576.107765</v>
      </c>
      <c r="H56" t="n">
        <v>5760650.3589233</v>
      </c>
      <c r="I56" t="n">
        <v>-0.0068019573960477</v>
      </c>
      <c r="J56" t="n">
        <v>-0.0065292358577105</v>
      </c>
      <c r="K56" t="n">
        <v>0.01461675348779</v>
      </c>
      <c r="L56" t="n">
        <v>-0.25650488964777</v>
      </c>
      <c r="M56" t="n">
        <v>-0.26101231318407</v>
      </c>
      <c r="N56" t="n">
        <v>635.96679696262</v>
      </c>
      <c r="O56" t="n">
        <v>709.41779838561</v>
      </c>
    </row>
    <row r="57">
      <c r="A57" t="n">
        <v>5.0086388495975</v>
      </c>
      <c r="B57" t="n">
        <v>0.013463323601195</v>
      </c>
      <c r="C57" t="n">
        <v>92.700559292755</v>
      </c>
      <c r="D57" t="n">
        <v>0.015576097063409</v>
      </c>
      <c r="E57" t="n">
        <v>-6.2976968678291</v>
      </c>
      <c r="F57" t="n">
        <v>-2.1414145731103</v>
      </c>
      <c r="G57" t="n">
        <v>26502826.538185</v>
      </c>
      <c r="H57" t="n">
        <v>5808250.7526773</v>
      </c>
      <c r="I57" t="n">
        <v>-0.006951579119499</v>
      </c>
      <c r="J57" t="n">
        <v>-0.0066729230038671</v>
      </c>
      <c r="K57" t="n">
        <v>0.014912281851746</v>
      </c>
      <c r="L57" t="n">
        <v>-0.26315775317955</v>
      </c>
      <c r="M57" t="n">
        <v>-0.26768384407119</v>
      </c>
      <c r="N57" t="n">
        <v>637.14270910364</v>
      </c>
      <c r="O57" t="n">
        <v>710.99655597691</v>
      </c>
    </row>
    <row r="58">
      <c r="A58" t="n">
        <v>5.1086388495975</v>
      </c>
      <c r="B58" t="n">
        <v>0.013776863244818</v>
      </c>
      <c r="C58" t="n">
        <v>92.70050195146</v>
      </c>
      <c r="D58" t="n">
        <v>0.015894034891819</v>
      </c>
      <c r="E58" t="n">
        <v>-6.2940189993195</v>
      </c>
      <c r="F58" t="n">
        <v>-2.1458182479814</v>
      </c>
      <c r="G58" t="n">
        <v>26782060.142384</v>
      </c>
      <c r="H58" t="n">
        <v>5856005.1635568</v>
      </c>
      <c r="I58" t="n">
        <v>-0.0071011820466319</v>
      </c>
      <c r="J58" t="n">
        <v>-0.006816556680447</v>
      </c>
      <c r="K58" t="n">
        <v>0.015207721458602</v>
      </c>
      <c r="L58" t="n">
        <v>-0.26984178294491</v>
      </c>
      <c r="M58" t="n">
        <v>-0.27438224439755</v>
      </c>
      <c r="N58" t="n">
        <v>638.310269364</v>
      </c>
      <c r="O58" t="n">
        <v>712.55665642201</v>
      </c>
    </row>
    <row r="59">
      <c r="A59" t="n">
        <v>5.2086388495975</v>
      </c>
      <c r="B59" t="n">
        <v>0.014090338055112</v>
      </c>
      <c r="C59" t="n">
        <v>92.70044070435399</v>
      </c>
      <c r="D59" t="n">
        <v>0.016211907338434</v>
      </c>
      <c r="E59" t="n">
        <v>-6.2834930527144</v>
      </c>
      <c r="F59" t="n">
        <v>-2.1460875095004</v>
      </c>
      <c r="G59" t="n">
        <v>27062266.42239</v>
      </c>
      <c r="H59" t="n">
        <v>5903911.7802155</v>
      </c>
      <c r="I59" t="n">
        <v>-0.0072507660769541</v>
      </c>
      <c r="J59" t="n">
        <v>-0.006960136421015</v>
      </c>
      <c r="K59" t="n">
        <v>0.015503072356527</v>
      </c>
      <c r="L59" t="n">
        <v>-0.27654423034481</v>
      </c>
      <c r="M59" t="n">
        <v>-0.28110060715902</v>
      </c>
      <c r="N59" t="n">
        <v>639.46979095415</v>
      </c>
      <c r="O59" t="n">
        <v>714.09900387414</v>
      </c>
    </row>
    <row r="60">
      <c r="A60" t="n">
        <v>5.3086388495975</v>
      </c>
      <c r="B60" t="n">
        <v>0.014403749763032</v>
      </c>
      <c r="C60" t="n">
        <v>92.70037736443599</v>
      </c>
      <c r="D60" t="n">
        <v>0.016529715564348</v>
      </c>
      <c r="E60" t="n">
        <v>-6.2839522508025</v>
      </c>
      <c r="F60" t="n">
        <v>-2.1353710255607</v>
      </c>
      <c r="G60" t="n">
        <v>27343435.867304</v>
      </c>
      <c r="H60" t="n">
        <v>5951968.9649826</v>
      </c>
      <c r="I60" t="n">
        <v>-0.007400331198296</v>
      </c>
      <c r="J60" t="n">
        <v>-0.0071036619131808</v>
      </c>
      <c r="K60" t="n">
        <v>0.015798334598211</v>
      </c>
      <c r="L60" t="n">
        <v>-0.28327540719229</v>
      </c>
      <c r="M60" t="n">
        <v>-0.28784475448765</v>
      </c>
      <c r="N60" t="n">
        <v>640.62149575568</v>
      </c>
      <c r="O60" t="n">
        <v>715.62434231111</v>
      </c>
    </row>
    <row r="61">
      <c r="A61" t="n">
        <v>5.4086388495975</v>
      </c>
      <c r="B61" t="n">
        <v>0.014717098415454</v>
      </c>
      <c r="C61" t="n">
        <v>92.700314697747</v>
      </c>
      <c r="D61" t="n">
        <v>0.016847460401008</v>
      </c>
      <c r="E61" t="n">
        <v>-6.284410317453</v>
      </c>
      <c r="F61" t="n">
        <v>-2.1356413480179</v>
      </c>
      <c r="G61" t="n">
        <v>27625557.945511</v>
      </c>
      <c r="H61" t="n">
        <v>6000174.9067575</v>
      </c>
      <c r="I61" t="n">
        <v>-0.0075498768601939</v>
      </c>
      <c r="J61" t="n">
        <v>-0.0072471326948777</v>
      </c>
      <c r="K61" t="n">
        <v>0.016093508235647</v>
      </c>
      <c r="L61" t="n">
        <v>-0.29003132456642</v>
      </c>
      <c r="M61" t="n">
        <v>-0.29461512347449</v>
      </c>
      <c r="N61" t="n">
        <v>641.76593074572</v>
      </c>
      <c r="O61" t="n">
        <v>717.13370187497</v>
      </c>
    </row>
    <row r="62">
      <c r="A62" t="n">
        <v>5.5086388495975</v>
      </c>
      <c r="B62" t="n">
        <v>0.01503038585263</v>
      </c>
      <c r="C62" t="n">
        <v>92.70026111136001</v>
      </c>
      <c r="D62" t="n">
        <v>0.017165143037229</v>
      </c>
      <c r="E62" t="n">
        <v>-6.280584846976</v>
      </c>
      <c r="F62" t="n">
        <v>-2.1291981632377</v>
      </c>
      <c r="G62" t="n">
        <v>27908623.913118</v>
      </c>
      <c r="H62" t="n">
        <v>6048528.1013957</v>
      </c>
      <c r="I62" t="n">
        <v>-0.0076994027183023</v>
      </c>
      <c r="J62" t="n">
        <v>-0.0073905488659168</v>
      </c>
      <c r="K62" t="n">
        <v>0.016388593325664</v>
      </c>
      <c r="L62" t="n">
        <v>-0.29680988327647</v>
      </c>
      <c r="M62" t="n">
        <v>-0.30140777082669</v>
      </c>
      <c r="N62" t="n">
        <v>642.90324947572</v>
      </c>
      <c r="O62" t="n">
        <v>718.62770322599</v>
      </c>
    </row>
    <row r="63">
      <c r="A63" t="n">
        <v>5.6086388495975</v>
      </c>
      <c r="B63" t="n">
        <v>0.015343613343123</v>
      </c>
      <c r="C63" t="n">
        <v>92.700193596902</v>
      </c>
      <c r="D63" t="n">
        <v>0.017482764391888</v>
      </c>
      <c r="E63" t="n">
        <v>-6.2768433441457</v>
      </c>
      <c r="F63" t="n">
        <v>-2.1226768406231</v>
      </c>
      <c r="G63" t="n">
        <v>28192624.866386</v>
      </c>
      <c r="H63" t="n">
        <v>6097027.019592</v>
      </c>
      <c r="I63" t="n">
        <v>-0.0078489079688431</v>
      </c>
      <c r="J63" t="n">
        <v>-0.007533910762434</v>
      </c>
      <c r="K63" t="n">
        <v>0.016683589924775</v>
      </c>
      <c r="L63" t="n">
        <v>-0.30361386871119</v>
      </c>
      <c r="M63" t="n">
        <v>-0.30822279600383</v>
      </c>
      <c r="N63" t="n">
        <v>644.03373002209</v>
      </c>
      <c r="O63" t="n">
        <v>720.10707687647</v>
      </c>
    </row>
    <row r="64">
      <c r="A64" t="n">
        <v>5.7086388495975</v>
      </c>
      <c r="B64" t="n">
        <v>0.015656782221324</v>
      </c>
      <c r="C64" t="n">
        <v>92.70012335788699</v>
      </c>
      <c r="D64" t="n">
        <v>0.01780032542564</v>
      </c>
      <c r="E64" t="n">
        <v>-6.2763566316342</v>
      </c>
      <c r="F64" t="n">
        <v>-2.1220740495892</v>
      </c>
      <c r="G64" t="n">
        <v>28477551.981826</v>
      </c>
      <c r="H64" t="n">
        <v>6145670.1454578</v>
      </c>
      <c r="I64" t="n">
        <v>-0.007998391927809699</v>
      </c>
      <c r="J64" t="n">
        <v>-0.0076772186741733</v>
      </c>
      <c r="K64" t="n">
        <v>0.01697849809167</v>
      </c>
      <c r="L64" t="n">
        <v>-0.31044055319276</v>
      </c>
      <c r="M64" t="n">
        <v>-0.31505926656953</v>
      </c>
      <c r="N64" t="n">
        <v>645.15760703707</v>
      </c>
      <c r="O64" t="n">
        <v>721.57249425297</v>
      </c>
    </row>
    <row r="65">
      <c r="A65" t="n">
        <v>5.8086388495975</v>
      </c>
      <c r="B65" t="n">
        <v>0.015969893977399</v>
      </c>
      <c r="C65" t="n">
        <v>92.700056452411</v>
      </c>
      <c r="D65" t="n">
        <v>0.018117827330744</v>
      </c>
      <c r="E65" t="n">
        <v>-6.2768041867839</v>
      </c>
      <c r="F65" t="n">
        <v>-2.1223458473619</v>
      </c>
      <c r="G65" t="n">
        <v>28763396.788572</v>
      </c>
      <c r="H65" t="n">
        <v>6194456.0245077</v>
      </c>
      <c r="I65" t="n">
        <v>-0.008147854076797001</v>
      </c>
      <c r="J65" t="n">
        <v>-0.0078204728313749</v>
      </c>
      <c r="K65" t="n">
        <v>0.017273317883591</v>
      </c>
      <c r="L65" t="n">
        <v>-0.3172948359985</v>
      </c>
      <c r="M65" t="n">
        <v>-0.32192242691353</v>
      </c>
      <c r="N65" t="n">
        <v>646.27507589699</v>
      </c>
      <c r="O65" t="n">
        <v>723.0245550590899</v>
      </c>
    </row>
    <row r="66">
      <c r="A66" t="n">
        <v>5.9086388495975</v>
      </c>
      <c r="B66" t="n">
        <v>0.016282948884157</v>
      </c>
      <c r="C66" t="n">
        <v>92.69999462110999</v>
      </c>
      <c r="D66" t="n">
        <v>0.018435270944198</v>
      </c>
      <c r="E66" t="n">
        <v>-6.2729590185735</v>
      </c>
      <c r="F66" t="n">
        <v>-2.1268959356025</v>
      </c>
      <c r="G66" t="n">
        <v>29050150.179447</v>
      </c>
      <c r="H66" t="n">
        <v>6243383.0940418</v>
      </c>
      <c r="I66" t="n">
        <v>-0.0082972937296018</v>
      </c>
      <c r="J66" t="n">
        <v>-0.007963673239160401</v>
      </c>
      <c r="K66" t="n">
        <v>0.017568049361691</v>
      </c>
      <c r="L66" t="n">
        <v>-0.32417124638874</v>
      </c>
      <c r="M66" t="n">
        <v>-0.32880610209314</v>
      </c>
      <c r="N66" t="n">
        <v>647.38651456144</v>
      </c>
      <c r="O66" t="n">
        <v>724.46400822311</v>
      </c>
    </row>
    <row r="67">
      <c r="A67" t="n">
        <v>6.0086388495975</v>
      </c>
      <c r="B67" t="n">
        <v>0.016595948426745</v>
      </c>
      <c r="C67" t="n">
        <v>92.699929259207</v>
      </c>
      <c r="D67" t="n">
        <v>0.018752657237627</v>
      </c>
      <c r="E67" t="n">
        <v>-6.2691106317459</v>
      </c>
      <c r="F67" t="n">
        <v>-2.1424391641293</v>
      </c>
      <c r="G67" t="n">
        <v>29337804.44374</v>
      </c>
      <c r="H67" t="n">
        <v>6292450.0334998</v>
      </c>
      <c r="I67" t="n">
        <v>-0.0084467105603103</v>
      </c>
      <c r="J67" t="n">
        <v>-0.0081068199307504</v>
      </c>
      <c r="K67" t="n">
        <v>0.017862692585119</v>
      </c>
      <c r="L67" t="n">
        <v>-0.33106694815611</v>
      </c>
      <c r="M67" t="n">
        <v>-0.33571218496781</v>
      </c>
      <c r="N67" t="n">
        <v>648.49210300018</v>
      </c>
      <c r="O67" t="n">
        <v>725.89136535466</v>
      </c>
    </row>
    <row r="68">
      <c r="A68" t="n">
        <v>6.1086388495975</v>
      </c>
      <c r="B68" t="n">
        <v>0.016908894709664</v>
      </c>
      <c r="C68" t="n">
        <v>92.69986184053199</v>
      </c>
      <c r="D68" t="n">
        <v>0.019069987577013</v>
      </c>
      <c r="E68" t="n">
        <v>-6.2585632410894</v>
      </c>
      <c r="F68" t="n">
        <v>-2.153704219703</v>
      </c>
      <c r="G68" t="n">
        <v>29626352.688169</v>
      </c>
      <c r="H68" t="n">
        <v>6341655.6609977</v>
      </c>
      <c r="I68" t="n">
        <v>-0.0085961044294435</v>
      </c>
      <c r="J68" t="n">
        <v>-0.0082499132285729</v>
      </c>
      <c r="K68" t="n">
        <v>0.018157247616023</v>
      </c>
      <c r="L68" t="n">
        <v>-0.33798853430062</v>
      </c>
      <c r="M68" t="n">
        <v>-0.34264098840888</v>
      </c>
      <c r="N68" t="n">
        <v>649.59179661727</v>
      </c>
      <c r="O68" t="n">
        <v>727.30688652837</v>
      </c>
    </row>
    <row r="69">
      <c r="A69" t="n">
        <v>6.2086388495975</v>
      </c>
      <c r="B69" t="n">
        <v>0.017221787844376</v>
      </c>
      <c r="C69" t="n">
        <v>92.699792987192</v>
      </c>
      <c r="D69" t="n">
        <v>0.019387262640935</v>
      </c>
      <c r="E69" t="n">
        <v>-6.2590011510541</v>
      </c>
      <c r="F69" t="n">
        <v>-2.1429970441384</v>
      </c>
      <c r="G69" t="n">
        <v>29915786.602055</v>
      </c>
      <c r="H69" t="n">
        <v>6390998.5543883</v>
      </c>
      <c r="I69" t="n">
        <v>-0.008745474421008001</v>
      </c>
      <c r="J69" t="n">
        <v>-0.0083929533876406</v>
      </c>
      <c r="K69" t="n">
        <v>0.018451714515138</v>
      </c>
      <c r="L69" t="n">
        <v>-0.34493302824395</v>
      </c>
      <c r="M69" t="n">
        <v>-0.34959018315971</v>
      </c>
      <c r="N69" t="n">
        <v>650.68596018075</v>
      </c>
      <c r="O69" t="n">
        <v>728.7112063201801</v>
      </c>
    </row>
    <row r="70">
      <c r="A70" t="n">
        <v>6.3086388495975</v>
      </c>
      <c r="B70" t="n">
        <v>0.01753462886896</v>
      </c>
      <c r="C70" t="n">
        <v>92.69972303972401</v>
      </c>
      <c r="D70" t="n">
        <v>0.019704483425784</v>
      </c>
      <c r="E70" t="n">
        <v>-6.2484517040993</v>
      </c>
      <c r="F70" t="n">
        <v>-2.1432766440803</v>
      </c>
      <c r="G70" t="n">
        <v>30206099.221733</v>
      </c>
      <c r="H70" t="n">
        <v>6440477.5243115</v>
      </c>
      <c r="I70" t="n">
        <v>-0.0088948200108541</v>
      </c>
      <c r="J70" t="n">
        <v>-0.0085359407194992</v>
      </c>
      <c r="K70" t="n">
        <v>0.018746093341663</v>
      </c>
      <c r="L70" t="n">
        <v>-0.35189589172842</v>
      </c>
      <c r="M70" t="n">
        <v>-0.35656002468092</v>
      </c>
      <c r="N70" t="n">
        <v>651.7747296873</v>
      </c>
      <c r="O70" t="n">
        <v>730.1046986221299</v>
      </c>
    </row>
    <row r="71">
      <c r="A71" t="n">
        <v>6.4086388495975</v>
      </c>
      <c r="B71" t="n">
        <v>0.017847418620796</v>
      </c>
      <c r="C71" t="n">
        <v>92.699652019984</v>
      </c>
      <c r="D71" t="n">
        <v>0.020021650855463</v>
      </c>
      <c r="E71" t="n">
        <v>-6.2488875548213</v>
      </c>
      <c r="F71" t="n">
        <v>-2.1435567540328</v>
      </c>
      <c r="G71" t="n">
        <v>30497283.562829</v>
      </c>
      <c r="H71" t="n">
        <v>6490091.3774846</v>
      </c>
      <c r="I71" t="n">
        <v>-0.0090441406790068</v>
      </c>
      <c r="J71" t="n">
        <v>-0.0086788755756657</v>
      </c>
      <c r="K71" t="n">
        <v>0.019040384153798</v>
      </c>
      <c r="L71" t="n">
        <v>-0.35888303915274</v>
      </c>
      <c r="M71" t="n">
        <v>-0.36355355509952</v>
      </c>
      <c r="N71" t="n">
        <v>652.85823589984</v>
      </c>
      <c r="O71" t="n">
        <v>731.48771826898</v>
      </c>
    </row>
    <row r="72">
      <c r="A72" t="n">
        <v>6.5086388495975</v>
      </c>
      <c r="B72" t="n">
        <v>0.018160158404846</v>
      </c>
      <c r="C72" t="n">
        <v>92.699579961803</v>
      </c>
      <c r="D72" t="n">
        <v>0.020338765937985</v>
      </c>
      <c r="E72" t="n">
        <v>-6.2493223765673</v>
      </c>
      <c r="F72" t="n">
        <v>-2.1438373863613</v>
      </c>
      <c r="G72" t="n">
        <v>30789332.882224</v>
      </c>
      <c r="H72" t="n">
        <v>6539838.9630616</v>
      </c>
      <c r="I72" t="n">
        <v>-0.009193436103941501</v>
      </c>
      <c r="J72" t="n">
        <v>-0.0088217581023081</v>
      </c>
      <c r="K72" t="n">
        <v>0.01933458700775</v>
      </c>
      <c r="L72" t="n">
        <v>-0.36589254187248</v>
      </c>
      <c r="M72" t="n">
        <v>-0.37056627827376</v>
      </c>
      <c r="N72" t="n">
        <v>653.93658932218</v>
      </c>
      <c r="O72" t="n">
        <v>732.86059922861</v>
      </c>
    </row>
    <row r="73">
      <c r="A73" t="n">
        <v>6.6086388495975</v>
      </c>
      <c r="B73" t="n">
        <v>0.018472849091551</v>
      </c>
      <c r="C73" t="n">
        <v>92.699506883467</v>
      </c>
      <c r="D73" t="n">
        <v>0.02065582974931</v>
      </c>
      <c r="E73" t="n">
        <v>-6.2497561053554</v>
      </c>
      <c r="F73" t="n">
        <v>-2.1331322481781</v>
      </c>
      <c r="G73" t="n">
        <v>31082239.910177</v>
      </c>
      <c r="H73" t="n">
        <v>6589719.0393481</v>
      </c>
      <c r="I73" t="n">
        <v>-0.0093427057043587</v>
      </c>
      <c r="J73" t="n">
        <v>-0.008964588575872399</v>
      </c>
      <c r="K73" t="n">
        <v>0.019628701956861</v>
      </c>
      <c r="L73" t="n">
        <v>-0.37292535949887</v>
      </c>
      <c r="M73" t="n">
        <v>-0.37760307768896</v>
      </c>
      <c r="N73" t="n">
        <v>655.00998289238</v>
      </c>
      <c r="O73" t="n">
        <v>734.22377052337</v>
      </c>
    </row>
    <row r="74">
      <c r="A74" t="n">
        <v>6.7086388495975</v>
      </c>
      <c r="B74" t="n">
        <v>0.018785491614746</v>
      </c>
      <c r="C74" t="n">
        <v>92.699422447505</v>
      </c>
      <c r="D74" t="n">
        <v>0.02097284333435</v>
      </c>
      <c r="E74" t="n">
        <v>-6.2543342138382</v>
      </c>
      <c r="F74" t="n">
        <v>-2.1155859842057</v>
      </c>
      <c r="G74" t="n">
        <v>31375997.701126</v>
      </c>
      <c r="H74" t="n">
        <v>6639730.4199471</v>
      </c>
      <c r="I74" t="n">
        <v>-0.009491949069128499</v>
      </c>
      <c r="J74" t="n">
        <v>-0.0091073671939268</v>
      </c>
      <c r="K74" t="n">
        <v>0.019922729053225</v>
      </c>
      <c r="L74" t="n">
        <v>-0.37997896568526</v>
      </c>
      <c r="M74" t="n">
        <v>-0.38466092306153</v>
      </c>
      <c r="N74" t="n">
        <v>656.0785531169701</v>
      </c>
      <c r="O74" t="n">
        <v>735.5775783729</v>
      </c>
    </row>
    <row r="75">
      <c r="A75" t="n">
        <v>6.8086388495975</v>
      </c>
      <c r="B75" t="n">
        <v>0.019098087048525</v>
      </c>
      <c r="C75" t="n">
        <v>92.699341802779</v>
      </c>
      <c r="D75" t="n">
        <v>0.021289807681015</v>
      </c>
      <c r="E75" t="n">
        <v>-6.254767282354</v>
      </c>
      <c r="F75" t="n">
        <v>-2.1158697348079</v>
      </c>
      <c r="G75" t="n">
        <v>31670599.26192</v>
      </c>
      <c r="H75" t="n">
        <v>6689871.9120982</v>
      </c>
      <c r="I75" t="n">
        <v>-0.009641165991948499</v>
      </c>
      <c r="J75" t="n">
        <v>-0.009250093877650301</v>
      </c>
      <c r="K75" t="n">
        <v>0.020216668350986</v>
      </c>
      <c r="L75" t="n">
        <v>-0.3870481903789</v>
      </c>
      <c r="M75" t="n">
        <v>-0.39173273499334</v>
      </c>
      <c r="N75" t="n">
        <v>657.14246351473</v>
      </c>
      <c r="O75" t="n">
        <v>736.92240308471</v>
      </c>
    </row>
    <row r="76">
      <c r="A76" t="n">
        <v>6.9086388495975</v>
      </c>
      <c r="B76" t="n">
        <v>0.019410636563614</v>
      </c>
      <c r="C76" t="n">
        <v>92.699261929841</v>
      </c>
      <c r="D76" t="n">
        <v>0.021606723867198</v>
      </c>
      <c r="E76" t="n">
        <v>-6.2442128600622</v>
      </c>
      <c r="F76" t="n">
        <v>-2.1271404061311</v>
      </c>
      <c r="G76" t="n">
        <v>31966038.07907</v>
      </c>
      <c r="H76" t="n">
        <v>6740142.4029065</v>
      </c>
      <c r="I76" t="n">
        <v>-0.0097903563894714</v>
      </c>
      <c r="J76" t="n">
        <v>-0.0093927687124718</v>
      </c>
      <c r="K76" t="n">
        <v>0.020510519903476</v>
      </c>
      <c r="L76" t="n">
        <v>-0.39414143922062</v>
      </c>
      <c r="M76" t="n">
        <v>-0.39882903277326</v>
      </c>
      <c r="N76" t="n">
        <v>658.2017697090899</v>
      </c>
      <c r="O76" t="n">
        <v>738.25851961174</v>
      </c>
    </row>
    <row r="77">
      <c r="A77" t="n">
        <v>7.0086388495975</v>
      </c>
      <c r="B77" t="n">
        <v>0.019723141401661</v>
      </c>
      <c r="C77" t="n">
        <v>92.699189838804</v>
      </c>
      <c r="D77" t="n">
        <v>0.021923592804725</v>
      </c>
      <c r="E77" t="n">
        <v>-6.2403564715759</v>
      </c>
      <c r="F77" t="n">
        <v>-2.1317048492199</v>
      </c>
      <c r="G77" t="n">
        <v>32262307.580209</v>
      </c>
      <c r="H77" t="n">
        <v>6790540.7715605</v>
      </c>
      <c r="I77" t="n">
        <v>-0.0099395201423082</v>
      </c>
      <c r="J77" t="n">
        <v>-0.009535391682817401</v>
      </c>
      <c r="K77" t="n">
        <v>0.020804283763683</v>
      </c>
      <c r="L77" t="n">
        <v>-0.40125646985687</v>
      </c>
      <c r="M77" t="n">
        <v>-0.40594537048015</v>
      </c>
      <c r="N77" t="n">
        <v>659.25656157891</v>
      </c>
      <c r="O77" t="n">
        <v>739.5862204744</v>
      </c>
    </row>
    <row r="78">
      <c r="A78" t="n">
        <v>7.1086388495975</v>
      </c>
      <c r="B78" t="n">
        <v>0.020035601853948</v>
      </c>
      <c r="C78" t="n">
        <v>92.69911353947199</v>
      </c>
      <c r="D78" t="n">
        <v>0.022240415327283</v>
      </c>
      <c r="E78" t="n">
        <v>-6.2407840469188</v>
      </c>
      <c r="F78" t="n">
        <v>-2.1100198133168</v>
      </c>
      <c r="G78" t="n">
        <v>32559400.587541</v>
      </c>
      <c r="H78" t="n">
        <v>6841065.7932628</v>
      </c>
      <c r="I78" t="n">
        <v>-0.010088657055017</v>
      </c>
      <c r="J78" t="n">
        <v>-0.009677962614663201</v>
      </c>
      <c r="K78" t="n">
        <v>0.021097959987786</v>
      </c>
      <c r="L78" t="n">
        <v>-0.40839417281239</v>
      </c>
      <c r="M78" t="n">
        <v>-0.41308542118315</v>
      </c>
      <c r="N78" t="n">
        <v>660.30706921022</v>
      </c>
      <c r="O78" t="n">
        <v>740.90592485024</v>
      </c>
    </row>
    <row r="79">
      <c r="A79" t="n">
        <v>7.2086388495975</v>
      </c>
      <c r="B79" t="n">
        <v>0.020348019154106</v>
      </c>
      <c r="C79" t="n">
        <v>92.699035595719</v>
      </c>
      <c r="D79" t="n">
        <v>0.022557192427147</v>
      </c>
      <c r="E79" t="n">
        <v>-6.2302242733115</v>
      </c>
      <c r="F79" t="n">
        <v>-2.1103080305433</v>
      </c>
      <c r="G79" t="n">
        <v>32857310.670405</v>
      </c>
      <c r="H79" t="n">
        <v>6891716.3706761</v>
      </c>
      <c r="I79" t="n">
        <v>-0.01023776734601</v>
      </c>
      <c r="J79" t="n">
        <v>-0.0098204812186145</v>
      </c>
      <c r="K79" t="n">
        <v>0.021391548628262</v>
      </c>
      <c r="L79" t="n">
        <v>-0.41555092679628</v>
      </c>
      <c r="M79" t="n">
        <v>-0.42024161798898</v>
      </c>
      <c r="N79" t="n">
        <v>661.35335029469</v>
      </c>
      <c r="O79" t="n">
        <v>742.21787059907</v>
      </c>
    </row>
    <row r="80">
      <c r="A80" t="n">
        <v>7.3086388495975</v>
      </c>
      <c r="B80" t="n">
        <v>0.020660394001781</v>
      </c>
      <c r="C80" t="n">
        <v>92.698961593486</v>
      </c>
      <c r="D80" t="n">
        <v>0.022873924931901</v>
      </c>
      <c r="E80" t="n">
        <v>-6.2306498504171</v>
      </c>
      <c r="F80" t="n">
        <v>-2.1105968558179</v>
      </c>
      <c r="G80" t="n">
        <v>33156031.109145</v>
      </c>
      <c r="H80" t="n">
        <v>6942491.3583317</v>
      </c>
      <c r="I80" t="n">
        <v>-0.010386850947206</v>
      </c>
      <c r="J80" t="n">
        <v>-0.0099629473155835</v>
      </c>
      <c r="K80" t="n">
        <v>0.021685049739002</v>
      </c>
      <c r="L80" t="n">
        <v>-0.42272539772133</v>
      </c>
      <c r="M80" t="n">
        <v>-0.42741898880133</v>
      </c>
      <c r="N80" t="n">
        <v>662.39556678705</v>
      </c>
      <c r="O80" t="n">
        <v>743.52240800602</v>
      </c>
    </row>
    <row r="81">
      <c r="A81" t="n">
        <v>7.4086388495975</v>
      </c>
      <c r="B81" t="n">
        <v>0.020972727420241</v>
      </c>
      <c r="C81" t="n">
        <v>92.698885067519</v>
      </c>
      <c r="D81" t="n">
        <v>0.023190613757274</v>
      </c>
      <c r="E81" t="n">
        <v>-6.2268497281836</v>
      </c>
      <c r="F81" t="n">
        <v>-2.1260915434339</v>
      </c>
      <c r="G81" t="n">
        <v>33455555.783189</v>
      </c>
      <c r="H81" t="n">
        <v>6993389.7138047</v>
      </c>
      <c r="I81" t="n">
        <v>-0.010535907822936</v>
      </c>
      <c r="J81" t="n">
        <v>-0.01010536090123</v>
      </c>
      <c r="K81" t="n">
        <v>0.021978463374312</v>
      </c>
      <c r="L81" t="n">
        <v>-0.42992265489216</v>
      </c>
      <c r="M81" t="n">
        <v>-0.43461629701984</v>
      </c>
      <c r="N81" t="n">
        <v>663.4337759838101</v>
      </c>
      <c r="O81" t="n">
        <v>744.81974797731</v>
      </c>
    </row>
    <row r="82">
      <c r="A82" t="n">
        <v>7.5086388495975</v>
      </c>
      <c r="B82" t="n">
        <v>0.021285020679623</v>
      </c>
      <c r="C82" t="n">
        <v>92.69880954246401</v>
      </c>
      <c r="D82" t="n">
        <v>0.02350725979473</v>
      </c>
      <c r="E82" t="n">
        <v>-6.2272732798469</v>
      </c>
      <c r="F82" t="n">
        <v>-2.1373682193548</v>
      </c>
      <c r="G82" t="n">
        <v>33755879.119127</v>
      </c>
      <c r="H82" t="n">
        <v>7044410.4895262</v>
      </c>
      <c r="I82" t="n">
        <v>-0.010684937826074</v>
      </c>
      <c r="J82" t="n">
        <v>-0.010247722212163</v>
      </c>
      <c r="K82" t="n">
        <v>0.022271789587206</v>
      </c>
      <c r="L82" t="n">
        <v>-0.43714232663922</v>
      </c>
      <c r="M82" t="n">
        <v>-0.44183691707529</v>
      </c>
      <c r="N82" t="n">
        <v>664.46796698959</v>
      </c>
      <c r="O82" t="n">
        <v>746.11000896644</v>
      </c>
    </row>
    <row r="83">
      <c r="A83" t="n">
        <v>7.6086388495975</v>
      </c>
      <c r="B83" t="n">
        <v>0.021597274152939</v>
      </c>
      <c r="C83" t="n">
        <v>92.698734986779</v>
      </c>
      <c r="D83" t="n">
        <v>0.023823863792304</v>
      </c>
      <c r="E83" t="n">
        <v>-6.2453468053632</v>
      </c>
      <c r="F83" t="n">
        <v>-2.1419749127823</v>
      </c>
      <c r="G83" t="n">
        <v>34056994.831686</v>
      </c>
      <c r="H83" t="n">
        <v>7095552.6162838</v>
      </c>
      <c r="I83" t="n">
        <v>-0.010833940627941</v>
      </c>
      <c r="J83" t="n">
        <v>-0.010390031292003</v>
      </c>
      <c r="K83" t="n">
        <v>0.022565028430783</v>
      </c>
      <c r="L83" t="n">
        <v>-0.44438153392888</v>
      </c>
      <c r="M83" t="n">
        <v>-0.44907454238108</v>
      </c>
      <c r="N83" t="n">
        <v>665.49830168069</v>
      </c>
      <c r="O83" t="n">
        <v>747.3934636113</v>
      </c>
    </row>
    <row r="84">
      <c r="A84" t="n">
        <v>7.7086388495975</v>
      </c>
      <c r="B84" t="n">
        <v>0.021909488708259</v>
      </c>
      <c r="C84" t="n">
        <v>92.698657247474</v>
      </c>
      <c r="D84" t="n">
        <v>0.024140426522109</v>
      </c>
      <c r="E84" t="n">
        <v>-6.2787266105557</v>
      </c>
      <c r="F84" t="n">
        <v>-2.1642403728896</v>
      </c>
      <c r="G84" t="n">
        <v>34358897.314079</v>
      </c>
      <c r="H84" t="n">
        <v>7146815.1423326</v>
      </c>
      <c r="I84" t="n">
        <v>-0.010982915737814</v>
      </c>
      <c r="J84" t="n">
        <v>-0.010532288620439</v>
      </c>
      <c r="K84" t="n">
        <v>0.022858179957053</v>
      </c>
      <c r="L84" t="n">
        <v>-0.45164093440551</v>
      </c>
      <c r="M84" t="n">
        <v>-0.45633348837883</v>
      </c>
      <c r="N84" t="n">
        <v>666.52482207985</v>
      </c>
      <c r="O84" t="n">
        <v>748.6702608686001</v>
      </c>
    </row>
    <row r="85">
      <c r="A85" t="n">
        <v>7.8086388495975</v>
      </c>
      <c r="B85" t="n">
        <v>0.022221664591335</v>
      </c>
      <c r="C85" t="n">
        <v>92.698577884077</v>
      </c>
      <c r="D85" t="n">
        <v>0.024456948569703</v>
      </c>
      <c r="E85" t="n">
        <v>-6.268160365586</v>
      </c>
      <c r="F85" t="n">
        <v>-2.1755201469316</v>
      </c>
      <c r="G85" t="n">
        <v>34661580.720789</v>
      </c>
      <c r="H85" t="n">
        <v>7198197.0766693</v>
      </c>
      <c r="I85" t="n">
        <v>-0.011131862696177</v>
      </c>
      <c r="J85" t="n">
        <v>-0.010674494424299</v>
      </c>
      <c r="K85" t="n">
        <v>0.023151244220064</v>
      </c>
      <c r="L85" t="n">
        <v>-0.45892031575918</v>
      </c>
      <c r="M85" t="n">
        <v>-0.46361302302002</v>
      </c>
      <c r="N85" t="n">
        <v>667.54767373493</v>
      </c>
      <c r="O85" t="n">
        <v>749.94065583494</v>
      </c>
    </row>
    <row r="86">
      <c r="A86" t="n">
        <v>7.9086388495975</v>
      </c>
      <c r="B86" t="n">
        <v>0.022533802546639</v>
      </c>
      <c r="C86" t="n">
        <v>92.698497337061</v>
      </c>
      <c r="D86" t="n">
        <v>0.024773430706482</v>
      </c>
      <c r="E86" t="n">
        <v>-6.3015387171044</v>
      </c>
      <c r="F86" t="n">
        <v>-2.1758141874946</v>
      </c>
      <c r="G86" t="n">
        <v>34965039.750986</v>
      </c>
      <c r="H86" t="n">
        <v>7249697.5213276</v>
      </c>
      <c r="I86" t="n">
        <v>-0.011280780900937</v>
      </c>
      <c r="J86" t="n">
        <v>-0.010816649277021</v>
      </c>
      <c r="K86" t="n">
        <v>0.02344422127238</v>
      </c>
      <c r="L86" t="n">
        <v>-0.46622012641676</v>
      </c>
      <c r="M86" t="n">
        <v>-0.47091240886939</v>
      </c>
      <c r="N86" t="n">
        <v>668.5668970814</v>
      </c>
      <c r="O86" t="n">
        <v>751.20476846611</v>
      </c>
    </row>
    <row r="87">
      <c r="A87" t="n">
        <v>8.008638849597499</v>
      </c>
      <c r="B87" t="n">
        <v>0.0228459033566</v>
      </c>
      <c r="C87" t="n">
        <v>92.69841576790699</v>
      </c>
      <c r="D87" t="n">
        <v>0.025089873626066</v>
      </c>
      <c r="E87" t="n">
        <v>-6.3129437379625</v>
      </c>
      <c r="F87" t="n">
        <v>-2.1870951351115</v>
      </c>
      <c r="G87" t="n">
        <v>35269269.153287</v>
      </c>
      <c r="H87" t="n">
        <v>7301315.5869402</v>
      </c>
      <c r="I87" t="n">
        <v>-0.011429669839247</v>
      </c>
      <c r="J87" t="n">
        <v>-0.010958753661546</v>
      </c>
      <c r="K87" t="n">
        <v>0.023737111164217</v>
      </c>
      <c r="L87" t="n">
        <v>-0.47354000581553</v>
      </c>
      <c r="M87" t="n">
        <v>-0.47823242761884</v>
      </c>
      <c r="N87" t="n">
        <v>669.5825328314399</v>
      </c>
      <c r="O87" t="n">
        <v>752.4627264114901</v>
      </c>
    </row>
    <row r="88">
      <c r="A88" t="n">
        <v>8.108638849597501</v>
      </c>
      <c r="B88" t="n">
        <v>0.023157967825686</v>
      </c>
      <c r="C88" t="n">
        <v>92.69833319702801</v>
      </c>
      <c r="D88" t="n">
        <v>0.025406277960644</v>
      </c>
      <c r="E88" t="n">
        <v>-6.2804027556226</v>
      </c>
      <c r="F88" t="n">
        <v>-2.1873902637059</v>
      </c>
      <c r="G88" t="n">
        <v>35574263.980214</v>
      </c>
      <c r="H88" t="n">
        <v>7353050.4370343</v>
      </c>
      <c r="I88" t="n">
        <v>-0.011578529039219</v>
      </c>
      <c r="J88" t="n">
        <v>-0.01110080807128</v>
      </c>
      <c r="K88" t="n">
        <v>0.024029913949162</v>
      </c>
      <c r="L88" t="n">
        <v>-0.48087796840404</v>
      </c>
      <c r="M88" t="n">
        <v>-0.48556863600668</v>
      </c>
      <c r="N88" t="n">
        <v>670.59458971068</v>
      </c>
      <c r="O88" t="n">
        <v>753.71462042197</v>
      </c>
    </row>
    <row r="89">
      <c r="A89" t="n">
        <v>8.2086388495975</v>
      </c>
      <c r="B89" t="n">
        <v>0.023469996154724</v>
      </c>
      <c r="C89" t="n">
        <v>92.698249820923</v>
      </c>
      <c r="D89" t="n">
        <v>0.025722644266613</v>
      </c>
      <c r="E89" t="n">
        <v>-6.2808200817375</v>
      </c>
      <c r="F89" t="n">
        <v>-2.1876858721298</v>
      </c>
      <c r="G89" t="n">
        <v>35880018.648177</v>
      </c>
      <c r="H89" t="n">
        <v>7404901.1269272</v>
      </c>
      <c r="I89" t="n">
        <v>-0.011727357913408</v>
      </c>
      <c r="J89" t="n">
        <v>-0.01124281288949</v>
      </c>
      <c r="K89" t="n">
        <v>0.024322629680706</v>
      </c>
      <c r="L89" t="n">
        <v>-0.48823649926026</v>
      </c>
      <c r="M89" t="n">
        <v>-0.4929271958208</v>
      </c>
      <c r="N89" t="n">
        <v>671.60320546055</v>
      </c>
      <c r="O89" t="n">
        <v>754.96066540113</v>
      </c>
    </row>
    <row r="90">
      <c r="A90" t="n">
        <v>8.3086388495975</v>
      </c>
      <c r="B90" t="n">
        <v>0.023781989049751</v>
      </c>
      <c r="C90" t="n">
        <v>92.698163074001</v>
      </c>
      <c r="D90" t="n">
        <v>0.026038973213583</v>
      </c>
      <c r="E90" t="n">
        <v>-6.3032093897259</v>
      </c>
      <c r="F90" t="n">
        <v>-2.1879818797123</v>
      </c>
      <c r="G90" t="n">
        <v>36186528.066582</v>
      </c>
      <c r="H90" t="n">
        <v>7456866.7947994</v>
      </c>
      <c r="I90" t="n">
        <v>-0.011876156210747</v>
      </c>
      <c r="J90" t="n">
        <v>-0.01138476834729</v>
      </c>
      <c r="K90" t="n">
        <v>0.024615258412885</v>
      </c>
      <c r="L90" t="n">
        <v>-0.49561077785776</v>
      </c>
      <c r="M90" t="n">
        <v>-0.50030031884048</v>
      </c>
      <c r="N90" t="n">
        <v>672.6084050345401</v>
      </c>
      <c r="O90" t="n">
        <v>756.20096912972</v>
      </c>
    </row>
    <row r="91">
      <c r="A91" t="n">
        <v>8.4086388495975</v>
      </c>
      <c r="B91" t="n">
        <v>0.024093946432976</v>
      </c>
      <c r="C91" t="n">
        <v>92.698070244112</v>
      </c>
      <c r="D91" t="n">
        <v>0.026355265245615</v>
      </c>
      <c r="E91" t="n">
        <v>-6.3075844803913</v>
      </c>
      <c r="F91" t="n">
        <v>-2.1922287281621</v>
      </c>
      <c r="G91" t="n">
        <v>36493786.675014</v>
      </c>
      <c r="H91" t="n">
        <v>7508946.4997909</v>
      </c>
      <c r="I91" t="n">
        <v>-0.01202492369664</v>
      </c>
      <c r="J91" t="n">
        <v>-0.011526674498777</v>
      </c>
      <c r="K91" t="n">
        <v>0.024907800200022</v>
      </c>
      <c r="L91" t="n">
        <v>-0.50300536045808</v>
      </c>
      <c r="M91" t="n">
        <v>-0.50769513257748</v>
      </c>
      <c r="N91" t="n">
        <v>673.61032088355</v>
      </c>
      <c r="O91" t="n">
        <v>757.43573745155</v>
      </c>
    </row>
    <row r="92">
      <c r="A92" t="n">
        <v>8.508638849597499</v>
      </c>
      <c r="B92" t="n">
        <v>0.024405869447973</v>
      </c>
      <c r="C92" t="n">
        <v>92.697980579508</v>
      </c>
      <c r="D92" t="n">
        <v>0.026671521016128</v>
      </c>
      <c r="E92" t="n">
        <v>-6.3409584541224</v>
      </c>
      <c r="F92" t="n">
        <v>-2.1925250165176</v>
      </c>
      <c r="G92" t="n">
        <v>36801790.056296</v>
      </c>
      <c r="H92" t="n">
        <v>7561139.4967151</v>
      </c>
      <c r="I92" t="n">
        <v>-0.012173660336694</v>
      </c>
      <c r="J92" t="n">
        <v>-0.011668531555171</v>
      </c>
      <c r="K92" t="n">
        <v>0.025200255092101</v>
      </c>
      <c r="L92" t="n">
        <v>-0.5104190229298</v>
      </c>
      <c r="M92" t="n">
        <v>-0.51510844105155</v>
      </c>
      <c r="N92" t="n">
        <v>674.6088854541</v>
      </c>
      <c r="O92" t="n">
        <v>758.66497641715</v>
      </c>
    </row>
    <row r="93">
      <c r="A93" t="n">
        <v>8.608638849597501</v>
      </c>
      <c r="B93" t="n">
        <v>0.024717758085661</v>
      </c>
      <c r="C93" t="n">
        <v>92.697891212716</v>
      </c>
      <c r="D93" t="n">
        <v>0.026987741042211</v>
      </c>
      <c r="E93" t="n">
        <v>-6.3633454926035</v>
      </c>
      <c r="F93" t="n">
        <v>-2.203807881424</v>
      </c>
      <c r="G93" t="n">
        <v>37110532.794174</v>
      </c>
      <c r="H93" t="n">
        <v>7613444.8691495</v>
      </c>
      <c r="I93" t="n">
        <v>-0.012322365886687</v>
      </c>
      <c r="J93" t="n">
        <v>-0.011810339576183</v>
      </c>
      <c r="K93" t="n">
        <v>0.02549262314435</v>
      </c>
      <c r="L93" t="n">
        <v>-0.51785072551008</v>
      </c>
      <c r="M93" t="n">
        <v>-0.52254273946172</v>
      </c>
      <c r="N93" t="n">
        <v>675.60422224502</v>
      </c>
      <c r="O93" t="n">
        <v>759.8888720938101</v>
      </c>
    </row>
    <row r="94">
      <c r="A94" t="n">
        <v>8.7086388495975</v>
      </c>
      <c r="B94" t="n">
        <v>0.025029613299765</v>
      </c>
      <c r="C94" t="n">
        <v>92.69779104696001</v>
      </c>
      <c r="D94" t="n">
        <v>0.027303925858715</v>
      </c>
      <c r="E94" t="n">
        <v>-6.3899754823028</v>
      </c>
      <c r="F94" t="n">
        <v>-2.2083425960088</v>
      </c>
      <c r="G94" t="n">
        <v>37420010.305602</v>
      </c>
      <c r="H94" t="n">
        <v>7665861.8443443</v>
      </c>
      <c r="I94" t="n">
        <v>-0.012471040294871</v>
      </c>
      <c r="J94" t="n">
        <v>-0.011952098713143</v>
      </c>
      <c r="K94" t="n">
        <v>0.025784904407589</v>
      </c>
      <c r="L94" t="n">
        <v>-0.5253005744098</v>
      </c>
      <c r="M94" t="n">
        <v>-0.52999211639251</v>
      </c>
      <c r="N94" t="n">
        <v>676.59629829177</v>
      </c>
      <c r="O94" t="n">
        <v>761.10745321119</v>
      </c>
    </row>
    <row r="95">
      <c r="A95" t="n">
        <v>8.8086388495975</v>
      </c>
      <c r="B95" t="n">
        <v>0.025341434789372</v>
      </c>
      <c r="C95" t="n">
        <v>92.697704524578</v>
      </c>
      <c r="D95" t="n">
        <v>0.027620075732139</v>
      </c>
      <c r="E95" t="n">
        <v>-6.3861338094668</v>
      </c>
      <c r="F95" t="n">
        <v>-2.2128921277151</v>
      </c>
      <c r="G95" t="n">
        <v>37730216.87647</v>
      </c>
      <c r="H95" t="n">
        <v>7718389.4576811</v>
      </c>
      <c r="I95" t="n">
        <v>-0.012619683006092</v>
      </c>
      <c r="J95" t="n">
        <v>-0.012093809142599</v>
      </c>
      <c r="K95" t="n">
        <v>0.026077098933696</v>
      </c>
      <c r="L95" t="n">
        <v>-0.53276403377638</v>
      </c>
      <c r="M95" t="n">
        <v>-0.53745811243092</v>
      </c>
      <c r="N95" t="n">
        <v>677.58532920382</v>
      </c>
      <c r="O95" t="n">
        <v>762.32101947323</v>
      </c>
    </row>
    <row r="96">
      <c r="A96" t="n">
        <v>8.9086388495975</v>
      </c>
      <c r="B96" t="n">
        <v>0.025653223441035</v>
      </c>
      <c r="C96" t="n">
        <v>92.697614350883</v>
      </c>
      <c r="D96" t="n">
        <v>0.027936191268577</v>
      </c>
      <c r="E96" t="n">
        <v>-6.4195064553239</v>
      </c>
      <c r="F96" t="n">
        <v>-2.2131917555139</v>
      </c>
      <c r="G96" t="n">
        <v>38041148.102393</v>
      </c>
      <c r="H96" t="n">
        <v>7771026.9658391</v>
      </c>
      <c r="I96" t="n">
        <v>-0.012768293809296</v>
      </c>
      <c r="J96" t="n">
        <v>-0.012235471303355</v>
      </c>
      <c r="K96" t="n">
        <v>0.026369206773984</v>
      </c>
      <c r="L96" t="n">
        <v>-0.5402491655409</v>
      </c>
      <c r="M96" t="n">
        <v>-0.54494416456719</v>
      </c>
      <c r="N96" t="n">
        <v>678.57124088947</v>
      </c>
      <c r="O96" t="n">
        <v>763.52956777314</v>
      </c>
    </row>
    <row r="97">
      <c r="A97" t="n">
        <v>9.008638849597499</v>
      </c>
      <c r="B97" t="n">
        <v>0.025964979836043</v>
      </c>
      <c r="C97" t="n">
        <v>92.697523480378</v>
      </c>
      <c r="D97" t="n">
        <v>0.028252273036915</v>
      </c>
      <c r="E97" t="n">
        <v>-6.4199196078147</v>
      </c>
      <c r="F97" t="n">
        <v>-2.2134914678947</v>
      </c>
      <c r="G97" t="n">
        <v>38352799.110371</v>
      </c>
      <c r="H97" t="n">
        <v>7823773.5460821</v>
      </c>
      <c r="I97" t="n">
        <v>-0.012916872303449</v>
      </c>
      <c r="J97" t="n">
        <v>-0.01237708556076</v>
      </c>
      <c r="K97" t="n">
        <v>0.026661227983094</v>
      </c>
      <c r="L97" t="n">
        <v>-0.5477501225844</v>
      </c>
      <c r="M97" t="n">
        <v>-0.55244704580771</v>
      </c>
      <c r="N97" t="n">
        <v>679.55406849095</v>
      </c>
      <c r="O97" t="n">
        <v>764.73319700477</v>
      </c>
    </row>
    <row r="98">
      <c r="A98" t="n">
        <v>9.108638849597501</v>
      </c>
      <c r="B98" t="n">
        <v>0.026276704437256</v>
      </c>
      <c r="C98" t="n">
        <v>92.69743219433801</v>
      </c>
      <c r="D98" t="n">
        <v>0.02856832142713</v>
      </c>
      <c r="E98" t="n">
        <v>-6.4532912591737</v>
      </c>
      <c r="F98" t="n">
        <v>-2.213791270045</v>
      </c>
      <c r="G98" t="n">
        <v>38665164.882748</v>
      </c>
      <c r="H98" t="n">
        <v>7876628.353856</v>
      </c>
      <c r="I98" t="n">
        <v>-0.013065418060569</v>
      </c>
      <c r="J98" t="n">
        <v>-0.012518652216486</v>
      </c>
      <c r="K98" t="n">
        <v>0.026953162613675</v>
      </c>
      <c r="L98" t="n">
        <v>-0.55526724182057</v>
      </c>
      <c r="M98" t="n">
        <v>-0.55996783162455</v>
      </c>
      <c r="N98" t="n">
        <v>680.5339027264801</v>
      </c>
      <c r="O98" t="n">
        <v>765.9320767783699</v>
      </c>
    </row>
    <row r="99">
      <c r="A99" t="n">
        <v>9.2086388495975</v>
      </c>
      <c r="B99" t="n">
        <v>0.026588397583892</v>
      </c>
      <c r="C99" t="n">
        <v>92.69734048460001</v>
      </c>
      <c r="D99" t="n">
        <v>0.028884336932131</v>
      </c>
      <c r="E99" t="n">
        <v>-6.4427171161449</v>
      </c>
      <c r="F99" t="n">
        <v>-2.2250775054419</v>
      </c>
      <c r="G99" t="n">
        <v>38978240.356526</v>
      </c>
      <c r="H99" t="n">
        <v>7929590.5344108</v>
      </c>
      <c r="I99" t="n">
        <v>-0.013213930688249</v>
      </c>
      <c r="J99" t="n">
        <v>-0.012660171612145</v>
      </c>
      <c r="K99" t="n">
        <v>0.027245010718429</v>
      </c>
      <c r="L99" t="n">
        <v>-0.56280286006919</v>
      </c>
      <c r="M99" t="n">
        <v>-0.56750461401647</v>
      </c>
      <c r="N99" t="n">
        <v>681.51079882805</v>
      </c>
      <c r="O99" t="n">
        <v>767.12632473754</v>
      </c>
    </row>
    <row r="100">
      <c r="A100" t="n">
        <v>9.3086388495975</v>
      </c>
      <c r="B100" t="n">
        <v>0.026900060476179</v>
      </c>
      <c r="C100" t="n">
        <v>92.697248385522</v>
      </c>
      <c r="D100" t="n">
        <v>0.029200320130143</v>
      </c>
      <c r="E100" t="n">
        <v>-6.4541151438467</v>
      </c>
      <c r="F100" t="n">
        <v>-2.2253775360966</v>
      </c>
      <c r="G100" t="n">
        <v>39292021.696431</v>
      </c>
      <c r="H100" t="n">
        <v>7982659.4446652</v>
      </c>
      <c r="I100" t="n">
        <v>-0.013362409895774</v>
      </c>
      <c r="J100" t="n">
        <v>-0.012801644316815</v>
      </c>
      <c r="K100" t="n">
        <v>0.027536772349384</v>
      </c>
      <c r="L100" t="n">
        <v>-0.57035497769225</v>
      </c>
      <c r="M100" t="n">
        <v>-0.57506018039228</v>
      </c>
      <c r="N100" t="n">
        <v>682.48464072378</v>
      </c>
      <c r="O100" t="n">
        <v>768.31588173337</v>
      </c>
    </row>
    <row r="101">
      <c r="A101" t="n">
        <v>9.4086388495975</v>
      </c>
      <c r="B101" t="n">
        <v>0.027211692460539</v>
      </c>
      <c r="C101" t="n">
        <v>92.697155867277</v>
      </c>
      <c r="D101" t="n">
        <v>0.029516271325662</v>
      </c>
      <c r="E101" t="n">
        <v>-6.4655127208008</v>
      </c>
      <c r="F101" t="n">
        <v>-2.2256776964696</v>
      </c>
      <c r="G101" t="n">
        <v>39606503.170993</v>
      </c>
      <c r="H101" t="n">
        <v>8035834.1185821</v>
      </c>
      <c r="I101" t="n">
        <v>-0.013510855216684</v>
      </c>
      <c r="J101" t="n">
        <v>-0.012943070342207</v>
      </c>
      <c r="K101" t="n">
        <v>0.027828447560878</v>
      </c>
      <c r="L101" t="n">
        <v>-0.57792204751916</v>
      </c>
      <c r="M101" t="n">
        <v>-0.58263016446484</v>
      </c>
      <c r="N101" t="n">
        <v>683.45568286888</v>
      </c>
      <c r="O101" t="n">
        <v>769.50104242911</v>
      </c>
    </row>
    <row r="102">
      <c r="A102" t="n">
        <v>9.5086388495974</v>
      </c>
      <c r="B102" t="n">
        <v>0.027523294320907</v>
      </c>
      <c r="C102" t="n">
        <v>92.697068657912</v>
      </c>
      <c r="D102" t="n">
        <v>0.029832191103421</v>
      </c>
      <c r="E102" t="n">
        <v>-6.465923473578</v>
      </c>
      <c r="F102" t="n">
        <v>-2.2259780608306</v>
      </c>
      <c r="G102" t="n">
        <v>39921680.202326</v>
      </c>
      <c r="H102" t="n">
        <v>8089113.7862219</v>
      </c>
      <c r="I102" t="n">
        <v>-0.013659266483006</v>
      </c>
      <c r="J102" t="n">
        <v>-0.013084449936824</v>
      </c>
      <c r="K102" t="n">
        <v>0.02812003640439</v>
      </c>
      <c r="L102" t="n">
        <v>-0.58550881862586</v>
      </c>
      <c r="M102" t="n">
        <v>-0.59022166903579</v>
      </c>
      <c r="N102" t="n">
        <v>684.42392246104</v>
      </c>
      <c r="O102" t="n">
        <v>770.68186618226</v>
      </c>
    </row>
    <row r="103">
      <c r="A103" t="n">
        <v>9.6086388495974</v>
      </c>
      <c r="B103" t="n">
        <v>0.027834866732758</v>
      </c>
      <c r="C103" t="n">
        <v>92.696981182549</v>
      </c>
      <c r="D103" t="n">
        <v>0.030148080052485</v>
      </c>
      <c r="E103" t="n">
        <v>-6.4949697975454</v>
      </c>
      <c r="F103" t="n">
        <v>-2.2196044050854</v>
      </c>
      <c r="G103" t="n">
        <v>40237548.073841</v>
      </c>
      <c r="H103" t="n">
        <v>8142497.6525876</v>
      </c>
      <c r="I103" t="n">
        <v>-0.013807643134623</v>
      </c>
      <c r="J103" t="n">
        <v>-0.013225783650461</v>
      </c>
      <c r="K103" t="n">
        <v>0.028411538930814</v>
      </c>
      <c r="L103" t="n">
        <v>-0.59311421371479</v>
      </c>
      <c r="M103" t="n">
        <v>-0.59782930647804</v>
      </c>
      <c r="N103" t="n">
        <v>685.38938507745</v>
      </c>
      <c r="O103" t="n">
        <v>771.85843883851</v>
      </c>
    </row>
    <row r="104">
      <c r="A104" t="n">
        <v>9.708638849597399</v>
      </c>
      <c r="B104" t="n">
        <v>0.028146410845036</v>
      </c>
      <c r="C104" t="n">
        <v>92.69688350115599</v>
      </c>
      <c r="D104" t="n">
        <v>0.030463938769922</v>
      </c>
      <c r="E104" t="n">
        <v>-6.4943269160811</v>
      </c>
      <c r="F104" t="n">
        <v>-2.2188864940944</v>
      </c>
      <c r="G104" t="n">
        <v>40554102.499368</v>
      </c>
      <c r="H104" t="n">
        <v>8195984.9970639</v>
      </c>
      <c r="I104" t="n">
        <v>-0.013955984947856</v>
      </c>
      <c r="J104" t="n">
        <v>-0.013367071847705</v>
      </c>
      <c r="K104" t="n">
        <v>0.028702955191487</v>
      </c>
      <c r="L104" t="n">
        <v>-0.60073046835535</v>
      </c>
      <c r="M104" t="n">
        <v>-0.60544803021368</v>
      </c>
      <c r="N104" t="n">
        <v>686.35201051242</v>
      </c>
      <c r="O104" t="n">
        <v>773.03077075824</v>
      </c>
    </row>
    <row r="105">
      <c r="A105" t="n">
        <v>9.808638849597401</v>
      </c>
      <c r="B105" t="n">
        <v>0.028457926915516</v>
      </c>
      <c r="C105" t="n">
        <v>92.696785184841</v>
      </c>
      <c r="D105" t="n">
        <v>0.030779767852961</v>
      </c>
      <c r="E105" t="n">
        <v>-6.4905792596129</v>
      </c>
      <c r="F105" t="n">
        <v>-2.2343219181634</v>
      </c>
      <c r="G105" t="n">
        <v>40871338.707246</v>
      </c>
      <c r="H105" t="n">
        <v>8249575.0180215</v>
      </c>
      <c r="I105" t="n">
        <v>-0.014104291731974</v>
      </c>
      <c r="J105" t="n">
        <v>-0.013508314721653</v>
      </c>
      <c r="K105" t="n">
        <v>0.028994285239036</v>
      </c>
      <c r="L105" t="n">
        <v>-0.60836852883466</v>
      </c>
      <c r="M105" t="n">
        <v>-0.61308827148525</v>
      </c>
      <c r="N105" t="n">
        <v>687.31184916398</v>
      </c>
      <c r="O105" t="n">
        <v>774.19896309147</v>
      </c>
    </row>
    <row r="106">
      <c r="A106" t="n">
        <v>9.9086388495974</v>
      </c>
      <c r="B106" t="n">
        <v>0.028769415442625</v>
      </c>
      <c r="C106" t="n">
        <v>92.69668838397899</v>
      </c>
      <c r="D106" t="n">
        <v>0.031095567762112</v>
      </c>
      <c r="E106" t="n">
        <v>-6.5239432462631</v>
      </c>
      <c r="F106" t="n">
        <v>-2.2346223169865</v>
      </c>
      <c r="G106" t="n">
        <v>41189251.941916</v>
      </c>
      <c r="H106" t="n">
        <v>8303266.9174615</v>
      </c>
      <c r="I106" t="n">
        <v>-0.014252563124427</v>
      </c>
      <c r="J106" t="n">
        <v>-0.013649512478682</v>
      </c>
      <c r="K106" t="n">
        <v>0.02928552912514</v>
      </c>
      <c r="L106" t="n">
        <v>-0.6160230934374</v>
      </c>
      <c r="M106" t="n">
        <v>-0.6207456185683</v>
      </c>
      <c r="N106" t="n">
        <v>688.2689989734801</v>
      </c>
      <c r="O106" t="n">
        <v>775.3631734977999</v>
      </c>
    </row>
    <row r="107">
      <c r="A107" t="n">
        <v>10.008638849597</v>
      </c>
      <c r="B107" t="n">
        <v>0.029080876423603</v>
      </c>
      <c r="C107" t="n">
        <v>92.696591733869</v>
      </c>
      <c r="D107" t="n">
        <v>0.031411338969846</v>
      </c>
      <c r="E107" t="n">
        <v>-6.5353341157263</v>
      </c>
      <c r="F107" t="n">
        <v>-2.2349230312944</v>
      </c>
      <c r="G107" t="n">
        <v>41507837.044554</v>
      </c>
      <c r="H107" t="n">
        <v>8357059.8276131</v>
      </c>
      <c r="I107" t="n">
        <v>-0.014400798736261</v>
      </c>
      <c r="J107" t="n">
        <v>-0.013790665284121</v>
      </c>
      <c r="K107" t="n">
        <v>0.029576686904508</v>
      </c>
      <c r="L107" t="n">
        <v>-0.62369270109351</v>
      </c>
      <c r="M107" t="n">
        <v>-0.62841631186308</v>
      </c>
      <c r="N107" t="n">
        <v>689.22359914301</v>
      </c>
      <c r="O107" t="n">
        <v>776.5235986972</v>
      </c>
    </row>
    <row r="108">
      <c r="A108" t="n">
        <v>10.108638849597</v>
      </c>
      <c r="B108" t="n">
        <v>0.029392311225645</v>
      </c>
      <c r="C108" t="n">
        <v>92.696494933593</v>
      </c>
      <c r="D108" t="n">
        <v>0.03172708209915</v>
      </c>
      <c r="E108" t="n">
        <v>-6.568697181334</v>
      </c>
      <c r="F108" t="n">
        <v>-2.2352240314862</v>
      </c>
      <c r="G108" t="n">
        <v>41827090.58598</v>
      </c>
      <c r="H108" t="n">
        <v>8410953.177014699</v>
      </c>
      <c r="I108" t="n">
        <v>-0.014548998547451</v>
      </c>
      <c r="J108" t="n">
        <v>-0.013931773511064</v>
      </c>
      <c r="K108" t="n">
        <v>0.029867758622969</v>
      </c>
      <c r="L108" t="n">
        <v>-0.63137759358056</v>
      </c>
      <c r="M108" t="n">
        <v>-0.63610297666795</v>
      </c>
      <c r="N108" t="n">
        <v>690.1754961939801</v>
      </c>
      <c r="O108" t="n">
        <v>777.6801322733</v>
      </c>
    </row>
    <row r="109">
      <c r="A109" t="n">
        <v>10.208638849597</v>
      </c>
      <c r="B109" t="n">
        <v>0.029703719786308</v>
      </c>
      <c r="C109" t="n">
        <v>92.696397820193</v>
      </c>
      <c r="D109" t="n">
        <v>0.032042797567774</v>
      </c>
      <c r="E109" t="n">
        <v>-6.5800871512231</v>
      </c>
      <c r="F109" t="n">
        <v>-2.2355253325522</v>
      </c>
      <c r="G109" t="n">
        <v>42147007.634206</v>
      </c>
      <c r="H109" t="n">
        <v>8464946.137806199</v>
      </c>
      <c r="I109" t="n">
        <v>-0.014697162261821</v>
      </c>
      <c r="J109" t="n">
        <v>-0.014072837241318</v>
      </c>
      <c r="K109" t="n">
        <v>0.03015874433292</v>
      </c>
      <c r="L109" t="n">
        <v>-0.63908217187804</v>
      </c>
      <c r="M109" t="n">
        <v>-0.64380994761294</v>
      </c>
      <c r="N109" t="n">
        <v>691.12483409181</v>
      </c>
      <c r="O109" t="n">
        <v>778.83295502499</v>
      </c>
    </row>
    <row r="110">
      <c r="A110" t="n">
        <v>10.308638849597</v>
      </c>
      <c r="B110" t="n">
        <v>0.030015102530019</v>
      </c>
      <c r="C110" t="n">
        <v>92.696300323656</v>
      </c>
      <c r="D110" t="n">
        <v>0.032358485831963</v>
      </c>
      <c r="E110" t="n">
        <v>-6.6134493271359</v>
      </c>
      <c r="F110" t="n">
        <v>-2.235826941737</v>
      </c>
      <c r="G110" t="n">
        <v>42467583.707808</v>
      </c>
      <c r="H110" t="n">
        <v>8519037.958456701</v>
      </c>
      <c r="I110" t="n">
        <v>-0.014845289623262</v>
      </c>
      <c r="J110" t="n">
        <v>-0.014213856685395</v>
      </c>
      <c r="K110" t="n">
        <v>0.030449644083384</v>
      </c>
      <c r="L110" t="n">
        <v>-0.64680299995167</v>
      </c>
      <c r="M110" t="n">
        <v>-0.65153050996437</v>
      </c>
      <c r="N110" t="n">
        <v>692.07165188657</v>
      </c>
      <c r="O110" t="n">
        <v>779.98214664953</v>
      </c>
    </row>
    <row r="111">
      <c r="A111" t="n">
        <v>10.408638849597</v>
      </c>
      <c r="B111" t="n">
        <v>0.030326460400459</v>
      </c>
      <c r="C111" t="n">
        <v>92.696202403303</v>
      </c>
      <c r="D111" t="n">
        <v>0.032674147351463</v>
      </c>
      <c r="E111" t="n">
        <v>-6.6358246891871</v>
      </c>
      <c r="F111" t="n">
        <v>-2.2361288563422</v>
      </c>
      <c r="G111" t="n">
        <v>42788815.430642</v>
      </c>
      <c r="H111" t="n">
        <v>8573228.0785088</v>
      </c>
      <c r="I111" t="n">
        <v>-0.014993380679099</v>
      </c>
      <c r="J111" t="n">
        <v>-0.01435483205242</v>
      </c>
      <c r="K111" t="n">
        <v>0.030740457925219</v>
      </c>
      <c r="L111" t="n">
        <v>-0.65453971804972</v>
      </c>
      <c r="M111" t="n">
        <v>-0.6592672487259</v>
      </c>
      <c r="N111" t="n">
        <v>693.01584445778</v>
      </c>
      <c r="O111" t="n">
        <v>781.12762061168</v>
      </c>
    </row>
    <row r="112">
      <c r="A112" t="n">
        <v>10.508638849597</v>
      </c>
      <c r="B112" t="n">
        <v>0.030637793275585</v>
      </c>
      <c r="C112" t="n">
        <v>92.696104022331</v>
      </c>
      <c r="D112" t="n">
        <v>0.032989782408538</v>
      </c>
      <c r="E112" t="n">
        <v>-6.6911585578584</v>
      </c>
      <c r="F112" t="n">
        <v>-2.2364310803032</v>
      </c>
      <c r="G112" t="n">
        <v>43110697.967553</v>
      </c>
      <c r="H112" t="n">
        <v>8627515.688697699</v>
      </c>
      <c r="I112" t="n">
        <v>-0.015141435174081</v>
      </c>
      <c r="J112" t="n">
        <v>-0.014495763379713</v>
      </c>
      <c r="K112" t="n">
        <v>0.031031185908367</v>
      </c>
      <c r="L112" t="n">
        <v>-0.66229412197504</v>
      </c>
      <c r="M112" t="n">
        <v>-0.66702142458127</v>
      </c>
      <c r="N112" t="n">
        <v>693.9575508571399</v>
      </c>
      <c r="O112" t="n">
        <v>782.26954706438</v>
      </c>
    </row>
    <row r="113">
      <c r="A113" t="n">
        <v>10.608638849597</v>
      </c>
      <c r="B113" t="n">
        <v>0.030949101626088</v>
      </c>
      <c r="C113" t="n">
        <v>92.696008579546</v>
      </c>
      <c r="D113" t="n">
        <v>0.033305391424332</v>
      </c>
      <c r="E113" t="n">
        <v>-6.7025467314716</v>
      </c>
      <c r="F113" t="n">
        <v>-2.2367336359356</v>
      </c>
      <c r="G113" t="n">
        <v>43433227.235786</v>
      </c>
      <c r="H113" t="n">
        <v>8681900.1066451</v>
      </c>
      <c r="I113" t="n">
        <v>-0.015289452920181</v>
      </c>
      <c r="J113" t="n">
        <v>-0.01463665089423</v>
      </c>
      <c r="K113" t="n">
        <v>0.031321828083272</v>
      </c>
      <c r="L113" t="n">
        <v>-0.67006345391928</v>
      </c>
      <c r="M113" t="n">
        <v>-0.6747888297164299</v>
      </c>
      <c r="N113" t="n">
        <v>694.89676994622</v>
      </c>
      <c r="O113" t="n">
        <v>783.40795337089</v>
      </c>
    </row>
    <row r="114">
      <c r="A114" t="n">
        <v>10.708638849597</v>
      </c>
      <c r="B114" t="n">
        <v>0.031260385629928</v>
      </c>
      <c r="C114" t="n">
        <v>92.69591488153701</v>
      </c>
      <c r="D114" t="n">
        <v>0.033620974809277</v>
      </c>
      <c r="E114" t="n">
        <v>-6.6985746123105</v>
      </c>
      <c r="F114" t="n">
        <v>-2.2414045081517</v>
      </c>
      <c r="G114" t="n">
        <v>43756398.697538</v>
      </c>
      <c r="H114" t="n">
        <v>8736380.5733354</v>
      </c>
      <c r="I114" t="n">
        <v>-0.015437433803194</v>
      </c>
      <c r="J114" t="n">
        <v>-0.014777494609288</v>
      </c>
      <c r="K114" t="n">
        <v>0.031612384502392</v>
      </c>
      <c r="L114" t="n">
        <v>-0.67784845597211</v>
      </c>
      <c r="M114" t="n">
        <v>-0.68257386259622</v>
      </c>
      <c r="N114" t="n">
        <v>695.8335827791</v>
      </c>
      <c r="O114" t="n">
        <v>784.54295152004</v>
      </c>
    </row>
    <row r="115">
      <c r="A115" t="n">
        <v>10.808638849597</v>
      </c>
      <c r="B115" t="n">
        <v>0.031571646210897</v>
      </c>
      <c r="C115" t="n">
        <v>92.69581838406</v>
      </c>
      <c r="D115" t="n">
        <v>0.033936532908755</v>
      </c>
      <c r="E115" t="n">
        <v>-6.7429196950131</v>
      </c>
      <c r="F115" t="n">
        <v>-2.2417089091935</v>
      </c>
      <c r="G115" t="n">
        <v>44080208.826492</v>
      </c>
      <c r="H115" t="n">
        <v>8790956.5030021</v>
      </c>
      <c r="I115" t="n">
        <v>-0.015585377973941</v>
      </c>
      <c r="J115" t="n">
        <v>-0.014918294586859</v>
      </c>
      <c r="K115" t="n">
        <v>0.031902855214993</v>
      </c>
      <c r="L115" t="n">
        <v>-0.68565178342067</v>
      </c>
      <c r="M115" t="n">
        <v>-0.69037443829042</v>
      </c>
      <c r="N115" t="n">
        <v>696.76790696482</v>
      </c>
      <c r="O115" t="n">
        <v>785.67449414293</v>
      </c>
    </row>
    <row r="116">
      <c r="A116" t="n">
        <v>10.908638849597</v>
      </c>
      <c r="B116" t="n">
        <v>0.031882883232602</v>
      </c>
      <c r="C116" t="n">
        <v>92.695720708989</v>
      </c>
      <c r="D116" t="n">
        <v>0.034252066113088</v>
      </c>
      <c r="E116" t="n">
        <v>-6.7433190622805</v>
      </c>
      <c r="F116" t="n">
        <v>-2.2420135792555</v>
      </c>
      <c r="G116" t="n">
        <v>44404652.867516</v>
      </c>
      <c r="H116" t="n">
        <v>8845627.098575501</v>
      </c>
      <c r="I116" t="n">
        <v>-0.0157332852253</v>
      </c>
      <c r="J116" t="n">
        <v>-0.015059050823841</v>
      </c>
      <c r="K116" t="n">
        <v>0.032193240274274</v>
      </c>
      <c r="L116" t="n">
        <v>-0.69346931615317</v>
      </c>
      <c r="M116" t="n">
        <v>-0.69819137423101</v>
      </c>
      <c r="N116" t="n">
        <v>697.69987285273</v>
      </c>
      <c r="O116" t="n">
        <v>786.8027261938699</v>
      </c>
    </row>
    <row r="117">
      <c r="A117" t="n">
        <v>11.008638849597</v>
      </c>
      <c r="B117" t="n">
        <v>0.032194097201401</v>
      </c>
      <c r="C117" t="n">
        <v>92.69561895587699</v>
      </c>
      <c r="D117" t="n">
        <v>0.034567574774976</v>
      </c>
      <c r="E117" t="n">
        <v>-6.7437180077136</v>
      </c>
      <c r="F117" t="n">
        <v>-2.242318522539</v>
      </c>
      <c r="G117" t="n">
        <v>44729726.803416</v>
      </c>
      <c r="H117" t="n">
        <v>8900391.6905558</v>
      </c>
      <c r="I117" t="n">
        <v>-0.015881155692051</v>
      </c>
      <c r="J117" t="n">
        <v>-0.015199763247959</v>
      </c>
      <c r="K117" t="n">
        <v>0.032483539727095</v>
      </c>
      <c r="L117" t="n">
        <v>-0.70130496403803</v>
      </c>
      <c r="M117" t="n">
        <v>-0.70602301455854</v>
      </c>
      <c r="N117" t="n">
        <v>698.62947788065</v>
      </c>
      <c r="O117" t="n">
        <v>787.92768857752</v>
      </c>
    </row>
    <row r="118">
      <c r="A118" t="n">
        <v>11.108638849597</v>
      </c>
      <c r="B118" t="n">
        <v>0.032505288813698</v>
      </c>
      <c r="C118" t="n">
        <v>92.695511149252</v>
      </c>
      <c r="D118" t="n">
        <v>0.034883059403358</v>
      </c>
      <c r="E118" t="n">
        <v>-6.7649726751318</v>
      </c>
      <c r="F118" t="n">
        <v>-2.2415082909595</v>
      </c>
      <c r="G118" t="n">
        <v>45055427.075781</v>
      </c>
      <c r="H118" t="n">
        <v>8955249.688044</v>
      </c>
      <c r="I118" t="n">
        <v>-0.016028989444481</v>
      </c>
      <c r="J118" t="n">
        <v>-0.015340431922944</v>
      </c>
      <c r="K118" t="n">
        <v>0.032773753626705</v>
      </c>
      <c r="L118" t="n">
        <v>-0.70915477187753</v>
      </c>
      <c r="M118" t="n">
        <v>-0.71386977492302</v>
      </c>
      <c r="N118" t="n">
        <v>699.55667255606</v>
      </c>
      <c r="O118" t="n">
        <v>789.04934426651</v>
      </c>
    </row>
    <row r="119">
      <c r="A119" t="n">
        <v>11.208638849597</v>
      </c>
      <c r="B119" t="n">
        <v>0.032816457945826</v>
      </c>
      <c r="C119" t="n">
        <v>92.695406765013</v>
      </c>
      <c r="D119" t="n">
        <v>0.035198520242153</v>
      </c>
      <c r="E119" t="n">
        <v>-6.7653685421159</v>
      </c>
      <c r="F119" t="n">
        <v>-2.2527977113495</v>
      </c>
      <c r="G119" t="n">
        <v>45381749.008666</v>
      </c>
      <c r="H119" t="n">
        <v>9010200.309225099</v>
      </c>
      <c r="I119" t="n">
        <v>-0.016176786497483</v>
      </c>
      <c r="J119" t="n">
        <v>-0.015481056633691</v>
      </c>
      <c r="K119" t="n">
        <v>0.033063882022864</v>
      </c>
      <c r="L119" t="n">
        <v>-0.71702100423851</v>
      </c>
      <c r="M119" t="n">
        <v>-0.72173327050505</v>
      </c>
      <c r="N119" t="n">
        <v>700.48159112436</v>
      </c>
      <c r="O119" t="n">
        <v>790.16786019137</v>
      </c>
    </row>
    <row r="120">
      <c r="A120" t="n">
        <v>11.308638849597</v>
      </c>
      <c r="B120" t="n">
        <v>0.033127605497803</v>
      </c>
      <c r="C120" t="n">
        <v>92.69530279182401</v>
      </c>
      <c r="D120" t="n">
        <v>0.035513957783443</v>
      </c>
      <c r="E120" t="n">
        <v>-6.7657640385855</v>
      </c>
      <c r="F120" t="n">
        <v>-2.2531010777437</v>
      </c>
      <c r="G120" t="n">
        <v>45708689.232948</v>
      </c>
      <c r="H120" t="n">
        <v>9065242.995498201</v>
      </c>
      <c r="I120" t="n">
        <v>-0.016324546991272</v>
      </c>
      <c r="J120" t="n">
        <v>-0.015621637446896</v>
      </c>
      <c r="K120" t="n">
        <v>0.033353924965023</v>
      </c>
      <c r="L120" t="n">
        <v>-0.7249043498543</v>
      </c>
      <c r="M120" t="n">
        <v>-0.7296125723255</v>
      </c>
      <c r="N120" t="n">
        <v>701.40415168456</v>
      </c>
      <c r="O120" t="n">
        <v>791.28316729842</v>
      </c>
    </row>
    <row r="121">
      <c r="A121" t="n">
        <v>11.408638849597</v>
      </c>
      <c r="B121" t="n">
        <v>0.033438731896434</v>
      </c>
      <c r="C121" t="n">
        <v>92.695198815719</v>
      </c>
      <c r="D121" t="n">
        <v>0.035829372384398</v>
      </c>
      <c r="E121" t="n">
        <v>-6.7551728659855</v>
      </c>
      <c r="F121" t="n">
        <v>-2.2534047648663</v>
      </c>
      <c r="G121" t="n">
        <v>46036244.102868</v>
      </c>
      <c r="H121" t="n">
        <v>9120377.142895</v>
      </c>
      <c r="I121" t="n">
        <v>-0.01647227099701</v>
      </c>
      <c r="J121" t="n">
        <v>-0.015762174374719</v>
      </c>
      <c r="K121" t="n">
        <v>0.033643882506977</v>
      </c>
      <c r="L121" t="n">
        <v>-0.73280400284283</v>
      </c>
      <c r="M121" t="n">
        <v>-0.73750878269479</v>
      </c>
      <c r="N121" t="n">
        <v>702.32433855771</v>
      </c>
      <c r="O121" t="n">
        <v>792.39526456569</v>
      </c>
    </row>
    <row r="122">
      <c r="A122" t="n">
        <v>11.508638849597</v>
      </c>
      <c r="B122" t="n">
        <v>0.033749836508082</v>
      </c>
      <c r="C122" t="n">
        <v>92.695099770713</v>
      </c>
      <c r="D122" t="n">
        <v>0.036144764199245</v>
      </c>
      <c r="E122" t="n">
        <v>-6.7665539821777</v>
      </c>
      <c r="F122" t="n">
        <v>-2.2646951471939</v>
      </c>
      <c r="G122" t="n">
        <v>46364408.839264</v>
      </c>
      <c r="H122" t="n">
        <v>9175601.9545634</v>
      </c>
      <c r="I122" t="n">
        <v>-0.016619958542043</v>
      </c>
      <c r="J122" t="n">
        <v>-0.015902667016222</v>
      </c>
      <c r="K122" t="n">
        <v>0.033933754701517</v>
      </c>
      <c r="L122" t="n">
        <v>-0.74071680133635</v>
      </c>
      <c r="M122" t="n">
        <v>-0.7454174405687199</v>
      </c>
      <c r="N122" t="n">
        <v>703.24236042366</v>
      </c>
      <c r="O122" t="n">
        <v>793.50437268515</v>
      </c>
    </row>
    <row r="123">
      <c r="A123" t="n">
        <v>11.608638849597</v>
      </c>
      <c r="B123" t="n">
        <v>0.034060920177933</v>
      </c>
      <c r="C123" t="n">
        <v>92.694998693934</v>
      </c>
      <c r="D123" t="n">
        <v>0.036460133598393</v>
      </c>
      <c r="E123" t="n">
        <v>-6.7953506514856</v>
      </c>
      <c r="F123" t="n">
        <v>-2.2695460502294</v>
      </c>
      <c r="G123" t="n">
        <v>46693180.245662</v>
      </c>
      <c r="H123" t="n">
        <v>9230916.9024841</v>
      </c>
      <c r="I123" t="n">
        <v>-0.016767609717844</v>
      </c>
      <c r="J123" t="n">
        <v>-0.016043115539186</v>
      </c>
      <c r="K123" t="n">
        <v>0.034223541600264</v>
      </c>
      <c r="L123" t="n">
        <v>-0.74864923607958</v>
      </c>
      <c r="M123" t="n">
        <v>-0.7533445171979301</v>
      </c>
      <c r="N123" t="n">
        <v>704.15812353336</v>
      </c>
      <c r="O123" t="n">
        <v>794.61042525799</v>
      </c>
    </row>
    <row r="124">
      <c r="A124" t="n">
        <v>11.708638849597</v>
      </c>
      <c r="B124" t="n">
        <v>0.034371983465607</v>
      </c>
      <c r="C124" t="n">
        <v>92.69489360197799</v>
      </c>
      <c r="D124" t="n">
        <v>0.03677548089855</v>
      </c>
      <c r="E124" t="n">
        <v>-6.7999240338731</v>
      </c>
      <c r="F124" t="n">
        <v>-2.2630468972979</v>
      </c>
      <c r="G124" t="n">
        <v>47022554.963747</v>
      </c>
      <c r="H124" t="n">
        <v>9286321.4323336</v>
      </c>
      <c r="I124" t="n">
        <v>-0.016915224583168</v>
      </c>
      <c r="J124" t="n">
        <v>-0.016183519971284</v>
      </c>
      <c r="K124" t="n">
        <v>0.034513243253719</v>
      </c>
      <c r="L124" t="n">
        <v>-0.75659230916209</v>
      </c>
      <c r="M124" t="n">
        <v>-0.76128311239602</v>
      </c>
      <c r="N124" t="n">
        <v>705.07158780278</v>
      </c>
      <c r="O124" t="n">
        <v>795.71338982305</v>
      </c>
    </row>
    <row r="125">
      <c r="A125" t="n">
        <v>11.808638849597</v>
      </c>
      <c r="B125" t="n">
        <v>0.034683026040157</v>
      </c>
      <c r="C125" t="n">
        <v>92.69478935766099</v>
      </c>
      <c r="D125" t="n">
        <v>0.037090806343456</v>
      </c>
      <c r="E125" t="n">
        <v>-6.8071648347344</v>
      </c>
      <c r="F125" t="n">
        <v>-2.2674880735193</v>
      </c>
      <c r="G125" t="n">
        <v>47352528.531803</v>
      </c>
      <c r="H125" t="n">
        <v>9341814.801532499</v>
      </c>
      <c r="I125" t="n">
        <v>-0.017062803116642</v>
      </c>
      <c r="J125" t="n">
        <v>-0.016323880160185</v>
      </c>
      <c r="K125" t="n">
        <v>0.034802859714522</v>
      </c>
      <c r="L125" t="n">
        <v>-0.7645541902037301</v>
      </c>
      <c r="M125" t="n">
        <v>-0.76924158009613</v>
      </c>
      <c r="N125" t="n">
        <v>705.98288994424</v>
      </c>
      <c r="O125" t="n">
        <v>796.81342511465</v>
      </c>
    </row>
    <row r="126">
      <c r="A126" t="n">
        <v>11.908638849597</v>
      </c>
      <c r="B126" t="n">
        <v>0.034994048539464</v>
      </c>
      <c r="C126" t="n">
        <v>92.694684834988</v>
      </c>
      <c r="D126" t="n">
        <v>0.037406110270137</v>
      </c>
      <c r="E126" t="n">
        <v>-6.8075561252239</v>
      </c>
      <c r="F126" t="n">
        <v>-2.2677971540803</v>
      </c>
      <c r="G126" t="n">
        <v>47683097.600331</v>
      </c>
      <c r="H126" t="n">
        <v>9397396.456411</v>
      </c>
      <c r="I126" t="n">
        <v>-0.017210345274329</v>
      </c>
      <c r="J126" t="n">
        <v>-0.016464196230301</v>
      </c>
      <c r="K126" t="n">
        <v>0.035092391033521</v>
      </c>
      <c r="L126" t="n">
        <v>-0.77252890464804</v>
      </c>
      <c r="M126" t="n">
        <v>-0.77720871053414</v>
      </c>
      <c r="N126" t="n">
        <v>706.89199461199</v>
      </c>
      <c r="O126" t="n">
        <v>797.91049763101</v>
      </c>
    </row>
    <row r="127">
      <c r="A127" t="n">
        <v>12.008638849597</v>
      </c>
      <c r="B127" t="n">
        <v>0.035305051581992</v>
      </c>
      <c r="C127" t="n">
        <v>92.694579921787</v>
      </c>
      <c r="D127" t="n">
        <v>0.037721393002785</v>
      </c>
      <c r="E127" t="n">
        <v>-6.8079470421192</v>
      </c>
      <c r="F127" t="n">
        <v>-2.2681066464914</v>
      </c>
      <c r="G127" t="n">
        <v>48014258.611784</v>
      </c>
      <c r="H127" t="n">
        <v>9453065.8069211</v>
      </c>
      <c r="I127" t="n">
        <v>-0.017357851114089</v>
      </c>
      <c r="J127" t="n">
        <v>-0.016604468287869</v>
      </c>
      <c r="K127" t="n">
        <v>0.035381837263674</v>
      </c>
      <c r="L127" t="n">
        <v>-0.78051916153504</v>
      </c>
      <c r="M127" t="n">
        <v>-0.78519573316067</v>
      </c>
      <c r="N127" t="n">
        <v>707.79885797108</v>
      </c>
      <c r="O127" t="n">
        <v>799.00459754552</v>
      </c>
    </row>
    <row r="128">
      <c r="A128" t="n">
        <v>12.108638849597</v>
      </c>
      <c r="B128" t="n">
        <v>0.035616034830729</v>
      </c>
      <c r="C128" t="n">
        <v>92.694474634125</v>
      </c>
      <c r="D128" t="n">
        <v>0.038036654802379</v>
      </c>
      <c r="E128" t="n">
        <v>-6.819323888312</v>
      </c>
      <c r="F128" t="n">
        <v>-2.2684165866514</v>
      </c>
      <c r="G128" t="n">
        <v>48346007.334159</v>
      </c>
      <c r="H128" t="n">
        <v>9508822.1489313</v>
      </c>
      <c r="I128" t="n">
        <v>-0.017505320780122</v>
      </c>
      <c r="J128" t="n">
        <v>-0.016744696027703</v>
      </c>
      <c r="K128" t="n">
        <v>0.035671198455176</v>
      </c>
      <c r="L128" t="n">
        <v>-0.78852495988961</v>
      </c>
      <c r="M128" t="n">
        <v>-0.7931935702307999</v>
      </c>
      <c r="N128" t="n">
        <v>708.70358267377</v>
      </c>
      <c r="O128" t="n">
        <v>800.09582419479</v>
      </c>
    </row>
    <row r="129">
      <c r="A129" t="n">
        <v>12.208638849597</v>
      </c>
      <c r="B129" t="n">
        <v>0.03592699901357</v>
      </c>
      <c r="C129" t="n">
        <v>92.694368969659</v>
      </c>
      <c r="D129" t="n">
        <v>0.038351896004687</v>
      </c>
      <c r="E129" t="n">
        <v>-6.852672993621</v>
      </c>
      <c r="F129" t="n">
        <v>-2.2687269745803</v>
      </c>
      <c r="G129" t="n">
        <v>48678340.516451</v>
      </c>
      <c r="H129" t="n">
        <v>9564664.9455091</v>
      </c>
      <c r="I129" t="n">
        <v>-0.017652754276397</v>
      </c>
      <c r="J129" t="n">
        <v>-0.016884879607558</v>
      </c>
      <c r="K129" t="n">
        <v>0.035960474658987</v>
      </c>
      <c r="L129" t="n">
        <v>-0.79654451544252</v>
      </c>
      <c r="M129" t="n">
        <v>-0.80120918300224</v>
      </c>
      <c r="N129" t="n">
        <v>709.60611274084</v>
      </c>
      <c r="O129" t="n">
        <v>801.18414087875</v>
      </c>
    </row>
    <row r="130">
      <c r="A130" t="n">
        <v>12.308638849597</v>
      </c>
      <c r="B130" t="n">
        <v>0.036237943831648</v>
      </c>
      <c r="C130" t="n">
        <v>92.694262916029</v>
      </c>
      <c r="D130" t="n">
        <v>0.03866711675016</v>
      </c>
      <c r="E130" t="n">
        <v>-6.8530627289042</v>
      </c>
      <c r="F130" t="n">
        <v>-2.2690378047633</v>
      </c>
      <c r="G130" t="n">
        <v>49011253.734795</v>
      </c>
      <c r="H130" t="n">
        <v>9620593.461364901</v>
      </c>
      <c r="I130" t="n">
        <v>-0.017800151615262</v>
      </c>
      <c r="J130" t="n">
        <v>-0.017025018808981</v>
      </c>
      <c r="K130" t="n">
        <v>0.036249665926345</v>
      </c>
      <c r="L130" t="n">
        <v>-0.80458313322757</v>
      </c>
      <c r="M130" t="n">
        <v>-0.80924125988202</v>
      </c>
      <c r="N130" t="n">
        <v>710.5065843797601</v>
      </c>
      <c r="O130" t="n">
        <v>802.26970107444</v>
      </c>
    </row>
    <row r="131">
      <c r="A131" t="n">
        <v>12.408638849597</v>
      </c>
      <c r="B131" t="n">
        <v>0.036548870010874</v>
      </c>
      <c r="C131" t="n">
        <v>92.694156451908</v>
      </c>
      <c r="D131" t="n">
        <v>0.038982317417531</v>
      </c>
      <c r="E131" t="n">
        <v>-6.8864110852278</v>
      </c>
      <c r="F131" t="n">
        <v>-2.269349028457</v>
      </c>
      <c r="G131" t="n">
        <v>49344743.999141</v>
      </c>
      <c r="H131" t="n">
        <v>9676607.202942999</v>
      </c>
      <c r="I131" t="n">
        <v>-0.017947512812896</v>
      </c>
      <c r="J131" t="n">
        <v>-0.017165113829431</v>
      </c>
      <c r="K131" t="n">
        <v>0.036538772308285</v>
      </c>
      <c r="L131" t="n">
        <v>-0.8126324122832</v>
      </c>
      <c r="M131" t="n">
        <v>-0.8172859722096401</v>
      </c>
      <c r="N131" t="n">
        <v>711.40490135979</v>
      </c>
      <c r="O131" t="n">
        <v>803.35240910856</v>
      </c>
    </row>
    <row r="132">
      <c r="A132" t="n">
        <v>12.508638849597</v>
      </c>
      <c r="B132" t="n">
        <v>0.036859777030543</v>
      </c>
      <c r="C132" t="n">
        <v>92.694049580255</v>
      </c>
      <c r="D132" t="n">
        <v>0.039297498165802</v>
      </c>
      <c r="E132" t="n">
        <v>-6.8977864227852</v>
      </c>
      <c r="F132" t="n">
        <v>-2.269660633733</v>
      </c>
      <c r="G132" t="n">
        <v>49678806.949368</v>
      </c>
      <c r="H132" t="n">
        <v>9732705.4464495</v>
      </c>
      <c r="I132" t="n">
        <v>-0.018094837776038</v>
      </c>
      <c r="J132" t="n">
        <v>-0.017305164527394</v>
      </c>
      <c r="K132" t="n">
        <v>0.036827793854664</v>
      </c>
      <c r="L132" t="n">
        <v>-0.82069766413348</v>
      </c>
      <c r="M132" t="n">
        <v>-0.82534416102117</v>
      </c>
      <c r="N132" t="n">
        <v>712.30121769069</v>
      </c>
      <c r="O132" t="n">
        <v>804.43243001539</v>
      </c>
    </row>
    <row r="133">
      <c r="A133" t="n">
        <v>12.608638849597</v>
      </c>
      <c r="B133" t="n">
        <v>0.03717066562805</v>
      </c>
      <c r="C133" t="n">
        <v>92.693933273469</v>
      </c>
      <c r="D133" t="n">
        <v>0.039612659319391</v>
      </c>
      <c r="E133" t="n">
        <v>-6.9081822533925</v>
      </c>
      <c r="F133" t="n">
        <v>-2.2689868429036</v>
      </c>
      <c r="G133" t="n">
        <v>50013439.401871</v>
      </c>
      <c r="H133" t="n">
        <v>9788887.6664751</v>
      </c>
      <c r="I133" t="n">
        <v>-0.018242126594888</v>
      </c>
      <c r="J133" t="n">
        <v>-0.017445170993432</v>
      </c>
      <c r="K133" t="n">
        <v>0.037116730616422</v>
      </c>
      <c r="L133" t="n">
        <v>-0.82877640369626</v>
      </c>
      <c r="M133" t="n">
        <v>-0.83341761234408</v>
      </c>
      <c r="N133" t="n">
        <v>713.19546247127</v>
      </c>
      <c r="O133" t="n">
        <v>805.50971141073</v>
      </c>
    </row>
    <row r="134">
      <c r="A134" t="n">
        <v>12.708638849597</v>
      </c>
      <c r="B134" t="n">
        <v>0.037481536065906</v>
      </c>
      <c r="C134" t="n">
        <v>92.693825154507</v>
      </c>
      <c r="D134" t="n">
        <v>0.039927801173824</v>
      </c>
      <c r="E134" t="n">
        <v>-6.9085694203744</v>
      </c>
      <c r="F134" t="n">
        <v>-2.2692979050943</v>
      </c>
      <c r="G134" t="n">
        <v>50348638.08163</v>
      </c>
      <c r="H134" t="n">
        <v>9845153.323527901</v>
      </c>
      <c r="I134" t="n">
        <v>-0.018389379326274</v>
      </c>
      <c r="J134" t="n">
        <v>-0.017585133234329</v>
      </c>
      <c r="K134" t="n">
        <v>0.037405582644549</v>
      </c>
      <c r="L134" t="n">
        <v>-0.83686996025481</v>
      </c>
      <c r="M134" t="n">
        <v>-0.84150382544378</v>
      </c>
      <c r="N134" t="n">
        <v>714.08762504523</v>
      </c>
      <c r="O134" t="n">
        <v>806.58423371308</v>
      </c>
    </row>
    <row r="135">
      <c r="A135" t="n">
        <v>12.808638849597</v>
      </c>
      <c r="B135" t="n">
        <v>0.037792387820378</v>
      </c>
      <c r="C135" t="n">
        <v>92.693716179809</v>
      </c>
      <c r="D135" t="n">
        <v>0.040242923816175</v>
      </c>
      <c r="E135" t="n">
        <v>-6.8935625967528</v>
      </c>
      <c r="F135" t="n">
        <v>-2.2630217763574</v>
      </c>
      <c r="G135" t="n">
        <v>50684398.780455</v>
      </c>
      <c r="H135" t="n">
        <v>9901501.720184799</v>
      </c>
      <c r="I135" t="n">
        <v>-0.018536595780688</v>
      </c>
      <c r="J135" t="n">
        <v>-0.017725051217908</v>
      </c>
      <c r="K135" t="n">
        <v>0.03769434998935</v>
      </c>
      <c r="L135" t="n">
        <v>-0.84497776357543</v>
      </c>
      <c r="M135" t="n">
        <v>-0.84960639838854</v>
      </c>
      <c r="N135" t="n">
        <v>714.97785032413</v>
      </c>
      <c r="O135" t="n">
        <v>807.6561505357799</v>
      </c>
    </row>
    <row r="136">
      <c r="A136" t="n">
        <v>12.908638849597</v>
      </c>
      <c r="B136" t="n">
        <v>0.038103221772194</v>
      </c>
      <c r="C136" t="n">
        <v>92.693606621315</v>
      </c>
      <c r="D136" t="n">
        <v>0.040558027645763</v>
      </c>
      <c r="E136" t="n">
        <v>-6.8939474348029</v>
      </c>
      <c r="F136" t="n">
        <v>-2.2633352282216</v>
      </c>
      <c r="G136" t="n">
        <v>51020718.518799</v>
      </c>
      <c r="H136" t="n">
        <v>9957932.3661815</v>
      </c>
      <c r="I136" t="n">
        <v>-0.018683775982431</v>
      </c>
      <c r="J136" t="n">
        <v>-0.017864925143927</v>
      </c>
      <c r="K136" t="n">
        <v>0.037983032700314</v>
      </c>
      <c r="L136" t="n">
        <v>-0.85309845376011</v>
      </c>
      <c r="M136" t="n">
        <v>-0.85772174908534</v>
      </c>
      <c r="N136" t="n">
        <v>715.86604317337</v>
      </c>
      <c r="O136" t="n">
        <v>808.72537179997</v>
      </c>
    </row>
    <row r="137">
      <c r="A137" t="n">
        <v>13.008638849597</v>
      </c>
      <c r="B137" t="n">
        <v>0.038414038293625</v>
      </c>
      <c r="C137" t="n">
        <v>92.693496704078</v>
      </c>
      <c r="D137" t="n">
        <v>0.040873112988106</v>
      </c>
      <c r="E137" t="n">
        <v>-6.9053182714766</v>
      </c>
      <c r="F137" t="n">
        <v>-2.2746353352411</v>
      </c>
      <c r="G137" t="n">
        <v>51357593.838351</v>
      </c>
      <c r="H137" t="n">
        <v>10014444.69017</v>
      </c>
      <c r="I137" t="n">
        <v>-0.018830920040728</v>
      </c>
      <c r="J137" t="n">
        <v>-0.018004754953713</v>
      </c>
      <c r="K137" t="n">
        <v>0.03827163082483</v>
      </c>
      <c r="L137" t="n">
        <v>-0.86123537764458</v>
      </c>
      <c r="M137" t="n">
        <v>-0.8658519237576801</v>
      </c>
      <c r="N137" t="n">
        <v>716.75220643809</v>
      </c>
      <c r="O137" t="n">
        <v>809.7919180304</v>
      </c>
    </row>
    <row r="138">
      <c r="A138" t="n">
        <v>13.108638849597</v>
      </c>
      <c r="B138" t="n">
        <v>0.038724837580991</v>
      </c>
      <c r="C138" t="n">
        <v>92.693383814672</v>
      </c>
      <c r="D138" t="n">
        <v>0.041188180035353</v>
      </c>
      <c r="E138" t="n">
        <v>-6.8947161519384</v>
      </c>
      <c r="F138" t="n">
        <v>-2.2749494464387</v>
      </c>
      <c r="G138" t="n">
        <v>51695021.398713</v>
      </c>
      <c r="H138" t="n">
        <v>10071038.14268</v>
      </c>
      <c r="I138" t="n">
        <v>-0.018978027911262</v>
      </c>
      <c r="J138" t="n">
        <v>-0.018144540700769</v>
      </c>
      <c r="K138" t="n">
        <v>0.038560144417766</v>
      </c>
      <c r="L138" t="n">
        <v>-0.86938561325143</v>
      </c>
      <c r="M138" t="n">
        <v>-0.87399619974068</v>
      </c>
      <c r="N138" t="n">
        <v>717.63635736761</v>
      </c>
      <c r="O138" t="n">
        <v>810.85581824733</v>
      </c>
    </row>
    <row r="139">
      <c r="A139" t="n">
        <v>13.208638849597</v>
      </c>
      <c r="B139" t="n">
        <v>0.0390356196892</v>
      </c>
      <c r="C139" t="n">
        <v>92.693273385414</v>
      </c>
      <c r="D139" t="n">
        <v>0.041503229026776</v>
      </c>
      <c r="E139" t="n">
        <v>-6.9059226298947</v>
      </c>
      <c r="F139" t="n">
        <v>-2.2838649025048</v>
      </c>
      <c r="G139" t="n">
        <v>52032997.770451</v>
      </c>
      <c r="H139" t="n">
        <v>10127712.159104</v>
      </c>
      <c r="I139" t="n">
        <v>-0.019125099542192</v>
      </c>
      <c r="J139" t="n">
        <v>-0.018284282425874</v>
      </c>
      <c r="K139" t="n">
        <v>0.038848573526465</v>
      </c>
      <c r="L139" t="n">
        <v>-0.87754747802567</v>
      </c>
      <c r="M139" t="n">
        <v>-0.88215339701897</v>
      </c>
      <c r="N139" t="n">
        <v>718.51852061768</v>
      </c>
      <c r="O139" t="n">
        <v>811.91709115196</v>
      </c>
    </row>
    <row r="140">
      <c r="A140" t="n">
        <v>13.308638849597</v>
      </c>
      <c r="B140" t="n">
        <v>0.03934638459528</v>
      </c>
      <c r="C140" t="n">
        <v>92.693162342438</v>
      </c>
      <c r="D140" t="n">
        <v>0.041818260124652</v>
      </c>
      <c r="E140" t="n">
        <v>-6.9063061656046</v>
      </c>
      <c r="F140" t="n">
        <v>-2.2841824168982</v>
      </c>
      <c r="G140" t="n">
        <v>52371519.431405</v>
      </c>
      <c r="H140" t="n">
        <v>10184466.159535</v>
      </c>
      <c r="I140" t="n">
        <v>-0.019272134902871</v>
      </c>
      <c r="J140" t="n">
        <v>-0.018423980142361</v>
      </c>
      <c r="K140" t="n">
        <v>0.039136918202082</v>
      </c>
      <c r="L140" t="n">
        <v>-0.88572742276168</v>
      </c>
      <c r="M140" t="n">
        <v>-0.89032526585847</v>
      </c>
      <c r="N140" t="n">
        <v>719.39874164332</v>
      </c>
      <c r="O140" t="n">
        <v>812.9757919203601</v>
      </c>
    </row>
    <row r="141">
      <c r="A141" t="n">
        <v>13.408638849597</v>
      </c>
      <c r="B141" t="n">
        <v>0.039657132635791</v>
      </c>
      <c r="C141" t="n">
        <v>92.693055143179</v>
      </c>
      <c r="D141" t="n">
        <v>0.042133273541698</v>
      </c>
      <c r="E141" t="n">
        <v>-6.9066894160062</v>
      </c>
      <c r="F141" t="n">
        <v>-2.2845003354955</v>
      </c>
      <c r="G141" t="n">
        <v>52710583.215113</v>
      </c>
      <c r="H141" t="n">
        <v>10241299.623874</v>
      </c>
      <c r="I141" t="n">
        <v>-0.019419133968115</v>
      </c>
      <c r="J141" t="n">
        <v>-0.01856363389224</v>
      </c>
      <c r="K141" t="n">
        <v>0.039425178494344</v>
      </c>
      <c r="L141" t="n">
        <v>-0.89391856131595</v>
      </c>
      <c r="M141" t="n">
        <v>-0.89850930276156</v>
      </c>
      <c r="N141" t="n">
        <v>720.27702291974</v>
      </c>
      <c r="O141" t="n">
        <v>814.03191992925</v>
      </c>
    </row>
    <row r="142">
      <c r="A142" t="n">
        <v>13.508638849597</v>
      </c>
      <c r="B142" t="n">
        <v>0.039967863880516</v>
      </c>
      <c r="C142" t="n">
        <v>92.692948337297</v>
      </c>
      <c r="D142" t="n">
        <v>0.042448269495185</v>
      </c>
      <c r="E142" t="n">
        <v>-6.9136844771522</v>
      </c>
      <c r="F142" t="n">
        <v>-2.3001709753882</v>
      </c>
      <c r="G142" t="n">
        <v>53050185.881493</v>
      </c>
      <c r="H142" t="n">
        <v>10298212.021389</v>
      </c>
      <c r="I142" t="n">
        <v>-0.01956609655857</v>
      </c>
      <c r="J142" t="n">
        <v>-0.018703243878972</v>
      </c>
      <c r="K142" t="n">
        <v>0.039713354454952</v>
      </c>
      <c r="L142" t="n">
        <v>-0.90212313483422</v>
      </c>
      <c r="M142" t="n">
        <v>-0.90670770912652</v>
      </c>
      <c r="N142" t="n">
        <v>721.15338047429</v>
      </c>
      <c r="O142" t="n">
        <v>815.0855066541</v>
      </c>
    </row>
    <row r="143">
      <c r="A143" t="n">
        <v>13.608638849597</v>
      </c>
      <c r="B143" t="n">
        <v>0.040278579021431</v>
      </c>
      <c r="C143" t="n">
        <v>92.692839273391</v>
      </c>
      <c r="D143" t="n">
        <v>0.042763248302417</v>
      </c>
      <c r="E143" t="n">
        <v>-6.9030795738198</v>
      </c>
      <c r="F143" t="n">
        <v>-2.300491044935</v>
      </c>
      <c r="G143" t="n">
        <v>53390324.813172</v>
      </c>
      <c r="H143" t="n">
        <v>10355202.925357</v>
      </c>
      <c r="I143" t="n">
        <v>-0.019713022700129</v>
      </c>
      <c r="J143" t="n">
        <v>-0.018842810297245</v>
      </c>
      <c r="K143" t="n">
        <v>0.040001446137915</v>
      </c>
      <c r="L143" t="n">
        <v>-0.9103407287537399</v>
      </c>
      <c r="M143" t="n">
        <v>-0.91491846320298</v>
      </c>
      <c r="N143" t="n">
        <v>722.02772625646</v>
      </c>
      <c r="O143" t="n">
        <v>816.1364509295699</v>
      </c>
    </row>
    <row r="144">
      <c r="A144" t="n">
        <v>13.708638849597</v>
      </c>
      <c r="B144" t="n">
        <v>0.040589277048569</v>
      </c>
      <c r="C144" t="n">
        <v>92.692721039888</v>
      </c>
      <c r="D144" t="n">
        <v>0.043078209945201</v>
      </c>
      <c r="E144" t="n">
        <v>-6.9184092417842</v>
      </c>
      <c r="F144" t="n">
        <v>-2.3047663958785</v>
      </c>
      <c r="G144" t="n">
        <v>53730995.547193</v>
      </c>
      <c r="H144" t="n">
        <v>10412271.598314</v>
      </c>
      <c r="I144" t="n">
        <v>-0.019859912080063</v>
      </c>
      <c r="J144" t="n">
        <v>-0.018982333029842</v>
      </c>
      <c r="K144" t="n">
        <v>0.040289453593219</v>
      </c>
      <c r="L144" t="n">
        <v>-0.9185732694694499</v>
      </c>
      <c r="M144" t="n">
        <v>-0.92314245352393</v>
      </c>
      <c r="N144" t="n">
        <v>722.90030582667</v>
      </c>
      <c r="O144" t="n">
        <v>817.18500292336</v>
      </c>
    </row>
    <row r="145">
      <c r="A145" t="n">
        <v>13.808638849597</v>
      </c>
      <c r="B145" t="n">
        <v>0.040899959182957</v>
      </c>
      <c r="C145" t="n">
        <v>92.69260674213</v>
      </c>
      <c r="D145" t="n">
        <v>0.043393154837226</v>
      </c>
      <c r="E145" t="n">
        <v>-6.9078036124195</v>
      </c>
      <c r="F145" t="n">
        <v>-2.3050872215525</v>
      </c>
      <c r="G145" t="n">
        <v>54072195.699379</v>
      </c>
      <c r="H145" t="n">
        <v>10469417.652028</v>
      </c>
      <c r="I145" t="n">
        <v>-0.020006764727851</v>
      </c>
      <c r="J145" t="n">
        <v>-0.019121812390737</v>
      </c>
      <c r="K145" t="n">
        <v>0.040577376869452</v>
      </c>
      <c r="L145" t="n">
        <v>-0.92681639914573</v>
      </c>
      <c r="M145" t="n">
        <v>-0.9313763962488</v>
      </c>
      <c r="N145" t="n">
        <v>723.77095960151</v>
      </c>
      <c r="O145" t="n">
        <v>818.2310288485399</v>
      </c>
    </row>
    <row r="146">
      <c r="A146" t="n">
        <v>13.908638849597</v>
      </c>
      <c r="B146" t="n">
        <v>0.041210625396338</v>
      </c>
      <c r="C146" t="n">
        <v>92.692492636944</v>
      </c>
      <c r="D146" t="n">
        <v>0.043708083245686</v>
      </c>
      <c r="E146" t="n">
        <v>-6.930156699247</v>
      </c>
      <c r="F146" t="n">
        <v>-2.3163948235777</v>
      </c>
      <c r="G146" t="n">
        <v>54413921.902663</v>
      </c>
      <c r="H146" t="n">
        <v>10526640.532745</v>
      </c>
      <c r="I146" t="n">
        <v>-0.020153580646782</v>
      </c>
      <c r="J146" t="n">
        <v>-0.019261248384571</v>
      </c>
      <c r="K146" t="n">
        <v>0.040865216016525</v>
      </c>
      <c r="L146" t="n">
        <v>-0.93507447096021</v>
      </c>
      <c r="M146" t="n">
        <v>-0.93962579485623</v>
      </c>
      <c r="N146" t="n">
        <v>724.63971848292</v>
      </c>
      <c r="O146" t="n">
        <v>819.27456117749</v>
      </c>
    </row>
    <row r="147">
      <c r="A147" t="n">
        <v>14.008638849597</v>
      </c>
      <c r="B147" t="n">
        <v>0.041521275981011</v>
      </c>
      <c r="C147" t="n">
        <v>92.692383964619</v>
      </c>
      <c r="D147" t="n">
        <v>0.044022995402942</v>
      </c>
      <c r="E147" t="n">
        <v>-6.9415231842235</v>
      </c>
      <c r="F147" t="n">
        <v>-2.3167164982365</v>
      </c>
      <c r="G147" t="n">
        <v>54756170.654719</v>
      </c>
      <c r="H147" t="n">
        <v>10583939.663795</v>
      </c>
      <c r="I147" t="n">
        <v>-0.020300359727782</v>
      </c>
      <c r="J147" t="n">
        <v>-0.019400641094874</v>
      </c>
      <c r="K147" t="n">
        <v>0.041152971087118</v>
      </c>
      <c r="L147" t="n">
        <v>-0.94334530191849</v>
      </c>
      <c r="M147" t="n">
        <v>-0.94788764636663</v>
      </c>
      <c r="N147" t="n">
        <v>725.50661725767</v>
      </c>
      <c r="O147" t="n">
        <v>820.31564622528</v>
      </c>
    </row>
    <row r="148">
      <c r="A148" t="n">
        <v>14.108638849597</v>
      </c>
      <c r="B148" t="n">
        <v>0.041831911565914</v>
      </c>
      <c r="C148" t="n">
        <v>92.69227115198601</v>
      </c>
      <c r="D148" t="n">
        <v>0.044337891682956</v>
      </c>
      <c r="E148" t="n">
        <v>-6.9706370708219</v>
      </c>
      <c r="F148" t="n">
        <v>-2.3212582669097</v>
      </c>
      <c r="G148" t="n">
        <v>55098939.160932</v>
      </c>
      <c r="H148" t="n">
        <v>10641314.588155</v>
      </c>
      <c r="I148" t="n">
        <v>-0.020447102155237</v>
      </c>
      <c r="J148" t="n">
        <v>-0.019539990531591</v>
      </c>
      <c r="K148" t="n">
        <v>0.04144064213031</v>
      </c>
      <c r="L148" t="n">
        <v>-0.95162743985423</v>
      </c>
      <c r="M148" t="n">
        <v>-0.95616198199995</v>
      </c>
      <c r="N148" t="n">
        <v>726.37158075363</v>
      </c>
      <c r="O148" t="n">
        <v>821.35422659498</v>
      </c>
    </row>
    <row r="149">
      <c r="A149" t="n">
        <v>14.208638849597</v>
      </c>
      <c r="B149" t="n">
        <v>0.042142531994093</v>
      </c>
      <c r="C149" t="n">
        <v>92.692157274989</v>
      </c>
      <c r="D149" t="n">
        <v>0.044652772354065</v>
      </c>
      <c r="E149" t="n">
        <v>-6.964391081796</v>
      </c>
      <c r="F149" t="n">
        <v>-2.3259377037486</v>
      </c>
      <c r="G149" t="n">
        <v>55442223.537546</v>
      </c>
      <c r="H149" t="n">
        <v>10698764.665584</v>
      </c>
      <c r="I149" t="n">
        <v>-0.020593807840147</v>
      </c>
      <c r="J149" t="n">
        <v>-0.019679296553037</v>
      </c>
      <c r="K149" t="n">
        <v>0.041728229196843</v>
      </c>
      <c r="L149" t="n">
        <v>-0.95992365133429</v>
      </c>
      <c r="M149" t="n">
        <v>-0.96444919754533</v>
      </c>
      <c r="N149" t="n">
        <v>727.2347506373</v>
      </c>
      <c r="O149" t="n">
        <v>822.3904473582</v>
      </c>
    </row>
    <row r="150">
      <c r="A150" t="n">
        <v>14.308638849597</v>
      </c>
      <c r="B150" t="n">
        <v>0.042453137851515</v>
      </c>
      <c r="C150" t="n">
        <v>92.692040894938</v>
      </c>
      <c r="D150" t="n">
        <v>0.044967637720754</v>
      </c>
      <c r="E150" t="n">
        <v>-6.9603963831496</v>
      </c>
      <c r="F150" t="n">
        <v>-2.3306301433889</v>
      </c>
      <c r="G150" t="n">
        <v>55786020.734363</v>
      </c>
      <c r="H150" t="n">
        <v>10756289.395189</v>
      </c>
      <c r="I150" t="n">
        <v>-0.020740476942288</v>
      </c>
      <c r="J150" t="n">
        <v>-0.019818559143067</v>
      </c>
      <c r="K150" t="n">
        <v>0.042015732336805</v>
      </c>
      <c r="L150" t="n">
        <v>-0.96823086655361</v>
      </c>
      <c r="M150" t="n">
        <v>-0.97274808442501</v>
      </c>
      <c r="N150" t="n">
        <v>728.09607620317</v>
      </c>
      <c r="O150" t="n">
        <v>823.42428975097</v>
      </c>
    </row>
    <row r="151">
      <c r="A151" t="n">
        <v>14.408638849597</v>
      </c>
      <c r="B151" t="n">
        <v>0.042763729563948</v>
      </c>
      <c r="C151" t="n">
        <v>92.69190883916001</v>
      </c>
      <c r="D151" t="n">
        <v>0.04528248812757</v>
      </c>
      <c r="E151" t="n">
        <v>-6.9856789726884</v>
      </c>
      <c r="F151" t="n">
        <v>-2.3448951466906</v>
      </c>
      <c r="G151" t="n">
        <v>56130327.572478</v>
      </c>
      <c r="H151" t="n">
        <v>10813888.25566</v>
      </c>
      <c r="I151" t="n">
        <v>-0.020887109400306</v>
      </c>
      <c r="J151" t="n">
        <v>-0.019957778434088</v>
      </c>
      <c r="K151" t="n">
        <v>0.042303151603535</v>
      </c>
      <c r="L151" t="n">
        <v>-0.97655249320654</v>
      </c>
      <c r="M151" t="n">
        <v>-0.98106087800451</v>
      </c>
      <c r="N151" t="n">
        <v>728.9555517510601</v>
      </c>
      <c r="O151" t="n">
        <v>824.4557582008</v>
      </c>
    </row>
    <row r="152">
      <c r="A152" t="n">
        <v>14.508638849597</v>
      </c>
      <c r="B152" t="n">
        <v>0.043074307362104</v>
      </c>
      <c r="C152" t="n">
        <v>92.691781850753</v>
      </c>
      <c r="D152" t="n">
        <v>0.045597323876661</v>
      </c>
      <c r="E152" t="n">
        <v>-6.9860564827688</v>
      </c>
      <c r="F152" t="n">
        <v>-2.3452194886207</v>
      </c>
      <c r="G152" t="n">
        <v>56475140.901088</v>
      </c>
      <c r="H152" t="n">
        <v>10871560.731422</v>
      </c>
      <c r="I152" t="n">
        <v>-0.021033705278455</v>
      </c>
      <c r="J152" t="n">
        <v>-0.020096954384984</v>
      </c>
      <c r="K152" t="n">
        <v>0.042590487047057</v>
      </c>
      <c r="L152" t="n">
        <v>-0.98488603416349</v>
      </c>
      <c r="M152" t="n">
        <v>-0.9893847939083</v>
      </c>
      <c r="N152" t="n">
        <v>729.81318993892</v>
      </c>
      <c r="O152" t="n">
        <v>825.48487940588</v>
      </c>
    </row>
    <row r="153">
      <c r="A153" t="n">
        <v>14.608638849597</v>
      </c>
      <c r="B153" t="n">
        <v>0.043384871338479</v>
      </c>
      <c r="C153" t="n">
        <v>92.691648201886</v>
      </c>
      <c r="D153" t="n">
        <v>0.045912145248934</v>
      </c>
      <c r="E153" t="n">
        <v>-7.0084064492105</v>
      </c>
      <c r="F153" t="n">
        <v>-2.3345576958683</v>
      </c>
      <c r="G153" t="n">
        <v>56820457.214792</v>
      </c>
      <c r="H153" t="n">
        <v>10929306.246517</v>
      </c>
      <c r="I153" t="n">
        <v>-0.021180264726343</v>
      </c>
      <c r="J153" t="n">
        <v>-0.020236086741381</v>
      </c>
      <c r="K153" t="n">
        <v>0.04287773871866</v>
      </c>
      <c r="L153" t="n">
        <v>-0.99323361436403</v>
      </c>
      <c r="M153" t="n">
        <v>-0.99772284240911</v>
      </c>
      <c r="N153" t="n">
        <v>730.66907153898</v>
      </c>
      <c r="O153" t="n">
        <v>826.51174809705</v>
      </c>
    </row>
    <row r="154">
      <c r="A154" t="n">
        <v>14.708638849597</v>
      </c>
      <c r="B154" t="n">
        <v>0.043695421569141</v>
      </c>
      <c r="C154" t="n">
        <v>92.691518305274</v>
      </c>
      <c r="D154" t="n">
        <v>0.046226952488758</v>
      </c>
      <c r="E154" t="n">
        <v>-7.038863460771</v>
      </c>
      <c r="F154" t="n">
        <v>-2.3429774519298</v>
      </c>
      <c r="G154" t="n">
        <v>57166272.892777</v>
      </c>
      <c r="H154" t="n">
        <v>10987124.204778</v>
      </c>
      <c r="I154" t="n">
        <v>-0.021326787538009</v>
      </c>
      <c r="J154" t="n">
        <v>-0.020375175650526</v>
      </c>
      <c r="K154" t="n">
        <v>0.043164906670704</v>
      </c>
      <c r="L154" t="n">
        <v>-1.0015935084555</v>
      </c>
      <c r="M154" t="n">
        <v>-1.0060725720559</v>
      </c>
      <c r="N154" t="n">
        <v>731.5232529206399</v>
      </c>
      <c r="O154" t="n">
        <v>827.53643520274</v>
      </c>
    </row>
    <row r="155">
      <c r="A155" t="n">
        <v>14.808638849597</v>
      </c>
      <c r="B155" t="n">
        <v>0.044005959020672</v>
      </c>
      <c r="C155" t="n">
        <v>92.69139113798001</v>
      </c>
      <c r="D155" t="n">
        <v>0.046541745988323</v>
      </c>
      <c r="E155" t="n">
        <v>-7.0392406117263</v>
      </c>
      <c r="F155" t="n">
        <v>-2.3433025326562</v>
      </c>
      <c r="G155" t="n">
        <v>57512585.529923</v>
      </c>
      <c r="H155" t="n">
        <v>11045014.215141</v>
      </c>
      <c r="I155" t="n">
        <v>-0.021473273973654</v>
      </c>
      <c r="J155" t="n">
        <v>-0.02051422112577</v>
      </c>
      <c r="K155" t="n">
        <v>0.043451990953391</v>
      </c>
      <c r="L155" t="n">
        <v>-1.0099621119484</v>
      </c>
      <c r="M155" t="n">
        <v>-1.0144332862604</v>
      </c>
      <c r="N155" t="n">
        <v>732.37561513192</v>
      </c>
      <c r="O155" t="n">
        <v>828.55884172405</v>
      </c>
    </row>
    <row r="156">
      <c r="A156" t="n">
        <v>14.908638849597</v>
      </c>
      <c r="B156" t="n">
        <v>0.044316484012002</v>
      </c>
      <c r="C156" t="n">
        <v>92.69126508817</v>
      </c>
      <c r="D156" t="n">
        <v>0.04685652604996</v>
      </c>
      <c r="E156" t="n">
        <v>-7.0506038912204</v>
      </c>
      <c r="F156" t="n">
        <v>-2.3436277580677</v>
      </c>
      <c r="G156" t="n">
        <v>57859391.965582</v>
      </c>
      <c r="H156" t="n">
        <v>11102975.760398</v>
      </c>
      <c r="I156" t="n">
        <v>-0.021619723939522</v>
      </c>
      <c r="J156" t="n">
        <v>-0.020653223307319</v>
      </c>
      <c r="K156" t="n">
        <v>0.043738991616905</v>
      </c>
      <c r="L156" t="n">
        <v>-1.0183448895518</v>
      </c>
      <c r="M156" t="n">
        <v>-1.0228064139822</v>
      </c>
      <c r="N156" t="n">
        <v>733.22616555972</v>
      </c>
      <c r="O156" t="n">
        <v>829.5789855054099</v>
      </c>
    </row>
    <row r="157">
      <c r="A157" t="n">
        <v>15.008638849597</v>
      </c>
      <c r="B157" t="n">
        <v>0.044626996446173</v>
      </c>
      <c r="C157" t="n">
        <v>92.691131975452</v>
      </c>
      <c r="D157" t="n">
        <v>0.047171292967367</v>
      </c>
      <c r="E157" t="n">
        <v>-7.0619669530472</v>
      </c>
      <c r="F157" t="n">
        <v>-2.3439531114289</v>
      </c>
      <c r="G157" t="n">
        <v>58206688.423385</v>
      </c>
      <c r="H157" t="n">
        <v>11161008.218802</v>
      </c>
      <c r="I157" t="n">
        <v>-0.021766137354008</v>
      </c>
      <c r="J157" t="n">
        <v>-0.020792182139993</v>
      </c>
      <c r="K157" t="n">
        <v>0.044025908711313</v>
      </c>
      <c r="L157" t="n">
        <v>-1.0267426778819</v>
      </c>
      <c r="M157" t="n">
        <v>-1.031194033312</v>
      </c>
      <c r="N157" t="n">
        <v>734.07500458504</v>
      </c>
      <c r="O157" t="n">
        <v>830.59697848861</v>
      </c>
    </row>
    <row r="158">
      <c r="A158" t="n">
        <v>15.108638849597</v>
      </c>
      <c r="B158" t="n">
        <v>0.044937496443892</v>
      </c>
      <c r="C158" t="n">
        <v>92.691002218215</v>
      </c>
      <c r="D158" t="n">
        <v>0.047486047033323</v>
      </c>
      <c r="E158" t="n">
        <v>-7.0886901277862</v>
      </c>
      <c r="F158" t="n">
        <v>-2.3486498293766</v>
      </c>
      <c r="G158" t="n">
        <v>58554471.711293</v>
      </c>
      <c r="H158" t="n">
        <v>11219111.067179</v>
      </c>
      <c r="I158" t="n">
        <v>-0.021912513988588</v>
      </c>
      <c r="J158" t="n">
        <v>-0.020931097798071</v>
      </c>
      <c r="K158" t="n">
        <v>0.044312742286929</v>
      </c>
      <c r="L158" t="n">
        <v>-1.0351509328541</v>
      </c>
      <c r="M158" t="n">
        <v>-1.0395931869745</v>
      </c>
      <c r="N158" t="n">
        <v>734.9221772411</v>
      </c>
      <c r="O158" t="n">
        <v>831.6128772511</v>
      </c>
    </row>
    <row r="159">
      <c r="A159" t="n">
        <v>15.208638849597</v>
      </c>
      <c r="B159" t="n">
        <v>0.045247984839804</v>
      </c>
      <c r="C159" t="n">
        <v>92.690873919892</v>
      </c>
      <c r="D159" t="n">
        <v>0.047800788648519</v>
      </c>
      <c r="E159" t="n">
        <v>-7.0780815350496</v>
      </c>
      <c r="F159" t="n">
        <v>-2.3489768271541</v>
      </c>
      <c r="G159" t="n">
        <v>58902739.20572</v>
      </c>
      <c r="H159" t="n">
        <v>11277283.879168</v>
      </c>
      <c r="I159" t="n">
        <v>-0.022058853995476</v>
      </c>
      <c r="J159" t="n">
        <v>-0.021069970366714</v>
      </c>
      <c r="K159" t="n">
        <v>0.044599492391107</v>
      </c>
      <c r="L159" t="n">
        <v>-1.0435732994952</v>
      </c>
      <c r="M159" t="n">
        <v>-1.0480040413543</v>
      </c>
      <c r="N159" t="n">
        <v>735.76759336707</v>
      </c>
      <c r="O159" t="n">
        <v>832.62660793765</v>
      </c>
    </row>
    <row r="160">
      <c r="A160" t="n">
        <v>15.308638849597</v>
      </c>
      <c r="B160" t="n">
        <v>0.045558462201598</v>
      </c>
      <c r="C160" t="n">
        <v>92.690746244262</v>
      </c>
      <c r="D160" t="n">
        <v>0.04811551813507</v>
      </c>
      <c r="E160" t="n">
        <v>-7.078458995773</v>
      </c>
      <c r="F160" t="n">
        <v>-2.3383175843835</v>
      </c>
      <c r="G160" t="n">
        <v>59251487.885947</v>
      </c>
      <c r="H160" t="n">
        <v>11335526.160458</v>
      </c>
      <c r="I160" t="n">
        <v>-0.022205157320709</v>
      </c>
      <c r="J160" t="n">
        <v>-0.0212087999893</v>
      </c>
      <c r="K160" t="n">
        <v>0.04488615907166</v>
      </c>
      <c r="L160" t="n">
        <v>-1.0520072750787</v>
      </c>
      <c r="M160" t="n">
        <v>-1.0564272965465</v>
      </c>
      <c r="N160" t="n">
        <v>736.61122768946</v>
      </c>
      <c r="O160" t="n">
        <v>833.63816977538</v>
      </c>
    </row>
    <row r="161">
      <c r="A161" t="n">
        <v>15.408638849597</v>
      </c>
      <c r="B161" t="n">
        <v>0.045868928186871</v>
      </c>
      <c r="C161" t="n">
        <v>92.690608164444</v>
      </c>
      <c r="D161" t="n">
        <v>0.048430235722459</v>
      </c>
      <c r="E161" t="n">
        <v>-7.0998549305896</v>
      </c>
      <c r="F161" t="n">
        <v>-2.3376773483195</v>
      </c>
      <c r="G161" t="n">
        <v>59600713.955419</v>
      </c>
      <c r="H161" t="n">
        <v>11393837.286103</v>
      </c>
      <c r="I161" t="n">
        <v>-0.022351423966385</v>
      </c>
      <c r="J161" t="n">
        <v>-0.02134758649598</v>
      </c>
      <c r="K161" t="n">
        <v>0.045172742380477</v>
      </c>
      <c r="L161" t="n">
        <v>-1.0604538352399</v>
      </c>
      <c r="M161" t="n">
        <v>-1.0648630189779</v>
      </c>
      <c r="N161" t="n">
        <v>737.45319617013</v>
      </c>
      <c r="O161" t="n">
        <v>834.64769221006</v>
      </c>
    </row>
    <row r="162">
      <c r="A162" t="n">
        <v>15.508638849597</v>
      </c>
      <c r="B162" t="n">
        <v>0.046179383474893</v>
      </c>
      <c r="C162" t="n">
        <v>92.69047579359599</v>
      </c>
      <c r="D162" t="n">
        <v>0.048744941757849</v>
      </c>
      <c r="E162" t="n">
        <v>-7.1112166540116</v>
      </c>
      <c r="F162" t="n">
        <v>-2.3380029602362</v>
      </c>
      <c r="G162" t="n">
        <v>59950414.557152</v>
      </c>
      <c r="H162" t="n">
        <v>11452216.78937</v>
      </c>
      <c r="I162" t="n">
        <v>-0.022497654000953</v>
      </c>
      <c r="J162" t="n">
        <v>-0.021486329929003</v>
      </c>
      <c r="K162" t="n">
        <v>0.045459242366084</v>
      </c>
      <c r="L162" t="n">
        <v>-1.0689131185373</v>
      </c>
      <c r="M162" t="n">
        <v>-1.0733102837985</v>
      </c>
      <c r="N162" t="n">
        <v>738.2934639200799</v>
      </c>
      <c r="O162" t="n">
        <v>835.65514935917</v>
      </c>
    </row>
    <row r="163">
      <c r="A163" t="n">
        <v>15.608638849597</v>
      </c>
      <c r="B163" t="n">
        <v>0.04648982831727</v>
      </c>
      <c r="C163" t="n">
        <v>92.690344789146</v>
      </c>
      <c r="D163" t="n">
        <v>0.049059636536698</v>
      </c>
      <c r="E163" t="n">
        <v>-7.0896191275776</v>
      </c>
      <c r="F163" t="n">
        <v>-2.3383286558912</v>
      </c>
      <c r="G163" t="n">
        <v>60300586.391698</v>
      </c>
      <c r="H163" t="n">
        <v>11510664.129808</v>
      </c>
      <c r="I163" t="n">
        <v>-0.02264384747397</v>
      </c>
      <c r="J163" t="n">
        <v>-0.021625030238749</v>
      </c>
      <c r="K163" t="n">
        <v>0.045745659075619</v>
      </c>
      <c r="L163" t="n">
        <v>-1.077384829378</v>
      </c>
      <c r="M163" t="n">
        <v>-1.0817710092967</v>
      </c>
      <c r="N163" t="n">
        <v>739.1320589254</v>
      </c>
      <c r="O163" t="n">
        <v>836.66058202119</v>
      </c>
    </row>
    <row r="164">
      <c r="A164" t="n">
        <v>15.708638849597</v>
      </c>
      <c r="B164" t="n">
        <v>0.046800263044586</v>
      </c>
      <c r="C164" t="n">
        <v>92.69021437521999</v>
      </c>
      <c r="D164" t="n">
        <v>0.049374320392406</v>
      </c>
      <c r="E164" t="n">
        <v>-7.0790076311306</v>
      </c>
      <c r="F164" t="n">
        <v>-2.3276680946129</v>
      </c>
      <c r="G164" t="n">
        <v>60651226.827959</v>
      </c>
      <c r="H164" t="n">
        <v>11569178.879458</v>
      </c>
      <c r="I164" t="n">
        <v>-0.022790004611601</v>
      </c>
      <c r="J164" t="n">
        <v>-0.021763687337521</v>
      </c>
      <c r="K164" t="n">
        <v>0.046031992558447</v>
      </c>
      <c r="L164" t="n">
        <v>-1.0858696073544</v>
      </c>
      <c r="M164" t="n">
        <v>-1.0902435539329</v>
      </c>
      <c r="N164" t="n">
        <v>739.96893734067</v>
      </c>
      <c r="O164" t="n">
        <v>837.66395546913</v>
      </c>
    </row>
    <row r="165">
      <c r="A165" t="n">
        <v>15.808638849597</v>
      </c>
      <c r="B165" t="n">
        <v>0.047110687555805</v>
      </c>
      <c r="C165" t="n">
        <v>92.69008428415199</v>
      </c>
      <c r="D165" t="n">
        <v>0.049688993563155</v>
      </c>
      <c r="E165" t="n">
        <v>-7.1013548207581</v>
      </c>
      <c r="F165" t="n">
        <v>-2.3389802715748</v>
      </c>
      <c r="G165" t="n">
        <v>61002332.000174</v>
      </c>
      <c r="H165" t="n">
        <v>11627760.402571</v>
      </c>
      <c r="I165" t="n">
        <v>-0.022936125233956</v>
      </c>
      <c r="J165" t="n">
        <v>-0.021902301214735</v>
      </c>
      <c r="K165" t="n">
        <v>0.046318242865479</v>
      </c>
      <c r="L165" t="n">
        <v>-1.0943655871561</v>
      </c>
      <c r="M165" t="n">
        <v>-1.0987291029724</v>
      </c>
      <c r="N165" t="n">
        <v>740.80422160386</v>
      </c>
      <c r="O165" t="n">
        <v>838.66541329393</v>
      </c>
    </row>
    <row r="166">
      <c r="A166" t="n">
        <v>15.908638849597</v>
      </c>
      <c r="B166" t="n">
        <v>0.047421102422448</v>
      </c>
      <c r="C166" t="n">
        <v>92.689954314557</v>
      </c>
      <c r="D166" t="n">
        <v>0.050003656367731</v>
      </c>
      <c r="E166" t="n">
        <v>-7.112715357203</v>
      </c>
      <c r="F166" t="n">
        <v>-2.339306193198</v>
      </c>
      <c r="G166" t="n">
        <v>61353899.349283</v>
      </c>
      <c r="H166" t="n">
        <v>11686408.283229</v>
      </c>
      <c r="I166" t="n">
        <v>-0.023082209598497</v>
      </c>
      <c r="J166" t="n">
        <v>-0.022040871783019</v>
      </c>
      <c r="K166" t="n">
        <v>0.046604410044055</v>
      </c>
      <c r="L166" t="n">
        <v>-1.1028739350537</v>
      </c>
      <c r="M166" t="n">
        <v>-1.1072252217824</v>
      </c>
      <c r="N166" t="n">
        <v>741.6378487631</v>
      </c>
      <c r="O166" t="n">
        <v>839.66489203586</v>
      </c>
    </row>
    <row r="167">
      <c r="A167" t="n">
        <v>16.008638849597</v>
      </c>
      <c r="B167" t="n">
        <v>0.047731507792823</v>
      </c>
      <c r="C167" t="n">
        <v>92.68981952878001</v>
      </c>
      <c r="D167" t="n">
        <v>0.050318309062409</v>
      </c>
      <c r="E167" t="n">
        <v>-7.1021029499637</v>
      </c>
      <c r="F167" t="n">
        <v>-2.3396321863981</v>
      </c>
      <c r="G167" t="n">
        <v>61705925.669982</v>
      </c>
      <c r="H167" t="n">
        <v>11745121.997104</v>
      </c>
      <c r="I167" t="n">
        <v>-0.023228257736012</v>
      </c>
      <c r="J167" t="n">
        <v>-0.022179399012814</v>
      </c>
      <c r="K167" t="n">
        <v>0.046890494136404</v>
      </c>
      <c r="L167" t="n">
        <v>-1.1113969053074</v>
      </c>
      <c r="M167" t="n">
        <v>-1.1157357951558</v>
      </c>
      <c r="N167" t="n">
        <v>742.4698454263601</v>
      </c>
      <c r="O167" t="n">
        <v>840.66243179139</v>
      </c>
    </row>
    <row r="168">
      <c r="A168" t="n">
        <v>16.108638849597</v>
      </c>
      <c r="B168" t="n">
        <v>0.048041904162594</v>
      </c>
      <c r="C168" t="n">
        <v>92.68968280504799</v>
      </c>
      <c r="D168" t="n">
        <v>0.050632951932776</v>
      </c>
      <c r="E168" t="n">
        <v>-7.1300554461909</v>
      </c>
      <c r="F168" t="n">
        <v>-2.3455001350754</v>
      </c>
      <c r="G168" t="n">
        <v>62058407.951702</v>
      </c>
      <c r="H168" t="n">
        <v>11803901.053353</v>
      </c>
      <c r="I168" t="n">
        <v>-0.023374269701191</v>
      </c>
      <c r="J168" t="n">
        <v>-0.022317882838796</v>
      </c>
      <c r="K168" t="n">
        <v>0.047176495194051</v>
      </c>
      <c r="L168" t="n">
        <v>-1.1199303386645</v>
      </c>
      <c r="M168" t="n">
        <v>-1.1242577700369</v>
      </c>
      <c r="N168" t="n">
        <v>743.3002340604399</v>
      </c>
      <c r="O168" t="n">
        <v>841.65807877797</v>
      </c>
    </row>
    <row r="169">
      <c r="A169" t="n">
        <v>16.208638849597</v>
      </c>
      <c r="B169" t="n">
        <v>0.048352291912767</v>
      </c>
      <c r="C169" t="n">
        <v>92.689548700251</v>
      </c>
      <c r="D169" t="n">
        <v>0.050947585327427</v>
      </c>
      <c r="E169" t="n">
        <v>-7.1194471310368</v>
      </c>
      <c r="F169" t="n">
        <v>-2.3458312108132</v>
      </c>
      <c r="G169" t="n">
        <v>62411343.774734</v>
      </c>
      <c r="H169" t="n">
        <v>11862745.060856</v>
      </c>
      <c r="I169" t="n">
        <v>-0.023520245636392</v>
      </c>
      <c r="J169" t="n">
        <v>-0.022456323344399</v>
      </c>
      <c r="K169" t="n">
        <v>0.047462413264359</v>
      </c>
      <c r="L169" t="n">
        <v>-1.1284785275621</v>
      </c>
      <c r="M169" t="n">
        <v>-1.1327943526864</v>
      </c>
      <c r="N169" t="n">
        <v>744.12893384147</v>
      </c>
      <c r="O169" t="n">
        <v>842.65174194718</v>
      </c>
    </row>
    <row r="170">
      <c r="A170" t="n">
        <v>16.308638849597</v>
      </c>
      <c r="B170" t="n">
        <v>0.048662670803389</v>
      </c>
      <c r="C170" t="n">
        <v>92.689415375031</v>
      </c>
      <c r="D170" t="n">
        <v>0.051262209409963</v>
      </c>
      <c r="E170" t="n">
        <v>-7.1417973895812</v>
      </c>
      <c r="F170" t="n">
        <v>-2.3461623732218</v>
      </c>
      <c r="G170" t="n">
        <v>62764729.539742</v>
      </c>
      <c r="H170" t="n">
        <v>11921653.429619</v>
      </c>
      <c r="I170" t="n">
        <v>-0.023666185351418</v>
      </c>
      <c r="J170" t="n">
        <v>-0.022594720490956</v>
      </c>
      <c r="K170" t="n">
        <v>0.047748248395961</v>
      </c>
      <c r="L170" t="n">
        <v>-1.137036692346</v>
      </c>
      <c r="M170" t="n">
        <v>-1.1413401523471</v>
      </c>
      <c r="N170" t="n">
        <v>744.95607488144</v>
      </c>
      <c r="O170" t="n">
        <v>843.64355075085</v>
      </c>
    </row>
    <row r="171">
      <c r="A171" t="n">
        <v>16.408638849597</v>
      </c>
      <c r="B171" t="n">
        <v>0.048973041514737</v>
      </c>
      <c r="C171" t="n">
        <v>92.689282393805</v>
      </c>
      <c r="D171" t="n">
        <v>0.051576824453202</v>
      </c>
      <c r="E171" t="n">
        <v>-7.1311882761012</v>
      </c>
      <c r="F171" t="n">
        <v>-2.3464936091608</v>
      </c>
      <c r="G171" t="n">
        <v>63118562.747912</v>
      </c>
      <c r="H171" t="n">
        <v>11980625.755468</v>
      </c>
      <c r="I171" t="n">
        <v>-0.023812088970673</v>
      </c>
      <c r="J171" t="n">
        <v>-0.022733074369207</v>
      </c>
      <c r="K171" t="n">
        <v>0.048034000638341</v>
      </c>
      <c r="L171" t="n">
        <v>-1.1456098151691</v>
      </c>
      <c r="M171" t="n">
        <v>-1.1499023283308</v>
      </c>
      <c r="N171" t="n">
        <v>745.7815854983201</v>
      </c>
      <c r="O171" t="n">
        <v>844.63346178667</v>
      </c>
    </row>
    <row r="172">
      <c r="A172" t="n">
        <v>16.508638849597</v>
      </c>
      <c r="B172" t="n">
        <v>0.049283403594386</v>
      </c>
      <c r="C172" t="n">
        <v>92.689149564229</v>
      </c>
      <c r="D172" t="n">
        <v>0.05189143065041</v>
      </c>
      <c r="E172" t="n">
        <v>-7.1315651564937</v>
      </c>
      <c r="F172" t="n">
        <v>-2.3468249459889</v>
      </c>
      <c r="G172" t="n">
        <v>63472839.638821</v>
      </c>
      <c r="H172" t="n">
        <v>12039661.422642</v>
      </c>
      <c r="I172" t="n">
        <v>-0.023957956385641</v>
      </c>
      <c r="J172" t="n">
        <v>-0.022871384809007</v>
      </c>
      <c r="K172" t="n">
        <v>0.048319670037328</v>
      </c>
      <c r="L172" t="n">
        <v>-1.154195002997</v>
      </c>
      <c r="M172" t="n">
        <v>-1.1584757549797</v>
      </c>
      <c r="N172" t="n">
        <v>746.60562270524</v>
      </c>
      <c r="O172" t="n">
        <v>845.62163172128</v>
      </c>
    </row>
    <row r="173">
      <c r="A173" t="n">
        <v>16.608638849597</v>
      </c>
      <c r="B173" t="n">
        <v>0.049593757941372</v>
      </c>
      <c r="C173" t="n">
        <v>92.68901674348901</v>
      </c>
      <c r="D173" t="n">
        <v>0.052206028295015</v>
      </c>
      <c r="E173" t="n">
        <v>-7.0989826721763</v>
      </c>
      <c r="F173" t="n">
        <v>-2.358142673218</v>
      </c>
      <c r="G173" t="n">
        <v>63827558.569305</v>
      </c>
      <c r="H173" t="n">
        <v>12098760.171933</v>
      </c>
      <c r="I173" t="n">
        <v>-0.024103788001858</v>
      </c>
      <c r="J173" t="n">
        <v>-0.023009651755763</v>
      </c>
      <c r="K173" t="n">
        <v>0.048605256640809</v>
      </c>
      <c r="L173" t="n">
        <v>-1.1627922494748</v>
      </c>
      <c r="M173" t="n">
        <v>-1.167061051278</v>
      </c>
      <c r="N173" t="n">
        <v>747.42803156848</v>
      </c>
      <c r="O173" t="n">
        <v>846.60790684452</v>
      </c>
    </row>
    <row r="174">
      <c r="A174" t="n">
        <v>16.708638849597</v>
      </c>
      <c r="B174" t="n">
        <v>0.049904104836908</v>
      </c>
      <c r="C174" t="n">
        <v>92.688886111949</v>
      </c>
      <c r="D174" t="n">
        <v>0.052520617597085</v>
      </c>
      <c r="E174" t="n">
        <v>-7.1103451421937</v>
      </c>
      <c r="F174" t="n">
        <v>-2.3584741823963</v>
      </c>
      <c r="G174" t="n">
        <v>64182716.662162</v>
      </c>
      <c r="H174" t="n">
        <v>12157921.536624</v>
      </c>
      <c r="I174" t="n">
        <v>-0.024249583893325</v>
      </c>
      <c r="J174" t="n">
        <v>-0.023147875152889</v>
      </c>
      <c r="K174" t="n">
        <v>0.048890760497473</v>
      </c>
      <c r="L174" t="n">
        <v>-1.1714006699649</v>
      </c>
      <c r="M174" t="n">
        <v>-1.1756582686811</v>
      </c>
      <c r="N174" t="n">
        <v>748.24882536776</v>
      </c>
      <c r="O174" t="n">
        <v>847.59230643544</v>
      </c>
    </row>
    <row r="175">
      <c r="A175" t="n">
        <v>16.808638849597</v>
      </c>
      <c r="B175" t="n">
        <v>0.050214444141261</v>
      </c>
      <c r="C175" t="n">
        <v>92.688750312788</v>
      </c>
      <c r="D175" t="n">
        <v>0.05283519880671</v>
      </c>
      <c r="E175" t="n">
        <v>-7.1328120682533</v>
      </c>
      <c r="F175" t="n">
        <v>-2.3675786762672</v>
      </c>
      <c r="G175" t="n">
        <v>64538310.9029</v>
      </c>
      <c r="H175" t="n">
        <v>12217145.027649</v>
      </c>
      <c r="I175" t="n">
        <v>-0.024395344056114</v>
      </c>
      <c r="J175" t="n">
        <v>-0.023286054973154</v>
      </c>
      <c r="K175" t="n">
        <v>0.049176181658187</v>
      </c>
      <c r="L175" t="n">
        <v>-1.1800259517792</v>
      </c>
      <c r="M175" t="n">
        <v>-1.1842705257034</v>
      </c>
      <c r="N175" t="n">
        <v>749.0680520918399</v>
      </c>
      <c r="O175" t="n">
        <v>848.5748771565</v>
      </c>
    </row>
    <row r="176">
      <c r="A176" t="n">
        <v>16.908638849597</v>
      </c>
      <c r="B176" t="n">
        <v>0.050524775757773</v>
      </c>
      <c r="C176" t="n">
        <v>92.68860889334501</v>
      </c>
      <c r="D176" t="n">
        <v>0.053149772034386</v>
      </c>
      <c r="E176" t="n">
        <v>-7.1441745377393</v>
      </c>
      <c r="F176" t="n">
        <v>-2.3679126514631</v>
      </c>
      <c r="G176" t="n">
        <v>64894338.176115</v>
      </c>
      <c r="H176" t="n">
        <v>12276430.139288</v>
      </c>
      <c r="I176" t="n">
        <v>-0.024541068504196</v>
      </c>
      <c r="J176" t="n">
        <v>-0.023424191053872</v>
      </c>
      <c r="K176" t="n">
        <v>0.049461520170592</v>
      </c>
      <c r="L176" t="n">
        <v>-1.1886593195729</v>
      </c>
      <c r="M176" t="n">
        <v>-1.1928910923194</v>
      </c>
      <c r="N176" t="n">
        <v>749.88579702109</v>
      </c>
      <c r="O176" t="n">
        <v>849.5556999289799</v>
      </c>
    </row>
    <row r="177">
      <c r="A177" t="n">
        <v>17.008638849597</v>
      </c>
      <c r="B177" t="n">
        <v>0.050835100557394</v>
      </c>
      <c r="C177" t="n">
        <v>92.688455430459</v>
      </c>
      <c r="D177" t="n">
        <v>0.053464337656174</v>
      </c>
      <c r="E177" t="n">
        <v>-7.0994687055161</v>
      </c>
      <c r="F177" t="n">
        <v>-2.3451367233262</v>
      </c>
      <c r="G177" t="n">
        <v>65250796.65448</v>
      </c>
      <c r="H177" t="n">
        <v>12335776.581976</v>
      </c>
      <c r="I177" t="n">
        <v>-0.024686757432623</v>
      </c>
      <c r="J177" t="n">
        <v>-0.02356228351026</v>
      </c>
      <c r="K177" t="n">
        <v>0.049746776086443</v>
      </c>
      <c r="L177" t="n">
        <v>-1.1973058368053</v>
      </c>
      <c r="M177" t="n">
        <v>-1.2015256612285</v>
      </c>
      <c r="N177" t="n">
        <v>750.70193492594</v>
      </c>
      <c r="O177" t="n">
        <v>850.53465088563</v>
      </c>
    </row>
    <row r="178">
      <c r="A178" t="n">
        <v>17.108638849597</v>
      </c>
      <c r="B178" t="n">
        <v>0.051145418247022</v>
      </c>
      <c r="C178" t="n">
        <v>92.688285799113</v>
      </c>
      <c r="D178" t="n">
        <v>0.053778895765288</v>
      </c>
      <c r="E178" t="n">
        <v>-7.1548414008358</v>
      </c>
      <c r="F178" t="n">
        <v>-2.3564981329276</v>
      </c>
      <c r="G178" t="n">
        <v>65607683.089501</v>
      </c>
      <c r="H178" t="n">
        <v>12395183.826313</v>
      </c>
      <c r="I178" t="n">
        <v>-0.024832410916579</v>
      </c>
      <c r="J178" t="n">
        <v>-0.023700332102248</v>
      </c>
      <c r="K178" t="n">
        <v>0.050031949450364</v>
      </c>
      <c r="L178" t="n">
        <v>-1.2059641781168</v>
      </c>
      <c r="M178" t="n">
        <v>-1.210172540038</v>
      </c>
      <c r="N178" t="n">
        <v>751.51656213689</v>
      </c>
      <c r="O178" t="n">
        <v>851.51183109355</v>
      </c>
    </row>
    <row r="179">
      <c r="A179" t="n">
        <v>17.208638849597</v>
      </c>
      <c r="B179" t="n">
        <v>0.051455729463368</v>
      </c>
      <c r="C179" t="n">
        <v>92.68812160234</v>
      </c>
      <c r="D179" t="n">
        <v>0.054093446586941</v>
      </c>
      <c r="E179" t="n">
        <v>-7.1508759528468</v>
      </c>
      <c r="F179" t="n">
        <v>-2.361165998546</v>
      </c>
      <c r="G179" t="n">
        <v>65964994.958494</v>
      </c>
      <c r="H179" t="n">
        <v>12454651.465679</v>
      </c>
      <c r="I179" t="n">
        <v>-0.024978028940296</v>
      </c>
      <c r="J179" t="n">
        <v>-0.023838337021105</v>
      </c>
      <c r="K179" t="n">
        <v>0.050317040312834</v>
      </c>
      <c r="L179" t="n">
        <v>-1.2146381901256</v>
      </c>
      <c r="M179" t="n">
        <v>-1.2188341677186</v>
      </c>
      <c r="N179" t="n">
        <v>752.32962992623</v>
      </c>
      <c r="O179" t="n">
        <v>852.48720539398</v>
      </c>
    </row>
    <row r="180">
      <c r="A180" t="n">
        <v>17.308638849598</v>
      </c>
      <c r="B180" t="n">
        <v>0.051766034224537</v>
      </c>
      <c r="C180" t="n">
        <v>92.687953787314</v>
      </c>
      <c r="D180" t="n">
        <v>0.054407990335545</v>
      </c>
      <c r="E180" t="n">
        <v>-7.1654812655347</v>
      </c>
      <c r="F180" t="n">
        <v>-2.3647261983092</v>
      </c>
      <c r="G180" t="n">
        <v>66322729.534485</v>
      </c>
      <c r="H180" t="n">
        <v>12514179.059947</v>
      </c>
      <c r="I180" t="n">
        <v>-0.025123611500721</v>
      </c>
      <c r="J180" t="n">
        <v>-0.023976298231807</v>
      </c>
      <c r="K180" t="n">
        <v>0.050602048721904</v>
      </c>
      <c r="L180" t="n">
        <v>-1.2233214961687</v>
      </c>
      <c r="M180" t="n">
        <v>-1.2275053455742</v>
      </c>
      <c r="N180" t="n">
        <v>753.14116917245</v>
      </c>
      <c r="O180" t="n">
        <v>853.46079736165</v>
      </c>
    </row>
    <row r="181">
      <c r="A181" t="n">
        <v>17.408638849598</v>
      </c>
      <c r="B181" t="n">
        <v>0.052076332775046</v>
      </c>
      <c r="C181" t="n">
        <v>92.68779580471301</v>
      </c>
      <c r="D181" t="n">
        <v>0.054722527227404</v>
      </c>
      <c r="E181" t="n">
        <v>-7.1591441253254</v>
      </c>
      <c r="F181" t="n">
        <v>-2.3583455605316</v>
      </c>
      <c r="G181" t="n">
        <v>66680884.213734</v>
      </c>
      <c r="H181" t="n">
        <v>12573766.188214</v>
      </c>
      <c r="I181" t="n">
        <v>-0.025269158686292</v>
      </c>
      <c r="J181" t="n">
        <v>-0.024114215714303</v>
      </c>
      <c r="K181" t="n">
        <v>0.050886974722246</v>
      </c>
      <c r="L181" t="n">
        <v>-1.2320166842578</v>
      </c>
      <c r="M181" t="n">
        <v>-1.2361883783543</v>
      </c>
      <c r="N181" t="n">
        <v>753.95117396283</v>
      </c>
      <c r="O181" t="n">
        <v>854.43261052031</v>
      </c>
    </row>
    <row r="182">
      <c r="A182" t="n">
        <v>17.508638849598</v>
      </c>
      <c r="B182" t="n">
        <v>0.05238662520725</v>
      </c>
      <c r="C182" t="n">
        <v>92.687637437067</v>
      </c>
      <c r="D182" t="n">
        <v>0.055037057468662</v>
      </c>
      <c r="E182" t="n">
        <v>-7.115573394892</v>
      </c>
      <c r="F182" t="n">
        <v>-2.3586807588767</v>
      </c>
      <c r="G182" t="n">
        <v>67039455.994431</v>
      </c>
      <c r="H182" t="n">
        <v>12633412.363879</v>
      </c>
      <c r="I182" t="n">
        <v>-0.025414670504604</v>
      </c>
      <c r="J182" t="n">
        <v>-0.024252089410256</v>
      </c>
      <c r="K182" t="n">
        <v>0.051171818365689</v>
      </c>
      <c r="L182" t="n">
        <v>-1.2407247607502</v>
      </c>
      <c r="M182" t="n">
        <v>-1.2448834609596</v>
      </c>
      <c r="N182" t="n">
        <v>754.7596981934799</v>
      </c>
      <c r="O182" t="n">
        <v>855.40270878882</v>
      </c>
    </row>
    <row r="183">
      <c r="A183" t="n">
        <v>17.608638849598</v>
      </c>
      <c r="B183" t="n">
        <v>0.052696912159761</v>
      </c>
      <c r="C183" t="n">
        <v>92.687470615183</v>
      </c>
      <c r="D183" t="n">
        <v>0.055351581356924</v>
      </c>
      <c r="E183" t="n">
        <v>-7.1351896564252</v>
      </c>
      <c r="F183" t="n">
        <v>-2.3672696371584</v>
      </c>
      <c r="G183" t="n">
        <v>67398443.092554</v>
      </c>
      <c r="H183" t="n">
        <v>12693117.304592</v>
      </c>
      <c r="I183" t="n">
        <v>-0.025560147104936</v>
      </c>
      <c r="J183" t="n">
        <v>-0.024389919435705</v>
      </c>
      <c r="K183" t="n">
        <v>0.051456579701754</v>
      </c>
      <c r="L183" t="n">
        <v>-1.2494475725409</v>
      </c>
      <c r="M183" t="n">
        <v>-1.2535928240545</v>
      </c>
      <c r="N183" t="n">
        <v>755.56663242378</v>
      </c>
      <c r="O183" t="n">
        <v>856.37096997202</v>
      </c>
    </row>
    <row r="184">
      <c r="A184" t="n">
        <v>17.708638849598</v>
      </c>
      <c r="B184" t="n">
        <v>0.053007193304746</v>
      </c>
      <c r="C184" t="n">
        <v>92.687319375633</v>
      </c>
      <c r="D184" t="n">
        <v>0.055666099036823</v>
      </c>
      <c r="E184" t="n">
        <v>-7.1465507292811</v>
      </c>
      <c r="F184" t="n">
        <v>-2.3566193892163</v>
      </c>
      <c r="G184" t="n">
        <v>67757842.430298</v>
      </c>
      <c r="H184" t="n">
        <v>12752880.51123</v>
      </c>
      <c r="I184" t="n">
        <v>-0.025705588423666</v>
      </c>
      <c r="J184" t="n">
        <v>-0.024527705711867</v>
      </c>
      <c r="K184" t="n">
        <v>0.05174125877745</v>
      </c>
      <c r="L184" t="n">
        <v>-1.2581800495184</v>
      </c>
      <c r="M184" t="n">
        <v>-1.2623137177547</v>
      </c>
      <c r="N184" t="n">
        <v>756.37206739163</v>
      </c>
      <c r="O184" t="n">
        <v>857.33747337579</v>
      </c>
    </row>
    <row r="185">
      <c r="A185" t="n">
        <v>17.808638849598</v>
      </c>
      <c r="B185" t="n">
        <v>0.053317468764148</v>
      </c>
      <c r="C185" t="n">
        <v>92.68717117056001</v>
      </c>
      <c r="D185" t="n">
        <v>0.055980610691443</v>
      </c>
      <c r="E185" t="n">
        <v>-7.1537811688232</v>
      </c>
      <c r="F185" t="n">
        <v>-2.3610809829754</v>
      </c>
      <c r="G185" t="n">
        <v>68117650.896033</v>
      </c>
      <c r="H185" t="n">
        <v>12812701.477983</v>
      </c>
      <c r="I185" t="n">
        <v>-0.025850994479258</v>
      </c>
      <c r="J185" t="n">
        <v>-0.024665448129966</v>
      </c>
      <c r="K185" t="n">
        <v>0.052025855639548</v>
      </c>
      <c r="L185" t="n">
        <v>-1.2669261110748</v>
      </c>
      <c r="M185" t="n">
        <v>-1.271047199725</v>
      </c>
      <c r="N185" t="n">
        <v>757.17607448553</v>
      </c>
      <c r="O185" t="n">
        <v>858.3023150597101</v>
      </c>
    </row>
    <row r="186">
      <c r="A186" t="n">
        <v>17.908638849598</v>
      </c>
      <c r="B186" t="n">
        <v>0.053627738553682</v>
      </c>
      <c r="C186" t="n">
        <v>92.687021079899</v>
      </c>
      <c r="D186" t="n">
        <v>0.056295116437184</v>
      </c>
      <c r="E186" t="n">
        <v>-7.1500794836327</v>
      </c>
      <c r="F186" t="n">
        <v>-2.3654867500501</v>
      </c>
      <c r="G186" t="n">
        <v>68477865.601762</v>
      </c>
      <c r="H186" t="n">
        <v>12872579.737868</v>
      </c>
      <c r="I186" t="n">
        <v>-0.02599636526773</v>
      </c>
      <c r="J186" t="n">
        <v>-0.024803146637997</v>
      </c>
      <c r="K186" t="n">
        <v>0.052310370333037</v>
      </c>
      <c r="L186" t="n">
        <v>-1.2756844377698</v>
      </c>
      <c r="M186" t="n">
        <v>-1.2797902151532</v>
      </c>
      <c r="N186" t="n">
        <v>757.9787045852</v>
      </c>
      <c r="O186" t="n">
        <v>859.2655536710701</v>
      </c>
    </row>
    <row r="187">
      <c r="A187" t="n">
        <v>18</v>
      </c>
      <c r="B187" t="n">
        <v>0.053910895603333</v>
      </c>
      <c r="C187" t="n">
        <v>92.68688614094501</v>
      </c>
      <c r="D187" t="n">
        <v>0.056582410222725</v>
      </c>
      <c r="E187" t="n">
        <v>-7.1504220651867</v>
      </c>
      <c r="F187" t="n">
        <v>-2.3548068886965</v>
      </c>
      <c r="G187" t="n">
        <v>68806960.620353</v>
      </c>
      <c r="H187" t="n">
        <v>12927275.867659</v>
      </c>
      <c r="I187" t="n">
        <v>-0.026129088626175</v>
      </c>
      <c r="J187" t="n">
        <v>-0.024928857058098</v>
      </c>
      <c r="K187" t="n">
        <v>0.052570234661833</v>
      </c>
      <c r="L187" t="n">
        <v>-1.2842701559909</v>
      </c>
      <c r="M187" t="n">
        <v>-1.2883291616578</v>
      </c>
      <c r="N187" t="n">
        <v>758.77181150669</v>
      </c>
      <c r="O187" t="n">
        <v>860.20543108027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:A48"/>
    </sheetView>
  </sheetViews>
  <sheetFormatPr baseColWidth="8" defaultColWidth="8.85546875" defaultRowHeight="15"/>
  <sheetData>
    <row r="1">
      <c r="A1" s="3" t="n"/>
    </row>
    <row r="2">
      <c r="A2" s="3" t="n"/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22">
      <c r="A22" s="3" t="n"/>
    </row>
    <row r="23">
      <c r="A23" s="3" t="n"/>
    </row>
    <row r="24">
      <c r="A24" s="3" t="n"/>
    </row>
    <row r="26">
      <c r="A26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41">
      <c r="A41" s="3" t="n"/>
    </row>
    <row r="42">
      <c r="A42" s="3" t="n"/>
    </row>
    <row r="43">
      <c r="A43" s="3" t="n"/>
    </row>
    <row r="44">
      <c r="A44" s="3" t="n"/>
    </row>
    <row r="46">
      <c r="A46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Temperature</t>
        </is>
      </c>
      <c r="B1" s="10" t="inlineStr">
        <is>
          <t>RMS_Error</t>
        </is>
      </c>
      <c r="C1" s="10" t="inlineStr">
        <is>
          <t>N_points</t>
        </is>
      </c>
    </row>
    <row r="2">
      <c r="A2" t="n">
        <v>473</v>
      </c>
      <c r="B2" t="n">
        <v>0.1432888634004839</v>
      </c>
      <c r="C2" t="n">
        <v>9</v>
      </c>
    </row>
    <row r="3">
      <c r="A3" t="n">
        <v>573</v>
      </c>
      <c r="B3" t="n">
        <v>0.0541706102928635</v>
      </c>
      <c r="C3" t="n">
        <v>9</v>
      </c>
    </row>
    <row r="4">
      <c r="A4" t="n">
        <v>673</v>
      </c>
      <c r="B4" t="n">
        <v>0.05413084191342551</v>
      </c>
      <c r="C4" t="n">
        <v>9</v>
      </c>
    </row>
    <row r="5">
      <c r="A5" t="n">
        <v>723</v>
      </c>
      <c r="B5" t="n">
        <v>0.01447900272679148</v>
      </c>
      <c r="C5" t="n">
        <v>28</v>
      </c>
    </row>
    <row r="6">
      <c r="A6" t="n">
        <v>773</v>
      </c>
      <c r="B6" t="n">
        <v>0.03320724082426808</v>
      </c>
      <c r="C6" t="n">
        <v>27</v>
      </c>
    </row>
    <row r="7">
      <c r="A7" t="n">
        <v>823</v>
      </c>
      <c r="B7" t="n">
        <v>0.04994147613825143</v>
      </c>
      <c r="C7" t="n">
        <v>25</v>
      </c>
    </row>
    <row r="8">
      <c r="A8" t="n">
        <v>873</v>
      </c>
      <c r="B8" t="n">
        <v>0.01800086711555651</v>
      </c>
      <c r="C8" t="n">
        <v>23</v>
      </c>
    </row>
    <row r="9">
      <c r="A9" t="n">
        <v>923</v>
      </c>
      <c r="B9" t="n">
        <v>0.06071220618867756</v>
      </c>
      <c r="C9" t="n">
        <v>21</v>
      </c>
    </row>
    <row r="10">
      <c r="A10" t="inlineStr">
        <is>
          <t>ALL</t>
        </is>
      </c>
      <c r="B10" t="n">
        <v>0.0527660112754729</v>
      </c>
      <c r="C10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vikramroy</dc:creator>
  <dcterms:created xmlns:dcterms="http://purl.org/dc/terms/" xmlns:xsi="http://www.w3.org/2001/XMLSchema-instance" xsi:type="dcterms:W3CDTF">2025-01-26T20:23:00Z</dcterms:created>
  <dcterms:modified xmlns:dcterms="http://purl.org/dc/terms/" xmlns:xsi="http://www.w3.org/2001/XMLSchema-instance" xsi:type="dcterms:W3CDTF">2025-09-12T05:44:05Z</dcterms:modified>
  <cp:lastModifiedBy>sv1_admin1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/>
  </property>
  <property name="KSOProductBuildVer" fmtid="{D5CDD505-2E9C-101B-9397-08002B2CF9AE}" pid="3">
    <vt:lpwstr xmlns:vt="http://schemas.openxmlformats.org/officeDocument/2006/docPropsVTypes">1033-11.1.0.11723</vt:lpwstr>
  </property>
</Properties>
</file>